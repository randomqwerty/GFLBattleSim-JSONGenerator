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654677DF-6145-4B92-9E39-1AA38E652F1C}"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HOC Chip Data" sheetId="56" state="hidden" r:id="rId31"/>
    <sheet name="SF Resolution" sheetId="41" state="hidden" r:id="rId32"/>
    <sheet name="Vehicle Tree" sheetId="50" state="hidden" r:id="rId33"/>
    <sheet name="Vehicle Comp" sheetId="51"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1"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2" hidden="1">'Vehicle Tree'!$A$1:$X$31</definedName>
    <definedName name="AllySelection">Main!$H$125:$I$127</definedName>
    <definedName name="BossHP" localSheetId="30">[1]Main!$E$8</definedName>
    <definedName name="BossHP">Main!$E$8</definedName>
    <definedName name="BuildingSelection">Main!$F$125:$G$127</definedName>
    <definedName name="ChipJSONPath">'Misc Inputs'!$C$47</definedName>
    <definedName name="CustomStatInput">Main!$Y$21:$AC$25</definedName>
    <definedName name="DayNight" localSheetId="30">[1]Main!$B$8</definedName>
    <definedName name="DayNight">Main!$B$8</definedName>
    <definedName name="Debuff1" localSheetId="30">'[1]Misc Inputs'!$L$9</definedName>
    <definedName name="Debuff1">'Misc Inputs'!$L$9</definedName>
    <definedName name="Debuff2" localSheetId="30">'[1]Misc Inputs'!$L$10</definedName>
    <definedName name="Debuff2">'Misc Inputs'!$L$10</definedName>
    <definedName name="Debuff3" localSheetId="30">'[1]Misc Inputs'!$L$11</definedName>
    <definedName name="Debuff3">'Misc Inputs'!$L$11</definedName>
    <definedName name="DebuffConfig1" localSheetId="30">'[1]Misc Inputs'!$M$9</definedName>
    <definedName name="DebuffConfig1">'Misc Inputs'!$M$9</definedName>
    <definedName name="DebuffConfig2" localSheetId="30">'[1]Misc Inputs'!$M$10</definedName>
    <definedName name="DebuffConfig2">'Misc Inputs'!$M$10</definedName>
    <definedName name="DebuffConfig3" localSheetId="30">'[1]Misc Inputs'!$M$11</definedName>
    <definedName name="DebuffConfig3">'Misc Inputs'!$M$11</definedName>
    <definedName name="DebuffSelection">Main!$D$125:$E$127</definedName>
    <definedName name="DebuffSL1" localSheetId="30">[1]Main!$C$130</definedName>
    <definedName name="DebuffSL1">Main!$E$125</definedName>
    <definedName name="DebuffSL2" localSheetId="30">[1]Main!$C$131</definedName>
    <definedName name="DebuffSL2">Main!$E$126</definedName>
    <definedName name="DebuffSL3" localSheetId="30">[1]Main!$C$132</definedName>
    <definedName name="DebuffSL3">Main!$E$127</definedName>
    <definedName name="DollJSONPath">'Misc Inputs'!$C$44</definedName>
    <definedName name="EchelonInput">Main!$B$21:$AC$25</definedName>
    <definedName name="EchType" localSheetId="30">[1]Main!$B$7</definedName>
    <definedName name="EchType">Main!$B$7</definedName>
    <definedName name="EnemyHPPercent" localSheetId="30">[1]Main!$E$9</definedName>
    <definedName name="EnemyHPPercent">Main!$E$9</definedName>
    <definedName name="EnemyID" localSheetId="30">[1]Main!$E$7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0">[1]Main!$E$10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0">[1]Main!$E$11</definedName>
    <definedName name="HOCSupport">Main!$E$11</definedName>
    <definedName name="ListOfPresets" localSheetId="30">'[1]Preset Teams'!$A$4:$A$1048576</definedName>
    <definedName name="ListOfPresets">'Preset Teams'!$A$4:$A$1048576</definedName>
    <definedName name="ListOfPresetsSF" localSheetId="30">'[1]Preset Teams SF'!$A$4:$A$1048576</definedName>
    <definedName name="ListOfPresetsSF">'Preset Teams SF'!$A$4:$A$1048576</definedName>
    <definedName name="MissionJSON">'Misc Inputs'!$C$49</definedName>
    <definedName name="NodeColor" localSheetId="30">[1]Main!$B$9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0">[1]Main!$B$11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0">'[1]Misc Inputs'!$G$9</definedName>
    <definedName name="StratBuff1">'Misc Inputs'!$G$9</definedName>
    <definedName name="StratBuff2" localSheetId="30">'[1]Misc Inputs'!$G$10</definedName>
    <definedName name="StratBuff2">'Misc Inputs'!$G$10</definedName>
    <definedName name="StratBuff3" localSheetId="30">'[1]Misc Inputs'!$G$11</definedName>
    <definedName name="StratBuff3">'Misc Inputs'!$G$11</definedName>
    <definedName name="StratConfig1" localSheetId="30">'[1]Misc Inputs'!$H$9</definedName>
    <definedName name="StratConfig1">'Misc Inputs'!$H$9</definedName>
    <definedName name="StratConfig2" localSheetId="30">'[1]Misc Inputs'!$H$10</definedName>
    <definedName name="StratConfig2">'Misc Inputs'!$H$10</definedName>
    <definedName name="StratConfig3" localSheetId="30">'[1]Misc Inputs'!$H$11</definedName>
    <definedName name="StratConfig3">'Misc Inputs'!$H$11</definedName>
    <definedName name="StrategyInput">Main!$B$125:$C$127</definedName>
    <definedName name="StratSL1" localSheetId="30">[1]Main!$C$124</definedName>
    <definedName name="StratSL1">Main!$C$125</definedName>
    <definedName name="StratSL2" localSheetId="30">[1]Main!$C$125</definedName>
    <definedName name="StratSL2">Main!$C$126</definedName>
    <definedName name="StratSL3" localSheetId="30">[1]Main!$C$126</definedName>
    <definedName name="StratSL3">Main!$C$127</definedName>
    <definedName name="ThreeStack">'Misc Inputs'!$C$11</definedName>
    <definedName name="TurnNum" localSheetId="30">[1]Main!$B$10</definedName>
    <definedName name="TurnNum">Main!$B$10</definedName>
    <definedName name="TwoStack">'Misc Inputs'!$C$10</definedName>
    <definedName name="UseCustomStats" localSheetId="30">[1]Main!$AC$19</definedName>
    <definedName name="UseCustomStats">Main!$AC$19</definedName>
    <definedName name="UseSFCustomHP" localSheetId="30">[1]Main!$Q$58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0">[1]Main!$B$12</definedName>
    <definedName name="VehicleMode">Main!$B$12</definedName>
    <definedName name="VehicleRangeAtkJSON">'Misc Inputs'!$C$58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E35" i="45"/>
  <c r="E36" i="45"/>
  <c r="C36" i="45" s="1"/>
  <c r="E37" i="45"/>
  <c r="C37" i="45" s="1"/>
  <c r="E38" i="45"/>
  <c r="E39" i="45"/>
  <c r="E40" i="45"/>
  <c r="E41" i="45"/>
  <c r="C41" i="45" s="1"/>
  <c r="E42" i="45"/>
  <c r="E43" i="45"/>
  <c r="E44" i="45"/>
  <c r="C44" i="45" s="1"/>
  <c r="E45" i="45"/>
  <c r="C45" i="45" s="1"/>
  <c r="E46" i="45"/>
  <c r="E47" i="45"/>
  <c r="E48" i="45"/>
  <c r="E49" i="45"/>
  <c r="C49" i="45" s="1"/>
  <c r="E50" i="45"/>
  <c r="E51" i="45"/>
  <c r="E52" i="45"/>
  <c r="E53" i="45"/>
  <c r="C53" i="45" s="1"/>
  <c r="E54" i="45"/>
  <c r="E55" i="45"/>
  <c r="E56" i="45"/>
  <c r="E57" i="45"/>
  <c r="E58" i="45"/>
  <c r="E59" i="45"/>
  <c r="E60" i="45"/>
  <c r="C60" i="45" s="1"/>
  <c r="E61" i="45"/>
  <c r="C61" i="45" s="1"/>
  <c r="E62" i="45"/>
  <c r="E33" i="45"/>
  <c r="C33" i="45" s="1"/>
  <c r="E12" i="44"/>
  <c r="E13" i="44"/>
  <c r="E14" i="44"/>
  <c r="E15" i="44"/>
  <c r="C15" i="44" s="1"/>
  <c r="E16" i="44"/>
  <c r="E17" i="44"/>
  <c r="E18" i="44"/>
  <c r="E11" i="44"/>
  <c r="C11" i="44" s="1"/>
  <c r="C12" i="44"/>
  <c r="C13" i="44"/>
  <c r="C14" i="44"/>
  <c r="C16" i="44"/>
  <c r="C17" i="44"/>
  <c r="C18" i="44"/>
  <c r="A12" i="44"/>
  <c r="A13" i="44"/>
  <c r="A14" i="44"/>
  <c r="A15" i="44"/>
  <c r="A16" i="44"/>
  <c r="A17" i="44"/>
  <c r="A18" i="44"/>
  <c r="A11" i="44"/>
  <c r="C34" i="45"/>
  <c r="C38" i="45"/>
  <c r="C40" i="45"/>
  <c r="C42" i="45"/>
  <c r="C46" i="45"/>
  <c r="C48" i="45"/>
  <c r="C50" i="45"/>
  <c r="C58" i="45"/>
  <c r="C62" i="45"/>
  <c r="C57" i="45"/>
  <c r="C35" i="45"/>
  <c r="C39" i="45"/>
  <c r="C43"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C8" i="20"/>
  <c r="B8" i="20"/>
  <c r="C37" i="18"/>
  <c r="C36" i="18"/>
  <c r="C35" i="18"/>
  <c r="C34" i="18"/>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1" i="55"/>
  <c r="A10" i="55"/>
  <c r="A9" i="55"/>
  <c r="A8" i="55"/>
  <c r="A7" i="55"/>
  <c r="A6" i="55"/>
  <c r="A5" i="55"/>
  <c r="A4" i="55"/>
  <c r="A3" i="55"/>
  <c r="A2" i="55"/>
  <c r="D101" i="55"/>
  <c r="D100" i="55"/>
  <c r="C100" i="55" s="1"/>
  <c r="D99" i="55"/>
  <c r="C99" i="55" s="1"/>
  <c r="D98" i="55"/>
  <c r="C98" i="55" s="1"/>
  <c r="D97" i="55"/>
  <c r="D96" i="55"/>
  <c r="C96" i="55" s="1"/>
  <c r="D95" i="55"/>
  <c r="C95" i="55" s="1"/>
  <c r="D94" i="55"/>
  <c r="D93" i="55"/>
  <c r="D91" i="55"/>
  <c r="C91" i="55" s="1"/>
  <c r="D90" i="55"/>
  <c r="C90" i="55" s="1"/>
  <c r="D89" i="55"/>
  <c r="C89" i="55" s="1"/>
  <c r="D88" i="55"/>
  <c r="D87" i="55"/>
  <c r="C87" i="55" s="1"/>
  <c r="D86" i="55"/>
  <c r="C86" i="55" s="1"/>
  <c r="D85" i="55"/>
  <c r="D84" i="55"/>
  <c r="D83" i="55"/>
  <c r="C83" i="55" s="1"/>
  <c r="D81" i="55"/>
  <c r="C81" i="55" s="1"/>
  <c r="D80" i="55"/>
  <c r="C80" i="55" s="1"/>
  <c r="D79" i="55"/>
  <c r="D78" i="55"/>
  <c r="C78" i="55" s="1"/>
  <c r="D77" i="55"/>
  <c r="C77" i="55" s="1"/>
  <c r="D76" i="55"/>
  <c r="D75" i="55"/>
  <c r="D74" i="55"/>
  <c r="C74" i="55" s="1"/>
  <c r="D73" i="55"/>
  <c r="C73" i="55" s="1"/>
  <c r="D71" i="55"/>
  <c r="C71" i="55" s="1"/>
  <c r="D70" i="55"/>
  <c r="D69" i="55"/>
  <c r="C69" i="55" s="1"/>
  <c r="D68" i="55"/>
  <c r="C68" i="55" s="1"/>
  <c r="D67" i="55"/>
  <c r="D66" i="55"/>
  <c r="D65" i="55"/>
  <c r="C65" i="55" s="1"/>
  <c r="D64" i="55"/>
  <c r="C64" i="55" s="1"/>
  <c r="D63" i="55"/>
  <c r="C63" i="55" s="1"/>
  <c r="D61" i="55"/>
  <c r="D60" i="55"/>
  <c r="C60" i="55" s="1"/>
  <c r="D59" i="55"/>
  <c r="C59" i="55" s="1"/>
  <c r="D58" i="55"/>
  <c r="D57" i="55"/>
  <c r="D56" i="55"/>
  <c r="C56" i="55" s="1"/>
  <c r="D55" i="55"/>
  <c r="C55" i="55" s="1"/>
  <c r="D54" i="55"/>
  <c r="C54" i="55" s="1"/>
  <c r="D53" i="55"/>
  <c r="C53" i="55" s="1"/>
  <c r="D51" i="55"/>
  <c r="C51" i="55" s="1"/>
  <c r="D50" i="55"/>
  <c r="C50" i="55" s="1"/>
  <c r="D49" i="55"/>
  <c r="C49" i="55" s="1"/>
  <c r="D48" i="55"/>
  <c r="C48" i="55" s="1"/>
  <c r="D47" i="55"/>
  <c r="C47" i="55" s="1"/>
  <c r="D46" i="55"/>
  <c r="C46" i="55" s="1"/>
  <c r="D45" i="55"/>
  <c r="C45" i="55" s="1"/>
  <c r="D44" i="55"/>
  <c r="C44" i="55" s="1"/>
  <c r="D43" i="55"/>
  <c r="C43" i="55" s="1"/>
  <c r="D41" i="55"/>
  <c r="C41" i="55" s="1"/>
  <c r="D40" i="55"/>
  <c r="C40" i="55" s="1"/>
  <c r="D39" i="55"/>
  <c r="D38" i="55"/>
  <c r="C38" i="55" s="1"/>
  <c r="D37" i="55"/>
  <c r="C37" i="55" s="1"/>
  <c r="D36" i="55"/>
  <c r="C36" i="55" s="1"/>
  <c r="D35" i="55"/>
  <c r="D34" i="55"/>
  <c r="C34" i="55" s="1"/>
  <c r="D33" i="55"/>
  <c r="C33" i="55" s="1"/>
  <c r="D31" i="55"/>
  <c r="C31" i="55" s="1"/>
  <c r="D30" i="55"/>
  <c r="D29" i="55"/>
  <c r="C29" i="55" s="1"/>
  <c r="D28" i="55"/>
  <c r="C28" i="55" s="1"/>
  <c r="D27" i="55"/>
  <c r="C27" i="55" s="1"/>
  <c r="D26" i="55"/>
  <c r="D25" i="55"/>
  <c r="C25" i="55" s="1"/>
  <c r="D24" i="55"/>
  <c r="C24" i="55" s="1"/>
  <c r="D23" i="55"/>
  <c r="C23" i="55" s="1"/>
  <c r="D21" i="55"/>
  <c r="C21" i="55" s="1"/>
  <c r="D20" i="55"/>
  <c r="C20" i="55" s="1"/>
  <c r="D19" i="55"/>
  <c r="C19" i="55" s="1"/>
  <c r="D18" i="55"/>
  <c r="C18" i="55" s="1"/>
  <c r="D17" i="55"/>
  <c r="C17" i="55" s="1"/>
  <c r="D16" i="55"/>
  <c r="C16" i="55" s="1"/>
  <c r="D15" i="55"/>
  <c r="C15" i="55" s="1"/>
  <c r="D14" i="55"/>
  <c r="C14" i="55" s="1"/>
  <c r="D13" i="55"/>
  <c r="C13" i="55" s="1"/>
  <c r="D11" i="55"/>
  <c r="C11" i="55" s="1"/>
  <c r="D10" i="55"/>
  <c r="C10" i="55" s="1"/>
  <c r="D9" i="55"/>
  <c r="C9" i="55" s="1"/>
  <c r="D8" i="55"/>
  <c r="C8" i="55" s="1"/>
  <c r="D7" i="55"/>
  <c r="C7" i="55" s="1"/>
  <c r="D6" i="55"/>
  <c r="C6" i="55" s="1"/>
  <c r="D5" i="55"/>
  <c r="C5" i="55" s="1"/>
  <c r="D4" i="55"/>
  <c r="C4" i="55" s="1"/>
  <c r="D3" i="55"/>
  <c r="C3" i="55" s="1"/>
  <c r="D2" i="55"/>
  <c r="C2" i="55" s="1"/>
  <c r="C101" i="55"/>
  <c r="C97" i="55"/>
  <c r="C94" i="55"/>
  <c r="C93" i="55"/>
  <c r="C88" i="55"/>
  <c r="C85" i="55"/>
  <c r="C84" i="55"/>
  <c r="C79" i="55"/>
  <c r="C76" i="55"/>
  <c r="C75" i="55"/>
  <c r="C70" i="55"/>
  <c r="C67" i="55"/>
  <c r="C66" i="55"/>
  <c r="C61" i="55"/>
  <c r="C58" i="55"/>
  <c r="C57" i="55"/>
  <c r="C39" i="55"/>
  <c r="C35" i="55"/>
  <c r="C30" i="55"/>
  <c r="C26" i="55"/>
  <c r="B12" i="55"/>
  <c r="A12" i="55" s="1"/>
  <c r="B4" i="55"/>
  <c r="B3" i="55"/>
  <c r="D12" i="55" l="1"/>
  <c r="C12" i="55" s="1"/>
  <c r="B13" i="55"/>
  <c r="B22" i="55"/>
  <c r="B14" i="55"/>
  <c r="B5" i="55"/>
  <c r="D42"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A32" i="55" l="1"/>
  <c r="D32" i="55"/>
  <c r="C32" i="55" s="1"/>
  <c r="B25" i="55"/>
  <c r="B33" i="55"/>
  <c r="B34" i="55"/>
  <c r="B7" i="55"/>
  <c r="B16" i="55"/>
  <c r="B42" i="55"/>
  <c r="J2" i="52"/>
  <c r="I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I3" i="52"/>
  <c r="H3" i="52"/>
  <c r="H2" i="52"/>
  <c r="Y2" i="52" s="1"/>
  <c r="W6" i="52" l="1"/>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6"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B69" i="55" l="1"/>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4" i="3" l="1"/>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<sst xmlns="http://schemas.openxmlformats.org/spreadsheetml/2006/main" count="27301" uniqueCount="8761">
  <si>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</si>
  <si>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</si>
  <si>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</si>
  <si>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</si>
  <si>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</si>
  <si>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</si>
  <si>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</si>
  <si>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</si>
  <si>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</si>
  <si>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</si>
  <si>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</si>
  <si>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</si>
  <si>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</si>
  <si>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</si>
  <si>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</si>
  <si>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</si>
  <si>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</si>
  <si>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</si>
  <si>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</si>
  <si>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</si>
  <si>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</si>
  <si>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</si>
  <si>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</si>
  <si>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</si>
  <si>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</si>
  <si>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</si>
  <si>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</si>
  <si>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</si>
  <si>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</si>
  <si>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</si>
  <si>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</si>
  <si>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</si>
  <si>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</si>
  <si>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</si>
  <si>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</si>
  <si>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</si>
  <si>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</si>
  <si>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</si>
  <si>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</si>
  <si>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</si>
  <si>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</si>
  <si>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</si>
  <si>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</si>
  <si>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</si>
  <si>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</si>
  <si>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</si>
  <si>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</si>
  <si>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</si>
  <si>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</si>
  <si>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</si>
  <si>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</si>
  <si>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</si>
  <si>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</si>
  <si>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</si>
  <si>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</si>
  <si>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</si>
  <si>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</si>
  <si>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</si>
  <si>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</si>
  <si>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</si>
  <si>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</si>
  <si>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</si>
  <si>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</si>
  <si>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</si>
  <si>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</si>
  <si>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</si>
  <si>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</si>
  <si>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</si>
  <si>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</si>
  <si>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</si>
  <si>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</si>
  <si>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</si>
  <si>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</si>
  <si>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</si>
  <si>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</si>
  <si>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</si>
  <si>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</si>
  <si>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</si>
  <si>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</si>
  <si>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</si>
  <si>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</si>
  <si>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</si>
  <si>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</si>
  <si>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</si>
  <si>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</si>
  <si>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</si>
  <si>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</si>
  <si>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</si>
  <si>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</si>
  <si>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</si>
  <si>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</si>
  <si>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</si>
  <si>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</si>
  <si>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</si>
  <si>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</si>
  <si>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</si>
  <si>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</si>
  <si>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</si>
  <si>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</si>
  <si>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</si>
  <si>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</si>
  <si>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</si>
  <si>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</si>
  <si>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</si>
  <si>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</si>
  <si>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</si>
  <si>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</si>
  <si>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</si>
  <si>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</si>
  <si>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</si>
  <si>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</si>
  <si>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</si>
  <si>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</si>
  <si>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</si>
  <si>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</si>
  <si>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</si>
  <si>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</si>
  <si>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</si>
  <si>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</si>
  <si>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</si>
  <si>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</si>
  <si>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</si>
  <si>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</si>
  <si>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</si>
  <si>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</si>
  <si>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</si>
  <si>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</si>
  <si>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</si>
  <si>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</si>
  <si>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</si>
  <si>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</si>
  <si>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</si>
  <si>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</si>
  <si>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</si>
  <si>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</si>
  <si>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</si>
  <si>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</si>
  <si>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</si>
  <si>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</si>
  <si>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</si>
  <si>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</si>
  <si>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</si>
  <si>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</si>
  <si>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</si>
  <si>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</si>
  <si>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</si>
  <si>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</si>
  <si>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</si>
  <si>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</si>
  <si>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</si>
  <si>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</si>
  <si>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</si>
  <si>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</si>
  <si>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</si>
  <si>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</si>
  <si>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</si>
  <si>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</si>
  <si>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</si>
  <si>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</si>
  <si>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</si>
  <si>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</si>
  <si>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</si>
  <si>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</si>
  <si>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</si>
  <si>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</si>
  <si>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</si>
  <si>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</si>
  <si>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</si>
  <si>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</si>
  <si>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</si>
  <si>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</si>
  <si>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</si>
  <si>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</si>
  <si>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</si>
  <si>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</si>
  <si>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</si>
  <si>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</si>
  <si>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</si>
  <si>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</si>
  <si>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</si>
  <si>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</si>
  <si>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</si>
  <si>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</si>
  <si>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</si>
  <si>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</si>
  <si>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</si>
  <si>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</si>
  <si>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</si>
  <si>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</si>
  <si>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</si>
  <si>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</si>
  <si>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</si>
  <si>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</si>
  <si>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</si>
  <si>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</si>
  <si>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</si>
  <si>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</si>
  <si>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</si>
  <si>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</si>
  <si>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</si>
  <si>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</si>
  <si>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</si>
  <si>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</si>
  <si>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</si>
  <si>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</si>
  <si>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</si>
  <si>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</si>
  <si>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</si>
  <si>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</si>
  <si>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</si>
  <si>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</si>
  <si>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</si>
  <si>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</si>
  <si>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</si>
  <si>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</si>
  <si>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</si>
  <si>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</si>
  <si>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</si>
  <si>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</si>
  <si>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</si>
  <si>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</si>
  <si>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</si>
  <si>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</si>
  <si>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</si>
  <si>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</si>
  <si>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</si>
  <si>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</si>
  <si>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</si>
  <si>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</si>
  <si>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</si>
  <si>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</si>
  <si>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</si>
  <si>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</si>
  <si>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</si>
  <si>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</si>
  <si>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</si>
  <si>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</si>
  <si>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</si>
  <si>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</si>
  <si>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</si>
  <si>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</si>
  <si>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</si>
  <si>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</si>
  <si>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</si>
  <si>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</si>
  <si>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</si>
  <si>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</si>
  <si>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</si>
  <si>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</si>
  <si>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</si>
  <si>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</si>
  <si>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</si>
  <si>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</si>
  <si>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</si>
  <si>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</si>
  <si>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</si>
  <si>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</si>
  <si>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</si>
  <si>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</si>
  <si>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</si>
  <si>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</si>
  <si>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</si>
  <si>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</si>
  <si>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</si>
  <si>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</si>
  <si>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</si>
  <si>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</si>
  <si>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</si>
  <si>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</si>
  <si>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</si>
  <si>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</si>
  <si>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</si>
  <si>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</si>
  <si>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</si>
  <si>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</si>
  <si>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</si>
  <si>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</si>
  <si>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</si>
  <si>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</si>
  <si>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</si>
  <si>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</si>
  <si>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</si>
  <si>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</si>
  <si>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</si>
  <si>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</si>
  <si>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</si>
  <si>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</si>
  <si>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</si>
  <si>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</si>
  <si>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</si>
  <si>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</si>
  <si>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</si>
  <si>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</si>
  <si>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</si>
  <si>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</si>
  <si>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</si>
  <si>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</si>
  <si>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</si>
  <si>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</si>
  <si>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</si>
  <si>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</si>
  <si>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</si>
  <si>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</si>
  <si>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</si>
  <si>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</si>
  <si>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</si>
  <si>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</si>
  <si>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</si>
  <si>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</si>
  <si>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</si>
  <si>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</si>
  <si>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</si>
  <si>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</si>
  <si>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</si>
  <si>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</si>
  <si>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</si>
  <si>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</si>
  <si>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</si>
  <si>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</si>
  <si>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</si>
  <si>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</si>
  <si>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</si>
  <si>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</si>
  <si>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</si>
  <si>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</si>
  <si>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</si>
  <si>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</si>
  <si>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</si>
  <si>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</si>
  <si>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</si>
  <si>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</si>
  <si>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</si>
  <si>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</si>
  <si>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</si>
  <si>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</si>
  <si>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</si>
  <si>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</si>
  <si>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</si>
  <si>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</si>
  <si>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</si>
  <si>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</si>
  <si>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</si>
  <si>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</si>
  <si>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</si>
  <si>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</si>
  <si>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</si>
  <si>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</si>
  <si>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</si>
  <si>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</si>
  <si>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</si>
  <si>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</si>
  <si>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</si>
  <si>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</si>
  <si>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</si>
  <si>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</si>
  <si>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</si>
  <si>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</si>
  <si>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</si>
  <si>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</si>
  <si>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</si>
  <si>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</si>
  <si>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</si>
  <si>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</si>
  <si>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</si>
  <si>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</si>
  <si>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</si>
  <si>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</si>
  <si>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</si>
  <si>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</si>
  <si>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</si>
  <si>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</si>
  <si>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</si>
  <si>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</si>
  <si>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</si>
  <si>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</si>
  <si>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</si>
  <si>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</si>
  <si>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</si>
  <si>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</si>
  <si>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</si>
  <si>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</si>
  <si>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</si>
  <si>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</si>
  <si>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</si>
  <si>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</si>
  <si>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</si>
  <si>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</si>
  <si>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</si>
  <si>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</si>
  <si>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</si>
  <si>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</si>
  <si>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</si>
  <si>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</si>
  <si>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</si>
  <si>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</si>
  <si>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</si>
  <si>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</si>
  <si>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</si>
  <si>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</si>
  <si>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</si>
  <si>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</si>
  <si>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</si>
  <si>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</si>
  <si>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</si>
  <si>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</si>
  <si>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</si>
  <si>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</si>
  <si>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</si>
  <si>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</si>
  <si>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</si>
  <si>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</si>
  <si>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</si>
  <si>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</si>
  <si>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</si>
  <si>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</si>
  <si>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</si>
  <si>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</si>
  <si>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</si>
  <si>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</si>
  <si>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</si>
  <si>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</si>
  <si>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</si>
  <si>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</si>
  <si>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</si>
  <si>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</si>
  <si>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</si>
  <si>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</si>
  <si>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</si>
  <si>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</si>
  <si>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</si>
  <si>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</si>
  <si>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</si>
  <si>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</si>
  <si>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</si>
  <si>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</si>
  <si>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</si>
  <si>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</si>
  <si>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</si>
  <si>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</si>
  <si>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</si>
  <si>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</si>
  <si>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</si>
  <si>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</si>
  <si>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</si>
  <si>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</si>
  <si>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</si>
  <si>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</si>
  <si>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</si>
  <si>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</si>
  <si>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</si>
  <si>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</si>
  <si>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</si>
  <si>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</si>
  <si>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</si>
  <si>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</si>
  <si>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</si>
  <si>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</si>
  <si>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</si>
  <si>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</si>
  <si>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</si>
  <si>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</si>
  <si>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</si>
  <si>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</si>
  <si>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</si>
  <si>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</si>
  <si>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</si>
  <si>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</si>
  <si>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</si>
  <si>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</si>
  <si>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</si>
  <si>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</si>
  <si>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</si>
  <si>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</si>
  <si>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</si>
  <si>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</si>
  <si>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</si>
  <si>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</si>
  <si>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</si>
  <si>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</si>
  <si>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</si>
  <si>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</si>
  <si>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</si>
  <si>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</si>
  <si>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</si>
  <si>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</si>
  <si>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</si>
  <si>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</si>
  <si>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</si>
  <si>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</si>
  <si>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</si>
  <si>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</si>
  <si>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</si>
  <si>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</si>
  <si>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</si>
  <si>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</si>
  <si>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</si>
  <si>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</si>
  <si>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</si>
  <si>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</si>
  <si>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</si>
  <si>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</si>
  <si>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</si>
  <si>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</si>
  <si>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</si>
  <si>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</si>
  <si>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</si>
  <si>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</si>
  <si>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</si>
  <si>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</si>
  <si>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</si>
  <si>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</si>
  <si>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</si>
  <si>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</si>
  <si>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</si>
  <si>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</si>
  <si>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</si>
  <si>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</si>
  <si>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</si>
  <si>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</si>
  <si>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</si>
  <si>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</si>
  <si>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</si>
  <si>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</si>
  <si>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</si>
  <si>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</si>
  <si>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</si>
  <si>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</si>
  <si>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</si>
  <si>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</si>
  <si>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</si>
  <si>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</si>
  <si>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</si>
  <si>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</si>
  <si>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</si>
  <si>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</si>
  <si>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</si>
  <si>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</si>
  <si>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</si>
  <si>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</si>
  <si>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</si>
  <si>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</si>
  <si>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</si>
  <si>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</si>
  <si>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</si>
  <si>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</si>
  <si>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</si>
  <si>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</si>
  <si>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</si>
  <si>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</si>
  <si>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</si>
  <si>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</si>
  <si>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</si>
  <si>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</si>
  <si>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</si>
  <si>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</si>
  <si>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</si>
  <si>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</si>
  <si>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</si>
  <si>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</si>
  <si>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</si>
  <si>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</si>
  <si>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</si>
  <si>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</si>
  <si>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</si>
  <si>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</si>
  <si>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</si>
  <si>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</si>
  <si>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</si>
  <si>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</si>
  <si>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</si>
  <si>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</si>
  <si>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</si>
  <si>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</si>
  <si>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</si>
  <si>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</si>
  <si>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</si>
  <si>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</si>
  <si>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</si>
  <si>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</si>
  <si>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</si>
  <si>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</si>
  <si>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</si>
  <si>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</si>
  <si>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</si>
  <si>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</si>
  <si>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</si>
  <si>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</si>
  <si>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</si>
  <si>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</si>
  <si>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</si>
  <si>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</si>
  <si>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</si>
  <si>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</si>
  <si>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</si>
  <si>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</si>
  <si>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</si>
  <si>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</si>
  <si>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</si>
  <si>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</si>
  <si>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</si>
  <si>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</si>
  <si>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</si>
  <si>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</si>
  <si>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</si>
  <si>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</si>
  <si>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</si>
  <si>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</si>
  <si>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</si>
  <si>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</si>
  <si>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</si>
  <si>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</si>
  <si>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</si>
  <si>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</si>
  <si>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</si>
  <si>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</si>
  <si>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</si>
  <si>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</si>
  <si>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</si>
  <si>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</si>
  <si>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</si>
  <si>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</si>
  <si>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</si>
  <si>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</si>
  <si>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</si>
  <si>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</si>
  <si>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</si>
  <si>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</si>
  <si>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</si>
  <si>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</si>
  <si>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</si>
  <si>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</si>
  <si>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</si>
  <si>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</si>
  <si>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</si>
  <si>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</si>
  <si>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</si>
  <si>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</si>
  <si>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</si>
  <si>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</si>
  <si>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</si>
  <si>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</si>
  <si>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</si>
  <si>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</si>
  <si>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</si>
  <si>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</si>
  <si>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</si>
  <si>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</si>
  <si>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</si>
  <si>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</si>
  <si>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</si>
  <si>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</si>
  <si>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</si>
  <si>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</si>
  <si>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</si>
  <si>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</si>
  <si>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</si>
  <si>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</si>
  <si>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</si>
  <si>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</si>
  <si>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</si>
  <si>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</si>
  <si>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</si>
  <si>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</si>
  <si>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</si>
  <si>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</si>
  <si>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</si>
  <si>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</si>
  <si>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</si>
  <si>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</si>
  <si>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</si>
  <si>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</si>
  <si>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</si>
  <si>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</si>
  <si>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</si>
  <si>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</si>
  <si>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</si>
  <si>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</si>
  <si>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</si>
  <si>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</si>
  <si>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</si>
  <si>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</si>
  <si>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</si>
  <si>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</si>
  <si>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</si>
  <si>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</si>
  <si>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</si>
  <si>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</si>
  <si>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</si>
  <si>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</si>
  <si>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</si>
  <si>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</si>
  <si>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</si>
  <si>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</si>
  <si>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</si>
  <si>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</si>
  <si>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</si>
  <si>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</si>
  <si>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</si>
  <si>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</si>
  <si>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</si>
  <si>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</si>
  <si>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</si>
  <si>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</si>
  <si>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</si>
  <si>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</si>
  <si>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</si>
  <si>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</si>
  <si>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</si>
  <si>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</si>
  <si>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</si>
  <si>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</si>
  <si>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</si>
  <si>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</si>
  <si>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</si>
  <si>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</si>
  <si>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</si>
  <si>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</si>
  <si>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</si>
  <si>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</si>
  <si>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</si>
  <si>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</si>
  <si>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</si>
  <si>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</si>
  <si>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</si>
  <si>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</si>
  <si>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</si>
  <si>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</si>
  <si>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</si>
  <si>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</si>
  <si>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</si>
  <si>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</si>
  <si>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</si>
  <si>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</si>
  <si>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</si>
  <si>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</si>
  <si>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</si>
  <si>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</si>
  <si>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</si>
  <si>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</si>
  <si>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</si>
  <si>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</si>
  <si>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</si>
  <si>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</si>
  <si>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</si>
  <si>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</si>
  <si>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</si>
  <si>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</si>
  <si>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</si>
  <si>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</si>
  <si>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</si>
  <si>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</si>
  <si>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</si>
  <si>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</si>
  <si>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</si>
  <si>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</si>
  <si>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</si>
  <si>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</si>
  <si>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</si>
  <si>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</si>
  <si>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</si>
  <si>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</si>
  <si>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</si>
  <si>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</si>
  <si>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</si>
  <si>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</si>
  <si>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</si>
  <si>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</si>
  <si>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</si>
  <si>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</si>
  <si>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</si>
  <si>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</si>
  <si>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</si>
  <si>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</si>
  <si>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</si>
  <si>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</si>
  <si>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</si>
  <si>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</si>
  <si>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</si>
  <si>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</si>
  <si>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</si>
  <si>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</si>
  <si>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</si>
  <si>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</si>
  <si>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</si>
  <si>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</si>
  <si>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</si>
  <si>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</si>
  <si>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</si>
  <si>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</si>
  <si>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</si>
  <si>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</si>
  <si>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</si>
  <si>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</si>
  <si>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</si>
  <si>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</si>
  <si>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</si>
  <si>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</si>
  <si>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</si>
  <si>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</si>
  <si>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</si>
  <si>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</si>
  <si>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</si>
  <si>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</si>
  <si>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</si>
  <si>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</si>
  <si>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</si>
  <si>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</si>
  <si>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</si>
  <si>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</si>
  <si>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</si>
  <si>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</si>
  <si>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</si>
  <si>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</si>
  <si>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</si>
  <si>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</si>
  <si>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</si>
  <si>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</si>
  <si>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</si>
  <si>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</si>
  <si>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</si>
  <si>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</si>
  <si>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</si>
  <si>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</si>
  <si>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</si>
  <si>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</si>
  <si>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</si>
  <si>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</si>
  <si>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</si>
  <si>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</si>
  <si>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</si>
  <si>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</si>
  <si>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</si>
  <si>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</si>
  <si>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</si>
  <si>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</si>
  <si>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</si>
  <si>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</si>
  <si>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</si>
  <si>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</si>
  <si>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</si>
  <si>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</si>
  <si>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</si>
  <si>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</si>
  <si>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</si>
  <si>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</si>
  <si>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</si>
  <si>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</si>
  <si>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</si>
  <si>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</si>
  <si>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</si>
  <si>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</si>
  <si>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</si>
  <si>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</si>
  <si>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</si>
  <si>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</si>
  <si>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</si>
  <si>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</si>
  <si>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</si>
  <si>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</si>
  <si>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</si>
  <si>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</si>
  <si>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</si>
  <si>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</si>
  <si>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</si>
  <si>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</si>
  <si>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</si>
  <si>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</si>
  <si>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</si>
  <si>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</si>
  <si>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</si>
  <si>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</si>
  <si>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</si>
  <si>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</si>
  <si>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</si>
  <si>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</si>
  <si>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</si>
  <si>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</si>
  <si>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</si>
  <si>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</si>
  <si>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</si>
  <si>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</si>
  <si>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</si>
  <si>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</si>
  <si>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</si>
  <si>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</si>
  <si>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</si>
  <si>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</si>
  <si>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</si>
  <si>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</si>
  <si>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</si>
  <si>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</si>
  <si>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</si>
  <si>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</si>
  <si>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</si>
  <si>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</si>
  <si>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</si>
  <si>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</si>
  <si>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</si>
  <si>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</si>
  <si>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</si>
  <si>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</si>
  <si>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</si>
  <si>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</si>
  <si>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</si>
  <si>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</si>
  <si>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</si>
  <si>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</si>
  <si>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</si>
  <si>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</si>
  <si>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</si>
  <si>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</si>
  <si>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</si>
  <si>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</si>
  <si>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</si>
  <si>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</si>
  <si>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</si>
  <si>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</si>
  <si>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</si>
  <si>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</si>
  <si>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</si>
  <si>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</si>
  <si>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</si>
  <si>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</si>
  <si>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</si>
  <si>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</si>
  <si>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</si>
  <si>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</si>
  <si>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</si>
  <si>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</si>
  <si>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</si>
  <si>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</si>
  <si>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</si>
  <si>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</si>
  <si>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</si>
  <si>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</si>
  <si>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</si>
  <si>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</si>
  <si>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</si>
  <si>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</si>
  <si>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</si>
  <si>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</si>
  <si>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</si>
  <si>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</si>
  <si>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</si>
  <si>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</si>
  <si>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</si>
  <si>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</si>
  <si>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</si>
  <si>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</si>
  <si>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</si>
  <si>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</si>
  <si>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</si>
  <si>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</si>
  <si>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</si>
  <si>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</si>
  <si>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</si>
  <si>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</si>
  <si>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</si>
  <si>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</si>
  <si>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</si>
  <si>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</si>
  <si>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</si>
  <si>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</si>
  <si>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</si>
  <si>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</si>
  <si>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</si>
  <si>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</si>
  <si>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</si>
  <si>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</si>
  <si>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</si>
  <si>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</si>
  <si>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</si>
  <si>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</si>
  <si>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</si>
  <si>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</si>
  <si>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</si>
  <si>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</si>
  <si>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</si>
  <si>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</si>
  <si>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</si>
  <si>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</si>
  <si>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</si>
  <si>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</si>
  <si>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</si>
  <si>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</si>
  <si>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</si>
  <si>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</si>
  <si>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</si>
  <si>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</si>
  <si>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</si>
  <si>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</si>
  <si>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</si>
  <si>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</si>
  <si>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</si>
  <si>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</si>
  <si>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</si>
  <si>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</si>
  <si>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</si>
  <si>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</si>
  <si>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</si>
  <si>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</si>
  <si>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</si>
  <si>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</si>
  <si>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</si>
  <si>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</si>
  <si>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</si>
  <si>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</si>
  <si>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</si>
  <si>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</si>
  <si>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</si>
  <si>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</si>
  <si>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</si>
  <si>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</si>
  <si>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</si>
  <si>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</si>
  <si>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</si>
  <si>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</si>
  <si>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</si>
  <si>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</si>
  <si>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</si>
  <si>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</si>
  <si>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</si>
  <si>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</si>
  <si>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</si>
  <si>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</si>
  <si>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</si>
  <si>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</si>
  <si>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</si>
  <si>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</si>
  <si>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</si>
  <si>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</si>
  <si>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</si>
  <si>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</si>
  <si>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</si>
  <si>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</si>
  <si>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</si>
  <si>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</si>
  <si>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</si>
  <si>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</si>
  <si>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</si>
  <si>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</si>
  <si>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</si>
  <si>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</si>
  <si>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</si>
  <si>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</si>
  <si>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</si>
  <si>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</si>
  <si>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</si>
  <si>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</si>
  <si>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</si>
  <si>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</si>
  <si>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</si>
  <si>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</si>
  <si>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</si>
  <si>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</si>
  <si>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</si>
  <si>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</si>
  <si>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</si>
  <si>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</si>
  <si>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</si>
  <si>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</si>
  <si>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</si>
  <si>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</si>
  <si>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</si>
  <si>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</si>
  <si>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</si>
  <si>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</si>
  <si>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</si>
  <si>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</si>
  <si>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</si>
  <si>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</si>
  <si>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</si>
  <si>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</si>
  <si>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</si>
  <si>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</si>
  <si>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</si>
  <si>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</si>
  <si>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</si>
  <si>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</si>
  <si>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</si>
  <si>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</si>
  <si>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</si>
  <si>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</si>
  <si>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</si>
  <si>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</si>
  <si>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</si>
  <si>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</si>
  <si>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</si>
  <si>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</si>
  <si>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</si>
  <si>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</si>
  <si>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</si>
  <si>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</si>
  <si>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</si>
  <si>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</si>
  <si>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</si>
  <si>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</si>
  <si>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</si>
  <si>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</si>
  <si>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</si>
  <si>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</si>
  <si>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</si>
  <si>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</si>
  <si>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</si>
  <si>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</si>
  <si>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</si>
  <si>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</si>
  <si>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</si>
  <si>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</si>
  <si>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</si>
  <si>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</si>
  <si>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</si>
  <si>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</si>
  <si>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</si>
  <si>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</si>
  <si>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</si>
  <si>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</si>
  <si>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</si>
  <si>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</si>
  <si>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</si>
  <si>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</si>
  <si>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</si>
  <si>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</si>
  <si>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</si>
  <si>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</si>
  <si>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</si>
  <si>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</si>
  <si>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</si>
  <si>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</si>
  <si>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</si>
  <si>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</si>
  <si>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</si>
  <si>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</si>
  <si>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</si>
  <si>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</si>
  <si>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</si>
  <si>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</si>
  <si>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</si>
  <si>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</si>
  <si>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</si>
  <si>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</si>
  <si>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</si>
  <si>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</si>
  <si>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</si>
  <si>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</si>
  <si>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</si>
  <si>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</si>
  <si>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</si>
  <si>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</si>
  <si>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</si>
  <si>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</si>
  <si>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</si>
  <si>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</si>
  <si>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</si>
  <si>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</si>
  <si>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</si>
  <si>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</si>
  <si>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</si>
  <si>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</si>
  <si>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</si>
  <si>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</si>
  <si>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</si>
  <si>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</si>
  <si>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</si>
  <si>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</si>
  <si>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</si>
  <si>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</si>
  <si>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</si>
  <si>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</si>
  <si>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</si>
  <si>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</si>
  <si>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</si>
  <si>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</si>
  <si>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</si>
  <si>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</si>
  <si>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</si>
  <si>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</si>
  <si>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</si>
  <si>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</si>
  <si>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</si>
  <si>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</si>
  <si>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</si>
  <si>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</si>
  <si>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</si>
  <si>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</si>
  <si>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</si>
  <si>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</si>
  <si>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</si>
  <si>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</si>
  <si>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</si>
  <si>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</si>
  <si>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</si>
  <si>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</si>
  <si>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</si>
  <si>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</si>
  <si>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</si>
  <si>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</si>
  <si>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</si>
  <si>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</si>
  <si>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</si>
  <si>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</si>
  <si>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</si>
  <si>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</si>
  <si>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</si>
  <si>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</si>
  <si>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</si>
  <si>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</si>
  <si>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</si>
  <si>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</si>
  <si>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</si>
  <si>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</si>
  <si>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</si>
  <si>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</si>
  <si>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</si>
  <si>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</si>
  <si>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</si>
  <si>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</si>
  <si>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</si>
  <si>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</si>
  <si>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</si>
  <si>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</si>
  <si>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</si>
  <si>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</si>
  <si>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</si>
  <si>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</si>
  <si>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</si>
  <si>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</si>
  <si>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</si>
  <si>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</si>
  <si>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</si>
  <si>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</si>
  <si>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</si>
  <si>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</si>
  <si>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</si>
  <si>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</si>
  <si>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</si>
  <si>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</si>
  <si>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</si>
  <si>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</si>
  <si>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</si>
  <si>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</si>
  <si>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</si>
  <si>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</si>
  <si>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</si>
  <si>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</si>
  <si>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</si>
  <si>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</si>
  <si>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</si>
  <si>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</si>
  <si>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</si>
  <si>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</si>
  <si>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</si>
  <si>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</si>
  <si>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</si>
  <si>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</si>
  <si>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</si>
  <si>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</si>
  <si>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</si>
  <si>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</si>
  <si>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</si>
  <si>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</si>
  <si>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</si>
  <si>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</si>
  <si>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</si>
  <si>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</si>
  <si>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</si>
  <si>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</si>
  <si>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</si>
  <si>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</si>
  <si>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</si>
  <si>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</si>
  <si>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</si>
  <si>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</si>
  <si>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</si>
  <si>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</si>
  <si>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</si>
  <si>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</si>
  <si>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</si>
  <si>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</si>
  <si>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</si>
  <si>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</si>
  <si>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</si>
  <si>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</si>
  <si>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</si>
  <si>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</si>
  <si>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</si>
  <si>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</si>
  <si>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</si>
  <si>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</si>
  <si>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</si>
  <si>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</si>
  <si>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</si>
  <si>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</si>
  <si>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</si>
  <si>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</si>
  <si>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</si>
  <si>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</si>
  <si>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</si>
  <si>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</si>
  <si>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</si>
  <si>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</si>
  <si>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</si>
  <si>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</si>
  <si>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</si>
  <si>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</si>
  <si>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</si>
  <si>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</si>
  <si>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</si>
  <si>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</si>
  <si>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</si>
  <si>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</si>
  <si>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</si>
  <si>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</si>
  <si>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</si>
  <si>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</si>
  <si>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</si>
  <si>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</si>
  <si>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</si>
  <si>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</si>
  <si>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</si>
  <si>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</si>
  <si>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</si>
  <si>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</si>
  <si>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</si>
  <si>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</si>
  <si>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</si>
  <si>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</si>
  <si>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</si>
  <si>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</si>
  <si>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</si>
  <si>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</si>
  <si>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</si>
  <si>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</si>
  <si>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</si>
  <si>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</si>
  <si>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</si>
  <si>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</si>
  <si>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</si>
  <si>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</si>
  <si>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</si>
  <si>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</si>
  <si>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</si>
  <si>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</si>
  <si>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</si>
  <si>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</si>
  <si>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</si>
  <si>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</si>
  <si>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</si>
  <si>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</si>
  <si>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</si>
  <si>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</si>
  <si>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</si>
  <si>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</si>
  <si>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</si>
  <si>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</si>
  <si>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</si>
  <si>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</si>
  <si>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</si>
  <si>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</si>
  <si>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</si>
  <si>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</si>
  <si>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</si>
  <si>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</si>
  <si>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</si>
  <si>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</si>
  <si>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</si>
  <si>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</si>
  <si>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</si>
  <si>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</si>
  <si>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</si>
  <si>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</si>
  <si>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</si>
  <si>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</si>
  <si>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</si>
  <si>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</si>
  <si>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</si>
  <si>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</si>
  <si>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</si>
  <si>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</si>
  <si>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</si>
  <si>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</si>
  <si>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</si>
  <si>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</si>
  <si>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</si>
  <si>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</si>
  <si>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</si>
  <si>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</si>
  <si>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</si>
  <si>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</si>
  <si>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</si>
  <si>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</si>
  <si>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</si>
  <si>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</si>
  <si>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</si>
  <si>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</si>
  <si>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</si>
  <si>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</si>
  <si>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</si>
  <si>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</si>
  <si>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</si>
  <si>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</si>
  <si>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</si>
  <si>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</si>
  <si>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</si>
  <si>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</si>
  <si>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</si>
  <si>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</si>
  <si>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</si>
  <si>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</si>
  <si>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</si>
  <si>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</si>
  <si>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</si>
  <si>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</si>
  <si>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</si>
  <si>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</si>
  <si>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</si>
  <si>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</si>
  <si>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</si>
  <si>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</si>
  <si>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</si>
  <si>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</si>
  <si>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</si>
  <si>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</si>
  <si>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</si>
  <si>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</si>
  <si>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</si>
  <si>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</si>
  <si>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</si>
  <si>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</si>
  <si>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</si>
  <si>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</si>
  <si>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</si>
  <si>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</si>
  <si>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</si>
  <si>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</si>
  <si>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</si>
  <si>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</si>
  <si>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</si>
  <si>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</si>
  <si>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</si>
  <si>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</si>
  <si>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</si>
  <si>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</si>
  <si>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</si>
  <si>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</si>
  <si>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</si>
  <si>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</si>
  <si>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</si>
  <si>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</si>
  <si>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</si>
  <si>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</si>
  <si>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</si>
  <si>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</si>
  <si>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</si>
  <si>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</si>
  <si>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</si>
  <si>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</si>
  <si>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</si>
  <si>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</si>
  <si>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</si>
  <si>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</si>
  <si>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</si>
  <si>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</si>
  <si>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</si>
  <si>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</si>
  <si>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</si>
  <si>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</si>
  <si>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</si>
  <si>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</si>
  <si>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</si>
  <si>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</si>
  <si>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</si>
  <si>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</si>
  <si>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</si>
  <si>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</si>
  <si>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</si>
  <si>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</si>
  <si>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</si>
  <si>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</si>
  <si>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</si>
  <si>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</si>
  <si>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</si>
  <si>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</si>
  <si>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</si>
  <si>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</si>
  <si>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</si>
  <si>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</si>
  <si>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</si>
  <si>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</si>
  <si>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</si>
  <si>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</si>
  <si>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</si>
  <si>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</si>
  <si>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</si>
  <si>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</si>
  <si>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</si>
  <si>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</si>
  <si>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</si>
  <si>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</si>
  <si>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</si>
  <si>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</si>
  <si>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</si>
  <si>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</si>
  <si>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</si>
  <si>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</si>
  <si>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</si>
  <si>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</si>
  <si>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</si>
  <si>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</si>
  <si>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</si>
  <si>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</si>
  <si>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</si>
  <si>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</si>
  <si>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</si>
  <si>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</si>
  <si>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</si>
  <si>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</si>
  <si>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</si>
  <si>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</si>
  <si>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</si>
  <si>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</si>
  <si>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</si>
  <si>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</si>
  <si>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</si>
  <si>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</si>
  <si>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</si>
  <si>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</si>
  <si>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</si>
  <si>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</si>
  <si>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</si>
  <si>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</si>
  <si>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</si>
  <si>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</si>
  <si>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</si>
  <si>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</si>
  <si>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</si>
  <si>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</si>
  <si>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</si>
  <si>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</si>
  <si>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</si>
  <si>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</si>
  <si>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</si>
  <si>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</si>
  <si>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</si>
  <si>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</si>
  <si>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</si>
  <si>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</si>
  <si>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</si>
  <si>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</si>
  <si>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</si>
  <si>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</si>
  <si>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</si>
  <si>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</si>
  <si>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</si>
  <si>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</si>
  <si>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</si>
  <si>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</si>
  <si>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</si>
  <si>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</si>
  <si>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</si>
  <si>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</si>
  <si>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</si>
  <si>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</si>
  <si>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</si>
  <si>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</si>
  <si>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</si>
  <si>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</si>
  <si>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</si>
  <si>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</si>
  <si>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</si>
  <si>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</si>
  <si>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</si>
  <si>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</si>
  <si>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</si>
  <si>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</si>
  <si>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</si>
  <si>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</si>
  <si>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</si>
  <si>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</si>
  <si>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</si>
  <si>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</si>
  <si>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</si>
  <si>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</si>
  <si>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</si>
  <si>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</si>
  <si>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</si>
  <si>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</si>
  <si>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</si>
  <si>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</si>
  <si>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</si>
  <si>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</si>
  <si>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</si>
  <si>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</si>
  <si>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</si>
  <si>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</si>
  <si>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</si>
  <si>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</si>
  <si>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</si>
  <si>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</si>
  <si>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</si>
  <si>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</si>
  <si>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</si>
  <si>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</si>
  <si>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</si>
  <si>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</si>
  <si>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</si>
  <si>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</si>
  <si>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</si>
  <si>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</si>
  <si>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</si>
  <si>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</si>
  <si>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</si>
  <si>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</si>
  <si>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</si>
  <si>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</si>
  <si>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</si>
  <si>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</si>
  <si>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</si>
  <si>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</si>
  <si>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</si>
  <si>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</si>
  <si>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</si>
  <si>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</si>
  <si>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</si>
  <si>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</si>
  <si>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</si>
  <si>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</si>
  <si>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</si>
  <si>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</si>
  <si>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</si>
  <si>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</si>
  <si>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</si>
  <si>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</si>
  <si>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</si>
  <si>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</si>
  <si>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</si>
  <si>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</si>
  <si>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</si>
  <si>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</si>
  <si>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</si>
  <si>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</si>
  <si>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</si>
  <si>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</si>
  <si>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</si>
  <si>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</si>
  <si>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</si>
  <si>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</si>
  <si>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</si>
  <si>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</si>
  <si>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</si>
  <si>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</si>
  <si>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</si>
  <si>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</si>
  <si>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</si>
  <si>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</si>
  <si>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</si>
  <si>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</si>
  <si>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</si>
  <si>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</si>
  <si>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</si>
  <si>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</si>
  <si>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</si>
  <si>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</si>
  <si>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</si>
  <si>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</si>
  <si>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</si>
  <si>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</si>
  <si>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</si>
  <si>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</si>
  <si>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</si>
  <si>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</si>
  <si>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</si>
  <si>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</si>
  <si>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</si>
  <si>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</si>
  <si>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</si>
  <si>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</si>
  <si>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</si>
  <si>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</si>
  <si>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</si>
  <si>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</si>
  <si>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</si>
  <si>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</si>
  <si>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</si>
  <si>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</si>
  <si>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</si>
  <si>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</si>
  <si>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</si>
  <si>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</si>
  <si>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</si>
  <si>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</si>
  <si>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</si>
  <si>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</si>
  <si>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</si>
  <si>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</si>
  <si>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</si>
  <si>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</si>
  <si>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</si>
  <si>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</si>
  <si>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</si>
  <si>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</si>
  <si>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</si>
  <si>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</si>
  <si>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</si>
  <si>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</si>
  <si>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</si>
  <si>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</si>
  <si>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</si>
  <si>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</si>
  <si>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</si>
  <si>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</si>
  <si>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</si>
  <si>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</si>
  <si>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</si>
  <si>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</si>
  <si>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</si>
  <si>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</si>
  <si>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</si>
  <si>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</si>
  <si>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</si>
  <si>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</si>
  <si>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</si>
  <si>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</si>
  <si>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</si>
  <si>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</si>
  <si>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</si>
  <si>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</si>
  <si>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</si>
  <si>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</si>
  <si>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</si>
  <si>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</si>
  <si>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</si>
  <si>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</si>
  <si>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</si>
  <si>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</si>
  <si>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</si>
  <si>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</si>
  <si>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</si>
  <si>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</si>
  <si>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</si>
  <si>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</si>
  <si>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</si>
  <si>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</si>
  <si>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</si>
  <si>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</si>
  <si>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</si>
  <si>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</si>
  <si>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</si>
  <si>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</si>
  <si>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</si>
  <si>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</si>
  <si>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</si>
  <si>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</si>
  <si>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</si>
  <si>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</si>
  <si>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</si>
  <si>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</si>
  <si>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</si>
  <si>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</si>
  <si>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</si>
  <si>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</si>
  <si>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</si>
  <si>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</si>
  <si>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</si>
  <si>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</si>
  <si>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</si>
  <si>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</si>
  <si>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</si>
  <si>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</si>
  <si>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</si>
  <si>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</si>
  <si>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</si>
  <si>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</si>
  <si>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</si>
  <si>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</si>
  <si>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</si>
  <si>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</si>
  <si>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</si>
  <si>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</si>
  <si>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</si>
  <si>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</si>
  <si>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</si>
  <si>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</si>
  <si>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</si>
  <si>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</si>
  <si>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</si>
  <si>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</si>
  <si>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</si>
  <si>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</si>
  <si>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</si>
  <si>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</si>
  <si>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</si>
  <si>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</si>
  <si>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</si>
  <si>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</si>
  <si>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</si>
  <si>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</si>
  <si>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</si>
  <si>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</si>
  <si>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</si>
  <si>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</si>
  <si>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</si>
  <si>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</si>
  <si>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</si>
  <si>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</si>
  <si>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</si>
  <si>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</si>
  <si>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</si>
  <si>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</si>
  <si>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</si>
  <si>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</si>
  <si>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</si>
  <si>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</si>
  <si>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</si>
  <si>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</si>
  <si>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</si>
  <si>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</si>
  <si>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</si>
  <si>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</si>
  <si>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</si>
  <si>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</si>
  <si>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</si>
  <si>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</si>
  <si>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</si>
  <si>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</si>
  <si>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</si>
  <si>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</si>
  <si>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</si>
  <si>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</si>
  <si>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</si>
  <si>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</si>
  <si>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</si>
  <si>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</si>
  <si>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</si>
  <si>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</si>
  <si>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</si>
  <si>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</si>
  <si>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</si>
  <si>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</si>
  <si>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</si>
  <si>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</si>
  <si>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</si>
  <si>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</si>
  <si>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</si>
  <si>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</si>
  <si>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</si>
  <si>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</si>
  <si>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</si>
  <si>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</si>
  <si>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</si>
  <si>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</si>
  <si>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</si>
  <si>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</si>
  <si>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</si>
  <si>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</si>
  <si>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</si>
  <si>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</si>
  <si>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</si>
  <si>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</si>
  <si>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</si>
  <si>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</si>
  <si>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</si>
  <si>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</si>
  <si>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</si>
  <si>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</si>
  <si>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</si>
  <si>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</si>
  <si>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</si>
  <si>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</si>
  <si>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</si>
  <si>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</si>
  <si>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</si>
  <si>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</si>
  <si>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</si>
  <si>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</si>
  <si>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</si>
  <si>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</si>
  <si>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</si>
  <si>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</si>
  <si>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</si>
  <si>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</si>
  <si>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</si>
  <si>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</si>
  <si>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</si>
  <si>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</si>
  <si>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</si>
  <si>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</si>
  <si>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</si>
  <si>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</si>
  <si>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</si>
  <si>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</si>
  <si>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</si>
  <si>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</si>
  <si>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</si>
  <si>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</si>
  <si>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</si>
  <si>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</si>
  <si>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</si>
  <si>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</si>
  <si>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</si>
  <si>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</si>
  <si>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</si>
  <si>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</si>
  <si>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</si>
  <si>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</si>
  <si>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</si>
  <si>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</si>
  <si>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</si>
  <si>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</si>
  <si>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</si>
  <si>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</si>
  <si>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</si>
  <si>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</si>
  <si>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</si>
  <si>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</si>
  <si>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</si>
  <si>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</si>
  <si>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</si>
  <si>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</si>
  <si>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</si>
  <si>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</si>
  <si>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</si>
  <si>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</si>
  <si>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</si>
  <si>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</si>
  <si>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</si>
  <si>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</si>
  <si>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</si>
  <si>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</si>
  <si>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</si>
  <si>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</si>
  <si>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</si>
  <si>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</si>
  <si>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</si>
  <si>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</si>
  <si>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</si>
  <si>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</si>
  <si>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</si>
  <si>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</si>
  <si>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</si>
  <si>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</si>
  <si>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</si>
  <si>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</si>
  <si>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</si>
  <si>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</si>
  <si>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</si>
  <si>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</si>
  <si>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</si>
  <si>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</si>
  <si>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</si>
  <si>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</si>
  <si>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</si>
  <si>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</si>
  <si>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</si>
  <si>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</si>
  <si>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</si>
  <si>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</si>
  <si>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</si>
  <si>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</si>
  <si>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</si>
  <si>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</si>
  <si>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</si>
  <si>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</si>
  <si>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</si>
  <si>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</si>
  <si>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</si>
  <si>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</si>
  <si>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</si>
  <si>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</si>
  <si>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</si>
  <si>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</si>
  <si>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</si>
  <si>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</si>
  <si>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</si>
  <si>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</si>
  <si>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</si>
  <si>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</si>
  <si>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</si>
  <si>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</si>
  <si>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</si>
  <si>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</si>
  <si>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</si>
  <si>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</si>
  <si>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</si>
  <si>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</si>
  <si>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</si>
  <si>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</si>
  <si>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</si>
  <si>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</si>
  <si>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</si>
  <si>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</si>
  <si>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</si>
  <si>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</si>
  <si>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</si>
  <si>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</si>
  <si>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</si>
  <si>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</si>
  <si>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</si>
  <si>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</si>
  <si>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</si>
  <si>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</si>
  <si>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</si>
  <si>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</si>
  <si>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</si>
  <si>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</si>
  <si>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</si>
  <si>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</si>
  <si>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</si>
  <si>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</si>
  <si>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</si>
  <si>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</si>
  <si>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</si>
  <si>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</si>
  <si>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</si>
  <si>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</si>
  <si>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</si>
  <si>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</si>
  <si>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</si>
  <si>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</si>
  <si>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</si>
  <si>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</si>
  <si>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</si>
  <si>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</si>
  <si>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</si>
  <si>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</si>
  <si>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</si>
  <si>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</si>
  <si>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</si>
  <si>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</si>
  <si>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</si>
  <si>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</si>
  <si>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</si>
  <si>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</si>
  <si>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</si>
  <si>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</si>
  <si>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</si>
  <si>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</si>
  <si>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</si>
  <si>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</si>
  <si>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</si>
  <si>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</si>
  <si>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</si>
  <si>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</si>
  <si>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</si>
  <si>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</si>
  <si>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</si>
  <si>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</si>
  <si>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</si>
  <si>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</si>
  <si>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</si>
  <si>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</si>
  <si>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</si>
  <si>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</si>
  <si>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</si>
  <si>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</si>
  <si>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</si>
  <si>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</si>
  <si>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</si>
  <si>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</si>
  <si>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</si>
  <si>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</si>
  <si>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</si>
  <si>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</si>
  <si>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</si>
  <si>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</si>
  <si>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</si>
  <si>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</si>
  <si>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</si>
  <si>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</si>
  <si>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</si>
  <si>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</si>
  <si>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</si>
  <si>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</si>
  <si>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</si>
  <si>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</si>
  <si>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</si>
  <si>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</si>
  <si>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</si>
  <si>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</si>
  <si>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</si>
  <si>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</si>
  <si>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</si>
  <si>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</si>
  <si>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</si>
  <si>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</si>
  <si>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</si>
  <si>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</si>
  <si>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</si>
  <si>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</si>
  <si>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</si>
  <si>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</si>
  <si>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</si>
  <si>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</si>
  <si>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</si>
  <si>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</si>
  <si>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</si>
  <si>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</si>
  <si>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</si>
  <si>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</si>
  <si>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</si>
  <si>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</si>
  <si>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</si>
  <si>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</si>
  <si>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</si>
  <si>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</si>
  <si>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</si>
  <si>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</si>
  <si>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</si>
  <si>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</si>
  <si>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</si>
  <si>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</si>
  <si>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</si>
  <si>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</si>
  <si>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</si>
  <si>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</si>
  <si>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</si>
  <si>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</si>
  <si>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</si>
  <si>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</si>
  <si>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</si>
  <si>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</si>
  <si>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</si>
  <si>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</si>
  <si>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</si>
  <si>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</si>
  <si>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</si>
  <si>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</si>
  <si>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</si>
  <si>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</si>
  <si>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</si>
  <si>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</si>
  <si>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</si>
  <si>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</si>
  <si>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</si>
  <si>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</si>
  <si>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</si>
  <si>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</si>
  <si>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</si>
  <si>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</si>
  <si>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</si>
  <si>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</si>
  <si>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</si>
  <si>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</si>
  <si>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</si>
  <si>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</si>
  <si>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</si>
  <si>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</si>
  <si>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</si>
  <si>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</si>
  <si>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</si>
  <si>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</si>
  <si>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</si>
  <si>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</si>
  <si>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</si>
  <si>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</si>
  <si>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</si>
  <si>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</si>
  <si>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</si>
  <si>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</si>
  <si>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</si>
  <si>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</si>
  <si>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</si>
  <si>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</si>
  <si>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</si>
  <si>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</si>
  <si>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</si>
  <si>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</si>
  <si>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</si>
  <si>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</si>
  <si>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</si>
  <si>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</si>
  <si>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</si>
  <si>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</si>
  <si>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</si>
  <si>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</si>
  <si>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</si>
  <si>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</si>
  <si>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</si>
  <si>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</si>
  <si>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</si>
  <si>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</si>
  <si>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</si>
  <si>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</si>
  <si>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</si>
  <si>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</si>
  <si>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</si>
  <si>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</si>
  <si>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</si>
  <si>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</si>
  <si>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</si>
  <si>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</si>
  <si>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</si>
  <si>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</si>
  <si>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</si>
  <si>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</si>
  <si>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</si>
  <si>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</si>
  <si>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</si>
  <si>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</si>
  <si>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</si>
  <si>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</si>
  <si>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</si>
  <si>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</si>
  <si>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</si>
  <si>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</si>
  <si>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</si>
  <si>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</si>
  <si>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</si>
  <si>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</si>
  <si>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</si>
  <si>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</si>
  <si>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</si>
  <si>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</si>
  <si>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</si>
  <si>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</si>
  <si>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</si>
  <si>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</si>
  <si>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</si>
  <si>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</si>
  <si>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</si>
  <si>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</si>
  <si>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</si>
  <si>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</si>
  <si>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</si>
  <si>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</si>
  <si>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</si>
  <si>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</si>
  <si>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</si>
  <si>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</si>
  <si>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</si>
  <si>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</si>
  <si>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</si>
  <si>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</si>
  <si>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</si>
  <si>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</si>
  <si>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</si>
  <si>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</si>
  <si>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</si>
  <si>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</si>
  <si>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</si>
  <si>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</si>
  <si>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</si>
  <si>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</si>
  <si>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</si>
  <si>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</si>
  <si>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</si>
  <si>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</si>
  <si>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</si>
  <si>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</si>
  <si>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</si>
  <si>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</si>
  <si>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</si>
  <si>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</si>
  <si>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</si>
  <si>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</si>
  <si>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</si>
  <si>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</si>
  <si>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</si>
  <si>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</si>
  <si>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</si>
  <si>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</si>
  <si>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</si>
  <si>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</si>
  <si>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</si>
  <si>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</si>
  <si>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</si>
  <si>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</si>
  <si>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</si>
  <si>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</si>
  <si>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</si>
  <si>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</si>
  <si>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</si>
  <si>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</si>
  <si>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</si>
  <si>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</si>
  <si>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</si>
  <si>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</si>
  <si>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</si>
  <si>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</si>
  <si>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</si>
  <si>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</si>
  <si>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</si>
  <si>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</si>
  <si>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</si>
  <si>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</si>
  <si>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</si>
  <si>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</si>
  <si>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</si>
  <si>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</si>
  <si>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</si>
  <si>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</si>
  <si>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</si>
  <si>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</si>
  <si>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</si>
  <si>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</si>
  <si>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</si>
  <si>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</si>
  <si>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</si>
  <si>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</si>
  <si>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</si>
  <si>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</si>
  <si>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</si>
  <si>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</si>
  <si>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</si>
  <si>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</si>
  <si>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</si>
  <si>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</si>
  <si>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</si>
  <si>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</si>
  <si>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</si>
  <si>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</si>
  <si>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</si>
  <si>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</si>
  <si>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</si>
  <si>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</si>
  <si>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</si>
  <si>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</si>
  <si>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</si>
  <si>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</si>
  <si>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</si>
  <si>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</si>
  <si>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</si>
  <si>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</si>
  <si>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</si>
  <si>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</si>
  <si>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</si>
  <si>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</si>
  <si>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</si>
  <si>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</si>
  <si>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</si>
  <si>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</si>
  <si>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</si>
  <si>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</si>
  <si>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</si>
  <si>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</si>
  <si>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</si>
  <si>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</si>
  <si>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</si>
  <si>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</si>
  <si>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</si>
  <si>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</si>
  <si>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</si>
  <si>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</si>
  <si>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</si>
  <si>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</si>
  <si>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</si>
  <si>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</si>
  <si>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</si>
  <si>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</si>
  <si>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</si>
  <si>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</si>
  <si>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</si>
  <si>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</si>
  <si>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</si>
  <si>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</si>
  <si>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</si>
  <si>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</si>
  <si>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</si>
  <si>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</si>
  <si>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</si>
  <si>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</si>
  <si>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</si>
  <si>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</si>
  <si>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</si>
  <si>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</si>
  <si>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</si>
  <si>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</si>
  <si>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</si>
  <si>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</si>
  <si>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</si>
  <si>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</si>
  <si>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</si>
  <si>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</si>
  <si>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</si>
  <si>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</si>
  <si>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</si>
  <si>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</si>
  <si>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</si>
  <si>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</si>
  <si>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</si>
  <si>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</si>
  <si>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</si>
  <si>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</si>
  <si>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</si>
  <si>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</si>
  <si>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</si>
  <si>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</si>
  <si>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</si>
  <si>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</si>
  <si>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</si>
  <si>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</si>
  <si>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</si>
  <si>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</si>
  <si>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</si>
  <si>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</si>
  <si>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</si>
  <si>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</si>
  <si>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</si>
  <si>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</si>
  <si>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</si>
  <si>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</si>
  <si>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</si>
  <si>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</si>
  <si>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</si>
  <si>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</si>
  <si>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</si>
  <si>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</si>
  <si>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</si>
  <si>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</si>
  <si>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</si>
  <si>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</si>
  <si>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</si>
  <si>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</si>
  <si>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</si>
  <si>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</si>
  <si>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</si>
  <si>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</si>
  <si>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</si>
  <si>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</si>
  <si>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</si>
  <si>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</si>
  <si>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</si>
  <si>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</si>
  <si>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</si>
  <si>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</si>
  <si>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</si>
  <si>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</si>
  <si>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</si>
  <si>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</si>
  <si>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</si>
  <si>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</si>
  <si>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</si>
  <si>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</si>
  <si>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</si>
  <si>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</si>
  <si>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</si>
  <si>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</si>
  <si>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</si>
  <si>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</si>
  <si>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</si>
  <si>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</si>
  <si>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</si>
  <si>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</si>
  <si>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</si>
  <si>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</si>
  <si>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</si>
  <si>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</si>
  <si>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</si>
  <si>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</si>
  <si>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</si>
  <si>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</si>
  <si>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</si>
  <si>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</si>
  <si>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</si>
  <si>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</si>
  <si>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</si>
  <si>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</si>
  <si>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</si>
  <si>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</si>
  <si>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</si>
  <si>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</si>
  <si>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</si>
  <si>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</si>
  <si>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</si>
  <si>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</si>
  <si>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</si>
  <si>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</si>
  <si>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</si>
  <si>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</si>
  <si>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</si>
  <si>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</si>
  <si>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</si>
  <si>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</si>
  <si>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</si>
  <si>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</si>
  <si>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</si>
  <si>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</si>
  <si>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</si>
  <si>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</si>
  <si>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</si>
  <si>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</si>
  <si>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</si>
  <si>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</si>
  <si>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</si>
  <si>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</si>
  <si>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</si>
  <si>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</si>
  <si>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</si>
  <si>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</si>
  <si>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</si>
  <si>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</si>
  <si>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</si>
  <si>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</si>
  <si>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</si>
  <si>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</si>
  <si>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</si>
  <si>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</si>
  <si>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</si>
  <si>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</si>
  <si>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</si>
  <si>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</si>
  <si>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</si>
  <si>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</si>
  <si>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</si>
  <si>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</si>
  <si>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</si>
  <si>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</si>
  <si>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</si>
  <si>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</si>
  <si>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</si>
  <si>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</si>
  <si>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</si>
  <si>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</si>
  <si>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</si>
  <si>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</si>
  <si>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</si>
  <si>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</si>
  <si>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</si>
  <si>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</si>
  <si>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</si>
  <si>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</si>
  <si>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</si>
  <si>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</si>
  <si>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</si>
  <si>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</si>
  <si>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</si>
  <si>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</si>
  <si>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</si>
  <si>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</si>
  <si>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</si>
  <si>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</si>
  <si>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</si>
  <si>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</si>
  <si>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</si>
  <si>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</si>
  <si>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</si>
  <si>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</si>
  <si>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</si>
  <si>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</si>
  <si>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</si>
  <si>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</si>
  <si>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</si>
  <si>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</si>
  <si>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</si>
  <si>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</si>
  <si>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</si>
  <si>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</si>
  <si>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</si>
  <si>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</si>
  <si>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</si>
  <si>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</si>
  <si>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</si>
  <si>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</si>
  <si>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</si>
  <si>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</si>
  <si>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</si>
  <si>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</si>
  <si>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</si>
  <si>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</si>
  <si>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</si>
  <si>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</si>
  <si>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</si>
  <si>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</si>
  <si>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</si>
  <si>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</si>
  <si>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</si>
  <si>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</si>
  <si>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</si>
  <si>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</si>
  <si>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</si>
  <si>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</si>
  <si>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</si>
  <si>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</si>
  <si>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</si>
  <si>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</si>
  <si>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</si>
  <si>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</si>
  <si>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</si>
  <si>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</si>
  <si>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</si>
  <si>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</si>
  <si>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</si>
  <si>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</si>
  <si>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</si>
  <si>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</si>
  <si>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</si>
  <si>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</si>
  <si>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</si>
  <si>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</si>
  <si>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</si>
  <si>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</si>
  <si>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</si>
  <si>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</si>
  <si>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</si>
  <si>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</si>
  <si>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</si>
  <si>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</si>
  <si>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</si>
  <si>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</si>
  <si>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</si>
  <si>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</si>
  <si>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</si>
  <si>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</si>
  <si>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</si>
  <si>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</si>
  <si>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</si>
  <si>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</si>
  <si>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</si>
  <si>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</si>
  <si>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</si>
  <si>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</si>
  <si>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</si>
  <si>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</si>
  <si>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</si>
  <si>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</si>
  <si>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</si>
  <si>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</si>
  <si>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</si>
  <si>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</si>
  <si>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</si>
  <si>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</si>
  <si>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</si>
  <si>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</si>
  <si>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</si>
  <si>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</si>
  <si>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</si>
  <si>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</si>
  <si>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</si>
  <si>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</si>
  <si>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</si>
  <si>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</si>
  <si>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</si>
  <si>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</si>
  <si>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</si>
  <si>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</si>
  <si>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</si>
  <si>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</si>
  <si>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</si>
  <si>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</si>
  <si>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</si>
  <si>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</si>
  <si>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</si>
  <si>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</si>
  <si>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</si>
  <si>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</si>
  <si>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</si>
  <si>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</si>
  <si>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</si>
  <si>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</si>
  <si>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</si>
  <si>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</si>
  <si>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</si>
  <si>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</si>
  <si>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</si>
  <si>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</si>
  <si>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</si>
  <si>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</si>
  <si>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</si>
  <si>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</si>
  <si>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</si>
  <si>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</si>
  <si>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</si>
  <si>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</si>
  <si>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</si>
  <si>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</si>
  <si>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</si>
  <si>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</si>
  <si>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</si>
  <si>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</si>
  <si>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</si>
  <si>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</si>
  <si>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</si>
  <si>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</si>
  <si>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</si>
  <si>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</si>
  <si>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</si>
  <si>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</si>
  <si>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</si>
  <si>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</si>
  <si>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</si>
  <si>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</si>
  <si>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</si>
  <si>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</si>
  <si>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</si>
  <si>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</si>
  <si>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</si>
  <si>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</si>
  <si>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</si>
  <si>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</si>
  <si>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</si>
  <si>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</si>
  <si>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</si>
  <si>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</si>
  <si>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</si>
  <si>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</si>
  <si>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</si>
  <si>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</si>
  <si>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</si>
  <si>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</si>
  <si>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</si>
  <si>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</si>
  <si>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</si>
  <si>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</si>
  <si>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</si>
  <si>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</si>
  <si>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</si>
  <si>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</si>
  <si>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</si>
  <si>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</si>
  <si>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</si>
  <si>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</si>
  <si>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</si>
  <si>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</si>
  <si>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</si>
  <si>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</si>
  <si>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</si>
  <si>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</si>
  <si>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</si>
  <si>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</si>
  <si>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</si>
  <si>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</si>
  <si>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</si>
  <si>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</si>
  <si>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</si>
  <si>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</si>
  <si>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</si>
  <si>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</si>
  <si>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</si>
  <si>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</si>
  <si>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</si>
  <si>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</si>
  <si>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</si>
  <si>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</si>
  <si>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</si>
  <si>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</si>
  <si>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</si>
  <si>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</si>
  <si>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</si>
  <si>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</si>
  <si>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</si>
  <si>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</si>
  <si>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</si>
  <si>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</si>
  <si>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</si>
  <si>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</si>
  <si>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</si>
  <si>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</si>
  <si>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</si>
  <si>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</si>
  <si>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</si>
  <si>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</si>
  <si>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</si>
  <si>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</si>
  <si>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</si>
  <si>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</si>
  <si>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</si>
  <si>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</si>
  <si>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</si>
  <si>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</si>
  <si>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</si>
  <si>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</si>
  <si>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</si>
  <si>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</si>
  <si>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</si>
  <si>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</si>
  <si>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</si>
  <si>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</si>
  <si>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</si>
  <si>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</si>
  <si>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</si>
  <si>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</si>
  <si>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</si>
  <si>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</si>
  <si>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</si>
  <si>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</si>
  <si>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</si>
  <si>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</si>
  <si>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</si>
  <si>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</si>
  <si>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</si>
  <si>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</si>
  <si>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</si>
  <si>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</si>
  <si>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</si>
  <si>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</si>
  <si>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</si>
  <si>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</si>
  <si>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</si>
  <si>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</si>
  <si>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</si>
  <si>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</si>
  <si>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</si>
  <si>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</si>
  <si>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</si>
  <si>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</si>
  <si>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</si>
  <si>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</si>
  <si>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</si>
  <si>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</si>
  <si>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</si>
  <si>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</si>
  <si>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</si>
  <si>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</si>
  <si>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</si>
  <si>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</si>
  <si>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</si>
  <si>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</si>
  <si>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</si>
  <si>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</si>
  <si>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</si>
  <si>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</si>
  <si>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</si>
  <si>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</si>
  <si>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</si>
  <si>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</si>
  <si>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</si>
  <si>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</si>
  <si>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</si>
  <si>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</si>
  <si>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</si>
  <si>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</si>
  <si>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</si>
  <si>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</si>
  <si>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</si>
  <si>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</si>
  <si>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</si>
  <si>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</si>
  <si>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</si>
  <si>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</si>
  <si>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</si>
  <si>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</si>
  <si>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</si>
  <si>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</si>
  <si>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</si>
  <si>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</si>
  <si>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</si>
  <si>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</si>
  <si>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</si>
  <si>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</si>
  <si>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</si>
  <si>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</si>
  <si>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</si>
  <si>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</si>
  <si>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</si>
  <si>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</si>
  <si>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</si>
  <si>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</si>
  <si>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</si>
  <si>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</si>
  <si>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</si>
  <si>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</si>
  <si>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</si>
  <si>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</si>
  <si>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</si>
  <si>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</si>
  <si>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</si>
  <si>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</si>
  <si>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</si>
  <si>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</si>
  <si>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</si>
  <si>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</si>
  <si>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</si>
  <si>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</si>
  <si>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</si>
  <si>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</si>
  <si>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</si>
  <si>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</si>
  <si>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</si>
  <si>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</si>
  <si>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</si>
  <si>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</si>
  <si>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</si>
  <si>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</si>
  <si>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</si>
  <si>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</si>
  <si>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</si>
  <si>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</si>
  <si>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</si>
  <si>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</si>
  <si>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</si>
  <si>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</si>
  <si>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</si>
  <si>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</si>
  <si>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</si>
  <si>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</si>
  <si>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</si>
  <si>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</si>
  <si>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</si>
  <si>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</si>
  <si>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</si>
  <si>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</si>
  <si>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</si>
  <si>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</si>
  <si>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</si>
  <si>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</si>
  <si>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</si>
  <si>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</si>
  <si>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</si>
  <si>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</si>
  <si>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</si>
  <si>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</si>
  <si>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</si>
  <si>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</si>
  <si>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</si>
  <si>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</si>
  <si>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</si>
  <si>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</si>
  <si>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</si>
  <si>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</si>
  <si>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</si>
  <si>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</si>
  <si>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</si>
  <si>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</si>
  <si>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</si>
  <si>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</si>
  <si>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</si>
  <si>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</si>
  <si>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</si>
  <si>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</si>
  <si>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</si>
  <si>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</si>
  <si>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</si>
  <si>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</si>
  <si>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</si>
  <si>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</si>
  <si>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</si>
  <si>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</si>
  <si>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</si>
  <si>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</si>
  <si>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</si>
  <si>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</si>
  <si>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</si>
  <si>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</si>
  <si>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</si>
  <si>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</si>
  <si>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</si>
  <si>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</si>
  <si>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</si>
  <si>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</si>
  <si>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</si>
  <si>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</si>
  <si>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</si>
  <si>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</si>
  <si>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</si>
  <si>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</si>
  <si>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</si>
  <si>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</si>
  <si>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</si>
  <si>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</si>
  <si>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</si>
  <si>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</si>
  <si>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</si>
  <si>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</si>
  <si>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</si>
  <si>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</si>
  <si>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</si>
  <si>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</si>
  <si>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</si>
  <si>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</si>
  <si>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</si>
  <si>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</si>
  <si>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</si>
  <si>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</si>
  <si>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</si>
  <si>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</si>
  <si>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</si>
  <si>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</si>
  <si>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</si>
  <si>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</si>
  <si>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</si>
  <si>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</si>
  <si>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</si>
  <si>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</si>
  <si>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</si>
  <si>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</si>
  <si>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</si>
  <si>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</si>
  <si>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</si>
  <si>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</si>
  <si>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</si>
  <si>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</si>
  <si>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</si>
  <si>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</si>
  <si>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</si>
  <si>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</si>
  <si>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</si>
  <si>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</si>
  <si>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</si>
  <si>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</si>
  <si>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</si>
  <si>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</si>
  <si>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</si>
  <si>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</si>
  <si>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</si>
  <si>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</si>
  <si>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</si>
  <si>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</si>
  <si>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</si>
  <si>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</si>
  <si>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</si>
  <si>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</si>
  <si>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</si>
  <si>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</si>
  <si>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</si>
  <si>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</si>
  <si>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</si>
  <si>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</si>
  <si>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</si>
  <si>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</si>
  <si>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</si>
  <si>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</si>
  <si>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</si>
  <si>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</si>
  <si>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</si>
  <si>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</si>
  <si>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</si>
  <si>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</si>
  <si>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</si>
  <si>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</si>
  <si>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</si>
  <si>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</si>
  <si>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</si>
  <si>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</si>
  <si>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</si>
  <si>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</si>
  <si>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</si>
  <si>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</si>
  <si>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</si>
  <si>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</si>
  <si>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</si>
  <si>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</si>
  <si>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</si>
  <si>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</si>
  <si>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</si>
  <si>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</si>
  <si>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</si>
  <si>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</si>
  <si>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</si>
  <si>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</si>
  <si>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</si>
  <si>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</si>
  <si>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</si>
  <si>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</si>
  <si>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</si>
  <si>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</si>
  <si>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</si>
  <si>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</si>
  <si>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</si>
  <si>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</si>
  <si>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</si>
  <si>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</si>
  <si>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</si>
  <si>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</si>
  <si>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</si>
  <si>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</si>
  <si>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</si>
  <si>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</si>
  <si>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</si>
  <si>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</si>
  <si>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</si>
  <si>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</si>
  <si>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</si>
  <si>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</si>
  <si>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</si>
  <si>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</si>
  <si>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</si>
  <si>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</si>
  <si>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</si>
  <si>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</si>
  <si>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</si>
  <si>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</si>
  <si>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</si>
  <si>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</si>
  <si>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</si>
  <si>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</si>
  <si>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</si>
  <si>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</si>
  <si>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</si>
  <si>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</si>
  <si>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</si>
  <si>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</si>
  <si>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</si>
  <si>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</si>
  <si>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</si>
  <si>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</si>
  <si>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</si>
  <si>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</si>
  <si>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</si>
  <si>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</si>
  <si>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</si>
  <si>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</si>
  <si>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</si>
  <si>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</si>
  <si>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</si>
  <si>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</si>
  <si>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</si>
  <si>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</si>
  <si>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</si>
  <si>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</si>
  <si>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</si>
  <si>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</si>
  <si>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</si>
  <si>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</si>
  <si>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</si>
  <si>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</si>
  <si>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</si>
  <si>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</si>
  <si>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</si>
  <si>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</si>
  <si>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</si>
  <si>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</si>
  <si>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</si>
  <si>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</si>
  <si>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</si>
  <si>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</si>
  <si>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</si>
  <si>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</si>
  <si>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</si>
  <si>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</si>
  <si>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</si>
  <si>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</si>
  <si>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</si>
  <si>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</si>
  <si>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</si>
  <si>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</si>
  <si>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</si>
  <si>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</si>
  <si>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</si>
  <si>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</si>
  <si>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</si>
  <si>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</si>
  <si>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</si>
  <si>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</si>
  <si>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</si>
  <si>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</si>
  <si>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</si>
  <si>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</si>
  <si>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</si>
  <si>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</si>
  <si>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</si>
  <si>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</si>
  <si>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</si>
  <si>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</si>
  <si>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</si>
  <si>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</si>
  <si>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</si>
  <si>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</si>
  <si>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</si>
  <si>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</si>
  <si>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</si>
  <si>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</si>
  <si>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</si>
  <si>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</si>
  <si>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</si>
  <si>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</si>
  <si>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</si>
  <si>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</si>
  <si>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</si>
  <si>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</si>
  <si>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</si>
  <si>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</si>
  <si>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</si>
  <si>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</si>
  <si>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</si>
  <si>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</si>
  <si>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</si>
  <si>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</si>
  <si>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</si>
  <si>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</si>
  <si>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</si>
  <si>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</si>
  <si>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</si>
  <si>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</si>
  <si>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</si>
  <si>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</si>
  <si>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</si>
  <si>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</si>
  <si>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</si>
  <si>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</si>
  <si>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</si>
  <si>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</si>
  <si>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</si>
  <si>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</si>
  <si>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</si>
  <si>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</si>
  <si>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</si>
  <si>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</si>
  <si>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</si>
  <si>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</si>
  <si>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</si>
  <si>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</si>
  <si>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</si>
  <si>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</si>
  <si>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</si>
  <si>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</si>
  <si>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</si>
  <si>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</si>
  <si>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</si>
  <si>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</si>
  <si>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</si>
  <si>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</si>
  <si>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</si>
  <si>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</si>
  <si>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</si>
  <si>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</si>
  <si>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</si>
  <si>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</si>
  <si>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</si>
  <si>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</si>
  <si>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</si>
  <si>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</si>
  <si>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</si>
  <si>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</si>
  <si>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</si>
  <si>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</si>
  <si>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</si>
  <si>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</si>
  <si>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</si>
  <si>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</si>
  <si>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</si>
  <si>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</si>
  <si>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</si>
  <si>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</si>
  <si>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</si>
  <si>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</si>
  <si>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</si>
  <si>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</si>
  <si>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</si>
  <si>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</si>
  <si>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</si>
  <si>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</si>
  <si>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</si>
  <si>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</si>
  <si>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</si>
  <si>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</si>
  <si>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</si>
  <si>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</si>
  <si>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</si>
  <si>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</si>
  <si>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</si>
  <si>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</si>
  <si>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</si>
  <si>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</si>
  <si>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</si>
  <si>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</si>
  <si>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</si>
  <si>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</si>
  <si>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</si>
  <si>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</si>
  <si>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</si>
  <si>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</si>
  <si>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</si>
  <si>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</si>
  <si>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</si>
  <si>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</si>
  <si>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</si>
  <si>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</si>
  <si>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</si>
  <si>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</si>
  <si>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</si>
  <si>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</si>
  <si>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</si>
  <si>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</si>
  <si>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</si>
  <si>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</si>
  <si>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</si>
  <si>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</si>
  <si>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</si>
  <si>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</si>
  <si>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</si>
  <si>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</si>
  <si>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</si>
  <si>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</si>
  <si>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</si>
  <si>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</si>
  <si>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</si>
  <si>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</si>
  <si>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</si>
  <si>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</si>
  <si>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</si>
  <si>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</si>
  <si>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</si>
  <si>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</si>
  <si>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</si>
  <si>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</si>
  <si>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</si>
  <si>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</si>
  <si>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</si>
  <si>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</si>
  <si>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</si>
  <si>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</si>
  <si>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</si>
  <si>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</si>
  <si>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</si>
  <si>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</si>
  <si>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</si>
  <si>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</si>
  <si>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</si>
  <si>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</si>
  <si>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</si>
  <si>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</si>
  <si>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</si>
  <si>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</si>
  <si>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</si>
  <si>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</si>
  <si>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</si>
  <si>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</si>
  <si>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</si>
  <si>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</si>
  <si>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</si>
  <si>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</si>
  <si>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</si>
  <si>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</si>
  <si>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</si>
  <si>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</si>
  <si>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</si>
  <si>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</si>
  <si>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</si>
  <si>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</si>
  <si>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</si>
  <si>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</si>
  <si>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</si>
  <si>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</si>
  <si>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</si>
  <si>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</si>
  <si>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</si>
  <si>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</si>
  <si>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</si>
  <si>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</si>
  <si>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</si>
  <si>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</si>
  <si>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</si>
  <si>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</si>
  <si>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</si>
  <si>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</si>
  <si>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</si>
  <si>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</si>
  <si>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</si>
  <si>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</si>
  <si>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</si>
  <si>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</si>
  <si>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</si>
  <si>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</si>
  <si>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</si>
  <si>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</si>
  <si>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</si>
  <si>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</si>
  <si>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</si>
  <si>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</si>
  <si>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</si>
  <si>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</si>
  <si>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</si>
  <si>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</si>
  <si>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</si>
  <si>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</si>
  <si>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</si>
  <si>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</si>
  <si>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</si>
  <si>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</si>
  <si>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</si>
  <si>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</si>
  <si>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</si>
  <si>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</si>
  <si>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</si>
  <si>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</si>
  <si>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</si>
  <si>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</si>
  <si>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</si>
  <si>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</si>
  <si>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</si>
  <si>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</si>
  <si>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</si>
  <si>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</si>
  <si>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</si>
  <si>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</si>
  <si>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</si>
  <si>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</si>
  <si>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</si>
  <si>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</si>
  <si>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</si>
  <si>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</si>
  <si>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</si>
  <si>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</si>
  <si>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</si>
  <si>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</si>
  <si>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</si>
  <si>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</si>
  <si>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</si>
  <si>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</si>
  <si>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</si>
  <si>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</si>
  <si>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</si>
  <si>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</si>
  <si>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</si>
  <si>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</si>
  <si>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</si>
  <si>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</si>
  <si>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</si>
  <si>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</si>
  <si>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</si>
  <si>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</si>
  <si>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</si>
  <si>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</si>
  <si>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</si>
  <si>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</si>
  <si>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</si>
  <si>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</si>
  <si>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</si>
  <si>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</si>
  <si>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</si>
  <si>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</si>
  <si>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</si>
  <si>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</si>
  <si>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</si>
  <si>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</si>
  <si>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</si>
  <si>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</si>
  <si>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</si>
  <si>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</si>
  <si>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</si>
  <si>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</si>
  <si>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</si>
  <si>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</si>
  <si>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</si>
  <si>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</si>
  <si>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</si>
  <si>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</si>
  <si>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</si>
  <si>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</si>
  <si>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</si>
  <si>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</si>
  <si>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</si>
  <si>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</si>
  <si>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</si>
  <si>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</si>
  <si>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</si>
  <si>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</si>
  <si>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</si>
  <si>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</si>
  <si>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</si>
  <si>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</si>
  <si>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</si>
  <si>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</si>
  <si>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</si>
  <si>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</si>
  <si>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</si>
  <si>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</si>
  <si>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</si>
  <si>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</si>
  <si>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</si>
  <si>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</si>
  <si>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</si>
  <si>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</si>
  <si>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</si>
  <si>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</si>
  <si>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</si>
  <si>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</si>
  <si>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</si>
  <si>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</si>
  <si>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</si>
  <si>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</si>
  <si>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</si>
  <si>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</si>
  <si>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</si>
  <si>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</si>
  <si>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</si>
  <si>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</si>
  <si>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</si>
  <si>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</si>
  <si>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</si>
  <si>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</si>
  <si>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</si>
  <si>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</si>
  <si>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</si>
  <si>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</si>
  <si>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</si>
  <si>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</si>
  <si>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</si>
  <si>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</si>
  <si>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</si>
  <si>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</si>
  <si>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</si>
  <si>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</si>
  <si>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</si>
  <si>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</si>
  <si>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</si>
  <si>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</si>
  <si>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</si>
  <si>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</si>
  <si>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</si>
  <si>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</si>
  <si>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</si>
  <si>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</si>
  <si>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</si>
  <si>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</si>
  <si>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</si>
  <si>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</si>
  <si>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</si>
  <si>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</si>
  <si>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</si>
  <si>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</si>
  <si>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</si>
  <si>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</si>
  <si>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</si>
  <si>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</si>
  <si>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</si>
  <si>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</si>
  <si>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</si>
  <si>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</si>
  <si>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</si>
  <si>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</si>
  <si>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</si>
  <si>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</si>
  <si>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</si>
  <si>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</si>
  <si>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</si>
  <si>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</si>
  <si>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</si>
  <si>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</si>
  <si>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</si>
  <si>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</si>
  <si>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</si>
  <si>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</si>
  <si>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</si>
  <si>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</si>
  <si>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</si>
  <si>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</si>
  <si>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</si>
  <si>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</si>
  <si>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</si>
  <si>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</si>
  <si>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</si>
  <si>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</si>
  <si>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</si>
  <si>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</si>
  <si>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</si>
  <si>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</si>
  <si>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</si>
  <si>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</si>
  <si>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</si>
  <si>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</si>
  <si>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</si>
  <si>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</si>
  <si>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</si>
  <si>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</si>
  <si>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</si>
  <si>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</si>
  <si>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</si>
  <si>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</si>
  <si>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</si>
  <si>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</si>
  <si>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</si>
  <si>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</si>
  <si>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</si>
  <si>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</si>
  <si>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</si>
  <si>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</si>
  <si>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</si>
  <si>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</si>
  <si>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</si>
  <si>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</si>
  <si>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</si>
  <si>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</si>
  <si>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</si>
  <si>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</si>
  <si>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</si>
  <si>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</si>
  <si>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</si>
  <si>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</si>
  <si>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</si>
  <si>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</si>
  <si>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</si>
  <si>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</si>
  <si>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</si>
  <si>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</si>
  <si>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</si>
  <si>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</si>
  <si>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</si>
  <si>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</si>
  <si>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</si>
  <si>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</si>
  <si>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</si>
  <si>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</si>
  <si>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</si>
  <si>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</si>
  <si>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</si>
  <si>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</si>
  <si>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</si>
  <si>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</si>
  <si>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</si>
  <si>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</si>
  <si>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</si>
  <si>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</si>
  <si>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</si>
  <si>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</si>
  <si>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</si>
  <si>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</si>
  <si>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</si>
  <si>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</si>
  <si>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</si>
  <si>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</si>
  <si>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</si>
  <si>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</si>
  <si>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</si>
  <si>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</si>
  <si>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</si>
  <si>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</si>
  <si>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</si>
  <si>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</si>
  <si>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</si>
  <si>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</si>
  <si>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</si>
  <si>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</si>
  <si>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</si>
  <si>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</si>
  <si>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</si>
  <si>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</si>
  <si>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</si>
  <si>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</si>
  <si>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</si>
  <si>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</si>
  <si>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</si>
  <si>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</si>
  <si>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</si>
  <si>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</si>
  <si>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</si>
  <si>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</si>
  <si>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</si>
  <si>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</si>
  <si>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</si>
  <si>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</si>
  <si>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</si>
  <si>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</si>
  <si>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</si>
  <si>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</si>
  <si>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</si>
  <si>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</si>
  <si>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</si>
  <si>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</si>
  <si>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</si>
  <si>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</si>
  <si>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</si>
  <si>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</si>
  <si>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</si>
  <si>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</si>
  <si>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</si>
  <si>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</si>
  <si>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</si>
  <si>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</si>
  <si>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</si>
  <si>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</si>
  <si>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</si>
  <si>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</si>
  <si>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</si>
  <si>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</si>
  <si>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</si>
  <si>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</si>
  <si>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</si>
  <si>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</si>
  <si>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</si>
  <si>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</si>
  <si>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</si>
  <si>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</si>
  <si>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</si>
  <si>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</si>
  <si>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</si>
  <si>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</si>
  <si>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</si>
  <si>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</si>
  <si>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</si>
  <si>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</si>
  <si>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</si>
  <si>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</si>
  <si>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</si>
  <si>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</si>
  <si>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</si>
  <si>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</si>
  <si>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</si>
  <si>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</si>
  <si>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</si>
  <si>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</si>
  <si>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</si>
  <si>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</si>
  <si>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</si>
  <si>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</si>
  <si>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</si>
  <si>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</si>
  <si>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</si>
  <si>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</si>
  <si>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</si>
  <si>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</si>
  <si>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</si>
  <si>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</si>
  <si>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</si>
  <si>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</si>
  <si>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</si>
  <si>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</si>
  <si>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</si>
  <si>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</si>
  <si>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</si>
  <si>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</si>
  <si>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</si>
  <si>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</si>
  <si>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</si>
  <si>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</si>
  <si>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</si>
  <si>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</si>
  <si>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</si>
  <si>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</si>
  <si>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</si>
  <si>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</si>
  <si>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</si>
  <si>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</si>
  <si>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</si>
  <si>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</si>
  <si>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</si>
  <si>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</si>
  <si>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</si>
  <si>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</si>
  <si>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</si>
  <si>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</si>
  <si>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</si>
  <si>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</si>
  <si>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</si>
  <si>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</si>
  <si>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</si>
  <si>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</si>
  <si>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</si>
  <si>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</si>
  <si>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</si>
  <si>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</si>
  <si>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</si>
  <si>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</si>
  <si>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</si>
  <si>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</si>
  <si>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</si>
  <si>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</si>
  <si>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</si>
  <si>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</si>
  <si>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</si>
  <si>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</si>
  <si>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</si>
  <si>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</si>
  <si>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</si>
  <si>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</si>
  <si>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</si>
  <si>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</si>
  <si>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</si>
  <si>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</si>
  <si>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</si>
  <si>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</si>
  <si>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</si>
  <si>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</si>
  <si>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</si>
  <si>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</si>
  <si>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</si>
  <si>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</si>
  <si>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</si>
  <si>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</si>
  <si>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</si>
  <si>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</si>
  <si>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</si>
  <si>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</si>
  <si>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</si>
  <si>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</si>
  <si>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</si>
  <si>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</si>
  <si>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</si>
  <si>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</si>
  <si>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</si>
  <si>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</si>
  <si>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</si>
  <si>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</si>
  <si>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</si>
  <si>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</si>
  <si>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</si>
  <si>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</si>
  <si>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</si>
  <si>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</si>
  <si>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</si>
  <si>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</si>
  <si>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</si>
  <si>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</si>
  <si>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</si>
  <si>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</si>
  <si>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</si>
  <si>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</si>
  <si>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</si>
  <si>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</si>
  <si>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</si>
  <si>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</si>
  <si>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</si>
  <si>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</si>
  <si>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</si>
  <si>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</si>
  <si>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</si>
  <si>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</si>
  <si>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</si>
  <si>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</si>
  <si>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</si>
  <si>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</si>
  <si>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</si>
  <si>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</si>
  <si>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</si>
  <si>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</si>
  <si>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</si>
  <si>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</si>
  <si>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</si>
  <si>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</si>
  <si>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</si>
  <si>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</si>
  <si>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</si>
  <si>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</si>
  <si>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</si>
  <si>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</si>
  <si>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</si>
  <si>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</si>
  <si>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</si>
  <si>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</si>
  <si>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</si>
  <si>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</si>
  <si>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</si>
  <si>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</si>
  <si>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</si>
  <si>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</si>
  <si>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</si>
  <si>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</si>
  <si>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</si>
  <si>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</si>
  <si>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</si>
  <si>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</si>
  <si>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</si>
  <si>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</si>
  <si>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</si>
  <si>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</si>
  <si>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</si>
  <si>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</si>
  <si>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</si>
  <si>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</si>
  <si>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</si>
  <si>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</si>
  <si>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</si>
  <si>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</si>
  <si>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</si>
  <si>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</si>
  <si>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</si>
  <si>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</si>
  <si>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</si>
  <si>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</si>
  <si>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</si>
  <si>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</si>
  <si>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</si>
  <si>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</si>
  <si>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</si>
  <si>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</si>
  <si>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</si>
  <si>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</si>
  <si>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</si>
  <si>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</si>
  <si>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</si>
  <si>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</si>
  <si>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</si>
  <si>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</si>
  <si>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</si>
  <si>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</si>
  <si>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</si>
  <si>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</si>
  <si>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</si>
  <si>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</si>
  <si>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</si>
  <si>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</si>
  <si>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</si>
  <si>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</si>
  <si>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</si>
  <si>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</si>
  <si>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</si>
  <si>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</si>
  <si>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</si>
  <si>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</si>
  <si>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</si>
  <si>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</si>
  <si>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</si>
  <si>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</si>
  <si>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</si>
  <si>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</si>
  <si>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</si>
  <si>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</si>
  <si>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</si>
  <si>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</si>
  <si>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</si>
  <si>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</si>
  <si>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</si>
  <si>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</si>
  <si>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</si>
  <si>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</si>
  <si>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</si>
  <si>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</si>
  <si>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</si>
  <si>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</si>
  <si>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</si>
  <si>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</si>
  <si>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</si>
  <si>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</si>
  <si>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</si>
  <si>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</si>
  <si>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</si>
  <si>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</si>
  <si>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</si>
  <si>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</si>
  <si>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</si>
  <si>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</si>
  <si>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</si>
  <si>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</si>
  <si>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</si>
  <si>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</si>
  <si>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</si>
  <si>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</si>
  <si>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</si>
  <si>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</si>
  <si>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</si>
  <si>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</si>
  <si>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</si>
  <si>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</si>
  <si>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</si>
  <si>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</si>
  <si>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</si>
  <si>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</si>
  <si>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</si>
  <si>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</si>
  <si>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</si>
  <si>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</si>
  <si>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</si>
  <si>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</si>
  <si>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</si>
  <si>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</si>
  <si>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</si>
  <si>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</si>
  <si>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</si>
  <si>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</si>
  <si>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</si>
  <si>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</si>
  <si>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</si>
  <si>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</si>
  <si>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</si>
  <si>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</si>
  <si>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</si>
  <si>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</si>
  <si>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</si>
  <si>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</si>
  <si>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</si>
  <si>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</si>
  <si>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</si>
  <si>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</si>
  <si>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</si>
  <si>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</si>
  <si>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</si>
  <si>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</si>
  <si>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</si>
  <si>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</si>
  <si>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</si>
  <si>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</si>
  <si>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</si>
  <si>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</si>
  <si>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</si>
  <si>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</si>
  <si>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</si>
  <si>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</si>
  <si>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</si>
  <si>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</si>
  <si>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</si>
  <si>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</si>
  <si>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</si>
  <si>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</si>
  <si>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</si>
  <si>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</si>
  <si>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</si>
  <si>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</si>
  <si>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</si>
  <si>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</si>
  <si>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</si>
  <si>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</si>
  <si>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</si>
  <si>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</si>
  <si>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</si>
  <si>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</si>
  <si>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</si>
  <si>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</si>
  <si>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</si>
  <si>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</si>
  <si>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</si>
  <si>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</si>
  <si>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</si>
  <si>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</si>
  <si>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</si>
  <si>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</si>
  <si>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</si>
  <si>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</si>
  <si>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</si>
  <si>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</si>
  <si>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</si>
  <si>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</si>
  <si>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</si>
  <si>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</si>
  <si>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</si>
  <si>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</si>
  <si>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</si>
  <si>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</si>
  <si>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</si>
  <si>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</si>
  <si>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</si>
  <si>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</si>
  <si>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</si>
  <si>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</si>
  <si>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</si>
  <si>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</si>
  <si>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</si>
  <si>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</si>
  <si>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</si>
  <si>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</si>
  <si>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</si>
  <si>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</si>
  <si>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</si>
  <si>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</si>
  <si>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</si>
  <si>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</si>
  <si>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</si>
  <si>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</si>
  <si>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</si>
  <si>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</si>
  <si>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</si>
  <si>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</si>
  <si>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</si>
  <si>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</si>
  <si>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</si>
  <si>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</si>
  <si>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</si>
  <si>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</si>
  <si>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</si>
  <si>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</si>
  <si>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</si>
  <si>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</si>
  <si>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</si>
  <si>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</si>
  <si>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</si>
  <si>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</si>
  <si>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</si>
  <si>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</si>
  <si>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</si>
  <si>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</si>
  <si>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</si>
  <si>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</si>
  <si>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</si>
  <si>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</si>
  <si>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</si>
  <si>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</si>
  <si>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</si>
  <si>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</si>
  <si>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</si>
  <si>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</si>
  <si>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</si>
  <si>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</si>
  <si>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</si>
  <si>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</si>
  <si>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</si>
  <si>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</si>
  <si>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</si>
  <si>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</si>
  <si>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</si>
  <si>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</si>
  <si>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</si>
  <si>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</si>
  <si>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</si>
  <si>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</si>
  <si>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</si>
  <si>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</si>
  <si>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</si>
  <si>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</si>
  <si>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</si>
  <si>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</si>
  <si>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</si>
  <si>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</si>
  <si>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</si>
  <si>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</si>
  <si>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</si>
  <si>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</si>
  <si>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</si>
  <si>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</si>
  <si>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</si>
  <si>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</si>
  <si>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</si>
  <si>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</si>
  <si>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</si>
  <si>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</si>
  <si>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</si>
  <si>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</si>
  <si>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</si>
  <si>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</si>
  <si>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</si>
  <si>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</si>
  <si>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</si>
  <si>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</si>
  <si>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</si>
  <si>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</si>
  <si>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</si>
  <si>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</si>
  <si>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</si>
  <si>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</si>
  <si>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</si>
  <si>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</si>
  <si>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</si>
  <si>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</si>
  <si>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</si>
  <si>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</si>
  <si>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</si>
  <si>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</si>
  <si>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</si>
  <si>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</si>
  <si>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</si>
  <si>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</si>
  <si>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</si>
  <si>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</si>
  <si>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</si>
  <si>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</si>
  <si>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</si>
  <si>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</si>
  <si>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</si>
  <si>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</si>
  <si>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</si>
  <si>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</si>
  <si>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</si>
  <si>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</si>
  <si>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</si>
  <si>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</si>
  <si>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</si>
  <si>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</si>
  <si>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</si>
  <si>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</si>
  <si>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</si>
  <si>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</si>
  <si>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</si>
  <si>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</si>
  <si>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</si>
  <si>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</si>
  <si>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</si>
  <si>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</si>
  <si>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</si>
  <si>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</si>
  <si>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</si>
  <si>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</si>
  <si>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</si>
  <si>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</si>
  <si>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</si>
  <si>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</si>
  <si>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</si>
  <si>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</si>
  <si>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</si>
  <si>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</si>
  <si>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</si>
  <si>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</si>
  <si>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</si>
  <si>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</si>
  <si>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</si>
  <si>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</si>
  <si>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</si>
  <si>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</si>
  <si>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</si>
  <si>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</si>
  <si>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</si>
  <si>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</si>
  <si>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</si>
  <si>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</si>
  <si>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</si>
  <si>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</si>
  <si>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</si>
  <si>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</si>
  <si>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</si>
  <si>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</si>
  <si>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</si>
  <si>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</si>
  <si>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</si>
  <si>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</si>
  <si>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</si>
  <si>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</si>
  <si>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</si>
  <si>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</si>
  <si>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</si>
  <si>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</si>
  <si>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</si>
  <si>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</si>
  <si>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</si>
  <si>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</si>
  <si>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</si>
  <si>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</si>
  <si>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</si>
  <si>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</si>
  <si>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</si>
  <si>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</si>
  <si>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</si>
  <si>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</si>
  <si>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</si>
  <si>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</si>
  <si>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</si>
  <si>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</si>
  <si>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</si>
  <si>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</si>
  <si>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</si>
  <si>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</si>
  <si>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</si>
  <si>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</si>
  <si>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</si>
  <si>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</si>
  <si>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</si>
  <si>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</si>
  <si>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</si>
  <si>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</si>
  <si>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</si>
  <si>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</si>
  <si>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</si>
  <si>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</si>
  <si>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</si>
  <si>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</si>
  <si>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</si>
  <si>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</si>
  <si>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</si>
  <si>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</si>
  <si>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</si>
  <si>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</si>
  <si>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</si>
  <si>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</si>
  <si>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</si>
  <si>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</si>
  <si>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</si>
  <si>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</si>
  <si>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</si>
  <si>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</si>
  <si>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</si>
  <si>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</si>
  <si>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</si>
  <si>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</si>
  <si>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</si>
  <si>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</si>
  <si>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</si>
  <si>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</si>
  <si>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</si>
  <si>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</si>
  <si>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</si>
  <si>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</si>
  <si>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</si>
  <si>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</si>
  <si>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</si>
  <si>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</si>
  <si>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</si>
  <si>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</si>
  <si>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</si>
  <si>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</si>
  <si>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</si>
  <si>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</si>
  <si>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</si>
  <si>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</si>
  <si>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</si>
  <si>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</si>
  <si>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</si>
  <si>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</si>
  <si>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</si>
  <si>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</si>
  <si>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</si>
  <si>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</si>
  <si>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</si>
  <si>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</si>
  <si>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</si>
  <si>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</si>
  <si>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</si>
  <si>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</si>
  <si>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</si>
  <si>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</si>
  <si>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</si>
  <si>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</si>
  <si>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</si>
  <si>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</si>
  <si>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</si>
  <si>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</si>
  <si>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</si>
  <si>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</si>
  <si>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</si>
  <si>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</si>
  <si>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</si>
  <si>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</si>
  <si>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</si>
  <si>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</si>
  <si>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</si>
  <si>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</si>
  <si>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</si>
  <si>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</si>
  <si>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</si>
  <si>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</si>
  <si>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</si>
  <si>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</si>
  <si>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</si>
  <si>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</si>
  <si>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</si>
  <si>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</si>
  <si>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</si>
  <si>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</si>
  <si>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</si>
  <si>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</si>
  <si>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</si>
  <si>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</si>
  <si>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</si>
  <si>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</si>
  <si>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</si>
  <si>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</si>
  <si>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</si>
  <si>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</si>
  <si>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</si>
  <si>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</si>
  <si>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</si>
  <si>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</si>
  <si>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</si>
  <si>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</si>
  <si>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</si>
  <si>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</si>
  <si>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</si>
  <si>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</si>
  <si>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</si>
  <si>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</si>
  <si>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</si>
  <si>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</si>
  <si>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</si>
  <si>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</si>
  <si>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</si>
  <si>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</si>
  <si>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</si>
  <si>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</si>
  <si>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</si>
  <si>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</si>
  <si>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</si>
  <si>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</si>
  <si>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</si>
  <si>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</si>
  <si>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</si>
  <si>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</si>
  <si>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</si>
  <si>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</si>
  <si>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</si>
  <si>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</si>
  <si>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</si>
  <si>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</si>
  <si>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</si>
  <si>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</si>
  <si>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</si>
  <si>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</si>
  <si>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</si>
  <si>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</si>
  <si>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</si>
  <si>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</si>
  <si>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</si>
  <si>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</si>
  <si>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</si>
  <si>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</si>
  <si>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</si>
  <si>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</si>
  <si>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</si>
  <si>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</si>
  <si>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</si>
  <si>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</si>
  <si>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</si>
  <si>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</si>
  <si>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</si>
  <si>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</si>
  <si>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</si>
  <si>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</si>
  <si>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</si>
  <si>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</si>
  <si>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</si>
  <si>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</si>
  <si>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</si>
  <si>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</si>
  <si>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</si>
  <si>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</si>
  <si>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</si>
  <si>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</si>
  <si>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</si>
  <si>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</si>
  <si>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</si>
  <si>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</si>
  <si>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</si>
  <si>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</si>
  <si>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</si>
  <si>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</si>
  <si>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</si>
  <si>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</si>
  <si>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</si>
  <si>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</si>
  <si>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</si>
  <si>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</si>
  <si>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</si>
  <si>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</si>
  <si>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</si>
  <si>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</si>
  <si>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</si>
  <si>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</si>
  <si>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</si>
  <si>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</si>
  <si>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</si>
  <si>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</si>
  <si>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</si>
  <si>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</si>
  <si>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</si>
  <si>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</si>
  <si>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</si>
  <si>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</si>
  <si>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</si>
  <si>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</si>
  <si>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</si>
  <si>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</si>
  <si>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</si>
  <si>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</si>
  <si>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</si>
  <si>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</si>
  <si>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</si>
  <si>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</si>
  <si>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</si>
  <si>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</si>
  <si>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</si>
  <si>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</si>
  <si>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</si>
  <si>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</si>
  <si>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</si>
  <si>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</si>
  <si>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</si>
  <si>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</si>
  <si>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</si>
  <si>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</si>
  <si>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</si>
  <si>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</si>
  <si>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</si>
  <si>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</si>
  <si>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</si>
  <si>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</si>
  <si>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</si>
  <si>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</si>
  <si>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</si>
  <si>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</si>
  <si>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</si>
  <si>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</si>
  <si>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</si>
  <si>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</si>
  <si>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</si>
  <si>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</si>
  <si>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</si>
  <si>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</si>
  <si>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</si>
  <si>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</si>
  <si>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</si>
  <si>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</si>
  <si>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</si>
  <si>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</si>
  <si>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</si>
  <si>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</si>
  <si>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</si>
  <si>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</si>
  <si>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</si>
  <si>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</si>
  <si>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</si>
  <si>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</si>
  <si>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</si>
  <si>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</si>
  <si>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</si>
  <si>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</si>
  <si>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</si>
  <si>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</si>
  <si>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</si>
  <si>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</si>
  <si>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</si>
  <si>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</si>
  <si>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</si>
  <si>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</si>
  <si>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</si>
  <si>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</si>
  <si>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</si>
  <si>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</si>
  <si>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</si>
  <si>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</si>
  <si>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</si>
  <si>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</si>
  <si>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</si>
  <si>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</si>
  <si>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</si>
  <si>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</si>
  <si>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</si>
  <si>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</si>
  <si>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</si>
  <si>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</si>
  <si>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</si>
  <si>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</si>
  <si>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</si>
  <si>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</si>
  <si>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</si>
  <si>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</si>
  <si>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</si>
  <si>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</si>
  <si>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</si>
  <si>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</si>
  <si>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</si>
  <si>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</si>
  <si>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</si>
  <si>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</si>
  <si>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</si>
  <si>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</si>
  <si>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</si>
  <si>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</si>
  <si>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</si>
  <si>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</si>
  <si>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</si>
  <si>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</si>
  <si>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</si>
  <si>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</si>
  <si>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</si>
  <si>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</si>
  <si>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</si>
  <si>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</si>
  <si>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</si>
  <si>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</si>
  <si>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</si>
  <si>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</si>
  <si>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</si>
  <si>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</si>
  <si>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</si>
  <si>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</si>
  <si>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</si>
  <si>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</si>
  <si>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</si>
  <si>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</si>
  <si>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</si>
  <si>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</si>
  <si>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</si>
  <si>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</si>
  <si>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</si>
  <si>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</si>
  <si>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</si>
  <si>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</si>
  <si>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</si>
  <si>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</si>
  <si>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</si>
  <si>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</si>
  <si>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</si>
  <si>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</si>
  <si>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</si>
  <si>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</si>
  <si>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</si>
  <si>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</si>
  <si>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</si>
  <si>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</si>
  <si>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</si>
  <si>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</si>
  <si>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</si>
  <si>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</si>
  <si>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</si>
  <si>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</si>
  <si>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</si>
  <si>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</si>
  <si>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</si>
  <si>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</si>
  <si>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</si>
  <si>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</si>
  <si>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</si>
  <si>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</si>
  <si>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</si>
  <si>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</si>
  <si>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</si>
  <si>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</si>
  <si>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</si>
  <si>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</si>
  <si>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</si>
  <si>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</si>
  <si>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</si>
  <si>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</si>
  <si>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</si>
  <si>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</si>
  <si>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</si>
  <si>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</si>
  <si>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</si>
  <si>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</si>
  <si>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</si>
  <si>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</si>
  <si>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</si>
  <si>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</si>
  <si>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</si>
  <si>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</si>
  <si>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</si>
  <si>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</si>
  <si>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</si>
  <si>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</si>
  <si>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</si>
  <si>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</si>
  <si>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</si>
  <si>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</si>
  <si>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</si>
  <si>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</si>
  <si>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</si>
  <si>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</si>
  <si>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</si>
  <si>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</si>
  <si>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</si>
  <si>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</si>
  <si>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</si>
  <si>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</si>
  <si>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</si>
  <si>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</si>
  <si>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</si>
  <si>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</si>
  <si>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</si>
  <si>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</si>
  <si>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</si>
  <si>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</si>
  <si>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</si>
  <si>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</si>
  <si>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</si>
  <si>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</si>
  <si>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</si>
  <si>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</si>
  <si>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</si>
  <si>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</si>
  <si>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</si>
  <si>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</si>
  <si>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</si>
  <si>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</si>
  <si>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</si>
  <si>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</si>
  <si>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</si>
  <si>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</si>
  <si>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</si>
  <si>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</si>
  <si>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</si>
  <si>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</si>
  <si>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</si>
  <si>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</si>
  <si>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</si>
  <si>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</si>
  <si>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</si>
  <si>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</si>
  <si>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</si>
  <si>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</si>
  <si>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</si>
  <si>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</si>
  <si>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</si>
  <si>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</si>
  <si>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</si>
  <si>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</si>
  <si>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</si>
  <si>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</si>
  <si>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</si>
  <si>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</si>
  <si>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</si>
  <si>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</si>
  <si>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</si>
  <si>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</si>
  <si>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</si>
  <si>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</si>
  <si>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</si>
  <si>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</si>
  <si>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</si>
  <si>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</si>
  <si>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</si>
  <si>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</si>
  <si>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</si>
  <si>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</si>
  <si>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</si>
  <si>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</si>
  <si>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</si>
  <si>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</si>
  <si>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</si>
  <si>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</si>
  <si>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</si>
  <si>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</si>
  <si>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</si>
  <si>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</si>
  <si>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</si>
  <si>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</si>
  <si>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</si>
  <si>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</si>
  <si>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</si>
  <si>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</si>
  <si>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</si>
  <si>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</si>
  <si>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</si>
  <si>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</si>
  <si>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</si>
  <si>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</si>
  <si>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</si>
  <si>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</si>
  <si>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</si>
  <si>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</si>
  <si>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</si>
  <si>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</si>
  <si>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</si>
  <si>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</si>
  <si>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</si>
  <si>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</si>
  <si>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</si>
  <si>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</si>
  <si>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</si>
  <si>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</si>
  <si>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</si>
  <si>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</si>
  <si>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</si>
  <si>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</si>
  <si>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</si>
  <si>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</si>
  <si>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</si>
  <si>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</si>
  <si>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</si>
  <si>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</si>
  <si>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</si>
  <si>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</si>
  <si>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</si>
  <si>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</si>
  <si>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</si>
  <si>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</si>
  <si>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</si>
  <si>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</si>
  <si>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</si>
  <si>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</si>
  <si>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</si>
  <si>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</si>
  <si>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</si>
  <si>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</si>
  <si>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</si>
  <si>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</si>
  <si>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</si>
  <si>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</si>
  <si>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</si>
  <si>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</si>
  <si>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</si>
  <si>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</si>
  <si>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</si>
  <si>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</si>
  <si>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</si>
  <si>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</si>
  <si>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</si>
  <si>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</si>
  <si>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</si>
  <si>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</si>
  <si>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</si>
  <si>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</si>
  <si>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</si>
  <si>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</si>
  <si>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</si>
  <si>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</si>
  <si>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</si>
  <si>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</si>
  <si>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</si>
  <si>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</si>
  <si>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</si>
  <si>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</si>
  <si>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</si>
  <si>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</si>
  <si>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</si>
  <si>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</si>
  <si>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</si>
  <si>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</si>
  <si>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</si>
  <si>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</si>
  <si>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</si>
  <si>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</si>
  <si>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</si>
  <si>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</si>
  <si>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</si>
  <si>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</si>
  <si>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</si>
  <si>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</si>
  <si>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</si>
  <si>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</si>
  <si>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</si>
  <si>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</si>
  <si>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</si>
  <si>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</si>
  <si>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</si>
  <si>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</si>
  <si>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</si>
  <si>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</si>
  <si>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</si>
  <si>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</si>
  <si>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</si>
  <si>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</si>
  <si>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</si>
  <si>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</si>
  <si>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</si>
  <si>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</si>
  <si>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</si>
  <si>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</si>
  <si>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</si>
  <si>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</si>
  <si>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</si>
  <si>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</si>
  <si>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</si>
  <si>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</si>
  <si>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</si>
  <si>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</si>
  <si>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</si>
  <si>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</si>
  <si>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</si>
  <si>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</si>
  <si>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</si>
  <si>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</si>
  <si>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</si>
  <si>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</si>
  <si>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</si>
  <si>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</si>
  <si>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</si>
  <si>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</si>
  <si>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</si>
  <si>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</si>
  <si>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</si>
  <si>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</si>
  <si>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</si>
  <si>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</si>
  <si>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</si>
  <si>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</si>
  <si>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</si>
  <si>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</si>
  <si>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</si>
  <si>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</si>
  <si>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</si>
  <si>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</si>
  <si>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</si>
  <si>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</si>
  <si>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</si>
  <si>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</si>
  <si>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</si>
  <si>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</si>
  <si>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</si>
  <si>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</si>
  <si>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</si>
  <si>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</si>
  <si>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</si>
  <si>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</si>
  <si>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</si>
  <si>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</si>
  <si>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</si>
  <si>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</si>
  <si>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</si>
  <si>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</si>
  <si>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</si>
  <si>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</si>
  <si>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</si>
  <si>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</si>
  <si>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</si>
  <si>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</si>
  <si>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</si>
  <si>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</si>
  <si>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</si>
  <si>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</si>
  <si>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</si>
  <si>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</si>
  <si>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</si>
  <si>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</si>
  <si>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</si>
  <si>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</si>
  <si>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</si>
  <si>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</si>
  <si>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</si>
  <si>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</si>
  <si>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</si>
  <si>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</si>
  <si>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</si>
  <si>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</si>
  <si>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</si>
  <si>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</si>
  <si>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</si>
  <si>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</si>
  <si>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</si>
  <si>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</si>
  <si>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</si>
  <si>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</si>
  <si>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</si>
  <si>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</si>
  <si>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</si>
  <si>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</si>
  <si>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</si>
  <si>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</si>
  <si>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</si>
  <si>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</si>
  <si>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</si>
  <si>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</si>
  <si>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</si>
  <si>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</si>
  <si>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</si>
  <si>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</si>
  <si>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</si>
  <si>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</si>
  <si>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</si>
  <si>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</si>
  <si>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</si>
  <si>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</si>
  <si>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</si>
  <si>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</si>
  <si>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</si>
  <si>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</si>
  <si>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</si>
  <si>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</si>
  <si>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</si>
  <si>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</si>
  <si>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</si>
  <si>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</si>
  <si>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</si>
  <si>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</si>
  <si>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</si>
  <si>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</si>
  <si>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</si>
  <si>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</si>
  <si>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</si>
  <si>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</si>
  <si>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</si>
  <si>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</si>
  <si>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</si>
  <si>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</si>
  <si>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</si>
  <si>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</si>
  <si>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</si>
  <si>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</si>
  <si>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</si>
  <si>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</si>
  <si>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</si>
  <si>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</si>
  <si>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</si>
  <si>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</si>
  <si>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</si>
  <si>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</si>
  <si>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</si>
  <si>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</si>
  <si>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</si>
  <si>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</si>
  <si>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</si>
  <si>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</si>
  <si>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</si>
  <si>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</si>
  <si>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</si>
  <si>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</si>
  <si>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</si>
  <si>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</si>
  <si>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</si>
  <si>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</si>
  <si>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</si>
  <si>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</si>
  <si>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</si>
  <si>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</si>
  <si>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</si>
  <si>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</si>
  <si>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</si>
  <si>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</si>
  <si>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</si>
  <si>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</si>
  <si>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</si>
  <si>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</si>
  <si>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</si>
  <si>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</si>
  <si>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</si>
  <si>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</si>
  <si>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</si>
  <si>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</si>
  <si>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</si>
  <si>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</si>
  <si>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</si>
  <si>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</si>
  <si>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</si>
  <si>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</si>
  <si>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</si>
  <si>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</si>
  <si>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</si>
  <si>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</si>
  <si>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</si>
  <si>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</si>
  <si>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</si>
  <si>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</si>
  <si>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</si>
  <si>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</si>
  <si>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</si>
  <si>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</si>
  <si>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</si>
  <si>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</si>
  <si>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</si>
  <si>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</si>
  <si>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</si>
  <si>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</si>
  <si>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</si>
  <si>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</si>
  <si>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</si>
  <si>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</si>
  <si>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</si>
  <si>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</si>
  <si>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</si>
  <si>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</si>
  <si>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</si>
  <si>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</si>
  <si>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</si>
  <si>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</si>
  <si>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</si>
  <si>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</si>
  <si>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</si>
  <si>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</si>
  <si>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</si>
  <si>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</si>
  <si>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</si>
  <si>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</si>
  <si>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</si>
  <si>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</si>
  <si>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</si>
  <si>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</si>
  <si>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</si>
  <si>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</si>
  <si>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</si>
  <si>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</si>
  <si>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</si>
  <si>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</si>
  <si>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</si>
  <si>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</si>
  <si>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</si>
  <si>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</si>
  <si>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</si>
  <si>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</si>
  <si>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</si>
  <si>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</si>
  <si>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</si>
  <si>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</si>
  <si>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</si>
  <si>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</si>
  <si>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</si>
  <si>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</si>
  <si>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</si>
  <si>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</si>
  <si>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</si>
  <si>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</si>
  <si>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</si>
  <si>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</si>
  <si>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</si>
  <si>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</si>
  <si>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</si>
  <si>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</si>
  <si>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</si>
  <si>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</si>
  <si>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</si>
  <si>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</si>
  <si>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</si>
  <si>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</si>
  <si>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</si>
  <si>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</si>
  <si>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</si>
  <si>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</si>
  <si>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</si>
  <si>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</si>
  <si>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</si>
  <si>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</si>
  <si>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</si>
  <si>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</si>
  <si>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</si>
  <si>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</si>
  <si>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</si>
  <si>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</si>
  <si>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</si>
  <si>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</si>
  <si>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</si>
  <si>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</si>
  <si>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</si>
  <si>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</si>
  <si>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</si>
  <si>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</si>
  <si>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</si>
  <si>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</si>
  <si>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</si>
  <si>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</si>
  <si>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</si>
  <si>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</si>
  <si>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</si>
  <si>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</si>
  <si>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</si>
  <si>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</si>
  <si>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</si>
  <si>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</si>
  <si>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</si>
  <si>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</si>
  <si>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</si>
  <si>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</si>
  <si>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</si>
  <si>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</si>
  <si>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</si>
  <si>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</si>
  <si>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</si>
  <si>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</si>
  <si>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</si>
  <si>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</si>
  <si>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</si>
  <si>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</si>
  <si>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</si>
  <si>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</si>
  <si>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</si>
  <si>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</si>
  <si>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</si>
  <si>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</si>
  <si>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</si>
  <si>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</si>
  <si>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</si>
  <si>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</si>
  <si>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</si>
  <si>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</si>
  <si>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</si>
  <si>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</si>
  <si>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</si>
  <si>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</si>
  <si>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</si>
  <si>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</si>
  <si>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</si>
  <si>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</si>
  <si>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</si>
  <si>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</si>
  <si>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</si>
  <si>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</si>
  <si>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</si>
  <si>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</si>
  <si>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</si>
  <si>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</si>
  <si>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</si>
  <si>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</si>
  <si>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</si>
  <si>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</si>
  <si>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</si>
  <si>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</si>
  <si>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</si>
  <si>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</si>
  <si>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</si>
  <si>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</si>
  <si>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</si>
  <si>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</si>
  <si>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</si>
  <si>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</si>
  <si>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</si>
  <si>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</si>
  <si>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</si>
  <si>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</si>
  <si>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</si>
  <si>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</si>
  <si>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</si>
  <si>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</si>
  <si>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</si>
  <si>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</si>
  <si>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</si>
  <si>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</si>
  <si>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</si>
  <si>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</si>
  <si>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</si>
  <si>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</si>
  <si>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</si>
  <si>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</si>
  <si>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</si>
  <si>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</si>
  <si>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</si>
  <si>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</si>
  <si>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</si>
  <si>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</si>
  <si>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</si>
  <si>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</si>
  <si>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</si>
  <si>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</si>
  <si>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</si>
  <si>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</si>
  <si>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</si>
  <si>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</si>
  <si>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</si>
  <si>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</si>
  <si>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</si>
  <si>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</si>
  <si>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</si>
  <si>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</si>
  <si>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</si>
  <si>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</si>
  <si>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</si>
  <si>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</si>
  <si>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</si>
  <si>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</si>
  <si>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</si>
  <si>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</si>
  <si>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</si>
  <si>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</si>
  <si>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</si>
  <si>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</si>
  <si>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</si>
  <si>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</si>
  <si>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</si>
  <si>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</si>
  <si>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</si>
  <si>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</si>
  <si>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</si>
  <si>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</si>
  <si>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</si>
  <si>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</si>
  <si>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</si>
  <si>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</si>
  <si>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</si>
  <si>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</si>
  <si>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</si>
  <si>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</si>
  <si>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</si>
  <si>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</si>
  <si>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</si>
  <si>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</si>
  <si>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</si>
  <si>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</si>
  <si>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</si>
  <si>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</si>
  <si>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</si>
  <si>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</si>
  <si>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</si>
  <si>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</si>
  <si>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</si>
  <si>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</si>
  <si>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</si>
  <si>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</si>
  <si>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</si>
  <si>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</si>
  <si>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</si>
  <si>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</si>
  <si>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</si>
  <si>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</si>
  <si>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</si>
  <si>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</si>
  <si>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</si>
  <si>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</si>
  <si>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</si>
  <si>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</si>
  <si>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</si>
  <si>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</si>
  <si>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</si>
  <si>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</si>
  <si>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</si>
  <si>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</si>
  <si>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</si>
  <si>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</si>
  <si>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</si>
  <si>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</si>
  <si>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</si>
  <si>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</si>
  <si>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</si>
  <si>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</si>
  <si>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</si>
  <si>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</si>
  <si>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</si>
  <si>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</si>
  <si>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</si>
  <si>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</si>
  <si>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</si>
  <si>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</si>
  <si>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</si>
  <si>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</si>
  <si>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</si>
  <si>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</si>
  <si>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</si>
  <si>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</si>
  <si>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</si>
  <si>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</si>
  <si>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</si>
  <si>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</si>
  <si>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</si>
  <si>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</si>
  <si>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</si>
  <si>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</si>
  <si>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</si>
  <si>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</si>
  <si>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</si>
  <si>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</si>
  <si>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</si>
  <si>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</si>
  <si>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</si>
  <si>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</si>
  <si>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</si>
  <si>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</si>
  <si>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</si>
  <si>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</si>
  <si>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</si>
  <si>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</si>
  <si>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</si>
  <si>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</si>
  <si>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</si>
  <si>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</si>
  <si>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</si>
  <si>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</si>
  <si>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</si>
  <si>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</si>
  <si>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</si>
  <si>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</si>
  <si>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</si>
  <si>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</si>
  <si>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</si>
  <si>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</si>
  <si>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</si>
  <si>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</si>
  <si>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</si>
  <si>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</si>
  <si>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</si>
  <si>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</si>
  <si>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</si>
  <si>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</si>
  <si>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</si>
  <si>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</si>
  <si>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</si>
  <si>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</si>
  <si>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</si>
  <si>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</si>
  <si>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</si>
  <si>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</si>
  <si>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</si>
  <si>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</si>
  <si>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</si>
  <si>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</si>
  <si>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</si>
  <si>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</si>
  <si>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</si>
  <si>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</si>
  <si>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</si>
  <si>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</si>
  <si>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</si>
  <si>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</si>
  <si>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</si>
  <si>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</si>
  <si>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</si>
  <si>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</si>
  <si>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</si>
  <si>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</si>
  <si>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</si>
  <si>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</si>
  <si>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</si>
  <si>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</si>
  <si>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</si>
  <si>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</si>
  <si>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</si>
  <si>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</si>
  <si>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</si>
  <si>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</si>
  <si>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</si>
  <si>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</si>
  <si>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</si>
  <si>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</si>
  <si>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</si>
  <si>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</si>
  <si>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</si>
  <si>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</si>
  <si>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</si>
  <si>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</si>
  <si>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</si>
  <si>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</si>
  <si>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</si>
  <si>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</si>
  <si>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</si>
  <si>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</si>
  <si>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</si>
  <si>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</si>
  <si>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</si>
  <si>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</si>
  <si>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</si>
  <si>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</si>
  <si>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</si>
  <si>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</si>
  <si>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</si>
  <si>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</si>
  <si>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</si>
  <si>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</si>
  <si>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</si>
  <si>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</si>
  <si>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</si>
  <si>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</si>
  <si>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</si>
  <si>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</si>
  <si>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</si>
  <si>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</si>
  <si>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</si>
  <si>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</si>
  <si>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</si>
  <si>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</si>
  <si>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</si>
  <si>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</si>
  <si>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</si>
  <si>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</si>
  <si>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</si>
  <si>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</si>
  <si>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</si>
  <si>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</si>
  <si>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</si>
  <si>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</si>
  <si>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</si>
  <si>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</si>
  <si>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</si>
  <si>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</si>
  <si>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</si>
  <si>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</si>
  <si>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</si>
  <si>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</si>
  <si>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</si>
  <si>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</si>
  <si>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</si>
  <si>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</si>
  <si>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</si>
  <si>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</si>
  <si>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</si>
  <si>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</si>
  <si>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</si>
  <si>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</si>
  <si>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</si>
  <si>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</si>
  <si>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</si>
  <si>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</si>
  <si>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</si>
  <si>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</si>
  <si>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</si>
  <si>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</si>
  <si>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</si>
  <si>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</si>
  <si>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</si>
  <si>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</si>
  <si>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</si>
  <si>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</si>
  <si>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</si>
  <si>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</si>
  <si>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</si>
  <si>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</si>
  <si>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</si>
  <si>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</si>
  <si>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</si>
  <si>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</si>
  <si>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</si>
  <si>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</si>
  <si>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</si>
  <si>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</si>
  <si>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</si>
  <si>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</si>
  <si>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</si>
  <si>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</si>
  <si>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</si>
  <si>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</si>
  <si>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</si>
  <si>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</si>
  <si>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</si>
  <si>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</si>
  <si>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</si>
  <si>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</si>
  <si>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</si>
  <si>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</si>
  <si>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</si>
  <si>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</si>
  <si>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</si>
  <si>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</si>
  <si>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</si>
  <si>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</si>
  <si>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</si>
  <si>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</si>
  <si>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</si>
  <si>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</si>
  <si>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</si>
  <si>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</si>
  <si>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</si>
  <si>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</si>
  <si>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</si>
  <si>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</si>
  <si>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</si>
  <si>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</si>
  <si>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</si>
  <si>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</si>
  <si>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</si>
  <si>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</si>
  <si>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</si>
  <si>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</si>
  <si>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</si>
  <si>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</si>
  <si>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</si>
  <si>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</si>
  <si>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</si>
  <si>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</si>
  <si>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</si>
  <si>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</si>
  <si>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</si>
  <si>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</si>
  <si>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</si>
  <si>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</si>
  <si>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</si>
  <si>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</si>
  <si>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</si>
  <si>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</si>
  <si>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</si>
  <si>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</si>
  <si>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</si>
  <si>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</si>
  <si>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</si>
  <si>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</si>
  <si>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</si>
  <si>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</si>
  <si>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</si>
  <si>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</si>
  <si>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</si>
  <si>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</si>
  <si>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</si>
  <si>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</si>
  <si>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</si>
  <si>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</si>
  <si>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</si>
  <si>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</si>
  <si>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</si>
  <si>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</si>
  <si>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</si>
  <si>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</si>
  <si>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</si>
  <si>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</si>
  <si>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</si>
  <si>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</si>
  <si>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</si>
  <si>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</si>
  <si>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</si>
  <si>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</si>
  <si>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</si>
  <si>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</si>
  <si>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</si>
  <si>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</si>
  <si>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</si>
  <si>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</si>
  <si>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</si>
  <si>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</si>
  <si>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</si>
  <si>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</si>
  <si>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</si>
  <si>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</si>
  <si>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</si>
  <si>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</si>
  <si>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</si>
  <si>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</si>
  <si>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</si>
  <si>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</si>
  <si>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</si>
  <si>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</si>
  <si>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</si>
  <si>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</si>
  <si>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</si>
  <si>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</si>
  <si>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</si>
  <si>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</si>
  <si>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</si>
  <si>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</si>
  <si>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</si>
  <si>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</si>
  <si>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</si>
  <si>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</si>
  <si>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</si>
  <si>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</si>
  <si>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</si>
  <si>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</si>
  <si>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</si>
  <si>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</si>
  <si>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</si>
  <si>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</si>
  <si>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</si>
  <si>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</si>
  <si>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</si>
  <si>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</si>
  <si>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</si>
  <si>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</si>
  <si>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</si>
  <si>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</si>
  <si>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</si>
  <si>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</si>
  <si>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</si>
  <si>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</si>
  <si>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</si>
  <si>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</si>
  <si>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</si>
  <si>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</si>
  <si>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</si>
  <si>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</si>
  <si>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</si>
  <si>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</si>
  <si>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</si>
  <si>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</si>
  <si>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</si>
  <si>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</si>
  <si>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</si>
  <si>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</si>
  <si>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</si>
  <si>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</si>
  <si>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</si>
  <si>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</si>
  <si>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</si>
  <si>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</si>
  <si>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</si>
  <si>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</si>
  <si>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</si>
  <si>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</si>
  <si>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</si>
  <si>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</si>
  <si>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</si>
  <si>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</si>
  <si>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</si>
  <si>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</si>
  <si>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</si>
  <si>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</si>
  <si>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</si>
  <si>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</si>
  <si>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</si>
  <si>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</si>
  <si>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</si>
  <si>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</si>
  <si>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</si>
  <si>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</si>
  <si>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</si>
  <si>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</si>
  <si>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</si>
  <si>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</si>
  <si>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</si>
  <si>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</si>
  <si>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</si>
  <si>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</si>
  <si>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</si>
  <si>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</si>
  <si>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</si>
  <si>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</si>
  <si>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</si>
  <si>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</si>
  <si>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</si>
  <si>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</si>
  <si>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</si>
  <si>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</si>
  <si>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</si>
  <si>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</si>
  <si>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</si>
  <si>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</si>
  <si>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</si>
  <si>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</si>
  <si>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</si>
  <si>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</si>
  <si>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</si>
  <si>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</si>
  <si>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</si>
  <si>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</si>
  <si>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</si>
  <si>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</si>
  <si>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</si>
  <si>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</si>
  <si>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</si>
  <si>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</si>
  <si>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</si>
  <si>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</si>
  <si>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</si>
  <si>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</si>
  <si>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</si>
  <si>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</si>
  <si>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</si>
  <si>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</si>
  <si>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</si>
  <si>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</si>
  <si>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</si>
  <si>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</si>
  <si>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</si>
  <si>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</si>
  <si>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</si>
  <si>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</si>
  <si>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</si>
  <si>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</si>
  <si>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</si>
  <si>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</si>
  <si>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</si>
  <si>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</si>
  <si>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</si>
  <si>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</si>
  <si>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</si>
  <si>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</si>
  <si>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</si>
  <si>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</si>
  <si>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</si>
  <si>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</si>
  <si>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</si>
  <si>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</si>
  <si>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</si>
  <si>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</si>
  <si>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</si>
  <si>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</si>
  <si>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</si>
  <si>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</si>
  <si>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</si>
  <si>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</si>
  <si>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</si>
  <si>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</si>
  <si>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</si>
  <si>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</si>
  <si>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</si>
  <si>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</si>
  <si>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</si>
  <si>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</si>
  <si>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</si>
  <si>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</si>
  <si>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</si>
  <si>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</si>
  <si>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</si>
  <si>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</si>
  <si>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</si>
  <si>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</si>
  <si>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</si>
  <si>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</si>
  <si>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</si>
  <si>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</si>
  <si>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</si>
  <si>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</si>
  <si>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</si>
  <si>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</si>
  <si>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</si>
  <si>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</si>
  <si>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</si>
  <si>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</si>
  <si>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</si>
  <si>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</si>
  <si>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</si>
  <si>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</si>
  <si>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</si>
  <si>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</si>
  <si>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</si>
  <si>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</si>
  <si>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</si>
  <si>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</si>
  <si>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</si>
  <si>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</si>
  <si>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</si>
  <si>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</si>
  <si>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</si>
  <si>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</si>
  <si>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</si>
  <si>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</si>
  <si>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</si>
  <si>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</si>
  <si>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</si>
  <si>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</si>
  <si>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</si>
  <si>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</si>
  <si>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</si>
  <si>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</si>
  <si>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</si>
  <si>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</si>
  <si>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</si>
  <si>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</si>
  <si>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</si>
  <si>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</si>
  <si>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</si>
  <si>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</si>
  <si>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</si>
  <si>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</si>
  <si>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</si>
  <si>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</si>
  <si>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</si>
  <si>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</si>
  <si>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</si>
  <si>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</si>
  <si>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</si>
  <si>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</si>
  <si>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</si>
  <si>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</si>
  <si>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</si>
  <si>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</si>
  <si>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</si>
  <si>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</si>
  <si>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</si>
  <si>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</si>
  <si>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</si>
  <si>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</si>
  <si>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</si>
  <si>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</si>
  <si>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</si>
  <si>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</si>
  <si>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</si>
  <si>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</si>
  <si>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</si>
  <si>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</si>
  <si>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</si>
  <si>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</si>
  <si>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</si>
  <si>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</si>
  <si>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</si>
  <si>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</si>
  <si>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</si>
  <si>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</si>
  <si>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</si>
  <si>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</si>
  <si>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</si>
  <si>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</si>
  <si>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</si>
  <si>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</si>
  <si>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</si>
  <si>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</si>
  <si>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</si>
  <si>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</si>
  <si>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</si>
  <si>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</si>
  <si>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</si>
  <si>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</si>
  <si>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</si>
  <si>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</si>
  <si>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</si>
  <si>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</si>
  <si>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</si>
  <si>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</si>
  <si>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</si>
  <si>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</si>
  <si>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</si>
  <si>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</si>
  <si>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</si>
  <si>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</si>
  <si>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</si>
  <si>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</si>
  <si>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</si>
  <si>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</si>
  <si>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</si>
  <si>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</si>
  <si>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</si>
  <si>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</si>
  <si>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</si>
  <si>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</si>
  <si>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</si>
  <si>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</si>
  <si>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</si>
  <si>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</si>
  <si>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</si>
  <si>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</si>
  <si>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</si>
  <si>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</si>
  <si>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</si>
  <si>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</si>
  <si>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</si>
  <si>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</si>
  <si>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</si>
  <si>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</si>
  <si>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</si>
  <si>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</si>
  <si>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</si>
  <si>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</si>
  <si>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</si>
  <si>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</si>
  <si>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</si>
  <si>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</si>
  <si>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</si>
  <si>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</si>
  <si>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</si>
  <si>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</si>
  <si>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</si>
  <si>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</si>
  <si>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</si>
  <si>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</si>
  <si>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</si>
  <si>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</si>
  <si>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</si>
  <si>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</si>
  <si>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</si>
  <si>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</si>
  <si>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</si>
  <si>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</si>
  <si>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</si>
  <si>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</si>
  <si>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</si>
  <si>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</si>
  <si>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</si>
  <si>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</si>
  <si>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</si>
  <si>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</si>
  <si>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</si>
  <si>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</si>
  <si>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</si>
  <si>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</si>
  <si>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</si>
  <si>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</si>
  <si>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</si>
  <si>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</si>
  <si>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</si>
  <si>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</si>
  <si>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</si>
  <si>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</si>
  <si>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</si>
  <si>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</si>
  <si>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</si>
  <si>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</si>
  <si>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</si>
  <si>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</si>
  <si>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</si>
  <si>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</si>
  <si>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</si>
  <si>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</si>
  <si>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</si>
  <si>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</si>
  <si>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</si>
  <si>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</si>
  <si>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</si>
  <si>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</si>
  <si>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</si>
  <si>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</si>
  <si>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</si>
  <si>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</si>
  <si>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</si>
  <si>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</si>
  <si>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</si>
  <si>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</si>
  <si>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</si>
  <si>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</si>
  <si>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</si>
  <si>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</si>
  <si>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</si>
  <si>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</si>
  <si>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</si>
  <si>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</si>
  <si>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</si>
  <si>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</si>
  <si>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</si>
  <si>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</si>
  <si>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</si>
  <si>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</si>
  <si>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</si>
  <si>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</si>
  <si>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</si>
  <si>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</si>
  <si>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</si>
  <si>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</si>
  <si>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</si>
  <si>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</si>
  <si>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</si>
  <si>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</si>
  <si>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</si>
  <si>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</si>
  <si>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</si>
  <si>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</si>
  <si>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</si>
  <si>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</si>
  <si>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</si>
  <si>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</si>
  <si>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</si>
  <si>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</si>
  <si>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</si>
  <si>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</si>
  <si>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</si>
  <si>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</si>
  <si>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</si>
  <si>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</si>
  <si>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</si>
  <si>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</si>
  <si>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</si>
  <si>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</si>
  <si>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</si>
  <si>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</si>
  <si>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</si>
  <si>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</si>
  <si>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</si>
  <si>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</si>
  <si>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</si>
  <si>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</si>
  <si>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</si>
  <si>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</si>
  <si>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</si>
  <si>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</si>
  <si>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</si>
  <si>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</si>
  <si>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</si>
  <si>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</si>
  <si>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</si>
  <si>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</si>
  <si>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</si>
  <si>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</si>
  <si>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</si>
  <si>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</si>
  <si>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</si>
  <si>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</si>
  <si>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</si>
  <si>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</si>
  <si>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</si>
  <si>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</si>
  <si>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</si>
  <si>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</si>
  <si>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</si>
  <si>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</si>
  <si>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</si>
  <si>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</si>
  <si>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</si>
  <si>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</si>
  <si>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</si>
  <si>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</si>
  <si>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</si>
  <si>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</si>
  <si>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</si>
  <si>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</si>
  <si>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</si>
  <si>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</si>
  <si>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</si>
  <si>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</si>
  <si>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</si>
  <si>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</si>
  <si>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</si>
  <si>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</si>
  <si>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</si>
  <si>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</si>
  <si>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</si>
  <si>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</si>
  <si>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</si>
  <si>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</si>
  <si>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</si>
  <si>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</si>
  <si>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</si>
  <si>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</si>
  <si>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</si>
  <si>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</si>
  <si>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</si>
  <si>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</si>
  <si>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</si>
  <si>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</si>
  <si>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</si>
  <si>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</si>
  <si>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</si>
  <si>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</si>
  <si>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</si>
  <si>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</si>
  <si>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</si>
  <si>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</si>
  <si>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</si>
  <si>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</si>
  <si>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</si>
  <si>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</si>
  <si>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</si>
  <si>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</si>
  <si>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</si>
  <si>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</si>
  <si>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</si>
  <si>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</si>
  <si>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</si>
  <si>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</si>
  <si>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</si>
  <si>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</si>
  <si>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</si>
  <si>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</si>
  <si>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</si>
  <si>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</si>
  <si>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</si>
  <si>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</si>
  <si>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</si>
  <si>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</si>
  <si>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</si>
  <si>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</si>
  <si>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</si>
  <si>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</si>
  <si>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</si>
  <si>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</si>
  <si>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</si>
  <si>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</si>
  <si>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</si>
  <si>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</si>
  <si>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</si>
  <si>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</si>
  <si>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</si>
  <si>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</si>
  <si>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</si>
  <si>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</si>
  <si>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</si>
  <si>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</si>
  <si>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</si>
  <si>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</si>
  <si>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</si>
  <si>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</si>
  <si>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</si>
  <si>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</si>
  <si>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</si>
  <si>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</si>
  <si>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</si>
  <si>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</si>
  <si>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</si>
  <si>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</si>
  <si>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</si>
  <si>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</si>
  <si>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</si>
  <si>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</si>
  <si>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</si>
  <si>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</si>
  <si>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</si>
  <si>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</si>
  <si>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</si>
  <si>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</si>
  <si>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</si>
  <si>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</si>
  <si>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</si>
  <si>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</si>
  <si>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</si>
  <si>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</si>
  <si>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</si>
  <si>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</si>
  <si>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</si>
  <si>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</si>
  <si>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</si>
  <si>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</si>
  <si>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</si>
  <si>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</si>
  <si>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</si>
  <si>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</si>
  <si>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</si>
  <si>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</si>
  <si>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</si>
  <si>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</si>
  <si>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</si>
  <si>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</si>
  <si>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</si>
  <si>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</si>
  <si>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</si>
  <si>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</si>
  <si>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</si>
  <si>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</si>
  <si>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</si>
  <si>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</si>
  <si>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</si>
  <si>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</si>
  <si>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</si>
  <si>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</si>
  <si>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</si>
  <si>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</si>
  <si>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</si>
  <si>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</si>
  <si>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</si>
  <si>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</si>
  <si>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</si>
  <si>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</si>
  <si>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</si>
  <si>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</si>
  <si>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</si>
  <si>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</si>
  <si>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</si>
  <si>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</si>
  <si>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</si>
  <si>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</si>
  <si>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</si>
  <si>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</si>
  <si>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</si>
  <si>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</si>
  <si>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</si>
  <si>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</si>
  <si>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</si>
  <si>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</si>
  <si>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</si>
  <si>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</si>
  <si>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</si>
  <si>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</si>
  <si>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</si>
  <si>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</si>
  <si>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</si>
  <si>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</si>
  <si>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</si>
  <si>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</si>
  <si>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</si>
  <si>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</si>
  <si>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</si>
  <si>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</si>
  <si>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</si>
  <si>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</si>
  <si>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</si>
  <si>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</si>
  <si>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</si>
  <si>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</si>
  <si>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</si>
  <si>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</si>
  <si>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</si>
  <si>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</si>
  <si>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</si>
  <si>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</si>
  <si>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</si>
  <si>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</si>
  <si>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</si>
  <si>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</si>
  <si>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</si>
  <si>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</si>
  <si>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</si>
  <si>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</si>
  <si>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</si>
  <si>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</si>
  <si>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</si>
  <si>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</si>
  <si>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</si>
  <si>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</si>
  <si>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</si>
  <si>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</si>
  <si>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</si>
  <si>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</si>
  <si>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</si>
  <si>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</si>
  <si>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</si>
  <si>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</si>
  <si>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</si>
  <si>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</si>
  <si>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</si>
  <si>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</si>
  <si>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</si>
  <si>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</si>
  <si>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</si>
  <si>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</si>
  <si>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</si>
  <si>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</si>
  <si>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</si>
  <si>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</si>
  <si>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</si>
  <si>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</si>
  <si>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</si>
  <si>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</si>
  <si>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</si>
  <si>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</si>
  <si>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</si>
  <si>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</si>
  <si>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</si>
  <si>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</si>
  <si>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</si>
  <si>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</si>
  <si>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</si>
  <si>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</si>
  <si>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</si>
  <si>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</si>
  <si>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</si>
  <si>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</si>
  <si>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</si>
  <si>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</si>
  <si>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</si>
  <si>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</si>
  <si>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</si>
  <si>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</si>
  <si>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</si>
  <si>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</si>
  <si>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</si>
  <si>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</si>
  <si>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</si>
  <si>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</si>
  <si>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</si>
  <si>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</si>
  <si>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</si>
  <si>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</si>
  <si>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</si>
  <si>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</si>
  <si>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</si>
  <si>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</si>
  <si>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</si>
  <si>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</si>
  <si>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</si>
  <si>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</si>
  <si>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</si>
  <si>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</si>
  <si>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</si>
  <si>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</si>
  <si>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</si>
  <si>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</si>
  <si>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</si>
  <si>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</si>
  <si>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</si>
  <si>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</si>
  <si>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</si>
  <si>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</si>
  <si>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</si>
  <si>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</si>
  <si>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</si>
  <si>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</si>
  <si>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</si>
  <si>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</si>
  <si>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</si>
  <si>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</si>
  <si>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</si>
  <si>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</si>
  <si>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</si>
  <si>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</si>
  <si>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</si>
  <si>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</si>
  <si>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</si>
  <si>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</si>
  <si>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</si>
  <si>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</si>
  <si>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</si>
  <si>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</si>
  <si>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</si>
  <si>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</si>
  <si>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</si>
  <si>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</si>
  <si>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</si>
  <si>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</si>
  <si>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</si>
  <si>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</si>
  <si>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</si>
  <si>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</si>
  <si>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</si>
  <si>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</si>
  <si>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</si>
  <si>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</si>
  <si>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</si>
  <si>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</si>
  <si>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</si>
  <si>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</si>
  <si>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</si>
  <si>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</si>
  <si>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</si>
  <si>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</si>
  <si>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</si>
  <si>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</si>
  <si>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</si>
  <si>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</si>
  <si>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</si>
  <si>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</si>
  <si>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</si>
  <si>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</si>
  <si>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</si>
  <si>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</si>
  <si>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</si>
  <si>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</si>
  <si>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</si>
  <si>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</si>
  <si>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</si>
  <si>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</si>
  <si>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</si>
  <si>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</si>
  <si>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</si>
  <si>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</si>
  <si>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</si>
  <si>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</si>
  <si>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</si>
  <si>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</si>
  <si>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</si>
  <si>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</si>
  <si>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</si>
  <si>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</si>
  <si>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</si>
  <si>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</si>
  <si>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</si>
  <si>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</si>
  <si>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</si>
  <si>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</si>
  <si>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</si>
  <si>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</si>
  <si>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</si>
  <si>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</si>
  <si>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</si>
  <si>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</si>
  <si>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</si>
  <si>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</si>
  <si>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</si>
  <si>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</si>
  <si>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</si>
  <si>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</si>
  <si>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</si>
  <si>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</si>
  <si>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</si>
  <si>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</si>
  <si>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</si>
  <si>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</si>
  <si>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</si>
  <si>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</si>
  <si>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</si>
  <si>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</si>
  <si>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</si>
  <si>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</si>
  <si>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</si>
  <si>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</si>
  <si>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</si>
  <si>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</si>
  <si>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</si>
  <si>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</si>
  <si>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</si>
  <si>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</si>
  <si>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</si>
  <si>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</si>
  <si>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</si>
  <si>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</si>
  <si>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</si>
  <si>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</si>
  <si>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</si>
  <si>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</si>
  <si>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</si>
  <si>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</si>
  <si>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</si>
  <si>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</si>
  <si>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</si>
  <si>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</si>
  <si>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</si>
  <si>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</si>
  <si>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</si>
  <si>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</si>
  <si>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</si>
  <si>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</si>
  <si>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</si>
  <si>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</si>
  <si>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</si>
  <si>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</si>
  <si>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</si>
  <si>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</si>
  <si>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</si>
  <si>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</si>
  <si>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</si>
  <si>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</si>
  <si>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</si>
  <si>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</si>
  <si>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</si>
  <si>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</si>
  <si>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</si>
  <si>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</si>
  <si>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</si>
  <si>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</si>
  <si>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</si>
  <si>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</si>
  <si>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</si>
  <si>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</si>
  <si>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</si>
  <si>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</si>
  <si>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</si>
  <si>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</si>
  <si>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</si>
  <si>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</si>
  <si>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</si>
  <si>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</si>
  <si>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</si>
  <si>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</si>
  <si>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</si>
  <si>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</si>
  <si>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</si>
  <si>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</si>
  <si>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</si>
  <si>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</si>
  <si>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</si>
  <si>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</si>
  <si>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</si>
  <si>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</si>
  <si>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</si>
  <si>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</si>
  <si>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</si>
  <si>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</si>
  <si>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</si>
  <si>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</si>
  <si>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</si>
  <si>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</si>
  <si>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</si>
  <si>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</si>
  <si>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</si>
  <si>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</si>
  <si>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</si>
  <si>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</si>
  <si>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</si>
  <si>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</si>
  <si>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</si>
  <si>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</si>
  <si>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</si>
  <si>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</si>
  <si>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</si>
  <si>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</si>
  <si>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</si>
  <si>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</si>
  <si>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</si>
  <si>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</si>
  <si>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</si>
  <si>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</si>
  <si>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</si>
  <si>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</si>
  <si>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</si>
  <si>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</si>
  <si>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</si>
  <si>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</si>
  <si>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</si>
  <si>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</si>
  <si>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</si>
  <si>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</si>
  <si>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</si>
  <si>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</si>
  <si>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</si>
  <si>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</si>
  <si>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</si>
  <si>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</si>
  <si>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</si>
  <si>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</si>
  <si>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</si>
  <si>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</si>
  <si>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</si>
  <si>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</si>
  <si>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</si>
  <si>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</si>
  <si>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</si>
  <si>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</si>
  <si>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</si>
  <si>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</si>
  <si>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</si>
  <si>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</si>
  <si>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</si>
  <si>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</si>
  <si>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</si>
  <si>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</si>
  <si>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</si>
  <si>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</si>
  <si>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</si>
  <si>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</si>
  <si>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</si>
  <si>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</si>
  <si>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</si>
  <si>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</si>
  <si>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</si>
  <si>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</si>
  <si>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</si>
  <si>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</si>
  <si>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</si>
  <si>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</si>
  <si>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</si>
  <si>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</si>
  <si>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</si>
  <si>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</si>
  <si>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</si>
  <si>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</si>
  <si>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</si>
  <si>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</si>
  <si>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</si>
  <si>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</si>
  <si>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</si>
  <si>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</si>
  <si>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</si>
  <si>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</si>
  <si>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</si>
  <si>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</si>
  <si>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</si>
  <si>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</si>
  <si>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</si>
  <si>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</si>
  <si>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</si>
  <si>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</si>
  <si>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</si>
  <si>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</si>
  <si>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</si>
  <si>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</si>
  <si>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</si>
  <si>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</si>
  <si>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</si>
  <si>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</si>
  <si>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</si>
  <si>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</si>
  <si>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</si>
  <si>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</si>
  <si>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</si>
  <si>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</si>
  <si>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</si>
  <si>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</si>
  <si>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</si>
  <si>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</si>
  <si>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</si>
  <si>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</si>
  <si>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</si>
  <si>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</si>
  <si>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</si>
  <si>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</si>
  <si>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</si>
  <si>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</si>
  <si>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</si>
  <si>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</si>
  <si>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</si>
  <si>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</si>
  <si>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</si>
  <si>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</si>
  <si>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</si>
  <si>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</si>
  <si>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</si>
  <si>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</si>
  <si>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</si>
  <si>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</si>
  <si>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</si>
  <si>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</si>
  <si>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</si>
  <si>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</si>
  <si>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</si>
  <si>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</si>
  <si>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</si>
  <si>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</si>
  <si>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</si>
  <si>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</si>
  <si>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</si>
  <si>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</si>
  <si>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</si>
  <si>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</si>
  <si>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</si>
  <si>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</si>
  <si>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</si>
  <si>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</si>
  <si>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</si>
  <si>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</si>
  <si>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</si>
  <si>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</si>
  <si>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</si>
  <si>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</si>
  <si>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</si>
  <si>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</si>
  <si>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</si>
  <si>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</si>
  <si>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</si>
  <si>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</si>
  <si>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</si>
  <si>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</si>
  <si>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</si>
  <si>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</si>
  <si>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</si>
  <si>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</si>
  <si>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</si>
  <si>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</si>
  <si>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</si>
  <si>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</si>
  <si>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</si>
  <si>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</si>
  <si>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</si>
  <si>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</si>
  <si>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</si>
  <si>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</si>
  <si>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</si>
  <si>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</si>
  <si>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</si>
  <si>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</si>
  <si>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</si>
  <si>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</si>
  <si>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</si>
  <si>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</si>
  <si>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</si>
  <si>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</si>
  <si>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</si>
  <si>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</si>
  <si>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</si>
  <si>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</si>
  <si>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</si>
  <si>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</si>
  <si>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</si>
  <si>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</si>
  <si>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</si>
  <si>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</si>
  <si>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</si>
  <si>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</si>
  <si>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</si>
  <si>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</si>
  <si>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</si>
  <si>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</si>
  <si>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</si>
  <si>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</si>
  <si>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</si>
  <si>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</si>
  <si>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</si>
  <si>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</si>
  <si>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</si>
  <si>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</si>
  <si>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</si>
  <si>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</si>
  <si>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</si>
  <si>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</si>
  <si>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</si>
  <si>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</si>
  <si>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</si>
  <si>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</si>
  <si>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</si>
  <si>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</si>
  <si>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</si>
  <si>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</si>
  <si>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</si>
  <si>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</si>
  <si>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</si>
  <si>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</si>
  <si>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</si>
  <si>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</si>
  <si>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</si>
  <si>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</si>
  <si>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</si>
  <si>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</si>
  <si>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</si>
  <si>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</si>
  <si>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</si>
  <si>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</si>
  <si>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</si>
  <si>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</si>
  <si>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</si>
  <si>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</si>
  <si>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</si>
  <si>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</si>
  <si>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</si>
  <si>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</si>
  <si>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</si>
  <si>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</si>
  <si>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</si>
  <si>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</si>
  <si>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</si>
  <si>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</si>
  <si>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</si>
  <si>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</si>
  <si>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</si>
  <si>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</si>
  <si>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</si>
  <si>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</si>
  <si>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</si>
  <si>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</si>
  <si>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</si>
  <si>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</si>
  <si>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</si>
  <si>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</si>
  <si>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</si>
  <si>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</si>
  <si>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</si>
  <si>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</si>
  <si>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</si>
  <si>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</si>
  <si>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</si>
  <si>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</si>
  <si>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</si>
  <si>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</si>
  <si>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</si>
  <si>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</si>
  <si>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</si>
  <si>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</si>
  <si>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</si>
  <si>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</si>
  <si>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</si>
  <si>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</si>
  <si>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</si>
  <si>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</si>
  <si>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</si>
  <si>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</si>
  <si>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</si>
  <si>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</si>
  <si>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</si>
  <si>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</si>
  <si>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</si>
  <si>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</si>
  <si>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</si>
  <si>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</si>
  <si>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</si>
  <si>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</si>
  <si>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</si>
  <si>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</si>
  <si>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</si>
  <si>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</si>
  <si>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</si>
  <si>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</si>
  <si>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</si>
  <si>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</si>
  <si>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</si>
  <si>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</si>
  <si>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</si>
  <si>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</si>
  <si>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</si>
  <si>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</si>
  <si>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</si>
  <si>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</si>
  <si>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</si>
  <si>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</si>
  <si>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</si>
  <si>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</si>
  <si>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</si>
  <si>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</si>
  <si>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</si>
  <si>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</si>
  <si>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</si>
  <si>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</si>
  <si>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</si>
  <si>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</si>
  <si>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</si>
  <si>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</si>
  <si>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</si>
  <si>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</si>
  <si>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</si>
  <si>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</si>
  <si>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</si>
  <si>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</si>
  <si>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</si>
  <si>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</si>
  <si>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</si>
  <si>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</si>
  <si>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</si>
  <si>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</si>
  <si>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</si>
  <si>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</si>
  <si>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</si>
  <si>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</si>
  <si>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</si>
  <si>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</si>
  <si>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</si>
  <si>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</si>
  <si>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</si>
  <si>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</si>
  <si>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</si>
  <si>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</si>
  <si>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</si>
  <si>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</si>
  <si>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</si>
  <si>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</si>
  <si>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</si>
  <si>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</si>
  <si>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</si>
  <si>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</si>
  <si>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</si>
  <si>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</si>
  <si>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</si>
  <si>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</si>
  <si>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</si>
  <si>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</si>
  <si>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</si>
  <si>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</si>
  <si>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</si>
  <si>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</si>
  <si>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</si>
  <si>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</si>
  <si>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</si>
  <si>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</si>
  <si>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</si>
  <si>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</si>
  <si>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</si>
  <si>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</si>
  <si>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</si>
  <si>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</si>
  <si>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</si>
  <si>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</si>
  <si>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</si>
  <si>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</si>
  <si>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</si>
  <si>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</si>
  <si>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</si>
  <si>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</si>
  <si>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</si>
  <si>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</si>
  <si>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</si>
  <si>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</si>
  <si>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</si>
  <si>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</si>
  <si>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</si>
  <si>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</si>
  <si>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</si>
  <si>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</si>
  <si>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</si>
  <si>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</si>
  <si>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</si>
  <si>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</si>
  <si>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</si>
  <si>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</si>
  <si>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</si>
  <si>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</si>
  <si>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</si>
  <si>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</si>
  <si>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</si>
  <si>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</si>
  <si>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</si>
  <si>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</si>
  <si>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</si>
  <si>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</si>
  <si>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</si>
  <si>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</si>
  <si>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</si>
  <si>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</si>
  <si>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</si>
  <si>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</si>
  <si>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</si>
  <si>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</si>
  <si>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</si>
  <si>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</si>
  <si>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</si>
  <si>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</si>
  <si>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</si>
  <si>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</si>
  <si>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</si>
  <si>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</si>
  <si>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</si>
  <si>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</si>
  <si>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</si>
  <si>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</si>
  <si>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</si>
  <si>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</si>
  <si>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</si>
  <si>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</si>
  <si>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</si>
  <si>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</si>
  <si>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</si>
  <si>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</si>
  <si>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</si>
  <si>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</si>
  <si>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</si>
  <si>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</si>
  <si>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</si>
  <si>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</si>
  <si>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</si>
  <si>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</si>
  <si>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</si>
  <si>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</si>
  <si>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</si>
  <si>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</si>
  <si>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</si>
  <si>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</si>
  <si>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</si>
  <si>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</si>
  <si>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</si>
  <si>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</si>
  <si>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</si>
  <si>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</si>
  <si>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</si>
  <si>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</si>
  <si>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</si>
  <si>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</si>
  <si>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</si>
  <si>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</si>
  <si>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</si>
  <si>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</si>
  <si>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</si>
  <si>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</si>
  <si>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</si>
  <si>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</si>
  <si>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</si>
  <si>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</si>
  <si>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</si>
  <si>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</si>
  <si>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</si>
  <si>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</si>
  <si>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</si>
  <si>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</si>
  <si>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</si>
  <si>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</si>
  <si>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</si>
  <si>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</si>
  <si>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</si>
  <si>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</si>
  <si>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</si>
  <si>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</si>
  <si>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</si>
  <si>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</si>
  <si>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</si>
  <si>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</si>
  <si>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</si>
  <si>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</si>
  <si>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</si>
  <si>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</si>
  <si>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</si>
  <si>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</si>
  <si>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</si>
  <si>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</si>
  <si>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</si>
  <si>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</si>
  <si>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</si>
  <si>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</si>
  <si>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</si>
  <si>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</si>
  <si>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</si>
  <si>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</si>
  <si>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</si>
  <si>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</si>
  <si>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</si>
  <si>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</si>
  <si>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</si>
  <si>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</si>
  <si>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</si>
  <si>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</si>
  <si>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</si>
  <si>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</si>
  <si>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</si>
  <si>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</si>
  <si>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</si>
  <si>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</si>
  <si>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</si>
  <si>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</si>
  <si>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</si>
  <si>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</si>
  <si>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</si>
  <si>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</si>
  <si>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</si>
  <si>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</si>
  <si>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</si>
  <si>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</si>
  <si>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</si>
  <si>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</si>
  <si>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</si>
  <si>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</si>
  <si>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</si>
  <si>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</si>
  <si>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</si>
  <si>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</si>
  <si>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</si>
  <si>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</si>
  <si>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</si>
  <si>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</si>
  <si>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</si>
  <si>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</si>
  <si>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</si>
  <si>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</si>
  <si>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</si>
  <si>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</si>
  <si>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</si>
  <si>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</si>
  <si>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</si>
  <si>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</si>
  <si>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</si>
  <si>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</si>
  <si>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</si>
  <si>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</si>
  <si>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</si>
  <si>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</si>
  <si>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</si>
  <si>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</si>
  <si>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</si>
  <si>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</si>
  <si>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</si>
  <si>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</si>
  <si>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</si>
  <si>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</si>
  <si>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</si>
  <si>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</si>
  <si>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</si>
  <si>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</si>
  <si>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</si>
  <si>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</si>
  <si>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</si>
  <si>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</si>
  <si>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</si>
  <si>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</si>
  <si>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</si>
  <si>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</si>
  <si>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</si>
  <si>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</si>
  <si>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</si>
  <si>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</si>
  <si>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</si>
  <si>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</si>
  <si>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</si>
  <si>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</si>
  <si>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</si>
  <si>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</si>
  <si>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</si>
  <si>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</si>
  <si>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</si>
  <si>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</si>
  <si>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</si>
  <si>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</si>
  <si>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</si>
  <si>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</si>
  <si>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</si>
  <si>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</si>
  <si>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</si>
  <si>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</si>
  <si>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</si>
  <si>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</si>
  <si>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</si>
  <si>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</si>
  <si>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</si>
  <si>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</si>
  <si>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</si>
  <si>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</si>
  <si>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</si>
  <si>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</si>
  <si>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</si>
  <si>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</si>
  <si>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</si>
  <si>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</si>
  <si>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</si>
  <si>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</si>
  <si>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</si>
  <si>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</si>
  <si>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</si>
  <si>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</si>
  <si>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</si>
  <si>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</si>
  <si>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</si>
  <si>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</si>
  <si>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</si>
  <si>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</si>
  <si>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</si>
  <si>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</si>
  <si>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</si>
  <si>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</si>
  <si>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</si>
  <si>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</si>
  <si>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</si>
  <si>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</si>
  <si>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</si>
  <si>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</si>
  <si>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</si>
  <si>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</si>
  <si>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</si>
  <si>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</si>
  <si>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</si>
  <si>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</si>
  <si>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</si>
  <si>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</si>
  <si>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</si>
  <si>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</si>
  <si>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</si>
  <si>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</si>
  <si>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</si>
  <si>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</si>
  <si>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</si>
  <si>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</si>
  <si>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</si>
  <si>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</si>
  <si>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</si>
  <si>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</si>
  <si>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</si>
  <si>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</si>
  <si>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</si>
  <si>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</si>
  <si>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</si>
  <si>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</si>
  <si>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</si>
  <si>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</si>
  <si>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</si>
  <si>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</si>
  <si>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</si>
  <si>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</si>
  <si>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</si>
  <si>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</si>
  <si>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</si>
  <si>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</si>
  <si>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</si>
  <si>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</si>
  <si>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</si>
  <si>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</si>
  <si>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</si>
  <si>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</si>
  <si>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</si>
  <si>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</si>
  <si>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</si>
  <si>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</si>
  <si>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</si>
  <si>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</si>
  <si>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</si>
  <si>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</si>
  <si>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</si>
  <si>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</si>
  <si>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</si>
  <si>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</si>
  <si>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</si>
  <si>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</si>
  <si>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</si>
  <si>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</si>
  <si>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</si>
  <si>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</si>
  <si>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</si>
  <si>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</si>
  <si>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</si>
  <si>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</si>
  <si>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</si>
  <si>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</si>
  <si>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</si>
  <si>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</si>
  <si>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</si>
  <si>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</si>
  <si>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</si>
  <si>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</si>
  <si>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</si>
  <si>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</si>
  <si>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</si>
  <si>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</si>
  <si>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</si>
  <si>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</si>
  <si>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</si>
  <si>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</si>
  <si>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</si>
  <si>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</si>
  <si>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</si>
  <si>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</si>
  <si>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</si>
  <si>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</si>
  <si>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</si>
  <si>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</si>
  <si>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</si>
  <si>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</si>
  <si>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</si>
  <si>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</si>
  <si>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</si>
  <si>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</si>
  <si>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</si>
  <si>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</si>
  <si>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</si>
  <si>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</si>
  <si>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</si>
  <si>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</si>
  <si>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</si>
  <si>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</si>
  <si>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</si>
  <si>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</si>
  <si>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</si>
  <si>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</si>
  <si>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</si>
  <si>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</si>
  <si>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</si>
  <si>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</si>
  <si>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</si>
  <si>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</si>
  <si>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</si>
  <si>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</si>
  <si>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</si>
  <si>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</si>
  <si>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</si>
  <si>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</si>
  <si>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</si>
  <si>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</si>
  <si>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</si>
  <si>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</si>
  <si>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</si>
  <si>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</si>
  <si>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</si>
  <si>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</si>
  <si>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</si>
  <si>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</si>
  <si>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</si>
  <si>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</si>
  <si>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</si>
  <si>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</si>
  <si>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</si>
  <si>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</si>
  <si>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</si>
  <si>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</si>
  <si>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</si>
  <si>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</si>
  <si>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</si>
  <si>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</si>
  <si>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</si>
  <si>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</si>
  <si>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</si>
  <si>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</si>
  <si>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</si>
  <si>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</si>
  <si>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</si>
  <si>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</si>
  <si>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</si>
  <si>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</si>
  <si>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</si>
  <si>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</si>
  <si>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</si>
  <si>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</si>
  <si>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</si>
  <si>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</si>
  <si>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</si>
  <si>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</si>
  <si>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</si>
  <si>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</si>
  <si>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</si>
  <si>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</si>
  <si>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</si>
  <si>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</si>
  <si>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</si>
  <si>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</si>
  <si>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</si>
  <si>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</si>
  <si>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</si>
  <si>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</si>
  <si>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</si>
  <si>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</si>
  <si>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</si>
  <si>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</si>
  <si>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</si>
  <si>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</si>
  <si>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</si>
  <si>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</si>
  <si>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</si>
  <si>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</si>
  <si>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</si>
  <si>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</si>
  <si>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</si>
  <si>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</si>
  <si>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</si>
  <si>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</si>
  <si>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</si>
  <si>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</si>
  <si>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</si>
  <si>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</si>
  <si>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</si>
  <si>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</si>
  <si>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</si>
  <si>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</si>
  <si>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</si>
  <si>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</si>
  <si>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</si>
  <si>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</si>
  <si>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</si>
  <si>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</si>
  <si>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</si>
  <si>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</si>
  <si>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</si>
  <si>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</si>
  <si>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</si>
  <si>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</si>
  <si>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</si>
  <si>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</si>
  <si>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</si>
  <si>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</si>
  <si>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</si>
  <si>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</si>
  <si>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</si>
  <si>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</si>
  <si>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</si>
  <si>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</si>
  <si>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</si>
  <si>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</si>
  <si>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</si>
  <si>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</si>
  <si>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</si>
  <si>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</si>
  <si>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</si>
  <si>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</si>
  <si>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</si>
  <si>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</si>
  <si>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</si>
  <si>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</si>
  <si>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</si>
  <si>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</si>
  <si>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</si>
  <si>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</si>
  <si>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</si>
  <si>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</si>
  <si>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</si>
  <si>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</si>
  <si>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</si>
  <si>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</si>
  <si>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</si>
  <si>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</si>
  <si>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</si>
  <si>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</si>
  <si>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</si>
  <si>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</si>
  <si>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</si>
  <si>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</si>
  <si>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</si>
  <si>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</si>
  <si>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</si>
  <si>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</si>
  <si>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</si>
  <si>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</si>
  <si>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</si>
  <si>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</si>
  <si>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</si>
  <si>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</si>
  <si>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</si>
  <si>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</si>
  <si>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</si>
  <si>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</si>
  <si>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</si>
  <si>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</si>
  <si>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</si>
  <si>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</si>
  <si>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</si>
  <si>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</si>
  <si>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</si>
  <si>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</si>
  <si>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</si>
  <si>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</si>
  <si>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</si>
  <si>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</si>
  <si>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</si>
  <si>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</si>
  <si>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</si>
  <si>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</si>
  <si>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</si>
  <si>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</si>
  <si>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</si>
  <si>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</si>
  <si>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</si>
  <si>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</si>
  <si>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</si>
  <si>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</si>
  <si>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</si>
  <si>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</si>
  <si>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</si>
  <si>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</si>
  <si>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</si>
  <si>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</si>
  <si>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</si>
  <si>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</si>
  <si>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</si>
  <si>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</si>
  <si>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</si>
  <si>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</si>
  <si>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</si>
  <si>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</si>
  <si>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</si>
  <si>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</si>
  <si>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</si>
  <si>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</si>
  <si>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</si>
  <si>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</si>
  <si>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</si>
  <si>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</si>
  <si>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</si>
  <si>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</si>
  <si>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</si>
  <si>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</si>
  <si>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</si>
  <si>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</si>
  <si>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</si>
  <si>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</si>
  <si>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</si>
  <si>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</si>
  <si>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</si>
  <si>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</si>
  <si>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</si>
  <si>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</si>
  <si>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</si>
  <si>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</si>
  <si>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</si>
  <si>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</si>
  <si>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</si>
  <si>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</si>
  <si>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</si>
  <si>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</si>
  <si>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</si>
  <si>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</si>
  <si>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</si>
  <si>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</si>
  <si>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</si>
  <si>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</si>
  <si>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</si>
  <si>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</si>
  <si>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</si>
  <si>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</si>
  <si>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</si>
  <si>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</si>
  <si>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</si>
  <si>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</si>
  <si>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</si>
  <si>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</si>
  <si>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</si>
  <si>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</si>
  <si>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</si>
  <si>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</si>
  <si>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</si>
  <si>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</si>
  <si>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</si>
  <si>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</si>
  <si>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</si>
  <si>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</si>
  <si>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</si>
  <si>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</si>
  <si>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</si>
  <si>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</si>
  <si>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</si>
  <si>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</si>
  <si>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</si>
  <si>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</si>
  <si>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</si>
  <si>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</si>
  <si>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</si>
  <si>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</si>
  <si>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</si>
  <si>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</si>
  <si>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</si>
  <si>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</si>
  <si>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</si>
  <si>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</si>
  <si>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</si>
  <si>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</si>
  <si>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</si>
  <si>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</si>
  <si>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</si>
  <si>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</si>
  <si>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</si>
  <si>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</si>
  <si>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</si>
  <si>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</si>
  <si>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</si>
  <si>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</si>
  <si>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</si>
  <si>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</si>
  <si>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</si>
  <si>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</si>
  <si>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</si>
  <si>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</si>
  <si>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</si>
  <si>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</si>
  <si>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</si>
  <si>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</si>
  <si>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</si>
  <si>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</si>
  <si>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</si>
  <si>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</si>
  <si>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</si>
  <si>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</si>
  <si>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</si>
  <si>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</si>
  <si>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</si>
  <si>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</si>
  <si>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</si>
  <si>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</si>
  <si>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</si>
  <si>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</si>
  <si>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</si>
  <si>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</si>
  <si>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</si>
  <si>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</si>
  <si>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</si>
  <si>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</si>
  <si>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</si>
  <si>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</si>
  <si>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</si>
  <si>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</si>
  <si>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</si>
  <si>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</si>
  <si>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</si>
  <si>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</si>
  <si>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</si>
  <si>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</si>
  <si>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</si>
  <si>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</si>
  <si>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</si>
  <si>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</si>
  <si>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</si>
  <si>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</si>
  <si>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</si>
  <si>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</si>
  <si>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</si>
  <si>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</si>
  <si>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</si>
  <si>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</si>
  <si>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</si>
  <si>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</si>
  <si>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</si>
  <si>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</si>
  <si>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</si>
  <si>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</si>
  <si>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</si>
  <si>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</si>
  <si>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</si>
  <si>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</si>
  <si>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</si>
  <si>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</si>
  <si>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</si>
  <si>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</si>
  <si>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</si>
  <si>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</si>
  <si>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</si>
  <si>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</si>
  <si>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</si>
  <si>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</si>
  <si>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</si>
  <si>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</si>
  <si>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</si>
  <si>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</si>
  <si>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</si>
  <si>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</si>
  <si>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</si>
  <si>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</si>
  <si>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</si>
  <si>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</si>
  <si>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</si>
  <si>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</si>
  <si>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</si>
  <si>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</si>
  <si>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</si>
  <si>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</si>
  <si>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</si>
  <si>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</si>
  <si>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</si>
  <si>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</si>
  <si>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</si>
  <si>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</si>
  <si>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</si>
  <si>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</si>
  <si>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</si>
  <si>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</si>
  <si>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</si>
  <si>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</si>
  <si>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</si>
  <si>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</si>
  <si>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</si>
  <si>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</si>
  <si>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</si>
  <si>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</si>
  <si>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</si>
  <si>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</si>
  <si>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</si>
  <si>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</si>
  <si>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</si>
  <si>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</si>
  <si>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</si>
  <si>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</si>
  <si>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</si>
  <si>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</si>
  <si>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</si>
  <si>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</si>
  <si>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</si>
  <si>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</si>
  <si>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</si>
  <si>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</si>
  <si>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</si>
  <si>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</si>
  <si>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</si>
  <si>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</si>
  <si>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</si>
  <si>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</si>
  <si>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</si>
  <si>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</si>
  <si>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</si>
  <si>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</si>
  <si>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</si>
  <si>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</si>
  <si>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</si>
  <si>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</si>
  <si>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</si>
  <si>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</si>
  <si>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</si>
  <si>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</si>
  <si>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</si>
  <si>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</si>
  <si>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</si>
  <si>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</si>
  <si>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</si>
  <si>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</si>
  <si>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</si>
  <si>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</si>
  <si>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</si>
  <si>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</si>
  <si>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</si>
  <si>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</si>
  <si>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</si>
  <si>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</si>
  <si>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</si>
  <si>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</si>
  <si>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</si>
  <si>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</si>
  <si>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</si>
  <si>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</si>
  <si>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</si>
  <si>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</si>
  <si>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</si>
  <si>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</si>
  <si>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</si>
  <si>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</si>
  <si>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</si>
  <si>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</si>
  <si>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</si>
  <si>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</si>
  <si>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</si>
  <si>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</si>
  <si>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</si>
  <si>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</si>
  <si>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</si>
  <si>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</si>
  <si>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</si>
  <si>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</si>
  <si>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</si>
  <si>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</si>
  <si>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</si>
  <si>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</si>
  <si>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</si>
  <si>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</si>
  <si>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</si>
  <si>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</si>
  <si>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</si>
  <si>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</si>
  <si>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</si>
  <si>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</si>
  <si>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</si>
  <si>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</si>
  <si>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</si>
  <si>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</si>
  <si>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</si>
  <si>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</si>
  <si>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</si>
  <si>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</si>
  <si>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</si>
  <si>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</si>
  <si>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</si>
  <si>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</si>
  <si>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</si>
  <si>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</si>
  <si>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</si>
  <si>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</si>
  <si>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</si>
  <si>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</si>
  <si>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</si>
  <si>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</si>
  <si>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</si>
  <si>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</si>
  <si>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</si>
  <si>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</si>
  <si>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</si>
  <si>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</si>
  <si>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</si>
  <si>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</si>
  <si>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</si>
  <si>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</si>
  <si>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</si>
  <si>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</si>
  <si>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</si>
  <si>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</si>
  <si>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</si>
  <si>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</si>
  <si>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</si>
  <si>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</si>
  <si>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</si>
  <si>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</si>
  <si>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</si>
  <si>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</si>
  <si>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</si>
  <si>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</si>
  <si>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</si>
  <si>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</si>
  <si>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</si>
  <si>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</si>
  <si>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</si>
  <si>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</si>
  <si>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</si>
  <si>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</si>
  <si>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</si>
  <si>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</si>
  <si>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</si>
  <si>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</si>
  <si>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</si>
  <si>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</si>
  <si>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</si>
  <si>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</si>
  <si>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</si>
  <si>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</si>
  <si>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</si>
  <si>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</si>
  <si>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</si>
  <si>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</si>
  <si>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</si>
  <si>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</si>
  <si>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</si>
  <si>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</si>
  <si>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</si>
  <si>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</si>
  <si>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</si>
  <si>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</si>
  <si>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</si>
  <si>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</si>
  <si>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</si>
  <si>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</si>
  <si>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</si>
  <si>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</si>
  <si>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</si>
  <si>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</si>
  <si>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</si>
  <si>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</si>
  <si>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</si>
  <si>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</si>
  <si>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</si>
  <si>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</si>
  <si>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</si>
  <si>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</si>
  <si>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</si>
  <si>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</si>
  <si>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</si>
  <si>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</si>
  <si>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</si>
  <si>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</si>
  <si>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</si>
  <si>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</si>
  <si>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</si>
  <si>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</si>
  <si>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</si>
  <si>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</si>
  <si>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</si>
  <si>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</si>
  <si>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</si>
  <si>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</si>
  <si>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</si>
  <si>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</si>
  <si>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</si>
  <si>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</si>
  <si>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</si>
  <si>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</si>
  <si>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</si>
  <si>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</si>
  <si>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</si>
  <si>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</si>
  <si>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</si>
  <si>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</si>
  <si>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</si>
  <si>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</si>
  <si>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</si>
  <si>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</si>
  <si>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</si>
  <si>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</si>
  <si>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</si>
  <si>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</si>
  <si>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</si>
  <si>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</si>
  <si>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</si>
  <si>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</si>
  <si>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</si>
  <si>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</si>
  <si>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</si>
  <si>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</si>
  <si>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</si>
  <si>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</si>
  <si>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</si>
  <si>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</si>
  <si>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</si>
  <si>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</si>
  <si>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</si>
  <si>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</si>
  <si>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</si>
  <si>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</si>
  <si>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</si>
  <si>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</si>
  <si>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</si>
  <si>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</si>
  <si>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</si>
  <si>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</si>
  <si>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</si>
  <si>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</si>
  <si>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</si>
  <si>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</si>
  <si>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</si>
  <si>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</si>
  <si>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</si>
  <si>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</si>
  <si>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</si>
  <si>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</si>
  <si>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</si>
  <si>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</si>
  <si>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</si>
  <si>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</si>
  <si>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</si>
  <si>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</si>
  <si>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</si>
  <si>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</si>
  <si>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</si>
  <si>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</si>
  <si>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</si>
  <si>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</si>
  <si>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</si>
  <si>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</si>
  <si>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</si>
  <si>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</si>
  <si>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</si>
  <si>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</si>
  <si>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</si>
  <si>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</si>
  <si>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</si>
  <si>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</si>
  <si>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</si>
  <si>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</si>
  <si>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</si>
  <si>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</si>
  <si>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</si>
  <si>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</si>
  <si>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</si>
  <si>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</si>
  <si>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</si>
  <si>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</si>
  <si>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</si>
  <si>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</si>
  <si>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</si>
  <si>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</si>
  <si>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</si>
  <si>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</si>
  <si>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</si>
  <si>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</si>
  <si>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</si>
  <si>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</si>
  <si>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</si>
  <si>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</si>
  <si>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</si>
  <si>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</si>
  <si>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</si>
  <si>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</si>
  <si>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</si>
  <si>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</si>
  <si>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</si>
  <si>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</si>
  <si>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</si>
  <si>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</si>
  <si>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</si>
  <si>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</si>
  <si>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</si>
  <si>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</si>
  <si>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</si>
  <si>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</si>
  <si>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</si>
  <si>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</si>
  <si>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</si>
  <si>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</si>
  <si>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</si>
  <si>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</si>
  <si>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</si>
  <si>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</si>
  <si>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</si>
  <si>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</si>
  <si>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</si>
  <si>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</si>
  <si>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</si>
  <si>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</si>
  <si>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</si>
  <si>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</si>
  <si>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</si>
  <si>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</si>
  <si>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</si>
  <si>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</si>
  <si>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</si>
  <si>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</si>
  <si>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</si>
  <si>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</si>
  <si>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</si>
  <si>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</si>
  <si>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</si>
  <si>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</si>
  <si>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</si>
  <si>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</si>
  <si>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</si>
  <si>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</si>
  <si>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</si>
  <si>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</si>
  <si>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</si>
  <si>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</si>
  <si>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</si>
  <si>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</si>
  <si>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</si>
  <si>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</si>
  <si>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</si>
  <si>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</si>
  <si>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</si>
  <si>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</si>
  <si>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</si>
  <si>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</si>
  <si>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</si>
  <si>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</si>
  <si>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</si>
  <si>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</si>
  <si>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</si>
  <si>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</si>
  <si>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</si>
  <si>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</si>
  <si>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</si>
  <si>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</si>
  <si>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</si>
  <si>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</si>
  <si>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</si>
  <si>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</si>
  <si>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</si>
  <si>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</si>
  <si>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</si>
  <si>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</si>
  <si>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</si>
  <si>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</si>
  <si>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</si>
  <si>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</si>
  <si>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</si>
  <si>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</si>
  <si>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</si>
  <si>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</si>
  <si>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</si>
  <si>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</si>
  <si>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</si>
  <si>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</si>
  <si>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</si>
  <si>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</si>
  <si>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</si>
  <si>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</si>
  <si>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</si>
  <si>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</si>
  <si>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</si>
  <si>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</si>
  <si>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</si>
  <si>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</si>
  <si>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</si>
  <si>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</si>
  <si>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</si>
  <si>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</si>
  <si>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</si>
  <si>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</si>
  <si>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</si>
  <si>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</si>
  <si>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</si>
  <si>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</si>
  <si>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</si>
  <si>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</si>
  <si>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</si>
  <si>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</si>
  <si>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</si>
  <si>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</si>
  <si>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</si>
  <si>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</si>
  <si>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</si>
  <si>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</si>
  <si>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</si>
  <si>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</si>
  <si>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</si>
  <si>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</si>
  <si>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</si>
  <si>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</si>
  <si>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</si>
  <si>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</si>
  <si>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</si>
  <si>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</si>
  <si>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</si>
  <si>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</si>
  <si>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</si>
  <si>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</si>
  <si>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</si>
  <si>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</si>
  <si>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</si>
  <si>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</si>
  <si>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</si>
  <si>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</si>
  <si>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</si>
  <si>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</si>
  <si>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</si>
  <si>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</si>
  <si>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</si>
  <si>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</si>
  <si>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</si>
  <si>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</si>
  <si>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</si>
  <si>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</si>
  <si>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</si>
  <si>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</si>
  <si>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</si>
  <si>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</si>
  <si>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</si>
  <si>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</si>
  <si>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</si>
  <si>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</si>
  <si>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</si>
  <si>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</si>
  <si>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</si>
  <si>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</si>
  <si>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</si>
  <si>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</si>
  <si>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</si>
  <si>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</si>
  <si>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</si>
  <si>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</si>
  <si>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</si>
  <si>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</si>
  <si>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</si>
  <si>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</si>
  <si>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</si>
  <si>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</si>
  <si>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</si>
  <si>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</si>
  <si>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</si>
  <si>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</si>
  <si>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</si>
  <si>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</si>
  <si>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</si>
  <si>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</si>
  <si>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</si>
  <si>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</si>
  <si>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</si>
  <si>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</si>
  <si>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</si>
  <si>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</si>
  <si>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</si>
  <si>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</si>
  <si>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</si>
  <si>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</si>
  <si>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</si>
  <si>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</si>
  <si>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</si>
  <si>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</si>
  <si>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</si>
  <si>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</si>
  <si>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</si>
  <si>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</si>
  <si>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</si>
  <si>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</si>
  <si>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</si>
  <si>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</si>
  <si>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</si>
  <si>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</si>
  <si>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</si>
  <si>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</si>
  <si>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</si>
  <si>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</si>
  <si>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</si>
  <si>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</si>
  <si>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</si>
  <si>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</si>
  <si>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</si>
  <si>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</si>
  <si>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</si>
  <si>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</si>
  <si>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</si>
  <si>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</si>
  <si>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</si>
  <si>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</si>
  <si>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</si>
  <si>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</si>
  <si>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</si>
  <si>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</si>
  <si>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</si>
  <si>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</si>
  <si>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</si>
  <si>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</si>
  <si>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</si>
  <si>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</si>
  <si>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</si>
  <si>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</si>
  <si>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</si>
  <si>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</si>
  <si>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</si>
  <si>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</si>
  <si>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</si>
  <si>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</si>
  <si>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</si>
  <si>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</si>
  <si>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</si>
  <si>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</si>
  <si>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</si>
  <si>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</si>
  <si>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</si>
  <si>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</si>
  <si>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</si>
  <si>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</si>
  <si>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</si>
  <si>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</si>
  <si>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</si>
  <si>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</si>
  <si>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</si>
  <si>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</si>
  <si>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</si>
  <si>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</si>
  <si>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</si>
  <si>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</si>
  <si>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</si>
  <si>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</si>
  <si>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</si>
  <si>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</si>
  <si>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</si>
  <si>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</si>
  <si>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</si>
  <si>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</si>
  <si>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</si>
  <si>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</si>
  <si>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</si>
  <si>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</si>
  <si>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</si>
  <si>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</si>
  <si>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</si>
  <si>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</si>
  <si>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</si>
  <si>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</si>
  <si>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</si>
  <si>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</si>
  <si>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</si>
  <si>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</si>
  <si>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</si>
  <si>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</si>
  <si>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</si>
  <si>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</si>
  <si>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</si>
  <si>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</si>
  <si>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</si>
  <si>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</si>
  <si>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</si>
  <si>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</si>
  <si>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</si>
  <si>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</si>
  <si>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</si>
  <si>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</si>
  <si>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</si>
  <si>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</si>
  <si>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</si>
  <si>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</si>
  <si>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</si>
  <si>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</si>
  <si>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</si>
  <si>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</si>
  <si>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</si>
  <si>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</si>
  <si>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</si>
  <si>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</si>
  <si>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</si>
  <si>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</si>
  <si>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</si>
  <si>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</si>
  <si>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</si>
  <si>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</si>
  <si>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</si>
  <si>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</si>
  <si>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</si>
  <si>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</si>
  <si>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</si>
  <si>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</si>
  <si>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</si>
  <si>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</si>
  <si>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</si>
  <si>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</si>
  <si>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</si>
  <si>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</si>
  <si>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</si>
  <si>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</si>
  <si>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</si>
  <si>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</si>
  <si>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</si>
  <si>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</si>
  <si>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</si>
  <si>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</si>
  <si>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</si>
  <si>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</si>
  <si>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</si>
  <si>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</si>
  <si>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</si>
  <si>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</si>
  <si>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</si>
  <si>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</si>
  <si>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</si>
  <si>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</si>
  <si>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</si>
  <si>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</si>
  <si>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</si>
  <si>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</si>
  <si>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</si>
  <si>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</si>
  <si>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</si>
  <si>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</si>
  <si>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</si>
  <si>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</si>
  <si>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</si>
  <si>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</si>
  <si>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</si>
  <si>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</si>
  <si>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</si>
  <si>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</si>
  <si>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</si>
  <si>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</si>
  <si>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</si>
  <si>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</si>
  <si>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</si>
  <si>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</si>
  <si>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</si>
  <si>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</si>
  <si>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</si>
  <si>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</si>
  <si>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</si>
  <si>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</si>
  <si>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</si>
  <si>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</si>
  <si>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</si>
  <si>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</si>
  <si>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</si>
  <si>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</si>
  <si>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</si>
  <si>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</si>
  <si>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</si>
  <si>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</si>
  <si>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</si>
  <si>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</si>
  <si>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</si>
  <si>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</si>
  <si>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</si>
  <si>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</si>
  <si>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</si>
  <si>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</si>
  <si>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</si>
  <si>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</si>
  <si>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</si>
  <si>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</si>
  <si>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</si>
  <si>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</si>
  <si>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</si>
  <si>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</si>
  <si>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</si>
  <si>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</si>
  <si>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</si>
  <si>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</si>
  <si>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</si>
  <si>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</si>
  <si>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</si>
  <si>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</si>
  <si>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</si>
  <si>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</si>
  <si>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</si>
  <si>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</si>
  <si>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</si>
  <si>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</si>
  <si>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</si>
  <si>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</si>
  <si>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</si>
  <si>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</si>
  <si>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</si>
  <si>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</si>
  <si>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</si>
  <si>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</si>
  <si>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</si>
  <si>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</si>
  <si>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</si>
  <si>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</si>
  <si>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</si>
  <si>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</si>
  <si>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</si>
  <si>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</si>
  <si>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</si>
  <si>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</si>
  <si>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</si>
  <si>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</si>
  <si>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</si>
  <si>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</si>
  <si>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</si>
  <si>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</si>
  <si>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</si>
  <si>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</si>
  <si>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</si>
  <si>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</si>
  <si>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</si>
  <si>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</si>
  <si>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</si>
  <si>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</si>
  <si>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</si>
  <si>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</si>
  <si>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</si>
  <si>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</si>
  <si>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</si>
  <si>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</si>
  <si>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</si>
  <si>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</si>
  <si>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</si>
  <si>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</si>
  <si>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</si>
  <si>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</si>
  <si>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</si>
  <si>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</si>
  <si>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</si>
  <si>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</si>
  <si>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</si>
  <si>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</si>
  <si>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</si>
  <si>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</si>
  <si>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</si>
  <si>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</si>
  <si>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</si>
  <si>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</si>
  <si>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</si>
  <si>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</si>
  <si>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</si>
  <si>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</si>
  <si>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</si>
  <si>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</si>
  <si>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</si>
  <si>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</si>
  <si>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</si>
  <si>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</si>
  <si>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</si>
  <si>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</si>
  <si>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</si>
  <si>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</si>
  <si>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</si>
  <si>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</si>
  <si>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</si>
  <si>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</si>
  <si>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</si>
  <si>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</si>
  <si>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</si>
  <si>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</si>
  <si>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</si>
  <si>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</si>
  <si>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</si>
  <si>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</si>
  <si>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</si>
  <si>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</si>
  <si>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</si>
  <si>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</si>
  <si>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</si>
  <si>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</si>
  <si>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</si>
  <si>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</si>
  <si>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</si>
  <si>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</si>
  <si>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</si>
  <si>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</si>
  <si>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</si>
  <si>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</si>
  <si>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</si>
  <si>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</si>
  <si>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</si>
  <si>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</si>
  <si>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</si>
  <si>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</si>
  <si>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</si>
  <si>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</si>
  <si>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</si>
  <si>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</si>
  <si>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</si>
  <si>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</si>
  <si>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</si>
  <si>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</si>
  <si>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</si>
  <si>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</si>
  <si>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</si>
  <si>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</si>
  <si>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</si>
  <si>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</si>
  <si>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</si>
  <si>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</si>
  <si>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</si>
  <si>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</si>
  <si>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</si>
  <si>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</si>
  <si>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</si>
  <si>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</si>
  <si>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</si>
  <si>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</si>
  <si>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</si>
  <si>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</si>
  <si>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</si>
  <si>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</si>
  <si>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</si>
  <si>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</si>
  <si>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</si>
  <si>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</si>
  <si>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</si>
  <si>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</si>
  <si>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</si>
  <si>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</si>
  <si>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</si>
  <si>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</si>
  <si>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</si>
  <si>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</si>
  <si>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</si>
  <si>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</si>
  <si>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</si>
  <si>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</si>
  <si>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</si>
  <si>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</si>
  <si>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</si>
  <si>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</si>
  <si>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</si>
  <si>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</si>
  <si>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</si>
  <si>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</si>
  <si>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</si>
  <si>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</si>
  <si>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</si>
  <si>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</si>
  <si>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</si>
  <si>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</si>
  <si>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</si>
  <si>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</si>
  <si>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</si>
  <si>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</si>
  <si>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</si>
  <si>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</si>
  <si>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</si>
  <si>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</si>
  <si>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</si>
  <si>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</si>
  <si>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</si>
  <si>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</si>
  <si>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</si>
  <si>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</si>
  <si>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</si>
  <si>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</si>
  <si>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</si>
  <si>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</si>
  <si>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</si>
  <si>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</si>
  <si>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</si>
  <si>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</si>
  <si>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</si>
  <si>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</si>
  <si>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</si>
  <si>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</si>
  <si>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</si>
  <si>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</si>
  <si>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</si>
  <si>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</si>
  <si>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</si>
  <si>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</si>
  <si>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</si>
  <si>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</si>
  <si>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</si>
  <si>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</si>
  <si>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</si>
  <si>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</si>
  <si>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</si>
  <si>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</si>
  <si>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</si>
  <si>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</si>
  <si>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</si>
  <si>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</si>
  <si>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</si>
  <si>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</si>
  <si>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</si>
  <si>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</si>
  <si>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</si>
  <si>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</si>
  <si>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</si>
  <si>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</si>
  <si>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</si>
  <si>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</si>
  <si>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</si>
  <si>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</si>
  <si>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</si>
  <si>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</si>
  <si>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</si>
  <si>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</si>
  <si>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</si>
  <si>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</si>
  <si>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</si>
  <si>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</si>
  <si>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</si>
  <si>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</si>
  <si>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</si>
  <si>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</si>
  <si>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</si>
  <si>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</si>
  <si>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</si>
  <si>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</si>
  <si>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</si>
  <si>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</si>
  <si>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</si>
  <si>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</si>
  <si>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</si>
  <si>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</si>
  <si>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</si>
  <si>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</si>
  <si>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</si>
  <si>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</si>
  <si>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</si>
  <si>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</si>
  <si>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</si>
  <si>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</si>
  <si>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</si>
  <si>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</si>
  <si>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</si>
  <si>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</si>
  <si>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</si>
  <si>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</si>
  <si>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</si>
  <si>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</si>
  <si>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</si>
  <si>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</si>
  <si>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</si>
  <si>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</si>
  <si>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</si>
  <si>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</si>
  <si>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</si>
  <si>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</si>
  <si>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</si>
  <si>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</si>
  <si>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</si>
  <si>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</si>
  <si>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</si>
  <si>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</si>
  <si>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</si>
  <si>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</si>
  <si>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</si>
  <si>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</si>
  <si>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</si>
  <si>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</si>
  <si>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</si>
  <si>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</si>
  <si>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</si>
  <si>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</si>
  <si>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</si>
  <si>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</si>
  <si>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</si>
  <si>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</si>
  <si>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</si>
  <si>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</si>
  <si>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</si>
  <si>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</si>
  <si>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</si>
  <si>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</si>
  <si>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</si>
  <si>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</si>
  <si>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</si>
  <si>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</si>
  <si>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</si>
  <si>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</si>
  <si>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</si>
  <si>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</si>
  <si>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</si>
  <si>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</si>
  <si>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</si>
  <si>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</si>
  <si>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</si>
  <si>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</si>
  <si>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</si>
  <si>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</si>
  <si>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</si>
  <si>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</si>
  <si>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</si>
  <si>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</si>
  <si>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</si>
  <si>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</si>
  <si>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</si>
  <si>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</si>
  <si>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</si>
  <si>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</si>
  <si>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</si>
  <si>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</si>
  <si>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</si>
  <si>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</si>
  <si>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</si>
  <si>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</si>
  <si>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</si>
  <si>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</si>
  <si>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</si>
  <si>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</si>
  <si>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</si>
  <si>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</si>
  <si>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</si>
  <si>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</si>
  <si>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</si>
  <si>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</si>
  <si>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</si>
  <si>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</si>
  <si>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</si>
  <si>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</si>
  <si>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</si>
  <si>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</si>
  <si>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</si>
  <si>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</si>
  <si>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</si>
  <si>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</si>
  <si>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</si>
  <si>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</si>
  <si>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</si>
  <si>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</si>
  <si>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</si>
  <si>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</si>
  <si>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</si>
  <si>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</si>
  <si>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</si>
  <si>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</si>
  <si>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</si>
  <si>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</si>
  <si>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</si>
  <si>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</si>
  <si>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</si>
  <si>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</si>
  <si>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</si>
  <si>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</si>
  <si>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</si>
  <si>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</si>
  <si>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</si>
  <si>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</si>
  <si>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</si>
  <si>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</si>
  <si>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</si>
  <si>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</si>
  <si>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</si>
  <si>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</si>
  <si>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</si>
  <si>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</si>
  <si>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</si>
  <si>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</si>
  <si>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</si>
  <si>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</si>
  <si>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</si>
  <si>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</si>
  <si>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</si>
  <si>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</si>
  <si>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</si>
  <si>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</si>
  <si>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</si>
  <si>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</si>
  <si>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</si>
  <si>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</si>
  <si>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</si>
  <si>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</si>
  <si>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</si>
  <si>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</si>
  <si>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</si>
  <si>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</si>
  <si>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</si>
  <si>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</si>
  <si>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</si>
  <si>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</si>
  <si>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</si>
  <si>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</si>
  <si>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</si>
  <si>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</si>
  <si>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</si>
  <si>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</si>
  <si>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</si>
  <si>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</si>
  <si>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</si>
  <si>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</si>
  <si>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</si>
  <si>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</si>
  <si>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</si>
  <si>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</si>
  <si>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</si>
  <si>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</si>
  <si>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</si>
  <si>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</si>
  <si>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</si>
  <si>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</si>
  <si>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</si>
  <si>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</si>
  <si>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</si>
  <si>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</si>
  <si>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</si>
  <si>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</si>
  <si>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</si>
  <si>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</si>
  <si>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</si>
  <si>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</si>
  <si>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</si>
  <si>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</si>
  <si>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</si>
  <si>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</si>
  <si>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</si>
  <si>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</si>
  <si>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</si>
  <si>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</si>
  <si>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</si>
  <si>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</si>
  <si>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</si>
  <si>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</si>
  <si>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</si>
  <si>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</si>
  <si>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</si>
  <si>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</si>
  <si>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</si>
  <si>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</si>
  <si>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</si>
  <si>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</si>
  <si>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</si>
  <si>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</si>
  <si>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</si>
  <si>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</si>
  <si>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</si>
  <si>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</si>
  <si>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</si>
  <si>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</si>
  <si>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</si>
  <si>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</si>
  <si>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</si>
  <si>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</si>
  <si>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</si>
  <si>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</si>
  <si>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</si>
  <si>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</si>
  <si>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</si>
  <si>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</si>
  <si>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</si>
  <si>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</si>
  <si>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</si>
  <si>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</si>
  <si>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</si>
  <si>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</si>
  <si>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</si>
  <si>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</si>
  <si>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</si>
  <si>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</si>
  <si>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</si>
  <si>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</si>
  <si>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</si>
  <si>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</si>
  <si>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</si>
  <si>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</si>
  <si>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</si>
  <si>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</si>
  <si>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</si>
  <si>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</si>
  <si>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</si>
  <si>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</si>
  <si>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</si>
  <si>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</si>
  <si>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</si>
  <si>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TDoll_SP_Liberator</t>
  </si>
  <si>
    <t>283</t>
  </si>
  <si>
    <t>equip-30000376</t>
  </si>
  <si>
    <t>759316</t>
  </si>
  <si>
    <t>equip-10000377</t>
  </si>
  <si>
    <t>equip-20000377</t>
  </si>
  <si>
    <t>TDoll_SP_L85A1</t>
  </si>
  <si>
    <t>equip-30000377</t>
  </si>
  <si>
    <t>equip-10000378</t>
  </si>
  <si>
    <t>equip-20000378</t>
  </si>
  <si>
    <t>Magazine_SP_Z62</t>
  </si>
  <si>
    <t>116</t>
  </si>
  <si>
    <t>equip-30000378</t>
  </si>
  <si>
    <t>equip-10000379</t>
  </si>
  <si>
    <t>equip-20000379</t>
  </si>
  <si>
    <t>TDoll_SP_TMP</t>
  </si>
  <si>
    <t>176</t>
  </si>
  <si>
    <t>equip-30000379</t>
  </si>
  <si>
    <r>
      <t xml:space="preserve">GFL KR Battle Sim - JSON Creator </t>
    </r>
    <r>
      <rPr>
        <b/>
        <sz val="12"/>
        <rFont val="Calibri"/>
        <family val="2"/>
        <scheme val="minor"/>
      </rPr>
      <t>(last updated January 30,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</si>
</sst>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8760</v>
      </c>
    </row>
    <row r="2" spans="1:5" x14ac:dyDescent="0.25">
      <c r="A2" s="150" t="s">
        <v>854</v>
      </c>
    </row>
    <row r="3" spans="1:5" x14ac:dyDescent="0.25">
      <c r="A3" s="150" t="s">
        <v>5634</v>
      </c>
    </row>
    <row r="4" spans="1:5" x14ac:dyDescent="0.25">
      <c r="A4" s="150" t="s">
        <v>8063</v>
      </c>
    </row>
    <row r="5" spans="1:5" x14ac:dyDescent="0.25">
      <c r="A5" s="150" t="s">
        <v>6517</v>
      </c>
      <c r="B5" s="151" t="s">
        <v>926</v>
      </c>
    </row>
    <row r="7" spans="1:5" x14ac:dyDescent="0.25">
      <c r="A7" s="152" t="s">
        <v>1043</v>
      </c>
      <c r="B7" s="156" t="s">
        <v>1743</v>
      </c>
      <c r="D7" s="152" t="s">
        <v>1699</v>
      </c>
      <c r="E7" s="218" t="s">
        <v>8204</v>
      </c>
    </row>
    <row r="8" spans="1:5" x14ac:dyDescent="0.25">
      <c r="A8" s="153" t="s">
        <v>6516</v>
      </c>
      <c r="B8" s="154" t="s">
        <v>8739</v>
      </c>
      <c r="D8" s="153" t="s">
        <v>848</v>
      </c>
      <c r="E8" s="154">
        <v>220000</v>
      </c>
    </row>
    <row r="9" spans="1:5" x14ac:dyDescent="0.25">
      <c r="A9" s="153" t="s">
        <v>6515</v>
      </c>
      <c r="B9" s="154" t="s">
        <v>956</v>
      </c>
      <c r="D9" s="153" t="s">
        <v>7317</v>
      </c>
      <c r="E9" s="154">
        <v>100</v>
      </c>
    </row>
    <row r="10" spans="1:5" x14ac:dyDescent="0.25">
      <c r="A10" s="153" t="s">
        <v>1700</v>
      </c>
      <c r="B10" s="154">
        <v>1</v>
      </c>
      <c r="D10" s="153" t="s">
        <v>849</v>
      </c>
      <c r="E10" s="154" t="b">
        <v>1</v>
      </c>
    </row>
    <row r="11" spans="1:5" x14ac:dyDescent="0.25">
      <c r="A11" s="153" t="s">
        <v>6514</v>
      </c>
      <c r="B11" s="154">
        <v>1234</v>
      </c>
      <c r="D11" s="153" t="s">
        <v>850</v>
      </c>
      <c r="E11" s="154" t="b">
        <v>1</v>
      </c>
    </row>
    <row r="12" spans="1:5" x14ac:dyDescent="0.25">
      <c r="A12" s="153" t="s">
        <v>8241</v>
      </c>
      <c r="B12" s="154" t="s">
        <v>8302</v>
      </c>
    </row>
    <row r="14" spans="1:5" ht="18.75" x14ac:dyDescent="0.3">
      <c r="A14" s="157" t="s">
        <v>1041</v>
      </c>
      <c r="B14" s="158"/>
    </row>
    <row r="15" spans="1:5" outlineLevel="1" x14ac:dyDescent="0.25">
      <c r="A15" s="155"/>
      <c r="B15" s="158"/>
    </row>
    <row r="16" spans="1:5" outlineLevel="1" x14ac:dyDescent="0.25">
      <c r="A16" s="155" t="s">
        <v>959</v>
      </c>
      <c r="B16" s="328" t="s">
        <v>6861</v>
      </c>
      <c r="C16" s="329"/>
    </row>
    <row r="17" spans="1:29" outlineLevel="1" x14ac:dyDescent="0.25">
      <c r="A17" s="155"/>
      <c r="B17" s="158"/>
    </row>
    <row r="18" spans="1:29" outlineLevel="1" x14ac:dyDescent="0.25">
      <c r="A18" s="159" t="s">
        <v>8257</v>
      </c>
      <c r="B18" s="159"/>
      <c r="C18" s="159"/>
      <c r="D18" s="159"/>
      <c r="E18" s="159"/>
      <c r="F18" s="159"/>
      <c r="G18" s="159"/>
      <c r="H18" s="159"/>
      <c r="I18" s="159"/>
      <c r="J18" s="159"/>
      <c r="L18" s="159" t="s">
        <v>6448</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954</v>
      </c>
      <c r="Z19" s="161"/>
      <c r="AA19" s="161"/>
      <c r="AB19" s="162"/>
      <c r="AC19" s="179" t="b">
        <v>1</v>
      </c>
    </row>
    <row r="20" spans="1:29" outlineLevel="1" x14ac:dyDescent="0.25">
      <c r="A20" s="164" t="s">
        <v>0</v>
      </c>
      <c r="B20" s="165" t="s">
        <v>1075</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955</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6369</v>
      </c>
      <c r="U25" s="177" t="s">
        <v>6373</v>
      </c>
      <c r="V25" s="177">
        <v>10</v>
      </c>
      <c r="W25" s="178">
        <v>1</v>
      </c>
      <c r="Y25" s="176"/>
      <c r="Z25" s="177"/>
      <c r="AA25" s="177"/>
      <c r="AB25" s="177"/>
      <c r="AC25" s="212"/>
    </row>
    <row r="26" spans="1:29" outlineLevel="1" x14ac:dyDescent="0.25"/>
    <row r="27" spans="1:29" outlineLevel="1" x14ac:dyDescent="0.25">
      <c r="A27" s="159" t="s">
        <v>8256</v>
      </c>
      <c r="B27" s="159"/>
      <c r="C27" s="159"/>
      <c r="D27" s="159"/>
      <c r="E27" s="159"/>
      <c r="F27" s="159"/>
      <c r="H27" s="159" t="s">
        <v>946</v>
      </c>
      <c r="I27" s="159"/>
      <c r="J27" s="159"/>
      <c r="L27" s="155" t="s">
        <v>6450</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1075</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8258</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1042</v>
      </c>
      <c r="B52" s="183"/>
      <c r="C52" s="183"/>
      <c r="D52" s="183"/>
      <c r="E52" s="183"/>
      <c r="F52" s="183"/>
      <c r="G52" s="183"/>
      <c r="H52" s="183"/>
      <c r="I52" s="183"/>
      <c r="J52" s="183"/>
    </row>
    <row r="53" spans="1:29" outlineLevel="1" x14ac:dyDescent="0.25">
      <c r="A53" s="155"/>
      <c r="B53" s="158"/>
    </row>
    <row r="54" spans="1:29" outlineLevel="1" x14ac:dyDescent="0.25">
      <c r="A54" s="155" t="s">
        <v>959</v>
      </c>
      <c r="B54" s="328" t="s">
        <v>5672</v>
      </c>
      <c r="C54" s="329"/>
    </row>
    <row r="55" spans="1:29" outlineLevel="1" x14ac:dyDescent="0.25">
      <c r="A55" s="155"/>
      <c r="B55" s="158"/>
    </row>
    <row r="56" spans="1:29" s="184" customFormat="1" ht="15" customHeight="1" outlineLevel="1" x14ac:dyDescent="0.3">
      <c r="A56" s="204" t="s">
        <v>8259</v>
      </c>
      <c r="B56" s="183"/>
      <c r="C56" s="183"/>
      <c r="D56" s="183"/>
      <c r="E56" s="183"/>
      <c r="F56" s="183"/>
      <c r="G56" s="183"/>
      <c r="H56" s="183"/>
      <c r="I56" s="203"/>
      <c r="J56" s="203"/>
      <c r="K56" s="203"/>
      <c r="L56" s="183"/>
      <c r="M56" s="183"/>
    </row>
    <row r="57" spans="1:29" outlineLevel="1" x14ac:dyDescent="0.25">
      <c r="A57" s="185"/>
      <c r="B57" s="255" t="s">
        <v>1038</v>
      </c>
      <c r="C57" s="244"/>
      <c r="D57" s="244"/>
      <c r="E57" s="244"/>
      <c r="F57" s="244"/>
      <c r="G57" s="244"/>
      <c r="H57" s="244"/>
      <c r="I57" s="255" t="s">
        <v>769</v>
      </c>
      <c r="J57" s="244"/>
      <c r="K57" s="244"/>
      <c r="L57" s="245"/>
      <c r="M57" s="255" t="s">
        <v>1032</v>
      </c>
      <c r="N57" s="245"/>
      <c r="O57" s="186" t="s">
        <v>5668</v>
      </c>
      <c r="Q57" s="186" t="s">
        <v>1106</v>
      </c>
    </row>
    <row r="58" spans="1:29" outlineLevel="1" x14ac:dyDescent="0.25">
      <c r="A58" s="164" t="s">
        <v>1031</v>
      </c>
      <c r="B58" s="165" t="s">
        <v>1074</v>
      </c>
      <c r="C58" s="203" t="s">
        <v>8</v>
      </c>
      <c r="D58" s="203" t="s">
        <v>18</v>
      </c>
      <c r="E58" s="203" t="s">
        <v>6874</v>
      </c>
      <c r="F58" s="203" t="s">
        <v>6875</v>
      </c>
      <c r="G58" s="203" t="s">
        <v>1035</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1098</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8242</v>
      </c>
      <c r="B70" s="158"/>
    </row>
    <row r="71" spans="1:19" outlineLevel="1" x14ac:dyDescent="0.25">
      <c r="A71" s="204" t="s">
        <v>8284</v>
      </c>
    </row>
    <row r="72" spans="1:19" outlineLevel="1" x14ac:dyDescent="0.25">
      <c r="A72" s="159" t="s">
        <v>8285</v>
      </c>
    </row>
    <row r="73" spans="1:19" outlineLevel="1" x14ac:dyDescent="0.25">
      <c r="A73" s="279" t="s">
        <v>8243</v>
      </c>
      <c r="B73" s="186"/>
      <c r="C73" s="162" t="s">
        <v>8243</v>
      </c>
      <c r="D73" s="287" t="s">
        <v>8246</v>
      </c>
      <c r="E73" s="278"/>
      <c r="F73" s="287" t="s">
        <v>8247</v>
      </c>
      <c r="G73" s="278"/>
      <c r="H73" s="287" t="s">
        <v>8248</v>
      </c>
      <c r="I73" s="278"/>
      <c r="J73" s="287" t="s">
        <v>8249</v>
      </c>
      <c r="K73" s="277"/>
      <c r="L73" s="277"/>
      <c r="M73" s="278"/>
    </row>
    <row r="74" spans="1:19" outlineLevel="1" x14ac:dyDescent="0.25">
      <c r="A74" s="164" t="s">
        <v>703</v>
      </c>
      <c r="B74" s="164" t="s">
        <v>853</v>
      </c>
      <c r="C74" s="166" t="s">
        <v>18</v>
      </c>
      <c r="D74" s="167" t="s">
        <v>18</v>
      </c>
      <c r="E74" s="166" t="s">
        <v>281</v>
      </c>
      <c r="F74" s="231" t="s">
        <v>18</v>
      </c>
      <c r="G74" s="238" t="s">
        <v>1075</v>
      </c>
      <c r="H74" s="167" t="s">
        <v>18</v>
      </c>
      <c r="I74" s="166" t="s">
        <v>1075</v>
      </c>
      <c r="J74" s="167" t="s">
        <v>703</v>
      </c>
      <c r="K74" s="165" t="s">
        <v>18</v>
      </c>
      <c r="L74" s="165" t="s">
        <v>281</v>
      </c>
      <c r="M74" s="166" t="s">
        <v>1075</v>
      </c>
    </row>
    <row r="75" spans="1:19" outlineLevel="1" x14ac:dyDescent="0.25">
      <c r="A75" s="186" t="s">
        <v>8244</v>
      </c>
      <c r="B75" s="206"/>
      <c r="C75" s="170">
        <v>15</v>
      </c>
      <c r="D75" s="168">
        <v>100</v>
      </c>
      <c r="E75" s="170">
        <v>5</v>
      </c>
      <c r="F75" s="168">
        <v>100</v>
      </c>
      <c r="G75" s="170">
        <v>5</v>
      </c>
      <c r="H75" s="168">
        <v>100</v>
      </c>
      <c r="I75" s="170">
        <v>5</v>
      </c>
      <c r="J75" s="168" t="s">
        <v>8286</v>
      </c>
      <c r="K75" s="169">
        <v>100</v>
      </c>
      <c r="L75" s="169">
        <v>5</v>
      </c>
      <c r="M75" s="170">
        <v>5</v>
      </c>
    </row>
    <row r="76" spans="1:19" outlineLevel="1" x14ac:dyDescent="0.25">
      <c r="A76" s="164" t="s">
        <v>8245</v>
      </c>
      <c r="B76" s="197"/>
      <c r="C76" s="154">
        <v>15</v>
      </c>
      <c r="D76" s="176">
        <v>100</v>
      </c>
      <c r="E76" s="154">
        <v>5</v>
      </c>
      <c r="F76" s="284"/>
      <c r="G76" s="285" t="s">
        <v>8250</v>
      </c>
      <c r="H76" s="284"/>
      <c r="I76" s="285" t="s">
        <v>8250</v>
      </c>
      <c r="J76" s="284" t="s">
        <v>8250</v>
      </c>
      <c r="K76" s="286" t="s">
        <v>8250</v>
      </c>
      <c r="L76" s="286" t="s">
        <v>8250</v>
      </c>
      <c r="M76" s="285" t="s">
        <v>8250</v>
      </c>
    </row>
    <row r="77" spans="1:19" outlineLevel="1" x14ac:dyDescent="0.25"/>
    <row r="78" spans="1:19" outlineLevel="1" x14ac:dyDescent="0.25">
      <c r="A78" s="155" t="s">
        <v>8269</v>
      </c>
      <c r="K78" s="299" t="s">
        <v>8270</v>
      </c>
      <c r="M78" s="151"/>
    </row>
    <row r="79" spans="1:19" outlineLevel="1" x14ac:dyDescent="0.25">
      <c r="A79" s="155" t="s">
        <v>8502</v>
      </c>
    </row>
    <row r="80" spans="1:19" outlineLevel="1" x14ac:dyDescent="0.25">
      <c r="A80" s="279" t="s">
        <v>8244</v>
      </c>
      <c r="B80" s="277" t="s">
        <v>8260</v>
      </c>
      <c r="C80" s="278"/>
      <c r="D80" s="277" t="s">
        <v>8261</v>
      </c>
      <c r="E80" s="278"/>
      <c r="F80" s="277" t="s">
        <v>8262</v>
      </c>
      <c r="G80" s="278"/>
      <c r="H80" s="277" t="s">
        <v>8263</v>
      </c>
      <c r="I80" s="278"/>
      <c r="J80" s="277" t="s">
        <v>8264</v>
      </c>
      <c r="K80" s="278"/>
      <c r="L80" s="277" t="s">
        <v>8265</v>
      </c>
      <c r="M80" s="278"/>
      <c r="N80" s="277" t="s">
        <v>8266</v>
      </c>
      <c r="O80" s="278"/>
      <c r="P80" s="277" t="s">
        <v>8267</v>
      </c>
      <c r="Q80" s="278"/>
      <c r="R80" s="277" t="s">
        <v>8268</v>
      </c>
      <c r="S80" s="278"/>
    </row>
    <row r="81" spans="1:19" outlineLevel="1" x14ac:dyDescent="0.25">
      <c r="A81" s="164" t="s">
        <v>8346</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8342</v>
      </c>
      <c r="B82" s="315" t="s">
        <v>8303</v>
      </c>
      <c r="C82" s="316">
        <v>10</v>
      </c>
      <c r="D82" s="315" t="s">
        <v>8329</v>
      </c>
      <c r="E82" s="316">
        <v>10</v>
      </c>
      <c r="F82" s="315" t="s">
        <v>8312</v>
      </c>
      <c r="G82" s="316">
        <v>10</v>
      </c>
      <c r="H82" s="315" t="s">
        <v>8320</v>
      </c>
      <c r="I82" s="316">
        <v>10</v>
      </c>
      <c r="J82" s="315" t="s">
        <v>8332</v>
      </c>
      <c r="K82" s="316">
        <v>10</v>
      </c>
      <c r="L82" s="315" t="s">
        <v>638</v>
      </c>
      <c r="M82" s="316">
        <v>10</v>
      </c>
      <c r="N82" s="315" t="s">
        <v>8305</v>
      </c>
      <c r="O82" s="316">
        <v>10</v>
      </c>
      <c r="P82" s="315" t="s">
        <v>640</v>
      </c>
      <c r="Q82" s="316">
        <v>10</v>
      </c>
      <c r="R82" s="315" t="s">
        <v>8308</v>
      </c>
      <c r="S82" s="316">
        <v>10</v>
      </c>
    </row>
    <row r="83" spans="1:19" s="256" customFormat="1" outlineLevel="1" x14ac:dyDescent="0.25">
      <c r="A83" s="132" t="s">
        <v>8343</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8344</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8345</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8245</v>
      </c>
      <c r="B87" s="277" t="s">
        <v>8260</v>
      </c>
      <c r="C87" s="278"/>
      <c r="D87" s="277" t="s">
        <v>8261</v>
      </c>
      <c r="E87" s="278"/>
      <c r="F87" s="277" t="s">
        <v>8262</v>
      </c>
      <c r="G87" s="278"/>
      <c r="H87" s="277" t="s">
        <v>8263</v>
      </c>
      <c r="I87" s="278"/>
      <c r="J87" s="277" t="s">
        <v>8264</v>
      </c>
      <c r="K87" s="278"/>
      <c r="L87" s="277" t="s">
        <v>8265</v>
      </c>
      <c r="M87" s="278"/>
      <c r="N87" s="277" t="s">
        <v>8266</v>
      </c>
      <c r="O87" s="278"/>
      <c r="P87" s="277" t="s">
        <v>8267</v>
      </c>
      <c r="Q87" s="278"/>
      <c r="R87" s="277" t="s">
        <v>8268</v>
      </c>
      <c r="S87" s="278"/>
    </row>
    <row r="88" spans="1:19" s="256" customFormat="1" outlineLevel="1" x14ac:dyDescent="0.25">
      <c r="A88" s="164" t="s">
        <v>8346</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8342</v>
      </c>
      <c r="B89" s="306" t="s">
        <v>8303</v>
      </c>
      <c r="C89" s="154">
        <v>10</v>
      </c>
      <c r="D89" s="307" t="s">
        <v>8320</v>
      </c>
      <c r="E89" s="154">
        <v>10</v>
      </c>
      <c r="F89" s="307" t="s">
        <v>8321</v>
      </c>
      <c r="G89" s="154">
        <v>10</v>
      </c>
      <c r="H89" s="307" t="s">
        <v>8330</v>
      </c>
      <c r="I89" s="154">
        <v>10</v>
      </c>
      <c r="J89" s="307" t="s">
        <v>8333</v>
      </c>
      <c r="K89" s="154">
        <v>10</v>
      </c>
      <c r="L89" s="307" t="s">
        <v>638</v>
      </c>
      <c r="M89" s="154">
        <v>10</v>
      </c>
      <c r="N89" s="307" t="s">
        <v>8305</v>
      </c>
      <c r="O89" s="154">
        <v>10</v>
      </c>
      <c r="P89" s="307" t="s">
        <v>640</v>
      </c>
      <c r="Q89" s="154">
        <v>10</v>
      </c>
      <c r="R89" s="307" t="s">
        <v>8308</v>
      </c>
      <c r="S89" s="154">
        <v>10</v>
      </c>
    </row>
    <row r="90" spans="1:19" s="256" customFormat="1" outlineLevel="1" x14ac:dyDescent="0.25">
      <c r="A90" s="132" t="s">
        <v>8343</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8344</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8345</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8534</v>
      </c>
    </row>
    <row r="96" spans="1:19" outlineLevel="1" x14ac:dyDescent="0.25">
      <c r="A96" s="159" t="s">
        <v>1773</v>
      </c>
      <c r="B96" s="159"/>
      <c r="C96" s="159"/>
      <c r="D96" s="159"/>
      <c r="E96" s="159"/>
      <c r="F96" s="159"/>
      <c r="G96" s="159"/>
      <c r="H96" s="159"/>
      <c r="I96" s="159"/>
      <c r="J96" s="159"/>
    </row>
    <row r="97" spans="1:19" outlineLevel="1" x14ac:dyDescent="0.25">
      <c r="A97" s="190"/>
      <c r="B97" s="191"/>
      <c r="C97" s="192"/>
      <c r="D97" s="163" t="s">
        <v>8661</v>
      </c>
      <c r="E97" s="161"/>
      <c r="F97" s="162"/>
      <c r="G97" s="163" t="s">
        <v>769</v>
      </c>
      <c r="H97" s="161"/>
      <c r="I97" s="162"/>
      <c r="J97" s="163" t="s">
        <v>8536</v>
      </c>
      <c r="K97" s="161"/>
      <c r="L97" s="161"/>
      <c r="M97" s="161"/>
      <c r="N97" s="161"/>
      <c r="O97" s="161"/>
      <c r="P97" s="161"/>
      <c r="Q97" s="161"/>
      <c r="R97" s="161"/>
      <c r="S97" s="162"/>
    </row>
    <row r="98" spans="1:19" outlineLevel="1" x14ac:dyDescent="0.25">
      <c r="A98" s="167" t="s">
        <v>853</v>
      </c>
      <c r="B98" s="167" t="s">
        <v>856</v>
      </c>
      <c r="C98" s="166" t="s">
        <v>8</v>
      </c>
      <c r="D98" s="165" t="s">
        <v>18</v>
      </c>
      <c r="E98" s="165" t="s">
        <v>6874</v>
      </c>
      <c r="F98" s="166" t="s">
        <v>8662</v>
      </c>
      <c r="G98" s="165">
        <v>1</v>
      </c>
      <c r="H98" s="165">
        <v>2</v>
      </c>
      <c r="I98" s="166">
        <v>3</v>
      </c>
      <c r="J98" s="167" t="s">
        <v>8537</v>
      </c>
      <c r="K98" s="165" t="s">
        <v>8538</v>
      </c>
      <c r="L98" s="165" t="s">
        <v>8539</v>
      </c>
      <c r="M98" s="165" t="s">
        <v>8540</v>
      </c>
      <c r="N98" s="165" t="s">
        <v>8541</v>
      </c>
      <c r="O98" s="165" t="s">
        <v>8542</v>
      </c>
      <c r="P98" s="165" t="s">
        <v>8543</v>
      </c>
      <c r="Q98" s="165" t="s">
        <v>8544</v>
      </c>
      <c r="R98" s="165" t="s">
        <v>8545</v>
      </c>
      <c r="S98" s="166" t="s">
        <v>8546</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1742</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6765</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8510</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8001</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1774</v>
      </c>
    </row>
    <row r="112" spans="1:19" s="184" customFormat="1" outlineLevel="1" x14ac:dyDescent="0.25">
      <c r="A112" s="160"/>
      <c r="B112" s="191"/>
      <c r="C112" s="239"/>
      <c r="D112" s="161" t="s">
        <v>1766</v>
      </c>
      <c r="E112" s="161"/>
      <c r="F112" s="161"/>
      <c r="G112" s="162"/>
      <c r="H112" s="161" t="s">
        <v>769</v>
      </c>
      <c r="I112" s="161"/>
      <c r="J112" s="161"/>
      <c r="K112" s="162"/>
      <c r="L112" s="161" t="s">
        <v>1032</v>
      </c>
      <c r="M112" s="162"/>
      <c r="N112" s="186" t="s">
        <v>1767</v>
      </c>
    </row>
    <row r="113" spans="1:16" s="184" customFormat="1" outlineLevel="1" x14ac:dyDescent="0.25">
      <c r="A113" s="164" t="s">
        <v>853</v>
      </c>
      <c r="B113" s="167" t="s">
        <v>1031</v>
      </c>
      <c r="C113" s="166" t="s">
        <v>8</v>
      </c>
      <c r="D113" s="165" t="s">
        <v>18</v>
      </c>
      <c r="E113" s="165" t="s">
        <v>6874</v>
      </c>
      <c r="F113" s="165" t="s">
        <v>6875</v>
      </c>
      <c r="G113" s="166" t="s">
        <v>60</v>
      </c>
      <c r="H113" s="165">
        <v>1</v>
      </c>
      <c r="I113" s="165">
        <v>2</v>
      </c>
      <c r="J113" s="165">
        <v>3</v>
      </c>
      <c r="K113" s="166">
        <v>4</v>
      </c>
      <c r="L113" s="165">
        <v>1</v>
      </c>
      <c r="M113" s="166">
        <v>2</v>
      </c>
      <c r="N113" s="209" t="s">
        <v>1772</v>
      </c>
    </row>
    <row r="114" spans="1:16" outlineLevel="1" x14ac:dyDescent="0.25">
      <c r="A114" s="243"/>
      <c r="B114" s="244">
        <v>1</v>
      </c>
      <c r="C114" s="245" t="s">
        <v>1696</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979</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982</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988</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987</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6923</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8535</v>
      </c>
    </row>
    <row r="123" spans="1:16" outlineLevel="1" x14ac:dyDescent="0.25">
      <c r="A123" s="159" t="s">
        <v>8728</v>
      </c>
      <c r="B123" s="159"/>
      <c r="C123" s="159"/>
      <c r="E123" s="214"/>
    </row>
    <row r="124" spans="1:16" outlineLevel="1" x14ac:dyDescent="0.25">
      <c r="A124" s="193" t="s">
        <v>8726</v>
      </c>
      <c r="B124" s="181" t="s">
        <v>783</v>
      </c>
      <c r="C124" s="182" t="s">
        <v>769</v>
      </c>
      <c r="D124" s="181" t="s">
        <v>6591</v>
      </c>
      <c r="E124" s="182" t="s">
        <v>769</v>
      </c>
      <c r="F124" s="181" t="s">
        <v>7095</v>
      </c>
      <c r="G124" s="182" t="s">
        <v>1767</v>
      </c>
      <c r="H124" s="181" t="s">
        <v>8727</v>
      </c>
      <c r="I124" s="182" t="s">
        <v>1767</v>
      </c>
    </row>
    <row r="125" spans="1:16" outlineLevel="1" x14ac:dyDescent="0.25">
      <c r="A125" s="231">
        <v>1</v>
      </c>
      <c r="B125" s="194"/>
      <c r="C125" s="175"/>
      <c r="D125" s="194"/>
      <c r="E125" s="175"/>
      <c r="F125" s="194"/>
      <c r="G125" s="175"/>
      <c r="H125" s="194"/>
      <c r="I125" s="175"/>
    </row>
    <row r="126" spans="1:16" outlineLevel="1" x14ac:dyDescent="0.25">
      <c r="A126" s="231">
        <v>2</v>
      </c>
      <c r="B126" s="195"/>
      <c r="C126" s="175"/>
      <c r="D126" s="195"/>
      <c r="E126" s="175"/>
      <c r="F126" s="195"/>
      <c r="G126" s="175"/>
      <c r="H126" s="195"/>
      <c r="I126" s="175"/>
    </row>
    <row r="127" spans="1:16" outlineLevel="1" x14ac:dyDescent="0.25">
      <c r="A127" s="167">
        <v>3</v>
      </c>
      <c r="B127" s="196"/>
      <c r="C127" s="154"/>
      <c r="D127" s="196"/>
      <c r="E127" s="154"/>
      <c r="F127" s="196"/>
      <c r="G127" s="154"/>
      <c r="H127" s="196"/>
      <c r="I127" s="154"/>
    </row>
    <row r="128" spans="1:16" outlineLevel="1" x14ac:dyDescent="0.25">
      <c r="A128" s="189"/>
      <c r="B128" s="189"/>
      <c r="C128" s="189"/>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04B70D2-C0BE-4876-AD0C-DE38628E412E}">
      <formula1>"1,2,3,4,5"</formula1>
    </dataValidation>
    <dataValidation type="list" allowBlank="1" showInputMessage="1" showErrorMessage="1" sqref="C125:C127" xr:uid="{712A14D6-A691-48E3-B11F-4D436FF99545}">
      <formula1>"1,2,3,4,5,6,7,8,9,10"</formula1>
    </dataValidation>
    <dataValidation type="whole" allowBlank="1" showInputMessage="1" showErrorMessage="1" sqref="D59:D67 D114:D119 D30 E9" xr:uid="{B5EA5A1F-D2B4-475B-A59A-ABE4B9861262}">
      <formula1>1</formula1>
      <formula2>100</formula2>
    </dataValidation>
    <dataValidation type="custom" allowBlank="1" showInputMessage="1" showErrorMessage="1" sqref="H28:J30" xr:uid="{F6730526-4600-46A7-B78C-B4000BB36225}">
      <formula1>AND(COUNTA($H$28:$J$30)&lt;=5,COUNTIF($H$28:$J$30,1)&lt;=1,COUNTIF($H$28:$J$30,2)&lt;=1,COUNTIF($H$28:$J$30,3)&lt;=1,COUNTIF($H$28:$J$30,4)&lt;=1,COUNTIF($H$28:$J$30,5)&lt;=1)</formula1>
    </dataValidation>
    <dataValidation type="list" allowBlank="1" showInputMessage="1" showErrorMessage="1" sqref="B9" xr:uid="{CD960017-1F6A-4509-86E6-D88A256EAF90}">
      <formula1>"Yellow,Red,Blue,White"</formula1>
    </dataValidation>
    <dataValidation type="list" allowBlank="1" showInputMessage="1" showErrorMessage="1" sqref="Q58 AC19 E10:E11" xr:uid="{8AFB6DF4-6729-4FF0-8D57-B8BC9702D1C9}">
      <formula1>"TRUE,FALSE"</formula1>
    </dataValidation>
    <dataValidation type="list" allowBlank="1" showInputMessage="1" showErrorMessage="1" sqref="B8" xr:uid="{4D1173CC-29C1-4354-B866-82ADFA8D3024}">
      <formula1>"Day,Night,TargetTrain"</formula1>
    </dataValidation>
    <dataValidation type="whole" allowBlank="1" showInputMessage="1" showErrorMessage="1" sqref="B10" xr:uid="{4444661D-282A-4015-9F22-8F24AD06D7E8}">
      <formula1>1</formula1>
      <formula2>99</formula2>
    </dataValidation>
    <dataValidation type="whole" operator="greaterThan" allowBlank="1" showInputMessage="1" showErrorMessage="1" sqref="E8" xr:uid="{AE8B411E-3721-420B-93B9-44027ACF39B0}">
      <formula1>0</formula1>
    </dataValidation>
    <dataValidation type="whole" operator="greaterThanOrEqual" allowBlank="1" showInputMessage="1" showErrorMessage="1" sqref="Y21:AC25 Y34:AC34 D109:I109" xr:uid="{3224C8E7-8CF4-44A7-837A-400456166B91}">
      <formula1>0</formula1>
    </dataValidation>
    <dataValidation type="list" allowBlank="1" showInputMessage="1" showErrorMessage="1" sqref="B16" xr:uid="{8CFD4DB3-65C8-4A3D-882A-BBAB886FBE00}">
      <formula1>ListOfPresets</formula1>
    </dataValidation>
    <dataValidation type="list" allowBlank="1" showInputMessage="1" showErrorMessage="1" sqref="F59:F67 F114:F119 I34 I21:I25" xr:uid="{6F7E3C18-400B-4920-91AC-90E413EBCCF2}">
      <formula1>"0,1,2,3,4"</formula1>
    </dataValidation>
    <dataValidation type="list" allowBlank="1" showInputMessage="1" showErrorMessage="1" sqref="E125:E127 E30 E89 N34 N21:N25 G34:H34 G21:H25 R34 R21:R25 V34 V21:V25 G89 I89 K89 M89 O89 Q89 S89 C89 S82 Q82 O82 M82 K82 I82 G82 E82 C82 J109:S109 D109 E99:I109" xr:uid="{96A24C9B-1E87-4373-A394-A29809CFC82E}">
      <formula1>"0,1,2,3,4,5,6,7,8,9,10"</formula1>
    </dataValidation>
    <dataValidation type="custom" allowBlank="1" showInputMessage="1" showErrorMessage="1" errorTitle="Error:" error="Input must:_x000a_- Be an integer from 1 to 5_x000a_- Not be smaller than the base rarity" sqref="E59:E67" xr:uid="{3325DF64-D539-4275-9C79-FEF7FCE937C1}">
      <formula1>AND(OR(E59=1,E59=2,E59=3,E59=4,E59=5),E59&gt;=B59)</formula1>
    </dataValidation>
    <dataValidation type="list" allowBlank="1" showInputMessage="1" showErrorMessage="1" sqref="G59:G67" xr:uid="{FBA56B65-E322-40D7-BB85-9216452A4ADA}">
      <formula1>"XS,S,M,L,XL"</formula1>
    </dataValidation>
    <dataValidation type="list" allowBlank="1" showInputMessage="1" showErrorMessage="1" sqref="B7" xr:uid="{E048D486-A578-466A-AA77-44AE6EAB4849}">
      <formula1>"G&amp;K,SF"</formula1>
    </dataValidation>
    <dataValidation type="custom" allowBlank="1" showInputMessage="1" showErrorMessage="1" sqref="H59:H67" xr:uid="{00185071-82C9-44C2-B1B7-92830B0630B8}">
      <formula1>IF($B59&lt;3,AND(H59&gt;=0,H59&lt;=100,H59=INT(H59)),AND(H59&gt;=0,H59&lt;=150,H59=INT(H59)))</formula1>
    </dataValidation>
    <dataValidation type="custom" allowBlank="1" showInputMessage="1" showErrorMessage="1" sqref="S60:U62" xr:uid="{B87D397C-ED1F-40E3-8A3A-9C0D7AECA903}">
      <formula1>AND(S60&gt;=1,S60&lt;=9,S60=INT(S60),COUNTIF($S$60:$U$62,S60)&lt;=1)</formula1>
    </dataValidation>
    <dataValidation type="custom" allowBlank="1" showInputMessage="1" showErrorMessage="1" sqref="A99:A109 A114:A119 B75:B76" xr:uid="{F72BF0A7-1672-4661-8177-FD5BA30CEE38}">
      <formula1>A75="X"</formula1>
    </dataValidation>
    <dataValidation type="custom" allowBlank="1" showInputMessage="1" showErrorMessage="1" sqref="I59:J67" xr:uid="{73524C6C-8B8B-4996-8E6F-7269741222D5}">
      <formula1>IF($B59=3,AND(I59&gt;=0,I59&lt;=10,I59=INT(I59)),AND(I59&gt;=0,I59&lt;=5,I59=INT(I59)))</formula1>
    </dataValidation>
    <dataValidation type="custom" allowBlank="1" showInputMessage="1" showErrorMessage="1" sqref="K59:L67 J114:K119" xr:uid="{814C1DE1-3AEF-4077-9D2C-152C3A47E750}">
      <formula1>AND(J59&gt;=0,J59&lt;=5,J59=INT(J59))</formula1>
    </dataValidation>
    <dataValidation type="custom" allowBlank="1" showInputMessage="1" showErrorMessage="1" errorTitle="Error:" error="Input must:_x000a_- Be an integer from 1 to 5_x000a_- Not be smaller than the base rarity" sqref="E114:E119" xr:uid="{EE38A454-8673-4F22-9642-4F6B38C06F44}">
      <formula1>AND(OR(E114=1,E114=2,E114=3,E114=4,E114=5),E114&gt;=3)</formula1>
    </dataValidation>
    <dataValidation type="custom" allowBlank="1" showInputMessage="1" showErrorMessage="1" sqref="G114:G119" xr:uid="{BF163583-4330-4956-85A8-35B2AE66BB23}">
      <formula1>AND(G114&gt;=0,G114&lt;=150,G114=INT(G114))</formula1>
    </dataValidation>
    <dataValidation type="custom" allowBlank="1" showInputMessage="1" showErrorMessage="1" sqref="H114:I119" xr:uid="{3A092952-C854-4956-AF44-54EDEABE5063}">
      <formula1>AND(H114&gt;=0,H114&lt;=10,H114=INT(H114))</formula1>
    </dataValidation>
    <dataValidation operator="greaterThan" allowBlank="1" showInputMessage="1" showErrorMessage="1" sqref="E7" xr:uid="{4CDC25A4-CE7F-4506-BFE4-7073E26DC96B}"/>
    <dataValidation type="list" allowBlank="1" showInputMessage="1" showErrorMessage="1" sqref="B54:C54" xr:uid="{11603FEC-74BF-4555-989A-3B4F979DF5C4}">
      <formula1>ListOfPresetsSF</formula1>
    </dataValidation>
    <dataValidation type="whole" allowBlank="1" showInputMessage="1" showErrorMessage="1" sqref="B11" xr:uid="{6DE06F07-D077-469B-B72E-FF7699E8563C}">
      <formula1>1</formula1>
      <formula2>9999</formula2>
    </dataValidation>
    <dataValidation type="whole" operator="greaterThanOrEqual" allowBlank="1" showInputMessage="1" showErrorMessage="1" sqref="F125:F127" xr:uid="{E15668A0-3A7F-43F8-B5B1-79B638E6F743}">
      <formula1>1</formula1>
    </dataValidation>
    <dataValidation type="whole" allowBlank="1" showInputMessage="1" showErrorMessage="1" sqref="E21:E25 E34 D75:D76 K75 F75 H75 D99:D108" xr:uid="{AB5B9B81-1644-43E3-8F53-ECCE4B1199AE}">
      <formula1>1</formula1>
      <formula2>120</formula2>
    </dataValidation>
    <dataValidation type="whole" allowBlank="1" showInputMessage="1" showErrorMessage="1" sqref="J21:J25 J34" xr:uid="{6B8DF43A-C3DB-4AF8-A8B0-B33EED64B254}">
      <formula1>0</formula1>
      <formula2>200</formula2>
    </dataValidation>
    <dataValidation type="list" allowBlank="1" showInputMessage="1" showErrorMessage="1" sqref="B12" xr:uid="{A3B47A67-BD63-4A84-8BC6-80562A4E6D1F}">
      <formula1>"Off,Support,RangeCombat,Combat"</formula1>
    </dataValidation>
    <dataValidation type="list" allowBlank="1" showInputMessage="1" showErrorMessage="1" sqref="J75" xr:uid="{F7740829-0840-475F-AE02-87A341C1B172}">
      <formula1>"Doll,SF,HOC"</formula1>
    </dataValidation>
    <dataValidation type="list" allowBlank="1" showInputMessage="1" showErrorMessage="1" sqref="C75:C76" xr:uid="{155640BC-F4A5-4726-93F5-EE855F2BE7B2}">
      <formula1>"1,2,3,4,5,6,7,8,9,10,11,12,13,14,15"</formula1>
    </dataValidation>
    <dataValidation type="list" allowBlank="1" showInputMessage="1" showErrorMessage="1" sqref="J99:S108" xr:uid="{C9D59413-E07D-4898-9931-18DC7ED9BBD9}">
      <formula1>"0,1,2,3,4,5,6,7,8,9,10,11,12,13,14,15,16,17,18,19,20"</formula1>
    </dataValidation>
    <dataValidation type="list" operator="greaterThanOrEqual" allowBlank="1" showInputMessage="1" showErrorMessage="1" sqref="F99:I108" xr:uid="{00193047-94F6-4DF2-B451-B6545FBA9E67}">
      <formula1>"0,1,2,3,4,5,6,7,8,9,10"</formula1>
    </dataValidation>
    <dataValidation type="list" operator="greaterThanOrEqual" allowBlank="1" showInputMessage="1" showErrorMessage="1" sqref="E99:E108" xr:uid="{7FC10EDC-F6F8-426E-8FBA-B5849D23423D}">
      <formula1>"1,2,3,4,5"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8">
        <x14:dataValidation type="list" allowBlank="1" showInputMessage="1" showErrorMessage="1" xr:uid="{EE133C25-4886-4E68-A573-001BC9289508}">
          <x14:formula1>
            <xm:f>'Fairy Data'!$B$2:$B$101</xm:f>
          </x14:formula1>
          <xm:sqref>B30</xm:sqref>
        </x14:dataValidation>
        <x14:dataValidation type="list" allowBlank="1" showInputMessage="1" showErrorMessage="1" xr:uid="{F3B368A5-7FE8-42AE-A47C-515E3BF251F1}">
          <x14:formula1>
            <xm:f>'Talent Data'!$A$2:$A$100</xm:f>
          </x14:formula1>
          <xm:sqref>F30</xm:sqref>
        </x14:dataValidation>
        <x14:dataValidation type="list" allowBlank="1" showInputMessage="1" showErrorMessage="1" xr:uid="{1818F704-50B0-45B0-8F36-608E11A58012}">
          <x14:formula1>
            <xm:f>'SF Data'!$C$2:$C$1048576</xm:f>
          </x14:formula1>
          <xm:sqref>C59:C67</xm:sqref>
        </x14:dataValidation>
        <x14:dataValidation type="list" allowBlank="1" showInputMessage="1" showErrorMessage="1" xr:uid="{BF5D494E-98E1-4EB5-8522-E981FEE11ADC}">
          <x14:formula1>
            <xm:f>'SF Chip Data'!$B$2:$B$1048576</xm:f>
          </x14:formula1>
          <xm:sqref>M59:N67 L114:M119</xm:sqref>
        </x14:dataValidation>
        <x14:dataValidation type="list" allowBlank="1" showInputMessage="1" showErrorMessage="1" xr:uid="{3229B3FA-CB1C-41C6-93FF-7D6F4B5D5178}">
          <x14:formula1>
            <xm:f>Dropdowns!$AZ$3:$AZ$252</xm:f>
          </x14:formula1>
          <xm:sqref>D21</xm:sqref>
        </x14:dataValidation>
        <x14:dataValidation type="list" allowBlank="1" showInputMessage="1" showErrorMessage="1" xr:uid="{38E2B01D-CCEA-4D04-8729-7B08AD3FA005}">
          <x14:formula1>
            <xm:f>Dropdowns!$BA$3:$BA$252</xm:f>
          </x14:formula1>
          <xm:sqref>D22</xm:sqref>
        </x14:dataValidation>
        <x14:dataValidation type="list" allowBlank="1" showInputMessage="1" showErrorMessage="1" xr:uid="{F0860B6B-AE45-4F28-B13D-1387B5710B22}">
          <x14:formula1>
            <xm:f>Dropdowns!$BB$3:$BB$252</xm:f>
          </x14:formula1>
          <xm:sqref>D23</xm:sqref>
        </x14:dataValidation>
        <x14:dataValidation type="list" allowBlank="1" showInputMessage="1" showErrorMessage="1" xr:uid="{71AAB46E-9D8D-4805-A69E-0B14BAEAFF4A}">
          <x14:formula1>
            <xm:f>Dropdowns!$BC$3:$BC$252</xm:f>
          </x14:formula1>
          <xm:sqref>D24</xm:sqref>
        </x14:dataValidation>
        <x14:dataValidation type="list" allowBlank="1" showInputMessage="1" showErrorMessage="1" xr:uid="{20A1C289-862D-4539-81B6-81AB9E1085BA}">
          <x14:formula1>
            <xm:f>Dropdowns!$BE$2:$BE$252</xm:f>
          </x14:formula1>
          <xm:sqref>M21</xm:sqref>
        </x14:dataValidation>
        <x14:dataValidation type="list" allowBlank="1" showInputMessage="1" showErrorMessage="1" xr:uid="{A714C470-376B-4F88-AFA5-3BEB6DCB78A8}">
          <x14:formula1>
            <xm:f>Dropdowns!$BF$3:$BF$252</xm:f>
          </x14:formula1>
          <xm:sqref>M22</xm:sqref>
        </x14:dataValidation>
        <x14:dataValidation type="list" allowBlank="1" showInputMessage="1" showErrorMessage="1" xr:uid="{936813E4-9421-495F-846C-E2EB82432814}">
          <x14:formula1>
            <xm:f>Dropdowns!$BG$3:$BG$252</xm:f>
          </x14:formula1>
          <xm:sqref>M23</xm:sqref>
        </x14:dataValidation>
        <x14:dataValidation type="list" allowBlank="1" showInputMessage="1" showErrorMessage="1" xr:uid="{6CC61CDF-3E9E-4BCD-BBF4-3E2E78E55A63}">
          <x14:formula1>
            <xm:f>Dropdowns!$BH$3:$BH$252</xm:f>
          </x14:formula1>
          <xm:sqref>M24</xm:sqref>
        </x14:dataValidation>
        <x14:dataValidation type="list" allowBlank="1" showInputMessage="1" showErrorMessage="1" xr:uid="{FB5AC7DF-6043-4CD9-A4A4-5115CD3CCA3B}">
          <x14:formula1>
            <xm:f>Dropdowns!$BJ$3:$BJ$252</xm:f>
          </x14:formula1>
          <xm:sqref>Q21</xm:sqref>
        </x14:dataValidation>
        <x14:dataValidation type="list" allowBlank="1" showInputMessage="1" showErrorMessage="1" xr:uid="{63E95F66-2C1F-4B73-A638-2B5CDB7E7C95}">
          <x14:formula1>
            <xm:f>Dropdowns!$BK$3:$BK$252</xm:f>
          </x14:formula1>
          <xm:sqref>Q22</xm:sqref>
        </x14:dataValidation>
        <x14:dataValidation type="list" allowBlank="1" showInputMessage="1" showErrorMessage="1" xr:uid="{063EBFFE-B406-4D86-B2AC-E3FA9A3C39C1}">
          <x14:formula1>
            <xm:f>Dropdowns!$BL$3:$BL$252</xm:f>
          </x14:formula1>
          <xm:sqref>Q23</xm:sqref>
        </x14:dataValidation>
        <x14:dataValidation type="list" allowBlank="1" showInputMessage="1" showErrorMessage="1" xr:uid="{8807D703-2F73-499C-B0BC-1DC86189FF90}">
          <x14:formula1>
            <xm:f>Dropdowns!$BM$3:$BM$252</xm:f>
          </x14:formula1>
          <xm:sqref>Q24</xm:sqref>
        </x14:dataValidation>
        <x14:dataValidation type="list" allowBlank="1" showInputMessage="1" showErrorMessage="1" xr:uid="{667DD2D5-1617-483B-9C95-4FE6A879A1D7}">
          <x14:formula1>
            <xm:f>Dropdowns!$BO$3:$BO$252</xm:f>
          </x14:formula1>
          <xm:sqref>U21</xm:sqref>
        </x14:dataValidation>
        <x14:dataValidation type="list" allowBlank="1" showInputMessage="1" showErrorMessage="1" xr:uid="{C3161BC7-533F-4C45-8957-A1DE57586173}">
          <x14:formula1>
            <xm:f>Dropdowns!$BP$3:$BP$252</xm:f>
          </x14:formula1>
          <xm:sqref>U22</xm:sqref>
        </x14:dataValidation>
        <x14:dataValidation type="list" allowBlank="1" showInputMessage="1" showErrorMessage="1" xr:uid="{1FDB4C4F-8348-47AC-BAFD-3373AD583E8A}">
          <x14:formula1>
            <xm:f>Dropdowns!$BQ$3:$BQ$252</xm:f>
          </x14:formula1>
          <xm:sqref>U23</xm:sqref>
        </x14:dataValidation>
        <x14:dataValidation type="list" allowBlank="1" showInputMessage="1" showErrorMessage="1" xr:uid="{882FEEDF-D3F0-434B-A57D-4AEFD61D3C06}">
          <x14:formula1>
            <xm:f>Dropdowns!$BR$3:$BR$252</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9FC1AE2E-A4B8-44AF-B6FA-B0962F029B71}">
          <x14:formula1>
            <xm:f>Dropdowns!$BU$2:$BU$50</xm:f>
          </x14:formula1>
          <xm:sqref>N114:N119 G125:G127 I125:I127</xm:sqref>
        </x14:dataValidation>
        <x14:dataValidation type="list" allowBlank="1" showInputMessage="1" showErrorMessage="1" xr:uid="{169271DB-DADF-49C4-8DA0-8E00FB129B04}">
          <x14:formula1>
            <xm:f>'Strat Buff Data'!$A$2:$A$1048576</xm:f>
          </x14:formula1>
          <xm:sqref>B125:B127</xm:sqref>
        </x14:dataValidation>
        <x14:dataValidation type="list" allowBlank="1" showInputMessage="1" showErrorMessage="1" xr:uid="{DA3EE425-AC1D-40D0-A316-9DF88CD3FE9C}">
          <x14:formula1>
            <xm:f>'Strat Buff Data'!$E$2:$E$1048576</xm:f>
          </x14:formula1>
          <xm:sqref>D125:D127</xm:sqref>
        </x14:dataValidation>
        <x14:dataValidation type="list" allowBlank="1" showInputMessage="1" showErrorMessage="1" xr:uid="{24DA74FC-F29C-4665-BC8F-B8B3AB1D3185}">
          <x14:formula1>
            <xm:f>Dropdowns!$BD$3:$BD$252</xm:f>
          </x14:formula1>
          <xm:sqref>D25 D34</xm:sqref>
        </x14:dataValidation>
        <x14:dataValidation type="list" allowBlank="1" showInputMessage="1" showErrorMessage="1" xr:uid="{3B2EF058-F9FC-49E8-A0AD-BEF6D9924AA5}">
          <x14:formula1>
            <xm:f>Dropdowns!$BS$3:$BS$252</xm:f>
          </x14:formula1>
          <xm:sqref>U25 U34</xm:sqref>
        </x14:dataValidation>
        <x14:dataValidation type="list" allowBlank="1" showInputMessage="1" showErrorMessage="1" xr:uid="{57E24554-D499-4AC6-8026-5DDD15414B4A}">
          <x14:formula1>
            <xm:f>Dropdowns!$B$2:$B$7</xm:f>
          </x14:formula1>
          <xm:sqref>C21:C25 C34</xm:sqref>
        </x14:dataValidation>
        <x14:dataValidation type="list" allowBlank="1" showInputMessage="1" showErrorMessage="1" xr:uid="{CE1C5CDF-C4C7-4636-9C78-F88EBE4D7030}">
          <x14:formula1>
            <xm:f>Dropdowns!$A$2:$A$6</xm:f>
          </x14:formula1>
          <xm:sqref>B21:B25 B34</xm:sqref>
        </x14:dataValidation>
        <x14:dataValidation type="list" allowBlank="1" showInputMessage="1" showErrorMessage="1" xr:uid="{0FF662B7-B617-45B8-88A5-7133A5C67222}">
          <x14:formula1>
            <xm:f>Dropdowns!$AH$1:$AV$1</xm:f>
          </x14:formula1>
          <xm:sqref>T21:T25 L34 L21:L25 P34 P21:P25 T34</xm:sqref>
        </x14:dataValidation>
        <x14:dataValidation type="list" allowBlank="1" showInputMessage="1" showErrorMessage="1" xr:uid="{D9923223-C45F-4B48-829F-98F102A18122}">
          <x14:formula1>
            <xm:f>Dropdowns!$BI$3:$BI$252</xm:f>
          </x14:formula1>
          <xm:sqref>M25 M34</xm:sqref>
        </x14:dataValidation>
        <x14:dataValidation type="list" allowBlank="1" showInputMessage="1" showErrorMessage="1" xr:uid="{910F897C-9A45-4E5B-9F2B-21529EF8C3C9}">
          <x14:formula1>
            <xm:f>Dropdowns!$BN$3:$BN$252</xm:f>
          </x14:formula1>
          <xm:sqref>Q25 Q34</xm:sqref>
        </x14:dataValidation>
        <x14:dataValidation type="list" allowBlank="1" showInputMessage="1" showErrorMessage="1" xr:uid="{E08FBC32-8278-4660-9C52-D4DAAA021100}">
          <x14:formula1>
            <xm:f>'Vehicle Comp'!$B$15:$B$23</xm:f>
          </x14:formula1>
          <xm:sqref>B82</xm:sqref>
        </x14:dataValidation>
        <x14:dataValidation type="list" allowBlank="1" showInputMessage="1" showErrorMessage="1" xr:uid="{763B3961-E67B-4BF9-BCE9-35ACF59B77F7}">
          <x14:formula1>
            <xm:f>'Vehicle Comp'!$B$15:$B$32</xm:f>
          </x14:formula1>
          <xm:sqref>F82 B89</xm:sqref>
        </x14:dataValidation>
        <x14:dataValidation type="list" allowBlank="1" showInputMessage="1" showErrorMessage="1" xr:uid="{EA8ECA84-5945-447D-B2CD-DD861AF626B6}">
          <x14:formula1>
            <xm:f>'Vehicle Comp'!$B$33:$B$43</xm:f>
          </x14:formula1>
          <xm:sqref>D82 H89</xm:sqref>
        </x14:dataValidation>
        <x14:dataValidation type="list" allowBlank="1" showInputMessage="1" showErrorMessage="1" xr:uid="{6BA7EF57-BCA5-43F0-8051-7CAE6451B9C6}">
          <x14:formula1>
            <xm:f>'Vehicle Comp'!$B$24:$B$32</xm:f>
          </x14:formula1>
          <xm:sqref>F89 H82 D89</xm:sqref>
        </x14:dataValidation>
        <x14:dataValidation type="list" allowBlank="1" showInputMessage="1" showErrorMessage="1" xr:uid="{9246FABF-E0DC-48A9-A3A3-8986361C7617}">
          <x14:formula1>
            <xm:f>'Vehicle Comp'!$B$36:$B$43</xm:f>
          </x14:formula1>
          <xm:sqref>J82 J89</xm:sqref>
        </x14:dataValidation>
        <x14:dataValidation type="list" allowBlank="1" showInputMessage="1" showErrorMessage="1" xr:uid="{6563A851-416C-4EBE-A368-4826DAD32CFB}">
          <x14:formula1>
            <xm:f>'Vehicle Comp'!$B$2:$B$14</xm:f>
          </x14:formula1>
          <xm:sqref>P89 R89 L89 R82 P82 N82 L82 N89</xm:sqref>
        </x14:dataValidation>
        <x14:dataValidation type="list" allowBlank="1" showInputMessage="1" showErrorMessage="1" xr:uid="{04AC28A1-8023-445B-81D0-4108AE8BBA5A}">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217D4A0B-A7E4-4B51-AF37-7886D6660EE5}">
          <x14:formula1>
            <xm:f>'Vehicle Substats'!$H$2:$H$44</xm:f>
          </x14:formula1>
          <xm:sqref>C83:C85 E83:E85 G83:G85 I83:I85 K83:K85 M83:M85 O83:O85 Q83:Q85 S83:S85 C90:C92 E90:E92 G90:G92 I90:I92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7688</v>
      </c>
      <c r="B1" s="10" t="s">
        <v>700</v>
      </c>
      <c r="C1" s="10" t="s">
        <v>8</v>
      </c>
      <c r="D1" s="10" t="s">
        <v>701</v>
      </c>
      <c r="E1" s="10" t="s">
        <v>7958</v>
      </c>
      <c r="F1" s="10" t="s">
        <v>7959</v>
      </c>
      <c r="H1" s="10" t="s">
        <v>7960</v>
      </c>
    </row>
    <row r="2" spans="1:8" x14ac:dyDescent="0.25">
      <c r="A2" t="s">
        <v>7689</v>
      </c>
      <c r="B2">
        <v>1</v>
      </c>
      <c r="C2" t="s">
        <v>7318</v>
      </c>
      <c r="D2" t="s">
        <v>7319</v>
      </c>
      <c r="H2" s="9" t="str">
        <f>IF(A2="Y",B2,"")</f>
        <v/>
      </c>
    </row>
    <row r="3" spans="1:8" x14ac:dyDescent="0.25">
      <c r="A3" t="s">
        <v>7689</v>
      </c>
      <c r="B3">
        <v>2</v>
      </c>
      <c r="C3" t="s">
        <v>7320</v>
      </c>
      <c r="D3" t="s">
        <v>7321</v>
      </c>
      <c r="H3" s="9" t="str">
        <f>IF(A3="N",H2,IF(H2="",B3,H2&amp;";"&amp;B3))</f>
        <v/>
      </c>
    </row>
    <row r="4" spans="1:8" x14ac:dyDescent="0.25">
      <c r="A4" t="s">
        <v>7689</v>
      </c>
      <c r="B4">
        <v>3</v>
      </c>
      <c r="C4" t="s">
        <v>7322</v>
      </c>
      <c r="D4" t="s">
        <v>7323</v>
      </c>
      <c r="H4" s="9" t="str">
        <f t="shared" ref="H4:H67" si="0">IF(A4="N",H3,IF(H3="",B4,H3&amp;";"&amp;B4))</f>
        <v/>
      </c>
    </row>
    <row r="5" spans="1:8" x14ac:dyDescent="0.25">
      <c r="A5" t="s">
        <v>7689</v>
      </c>
      <c r="B5">
        <v>4</v>
      </c>
      <c r="C5" t="s">
        <v>7324</v>
      </c>
      <c r="D5" t="s">
        <v>7325</v>
      </c>
      <c r="H5" s="9" t="str">
        <f t="shared" si="0"/>
        <v/>
      </c>
    </row>
    <row r="6" spans="1:8" x14ac:dyDescent="0.25">
      <c r="A6" t="s">
        <v>7689</v>
      </c>
      <c r="B6">
        <v>5</v>
      </c>
      <c r="C6" t="s">
        <v>7326</v>
      </c>
      <c r="D6" t="s">
        <v>7327</v>
      </c>
      <c r="H6" s="9" t="str">
        <f t="shared" si="0"/>
        <v/>
      </c>
    </row>
    <row r="7" spans="1:8" x14ac:dyDescent="0.25">
      <c r="A7" t="s">
        <v>7689</v>
      </c>
      <c r="B7">
        <v>6</v>
      </c>
      <c r="C7" t="s">
        <v>7328</v>
      </c>
      <c r="D7" t="s">
        <v>7329</v>
      </c>
      <c r="H7" s="9" t="str">
        <f t="shared" si="0"/>
        <v/>
      </c>
    </row>
    <row r="8" spans="1:8" x14ac:dyDescent="0.25">
      <c r="A8" t="s">
        <v>7689</v>
      </c>
      <c r="B8">
        <v>7</v>
      </c>
      <c r="C8" t="s">
        <v>7330</v>
      </c>
      <c r="D8" t="s">
        <v>7331</v>
      </c>
      <c r="H8" s="9" t="str">
        <f t="shared" si="0"/>
        <v/>
      </c>
    </row>
    <row r="9" spans="1:8" x14ac:dyDescent="0.25">
      <c r="A9" t="s">
        <v>7689</v>
      </c>
      <c r="B9">
        <v>8</v>
      </c>
      <c r="C9" t="s">
        <v>7332</v>
      </c>
      <c r="D9" t="s">
        <v>7333</v>
      </c>
      <c r="H9" s="9" t="str">
        <f t="shared" si="0"/>
        <v/>
      </c>
    </row>
    <row r="10" spans="1:8" x14ac:dyDescent="0.25">
      <c r="A10" t="s">
        <v>7689</v>
      </c>
      <c r="B10">
        <v>701</v>
      </c>
      <c r="C10" t="s">
        <v>7334</v>
      </c>
      <c r="D10" t="s">
        <v>7335</v>
      </c>
      <c r="H10" s="9" t="str">
        <f t="shared" si="0"/>
        <v/>
      </c>
    </row>
    <row r="11" spans="1:8" x14ac:dyDescent="0.25">
      <c r="A11" t="s">
        <v>7689</v>
      </c>
      <c r="B11">
        <v>702</v>
      </c>
      <c r="C11" t="s">
        <v>7336</v>
      </c>
      <c r="D11" t="s">
        <v>7337</v>
      </c>
      <c r="H11" s="9" t="str">
        <f t="shared" si="0"/>
        <v/>
      </c>
    </row>
    <row r="12" spans="1:8" x14ac:dyDescent="0.25">
      <c r="A12" t="s">
        <v>7689</v>
      </c>
      <c r="B12">
        <v>703</v>
      </c>
      <c r="C12" t="s">
        <v>7338</v>
      </c>
      <c r="D12" t="s">
        <v>7339</v>
      </c>
      <c r="H12" s="9" t="str">
        <f t="shared" si="0"/>
        <v/>
      </c>
    </row>
    <row r="13" spans="1:8" x14ac:dyDescent="0.25">
      <c r="A13" t="s">
        <v>7689</v>
      </c>
      <c r="B13">
        <v>704</v>
      </c>
      <c r="C13" t="s">
        <v>7340</v>
      </c>
      <c r="D13" t="s">
        <v>7341</v>
      </c>
      <c r="H13" s="9" t="str">
        <f t="shared" si="0"/>
        <v/>
      </c>
    </row>
    <row r="14" spans="1:8" x14ac:dyDescent="0.25">
      <c r="A14" t="s">
        <v>7689</v>
      </c>
      <c r="B14">
        <v>705</v>
      </c>
      <c r="C14" t="s">
        <v>7342</v>
      </c>
      <c r="D14" t="s">
        <v>7343</v>
      </c>
      <c r="H14" s="9" t="str">
        <f t="shared" si="0"/>
        <v/>
      </c>
    </row>
    <row r="15" spans="1:8" x14ac:dyDescent="0.25">
      <c r="A15" t="s">
        <v>7689</v>
      </c>
      <c r="B15">
        <v>706</v>
      </c>
      <c r="C15" t="s">
        <v>7344</v>
      </c>
      <c r="D15" t="s">
        <v>7345</v>
      </c>
      <c r="H15" s="9" t="str">
        <f t="shared" si="0"/>
        <v/>
      </c>
    </row>
    <row r="16" spans="1:8" x14ac:dyDescent="0.25">
      <c r="A16" t="s">
        <v>7689</v>
      </c>
      <c r="B16">
        <v>707</v>
      </c>
      <c r="C16" t="s">
        <v>7346</v>
      </c>
      <c r="D16" t="s">
        <v>7347</v>
      </c>
      <c r="H16" s="9" t="str">
        <f t="shared" si="0"/>
        <v/>
      </c>
    </row>
    <row r="17" spans="1:8" x14ac:dyDescent="0.25">
      <c r="A17" t="s">
        <v>7689</v>
      </c>
      <c r="B17">
        <v>708</v>
      </c>
      <c r="C17" t="s">
        <v>7348</v>
      </c>
      <c r="D17" t="s">
        <v>7349</v>
      </c>
      <c r="H17" s="9" t="str">
        <f t="shared" si="0"/>
        <v/>
      </c>
    </row>
    <row r="18" spans="1:8" x14ac:dyDescent="0.25">
      <c r="A18" t="s">
        <v>7689</v>
      </c>
      <c r="B18">
        <v>709</v>
      </c>
      <c r="C18" t="s">
        <v>7350</v>
      </c>
      <c r="D18" t="s">
        <v>7351</v>
      </c>
      <c r="H18" s="9" t="str">
        <f t="shared" si="0"/>
        <v/>
      </c>
    </row>
    <row r="19" spans="1:8" x14ac:dyDescent="0.25">
      <c r="A19" t="s">
        <v>7689</v>
      </c>
      <c r="B19">
        <v>710</v>
      </c>
      <c r="C19" t="s">
        <v>7352</v>
      </c>
      <c r="D19" t="s">
        <v>7353</v>
      </c>
      <c r="H19" s="9" t="str">
        <f t="shared" si="0"/>
        <v/>
      </c>
    </row>
    <row r="20" spans="1:8" x14ac:dyDescent="0.25">
      <c r="A20" t="s">
        <v>7689</v>
      </c>
      <c r="B20">
        <v>711</v>
      </c>
      <c r="C20" t="s">
        <v>7354</v>
      </c>
      <c r="D20" t="s">
        <v>7355</v>
      </c>
      <c r="H20" s="9" t="str">
        <f t="shared" si="0"/>
        <v/>
      </c>
    </row>
    <row r="21" spans="1:8" x14ac:dyDescent="0.25">
      <c r="A21" t="s">
        <v>7689</v>
      </c>
      <c r="B21">
        <v>712</v>
      </c>
      <c r="C21" t="s">
        <v>7356</v>
      </c>
      <c r="D21" t="s">
        <v>7357</v>
      </c>
      <c r="H21" s="9" t="str">
        <f t="shared" si="0"/>
        <v/>
      </c>
    </row>
    <row r="22" spans="1:8" x14ac:dyDescent="0.25">
      <c r="A22" t="s">
        <v>7689</v>
      </c>
      <c r="B22">
        <v>713</v>
      </c>
      <c r="C22" t="s">
        <v>7358</v>
      </c>
      <c r="D22" t="s">
        <v>7359</v>
      </c>
      <c r="H22" s="9" t="str">
        <f t="shared" si="0"/>
        <v/>
      </c>
    </row>
    <row r="23" spans="1:8" x14ac:dyDescent="0.25">
      <c r="A23" t="s">
        <v>7689</v>
      </c>
      <c r="B23">
        <v>714</v>
      </c>
      <c r="C23" t="s">
        <v>7360</v>
      </c>
      <c r="D23" t="s">
        <v>7361</v>
      </c>
      <c r="H23" s="9" t="str">
        <f t="shared" si="0"/>
        <v/>
      </c>
    </row>
    <row r="24" spans="1:8" x14ac:dyDescent="0.25">
      <c r="A24" t="s">
        <v>7689</v>
      </c>
      <c r="B24">
        <v>715</v>
      </c>
      <c r="C24" t="s">
        <v>7362</v>
      </c>
      <c r="D24" t="s">
        <v>7363</v>
      </c>
      <c r="H24" s="9" t="str">
        <f t="shared" si="0"/>
        <v/>
      </c>
    </row>
    <row r="25" spans="1:8" x14ac:dyDescent="0.25">
      <c r="A25" t="s">
        <v>7689</v>
      </c>
      <c r="B25">
        <v>716</v>
      </c>
      <c r="C25" t="s">
        <v>7364</v>
      </c>
      <c r="D25" t="s">
        <v>7365</v>
      </c>
      <c r="H25" s="9" t="str">
        <f t="shared" si="0"/>
        <v/>
      </c>
    </row>
    <row r="26" spans="1:8" x14ac:dyDescent="0.25">
      <c r="A26" t="s">
        <v>7689</v>
      </c>
      <c r="B26">
        <v>717</v>
      </c>
      <c r="C26" t="s">
        <v>7366</v>
      </c>
      <c r="D26" t="s">
        <v>7367</v>
      </c>
      <c r="H26" s="9" t="str">
        <f t="shared" si="0"/>
        <v/>
      </c>
    </row>
    <row r="27" spans="1:8" x14ac:dyDescent="0.25">
      <c r="A27" t="s">
        <v>7689</v>
      </c>
      <c r="B27">
        <v>718</v>
      </c>
      <c r="C27" t="s">
        <v>7368</v>
      </c>
      <c r="D27" t="s">
        <v>7369</v>
      </c>
      <c r="H27" s="9" t="str">
        <f t="shared" si="0"/>
        <v/>
      </c>
    </row>
    <row r="28" spans="1:8" x14ac:dyDescent="0.25">
      <c r="A28" t="s">
        <v>7689</v>
      </c>
      <c r="B28">
        <v>719</v>
      </c>
      <c r="C28" t="s">
        <v>7370</v>
      </c>
      <c r="D28" t="s">
        <v>7371</v>
      </c>
      <c r="H28" s="9" t="str">
        <f t="shared" si="0"/>
        <v/>
      </c>
    </row>
    <row r="29" spans="1:8" x14ac:dyDescent="0.25">
      <c r="A29" t="s">
        <v>7689</v>
      </c>
      <c r="B29">
        <v>720</v>
      </c>
      <c r="C29" t="s">
        <v>7372</v>
      </c>
      <c r="D29" t="s">
        <v>7373</v>
      </c>
      <c r="H29" s="9" t="str">
        <f t="shared" si="0"/>
        <v/>
      </c>
    </row>
    <row r="30" spans="1:8" x14ac:dyDescent="0.25">
      <c r="A30" t="s">
        <v>7689</v>
      </c>
      <c r="B30">
        <v>721</v>
      </c>
      <c r="C30" t="s">
        <v>7374</v>
      </c>
      <c r="D30" t="s">
        <v>7375</v>
      </c>
      <c r="H30" s="9" t="str">
        <f t="shared" si="0"/>
        <v/>
      </c>
    </row>
    <row r="31" spans="1:8" x14ac:dyDescent="0.25">
      <c r="A31" t="s">
        <v>7689</v>
      </c>
      <c r="B31">
        <v>722</v>
      </c>
      <c r="C31" t="s">
        <v>7376</v>
      </c>
      <c r="D31" t="s">
        <v>7377</v>
      </c>
      <c r="H31" s="9" t="str">
        <f t="shared" si="0"/>
        <v/>
      </c>
    </row>
    <row r="32" spans="1:8" x14ac:dyDescent="0.25">
      <c r="A32" t="s">
        <v>7689</v>
      </c>
      <c r="B32">
        <v>723</v>
      </c>
      <c r="C32" t="s">
        <v>7378</v>
      </c>
      <c r="D32" t="s">
        <v>7379</v>
      </c>
      <c r="H32" s="9" t="str">
        <f t="shared" si="0"/>
        <v/>
      </c>
    </row>
    <row r="33" spans="1:8" x14ac:dyDescent="0.25">
      <c r="A33" t="s">
        <v>7689</v>
      </c>
      <c r="B33">
        <v>724</v>
      </c>
      <c r="C33" t="s">
        <v>7380</v>
      </c>
      <c r="D33" t="s">
        <v>7381</v>
      </c>
      <c r="H33" s="9" t="str">
        <f t="shared" si="0"/>
        <v/>
      </c>
    </row>
    <row r="34" spans="1:8" x14ac:dyDescent="0.25">
      <c r="A34" t="s">
        <v>7689</v>
      </c>
      <c r="B34">
        <v>725</v>
      </c>
      <c r="C34" t="s">
        <v>7382</v>
      </c>
      <c r="D34" t="s">
        <v>7383</v>
      </c>
      <c r="H34" s="9" t="str">
        <f t="shared" si="0"/>
        <v/>
      </c>
    </row>
    <row r="35" spans="1:8" x14ac:dyDescent="0.25">
      <c r="A35" t="s">
        <v>7689</v>
      </c>
      <c r="B35">
        <v>726</v>
      </c>
      <c r="C35" t="s">
        <v>7384</v>
      </c>
      <c r="D35" t="s">
        <v>7385</v>
      </c>
      <c r="H35" s="9" t="str">
        <f t="shared" si="0"/>
        <v/>
      </c>
    </row>
    <row r="36" spans="1:8" x14ac:dyDescent="0.25">
      <c r="A36" t="s">
        <v>7689</v>
      </c>
      <c r="B36">
        <v>727</v>
      </c>
      <c r="C36" t="s">
        <v>7386</v>
      </c>
      <c r="D36" t="s">
        <v>7387</v>
      </c>
      <c r="H36" s="9" t="str">
        <f t="shared" si="0"/>
        <v/>
      </c>
    </row>
    <row r="37" spans="1:8" x14ac:dyDescent="0.25">
      <c r="A37" t="s">
        <v>7689</v>
      </c>
      <c r="B37">
        <v>728</v>
      </c>
      <c r="C37" t="s">
        <v>7388</v>
      </c>
      <c r="D37" t="s">
        <v>7389</v>
      </c>
      <c r="H37" s="9" t="str">
        <f t="shared" si="0"/>
        <v/>
      </c>
    </row>
    <row r="38" spans="1:8" x14ac:dyDescent="0.25">
      <c r="A38" t="s">
        <v>7689</v>
      </c>
      <c r="B38">
        <v>729</v>
      </c>
      <c r="C38" t="s">
        <v>7380</v>
      </c>
      <c r="D38" t="s">
        <v>7390</v>
      </c>
      <c r="H38" s="9" t="str">
        <f t="shared" si="0"/>
        <v/>
      </c>
    </row>
    <row r="39" spans="1:8" x14ac:dyDescent="0.25">
      <c r="A39" t="s">
        <v>7689</v>
      </c>
      <c r="B39">
        <v>730</v>
      </c>
      <c r="C39" t="s">
        <v>7391</v>
      </c>
      <c r="D39" t="s">
        <v>7392</v>
      </c>
      <c r="H39" s="9" t="str">
        <f t="shared" si="0"/>
        <v/>
      </c>
    </row>
    <row r="40" spans="1:8" x14ac:dyDescent="0.25">
      <c r="A40" t="s">
        <v>7689</v>
      </c>
      <c r="B40">
        <v>731</v>
      </c>
      <c r="C40" t="s">
        <v>7393</v>
      </c>
      <c r="D40" t="s">
        <v>7394</v>
      </c>
      <c r="H40" s="9" t="str">
        <f t="shared" si="0"/>
        <v/>
      </c>
    </row>
    <row r="41" spans="1:8" x14ac:dyDescent="0.25">
      <c r="A41" t="s">
        <v>7689</v>
      </c>
      <c r="B41">
        <v>732</v>
      </c>
      <c r="C41" t="s">
        <v>7395</v>
      </c>
      <c r="D41" t="s">
        <v>7396</v>
      </c>
      <c r="H41" s="9" t="str">
        <f t="shared" si="0"/>
        <v/>
      </c>
    </row>
    <row r="42" spans="1:8" x14ac:dyDescent="0.25">
      <c r="A42" t="s">
        <v>7689</v>
      </c>
      <c r="B42">
        <v>733</v>
      </c>
      <c r="C42" t="s">
        <v>7397</v>
      </c>
      <c r="D42" t="s">
        <v>7398</v>
      </c>
      <c r="H42" s="9" t="str">
        <f t="shared" si="0"/>
        <v/>
      </c>
    </row>
    <row r="43" spans="1:8" x14ac:dyDescent="0.25">
      <c r="A43" t="s">
        <v>7689</v>
      </c>
      <c r="B43">
        <v>734</v>
      </c>
      <c r="C43" t="s">
        <v>7399</v>
      </c>
      <c r="D43" t="s">
        <v>7400</v>
      </c>
      <c r="H43" s="9" t="str">
        <f t="shared" si="0"/>
        <v/>
      </c>
    </row>
    <row r="44" spans="1:8" x14ac:dyDescent="0.25">
      <c r="A44" t="s">
        <v>7689</v>
      </c>
      <c r="B44">
        <v>735</v>
      </c>
      <c r="C44" t="s">
        <v>7401</v>
      </c>
      <c r="D44" t="s">
        <v>7402</v>
      </c>
      <c r="H44" s="9" t="str">
        <f t="shared" si="0"/>
        <v/>
      </c>
    </row>
    <row r="45" spans="1:8" x14ac:dyDescent="0.25">
      <c r="A45" t="s">
        <v>7689</v>
      </c>
      <c r="B45">
        <v>736</v>
      </c>
      <c r="C45" t="s">
        <v>7403</v>
      </c>
      <c r="D45" t="s">
        <v>7404</v>
      </c>
      <c r="H45" s="9" t="str">
        <f t="shared" si="0"/>
        <v/>
      </c>
    </row>
    <row r="46" spans="1:8" x14ac:dyDescent="0.25">
      <c r="A46" t="s">
        <v>7689</v>
      </c>
      <c r="B46">
        <v>737</v>
      </c>
      <c r="C46" t="s">
        <v>7405</v>
      </c>
      <c r="D46" t="s">
        <v>7406</v>
      </c>
      <c r="H46" s="9" t="str">
        <f t="shared" si="0"/>
        <v/>
      </c>
    </row>
    <row r="47" spans="1:8" x14ac:dyDescent="0.25">
      <c r="A47" t="s">
        <v>7689</v>
      </c>
      <c r="B47">
        <v>738</v>
      </c>
      <c r="C47" t="s">
        <v>7407</v>
      </c>
      <c r="D47" t="s">
        <v>7408</v>
      </c>
      <c r="H47" s="9" t="str">
        <f t="shared" si="0"/>
        <v/>
      </c>
    </row>
    <row r="48" spans="1:8" x14ac:dyDescent="0.25">
      <c r="A48" t="s">
        <v>7689</v>
      </c>
      <c r="B48">
        <v>739</v>
      </c>
      <c r="C48" t="s">
        <v>7409</v>
      </c>
      <c r="D48" t="s">
        <v>7410</v>
      </c>
      <c r="H48" s="9" t="str">
        <f t="shared" si="0"/>
        <v/>
      </c>
    </row>
    <row r="49" spans="1:8" x14ac:dyDescent="0.25">
      <c r="A49" t="s">
        <v>7689</v>
      </c>
      <c r="B49">
        <v>740</v>
      </c>
      <c r="C49" t="s">
        <v>7411</v>
      </c>
      <c r="D49" t="s">
        <v>7412</v>
      </c>
      <c r="H49" s="9" t="str">
        <f t="shared" si="0"/>
        <v/>
      </c>
    </row>
    <row r="50" spans="1:8" x14ac:dyDescent="0.25">
      <c r="A50" t="s">
        <v>7689</v>
      </c>
      <c r="B50">
        <v>741</v>
      </c>
      <c r="C50" t="s">
        <v>7413</v>
      </c>
      <c r="D50" t="s">
        <v>7414</v>
      </c>
      <c r="H50" s="9" t="str">
        <f t="shared" si="0"/>
        <v/>
      </c>
    </row>
    <row r="51" spans="1:8" x14ac:dyDescent="0.25">
      <c r="A51" t="s">
        <v>7689</v>
      </c>
      <c r="B51">
        <v>742</v>
      </c>
      <c r="C51" t="s">
        <v>7415</v>
      </c>
      <c r="D51" t="s">
        <v>7416</v>
      </c>
      <c r="H51" s="9" t="str">
        <f t="shared" si="0"/>
        <v/>
      </c>
    </row>
    <row r="52" spans="1:8" x14ac:dyDescent="0.25">
      <c r="A52" t="s">
        <v>7689</v>
      </c>
      <c r="B52">
        <v>743</v>
      </c>
      <c r="C52" t="s">
        <v>7417</v>
      </c>
      <c r="D52" t="s">
        <v>7418</v>
      </c>
      <c r="H52" s="9" t="str">
        <f t="shared" si="0"/>
        <v/>
      </c>
    </row>
    <row r="53" spans="1:8" x14ac:dyDescent="0.25">
      <c r="A53" t="s">
        <v>7689</v>
      </c>
      <c r="B53">
        <v>901</v>
      </c>
      <c r="C53" t="s">
        <v>7690</v>
      </c>
      <c r="D53" t="s">
        <v>7824</v>
      </c>
      <c r="E53" t="s">
        <v>7419</v>
      </c>
      <c r="F53" t="s">
        <v>7420</v>
      </c>
      <c r="H53" s="9" t="str">
        <f t="shared" si="0"/>
        <v/>
      </c>
    </row>
    <row r="54" spans="1:8" x14ac:dyDescent="0.25">
      <c r="A54" t="s">
        <v>7689</v>
      </c>
      <c r="B54">
        <v>902</v>
      </c>
      <c r="C54" t="s">
        <v>7691</v>
      </c>
      <c r="D54" t="s">
        <v>7825</v>
      </c>
      <c r="E54" t="s">
        <v>7421</v>
      </c>
      <c r="F54" t="s">
        <v>7422</v>
      </c>
      <c r="H54" s="9" t="str">
        <f t="shared" si="0"/>
        <v/>
      </c>
    </row>
    <row r="55" spans="1:8" x14ac:dyDescent="0.25">
      <c r="A55" t="s">
        <v>7689</v>
      </c>
      <c r="B55">
        <v>903</v>
      </c>
      <c r="C55" t="s">
        <v>7692</v>
      </c>
      <c r="D55" t="s">
        <v>7826</v>
      </c>
      <c r="E55" t="s">
        <v>7423</v>
      </c>
      <c r="F55" t="s">
        <v>7424</v>
      </c>
      <c r="H55" s="9" t="str">
        <f t="shared" si="0"/>
        <v/>
      </c>
    </row>
    <row r="56" spans="1:8" x14ac:dyDescent="0.25">
      <c r="A56" t="s">
        <v>7689</v>
      </c>
      <c r="B56">
        <v>904</v>
      </c>
      <c r="C56" t="s">
        <v>7693</v>
      </c>
      <c r="D56" t="s">
        <v>7827</v>
      </c>
      <c r="E56" t="s">
        <v>7425</v>
      </c>
      <c r="F56" t="s">
        <v>7426</v>
      </c>
      <c r="H56" s="9" t="str">
        <f t="shared" si="0"/>
        <v/>
      </c>
    </row>
    <row r="57" spans="1:8" x14ac:dyDescent="0.25">
      <c r="A57" t="s">
        <v>7689</v>
      </c>
      <c r="B57">
        <v>905</v>
      </c>
      <c r="C57" t="s">
        <v>7694</v>
      </c>
      <c r="D57" t="s">
        <v>7828</v>
      </c>
      <c r="E57" t="s">
        <v>7427</v>
      </c>
      <c r="F57" t="s">
        <v>7428</v>
      </c>
      <c r="H57" s="9" t="str">
        <f t="shared" si="0"/>
        <v/>
      </c>
    </row>
    <row r="58" spans="1:8" x14ac:dyDescent="0.25">
      <c r="A58" t="s">
        <v>7689</v>
      </c>
      <c r="B58">
        <v>906</v>
      </c>
      <c r="C58" t="s">
        <v>7695</v>
      </c>
      <c r="D58" t="s">
        <v>7829</v>
      </c>
      <c r="E58" t="s">
        <v>7429</v>
      </c>
      <c r="F58" t="s">
        <v>7430</v>
      </c>
      <c r="H58" s="9" t="str">
        <f t="shared" si="0"/>
        <v/>
      </c>
    </row>
    <row r="59" spans="1:8" ht="30" x14ac:dyDescent="0.25">
      <c r="A59" t="s">
        <v>7689</v>
      </c>
      <c r="B59">
        <v>1101</v>
      </c>
      <c r="C59" t="s">
        <v>7696</v>
      </c>
      <c r="D59" s="251" t="s">
        <v>7830</v>
      </c>
      <c r="E59" t="s">
        <v>7431</v>
      </c>
      <c r="F59" t="s">
        <v>7432</v>
      </c>
      <c r="H59" s="9" t="str">
        <f t="shared" si="0"/>
        <v/>
      </c>
    </row>
    <row r="60" spans="1:8" ht="30" x14ac:dyDescent="0.25">
      <c r="A60" t="s">
        <v>7689</v>
      </c>
      <c r="B60">
        <v>1102</v>
      </c>
      <c r="C60" t="s">
        <v>7697</v>
      </c>
      <c r="D60" s="251" t="s">
        <v>7831</v>
      </c>
      <c r="E60" t="s">
        <v>7433</v>
      </c>
      <c r="F60" t="s">
        <v>7434</v>
      </c>
      <c r="H60" s="9" t="str">
        <f t="shared" si="0"/>
        <v/>
      </c>
    </row>
    <row r="61" spans="1:8" ht="30" x14ac:dyDescent="0.25">
      <c r="A61" t="s">
        <v>7689</v>
      </c>
      <c r="B61">
        <v>1103</v>
      </c>
      <c r="C61" t="s">
        <v>7698</v>
      </c>
      <c r="D61" s="251" t="s">
        <v>7832</v>
      </c>
      <c r="E61" t="s">
        <v>7435</v>
      </c>
      <c r="F61" t="s">
        <v>7436</v>
      </c>
      <c r="H61" s="9" t="str">
        <f t="shared" si="0"/>
        <v/>
      </c>
    </row>
    <row r="62" spans="1:8" ht="30" x14ac:dyDescent="0.25">
      <c r="A62" t="s">
        <v>7689</v>
      </c>
      <c r="B62">
        <v>1104</v>
      </c>
      <c r="C62" t="s">
        <v>7699</v>
      </c>
      <c r="D62" s="251" t="s">
        <v>7833</v>
      </c>
      <c r="E62" t="s">
        <v>7437</v>
      </c>
      <c r="F62" t="s">
        <v>7438</v>
      </c>
      <c r="H62" s="9" t="str">
        <f t="shared" si="0"/>
        <v/>
      </c>
    </row>
    <row r="63" spans="1:8" ht="30" x14ac:dyDescent="0.25">
      <c r="A63" t="s">
        <v>7689</v>
      </c>
      <c r="B63">
        <v>1105</v>
      </c>
      <c r="C63" t="s">
        <v>7700</v>
      </c>
      <c r="D63" s="251" t="s">
        <v>7834</v>
      </c>
      <c r="E63" t="s">
        <v>7439</v>
      </c>
      <c r="F63" t="s">
        <v>7440</v>
      </c>
      <c r="H63" s="9" t="str">
        <f t="shared" si="0"/>
        <v/>
      </c>
    </row>
    <row r="64" spans="1:8" ht="30" x14ac:dyDescent="0.25">
      <c r="A64" t="s">
        <v>7689</v>
      </c>
      <c r="B64">
        <v>1106</v>
      </c>
      <c r="C64" t="s">
        <v>7701</v>
      </c>
      <c r="D64" s="251" t="s">
        <v>7835</v>
      </c>
      <c r="E64" t="s">
        <v>7441</v>
      </c>
      <c r="F64" t="s">
        <v>7442</v>
      </c>
      <c r="H64" s="9" t="str">
        <f t="shared" si="0"/>
        <v/>
      </c>
    </row>
    <row r="65" spans="1:8" ht="30" x14ac:dyDescent="0.25">
      <c r="A65" t="s">
        <v>7689</v>
      </c>
      <c r="B65">
        <v>1107</v>
      </c>
      <c r="C65" t="s">
        <v>7702</v>
      </c>
      <c r="D65" s="251" t="s">
        <v>7836</v>
      </c>
      <c r="E65" t="s">
        <v>7443</v>
      </c>
      <c r="F65" t="s">
        <v>7444</v>
      </c>
      <c r="H65" s="9" t="str">
        <f t="shared" si="0"/>
        <v/>
      </c>
    </row>
    <row r="66" spans="1:8" ht="30" x14ac:dyDescent="0.25">
      <c r="A66" t="s">
        <v>7689</v>
      </c>
      <c r="B66">
        <v>1108</v>
      </c>
      <c r="C66" t="s">
        <v>7703</v>
      </c>
      <c r="D66" s="251" t="s">
        <v>7837</v>
      </c>
      <c r="E66" t="s">
        <v>7445</v>
      </c>
      <c r="F66" t="s">
        <v>7446</v>
      </c>
      <c r="H66" s="9" t="str">
        <f t="shared" si="0"/>
        <v/>
      </c>
    </row>
    <row r="67" spans="1:8" ht="30" x14ac:dyDescent="0.25">
      <c r="A67" t="s">
        <v>7689</v>
      </c>
      <c r="B67">
        <v>1109</v>
      </c>
      <c r="C67" t="s">
        <v>7704</v>
      </c>
      <c r="D67" s="251" t="s">
        <v>7838</v>
      </c>
      <c r="E67" t="s">
        <v>7447</v>
      </c>
      <c r="F67" t="s">
        <v>7448</v>
      </c>
      <c r="H67" s="9" t="str">
        <f t="shared" si="0"/>
        <v/>
      </c>
    </row>
    <row r="68" spans="1:8" x14ac:dyDescent="0.25">
      <c r="A68" t="s">
        <v>7689</v>
      </c>
      <c r="B68">
        <v>1133001</v>
      </c>
      <c r="C68" t="s">
        <v>7705</v>
      </c>
      <c r="D68" t="s">
        <v>7839</v>
      </c>
      <c r="E68" t="s">
        <v>7449</v>
      </c>
      <c r="F68" t="s">
        <v>7450</v>
      </c>
      <c r="H68" s="9" t="str">
        <f t="shared" ref="H68:H131" si="1">IF(A68="N",H67,IF(H67="",B68,H67&amp;";"&amp;B68))</f>
        <v/>
      </c>
    </row>
    <row r="69" spans="1:8" x14ac:dyDescent="0.25">
      <c r="A69" t="s">
        <v>7689</v>
      </c>
      <c r="B69">
        <v>1133002</v>
      </c>
      <c r="C69" t="s">
        <v>7706</v>
      </c>
      <c r="D69" t="s">
        <v>7840</v>
      </c>
      <c r="E69" t="s">
        <v>7451</v>
      </c>
      <c r="F69" t="s">
        <v>7452</v>
      </c>
      <c r="H69" s="9" t="str">
        <f t="shared" si="1"/>
        <v/>
      </c>
    </row>
    <row r="70" spans="1:8" x14ac:dyDescent="0.25">
      <c r="A70" t="s">
        <v>7689</v>
      </c>
      <c r="B70">
        <v>1133003</v>
      </c>
      <c r="C70" t="s">
        <v>7707</v>
      </c>
      <c r="D70" t="s">
        <v>7841</v>
      </c>
      <c r="E70" t="s">
        <v>7453</v>
      </c>
      <c r="F70" t="s">
        <v>7454</v>
      </c>
      <c r="H70" s="9" t="str">
        <f t="shared" si="1"/>
        <v/>
      </c>
    </row>
    <row r="71" spans="1:8" x14ac:dyDescent="0.25">
      <c r="A71" t="s">
        <v>7689</v>
      </c>
      <c r="B71">
        <v>1133004</v>
      </c>
      <c r="C71" t="s">
        <v>7708</v>
      </c>
      <c r="D71" t="s">
        <v>7842</v>
      </c>
      <c r="E71" t="s">
        <v>7455</v>
      </c>
      <c r="F71" t="s">
        <v>7456</v>
      </c>
      <c r="H71" s="9" t="str">
        <f t="shared" si="1"/>
        <v/>
      </c>
    </row>
    <row r="72" spans="1:8" x14ac:dyDescent="0.25">
      <c r="A72" t="s">
        <v>7689</v>
      </c>
      <c r="B72">
        <v>1133005</v>
      </c>
      <c r="C72" t="s">
        <v>7709</v>
      </c>
      <c r="D72" t="s">
        <v>7843</v>
      </c>
      <c r="E72" t="s">
        <v>7457</v>
      </c>
      <c r="F72" t="s">
        <v>7458</v>
      </c>
      <c r="H72" s="9" t="str">
        <f t="shared" si="1"/>
        <v/>
      </c>
    </row>
    <row r="73" spans="1:8" x14ac:dyDescent="0.25">
      <c r="A73" t="s">
        <v>7689</v>
      </c>
      <c r="B73">
        <v>1133006</v>
      </c>
      <c r="C73" t="s">
        <v>7710</v>
      </c>
      <c r="D73" t="s">
        <v>7844</v>
      </c>
      <c r="E73" t="s">
        <v>7459</v>
      </c>
      <c r="F73" t="s">
        <v>7460</v>
      </c>
      <c r="H73" s="9" t="str">
        <f t="shared" si="1"/>
        <v/>
      </c>
    </row>
    <row r="74" spans="1:8" x14ac:dyDescent="0.25">
      <c r="A74" t="s">
        <v>7689</v>
      </c>
      <c r="B74">
        <v>1133007</v>
      </c>
      <c r="C74" t="s">
        <v>7711</v>
      </c>
      <c r="D74" t="s">
        <v>7845</v>
      </c>
      <c r="E74" t="s">
        <v>7461</v>
      </c>
      <c r="F74" t="s">
        <v>7462</v>
      </c>
      <c r="H74" s="9" t="str">
        <f t="shared" si="1"/>
        <v/>
      </c>
    </row>
    <row r="75" spans="1:8" x14ac:dyDescent="0.25">
      <c r="A75" t="s">
        <v>7689</v>
      </c>
      <c r="B75">
        <v>1133008</v>
      </c>
      <c r="C75" t="s">
        <v>7712</v>
      </c>
      <c r="D75" t="s">
        <v>7846</v>
      </c>
      <c r="E75" t="s">
        <v>7463</v>
      </c>
      <c r="F75" t="s">
        <v>7464</v>
      </c>
      <c r="H75" s="9" t="str">
        <f t="shared" si="1"/>
        <v/>
      </c>
    </row>
    <row r="76" spans="1:8" x14ac:dyDescent="0.25">
      <c r="A76" t="s">
        <v>7689</v>
      </c>
      <c r="B76">
        <v>1133009</v>
      </c>
      <c r="C76" t="s">
        <v>7713</v>
      </c>
      <c r="D76" t="s">
        <v>7847</v>
      </c>
      <c r="E76" t="s">
        <v>7465</v>
      </c>
      <c r="F76" t="s">
        <v>7466</v>
      </c>
      <c r="H76" s="9" t="str">
        <f t="shared" si="1"/>
        <v/>
      </c>
    </row>
    <row r="77" spans="1:8" x14ac:dyDescent="0.25">
      <c r="A77" t="s">
        <v>7689</v>
      </c>
      <c r="B77">
        <v>1133010</v>
      </c>
      <c r="C77" t="s">
        <v>7714</v>
      </c>
      <c r="D77" t="s">
        <v>7848</v>
      </c>
      <c r="E77" t="s">
        <v>7467</v>
      </c>
      <c r="F77" t="s">
        <v>7468</v>
      </c>
      <c r="H77" s="9" t="str">
        <f t="shared" si="1"/>
        <v/>
      </c>
    </row>
    <row r="78" spans="1:8" x14ac:dyDescent="0.25">
      <c r="A78" t="s">
        <v>7689</v>
      </c>
      <c r="B78">
        <v>1133011</v>
      </c>
      <c r="C78" t="s">
        <v>7715</v>
      </c>
      <c r="D78" t="s">
        <v>7849</v>
      </c>
      <c r="E78" t="s">
        <v>7469</v>
      </c>
      <c r="F78" t="s">
        <v>7470</v>
      </c>
      <c r="H78" s="9" t="str">
        <f t="shared" si="1"/>
        <v/>
      </c>
    </row>
    <row r="79" spans="1:8" x14ac:dyDescent="0.25">
      <c r="A79" t="s">
        <v>7689</v>
      </c>
      <c r="B79">
        <v>1133012</v>
      </c>
      <c r="C79" t="s">
        <v>7716</v>
      </c>
      <c r="D79" t="s">
        <v>7850</v>
      </c>
      <c r="E79" t="s">
        <v>7471</v>
      </c>
      <c r="F79" t="s">
        <v>7472</v>
      </c>
      <c r="H79" s="9" t="str">
        <f t="shared" si="1"/>
        <v/>
      </c>
    </row>
    <row r="80" spans="1:8" x14ac:dyDescent="0.25">
      <c r="A80" t="s">
        <v>7689</v>
      </c>
      <c r="B80">
        <v>1133013</v>
      </c>
      <c r="C80" t="s">
        <v>7717</v>
      </c>
      <c r="D80" t="s">
        <v>7851</v>
      </c>
      <c r="E80" t="s">
        <v>7473</v>
      </c>
      <c r="F80" t="s">
        <v>7474</v>
      </c>
      <c r="H80" s="9" t="str">
        <f t="shared" si="1"/>
        <v/>
      </c>
    </row>
    <row r="81" spans="1:8" x14ac:dyDescent="0.25">
      <c r="A81" t="s">
        <v>7689</v>
      </c>
      <c r="B81">
        <v>1133014</v>
      </c>
      <c r="C81" t="s">
        <v>7718</v>
      </c>
      <c r="D81" t="s">
        <v>7852</v>
      </c>
      <c r="E81" t="s">
        <v>7475</v>
      </c>
      <c r="F81" t="s">
        <v>7476</v>
      </c>
      <c r="H81" s="9" t="str">
        <f t="shared" si="1"/>
        <v/>
      </c>
    </row>
    <row r="82" spans="1:8" x14ac:dyDescent="0.25">
      <c r="A82" t="s">
        <v>7689</v>
      </c>
      <c r="B82">
        <v>1133015</v>
      </c>
      <c r="C82" t="s">
        <v>7719</v>
      </c>
      <c r="D82" t="s">
        <v>7853</v>
      </c>
      <c r="E82" t="s">
        <v>7477</v>
      </c>
      <c r="F82" t="s">
        <v>7478</v>
      </c>
      <c r="H82" s="9" t="str">
        <f t="shared" si="1"/>
        <v/>
      </c>
    </row>
    <row r="83" spans="1:8" x14ac:dyDescent="0.25">
      <c r="A83" t="s">
        <v>7689</v>
      </c>
      <c r="B83">
        <v>1133016</v>
      </c>
      <c r="C83" t="s">
        <v>7720</v>
      </c>
      <c r="D83" t="s">
        <v>7854</v>
      </c>
      <c r="E83" t="s">
        <v>7479</v>
      </c>
      <c r="F83" t="s">
        <v>7480</v>
      </c>
      <c r="H83" s="9" t="str">
        <f t="shared" si="1"/>
        <v/>
      </c>
    </row>
    <row r="84" spans="1:8" x14ac:dyDescent="0.25">
      <c r="A84" t="s">
        <v>7689</v>
      </c>
      <c r="B84">
        <v>1133017</v>
      </c>
      <c r="C84" t="s">
        <v>7721</v>
      </c>
      <c r="D84" t="s">
        <v>7855</v>
      </c>
      <c r="E84" t="s">
        <v>7481</v>
      </c>
      <c r="F84" t="s">
        <v>7482</v>
      </c>
      <c r="H84" s="9" t="str">
        <f t="shared" si="1"/>
        <v/>
      </c>
    </row>
    <row r="85" spans="1:8" x14ac:dyDescent="0.25">
      <c r="A85" t="s">
        <v>7689</v>
      </c>
      <c r="B85">
        <v>1133018</v>
      </c>
      <c r="C85" t="s">
        <v>7722</v>
      </c>
      <c r="D85" t="s">
        <v>7856</v>
      </c>
      <c r="E85" t="s">
        <v>7483</v>
      </c>
      <c r="F85" t="s">
        <v>7484</v>
      </c>
      <c r="H85" s="9" t="str">
        <f t="shared" si="1"/>
        <v/>
      </c>
    </row>
    <row r="86" spans="1:8" x14ac:dyDescent="0.25">
      <c r="A86" t="s">
        <v>7689</v>
      </c>
      <c r="B86">
        <v>1133019</v>
      </c>
      <c r="C86" t="s">
        <v>7723</v>
      </c>
      <c r="D86" t="s">
        <v>7857</v>
      </c>
      <c r="E86" t="s">
        <v>7485</v>
      </c>
      <c r="F86" t="s">
        <v>7486</v>
      </c>
      <c r="H86" s="9" t="str">
        <f t="shared" si="1"/>
        <v/>
      </c>
    </row>
    <row r="87" spans="1:8" x14ac:dyDescent="0.25">
      <c r="A87" t="s">
        <v>7689</v>
      </c>
      <c r="B87">
        <v>1133020</v>
      </c>
      <c r="C87" t="s">
        <v>7724</v>
      </c>
      <c r="D87" t="s">
        <v>7858</v>
      </c>
      <c r="E87" t="s">
        <v>7487</v>
      </c>
      <c r="F87" t="s">
        <v>7488</v>
      </c>
      <c r="H87" s="9" t="str">
        <f t="shared" si="1"/>
        <v/>
      </c>
    </row>
    <row r="88" spans="1:8" x14ac:dyDescent="0.25">
      <c r="A88" t="s">
        <v>7689</v>
      </c>
      <c r="B88">
        <v>1133021</v>
      </c>
      <c r="C88" t="s">
        <v>7725</v>
      </c>
      <c r="D88" t="s">
        <v>7859</v>
      </c>
      <c r="E88" t="s">
        <v>7489</v>
      </c>
      <c r="F88" t="s">
        <v>7490</v>
      </c>
      <c r="H88" s="9" t="str">
        <f t="shared" si="1"/>
        <v/>
      </c>
    </row>
    <row r="89" spans="1:8" x14ac:dyDescent="0.25">
      <c r="A89" t="s">
        <v>7689</v>
      </c>
      <c r="B89">
        <v>1133022</v>
      </c>
      <c r="C89" t="s">
        <v>7726</v>
      </c>
      <c r="D89" t="s">
        <v>7860</v>
      </c>
      <c r="E89" t="s">
        <v>7491</v>
      </c>
      <c r="F89" t="s">
        <v>7492</v>
      </c>
      <c r="H89" s="9" t="str">
        <f t="shared" si="1"/>
        <v/>
      </c>
    </row>
    <row r="90" spans="1:8" x14ac:dyDescent="0.25">
      <c r="A90" t="s">
        <v>7689</v>
      </c>
      <c r="B90">
        <v>1133023</v>
      </c>
      <c r="C90" t="s">
        <v>7727</v>
      </c>
      <c r="D90" t="s">
        <v>7861</v>
      </c>
      <c r="E90" t="s">
        <v>7493</v>
      </c>
      <c r="F90" t="s">
        <v>7494</v>
      </c>
      <c r="H90" s="9" t="str">
        <f t="shared" si="1"/>
        <v/>
      </c>
    </row>
    <row r="91" spans="1:8" x14ac:dyDescent="0.25">
      <c r="A91" t="s">
        <v>7689</v>
      </c>
      <c r="B91">
        <v>1133024</v>
      </c>
      <c r="C91" t="s">
        <v>7728</v>
      </c>
      <c r="D91" t="s">
        <v>7862</v>
      </c>
      <c r="E91" t="s">
        <v>7495</v>
      </c>
      <c r="F91" t="s">
        <v>7496</v>
      </c>
      <c r="H91" s="9" t="str">
        <f t="shared" si="1"/>
        <v/>
      </c>
    </row>
    <row r="92" spans="1:8" x14ac:dyDescent="0.25">
      <c r="A92" t="s">
        <v>7689</v>
      </c>
      <c r="B92">
        <v>1133025</v>
      </c>
      <c r="C92" t="s">
        <v>7729</v>
      </c>
      <c r="D92" t="s">
        <v>7863</v>
      </c>
      <c r="E92" t="s">
        <v>7497</v>
      </c>
      <c r="F92" t="s">
        <v>7498</v>
      </c>
      <c r="H92" s="9" t="str">
        <f t="shared" si="1"/>
        <v/>
      </c>
    </row>
    <row r="93" spans="1:8" x14ac:dyDescent="0.25">
      <c r="A93" t="s">
        <v>7689</v>
      </c>
      <c r="B93">
        <v>1133026</v>
      </c>
      <c r="C93" t="s">
        <v>7730</v>
      </c>
      <c r="D93" t="s">
        <v>7864</v>
      </c>
      <c r="E93" t="s">
        <v>7499</v>
      </c>
      <c r="F93" t="s">
        <v>7500</v>
      </c>
      <c r="H93" s="9" t="str">
        <f t="shared" si="1"/>
        <v/>
      </c>
    </row>
    <row r="94" spans="1:8" x14ac:dyDescent="0.25">
      <c r="A94" t="s">
        <v>7689</v>
      </c>
      <c r="B94">
        <v>1133027</v>
      </c>
      <c r="C94" t="s">
        <v>7731</v>
      </c>
      <c r="D94" t="s">
        <v>7865</v>
      </c>
      <c r="E94" t="s">
        <v>7501</v>
      </c>
      <c r="F94" t="s">
        <v>7502</v>
      </c>
      <c r="H94" s="9" t="str">
        <f t="shared" si="1"/>
        <v/>
      </c>
    </row>
    <row r="95" spans="1:8" x14ac:dyDescent="0.25">
      <c r="A95" t="s">
        <v>7689</v>
      </c>
      <c r="B95">
        <v>1133028</v>
      </c>
      <c r="C95" t="s">
        <v>7732</v>
      </c>
      <c r="D95" t="s">
        <v>7866</v>
      </c>
      <c r="E95" t="s">
        <v>7503</v>
      </c>
      <c r="F95" t="s">
        <v>7504</v>
      </c>
      <c r="H95" s="9" t="str">
        <f t="shared" si="1"/>
        <v/>
      </c>
    </row>
    <row r="96" spans="1:8" x14ac:dyDescent="0.25">
      <c r="A96" t="s">
        <v>7689</v>
      </c>
      <c r="B96">
        <v>1133029</v>
      </c>
      <c r="C96" t="s">
        <v>7733</v>
      </c>
      <c r="D96" t="s">
        <v>7867</v>
      </c>
      <c r="E96" t="s">
        <v>7505</v>
      </c>
      <c r="F96" t="s">
        <v>7506</v>
      </c>
      <c r="H96" s="9" t="str">
        <f t="shared" si="1"/>
        <v/>
      </c>
    </row>
    <row r="97" spans="1:8" x14ac:dyDescent="0.25">
      <c r="A97" t="s">
        <v>7689</v>
      </c>
      <c r="B97">
        <v>1133030</v>
      </c>
      <c r="C97" t="s">
        <v>7734</v>
      </c>
      <c r="D97" t="s">
        <v>7868</v>
      </c>
      <c r="E97" t="s">
        <v>7507</v>
      </c>
      <c r="F97" t="s">
        <v>7508</v>
      </c>
      <c r="H97" s="9" t="str">
        <f t="shared" si="1"/>
        <v/>
      </c>
    </row>
    <row r="98" spans="1:8" x14ac:dyDescent="0.25">
      <c r="A98" t="s">
        <v>7689</v>
      </c>
      <c r="B98">
        <v>1133031</v>
      </c>
      <c r="C98" t="s">
        <v>7735</v>
      </c>
      <c r="D98" t="s">
        <v>7869</v>
      </c>
      <c r="E98" t="s">
        <v>7509</v>
      </c>
      <c r="F98" t="s">
        <v>7510</v>
      </c>
      <c r="H98" s="9" t="str">
        <f t="shared" si="1"/>
        <v/>
      </c>
    </row>
    <row r="99" spans="1:8" x14ac:dyDescent="0.25">
      <c r="A99" t="s">
        <v>7689</v>
      </c>
      <c r="B99">
        <v>1133032</v>
      </c>
      <c r="C99" t="s">
        <v>7736</v>
      </c>
      <c r="D99" t="s">
        <v>7870</v>
      </c>
      <c r="E99" t="s">
        <v>7511</v>
      </c>
      <c r="F99" t="s">
        <v>7512</v>
      </c>
      <c r="H99" s="9" t="str">
        <f t="shared" si="1"/>
        <v/>
      </c>
    </row>
    <row r="100" spans="1:8" x14ac:dyDescent="0.25">
      <c r="A100" t="s">
        <v>7689</v>
      </c>
      <c r="B100">
        <v>1133033</v>
      </c>
      <c r="C100" t="s">
        <v>7737</v>
      </c>
      <c r="D100" t="s">
        <v>7871</v>
      </c>
      <c r="E100" t="s">
        <v>7513</v>
      </c>
      <c r="F100" t="s">
        <v>7514</v>
      </c>
      <c r="H100" s="9" t="str">
        <f t="shared" si="1"/>
        <v/>
      </c>
    </row>
    <row r="101" spans="1:8" x14ac:dyDescent="0.25">
      <c r="A101" t="s">
        <v>7689</v>
      </c>
      <c r="B101">
        <v>1133034</v>
      </c>
      <c r="C101" t="s">
        <v>7738</v>
      </c>
      <c r="D101" t="s">
        <v>7872</v>
      </c>
      <c r="E101" t="s">
        <v>7515</v>
      </c>
      <c r="F101" t="s">
        <v>7516</v>
      </c>
      <c r="H101" s="9" t="str">
        <f t="shared" si="1"/>
        <v/>
      </c>
    </row>
    <row r="102" spans="1:8" x14ac:dyDescent="0.25">
      <c r="A102" t="s">
        <v>7689</v>
      </c>
      <c r="B102">
        <v>1133035</v>
      </c>
      <c r="C102" t="s">
        <v>7739</v>
      </c>
      <c r="D102" t="s">
        <v>7873</v>
      </c>
      <c r="E102" t="s">
        <v>7517</v>
      </c>
      <c r="F102" t="s">
        <v>7518</v>
      </c>
      <c r="H102" s="9" t="str">
        <f t="shared" si="1"/>
        <v/>
      </c>
    </row>
    <row r="103" spans="1:8" x14ac:dyDescent="0.25">
      <c r="A103" t="s">
        <v>7689</v>
      </c>
      <c r="B103">
        <v>1133036</v>
      </c>
      <c r="C103" t="s">
        <v>7740</v>
      </c>
      <c r="D103" t="s">
        <v>7874</v>
      </c>
      <c r="E103" t="s">
        <v>7519</v>
      </c>
      <c r="F103" t="s">
        <v>7520</v>
      </c>
      <c r="H103" s="9" t="str">
        <f t="shared" si="1"/>
        <v/>
      </c>
    </row>
    <row r="104" spans="1:8" x14ac:dyDescent="0.25">
      <c r="A104" t="s">
        <v>7689</v>
      </c>
      <c r="B104">
        <v>1133037</v>
      </c>
      <c r="C104" t="s">
        <v>7741</v>
      </c>
      <c r="D104" t="s">
        <v>7875</v>
      </c>
      <c r="E104" t="s">
        <v>7521</v>
      </c>
      <c r="F104" t="s">
        <v>7522</v>
      </c>
      <c r="H104" s="9" t="str">
        <f t="shared" si="1"/>
        <v/>
      </c>
    </row>
    <row r="105" spans="1:8" x14ac:dyDescent="0.25">
      <c r="A105" t="s">
        <v>7689</v>
      </c>
      <c r="B105">
        <v>1133038</v>
      </c>
      <c r="C105" t="s">
        <v>7742</v>
      </c>
      <c r="D105" t="s">
        <v>7876</v>
      </c>
      <c r="E105" t="s">
        <v>7523</v>
      </c>
      <c r="F105" t="s">
        <v>7524</v>
      </c>
      <c r="H105" s="9" t="str">
        <f t="shared" si="1"/>
        <v/>
      </c>
    </row>
    <row r="106" spans="1:8" x14ac:dyDescent="0.25">
      <c r="A106" t="s">
        <v>7689</v>
      </c>
      <c r="B106">
        <v>1133039</v>
      </c>
      <c r="C106" t="s">
        <v>7743</v>
      </c>
      <c r="D106" t="s">
        <v>7877</v>
      </c>
      <c r="E106" t="s">
        <v>7525</v>
      </c>
      <c r="F106" t="s">
        <v>7526</v>
      </c>
      <c r="H106" s="9" t="str">
        <f t="shared" si="1"/>
        <v/>
      </c>
    </row>
    <row r="107" spans="1:8" x14ac:dyDescent="0.25">
      <c r="A107" t="s">
        <v>7689</v>
      </c>
      <c r="B107">
        <v>1133040</v>
      </c>
      <c r="C107" t="s">
        <v>7744</v>
      </c>
      <c r="D107" t="s">
        <v>7878</v>
      </c>
      <c r="E107" t="s">
        <v>7527</v>
      </c>
      <c r="F107" t="s">
        <v>7528</v>
      </c>
      <c r="H107" s="9" t="str">
        <f t="shared" si="1"/>
        <v/>
      </c>
    </row>
    <row r="108" spans="1:8" x14ac:dyDescent="0.25">
      <c r="A108" t="s">
        <v>7689</v>
      </c>
      <c r="B108">
        <v>1133041</v>
      </c>
      <c r="C108" t="s">
        <v>7745</v>
      </c>
      <c r="D108" t="s">
        <v>7879</v>
      </c>
      <c r="E108" t="s">
        <v>7529</v>
      </c>
      <c r="F108" t="s">
        <v>7530</v>
      </c>
      <c r="H108" s="9" t="str">
        <f t="shared" si="1"/>
        <v/>
      </c>
    </row>
    <row r="109" spans="1:8" x14ac:dyDescent="0.25">
      <c r="A109" t="s">
        <v>7689</v>
      </c>
      <c r="B109">
        <v>1133042</v>
      </c>
      <c r="C109" t="s">
        <v>7746</v>
      </c>
      <c r="D109" t="s">
        <v>7880</v>
      </c>
      <c r="E109" t="s">
        <v>7531</v>
      </c>
      <c r="F109" t="s">
        <v>7532</v>
      </c>
      <c r="H109" s="9" t="str">
        <f t="shared" si="1"/>
        <v/>
      </c>
    </row>
    <row r="110" spans="1:8" x14ac:dyDescent="0.25">
      <c r="A110" t="s">
        <v>7689</v>
      </c>
      <c r="B110">
        <v>1133043</v>
      </c>
      <c r="C110" t="s">
        <v>7747</v>
      </c>
      <c r="D110" t="s">
        <v>7881</v>
      </c>
      <c r="E110" t="s">
        <v>7533</v>
      </c>
      <c r="F110" t="s">
        <v>7534</v>
      </c>
      <c r="H110" s="9" t="str">
        <f t="shared" si="1"/>
        <v/>
      </c>
    </row>
    <row r="111" spans="1:8" x14ac:dyDescent="0.25">
      <c r="A111" t="s">
        <v>7689</v>
      </c>
      <c r="B111">
        <v>1133044</v>
      </c>
      <c r="C111" t="s">
        <v>7748</v>
      </c>
      <c r="D111" t="s">
        <v>7882</v>
      </c>
      <c r="E111" t="s">
        <v>7535</v>
      </c>
      <c r="F111" t="s">
        <v>7536</v>
      </c>
      <c r="H111" s="9" t="str">
        <f t="shared" si="1"/>
        <v/>
      </c>
    </row>
    <row r="112" spans="1:8" x14ac:dyDescent="0.25">
      <c r="A112" t="s">
        <v>7689</v>
      </c>
      <c r="B112">
        <v>1133045</v>
      </c>
      <c r="C112" t="s">
        <v>7749</v>
      </c>
      <c r="D112" t="s">
        <v>7883</v>
      </c>
      <c r="E112" t="s">
        <v>7537</v>
      </c>
      <c r="F112" t="s">
        <v>7538</v>
      </c>
      <c r="H112" s="9" t="str">
        <f t="shared" si="1"/>
        <v/>
      </c>
    </row>
    <row r="113" spans="1:8" x14ac:dyDescent="0.25">
      <c r="A113" t="s">
        <v>7689</v>
      </c>
      <c r="B113">
        <v>1133046</v>
      </c>
      <c r="C113" t="s">
        <v>7750</v>
      </c>
      <c r="D113" t="s">
        <v>7884</v>
      </c>
      <c r="E113" t="s">
        <v>7539</v>
      </c>
      <c r="F113" t="s">
        <v>7540</v>
      </c>
      <c r="H113" s="9" t="str">
        <f t="shared" si="1"/>
        <v/>
      </c>
    </row>
    <row r="114" spans="1:8" x14ac:dyDescent="0.25">
      <c r="A114" t="s">
        <v>7689</v>
      </c>
      <c r="B114">
        <v>1133047</v>
      </c>
      <c r="C114" t="s">
        <v>7751</v>
      </c>
      <c r="D114" t="s">
        <v>7885</v>
      </c>
      <c r="E114" t="s">
        <v>7541</v>
      </c>
      <c r="F114" t="s">
        <v>7542</v>
      </c>
      <c r="H114" s="9" t="str">
        <f t="shared" si="1"/>
        <v/>
      </c>
    </row>
    <row r="115" spans="1:8" x14ac:dyDescent="0.25">
      <c r="A115" t="s">
        <v>7689</v>
      </c>
      <c r="B115">
        <v>1133048</v>
      </c>
      <c r="C115" t="s">
        <v>7752</v>
      </c>
      <c r="D115" t="s">
        <v>7886</v>
      </c>
      <c r="E115" t="s">
        <v>7543</v>
      </c>
      <c r="F115" t="s">
        <v>7544</v>
      </c>
      <c r="H115" s="9" t="str">
        <f t="shared" si="1"/>
        <v/>
      </c>
    </row>
    <row r="116" spans="1:8" x14ac:dyDescent="0.25">
      <c r="A116" t="s">
        <v>7689</v>
      </c>
      <c r="B116">
        <v>1133049</v>
      </c>
      <c r="C116" t="s">
        <v>7753</v>
      </c>
      <c r="D116" t="s">
        <v>7887</v>
      </c>
      <c r="E116" t="s">
        <v>7545</v>
      </c>
      <c r="F116" t="s">
        <v>7546</v>
      </c>
      <c r="H116" s="9" t="str">
        <f t="shared" si="1"/>
        <v/>
      </c>
    </row>
    <row r="117" spans="1:8" x14ac:dyDescent="0.25">
      <c r="A117" t="s">
        <v>7689</v>
      </c>
      <c r="B117">
        <v>1133050</v>
      </c>
      <c r="C117" t="s">
        <v>7754</v>
      </c>
      <c r="D117" t="s">
        <v>7888</v>
      </c>
      <c r="E117" t="s">
        <v>7547</v>
      </c>
      <c r="F117" t="s">
        <v>7548</v>
      </c>
      <c r="H117" s="9" t="str">
        <f t="shared" si="1"/>
        <v/>
      </c>
    </row>
    <row r="118" spans="1:8" x14ac:dyDescent="0.25">
      <c r="A118" t="s">
        <v>7689</v>
      </c>
      <c r="B118">
        <v>1133051</v>
      </c>
      <c r="C118" t="s">
        <v>7755</v>
      </c>
      <c r="D118" t="s">
        <v>7889</v>
      </c>
      <c r="E118" t="s">
        <v>7549</v>
      </c>
      <c r="F118" t="s">
        <v>7550</v>
      </c>
      <c r="H118" s="9" t="str">
        <f t="shared" si="1"/>
        <v/>
      </c>
    </row>
    <row r="119" spans="1:8" x14ac:dyDescent="0.25">
      <c r="A119" t="s">
        <v>7689</v>
      </c>
      <c r="B119">
        <v>1133052</v>
      </c>
      <c r="C119" t="s">
        <v>7756</v>
      </c>
      <c r="D119" t="s">
        <v>7890</v>
      </c>
      <c r="E119" t="s">
        <v>7551</v>
      </c>
      <c r="F119" t="s">
        <v>7552</v>
      </c>
      <c r="H119" s="9" t="str">
        <f t="shared" si="1"/>
        <v/>
      </c>
    </row>
    <row r="120" spans="1:8" x14ac:dyDescent="0.25">
      <c r="A120" t="s">
        <v>7689</v>
      </c>
      <c r="B120">
        <v>1133053</v>
      </c>
      <c r="C120" t="s">
        <v>7757</v>
      </c>
      <c r="D120" t="s">
        <v>7891</v>
      </c>
      <c r="E120" t="s">
        <v>7553</v>
      </c>
      <c r="F120" t="s">
        <v>7554</v>
      </c>
      <c r="H120" s="9" t="str">
        <f t="shared" si="1"/>
        <v/>
      </c>
    </row>
    <row r="121" spans="1:8" x14ac:dyDescent="0.25">
      <c r="A121" t="s">
        <v>7689</v>
      </c>
      <c r="B121">
        <v>1133054</v>
      </c>
      <c r="C121" t="s">
        <v>7758</v>
      </c>
      <c r="D121" t="s">
        <v>7892</v>
      </c>
      <c r="E121" t="s">
        <v>7555</v>
      </c>
      <c r="F121" t="s">
        <v>7556</v>
      </c>
      <c r="H121" s="9" t="str">
        <f t="shared" si="1"/>
        <v/>
      </c>
    </row>
    <row r="122" spans="1:8" x14ac:dyDescent="0.25">
      <c r="A122" t="s">
        <v>7689</v>
      </c>
      <c r="B122">
        <v>1133055</v>
      </c>
      <c r="C122" t="s">
        <v>7759</v>
      </c>
      <c r="D122" t="s">
        <v>7893</v>
      </c>
      <c r="E122" t="s">
        <v>7557</v>
      </c>
      <c r="F122" t="s">
        <v>7558</v>
      </c>
      <c r="H122" s="9" t="str">
        <f t="shared" si="1"/>
        <v/>
      </c>
    </row>
    <row r="123" spans="1:8" x14ac:dyDescent="0.25">
      <c r="A123" t="s">
        <v>7689</v>
      </c>
      <c r="B123">
        <v>1133056</v>
      </c>
      <c r="C123" t="s">
        <v>7760</v>
      </c>
      <c r="D123" t="s">
        <v>7894</v>
      </c>
      <c r="E123" t="s">
        <v>7559</v>
      </c>
      <c r="F123" t="s">
        <v>7560</v>
      </c>
      <c r="H123" s="9" t="str">
        <f t="shared" si="1"/>
        <v/>
      </c>
    </row>
    <row r="124" spans="1:8" x14ac:dyDescent="0.25">
      <c r="A124" t="s">
        <v>7689</v>
      </c>
      <c r="B124">
        <v>1133057</v>
      </c>
      <c r="C124" t="s">
        <v>7761</v>
      </c>
      <c r="D124" t="s">
        <v>7895</v>
      </c>
      <c r="E124" t="s">
        <v>7561</v>
      </c>
      <c r="F124" t="s">
        <v>7562</v>
      </c>
      <c r="H124" s="9" t="str">
        <f t="shared" si="1"/>
        <v/>
      </c>
    </row>
    <row r="125" spans="1:8" x14ac:dyDescent="0.25">
      <c r="A125" t="s">
        <v>7689</v>
      </c>
      <c r="B125">
        <v>1133058</v>
      </c>
      <c r="C125" t="s">
        <v>7762</v>
      </c>
      <c r="D125" t="s">
        <v>7896</v>
      </c>
      <c r="E125" t="s">
        <v>7563</v>
      </c>
      <c r="F125" t="s">
        <v>7564</v>
      </c>
      <c r="H125" s="9" t="str">
        <f t="shared" si="1"/>
        <v/>
      </c>
    </row>
    <row r="126" spans="1:8" x14ac:dyDescent="0.25">
      <c r="A126" t="s">
        <v>7689</v>
      </c>
      <c r="B126">
        <v>1133059</v>
      </c>
      <c r="C126" t="s">
        <v>7763</v>
      </c>
      <c r="D126" t="s">
        <v>7897</v>
      </c>
      <c r="E126" t="s">
        <v>7565</v>
      </c>
      <c r="F126" t="s">
        <v>7566</v>
      </c>
      <c r="H126" s="9" t="str">
        <f t="shared" si="1"/>
        <v/>
      </c>
    </row>
    <row r="127" spans="1:8" x14ac:dyDescent="0.25">
      <c r="A127" t="s">
        <v>7689</v>
      </c>
      <c r="B127">
        <v>1133060</v>
      </c>
      <c r="C127" t="s">
        <v>7764</v>
      </c>
      <c r="D127" t="s">
        <v>7898</v>
      </c>
      <c r="E127" t="s">
        <v>7567</v>
      </c>
      <c r="F127" t="s">
        <v>7568</v>
      </c>
      <c r="H127" s="9" t="str">
        <f t="shared" si="1"/>
        <v/>
      </c>
    </row>
    <row r="128" spans="1:8" x14ac:dyDescent="0.25">
      <c r="A128" t="s">
        <v>7689</v>
      </c>
      <c r="B128">
        <v>1133061</v>
      </c>
      <c r="C128" t="s">
        <v>7765</v>
      </c>
      <c r="D128" t="s">
        <v>7899</v>
      </c>
      <c r="E128" t="s">
        <v>7569</v>
      </c>
      <c r="F128" t="s">
        <v>7570</v>
      </c>
      <c r="H128" s="9" t="str">
        <f t="shared" si="1"/>
        <v/>
      </c>
    </row>
    <row r="129" spans="1:8" x14ac:dyDescent="0.25">
      <c r="A129" t="s">
        <v>7689</v>
      </c>
      <c r="B129">
        <v>1133062</v>
      </c>
      <c r="C129" t="s">
        <v>7766</v>
      </c>
      <c r="D129" t="s">
        <v>7900</v>
      </c>
      <c r="E129" t="s">
        <v>7571</v>
      </c>
      <c r="F129" t="s">
        <v>7572</v>
      </c>
      <c r="H129" s="9" t="str">
        <f t="shared" si="1"/>
        <v/>
      </c>
    </row>
    <row r="130" spans="1:8" x14ac:dyDescent="0.25">
      <c r="A130" t="s">
        <v>7689</v>
      </c>
      <c r="B130">
        <v>1133063</v>
      </c>
      <c r="C130" t="s">
        <v>7767</v>
      </c>
      <c r="D130" t="s">
        <v>7901</v>
      </c>
      <c r="E130" t="s">
        <v>7573</v>
      </c>
      <c r="F130" t="s">
        <v>7574</v>
      </c>
      <c r="H130" s="9" t="str">
        <f t="shared" si="1"/>
        <v/>
      </c>
    </row>
    <row r="131" spans="1:8" x14ac:dyDescent="0.25">
      <c r="A131" t="s">
        <v>7689</v>
      </c>
      <c r="B131">
        <v>1133064</v>
      </c>
      <c r="C131" t="s">
        <v>7768</v>
      </c>
      <c r="D131" t="s">
        <v>7902</v>
      </c>
      <c r="E131" t="s">
        <v>7575</v>
      </c>
      <c r="F131" t="s">
        <v>7576</v>
      </c>
      <c r="H131" s="9" t="str">
        <f t="shared" si="1"/>
        <v/>
      </c>
    </row>
    <row r="132" spans="1:8" x14ac:dyDescent="0.25">
      <c r="A132" t="s">
        <v>7689</v>
      </c>
      <c r="B132">
        <v>1133065</v>
      </c>
      <c r="C132" t="s">
        <v>7769</v>
      </c>
      <c r="D132" t="s">
        <v>7903</v>
      </c>
      <c r="E132" t="s">
        <v>7577</v>
      </c>
      <c r="F132" t="s">
        <v>7578</v>
      </c>
      <c r="H132" s="9" t="str">
        <f t="shared" ref="H132:H187" si="2">IF(A132="N",H131,IF(H131="",B132,H131&amp;";"&amp;B132))</f>
        <v/>
      </c>
    </row>
    <row r="133" spans="1:8" x14ac:dyDescent="0.25">
      <c r="A133" t="s">
        <v>7689</v>
      </c>
      <c r="B133">
        <v>1133066</v>
      </c>
      <c r="C133" t="s">
        <v>7770</v>
      </c>
      <c r="D133" t="s">
        <v>7904</v>
      </c>
      <c r="E133" t="s">
        <v>7579</v>
      </c>
      <c r="F133" t="s">
        <v>7580</v>
      </c>
      <c r="H133" s="9" t="str">
        <f t="shared" si="2"/>
        <v/>
      </c>
    </row>
    <row r="134" spans="1:8" x14ac:dyDescent="0.25">
      <c r="A134" t="s">
        <v>7689</v>
      </c>
      <c r="B134">
        <v>1133067</v>
      </c>
      <c r="C134" t="s">
        <v>7771</v>
      </c>
      <c r="D134" t="s">
        <v>7905</v>
      </c>
      <c r="E134" t="s">
        <v>7581</v>
      </c>
      <c r="F134" t="s">
        <v>7582</v>
      </c>
      <c r="H134" s="9" t="str">
        <f t="shared" si="2"/>
        <v/>
      </c>
    </row>
    <row r="135" spans="1:8" x14ac:dyDescent="0.25">
      <c r="A135" t="s">
        <v>7689</v>
      </c>
      <c r="B135">
        <v>1133068</v>
      </c>
      <c r="C135" t="s">
        <v>7772</v>
      </c>
      <c r="D135" t="s">
        <v>7906</v>
      </c>
      <c r="E135" t="s">
        <v>7583</v>
      </c>
      <c r="F135" t="s">
        <v>7584</v>
      </c>
      <c r="H135" s="9" t="str">
        <f t="shared" si="2"/>
        <v/>
      </c>
    </row>
    <row r="136" spans="1:8" x14ac:dyDescent="0.25">
      <c r="A136" t="s">
        <v>7689</v>
      </c>
      <c r="B136">
        <v>1133069</v>
      </c>
      <c r="C136" t="s">
        <v>7773</v>
      </c>
      <c r="D136" t="s">
        <v>7907</v>
      </c>
      <c r="E136" t="s">
        <v>7585</v>
      </c>
      <c r="F136" t="s">
        <v>7586</v>
      </c>
      <c r="H136" s="9" t="str">
        <f t="shared" si="2"/>
        <v/>
      </c>
    </row>
    <row r="137" spans="1:8" x14ac:dyDescent="0.25">
      <c r="A137" t="s">
        <v>7689</v>
      </c>
      <c r="B137">
        <v>1133070</v>
      </c>
      <c r="C137" t="s">
        <v>7774</v>
      </c>
      <c r="D137" t="s">
        <v>7908</v>
      </c>
      <c r="E137" t="s">
        <v>7587</v>
      </c>
      <c r="F137" t="s">
        <v>7588</v>
      </c>
      <c r="H137" s="9" t="str">
        <f t="shared" si="2"/>
        <v/>
      </c>
    </row>
    <row r="138" spans="1:8" x14ac:dyDescent="0.25">
      <c r="A138" t="s">
        <v>7689</v>
      </c>
      <c r="B138">
        <v>1133071</v>
      </c>
      <c r="C138" t="s">
        <v>7775</v>
      </c>
      <c r="D138" t="s">
        <v>7909</v>
      </c>
      <c r="E138" t="s">
        <v>7589</v>
      </c>
      <c r="F138" t="s">
        <v>7590</v>
      </c>
      <c r="H138" s="9" t="str">
        <f t="shared" si="2"/>
        <v/>
      </c>
    </row>
    <row r="139" spans="1:8" x14ac:dyDescent="0.25">
      <c r="A139" t="s">
        <v>7689</v>
      </c>
      <c r="B139">
        <v>1133072</v>
      </c>
      <c r="C139" t="s">
        <v>7776</v>
      </c>
      <c r="D139" t="s">
        <v>7910</v>
      </c>
      <c r="E139" t="s">
        <v>7591</v>
      </c>
      <c r="F139" t="s">
        <v>7592</v>
      </c>
      <c r="H139" s="9" t="str">
        <f t="shared" si="2"/>
        <v/>
      </c>
    </row>
    <row r="140" spans="1:8" x14ac:dyDescent="0.25">
      <c r="A140" t="s">
        <v>7689</v>
      </c>
      <c r="B140">
        <v>1133073</v>
      </c>
      <c r="C140" t="s">
        <v>7777</v>
      </c>
      <c r="D140" t="s">
        <v>7911</v>
      </c>
      <c r="E140" t="s">
        <v>7593</v>
      </c>
      <c r="F140" t="s">
        <v>7594</v>
      </c>
      <c r="H140" s="9" t="str">
        <f t="shared" si="2"/>
        <v/>
      </c>
    </row>
    <row r="141" spans="1:8" x14ac:dyDescent="0.25">
      <c r="A141" t="s">
        <v>7689</v>
      </c>
      <c r="B141">
        <v>1133074</v>
      </c>
      <c r="C141" t="s">
        <v>7778</v>
      </c>
      <c r="D141" t="s">
        <v>7912</v>
      </c>
      <c r="E141" t="s">
        <v>7595</v>
      </c>
      <c r="F141" t="s">
        <v>7596</v>
      </c>
      <c r="H141" s="9" t="str">
        <f t="shared" si="2"/>
        <v/>
      </c>
    </row>
    <row r="142" spans="1:8" x14ac:dyDescent="0.25">
      <c r="A142" t="s">
        <v>7689</v>
      </c>
      <c r="B142">
        <v>1133075</v>
      </c>
      <c r="C142" t="s">
        <v>7779</v>
      </c>
      <c r="D142" t="s">
        <v>7913</v>
      </c>
      <c r="E142" t="s">
        <v>7597</v>
      </c>
      <c r="F142" t="s">
        <v>7598</v>
      </c>
      <c r="H142" s="9" t="str">
        <f t="shared" si="2"/>
        <v/>
      </c>
    </row>
    <row r="143" spans="1:8" x14ac:dyDescent="0.25">
      <c r="A143" t="s">
        <v>7689</v>
      </c>
      <c r="B143">
        <v>1133076</v>
      </c>
      <c r="C143" t="s">
        <v>7780</v>
      </c>
      <c r="D143" t="s">
        <v>7914</v>
      </c>
      <c r="E143" t="s">
        <v>7599</v>
      </c>
      <c r="F143" t="s">
        <v>7600</v>
      </c>
      <c r="H143" s="9" t="str">
        <f t="shared" si="2"/>
        <v/>
      </c>
    </row>
    <row r="144" spans="1:8" x14ac:dyDescent="0.25">
      <c r="A144" t="s">
        <v>7689</v>
      </c>
      <c r="B144">
        <v>1133077</v>
      </c>
      <c r="C144" t="s">
        <v>7781</v>
      </c>
      <c r="D144" t="s">
        <v>7915</v>
      </c>
      <c r="E144" t="s">
        <v>7601</v>
      </c>
      <c r="F144" t="s">
        <v>7602</v>
      </c>
      <c r="H144" s="9" t="str">
        <f t="shared" si="2"/>
        <v/>
      </c>
    </row>
    <row r="145" spans="1:8" x14ac:dyDescent="0.25">
      <c r="A145" t="s">
        <v>7689</v>
      </c>
      <c r="B145">
        <v>1133078</v>
      </c>
      <c r="C145" t="s">
        <v>7782</v>
      </c>
      <c r="D145" t="s">
        <v>7916</v>
      </c>
      <c r="E145" t="s">
        <v>7603</v>
      </c>
      <c r="F145" t="s">
        <v>7604</v>
      </c>
      <c r="H145" s="9" t="str">
        <f t="shared" si="2"/>
        <v/>
      </c>
    </row>
    <row r="146" spans="1:8" x14ac:dyDescent="0.25">
      <c r="A146" t="s">
        <v>7689</v>
      </c>
      <c r="B146">
        <v>1133079</v>
      </c>
      <c r="C146" t="s">
        <v>7783</v>
      </c>
      <c r="D146" t="s">
        <v>7917</v>
      </c>
      <c r="E146" t="s">
        <v>7605</v>
      </c>
      <c r="F146" t="s">
        <v>7606</v>
      </c>
      <c r="H146" s="9" t="str">
        <f t="shared" si="2"/>
        <v/>
      </c>
    </row>
    <row r="147" spans="1:8" x14ac:dyDescent="0.25">
      <c r="A147" t="s">
        <v>7689</v>
      </c>
      <c r="B147">
        <v>1133080</v>
      </c>
      <c r="C147" t="s">
        <v>7784</v>
      </c>
      <c r="D147" t="s">
        <v>7918</v>
      </c>
      <c r="E147" t="s">
        <v>7607</v>
      </c>
      <c r="F147" t="s">
        <v>7608</v>
      </c>
      <c r="H147" s="9" t="str">
        <f t="shared" si="2"/>
        <v/>
      </c>
    </row>
    <row r="148" spans="1:8" x14ac:dyDescent="0.25">
      <c r="A148" t="s">
        <v>7689</v>
      </c>
      <c r="B148">
        <v>1133081</v>
      </c>
      <c r="C148" t="s">
        <v>7785</v>
      </c>
      <c r="D148" t="s">
        <v>7919</v>
      </c>
      <c r="E148" t="s">
        <v>7609</v>
      </c>
      <c r="F148" t="s">
        <v>7610</v>
      </c>
      <c r="H148" s="9" t="str">
        <f t="shared" si="2"/>
        <v/>
      </c>
    </row>
    <row r="149" spans="1:8" x14ac:dyDescent="0.25">
      <c r="A149" t="s">
        <v>7689</v>
      </c>
      <c r="B149">
        <v>1133082</v>
      </c>
      <c r="C149" t="s">
        <v>7786</v>
      </c>
      <c r="D149" t="s">
        <v>7920</v>
      </c>
      <c r="E149" t="s">
        <v>7611</v>
      </c>
      <c r="F149" t="s">
        <v>7612</v>
      </c>
      <c r="H149" s="9" t="str">
        <f t="shared" si="2"/>
        <v/>
      </c>
    </row>
    <row r="150" spans="1:8" x14ac:dyDescent="0.25">
      <c r="A150" t="s">
        <v>7689</v>
      </c>
      <c r="B150">
        <v>1133083</v>
      </c>
      <c r="C150" t="s">
        <v>7787</v>
      </c>
      <c r="D150" t="s">
        <v>7921</v>
      </c>
      <c r="E150" t="s">
        <v>7613</v>
      </c>
      <c r="F150" t="s">
        <v>7614</v>
      </c>
      <c r="H150" s="9" t="str">
        <f t="shared" si="2"/>
        <v/>
      </c>
    </row>
    <row r="151" spans="1:8" x14ac:dyDescent="0.25">
      <c r="A151" t="s">
        <v>7689</v>
      </c>
      <c r="B151">
        <v>1133084</v>
      </c>
      <c r="C151" t="s">
        <v>7788</v>
      </c>
      <c r="D151" t="s">
        <v>7922</v>
      </c>
      <c r="E151" t="s">
        <v>7615</v>
      </c>
      <c r="F151" t="s">
        <v>7616</v>
      </c>
      <c r="H151" s="9" t="str">
        <f t="shared" si="2"/>
        <v/>
      </c>
    </row>
    <row r="152" spans="1:8" x14ac:dyDescent="0.25">
      <c r="A152" t="s">
        <v>7689</v>
      </c>
      <c r="B152">
        <v>1133085</v>
      </c>
      <c r="C152" t="s">
        <v>7789</v>
      </c>
      <c r="D152" t="s">
        <v>7923</v>
      </c>
      <c r="E152" t="s">
        <v>7617</v>
      </c>
      <c r="F152" t="s">
        <v>7618</v>
      </c>
      <c r="H152" s="9" t="str">
        <f t="shared" si="2"/>
        <v/>
      </c>
    </row>
    <row r="153" spans="1:8" x14ac:dyDescent="0.25">
      <c r="A153" t="s">
        <v>7689</v>
      </c>
      <c r="B153">
        <v>12020101</v>
      </c>
      <c r="C153" t="s">
        <v>7790</v>
      </c>
      <c r="D153" t="s">
        <v>7924</v>
      </c>
      <c r="E153" t="s">
        <v>7619</v>
      </c>
      <c r="F153" t="s">
        <v>7620</v>
      </c>
      <c r="H153" s="9" t="str">
        <f t="shared" si="2"/>
        <v/>
      </c>
    </row>
    <row r="154" spans="1:8" x14ac:dyDescent="0.25">
      <c r="A154" t="s">
        <v>7689</v>
      </c>
      <c r="B154">
        <v>12020201</v>
      </c>
      <c r="C154" t="s">
        <v>7791</v>
      </c>
      <c r="D154" t="s">
        <v>7925</v>
      </c>
      <c r="E154" t="s">
        <v>7621</v>
      </c>
      <c r="F154" t="s">
        <v>7622</v>
      </c>
      <c r="H154" s="9" t="str">
        <f t="shared" si="2"/>
        <v/>
      </c>
    </row>
    <row r="155" spans="1:8" x14ac:dyDescent="0.25">
      <c r="A155" t="s">
        <v>7689</v>
      </c>
      <c r="B155">
        <v>12020301</v>
      </c>
      <c r="C155" t="s">
        <v>7792</v>
      </c>
      <c r="D155" t="s">
        <v>7926</v>
      </c>
      <c r="E155" t="s">
        <v>7623</v>
      </c>
      <c r="F155" t="s">
        <v>7624</v>
      </c>
      <c r="H155" s="9" t="str">
        <f t="shared" si="2"/>
        <v/>
      </c>
    </row>
    <row r="156" spans="1:8" x14ac:dyDescent="0.25">
      <c r="A156" t="s">
        <v>7689</v>
      </c>
      <c r="B156">
        <v>12020401</v>
      </c>
      <c r="C156" t="s">
        <v>7793</v>
      </c>
      <c r="D156" t="s">
        <v>7927</v>
      </c>
      <c r="E156" t="s">
        <v>7625</v>
      </c>
      <c r="F156" t="s">
        <v>7626</v>
      </c>
      <c r="H156" s="9" t="str">
        <f t="shared" si="2"/>
        <v/>
      </c>
    </row>
    <row r="157" spans="1:8" x14ac:dyDescent="0.25">
      <c r="A157" t="s">
        <v>7689</v>
      </c>
      <c r="B157">
        <v>12020501</v>
      </c>
      <c r="C157" t="s">
        <v>7725</v>
      </c>
      <c r="D157" t="s">
        <v>7928</v>
      </c>
      <c r="E157" t="s">
        <v>7627</v>
      </c>
      <c r="F157" t="s">
        <v>7628</v>
      </c>
      <c r="H157" s="9" t="str">
        <f t="shared" si="2"/>
        <v/>
      </c>
    </row>
    <row r="158" spans="1:8" x14ac:dyDescent="0.25">
      <c r="A158" t="s">
        <v>7689</v>
      </c>
      <c r="B158">
        <v>12020601</v>
      </c>
      <c r="C158" t="s">
        <v>7794</v>
      </c>
      <c r="D158" t="s">
        <v>7929</v>
      </c>
      <c r="E158" t="s">
        <v>7629</v>
      </c>
      <c r="F158" t="s">
        <v>7630</v>
      </c>
      <c r="H158" s="9" t="str">
        <f t="shared" si="2"/>
        <v/>
      </c>
    </row>
    <row r="159" spans="1:8" x14ac:dyDescent="0.25">
      <c r="A159" t="s">
        <v>7689</v>
      </c>
      <c r="B159">
        <v>12020701</v>
      </c>
      <c r="C159" t="s">
        <v>7795</v>
      </c>
      <c r="D159" t="s">
        <v>7930</v>
      </c>
      <c r="E159" t="s">
        <v>7631</v>
      </c>
      <c r="F159" t="s">
        <v>7632</v>
      </c>
      <c r="H159" s="9" t="str">
        <f t="shared" si="2"/>
        <v/>
      </c>
    </row>
    <row r="160" spans="1:8" x14ac:dyDescent="0.25">
      <c r="A160" t="s">
        <v>7689</v>
      </c>
      <c r="B160">
        <v>12020801</v>
      </c>
      <c r="C160" t="s">
        <v>7796</v>
      </c>
      <c r="D160" t="s">
        <v>7931</v>
      </c>
      <c r="E160" t="s">
        <v>7633</v>
      </c>
      <c r="F160" t="s">
        <v>7634</v>
      </c>
      <c r="H160" s="9" t="str">
        <f t="shared" si="2"/>
        <v/>
      </c>
    </row>
    <row r="161" spans="1:8" x14ac:dyDescent="0.25">
      <c r="A161" t="s">
        <v>7689</v>
      </c>
      <c r="B161">
        <v>12020901</v>
      </c>
      <c r="C161" t="s">
        <v>7797</v>
      </c>
      <c r="D161" t="s">
        <v>7932</v>
      </c>
      <c r="E161" t="s">
        <v>7635</v>
      </c>
      <c r="F161" t="s">
        <v>7636</v>
      </c>
      <c r="H161" s="9" t="str">
        <f t="shared" si="2"/>
        <v/>
      </c>
    </row>
    <row r="162" spans="1:8" x14ac:dyDescent="0.25">
      <c r="A162" t="s">
        <v>7689</v>
      </c>
      <c r="B162">
        <v>12021001</v>
      </c>
      <c r="C162" t="s">
        <v>7798</v>
      </c>
      <c r="D162" t="s">
        <v>7933</v>
      </c>
      <c r="E162" t="s">
        <v>7637</v>
      </c>
      <c r="F162" t="s">
        <v>7638</v>
      </c>
      <c r="H162" s="9" t="str">
        <f t="shared" si="2"/>
        <v/>
      </c>
    </row>
    <row r="163" spans="1:8" x14ac:dyDescent="0.25">
      <c r="A163" t="s">
        <v>7689</v>
      </c>
      <c r="B163">
        <v>12021101</v>
      </c>
      <c r="C163" t="s">
        <v>7799</v>
      </c>
      <c r="D163" t="s">
        <v>7934</v>
      </c>
      <c r="E163" t="s">
        <v>7639</v>
      </c>
      <c r="F163" t="s">
        <v>7640</v>
      </c>
      <c r="H163" s="9" t="str">
        <f t="shared" si="2"/>
        <v/>
      </c>
    </row>
    <row r="164" spans="1:8" x14ac:dyDescent="0.25">
      <c r="A164" t="s">
        <v>7689</v>
      </c>
      <c r="B164">
        <v>12021201</v>
      </c>
      <c r="C164" t="s">
        <v>7800</v>
      </c>
      <c r="D164" t="s">
        <v>7935</v>
      </c>
      <c r="E164" t="s">
        <v>7641</v>
      </c>
      <c r="F164" t="s">
        <v>7642</v>
      </c>
      <c r="H164" s="9" t="str">
        <f t="shared" si="2"/>
        <v/>
      </c>
    </row>
    <row r="165" spans="1:8" x14ac:dyDescent="0.25">
      <c r="A165" t="s">
        <v>7689</v>
      </c>
      <c r="B165">
        <v>12021301</v>
      </c>
      <c r="C165" t="s">
        <v>7801</v>
      </c>
      <c r="D165" t="s">
        <v>7936</v>
      </c>
      <c r="E165" t="s">
        <v>7643</v>
      </c>
      <c r="F165" t="s">
        <v>7644</v>
      </c>
      <c r="H165" s="9" t="str">
        <f t="shared" si="2"/>
        <v/>
      </c>
    </row>
    <row r="166" spans="1:8" x14ac:dyDescent="0.25">
      <c r="A166" t="s">
        <v>7689</v>
      </c>
      <c r="B166">
        <v>12021401</v>
      </c>
      <c r="C166" t="s">
        <v>7802</v>
      </c>
      <c r="D166" t="s">
        <v>7937</v>
      </c>
      <c r="E166" t="s">
        <v>7645</v>
      </c>
      <c r="F166" t="s">
        <v>7646</v>
      </c>
      <c r="H166" s="9" t="str">
        <f t="shared" si="2"/>
        <v/>
      </c>
    </row>
    <row r="167" spans="1:8" x14ac:dyDescent="0.25">
      <c r="A167" t="s">
        <v>7689</v>
      </c>
      <c r="B167">
        <v>12021501</v>
      </c>
      <c r="C167" t="s">
        <v>7803</v>
      </c>
      <c r="D167" t="s">
        <v>7938</v>
      </c>
      <c r="E167" t="s">
        <v>7647</v>
      </c>
      <c r="F167" t="s">
        <v>7648</v>
      </c>
      <c r="H167" s="9" t="str">
        <f t="shared" si="2"/>
        <v/>
      </c>
    </row>
    <row r="168" spans="1:8" x14ac:dyDescent="0.25">
      <c r="A168" t="s">
        <v>7689</v>
      </c>
      <c r="B168">
        <v>12021601</v>
      </c>
      <c r="C168" t="s">
        <v>7804</v>
      </c>
      <c r="D168" t="s">
        <v>7939</v>
      </c>
      <c r="E168" t="s">
        <v>7649</v>
      </c>
      <c r="F168" t="s">
        <v>7650</v>
      </c>
      <c r="H168" s="9" t="str">
        <f t="shared" si="2"/>
        <v/>
      </c>
    </row>
    <row r="169" spans="1:8" x14ac:dyDescent="0.25">
      <c r="A169" t="s">
        <v>7689</v>
      </c>
      <c r="B169">
        <v>12021701</v>
      </c>
      <c r="C169" t="s">
        <v>7805</v>
      </c>
      <c r="D169" t="s">
        <v>7940</v>
      </c>
      <c r="E169" t="s">
        <v>7651</v>
      </c>
      <c r="F169" t="s">
        <v>7652</v>
      </c>
      <c r="H169" s="9" t="str">
        <f t="shared" si="2"/>
        <v/>
      </c>
    </row>
    <row r="170" spans="1:8" x14ac:dyDescent="0.25">
      <c r="A170" t="s">
        <v>7689</v>
      </c>
      <c r="B170">
        <v>12021801</v>
      </c>
      <c r="C170" t="s">
        <v>7806</v>
      </c>
      <c r="D170" t="s">
        <v>7941</v>
      </c>
      <c r="E170" t="s">
        <v>7653</v>
      </c>
      <c r="F170" t="s">
        <v>7654</v>
      </c>
      <c r="H170" s="9" t="str">
        <f t="shared" si="2"/>
        <v/>
      </c>
    </row>
    <row r="171" spans="1:8" x14ac:dyDescent="0.25">
      <c r="A171" t="s">
        <v>7689</v>
      </c>
      <c r="B171">
        <v>12021901</v>
      </c>
      <c r="C171" t="s">
        <v>7807</v>
      </c>
      <c r="D171" t="s">
        <v>7942</v>
      </c>
      <c r="E171" t="s">
        <v>7655</v>
      </c>
      <c r="F171" t="s">
        <v>7656</v>
      </c>
      <c r="H171" s="9" t="str">
        <f t="shared" si="2"/>
        <v/>
      </c>
    </row>
    <row r="172" spans="1:8" x14ac:dyDescent="0.25">
      <c r="A172" t="s">
        <v>7689</v>
      </c>
      <c r="B172">
        <v>12022001</v>
      </c>
      <c r="C172" t="s">
        <v>7808</v>
      </c>
      <c r="D172" t="s">
        <v>7943</v>
      </c>
      <c r="E172" t="s">
        <v>7657</v>
      </c>
      <c r="F172" t="s">
        <v>7658</v>
      </c>
      <c r="H172" s="9" t="str">
        <f t="shared" si="2"/>
        <v/>
      </c>
    </row>
    <row r="173" spans="1:8" x14ac:dyDescent="0.25">
      <c r="A173" t="s">
        <v>7689</v>
      </c>
      <c r="B173">
        <v>12022101</v>
      </c>
      <c r="C173" t="s">
        <v>7809</v>
      </c>
      <c r="D173" t="s">
        <v>7944</v>
      </c>
      <c r="E173" t="s">
        <v>7659</v>
      </c>
      <c r="F173" t="s">
        <v>7660</v>
      </c>
      <c r="H173" s="9" t="str">
        <f t="shared" si="2"/>
        <v/>
      </c>
    </row>
    <row r="174" spans="1:8" x14ac:dyDescent="0.25">
      <c r="A174" t="s">
        <v>7689</v>
      </c>
      <c r="B174">
        <v>12022201</v>
      </c>
      <c r="C174" t="s">
        <v>7810</v>
      </c>
      <c r="D174" t="s">
        <v>7945</v>
      </c>
      <c r="E174" t="s">
        <v>7661</v>
      </c>
      <c r="F174" t="s">
        <v>7662</v>
      </c>
      <c r="H174" s="9" t="str">
        <f t="shared" si="2"/>
        <v/>
      </c>
    </row>
    <row r="175" spans="1:8" x14ac:dyDescent="0.25">
      <c r="A175" t="s">
        <v>7689</v>
      </c>
      <c r="B175">
        <v>12022301</v>
      </c>
      <c r="C175" t="s">
        <v>7811</v>
      </c>
      <c r="D175" t="s">
        <v>7946</v>
      </c>
      <c r="E175" t="s">
        <v>7663</v>
      </c>
      <c r="F175" t="s">
        <v>7664</v>
      </c>
      <c r="H175" s="9" t="str">
        <f t="shared" si="2"/>
        <v/>
      </c>
    </row>
    <row r="176" spans="1:8" x14ac:dyDescent="0.25">
      <c r="A176" t="s">
        <v>7689</v>
      </c>
      <c r="B176">
        <v>12022401</v>
      </c>
      <c r="C176" t="s">
        <v>7812</v>
      </c>
      <c r="D176" t="s">
        <v>7947</v>
      </c>
      <c r="E176" t="s">
        <v>7665</v>
      </c>
      <c r="F176" t="s">
        <v>7666</v>
      </c>
      <c r="H176" s="9" t="str">
        <f t="shared" si="2"/>
        <v/>
      </c>
    </row>
    <row r="177" spans="1:8" x14ac:dyDescent="0.25">
      <c r="A177" t="s">
        <v>7689</v>
      </c>
      <c r="B177">
        <v>12022501</v>
      </c>
      <c r="C177" t="s">
        <v>7813</v>
      </c>
      <c r="D177" t="s">
        <v>7948</v>
      </c>
      <c r="E177" t="s">
        <v>7667</v>
      </c>
      <c r="F177" t="s">
        <v>7668</v>
      </c>
      <c r="H177" s="9" t="str">
        <f t="shared" si="2"/>
        <v/>
      </c>
    </row>
    <row r="178" spans="1:8" x14ac:dyDescent="0.25">
      <c r="A178" t="s">
        <v>7689</v>
      </c>
      <c r="B178">
        <v>12022601</v>
      </c>
      <c r="C178" t="s">
        <v>7814</v>
      </c>
      <c r="D178" t="s">
        <v>7949</v>
      </c>
      <c r="E178" t="s">
        <v>7669</v>
      </c>
      <c r="F178" t="s">
        <v>7670</v>
      </c>
      <c r="H178" s="9" t="str">
        <f t="shared" si="2"/>
        <v/>
      </c>
    </row>
    <row r="179" spans="1:8" x14ac:dyDescent="0.25">
      <c r="A179" t="s">
        <v>7689</v>
      </c>
      <c r="B179">
        <v>12022701</v>
      </c>
      <c r="C179" t="s">
        <v>7815</v>
      </c>
      <c r="D179" t="s">
        <v>7950</v>
      </c>
      <c r="E179" t="s">
        <v>7671</v>
      </c>
      <c r="F179" t="s">
        <v>7672</v>
      </c>
      <c r="H179" s="9" t="str">
        <f t="shared" si="2"/>
        <v/>
      </c>
    </row>
    <row r="180" spans="1:8" x14ac:dyDescent="0.25">
      <c r="A180" t="s">
        <v>7689</v>
      </c>
      <c r="B180">
        <v>12022801</v>
      </c>
      <c r="C180" t="s">
        <v>7816</v>
      </c>
      <c r="D180" t="s">
        <v>7951</v>
      </c>
      <c r="E180" t="s">
        <v>7673</v>
      </c>
      <c r="F180" t="s">
        <v>7674</v>
      </c>
      <c r="H180" s="9" t="str">
        <f t="shared" si="2"/>
        <v/>
      </c>
    </row>
    <row r="181" spans="1:8" x14ac:dyDescent="0.25">
      <c r="A181" t="s">
        <v>7689</v>
      </c>
      <c r="B181">
        <v>12022901</v>
      </c>
      <c r="C181" t="s">
        <v>7817</v>
      </c>
      <c r="D181" t="s">
        <v>7952</v>
      </c>
      <c r="E181" t="s">
        <v>7675</v>
      </c>
      <c r="F181" t="s">
        <v>7676</v>
      </c>
      <c r="H181" s="9" t="str">
        <f t="shared" si="2"/>
        <v/>
      </c>
    </row>
    <row r="182" spans="1:8" x14ac:dyDescent="0.25">
      <c r="A182" t="s">
        <v>7689</v>
      </c>
      <c r="B182">
        <v>12023001</v>
      </c>
      <c r="C182" t="s">
        <v>7818</v>
      </c>
      <c r="D182" t="s">
        <v>7953</v>
      </c>
      <c r="E182" t="s">
        <v>7677</v>
      </c>
      <c r="F182" t="s">
        <v>7678</v>
      </c>
      <c r="H182" s="9" t="str">
        <f t="shared" si="2"/>
        <v/>
      </c>
    </row>
    <row r="183" spans="1:8" x14ac:dyDescent="0.25">
      <c r="A183" t="s">
        <v>7689</v>
      </c>
      <c r="B183">
        <v>12023101</v>
      </c>
      <c r="C183" t="s">
        <v>7819</v>
      </c>
      <c r="D183" t="s">
        <v>7819</v>
      </c>
      <c r="E183" t="s">
        <v>7679</v>
      </c>
      <c r="F183" t="s">
        <v>7679</v>
      </c>
      <c r="H183" s="9" t="str">
        <f t="shared" si="2"/>
        <v/>
      </c>
    </row>
    <row r="184" spans="1:8" x14ac:dyDescent="0.25">
      <c r="A184" t="s">
        <v>7689</v>
      </c>
      <c r="B184">
        <v>12023201</v>
      </c>
      <c r="C184" t="s">
        <v>7820</v>
      </c>
      <c r="D184" t="s">
        <v>7954</v>
      </c>
      <c r="E184" t="s">
        <v>7680</v>
      </c>
      <c r="F184" t="s">
        <v>7681</v>
      </c>
      <c r="H184" s="9" t="str">
        <f t="shared" si="2"/>
        <v/>
      </c>
    </row>
    <row r="185" spans="1:8" x14ac:dyDescent="0.25">
      <c r="A185" t="s">
        <v>7689</v>
      </c>
      <c r="B185">
        <v>12023301</v>
      </c>
      <c r="C185" t="s">
        <v>7821</v>
      </c>
      <c r="D185" t="s">
        <v>7955</v>
      </c>
      <c r="E185" t="s">
        <v>7682</v>
      </c>
      <c r="F185" t="s">
        <v>7683</v>
      </c>
      <c r="H185" s="9" t="str">
        <f t="shared" si="2"/>
        <v/>
      </c>
    </row>
    <row r="186" spans="1:8" x14ac:dyDescent="0.25">
      <c r="A186" t="s">
        <v>7689</v>
      </c>
      <c r="B186">
        <v>12023401</v>
      </c>
      <c r="C186" t="s">
        <v>7822</v>
      </c>
      <c r="D186" t="s">
        <v>7956</v>
      </c>
      <c r="E186" t="s">
        <v>7684</v>
      </c>
      <c r="F186" t="s">
        <v>7685</v>
      </c>
      <c r="H186" s="9" t="str">
        <f t="shared" si="2"/>
        <v/>
      </c>
    </row>
    <row r="187" spans="1:8" x14ac:dyDescent="0.25">
      <c r="A187" t="s">
        <v>7689</v>
      </c>
      <c r="B187">
        <v>12023501</v>
      </c>
      <c r="C187" t="s">
        <v>7823</v>
      </c>
      <c r="D187" t="s">
        <v>7957</v>
      </c>
      <c r="E187" t="s">
        <v>7686</v>
      </c>
      <c r="F187" t="s">
        <v>7687</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topLeftCell="A20"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8499</v>
      </c>
      <c r="I1" t="s">
        <v>8497</v>
      </c>
      <c r="J1" t="s">
        <v>25</v>
      </c>
      <c r="K1" t="s">
        <v>581</v>
      </c>
      <c r="L1" t="s">
        <v>8498</v>
      </c>
      <c r="M1" t="s">
        <v>8496</v>
      </c>
    </row>
    <row r="2" spans="1:13" x14ac:dyDescent="0.25">
      <c r="A2" t="s">
        <v>1778</v>
      </c>
      <c r="B2" t="s">
        <v>8347</v>
      </c>
      <c r="C2" t="s">
        <v>8348</v>
      </c>
      <c r="D2" t="s">
        <v>8349</v>
      </c>
      <c r="E2" t="s">
        <v>8350</v>
      </c>
      <c r="F2" t="s">
        <v>8351</v>
      </c>
      <c r="H2" t="s">
        <v>8495</v>
      </c>
      <c r="I2" t="s">
        <v>8352</v>
      </c>
      <c r="J2">
        <v>2001</v>
      </c>
      <c r="K2">
        <v>770036</v>
      </c>
      <c r="L2" t="s">
        <v>8441</v>
      </c>
      <c r="M2" t="s">
        <v>8353</v>
      </c>
    </row>
    <row r="3" spans="1:13" x14ac:dyDescent="0.25">
      <c r="A3" t="s">
        <v>8187</v>
      </c>
      <c r="B3">
        <v>24</v>
      </c>
      <c r="C3">
        <v>28</v>
      </c>
      <c r="D3">
        <v>33</v>
      </c>
      <c r="E3">
        <v>38</v>
      </c>
      <c r="F3">
        <v>48</v>
      </c>
      <c r="H3" t="s">
        <v>8494</v>
      </c>
      <c r="I3" t="s">
        <v>8354</v>
      </c>
      <c r="J3">
        <v>2002</v>
      </c>
      <c r="K3">
        <v>770038</v>
      </c>
      <c r="L3" t="s">
        <v>8442</v>
      </c>
      <c r="M3" t="s">
        <v>8355</v>
      </c>
    </row>
    <row r="4" spans="1:13" x14ac:dyDescent="0.25">
      <c r="A4" t="s">
        <v>8188</v>
      </c>
      <c r="B4">
        <v>24</v>
      </c>
      <c r="C4">
        <v>28</v>
      </c>
      <c r="D4">
        <v>33</v>
      </c>
      <c r="E4">
        <v>38</v>
      </c>
      <c r="F4">
        <v>48</v>
      </c>
      <c r="H4" t="s">
        <v>8501</v>
      </c>
      <c r="I4" t="s">
        <v>8356</v>
      </c>
      <c r="J4">
        <v>2003</v>
      </c>
      <c r="K4">
        <v>770125</v>
      </c>
      <c r="L4" t="s">
        <v>8443</v>
      </c>
      <c r="M4" t="s">
        <v>8357</v>
      </c>
    </row>
    <row r="5" spans="1:13" x14ac:dyDescent="0.25">
      <c r="A5" t="s">
        <v>8189</v>
      </c>
      <c r="B5">
        <v>8</v>
      </c>
      <c r="C5">
        <v>9</v>
      </c>
      <c r="D5">
        <v>11</v>
      </c>
      <c r="E5">
        <v>12</v>
      </c>
      <c r="F5">
        <v>16</v>
      </c>
      <c r="H5" t="s">
        <v>8493</v>
      </c>
      <c r="I5" t="s">
        <v>8358</v>
      </c>
      <c r="J5">
        <v>2004</v>
      </c>
      <c r="K5">
        <v>770106</v>
      </c>
      <c r="L5" t="s">
        <v>8444</v>
      </c>
      <c r="M5" t="s">
        <v>8359</v>
      </c>
    </row>
    <row r="6" spans="1:13" x14ac:dyDescent="0.25">
      <c r="A6" t="s">
        <v>7738</v>
      </c>
      <c r="B6">
        <v>16</v>
      </c>
      <c r="C6">
        <v>19</v>
      </c>
      <c r="D6">
        <v>22</v>
      </c>
      <c r="E6">
        <v>25</v>
      </c>
      <c r="F6">
        <v>32</v>
      </c>
      <c r="H6" t="s">
        <v>8492</v>
      </c>
      <c r="I6" t="s">
        <v>8360</v>
      </c>
      <c r="J6">
        <v>2005</v>
      </c>
      <c r="K6">
        <v>220187</v>
      </c>
      <c r="L6" t="s">
        <v>8448</v>
      </c>
      <c r="M6" t="s">
        <v>8361</v>
      </c>
    </row>
    <row r="7" spans="1:13" x14ac:dyDescent="0.25">
      <c r="A7" t="s">
        <v>878</v>
      </c>
      <c r="B7">
        <v>5</v>
      </c>
      <c r="C7">
        <v>6</v>
      </c>
      <c r="D7">
        <v>7</v>
      </c>
      <c r="E7">
        <v>8</v>
      </c>
      <c r="F7">
        <v>10</v>
      </c>
      <c r="H7" t="s">
        <v>8491</v>
      </c>
      <c r="I7" t="s">
        <v>8362</v>
      </c>
      <c r="J7">
        <v>2006</v>
      </c>
      <c r="K7">
        <v>770113</v>
      </c>
      <c r="L7" t="s">
        <v>8449</v>
      </c>
      <c r="M7" t="s">
        <v>8363</v>
      </c>
    </row>
    <row r="8" spans="1:13" x14ac:dyDescent="0.25">
      <c r="A8" t="s">
        <v>38</v>
      </c>
      <c r="B8">
        <v>5</v>
      </c>
      <c r="C8">
        <v>6</v>
      </c>
      <c r="D8">
        <v>7</v>
      </c>
      <c r="E8">
        <v>8</v>
      </c>
      <c r="F8">
        <v>10</v>
      </c>
      <c r="H8" t="s">
        <v>8490</v>
      </c>
      <c r="I8" t="s">
        <v>8364</v>
      </c>
      <c r="J8">
        <v>3001</v>
      </c>
      <c r="K8">
        <v>220173</v>
      </c>
      <c r="L8" t="s">
        <v>8445</v>
      </c>
      <c r="M8" t="s">
        <v>8365</v>
      </c>
    </row>
    <row r="9" spans="1:13" x14ac:dyDescent="0.25">
      <c r="A9" t="s">
        <v>278</v>
      </c>
      <c r="B9">
        <v>2</v>
      </c>
      <c r="C9">
        <v>3</v>
      </c>
      <c r="D9">
        <v>4</v>
      </c>
      <c r="E9">
        <v>5</v>
      </c>
      <c r="F9">
        <v>6</v>
      </c>
      <c r="H9" t="s">
        <v>8489</v>
      </c>
      <c r="I9" t="s">
        <v>8366</v>
      </c>
      <c r="J9">
        <v>3002</v>
      </c>
      <c r="K9">
        <v>220175</v>
      </c>
      <c r="L9" t="s">
        <v>8446</v>
      </c>
      <c r="M9" t="s">
        <v>8367</v>
      </c>
    </row>
    <row r="10" spans="1:13" x14ac:dyDescent="0.25">
      <c r="A10" t="s">
        <v>39</v>
      </c>
      <c r="B10">
        <v>2</v>
      </c>
      <c r="C10">
        <v>3</v>
      </c>
      <c r="D10">
        <v>4</v>
      </c>
      <c r="E10">
        <v>5</v>
      </c>
      <c r="F10">
        <v>6</v>
      </c>
      <c r="H10" t="s">
        <v>8488</v>
      </c>
      <c r="I10" t="s">
        <v>8368</v>
      </c>
      <c r="J10">
        <v>3003</v>
      </c>
      <c r="K10">
        <v>220181</v>
      </c>
      <c r="L10" t="s">
        <v>8447</v>
      </c>
      <c r="M10" t="s">
        <v>8369</v>
      </c>
    </row>
    <row r="11" spans="1:13" x14ac:dyDescent="0.25">
      <c r="A11" t="s">
        <v>8279</v>
      </c>
      <c r="B11">
        <v>10</v>
      </c>
      <c r="C11">
        <v>12</v>
      </c>
      <c r="D11">
        <v>14</v>
      </c>
      <c r="E11">
        <v>16</v>
      </c>
      <c r="F11">
        <v>20</v>
      </c>
      <c r="H11" t="s">
        <v>8437</v>
      </c>
      <c r="I11" t="s">
        <v>8370</v>
      </c>
      <c r="J11">
        <v>3004</v>
      </c>
      <c r="K11">
        <v>220180</v>
      </c>
      <c r="L11" t="s">
        <v>8450</v>
      </c>
      <c r="M11" t="s">
        <v>8371</v>
      </c>
    </row>
    <row r="12" spans="1:13" x14ac:dyDescent="0.25">
      <c r="A12" t="s">
        <v>8280</v>
      </c>
      <c r="B12">
        <v>10</v>
      </c>
      <c r="C12">
        <v>12</v>
      </c>
      <c r="D12">
        <v>14</v>
      </c>
      <c r="E12">
        <v>16</v>
      </c>
      <c r="F12">
        <v>20</v>
      </c>
      <c r="H12" t="s">
        <v>8487</v>
      </c>
      <c r="I12" t="s">
        <v>8372</v>
      </c>
      <c r="J12">
        <v>3005</v>
      </c>
      <c r="K12">
        <v>220167</v>
      </c>
      <c r="L12" t="s">
        <v>8412</v>
      </c>
      <c r="M12" t="s">
        <v>8412</v>
      </c>
    </row>
    <row r="13" spans="1:13" x14ac:dyDescent="0.25">
      <c r="A13" t="s">
        <v>8191</v>
      </c>
      <c r="B13">
        <v>13</v>
      </c>
      <c r="C13">
        <v>15</v>
      </c>
      <c r="D13">
        <v>18</v>
      </c>
      <c r="E13">
        <v>20</v>
      </c>
      <c r="F13">
        <v>26</v>
      </c>
      <c r="H13" t="s">
        <v>8486</v>
      </c>
      <c r="I13" t="s">
        <v>8373</v>
      </c>
      <c r="J13">
        <v>3006</v>
      </c>
      <c r="K13">
        <v>220185</v>
      </c>
      <c r="L13" t="s">
        <v>8451</v>
      </c>
      <c r="M13" t="s">
        <v>8374</v>
      </c>
    </row>
    <row r="14" spans="1:13" x14ac:dyDescent="0.25">
      <c r="A14" t="s">
        <v>8192</v>
      </c>
      <c r="B14">
        <v>38</v>
      </c>
      <c r="C14">
        <v>45</v>
      </c>
      <c r="D14">
        <v>53</v>
      </c>
      <c r="E14">
        <v>60</v>
      </c>
      <c r="F14">
        <v>76</v>
      </c>
      <c r="H14" t="s">
        <v>8485</v>
      </c>
      <c r="I14" t="s">
        <v>8375</v>
      </c>
      <c r="J14">
        <v>4001</v>
      </c>
      <c r="K14">
        <v>770090</v>
      </c>
      <c r="L14" t="s">
        <v>8413</v>
      </c>
      <c r="M14" t="s">
        <v>8413</v>
      </c>
    </row>
    <row r="15" spans="1:13" x14ac:dyDescent="0.25">
      <c r="A15" t="s">
        <v>8190</v>
      </c>
      <c r="B15">
        <v>19</v>
      </c>
      <c r="C15">
        <v>22</v>
      </c>
      <c r="D15">
        <v>26</v>
      </c>
      <c r="E15">
        <v>30</v>
      </c>
      <c r="F15">
        <v>38</v>
      </c>
      <c r="H15" t="s">
        <v>8484</v>
      </c>
      <c r="I15" t="s">
        <v>8376</v>
      </c>
      <c r="J15">
        <v>4002</v>
      </c>
      <c r="K15">
        <v>770091</v>
      </c>
      <c r="L15" t="s">
        <v>8414</v>
      </c>
      <c r="M15" t="s">
        <v>8414</v>
      </c>
    </row>
    <row r="16" spans="1:13" x14ac:dyDescent="0.25">
      <c r="A16" t="s">
        <v>1798</v>
      </c>
      <c r="B16" t="s">
        <v>8500</v>
      </c>
      <c r="C16" t="s">
        <v>8500</v>
      </c>
      <c r="D16" t="s">
        <v>8500</v>
      </c>
      <c r="E16" t="s">
        <v>8500</v>
      </c>
      <c r="F16" t="s">
        <v>8500</v>
      </c>
      <c r="H16" t="s">
        <v>8483</v>
      </c>
      <c r="I16" t="s">
        <v>8377</v>
      </c>
      <c r="J16">
        <v>4003</v>
      </c>
      <c r="K16">
        <v>770014</v>
      </c>
      <c r="L16" t="s">
        <v>8415</v>
      </c>
      <c r="M16" t="s">
        <v>8415</v>
      </c>
    </row>
    <row r="17" spans="8:13" x14ac:dyDescent="0.25">
      <c r="H17" t="s">
        <v>8482</v>
      </c>
      <c r="I17" t="s">
        <v>8378</v>
      </c>
      <c r="J17">
        <v>4004</v>
      </c>
      <c r="K17">
        <v>770016</v>
      </c>
      <c r="L17" t="s">
        <v>8416</v>
      </c>
      <c r="M17" t="s">
        <v>8416</v>
      </c>
    </row>
    <row r="18" spans="8:13" x14ac:dyDescent="0.25">
      <c r="H18" t="s">
        <v>8481</v>
      </c>
      <c r="I18" t="s">
        <v>8379</v>
      </c>
      <c r="J18">
        <v>4005</v>
      </c>
      <c r="K18">
        <v>770019</v>
      </c>
      <c r="L18" t="s">
        <v>8417</v>
      </c>
      <c r="M18" t="s">
        <v>8417</v>
      </c>
    </row>
    <row r="19" spans="8:13" x14ac:dyDescent="0.25">
      <c r="H19" t="s">
        <v>8480</v>
      </c>
      <c r="I19" t="s">
        <v>8380</v>
      </c>
      <c r="J19">
        <v>4006</v>
      </c>
      <c r="K19">
        <v>770024</v>
      </c>
      <c r="L19" t="s">
        <v>8418</v>
      </c>
      <c r="M19" t="s">
        <v>8418</v>
      </c>
    </row>
    <row r="20" spans="8:13" x14ac:dyDescent="0.25">
      <c r="H20" t="s">
        <v>8479</v>
      </c>
      <c r="I20" t="s">
        <v>8381</v>
      </c>
      <c r="J20">
        <v>4007</v>
      </c>
      <c r="K20">
        <v>770096</v>
      </c>
      <c r="L20" t="s">
        <v>8419</v>
      </c>
      <c r="M20" t="s">
        <v>8419</v>
      </c>
    </row>
    <row r="21" spans="8:13" x14ac:dyDescent="0.25">
      <c r="H21" t="s">
        <v>8478</v>
      </c>
      <c r="I21" t="s">
        <v>8382</v>
      </c>
      <c r="J21">
        <v>4008</v>
      </c>
      <c r="K21">
        <v>770107</v>
      </c>
      <c r="L21" t="s">
        <v>8452</v>
      </c>
      <c r="M21" t="s">
        <v>8383</v>
      </c>
    </row>
    <row r="22" spans="8:13" x14ac:dyDescent="0.25">
      <c r="H22" t="s">
        <v>7380</v>
      </c>
      <c r="I22" t="s">
        <v>7437</v>
      </c>
      <c r="J22">
        <v>4009</v>
      </c>
      <c r="K22">
        <v>770109</v>
      </c>
      <c r="L22" t="s">
        <v>8420</v>
      </c>
      <c r="M22" t="s">
        <v>8420</v>
      </c>
    </row>
    <row r="23" spans="8:13" x14ac:dyDescent="0.25">
      <c r="H23" t="s">
        <v>8438</v>
      </c>
      <c r="I23" t="s">
        <v>8384</v>
      </c>
      <c r="J23">
        <v>5001</v>
      </c>
      <c r="K23">
        <v>770037</v>
      </c>
      <c r="L23" t="s">
        <v>8453</v>
      </c>
      <c r="M23" t="s">
        <v>8385</v>
      </c>
    </row>
    <row r="24" spans="8:13" x14ac:dyDescent="0.25">
      <c r="H24" t="s">
        <v>8439</v>
      </c>
      <c r="I24" t="s">
        <v>8386</v>
      </c>
      <c r="J24">
        <v>5002</v>
      </c>
      <c r="K24">
        <v>770039</v>
      </c>
      <c r="L24" t="s">
        <v>8421</v>
      </c>
      <c r="M24" t="s">
        <v>8421</v>
      </c>
    </row>
    <row r="25" spans="8:13" x14ac:dyDescent="0.25">
      <c r="H25" t="s">
        <v>8477</v>
      </c>
      <c r="I25" t="s">
        <v>8387</v>
      </c>
      <c r="J25">
        <v>5003</v>
      </c>
      <c r="K25">
        <v>770040</v>
      </c>
      <c r="L25" t="s">
        <v>8422</v>
      </c>
      <c r="M25" t="s">
        <v>8422</v>
      </c>
    </row>
    <row r="26" spans="8:13" x14ac:dyDescent="0.25">
      <c r="H26" t="s">
        <v>8476</v>
      </c>
      <c r="I26" t="s">
        <v>8388</v>
      </c>
      <c r="J26">
        <v>5004</v>
      </c>
      <c r="K26">
        <v>770041</v>
      </c>
      <c r="L26" t="s">
        <v>8423</v>
      </c>
      <c r="M26" t="s">
        <v>8423</v>
      </c>
    </row>
    <row r="27" spans="8:13" x14ac:dyDescent="0.25">
      <c r="H27" t="s">
        <v>8440</v>
      </c>
      <c r="I27" t="s">
        <v>8389</v>
      </c>
      <c r="J27">
        <v>5005</v>
      </c>
      <c r="K27">
        <v>220183</v>
      </c>
      <c r="L27" t="s">
        <v>8424</v>
      </c>
      <c r="M27" t="s">
        <v>8424</v>
      </c>
    </row>
    <row r="28" spans="8:13" x14ac:dyDescent="0.25">
      <c r="H28" t="s">
        <v>8475</v>
      </c>
      <c r="I28" t="s">
        <v>8390</v>
      </c>
      <c r="J28">
        <v>5006</v>
      </c>
      <c r="K28">
        <v>770114</v>
      </c>
      <c r="L28" t="s">
        <v>8425</v>
      </c>
      <c r="M28" t="s">
        <v>8425</v>
      </c>
    </row>
    <row r="29" spans="8:13" x14ac:dyDescent="0.25">
      <c r="H29" t="s">
        <v>8474</v>
      </c>
      <c r="I29" t="s">
        <v>8391</v>
      </c>
      <c r="J29">
        <v>5007</v>
      </c>
      <c r="K29">
        <v>770104</v>
      </c>
      <c r="L29" t="s">
        <v>8426</v>
      </c>
      <c r="M29" t="s">
        <v>8426</v>
      </c>
    </row>
    <row r="30" spans="8:13" x14ac:dyDescent="0.25">
      <c r="H30" t="s">
        <v>8473</v>
      </c>
      <c r="I30" t="s">
        <v>8392</v>
      </c>
      <c r="J30">
        <v>6001</v>
      </c>
      <c r="K30">
        <v>770092</v>
      </c>
      <c r="L30" t="s">
        <v>8427</v>
      </c>
      <c r="M30" t="s">
        <v>8427</v>
      </c>
    </row>
    <row r="31" spans="8:13" x14ac:dyDescent="0.25">
      <c r="H31" t="s">
        <v>8472</v>
      </c>
      <c r="I31" t="s">
        <v>8393</v>
      </c>
      <c r="J31">
        <v>6002</v>
      </c>
      <c r="K31">
        <v>770093</v>
      </c>
      <c r="L31" t="s">
        <v>8454</v>
      </c>
      <c r="M31" t="s">
        <v>8394</v>
      </c>
    </row>
    <row r="32" spans="8:13" x14ac:dyDescent="0.25">
      <c r="H32" t="s">
        <v>8471</v>
      </c>
      <c r="I32" t="s">
        <v>8395</v>
      </c>
      <c r="J32">
        <v>6003</v>
      </c>
      <c r="K32">
        <v>770026</v>
      </c>
      <c r="L32" t="s">
        <v>8455</v>
      </c>
      <c r="M32" t="s">
        <v>8396</v>
      </c>
    </row>
    <row r="33" spans="8:13" x14ac:dyDescent="0.25">
      <c r="H33" t="s">
        <v>8470</v>
      </c>
      <c r="I33" t="s">
        <v>8397</v>
      </c>
      <c r="J33">
        <v>6004</v>
      </c>
      <c r="K33">
        <v>770028</v>
      </c>
      <c r="L33" t="s">
        <v>8428</v>
      </c>
      <c r="M33" t="s">
        <v>8428</v>
      </c>
    </row>
    <row r="34" spans="8:13" x14ac:dyDescent="0.25">
      <c r="H34" t="s">
        <v>8469</v>
      </c>
      <c r="I34" t="s">
        <v>8398</v>
      </c>
      <c r="J34">
        <v>6005</v>
      </c>
      <c r="K34">
        <v>220182</v>
      </c>
      <c r="L34" t="s">
        <v>8429</v>
      </c>
      <c r="M34" t="s">
        <v>8429</v>
      </c>
    </row>
    <row r="35" spans="8:13" x14ac:dyDescent="0.25">
      <c r="H35" t="s">
        <v>8468</v>
      </c>
      <c r="I35" t="s">
        <v>8399</v>
      </c>
      <c r="J35">
        <v>6006</v>
      </c>
      <c r="K35">
        <v>770030</v>
      </c>
      <c r="L35" t="s">
        <v>8430</v>
      </c>
      <c r="M35" t="s">
        <v>8430</v>
      </c>
    </row>
    <row r="36" spans="8:13" x14ac:dyDescent="0.25">
      <c r="H36" t="s">
        <v>8467</v>
      </c>
      <c r="I36" t="s">
        <v>8400</v>
      </c>
      <c r="J36">
        <v>6007</v>
      </c>
      <c r="K36">
        <v>770032</v>
      </c>
      <c r="L36" t="s">
        <v>8431</v>
      </c>
      <c r="M36" t="s">
        <v>8431</v>
      </c>
    </row>
    <row r="37" spans="8:13" x14ac:dyDescent="0.25">
      <c r="H37" t="s">
        <v>8466</v>
      </c>
      <c r="I37" t="s">
        <v>8401</v>
      </c>
      <c r="J37">
        <v>6008</v>
      </c>
      <c r="K37">
        <v>770034</v>
      </c>
      <c r="L37" t="s">
        <v>8432</v>
      </c>
      <c r="M37" t="s">
        <v>8432</v>
      </c>
    </row>
    <row r="38" spans="8:13" x14ac:dyDescent="0.25">
      <c r="H38" t="s">
        <v>8465</v>
      </c>
      <c r="I38" t="s">
        <v>8402</v>
      </c>
      <c r="J38">
        <v>6009</v>
      </c>
      <c r="K38">
        <v>770100</v>
      </c>
      <c r="L38" t="s">
        <v>8433</v>
      </c>
      <c r="M38" t="s">
        <v>8433</v>
      </c>
    </row>
    <row r="39" spans="8:13" x14ac:dyDescent="0.25">
      <c r="H39" t="s">
        <v>8464</v>
      </c>
      <c r="I39" t="s">
        <v>8403</v>
      </c>
      <c r="J39">
        <v>7001</v>
      </c>
      <c r="K39">
        <v>770046</v>
      </c>
      <c r="L39" t="s">
        <v>8456</v>
      </c>
      <c r="M39" t="s">
        <v>8404</v>
      </c>
    </row>
    <row r="40" spans="8:13" x14ac:dyDescent="0.25">
      <c r="H40" t="s">
        <v>8463</v>
      </c>
      <c r="I40" t="s">
        <v>8405</v>
      </c>
      <c r="J40">
        <v>7002</v>
      </c>
      <c r="K40">
        <v>770045</v>
      </c>
      <c r="L40" t="s">
        <v>8457</v>
      </c>
      <c r="M40" t="s">
        <v>8406</v>
      </c>
    </row>
    <row r="41" spans="8:13" x14ac:dyDescent="0.25">
      <c r="H41" t="s">
        <v>8462</v>
      </c>
      <c r="I41" t="s">
        <v>8407</v>
      </c>
      <c r="J41">
        <v>7003</v>
      </c>
      <c r="K41">
        <v>770047</v>
      </c>
      <c r="L41" t="s">
        <v>8458</v>
      </c>
      <c r="M41" t="s">
        <v>8408</v>
      </c>
    </row>
    <row r="42" spans="8:13" x14ac:dyDescent="0.25">
      <c r="H42" t="s">
        <v>8461</v>
      </c>
      <c r="I42" t="s">
        <v>8409</v>
      </c>
      <c r="J42">
        <v>7004</v>
      </c>
      <c r="K42">
        <v>770082</v>
      </c>
      <c r="L42" t="s">
        <v>8434</v>
      </c>
      <c r="M42" t="s">
        <v>8434</v>
      </c>
    </row>
    <row r="43" spans="8:13" x14ac:dyDescent="0.25">
      <c r="H43" t="s">
        <v>8460</v>
      </c>
      <c r="I43" t="s">
        <v>8410</v>
      </c>
      <c r="J43">
        <v>7005</v>
      </c>
      <c r="K43">
        <v>770081</v>
      </c>
      <c r="L43" t="s">
        <v>8435</v>
      </c>
      <c r="M43" t="s">
        <v>8435</v>
      </c>
    </row>
    <row r="44" spans="8:13" x14ac:dyDescent="0.25">
      <c r="H44" t="s">
        <v>8459</v>
      </c>
      <c r="I44" t="s">
        <v>8411</v>
      </c>
      <c r="J44">
        <v>7006</v>
      </c>
      <c r="K44">
        <v>770084</v>
      </c>
      <c r="L44" t="s">
        <v>8436</v>
      </c>
      <c r="M44" t="s">
        <v>8436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6364</v>
      </c>
    </row>
    <row r="2" spans="1:2" x14ac:dyDescent="0.25">
      <c r="A2" s="10" t="s">
        <v>701</v>
      </c>
      <c r="B2" s="10" t="s">
        <v>6327</v>
      </c>
    </row>
    <row r="3" spans="1:2" x14ac:dyDescent="0.25">
      <c r="A3" t="s">
        <v>6851</v>
      </c>
      <c r="B3" s="219" t="s">
        <v>6850</v>
      </c>
    </row>
    <row r="4" spans="1:2" x14ac:dyDescent="0.25">
      <c r="A4" t="s">
        <v>6314</v>
      </c>
      <c r="B4" s="219" t="s">
        <v>5635</v>
      </c>
    </row>
    <row r="5" spans="1:2" x14ac:dyDescent="0.25">
      <c r="A5" t="s">
        <v>6315</v>
      </c>
      <c r="B5" s="220" t="s">
        <v>6316</v>
      </c>
    </row>
    <row r="6" spans="1:2" x14ac:dyDescent="0.25">
      <c r="A6" t="s">
        <v>6317</v>
      </c>
      <c r="B6" s="219" t="s">
        <v>6318</v>
      </c>
    </row>
    <row r="7" spans="1:2" x14ac:dyDescent="0.25">
      <c r="A7" t="s">
        <v>6319</v>
      </c>
      <c r="B7" s="219" t="s">
        <v>6320</v>
      </c>
    </row>
    <row r="8" spans="1:2" x14ac:dyDescent="0.25">
      <c r="A8" t="s">
        <v>6321</v>
      </c>
      <c r="B8" s="219" t="s">
        <v>6322</v>
      </c>
    </row>
    <row r="9" spans="1:2" x14ac:dyDescent="0.25">
      <c r="A9" t="s">
        <v>6323</v>
      </c>
      <c r="B9" s="219" t="s">
        <v>6324</v>
      </c>
    </row>
    <row r="10" spans="1:2" x14ac:dyDescent="0.25">
      <c r="A10" t="s">
        <v>6325</v>
      </c>
      <c r="B10" s="219" t="s">
        <v>6326</v>
      </c>
    </row>
    <row r="11" spans="1:2" x14ac:dyDescent="0.25">
      <c r="A11" t="s">
        <v>6849</v>
      </c>
      <c r="B11" s="219" t="s">
        <v>6848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954</v>
      </c>
      <c r="AB2" s="216"/>
      <c r="AC2" s="216"/>
      <c r="AD2" s="216"/>
      <c r="AE2" s="217"/>
      <c r="AG2" s="163" t="s">
        <v>764</v>
      </c>
      <c r="AH2" s="161"/>
      <c r="AI2" s="161"/>
      <c r="AJ2" s="161"/>
      <c r="AK2" s="162"/>
    </row>
    <row r="3" spans="1:41" x14ac:dyDescent="0.25">
      <c r="A3" s="10" t="s">
        <v>960</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955</v>
      </c>
      <c r="AB3" s="181" t="s">
        <v>10</v>
      </c>
      <c r="AC3" s="181" t="s">
        <v>11</v>
      </c>
      <c r="AD3" s="181" t="s">
        <v>12</v>
      </c>
      <c r="AE3" s="182" t="s">
        <v>13</v>
      </c>
      <c r="AG3" s="167" t="s">
        <v>8</v>
      </c>
      <c r="AH3" s="165" t="s">
        <v>1075</v>
      </c>
      <c r="AI3" s="165" t="s">
        <v>18</v>
      </c>
      <c r="AJ3" s="165" t="s">
        <v>769</v>
      </c>
      <c r="AK3" s="166" t="s">
        <v>580</v>
      </c>
    </row>
    <row r="4" spans="1:41" x14ac:dyDescent="0.25">
      <c r="A4" t="s">
        <v>6330</v>
      </c>
      <c r="C4" t="s">
        <v>957</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965</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958</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1702</v>
      </c>
      <c r="D7" s="172">
        <v>4</v>
      </c>
      <c r="E7" s="173" t="s">
        <v>3</v>
      </c>
      <c r="F7" s="175" t="s">
        <v>1684</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5508</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957</v>
      </c>
      <c r="C9" t="s">
        <v>958</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5507</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5506</v>
      </c>
      <c r="D11" s="172">
        <v>6</v>
      </c>
      <c r="E11" s="173" t="s">
        <v>6</v>
      </c>
      <c r="F11" s="175" t="s">
        <v>1682</v>
      </c>
      <c r="G11" s="173">
        <v>115</v>
      </c>
      <c r="H11" s="173">
        <v>5</v>
      </c>
      <c r="I11" s="173">
        <v>10</v>
      </c>
      <c r="J11" s="173">
        <v>10</v>
      </c>
      <c r="K11" s="173">
        <v>3</v>
      </c>
      <c r="L11" s="175">
        <v>100</v>
      </c>
      <c r="M11" s="171"/>
      <c r="N11" s="172" t="s">
        <v>713</v>
      </c>
      <c r="O11" s="173" t="s">
        <v>523</v>
      </c>
      <c r="P11" s="173">
        <v>10</v>
      </c>
      <c r="Q11" s="174">
        <v>1</v>
      </c>
      <c r="R11" s="172" t="s">
        <v>702</v>
      </c>
      <c r="S11" s="173" t="s">
        <v>1682</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6382</v>
      </c>
      <c r="D12" s="172">
        <v>5</v>
      </c>
      <c r="E12" s="173" t="s">
        <v>7</v>
      </c>
      <c r="F12" s="175" t="s">
        <v>1603</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6381</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6864</v>
      </c>
      <c r="C14" t="s">
        <v>965</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6380</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6449</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6331</v>
      </c>
      <c r="D17" s="172">
        <v>4</v>
      </c>
      <c r="E17" s="173" t="s">
        <v>3</v>
      </c>
      <c r="F17" s="175" t="s">
        <v>1179</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6332</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6518</v>
      </c>
      <c r="C19" t="s">
        <v>1702</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6333</v>
      </c>
      <c r="D20" s="172">
        <v>5</v>
      </c>
      <c r="E20" s="173" t="s">
        <v>4</v>
      </c>
      <c r="F20" s="175" t="s">
        <v>1663</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6313</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6366</v>
      </c>
      <c r="D22" s="172">
        <v>5</v>
      </c>
      <c r="E22" s="173" t="s">
        <v>5</v>
      </c>
      <c r="F22" s="175" t="s">
        <v>5633</v>
      </c>
      <c r="G22" s="173">
        <v>100</v>
      </c>
      <c r="H22" s="173">
        <v>5</v>
      </c>
      <c r="I22" s="173">
        <v>10</v>
      </c>
      <c r="J22" s="173">
        <v>0</v>
      </c>
      <c r="K22" s="173">
        <v>0</v>
      </c>
      <c r="L22" s="175">
        <v>100</v>
      </c>
      <c r="M22" s="171"/>
      <c r="N22" s="172" t="s">
        <v>6369</v>
      </c>
      <c r="O22" s="173" t="s">
        <v>6373</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6378</v>
      </c>
      <c r="D23" s="176">
        <v>5</v>
      </c>
      <c r="E23" s="177" t="s">
        <v>3</v>
      </c>
      <c r="F23" s="154" t="s">
        <v>1693</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6607</v>
      </c>
      <c r="C24" t="s">
        <v>5506</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6374</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6375</v>
      </c>
      <c r="D26" s="172">
        <v>5</v>
      </c>
      <c r="E26" s="173" t="s">
        <v>7</v>
      </c>
      <c r="F26" s="175" t="s">
        <v>1410</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6329</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6328</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6867</v>
      </c>
      <c r="C29" t="s">
        <v>5507</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6865</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6861</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6866</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6863</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6862</v>
      </c>
      <c r="C34" t="s">
        <v>5508</v>
      </c>
      <c r="D34" s="168">
        <v>6</v>
      </c>
      <c r="E34" s="169" t="s">
        <v>2</v>
      </c>
      <c r="F34" s="170" t="s">
        <v>1448</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1448</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6313</v>
      </c>
      <c r="D39" s="168">
        <v>5</v>
      </c>
      <c r="E39" s="169" t="s">
        <v>3</v>
      </c>
      <c r="F39" s="170" t="s">
        <v>6093</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1664</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1663</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6328</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6329</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1693</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6330</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1693</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6331</v>
      </c>
      <c r="D59" s="168">
        <v>5</v>
      </c>
      <c r="E59" s="169" t="s">
        <v>3</v>
      </c>
      <c r="F59" s="170" t="s">
        <v>1687</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6332</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1448</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1448</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6333</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6366</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1663</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1659</v>
      </c>
      <c r="G77" s="173">
        <v>100</v>
      </c>
      <c r="H77" s="173">
        <v>5</v>
      </c>
      <c r="I77" s="173">
        <v>10</v>
      </c>
      <c r="J77" s="173">
        <v>0</v>
      </c>
      <c r="K77" s="173">
        <v>0</v>
      </c>
      <c r="L77" s="175">
        <v>100</v>
      </c>
      <c r="M77" s="171"/>
      <c r="N77" s="172" t="s">
        <v>6369</v>
      </c>
      <c r="O77" s="173" t="s">
        <v>6373</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6374</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6369</v>
      </c>
      <c r="W83" s="177" t="s">
        <v>6373</v>
      </c>
      <c r="X83" s="177">
        <v>10</v>
      </c>
      <c r="Y83" s="178">
        <v>1</v>
      </c>
      <c r="Z83" s="150"/>
      <c r="AA83" s="176"/>
      <c r="AB83" s="177"/>
      <c r="AC83" s="177"/>
      <c r="AD83" s="177"/>
      <c r="AE83" s="212"/>
    </row>
    <row r="84" spans="3:41" x14ac:dyDescent="0.25">
      <c r="C84" t="s">
        <v>6375</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6378</v>
      </c>
      <c r="D89" s="168">
        <v>5</v>
      </c>
      <c r="E89" s="169" t="s">
        <v>3</v>
      </c>
      <c r="F89" s="170" t="s">
        <v>1687</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1642</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6861</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6369</v>
      </c>
      <c r="W98" s="177" t="s">
        <v>6373</v>
      </c>
      <c r="X98" s="177">
        <v>10</v>
      </c>
      <c r="Y98" s="178">
        <v>1</v>
      </c>
      <c r="Z98" s="150"/>
      <c r="AA98" s="176"/>
      <c r="AB98" s="177"/>
      <c r="AC98" s="177"/>
      <c r="AD98" s="177"/>
      <c r="AE98" s="212"/>
    </row>
    <row r="99" spans="3:41" x14ac:dyDescent="0.25">
      <c r="C99" t="s">
        <v>6862</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6369</v>
      </c>
      <c r="W102" s="173" t="s">
        <v>6373</v>
      </c>
      <c r="X102" s="173">
        <v>10</v>
      </c>
      <c r="Y102" s="174">
        <v>1</v>
      </c>
      <c r="Z102" s="150"/>
      <c r="AA102" s="172"/>
      <c r="AB102" s="173"/>
      <c r="AC102" s="173"/>
      <c r="AD102" s="173"/>
      <c r="AE102" s="211"/>
    </row>
    <row r="103" spans="3:41" x14ac:dyDescent="0.25">
      <c r="D103" s="176">
        <v>4</v>
      </c>
      <c r="E103" s="177" t="s">
        <v>5</v>
      </c>
      <c r="F103" s="154" t="s">
        <v>1605</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6369</v>
      </c>
      <c r="W103" s="177" t="s">
        <v>6373</v>
      </c>
      <c r="X103" s="177">
        <v>10</v>
      </c>
      <c r="Y103" s="178">
        <v>1</v>
      </c>
      <c r="Z103" s="150"/>
      <c r="AA103" s="176"/>
      <c r="AB103" s="177"/>
      <c r="AC103" s="177"/>
      <c r="AD103" s="177"/>
      <c r="AE103" s="212"/>
    </row>
    <row r="104" spans="3:41" x14ac:dyDescent="0.25">
      <c r="C104" t="s">
        <v>6865</v>
      </c>
      <c r="D104" s="168">
        <v>5</v>
      </c>
      <c r="E104" s="169" t="s">
        <v>5</v>
      </c>
      <c r="F104" s="170" t="s">
        <v>4711</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5669</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5669</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6369</v>
      </c>
      <c r="O108" s="177" t="s">
        <v>6373</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6866</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5669</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1666</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5633</v>
      </c>
      <c r="G111" s="173">
        <v>100</v>
      </c>
      <c r="H111" s="173">
        <v>5</v>
      </c>
      <c r="I111" s="173">
        <v>10</v>
      </c>
      <c r="J111" s="173">
        <v>0</v>
      </c>
      <c r="K111" s="173">
        <v>0</v>
      </c>
      <c r="L111" s="175">
        <v>100</v>
      </c>
      <c r="M111" s="171"/>
      <c r="N111" s="172" t="s">
        <v>6369</v>
      </c>
      <c r="O111" s="173" t="s">
        <v>6373</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6392</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2136</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6867</v>
      </c>
      <c r="D114" s="168">
        <v>5</v>
      </c>
      <c r="E114" s="169" t="s">
        <v>5</v>
      </c>
      <c r="F114" s="170" t="s">
        <v>811</v>
      </c>
      <c r="G114" s="169">
        <v>100</v>
      </c>
      <c r="H114" s="169">
        <v>5</v>
      </c>
      <c r="I114" s="169">
        <v>10</v>
      </c>
      <c r="J114" s="169">
        <v>0</v>
      </c>
      <c r="K114" s="169">
        <v>0</v>
      </c>
      <c r="L114" s="170">
        <v>100</v>
      </c>
      <c r="M114" s="171"/>
      <c r="N114" s="172" t="s">
        <v>6369</v>
      </c>
      <c r="O114" s="173" t="s">
        <v>6373</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4711</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5669</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2136</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6863</v>
      </c>
      <c r="D119" s="168">
        <v>5</v>
      </c>
      <c r="E119" s="169" t="s">
        <v>6</v>
      </c>
      <c r="F119" s="170" t="s">
        <v>1394</v>
      </c>
      <c r="G119" s="169">
        <v>100</v>
      </c>
      <c r="H119" s="169">
        <v>5</v>
      </c>
      <c r="I119" s="169">
        <v>10</v>
      </c>
      <c r="J119" s="169">
        <v>0</v>
      </c>
      <c r="K119" s="169">
        <v>0</v>
      </c>
      <c r="L119" s="170">
        <v>100</v>
      </c>
      <c r="M119" s="171"/>
      <c r="N119" s="172" t="s">
        <v>713</v>
      </c>
      <c r="O119" s="173" t="s">
        <v>523</v>
      </c>
      <c r="P119" s="173">
        <v>10</v>
      </c>
      <c r="Q119" s="174">
        <v>1</v>
      </c>
      <c r="R119" s="172" t="s">
        <v>915</v>
      </c>
      <c r="S119" s="173" t="s">
        <v>5669</v>
      </c>
      <c r="T119" s="173">
        <v>10</v>
      </c>
      <c r="U119" s="174">
        <v>1</v>
      </c>
      <c r="V119" s="172" t="s">
        <v>702</v>
      </c>
      <c r="W119" s="173" t="s">
        <v>1394</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6380</v>
      </c>
      <c r="D124" s="168">
        <v>4</v>
      </c>
      <c r="E124" s="169" t="s">
        <v>3</v>
      </c>
      <c r="F124" s="170" t="s">
        <v>5684</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5492</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1394</v>
      </c>
      <c r="G126" s="173">
        <v>100</v>
      </c>
      <c r="H126" s="173">
        <v>5</v>
      </c>
      <c r="I126" s="173">
        <v>10</v>
      </c>
      <c r="J126" s="173">
        <v>0</v>
      </c>
      <c r="K126" s="173">
        <v>0</v>
      </c>
      <c r="L126" s="175">
        <v>100</v>
      </c>
      <c r="M126" s="171"/>
      <c r="N126" s="172" t="s">
        <v>713</v>
      </c>
      <c r="O126" s="173" t="s">
        <v>523</v>
      </c>
      <c r="P126" s="173">
        <v>10</v>
      </c>
      <c r="Q126" s="174">
        <v>1</v>
      </c>
      <c r="R126" s="172" t="s">
        <v>915</v>
      </c>
      <c r="S126" s="173" t="s">
        <v>5669</v>
      </c>
      <c r="T126" s="173">
        <v>10</v>
      </c>
      <c r="U126" s="174">
        <v>1</v>
      </c>
      <c r="V126" s="172" t="s">
        <v>702</v>
      </c>
      <c r="W126" s="173" t="s">
        <v>1394</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1715</v>
      </c>
      <c r="G127" s="173">
        <v>100</v>
      </c>
      <c r="H127" s="173">
        <v>5</v>
      </c>
      <c r="I127" s="173">
        <v>10</v>
      </c>
      <c r="J127" s="173">
        <v>0</v>
      </c>
      <c r="K127" s="173">
        <v>0</v>
      </c>
      <c r="L127" s="175">
        <v>100</v>
      </c>
      <c r="M127" s="171"/>
      <c r="N127" s="172" t="s">
        <v>713</v>
      </c>
      <c r="O127" s="173" t="s">
        <v>523</v>
      </c>
      <c r="P127" s="173">
        <v>10</v>
      </c>
      <c r="Q127" s="174">
        <v>1</v>
      </c>
      <c r="R127" s="172" t="s">
        <v>915</v>
      </c>
      <c r="S127" s="173" t="s">
        <v>5669</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6381</v>
      </c>
      <c r="D129" s="168">
        <v>5</v>
      </c>
      <c r="E129" s="169" t="s">
        <v>2</v>
      </c>
      <c r="F129" s="170" t="s">
        <v>1755</v>
      </c>
      <c r="G129" s="169">
        <v>115</v>
      </c>
      <c r="H129" s="169">
        <v>5</v>
      </c>
      <c r="I129" s="169">
        <v>10</v>
      </c>
      <c r="J129" s="169">
        <v>10</v>
      </c>
      <c r="K129" s="169">
        <v>3</v>
      </c>
      <c r="L129" s="170">
        <v>100</v>
      </c>
      <c r="M129" s="171"/>
      <c r="N129" s="172" t="s">
        <v>702</v>
      </c>
      <c r="O129" s="173" t="s">
        <v>1755</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1718</v>
      </c>
      <c r="AH129" s="177">
        <v>5</v>
      </c>
      <c r="AI129" s="177">
        <v>100</v>
      </c>
      <c r="AJ129" s="177">
        <v>10</v>
      </c>
      <c r="AK129" s="154" t="s">
        <v>698</v>
      </c>
      <c r="AM129" s="156">
        <v>2</v>
      </c>
      <c r="AN129" s="156"/>
      <c r="AO129" s="156"/>
    </row>
    <row r="130" spans="3:41" x14ac:dyDescent="0.25">
      <c r="D130" s="172">
        <v>6</v>
      </c>
      <c r="E130" s="173" t="s">
        <v>2</v>
      </c>
      <c r="F130" s="175" t="s">
        <v>5746</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5746</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5708</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6379</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1749</v>
      </c>
      <c r="X132" s="173">
        <v>10</v>
      </c>
      <c r="Y132" s="174">
        <v>1</v>
      </c>
      <c r="Z132" s="150"/>
      <c r="AA132" s="172"/>
      <c r="AB132" s="173"/>
      <c r="AC132" s="173"/>
      <c r="AD132" s="173"/>
      <c r="AE132" s="211"/>
    </row>
    <row r="133" spans="3:41" x14ac:dyDescent="0.25">
      <c r="D133" s="176">
        <v>5</v>
      </c>
      <c r="E133" s="177" t="s">
        <v>7</v>
      </c>
      <c r="F133" s="154" t="s">
        <v>1703</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6864</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6369</v>
      </c>
      <c r="W137" s="173" t="s">
        <v>6373</v>
      </c>
      <c r="X137" s="173">
        <v>10</v>
      </c>
      <c r="Y137" s="174">
        <v>1</v>
      </c>
      <c r="Z137" s="150"/>
      <c r="AA137" s="172"/>
      <c r="AB137" s="173"/>
      <c r="AC137" s="173"/>
      <c r="AD137" s="173"/>
      <c r="AE137" s="211"/>
    </row>
    <row r="138" spans="3:41" x14ac:dyDescent="0.25">
      <c r="D138" s="176">
        <v>4</v>
      </c>
      <c r="E138" s="177" t="s">
        <v>5</v>
      </c>
      <c r="F138" s="154" t="s">
        <v>1605</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6369</v>
      </c>
      <c r="W138" s="177" t="s">
        <v>6373</v>
      </c>
      <c r="X138" s="177">
        <v>10</v>
      </c>
      <c r="Y138" s="178">
        <v>1</v>
      </c>
      <c r="Z138" s="150"/>
      <c r="AA138" s="176"/>
      <c r="AB138" s="177"/>
      <c r="AC138" s="177"/>
      <c r="AD138" s="177"/>
      <c r="AE138" s="212"/>
    </row>
    <row r="139" spans="3:41" x14ac:dyDescent="0.25">
      <c r="C139" t="s">
        <v>6382</v>
      </c>
      <c r="D139" s="168">
        <v>5</v>
      </c>
      <c r="E139" s="169" t="s">
        <v>3</v>
      </c>
      <c r="F139" s="170" t="s">
        <v>1687</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6369</v>
      </c>
      <c r="O142" s="173" t="s">
        <v>6373</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6449</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1678</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6369</v>
      </c>
      <c r="O147" s="173" t="s">
        <v>6373</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6518</v>
      </c>
      <c r="D149" s="168">
        <v>5</v>
      </c>
      <c r="E149" s="169" t="s">
        <v>5</v>
      </c>
      <c r="F149" s="170" t="s">
        <v>811</v>
      </c>
      <c r="G149" s="169">
        <v>100</v>
      </c>
      <c r="H149" s="169">
        <v>5</v>
      </c>
      <c r="I149" s="169">
        <v>10</v>
      </c>
      <c r="J149" s="169">
        <v>0</v>
      </c>
      <c r="K149" s="169">
        <v>0</v>
      </c>
      <c r="L149" s="170">
        <v>100</v>
      </c>
      <c r="M149" s="171"/>
      <c r="N149" s="172" t="s">
        <v>6369</v>
      </c>
      <c r="O149" s="173" t="s">
        <v>6373</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1678</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6607</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5671</v>
      </c>
      <c r="E2" s="161"/>
      <c r="F2" s="161"/>
      <c r="G2" s="161"/>
      <c r="H2" s="161"/>
      <c r="I2" s="161"/>
      <c r="J2" s="163" t="s">
        <v>769</v>
      </c>
      <c r="K2" s="161"/>
      <c r="L2" s="161"/>
      <c r="M2" s="162"/>
      <c r="N2" s="163" t="s">
        <v>1032</v>
      </c>
      <c r="O2" s="162"/>
    </row>
    <row r="3" spans="1:21" x14ac:dyDescent="0.25">
      <c r="A3" s="10" t="s">
        <v>960</v>
      </c>
      <c r="D3" s="167" t="s">
        <v>8</v>
      </c>
      <c r="E3" s="165" t="s">
        <v>18</v>
      </c>
      <c r="F3" s="165" t="s">
        <v>1765</v>
      </c>
      <c r="G3" s="165" t="s">
        <v>6873</v>
      </c>
      <c r="H3" s="165" t="s">
        <v>1035</v>
      </c>
      <c r="I3" s="165" t="s">
        <v>60</v>
      </c>
      <c r="J3" s="167">
        <v>1</v>
      </c>
      <c r="K3" s="165">
        <v>2</v>
      </c>
      <c r="L3" s="165">
        <v>3</v>
      </c>
      <c r="M3" s="166">
        <v>4</v>
      </c>
      <c r="N3" s="167">
        <v>1</v>
      </c>
      <c r="O3" s="166">
        <v>2</v>
      </c>
      <c r="Q3" s="186" t="s">
        <v>1106</v>
      </c>
    </row>
    <row r="4" spans="1:21" x14ac:dyDescent="0.25">
      <c r="A4" t="s">
        <v>5672</v>
      </c>
      <c r="C4" t="s">
        <v>5672</v>
      </c>
      <c r="D4" s="168" t="s">
        <v>981</v>
      </c>
      <c r="E4" s="169">
        <v>100</v>
      </c>
      <c r="F4" s="169">
        <v>5</v>
      </c>
      <c r="G4" s="169">
        <v>0</v>
      </c>
      <c r="H4" s="169"/>
      <c r="I4" s="170">
        <v>100</v>
      </c>
      <c r="J4" s="173">
        <v>10</v>
      </c>
      <c r="K4" s="173">
        <v>10</v>
      </c>
      <c r="L4" s="173">
        <v>5</v>
      </c>
      <c r="M4" s="175">
        <v>5</v>
      </c>
      <c r="N4" s="172" t="s">
        <v>6852</v>
      </c>
      <c r="O4" s="175" t="s">
        <v>6853</v>
      </c>
      <c r="Q4" s="187"/>
      <c r="S4" s="156">
        <v>3</v>
      </c>
      <c r="T4" s="156"/>
      <c r="U4" s="156"/>
    </row>
    <row r="5" spans="1:21" x14ac:dyDescent="0.25">
      <c r="A5" t="s">
        <v>6876</v>
      </c>
      <c r="D5" s="172" t="s">
        <v>1003</v>
      </c>
      <c r="E5" s="173">
        <v>100</v>
      </c>
      <c r="F5" s="173">
        <v>5</v>
      </c>
      <c r="G5" s="173">
        <v>4</v>
      </c>
      <c r="H5" s="173" t="s">
        <v>1034</v>
      </c>
      <c r="I5" s="175">
        <v>100</v>
      </c>
      <c r="J5" s="173">
        <v>5</v>
      </c>
      <c r="K5" s="173">
        <v>5</v>
      </c>
      <c r="L5" s="173"/>
      <c r="M5" s="175"/>
      <c r="N5" s="172"/>
      <c r="O5" s="175"/>
      <c r="Q5" s="187"/>
      <c r="S5" s="156">
        <v>4</v>
      </c>
      <c r="T5" s="156">
        <v>1</v>
      </c>
      <c r="U5" s="156"/>
    </row>
    <row r="6" spans="1:21" x14ac:dyDescent="0.25">
      <c r="A6" t="s">
        <v>6334</v>
      </c>
      <c r="D6" s="172" t="s">
        <v>1016</v>
      </c>
      <c r="E6" s="173">
        <v>100</v>
      </c>
      <c r="F6" s="173">
        <v>5</v>
      </c>
      <c r="G6" s="173">
        <v>4</v>
      </c>
      <c r="H6" s="173" t="s">
        <v>1034</v>
      </c>
      <c r="I6" s="175">
        <v>100</v>
      </c>
      <c r="J6" s="173">
        <v>5</v>
      </c>
      <c r="K6" s="173"/>
      <c r="L6" s="173"/>
      <c r="M6" s="175"/>
      <c r="N6" s="172"/>
      <c r="O6" s="175"/>
      <c r="Q6" s="187"/>
      <c r="S6" s="156">
        <v>5</v>
      </c>
      <c r="T6" s="156">
        <v>2</v>
      </c>
      <c r="U6" s="156"/>
    </row>
    <row r="7" spans="1:21" x14ac:dyDescent="0.25">
      <c r="A7" t="s">
        <v>6335</v>
      </c>
      <c r="D7" s="172" t="s">
        <v>1016</v>
      </c>
      <c r="E7" s="173">
        <v>100</v>
      </c>
      <c r="F7" s="173">
        <v>5</v>
      </c>
      <c r="G7" s="173">
        <v>4</v>
      </c>
      <c r="H7" s="173" t="s">
        <v>1034</v>
      </c>
      <c r="I7" s="175">
        <v>100</v>
      </c>
      <c r="J7" s="173">
        <v>5</v>
      </c>
      <c r="K7" s="173"/>
      <c r="L7" s="173"/>
      <c r="M7" s="175"/>
      <c r="N7" s="172"/>
      <c r="O7" s="175"/>
      <c r="Q7" s="187"/>
    </row>
    <row r="8" spans="1:21" x14ac:dyDescent="0.25">
      <c r="A8" t="s">
        <v>6336</v>
      </c>
      <c r="D8" s="172" t="s">
        <v>1014</v>
      </c>
      <c r="E8" s="173">
        <v>100</v>
      </c>
      <c r="F8" s="173">
        <v>5</v>
      </c>
      <c r="G8" s="173">
        <v>4</v>
      </c>
      <c r="H8" s="173" t="s">
        <v>1034</v>
      </c>
      <c r="I8" s="175">
        <v>100</v>
      </c>
      <c r="J8" s="173">
        <v>5</v>
      </c>
      <c r="K8" s="173"/>
      <c r="L8" s="173"/>
      <c r="M8" s="175"/>
      <c r="N8" s="172"/>
      <c r="O8" s="175"/>
      <c r="Q8" s="187"/>
    </row>
    <row r="9" spans="1:21" x14ac:dyDescent="0.25">
      <c r="A9" t="s">
        <v>6368</v>
      </c>
      <c r="D9" s="172"/>
      <c r="E9" s="173"/>
      <c r="F9" s="173"/>
      <c r="G9" s="173"/>
      <c r="H9" s="173"/>
      <c r="I9" s="175"/>
      <c r="J9" s="173"/>
      <c r="K9" s="173"/>
      <c r="L9" s="173"/>
      <c r="M9" s="175"/>
      <c r="N9" s="172"/>
      <c r="O9" s="175"/>
      <c r="Q9" s="187"/>
    </row>
    <row r="10" spans="1:21" x14ac:dyDescent="0.25">
      <c r="A10" t="s">
        <v>6367</v>
      </c>
      <c r="D10" s="172"/>
      <c r="E10" s="173"/>
      <c r="F10" s="173"/>
      <c r="G10" s="173"/>
      <c r="H10" s="173"/>
      <c r="I10" s="175"/>
      <c r="J10" s="173"/>
      <c r="K10" s="173"/>
      <c r="L10" s="173"/>
      <c r="M10" s="175"/>
      <c r="N10" s="172"/>
      <c r="O10" s="175"/>
      <c r="Q10" s="187"/>
    </row>
    <row r="11" spans="1:21" x14ac:dyDescent="0.25">
      <c r="A11" t="s">
        <v>6877</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6876</v>
      </c>
      <c r="D13" s="168" t="s">
        <v>981</v>
      </c>
      <c r="E13" s="169">
        <v>100</v>
      </c>
      <c r="F13" s="169">
        <v>5</v>
      </c>
      <c r="G13" s="169">
        <v>0</v>
      </c>
      <c r="H13" s="169"/>
      <c r="I13" s="170">
        <v>100</v>
      </c>
      <c r="J13" s="173">
        <v>10</v>
      </c>
      <c r="K13" s="173">
        <v>10</v>
      </c>
      <c r="L13" s="173">
        <v>5</v>
      </c>
      <c r="M13" s="175">
        <v>5</v>
      </c>
      <c r="N13" s="172" t="s">
        <v>6852</v>
      </c>
      <c r="O13" s="175" t="s">
        <v>6853</v>
      </c>
      <c r="Q13" s="187"/>
      <c r="S13" s="156">
        <v>2</v>
      </c>
      <c r="T13" s="156"/>
      <c r="U13" s="156"/>
    </row>
    <row r="14" spans="1:21" x14ac:dyDescent="0.25">
      <c r="D14" s="172" t="s">
        <v>1016</v>
      </c>
      <c r="E14" s="173">
        <v>100</v>
      </c>
      <c r="F14" s="173">
        <v>5</v>
      </c>
      <c r="G14" s="173">
        <v>4</v>
      </c>
      <c r="H14" s="173" t="s">
        <v>1034</v>
      </c>
      <c r="I14" s="175">
        <v>100</v>
      </c>
      <c r="J14" s="173">
        <v>5</v>
      </c>
      <c r="K14" s="173"/>
      <c r="L14" s="173"/>
      <c r="M14" s="175"/>
      <c r="N14" s="172"/>
      <c r="O14" s="175"/>
      <c r="Q14" s="187"/>
      <c r="S14" s="156">
        <v>3</v>
      </c>
      <c r="T14" s="156">
        <v>1</v>
      </c>
      <c r="U14" s="156"/>
    </row>
    <row r="15" spans="1:21" x14ac:dyDescent="0.25">
      <c r="D15" s="172" t="s">
        <v>1016</v>
      </c>
      <c r="E15" s="173">
        <v>100</v>
      </c>
      <c r="F15" s="173">
        <v>5</v>
      </c>
      <c r="G15" s="173">
        <v>4</v>
      </c>
      <c r="H15" s="173" t="s">
        <v>1034</v>
      </c>
      <c r="I15" s="175">
        <v>100</v>
      </c>
      <c r="J15" s="173">
        <v>5</v>
      </c>
      <c r="K15" s="173"/>
      <c r="L15" s="173"/>
      <c r="M15" s="175"/>
      <c r="N15" s="172"/>
      <c r="O15" s="175"/>
      <c r="Q15" s="187"/>
      <c r="S15" s="156">
        <v>4</v>
      </c>
      <c r="T15" s="156"/>
      <c r="U15" s="156"/>
    </row>
    <row r="16" spans="1:21" x14ac:dyDescent="0.25">
      <c r="D16" s="172" t="s">
        <v>993</v>
      </c>
      <c r="E16" s="173">
        <v>100</v>
      </c>
      <c r="F16" s="173">
        <v>5</v>
      </c>
      <c r="G16" s="173">
        <v>4</v>
      </c>
      <c r="H16" s="173" t="s">
        <v>1034</v>
      </c>
      <c r="I16" s="175">
        <v>100</v>
      </c>
      <c r="J16" s="173">
        <v>5</v>
      </c>
      <c r="K16" s="173">
        <v>5</v>
      </c>
      <c r="L16" s="173"/>
      <c r="M16" s="175"/>
      <c r="N16" s="172"/>
      <c r="O16" s="175"/>
      <c r="Q16" s="187"/>
    </row>
    <row r="17" spans="3:21" x14ac:dyDescent="0.25">
      <c r="D17" s="172" t="s">
        <v>1010</v>
      </c>
      <c r="E17" s="173">
        <v>100</v>
      </c>
      <c r="F17" s="173">
        <v>5</v>
      </c>
      <c r="G17" s="173">
        <v>4</v>
      </c>
      <c r="H17" s="173" t="s">
        <v>1034</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6334</v>
      </c>
      <c r="D22" s="168" t="s">
        <v>972</v>
      </c>
      <c r="E22" s="169">
        <v>100</v>
      </c>
      <c r="F22" s="169">
        <v>5</v>
      </c>
      <c r="G22" s="169">
        <v>0</v>
      </c>
      <c r="H22" s="169"/>
      <c r="I22" s="170">
        <v>100</v>
      </c>
      <c r="J22" s="173">
        <v>10</v>
      </c>
      <c r="K22" s="173">
        <v>10</v>
      </c>
      <c r="L22" s="173">
        <v>5</v>
      </c>
      <c r="M22" s="175">
        <v>5</v>
      </c>
      <c r="N22" s="172" t="s">
        <v>6852</v>
      </c>
      <c r="O22" s="175" t="s">
        <v>6853</v>
      </c>
      <c r="Q22" s="187"/>
      <c r="S22" s="156">
        <v>4</v>
      </c>
      <c r="T22" s="156"/>
      <c r="U22" s="156"/>
    </row>
    <row r="23" spans="3:21" x14ac:dyDescent="0.25">
      <c r="D23" s="172" t="s">
        <v>997</v>
      </c>
      <c r="E23" s="173">
        <v>100</v>
      </c>
      <c r="F23" s="173">
        <v>5</v>
      </c>
      <c r="G23" s="173">
        <v>4</v>
      </c>
      <c r="H23" s="173" t="s">
        <v>1034</v>
      </c>
      <c r="I23" s="175">
        <v>100</v>
      </c>
      <c r="J23" s="173">
        <v>5</v>
      </c>
      <c r="K23" s="173">
        <v>5</v>
      </c>
      <c r="L23" s="173"/>
      <c r="M23" s="175"/>
      <c r="N23" s="172"/>
      <c r="O23" s="175"/>
      <c r="Q23" s="187"/>
      <c r="S23" s="156">
        <v>2</v>
      </c>
      <c r="T23" s="156">
        <v>3</v>
      </c>
      <c r="U23" s="156"/>
    </row>
    <row r="24" spans="3:21" x14ac:dyDescent="0.25">
      <c r="D24" s="172" t="s">
        <v>997</v>
      </c>
      <c r="E24" s="173">
        <v>100</v>
      </c>
      <c r="F24" s="173">
        <v>5</v>
      </c>
      <c r="G24" s="173">
        <v>4</v>
      </c>
      <c r="H24" s="173" t="s">
        <v>1034</v>
      </c>
      <c r="I24" s="175">
        <v>100</v>
      </c>
      <c r="J24" s="173">
        <v>5</v>
      </c>
      <c r="K24" s="173">
        <v>5</v>
      </c>
      <c r="L24" s="173"/>
      <c r="M24" s="175"/>
      <c r="N24" s="172"/>
      <c r="O24" s="175"/>
      <c r="Q24" s="187"/>
      <c r="S24" s="156">
        <v>1</v>
      </c>
      <c r="T24" s="156"/>
      <c r="U24" s="156"/>
    </row>
    <row r="25" spans="3:21" x14ac:dyDescent="0.25">
      <c r="D25" s="172" t="s">
        <v>1009</v>
      </c>
      <c r="E25" s="173">
        <v>100</v>
      </c>
      <c r="F25" s="173">
        <v>5</v>
      </c>
      <c r="G25" s="173">
        <v>4</v>
      </c>
      <c r="H25" s="173" t="s">
        <v>1034</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6335</v>
      </c>
      <c r="D31" s="168" t="s">
        <v>972</v>
      </c>
      <c r="E31" s="169">
        <v>100</v>
      </c>
      <c r="F31" s="169">
        <v>5</v>
      </c>
      <c r="G31" s="169">
        <v>0</v>
      </c>
      <c r="H31" s="169"/>
      <c r="I31" s="170">
        <v>100</v>
      </c>
      <c r="J31" s="173">
        <v>10</v>
      </c>
      <c r="K31" s="173">
        <v>10</v>
      </c>
      <c r="L31" s="173">
        <v>5</v>
      </c>
      <c r="M31" s="175">
        <v>5</v>
      </c>
      <c r="N31" s="172" t="s">
        <v>6852</v>
      </c>
      <c r="O31" s="175" t="s">
        <v>6853</v>
      </c>
      <c r="Q31" s="187"/>
      <c r="S31" s="156">
        <v>3</v>
      </c>
      <c r="T31" s="156">
        <v>1</v>
      </c>
      <c r="U31" s="156"/>
    </row>
    <row r="32" spans="3:21" x14ac:dyDescent="0.25">
      <c r="D32" s="172" t="s">
        <v>997</v>
      </c>
      <c r="E32" s="173">
        <v>100</v>
      </c>
      <c r="F32" s="173">
        <v>5</v>
      </c>
      <c r="G32" s="173">
        <v>4</v>
      </c>
      <c r="H32" s="173" t="s">
        <v>1034</v>
      </c>
      <c r="I32" s="175">
        <v>100</v>
      </c>
      <c r="J32" s="173">
        <v>5</v>
      </c>
      <c r="K32" s="173">
        <v>5</v>
      </c>
      <c r="L32" s="173"/>
      <c r="M32" s="175"/>
      <c r="N32" s="172"/>
      <c r="O32" s="175"/>
      <c r="Q32" s="187"/>
      <c r="S32" s="156">
        <v>5</v>
      </c>
      <c r="T32" s="156">
        <v>2</v>
      </c>
      <c r="U32" s="156"/>
    </row>
    <row r="33" spans="3:21" x14ac:dyDescent="0.25">
      <c r="D33" s="172" t="s">
        <v>993</v>
      </c>
      <c r="E33" s="173">
        <v>100</v>
      </c>
      <c r="F33" s="173">
        <v>5</v>
      </c>
      <c r="G33" s="173">
        <v>4</v>
      </c>
      <c r="H33" s="173" t="s">
        <v>1034</v>
      </c>
      <c r="I33" s="175">
        <v>100</v>
      </c>
      <c r="J33" s="173">
        <v>5</v>
      </c>
      <c r="K33" s="173">
        <v>5</v>
      </c>
      <c r="L33" s="173"/>
      <c r="M33" s="175"/>
      <c r="N33" s="172"/>
      <c r="O33" s="175"/>
      <c r="Q33" s="187"/>
      <c r="S33" s="156">
        <v>4</v>
      </c>
      <c r="T33" s="156"/>
      <c r="U33" s="156"/>
    </row>
    <row r="34" spans="3:21" x14ac:dyDescent="0.25">
      <c r="D34" s="172" t="s">
        <v>993</v>
      </c>
      <c r="E34" s="173">
        <v>100</v>
      </c>
      <c r="F34" s="173">
        <v>5</v>
      </c>
      <c r="G34" s="173">
        <v>4</v>
      </c>
      <c r="H34" s="173" t="s">
        <v>1034</v>
      </c>
      <c r="I34" s="175">
        <v>100</v>
      </c>
      <c r="J34" s="173">
        <v>5</v>
      </c>
      <c r="K34" s="173">
        <v>5</v>
      </c>
      <c r="L34" s="173"/>
      <c r="M34" s="175"/>
      <c r="N34" s="172"/>
      <c r="O34" s="175"/>
      <c r="Q34" s="187"/>
    </row>
    <row r="35" spans="3:21" x14ac:dyDescent="0.25">
      <c r="D35" s="172" t="s">
        <v>1009</v>
      </c>
      <c r="E35" s="173">
        <v>100</v>
      </c>
      <c r="F35" s="173">
        <v>5</v>
      </c>
      <c r="G35" s="173">
        <v>4</v>
      </c>
      <c r="H35" s="173" t="s">
        <v>1034</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6336</v>
      </c>
      <c r="D40" s="168" t="s">
        <v>978</v>
      </c>
      <c r="E40" s="169">
        <v>100</v>
      </c>
      <c r="F40" s="169">
        <v>5</v>
      </c>
      <c r="G40" s="169">
        <v>0</v>
      </c>
      <c r="H40" s="169"/>
      <c r="I40" s="170">
        <v>100</v>
      </c>
      <c r="J40" s="173">
        <v>10</v>
      </c>
      <c r="K40" s="173">
        <v>10</v>
      </c>
      <c r="L40" s="173">
        <v>5</v>
      </c>
      <c r="M40" s="175">
        <v>5</v>
      </c>
      <c r="N40" s="172" t="s">
        <v>6852</v>
      </c>
      <c r="O40" s="175" t="s">
        <v>6853</v>
      </c>
      <c r="Q40" s="187"/>
      <c r="S40" s="156">
        <v>2</v>
      </c>
      <c r="T40" s="156">
        <v>4</v>
      </c>
      <c r="U40" s="156">
        <v>7</v>
      </c>
    </row>
    <row r="41" spans="3:21" x14ac:dyDescent="0.25">
      <c r="D41" s="172" t="s">
        <v>1001</v>
      </c>
      <c r="E41" s="173">
        <v>100</v>
      </c>
      <c r="F41" s="173">
        <v>5</v>
      </c>
      <c r="G41" s="173">
        <v>4</v>
      </c>
      <c r="H41" s="173" t="s">
        <v>1034</v>
      </c>
      <c r="I41" s="175">
        <v>100</v>
      </c>
      <c r="J41" s="173">
        <v>5</v>
      </c>
      <c r="K41" s="173">
        <v>5</v>
      </c>
      <c r="L41" s="173"/>
      <c r="M41" s="175"/>
      <c r="N41" s="172"/>
      <c r="O41" s="175"/>
      <c r="Q41" s="187"/>
      <c r="S41" s="156">
        <v>1</v>
      </c>
      <c r="T41" s="156">
        <v>5</v>
      </c>
      <c r="U41" s="156">
        <v>8</v>
      </c>
    </row>
    <row r="42" spans="3:21" x14ac:dyDescent="0.25">
      <c r="D42" s="172" t="s">
        <v>1001</v>
      </c>
      <c r="E42" s="173">
        <v>100</v>
      </c>
      <c r="F42" s="173">
        <v>5</v>
      </c>
      <c r="G42" s="173">
        <v>4</v>
      </c>
      <c r="H42" s="173" t="s">
        <v>1034</v>
      </c>
      <c r="I42" s="175">
        <v>100</v>
      </c>
      <c r="J42" s="173">
        <v>5</v>
      </c>
      <c r="K42" s="173">
        <v>5</v>
      </c>
      <c r="L42" s="173"/>
      <c r="M42" s="175"/>
      <c r="N42" s="172"/>
      <c r="O42" s="175"/>
      <c r="Q42" s="187"/>
      <c r="S42" s="156">
        <v>3</v>
      </c>
      <c r="T42" s="156">
        <v>6</v>
      </c>
      <c r="U42" s="156">
        <v>9</v>
      </c>
    </row>
    <row r="43" spans="3:21" x14ac:dyDescent="0.25">
      <c r="D43" s="172" t="s">
        <v>995</v>
      </c>
      <c r="E43" s="173">
        <v>100</v>
      </c>
      <c r="F43" s="173">
        <v>5</v>
      </c>
      <c r="G43" s="173">
        <v>4</v>
      </c>
      <c r="H43" s="173" t="s">
        <v>1034</v>
      </c>
      <c r="I43" s="175">
        <v>100</v>
      </c>
      <c r="J43" s="173">
        <v>5</v>
      </c>
      <c r="K43" s="173">
        <v>5</v>
      </c>
      <c r="L43" s="173"/>
      <c r="M43" s="175"/>
      <c r="N43" s="172"/>
      <c r="O43" s="175"/>
      <c r="Q43" s="187"/>
    </row>
    <row r="44" spans="3:21" x14ac:dyDescent="0.25">
      <c r="D44" s="172" t="s">
        <v>995</v>
      </c>
      <c r="E44" s="173">
        <v>100</v>
      </c>
      <c r="F44" s="173">
        <v>5</v>
      </c>
      <c r="G44" s="173">
        <v>4</v>
      </c>
      <c r="H44" s="173" t="s">
        <v>1034</v>
      </c>
      <c r="I44" s="175">
        <v>100</v>
      </c>
      <c r="J44" s="173">
        <v>5</v>
      </c>
      <c r="K44" s="173">
        <v>5</v>
      </c>
      <c r="L44" s="173"/>
      <c r="M44" s="175"/>
      <c r="N44" s="172"/>
      <c r="O44" s="175"/>
      <c r="Q44" s="187"/>
    </row>
    <row r="45" spans="3:21" x14ac:dyDescent="0.25">
      <c r="D45" s="172" t="s">
        <v>995</v>
      </c>
      <c r="E45" s="173">
        <v>100</v>
      </c>
      <c r="F45" s="173">
        <v>5</v>
      </c>
      <c r="G45" s="173">
        <v>4</v>
      </c>
      <c r="H45" s="173" t="s">
        <v>1034</v>
      </c>
      <c r="I45" s="175">
        <v>100</v>
      </c>
      <c r="J45" s="173">
        <v>5</v>
      </c>
      <c r="K45" s="173">
        <v>5</v>
      </c>
      <c r="L45" s="173"/>
      <c r="M45" s="175"/>
      <c r="N45" s="172"/>
      <c r="O45" s="175"/>
      <c r="Q45" s="187"/>
    </row>
    <row r="46" spans="3:21" x14ac:dyDescent="0.25">
      <c r="D46" s="172" t="s">
        <v>995</v>
      </c>
      <c r="E46" s="173">
        <v>100</v>
      </c>
      <c r="F46" s="173">
        <v>5</v>
      </c>
      <c r="G46" s="173">
        <v>4</v>
      </c>
      <c r="H46" s="173" t="s">
        <v>1034</v>
      </c>
      <c r="I46" s="175">
        <v>100</v>
      </c>
      <c r="J46" s="173">
        <v>5</v>
      </c>
      <c r="K46" s="173">
        <v>5</v>
      </c>
      <c r="L46" s="173"/>
      <c r="M46" s="175"/>
      <c r="N46" s="172"/>
      <c r="O46" s="175"/>
      <c r="Q46" s="187"/>
    </row>
    <row r="47" spans="3:21" x14ac:dyDescent="0.25">
      <c r="D47" s="172" t="s">
        <v>995</v>
      </c>
      <c r="E47" s="173">
        <v>100</v>
      </c>
      <c r="F47" s="173">
        <v>5</v>
      </c>
      <c r="G47" s="173">
        <v>4</v>
      </c>
      <c r="H47" s="173" t="s">
        <v>1034</v>
      </c>
      <c r="I47" s="175">
        <v>100</v>
      </c>
      <c r="J47" s="173">
        <v>5</v>
      </c>
      <c r="K47" s="173">
        <v>5</v>
      </c>
      <c r="L47" s="173"/>
      <c r="M47" s="175"/>
      <c r="N47" s="172"/>
      <c r="O47" s="175"/>
      <c r="Q47" s="187"/>
    </row>
    <row r="48" spans="3:21" x14ac:dyDescent="0.25">
      <c r="D48" s="176" t="s">
        <v>995</v>
      </c>
      <c r="E48" s="177">
        <v>100</v>
      </c>
      <c r="F48" s="177">
        <v>5</v>
      </c>
      <c r="G48" s="177">
        <v>4</v>
      </c>
      <c r="H48" s="177" t="s">
        <v>1034</v>
      </c>
      <c r="I48" s="154">
        <v>100</v>
      </c>
      <c r="J48" s="177">
        <v>5</v>
      </c>
      <c r="K48" s="177">
        <v>5</v>
      </c>
      <c r="L48" s="177"/>
      <c r="M48" s="154"/>
      <c r="N48" s="176"/>
      <c r="O48" s="154"/>
      <c r="Q48" s="188"/>
    </row>
    <row r="49" spans="3:21" x14ac:dyDescent="0.25">
      <c r="C49" t="s">
        <v>6368</v>
      </c>
      <c r="D49" s="168" t="s">
        <v>977</v>
      </c>
      <c r="E49" s="169">
        <v>90</v>
      </c>
      <c r="F49" s="169">
        <v>5</v>
      </c>
      <c r="G49" s="169">
        <v>0</v>
      </c>
      <c r="H49" s="169"/>
      <c r="I49" s="170">
        <v>100</v>
      </c>
      <c r="J49" s="173">
        <v>10</v>
      </c>
      <c r="K49" s="173">
        <v>10</v>
      </c>
      <c r="L49" s="173">
        <v>5</v>
      </c>
      <c r="M49" s="175">
        <v>5</v>
      </c>
      <c r="N49" s="172" t="s">
        <v>6852</v>
      </c>
      <c r="O49" s="175" t="s">
        <v>6853</v>
      </c>
      <c r="Q49" s="187"/>
      <c r="S49" s="156">
        <v>5</v>
      </c>
      <c r="T49" s="156">
        <v>2</v>
      </c>
      <c r="U49" s="156"/>
    </row>
    <row r="50" spans="3:21" x14ac:dyDescent="0.25">
      <c r="D50" s="172" t="s">
        <v>997</v>
      </c>
      <c r="E50" s="173">
        <v>90</v>
      </c>
      <c r="F50" s="173">
        <v>5</v>
      </c>
      <c r="G50" s="173">
        <v>4</v>
      </c>
      <c r="H50" s="173" t="s">
        <v>1050</v>
      </c>
      <c r="I50" s="175">
        <v>100</v>
      </c>
      <c r="J50" s="173">
        <v>5</v>
      </c>
      <c r="K50" s="173">
        <v>5</v>
      </c>
      <c r="L50" s="173"/>
      <c r="M50" s="175"/>
      <c r="N50" s="172"/>
      <c r="O50" s="175"/>
      <c r="Q50" s="187"/>
      <c r="S50" s="156">
        <v>1</v>
      </c>
      <c r="T50" s="156">
        <v>4</v>
      </c>
      <c r="U50" s="156"/>
    </row>
    <row r="51" spans="3:21" x14ac:dyDescent="0.25">
      <c r="D51" s="172" t="s">
        <v>993</v>
      </c>
      <c r="E51" s="173">
        <v>90</v>
      </c>
      <c r="F51" s="173">
        <v>5</v>
      </c>
      <c r="G51" s="173">
        <v>4</v>
      </c>
      <c r="H51" s="173" t="s">
        <v>1050</v>
      </c>
      <c r="I51" s="175">
        <v>100</v>
      </c>
      <c r="J51" s="173">
        <v>5</v>
      </c>
      <c r="K51" s="173">
        <v>5</v>
      </c>
      <c r="L51" s="173"/>
      <c r="M51" s="175"/>
      <c r="N51" s="172"/>
      <c r="O51" s="175"/>
      <c r="Q51" s="187"/>
      <c r="S51" s="156">
        <v>3</v>
      </c>
      <c r="T51" s="156"/>
      <c r="U51" s="156"/>
    </row>
    <row r="52" spans="3:21" x14ac:dyDescent="0.25">
      <c r="D52" s="172" t="s">
        <v>999</v>
      </c>
      <c r="E52" s="173">
        <v>90</v>
      </c>
      <c r="F52" s="173">
        <v>5</v>
      </c>
      <c r="G52" s="173">
        <v>4</v>
      </c>
      <c r="H52" s="173" t="s">
        <v>1050</v>
      </c>
      <c r="I52" s="175">
        <v>100</v>
      </c>
      <c r="J52" s="173">
        <v>5</v>
      </c>
      <c r="K52" s="173">
        <v>5</v>
      </c>
      <c r="L52" s="173"/>
      <c r="M52" s="175"/>
      <c r="N52" s="172"/>
      <c r="O52" s="175"/>
      <c r="Q52" s="187"/>
    </row>
    <row r="53" spans="3:21" x14ac:dyDescent="0.25">
      <c r="D53" s="172" t="s">
        <v>1009</v>
      </c>
      <c r="E53" s="173">
        <v>90</v>
      </c>
      <c r="F53" s="173">
        <v>5</v>
      </c>
      <c r="G53" s="173">
        <v>4</v>
      </c>
      <c r="H53" s="173" t="s">
        <v>1034</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6367</v>
      </c>
      <c r="D58" s="168" t="s">
        <v>981</v>
      </c>
      <c r="E58" s="169">
        <v>90</v>
      </c>
      <c r="F58" s="169">
        <v>5</v>
      </c>
      <c r="G58" s="169">
        <v>0</v>
      </c>
      <c r="H58" s="169"/>
      <c r="I58" s="170">
        <v>100</v>
      </c>
      <c r="J58" s="173">
        <v>10</v>
      </c>
      <c r="K58" s="173">
        <v>10</v>
      </c>
      <c r="L58" s="173">
        <v>5</v>
      </c>
      <c r="M58" s="175">
        <v>5</v>
      </c>
      <c r="N58" s="172" t="s">
        <v>6852</v>
      </c>
      <c r="O58" s="175" t="s">
        <v>6853</v>
      </c>
      <c r="Q58" s="187"/>
      <c r="S58" s="156">
        <v>3</v>
      </c>
      <c r="T58" s="156">
        <v>2</v>
      </c>
      <c r="U58" s="156"/>
    </row>
    <row r="59" spans="3:21" x14ac:dyDescent="0.25">
      <c r="D59" s="172" t="s">
        <v>997</v>
      </c>
      <c r="E59" s="173">
        <v>90</v>
      </c>
      <c r="F59" s="173">
        <v>5</v>
      </c>
      <c r="G59" s="173">
        <v>4</v>
      </c>
      <c r="H59" s="173" t="s">
        <v>1050</v>
      </c>
      <c r="I59" s="175">
        <v>100</v>
      </c>
      <c r="J59" s="173">
        <v>5</v>
      </c>
      <c r="K59" s="173">
        <v>5</v>
      </c>
      <c r="L59" s="173"/>
      <c r="M59" s="175"/>
      <c r="N59" s="172"/>
      <c r="O59" s="175"/>
      <c r="Q59" s="187"/>
      <c r="S59" s="156">
        <v>4</v>
      </c>
      <c r="T59" s="156">
        <v>1</v>
      </c>
      <c r="U59" s="156"/>
    </row>
    <row r="60" spans="3:21" x14ac:dyDescent="0.25">
      <c r="D60" s="172" t="s">
        <v>993</v>
      </c>
      <c r="E60" s="173">
        <v>90</v>
      </c>
      <c r="F60" s="173">
        <v>5</v>
      </c>
      <c r="G60" s="173">
        <v>4</v>
      </c>
      <c r="H60" s="173" t="s">
        <v>1050</v>
      </c>
      <c r="I60" s="175">
        <v>100</v>
      </c>
      <c r="J60" s="173">
        <v>5</v>
      </c>
      <c r="K60" s="173">
        <v>5</v>
      </c>
      <c r="L60" s="173"/>
      <c r="M60" s="175"/>
      <c r="N60" s="172"/>
      <c r="O60" s="175"/>
      <c r="Q60" s="187"/>
      <c r="S60" s="156">
        <v>5</v>
      </c>
      <c r="T60" s="156"/>
      <c r="U60" s="156"/>
    </row>
    <row r="61" spans="3:21" x14ac:dyDescent="0.25">
      <c r="D61" s="172" t="s">
        <v>993</v>
      </c>
      <c r="E61" s="173">
        <v>90</v>
      </c>
      <c r="F61" s="173">
        <v>5</v>
      </c>
      <c r="G61" s="173">
        <v>4</v>
      </c>
      <c r="H61" s="173" t="s">
        <v>1050</v>
      </c>
      <c r="I61" s="175">
        <v>100</v>
      </c>
      <c r="J61" s="173">
        <v>5</v>
      </c>
      <c r="K61" s="173">
        <v>5</v>
      </c>
      <c r="L61" s="173"/>
      <c r="M61" s="175"/>
      <c r="N61" s="172"/>
      <c r="O61" s="175"/>
      <c r="Q61" s="187"/>
    </row>
    <row r="62" spans="3:21" x14ac:dyDescent="0.25">
      <c r="D62" s="172" t="s">
        <v>1014</v>
      </c>
      <c r="E62" s="173">
        <v>90</v>
      </c>
      <c r="F62" s="173">
        <v>5</v>
      </c>
      <c r="G62" s="173">
        <v>4</v>
      </c>
      <c r="H62" s="173" t="s">
        <v>1034</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6877</v>
      </c>
      <c r="D67" s="168" t="s">
        <v>1696</v>
      </c>
      <c r="E67" s="169">
        <v>100</v>
      </c>
      <c r="F67" s="169">
        <v>5</v>
      </c>
      <c r="G67" s="169">
        <v>0</v>
      </c>
      <c r="H67" s="169"/>
      <c r="I67" s="170">
        <v>100</v>
      </c>
      <c r="J67" s="173">
        <v>10</v>
      </c>
      <c r="K67" s="173">
        <v>10</v>
      </c>
      <c r="L67" s="173">
        <v>5</v>
      </c>
      <c r="M67" s="175">
        <v>5</v>
      </c>
      <c r="N67" s="172" t="s">
        <v>6857</v>
      </c>
      <c r="O67" s="175" t="s">
        <v>1081</v>
      </c>
      <c r="Q67" s="187"/>
      <c r="S67" s="156">
        <v>3</v>
      </c>
      <c r="T67" s="156"/>
      <c r="U67" s="156"/>
    </row>
    <row r="68" spans="3:21" x14ac:dyDescent="0.25">
      <c r="D68" s="172" t="s">
        <v>1016</v>
      </c>
      <c r="E68" s="173">
        <v>100</v>
      </c>
      <c r="F68" s="173">
        <v>5</v>
      </c>
      <c r="G68" s="173">
        <v>4</v>
      </c>
      <c r="H68" s="173" t="s">
        <v>1034</v>
      </c>
      <c r="I68" s="175">
        <v>100</v>
      </c>
      <c r="J68" s="173">
        <v>5</v>
      </c>
      <c r="K68" s="173"/>
      <c r="L68" s="173"/>
      <c r="M68" s="175"/>
      <c r="N68" s="172"/>
      <c r="O68" s="175"/>
      <c r="Q68" s="187"/>
      <c r="S68" s="156">
        <v>4</v>
      </c>
      <c r="T68" s="156"/>
      <c r="U68" s="156">
        <v>5</v>
      </c>
    </row>
    <row r="69" spans="3:21" x14ac:dyDescent="0.25">
      <c r="D69" s="172" t="s">
        <v>993</v>
      </c>
      <c r="E69" s="173">
        <v>100</v>
      </c>
      <c r="F69" s="173">
        <v>5</v>
      </c>
      <c r="G69" s="173">
        <v>4</v>
      </c>
      <c r="H69" s="173" t="s">
        <v>1034</v>
      </c>
      <c r="I69" s="175">
        <v>100</v>
      </c>
      <c r="J69" s="173">
        <v>5</v>
      </c>
      <c r="K69" s="173">
        <v>5</v>
      </c>
      <c r="L69" s="173"/>
      <c r="M69" s="175"/>
      <c r="N69" s="172"/>
      <c r="O69" s="175"/>
      <c r="Q69" s="187"/>
      <c r="S69" s="156">
        <v>2</v>
      </c>
      <c r="T69" s="156">
        <v>1</v>
      </c>
      <c r="U69" s="156"/>
    </row>
    <row r="70" spans="3:21" x14ac:dyDescent="0.25">
      <c r="D70" s="172" t="s">
        <v>993</v>
      </c>
      <c r="E70" s="173">
        <v>100</v>
      </c>
      <c r="F70" s="173">
        <v>5</v>
      </c>
      <c r="G70" s="173">
        <v>4</v>
      </c>
      <c r="H70" s="173" t="s">
        <v>1034</v>
      </c>
      <c r="I70" s="175">
        <v>100</v>
      </c>
      <c r="J70" s="173">
        <v>5</v>
      </c>
      <c r="K70" s="173">
        <v>5</v>
      </c>
      <c r="L70" s="173"/>
      <c r="M70" s="175"/>
      <c r="N70" s="172"/>
      <c r="O70" s="175"/>
      <c r="Q70" s="187"/>
    </row>
    <row r="71" spans="3:21" x14ac:dyDescent="0.25">
      <c r="D71" s="172" t="s">
        <v>1005</v>
      </c>
      <c r="E71" s="173">
        <v>100</v>
      </c>
      <c r="F71" s="173">
        <v>5</v>
      </c>
      <c r="G71" s="173">
        <v>4</v>
      </c>
      <c r="H71" s="173" t="s">
        <v>1034</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8547</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8548</v>
      </c>
      <c r="X1" s="91" t="s">
        <v>8549</v>
      </c>
      <c r="Y1" s="91" t="s">
        <v>8550</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1102</v>
      </c>
      <c r="C1" s="91" t="s">
        <v>8551</v>
      </c>
      <c r="D1" s="91" t="s">
        <v>8552</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8176</v>
      </c>
      <c r="D1" s="91" t="s">
        <v>8177</v>
      </c>
      <c r="E1" s="91" t="s">
        <v>34</v>
      </c>
      <c r="F1" s="91" t="s">
        <v>35</v>
      </c>
      <c r="G1" s="91" t="s">
        <v>36</v>
      </c>
      <c r="H1" s="91" t="s">
        <v>8178</v>
      </c>
      <c r="I1" s="91" t="s">
        <v>8179</v>
      </c>
      <c r="J1" s="91" t="s">
        <v>8180</v>
      </c>
      <c r="K1" s="91" t="s">
        <v>8181</v>
      </c>
      <c r="L1" s="91" t="s">
        <v>8182</v>
      </c>
      <c r="M1" s="91" t="s">
        <v>8183</v>
      </c>
      <c r="N1" s="91" t="s">
        <v>54</v>
      </c>
      <c r="O1" s="91" t="s">
        <v>8184</v>
      </c>
      <c r="P1" s="91" t="s">
        <v>8185</v>
      </c>
      <c r="Q1" s="91" t="s">
        <v>8186</v>
      </c>
      <c r="R1" s="91" t="s">
        <v>278</v>
      </c>
      <c r="S1" s="91" t="s">
        <v>39</v>
      </c>
      <c r="T1" s="91" t="s">
        <v>8187</v>
      </c>
      <c r="U1" s="91" t="s">
        <v>8188</v>
      </c>
      <c r="V1" s="91" t="s">
        <v>8189</v>
      </c>
      <c r="W1" s="91" t="s">
        <v>878</v>
      </c>
      <c r="X1" s="91" t="s">
        <v>7738</v>
      </c>
      <c r="Y1" s="91" t="s">
        <v>38</v>
      </c>
      <c r="Z1" s="91" t="s">
        <v>2619</v>
      </c>
      <c r="AA1" s="91" t="s">
        <v>4471</v>
      </c>
      <c r="AB1" s="91" t="s">
        <v>8190</v>
      </c>
      <c r="AC1" s="91" t="s">
        <v>8191</v>
      </c>
      <c r="AD1" s="91" t="s">
        <v>8192</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activeCell="B2" sqref="B2:B19"/>
    </sheetView>
  </sheetViews>
  <sheetFormatPr defaultRowHeight="15" x14ac:dyDescent="0.25"/>
  <sheetData>
    <row r="1" spans="1:29" s="10" customFormat="1" x14ac:dyDescent="0.25">
      <c r="A1" s="40" t="s">
        <v>25</v>
      </c>
      <c r="B1" s="40" t="s">
        <v>26</v>
      </c>
      <c r="C1" s="40" t="s">
        <v>8271</v>
      </c>
      <c r="D1" s="40" t="s">
        <v>8177</v>
      </c>
      <c r="E1" s="40" t="s">
        <v>8272</v>
      </c>
      <c r="F1" s="40" t="s">
        <v>54</v>
      </c>
      <c r="G1" s="40" t="s">
        <v>44</v>
      </c>
      <c r="H1" s="40" t="s">
        <v>8273</v>
      </c>
      <c r="I1" s="40" t="s">
        <v>8274</v>
      </c>
      <c r="J1" s="40" t="s">
        <v>8275</v>
      </c>
      <c r="K1" s="40" t="s">
        <v>8276</v>
      </c>
      <c r="L1" s="40" t="s">
        <v>8277</v>
      </c>
      <c r="M1" s="40" t="s">
        <v>8278</v>
      </c>
      <c r="N1" s="40" t="s">
        <v>8187</v>
      </c>
      <c r="O1" s="40" t="s">
        <v>8188</v>
      </c>
      <c r="P1" s="40" t="s">
        <v>8189</v>
      </c>
      <c r="Q1" s="40" t="s">
        <v>7738</v>
      </c>
      <c r="R1" s="40" t="s">
        <v>878</v>
      </c>
      <c r="S1" s="40" t="s">
        <v>38</v>
      </c>
      <c r="T1" s="40" t="s">
        <v>278</v>
      </c>
      <c r="U1" s="40" t="s">
        <v>39</v>
      </c>
      <c r="V1" s="40" t="s">
        <v>8279</v>
      </c>
      <c r="W1" s="40" t="s">
        <v>8280</v>
      </c>
      <c r="X1" s="40" t="s">
        <v>8191</v>
      </c>
      <c r="Y1" s="40" t="s">
        <v>8192</v>
      </c>
      <c r="Z1" s="40" t="s">
        <v>8190</v>
      </c>
      <c r="AA1" s="40" t="s">
        <v>8178</v>
      </c>
      <c r="AB1" s="40" t="s">
        <v>8179</v>
      </c>
      <c r="AC1" s="40" t="s">
        <v>1798</v>
      </c>
    </row>
    <row r="2" spans="1:29" x14ac:dyDescent="0.25">
      <c r="A2" s="47">
        <f>IF(Main!B82="","",ROW()-1)</f>
        <v>1</v>
      </c>
      <c r="B2" s="47">
        <v>1234567</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1234567</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1234567</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1234567</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1234567</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1234567</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1234567</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1234567</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1234567</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1234567</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1234567</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1234567</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1234567</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1234567</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1234567</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1234567</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1234567</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1234567</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1018</v>
      </c>
      <c r="D1" s="91" t="s">
        <v>1019</v>
      </c>
      <c r="E1" s="91" t="s">
        <v>1020</v>
      </c>
      <c r="F1" s="91" t="s">
        <v>1021</v>
      </c>
      <c r="G1" s="91" t="s">
        <v>1022</v>
      </c>
      <c r="H1" s="91" t="s">
        <v>1023</v>
      </c>
      <c r="I1" s="91" t="s">
        <v>1024</v>
      </c>
      <c r="J1" s="91" t="s">
        <v>1025</v>
      </c>
      <c r="K1" s="91" t="s">
        <v>41</v>
      </c>
      <c r="L1" s="91" t="s">
        <v>42</v>
      </c>
      <c r="M1" s="91" t="s">
        <v>880</v>
      </c>
      <c r="N1" s="91" t="s">
        <v>971</v>
      </c>
      <c r="O1" s="91" t="s">
        <v>1026</v>
      </c>
      <c r="P1" s="91" t="s">
        <v>1027</v>
      </c>
      <c r="Q1" s="91" t="s">
        <v>55</v>
      </c>
      <c r="R1" s="91" t="s">
        <v>50</v>
      </c>
      <c r="S1" s="91" t="s">
        <v>52</v>
      </c>
      <c r="T1" s="91" t="s">
        <v>51</v>
      </c>
      <c r="U1" s="91" t="s">
        <v>34</v>
      </c>
      <c r="V1" s="91" t="s">
        <v>1028</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1102</v>
      </c>
      <c r="C1" s="91" t="s">
        <v>1017</v>
      </c>
      <c r="D1" s="91" t="s">
        <v>1103</v>
      </c>
      <c r="E1" s="91" t="s">
        <v>1104</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1029</v>
      </c>
      <c r="D1" s="91" t="s">
        <v>30</v>
      </c>
      <c r="E1" s="91" t="s">
        <v>35</v>
      </c>
      <c r="F1" s="91" t="s">
        <v>36</v>
      </c>
      <c r="G1" s="91" t="s">
        <v>1030</v>
      </c>
      <c r="J1" s="143" t="s">
        <v>1103</v>
      </c>
      <c r="K1" s="143" t="s">
        <v>33</v>
      </c>
    </row>
    <row r="2" spans="1:11" x14ac:dyDescent="0.25">
      <c r="A2" s="298">
        <f>IF(COUNTA(SF!A2:A10)=0,"",2)</f>
        <v>2</v>
      </c>
      <c r="B2" s="298">
        <v>1234567</v>
      </c>
      <c r="C2" s="298">
        <f>A2</f>
        <v>2</v>
      </c>
      <c r="D2" s="298">
        <f>IF(EchType="SF",1,2)</f>
        <v>2</v>
      </c>
      <c r="E2" s="298">
        <v>10</v>
      </c>
      <c r="F2" s="298">
        <v>10</v>
      </c>
      <c r="G2" s="298" t="s">
        <v>1105</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1105</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1105</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1105</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1105</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1105</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1105</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1105</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6463</v>
      </c>
      <c r="B3" s="1">
        <f>IF(DayNight="Day",26,28)</f>
        <v>26</v>
      </c>
      <c r="C3" s="9" t="str">
        <f>IF(EchType="SF",SUBSTITUTE('Misc Inputs'!C18,"on_team","on_sangvis"),SUBSTITUTE('Misc Inputs'!C8,"on_team","on_sangvis"))</f>
        <v>"fairy_skill_on_sangvis": "[]",</v>
      </c>
    </row>
    <row r="4" spans="1:3" x14ac:dyDescent="0.25">
      <c r="A4" t="s">
        <v>777</v>
      </c>
      <c r="B4" s="1">
        <f>IF(DayNight="Day",29,31)</f>
        <v>29</v>
      </c>
      <c r="C4" s="9" t="str">
        <f>IF(EchType="G&amp;K",'Misc Inputs'!C18,'Misc Inputs'!C8)</f>
        <v>"fairy_skill_on_team": "[]",</v>
      </c>
    </row>
    <row r="5" spans="1:3" x14ac:dyDescent="0.25">
      <c r="A5" t="s">
        <v>7093</v>
      </c>
      <c r="B5" s="1">
        <f>IF(DayNight="Day",7,5)</f>
        <v>7</v>
      </c>
      <c r="C5" s="9" t="str">
        <f>'Misc Inputs'!$C$31</f>
        <v>"building_info": "{}",</v>
      </c>
    </row>
    <row r="6" spans="1:3" x14ac:dyDescent="0.25">
      <c r="A6" t="s">
        <v>779</v>
      </c>
      <c r="B6" s="1">
        <f>IF(DayNight="Day",64,77)</f>
        <v>64</v>
      </c>
      <c r="C6" s="9" t="str">
        <f>CHAR(34)&amp;A6&amp;CHAR(34)&amp;": "&amp;CHAR(34)&amp;IF(VehicleMode="RangeCombat",1,TurnNum)&amp;CHAR(34)&amp;","</f>
        <v>"turn": "1",</v>
      </c>
    </row>
    <row r="7" spans="1:3" x14ac:dyDescent="0.25">
      <c r="A7" t="s">
        <v>7315</v>
      </c>
      <c r="B7" s="1">
        <f>IF(DayNight="Day",83,79)</f>
        <v>83</v>
      </c>
      <c r="C7" s="9" t="str">
        <f>CHAR(34)&amp;A7&amp;CHAR(34)&amp;": "&amp;CHAR(34)&amp;INDEX('Mapwide Buffs'!H:H,COUNTA('Mapwide Buffs'!A:A))&amp;CHAR(34)</f>
        <v>"fight_environment_group": ""</v>
      </c>
    </row>
    <row r="8" spans="1:3" x14ac:dyDescent="0.25">
      <c r="A8" t="s">
        <v>8737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1768</v>
      </c>
      <c r="B1" s="40" t="s">
        <v>776</v>
      </c>
      <c r="C1" s="40" t="s">
        <v>1771</v>
      </c>
      <c r="D1" s="40" t="s">
        <v>780</v>
      </c>
      <c r="E1" s="40" t="s">
        <v>1770</v>
      </c>
      <c r="F1" s="93"/>
    </row>
    <row r="2" spans="1:6" x14ac:dyDescent="0.25">
      <c r="A2" s="1">
        <v>100</v>
      </c>
      <c r="B2" s="1">
        <v>15</v>
      </c>
      <c r="C2" s="9" t="str">
        <f t="shared" ref="C2:C10" si="0">CHAR(34)&amp;D2&amp;CHAR(34)&amp;": "&amp;CHAR(34)&amp;E2&amp;CHAR(34)&amp;","</f>
        <v>"sangvis_team_id": "0",</v>
      </c>
      <c r="D2" s="1" t="s">
        <v>1769</v>
      </c>
      <c r="E2" s="1">
        <f>SUMPRODUCT('SF Team'!$D$3:$D$8,--(Main!$A$114:$A$119="X"),--(Main!$N$114:$N$119=A2))</f>
        <v>0</v>
      </c>
    </row>
    <row r="3" spans="1:6" x14ac:dyDescent="0.25">
      <c r="A3" s="1">
        <v>101</v>
      </c>
      <c r="B3" s="1">
        <v>39</v>
      </c>
      <c r="C3" s="9" t="str">
        <f t="shared" si="0"/>
        <v>"sangvis_team_id": "0",</v>
      </c>
      <c r="D3" s="1" t="s">
        <v>1769</v>
      </c>
      <c r="E3" s="1">
        <f>SUMPRODUCT('SF Team'!$D$3:$D$8,--(Main!$A$114:$A$119="X"),--(Main!$N$114:$N$119=A3))</f>
        <v>0</v>
      </c>
    </row>
    <row r="4" spans="1:6" x14ac:dyDescent="0.25">
      <c r="A4" s="1">
        <v>102</v>
      </c>
      <c r="B4" s="1">
        <v>63</v>
      </c>
      <c r="C4" s="9" t="str">
        <f t="shared" si="0"/>
        <v>"sangvis_team_id": "0",</v>
      </c>
      <c r="D4" s="1" t="s">
        <v>1769</v>
      </c>
      <c r="E4" s="1">
        <f>SUMPRODUCT('SF Team'!$D$3:$D$8,--(Main!$A$114:$A$119="X"),--(Main!$N$114:$N$119=A4))</f>
        <v>0</v>
      </c>
    </row>
    <row r="5" spans="1:6" x14ac:dyDescent="0.25">
      <c r="A5" s="1">
        <v>104</v>
      </c>
      <c r="B5" s="1">
        <v>111</v>
      </c>
      <c r="C5" s="9" t="str">
        <f t="shared" si="0"/>
        <v>"sangvis_team_id": "0",</v>
      </c>
      <c r="D5" s="1" t="s">
        <v>1769</v>
      </c>
      <c r="E5" s="1">
        <f>SUMPRODUCT('SF Team'!$D$3:$D$8,--(Main!$A$114:$A$119="X"),--(Main!$N$114:$N$119=A5))</f>
        <v>0</v>
      </c>
    </row>
    <row r="6" spans="1:6" x14ac:dyDescent="0.25">
      <c r="A6" s="1">
        <v>105</v>
      </c>
      <c r="B6" s="1">
        <v>135</v>
      </c>
      <c r="C6" s="9" t="str">
        <f t="shared" si="0"/>
        <v>"sangvis_team_id": "0",</v>
      </c>
      <c r="D6" s="1" t="s">
        <v>1769</v>
      </c>
      <c r="E6" s="1">
        <f>SUMPRODUCT('SF Team'!$D$3:$D$8,--(Main!$A$114:$A$119="X"),--(Main!$N$114:$N$119=A6))</f>
        <v>0</v>
      </c>
    </row>
    <row r="7" spans="1:6" x14ac:dyDescent="0.25">
      <c r="A7" s="1">
        <v>106</v>
      </c>
      <c r="B7" s="1">
        <v>159</v>
      </c>
      <c r="C7" s="9" t="str">
        <f t="shared" si="0"/>
        <v>"sangvis_team_id": "0",</v>
      </c>
      <c r="D7" s="1" t="s">
        <v>1769</v>
      </c>
      <c r="E7" s="1">
        <f>SUMPRODUCT('SF Team'!$D$3:$D$8,--(Main!$A$114:$A$119="X"),--(Main!$N$114:$N$119=A7))</f>
        <v>0</v>
      </c>
    </row>
    <row r="8" spans="1:6" x14ac:dyDescent="0.25">
      <c r="A8" s="1">
        <v>107</v>
      </c>
      <c r="B8" s="1">
        <v>183</v>
      </c>
      <c r="C8" s="9" t="str">
        <f t="shared" si="0"/>
        <v>"sangvis_team_id": "0",</v>
      </c>
      <c r="D8" s="1" t="s">
        <v>1769</v>
      </c>
      <c r="E8" s="1">
        <f>SUMPRODUCT('SF Team'!$D$3:$D$8,--(Main!$A$114:$A$119="X"),--(Main!$N$114:$N$119=A8))</f>
        <v>0</v>
      </c>
    </row>
    <row r="9" spans="1:6" x14ac:dyDescent="0.25">
      <c r="A9" s="1">
        <v>99</v>
      </c>
      <c r="B9" s="1">
        <v>202</v>
      </c>
      <c r="C9" s="9" t="str">
        <f t="shared" si="0"/>
        <v>"sangvis_team_id": "0",</v>
      </c>
      <c r="D9" s="1" t="s">
        <v>1769</v>
      </c>
      <c r="E9" s="1">
        <f>SUMPRODUCT('SF Team'!$D$3:$D$8,--(Main!$A$114:$A$119="X"),--(Main!$N$114:$N$119=A9))</f>
        <v>0</v>
      </c>
    </row>
    <row r="10" spans="1:6" x14ac:dyDescent="0.25">
      <c r="A10" s="1">
        <v>103</v>
      </c>
      <c r="B10" s="1">
        <v>85</v>
      </c>
      <c r="C10" s="9" t="str">
        <f t="shared" si="0"/>
        <v>"seed": "1234",</v>
      </c>
      <c r="D10" s="1" t="s">
        <v>6519</v>
      </c>
      <c r="E10" s="1">
        <f>SeedNum</f>
        <v>1234</v>
      </c>
    </row>
    <row r="11" spans="1:6" x14ac:dyDescent="0.25">
      <c r="A11" s="1">
        <f>A2</f>
        <v>100</v>
      </c>
      <c r="B11" s="1">
        <f>B2+1</f>
        <v>16</v>
      </c>
      <c r="C11" s="9" t="str">
        <f t="shared" ref="C11" si="1">CHAR(34)&amp;D11&amp;CHAR(34)&amp;": ["&amp;E11&amp;"],"</f>
        <v>"ally_instance_ids": [],</v>
      </c>
      <c r="D11" s="1" t="s">
        <v>8738</v>
      </c>
      <c r="E11" s="1" t="str">
        <f>IF(DayNight&lt;&gt;"Day","",_xlfn.IFNA(MATCH(A11,Main!$I$125:$I$127,0),""))</f>
        <v/>
      </c>
    </row>
    <row r="12" spans="1:6" x14ac:dyDescent="0.25">
      <c r="A12" s="1">
        <f t="shared" ref="A12" si="2">A3</f>
        <v>101</v>
      </c>
      <c r="B12" s="1">
        <f t="shared" ref="B12:B18" si="3">B3+1</f>
        <v>40</v>
      </c>
      <c r="C12" s="9" t="str">
        <f t="shared" ref="C12:C18" si="4">CHAR(34)&amp;D12&amp;CHAR(34)&amp;": ["&amp;E12&amp;"],"</f>
        <v>"ally_instance_ids": [],</v>
      </c>
      <c r="D12" s="1" t="s">
        <v>8738</v>
      </c>
      <c r="E12" s="1" t="str">
        <f>IF(DayNight&lt;&gt;"Day","",_xlfn.IFNA(MATCH(A12,Main!$I$125:$I$127,0),""))</f>
        <v/>
      </c>
    </row>
    <row r="13" spans="1:6" x14ac:dyDescent="0.25">
      <c r="A13" s="1">
        <f t="shared" ref="A13" si="5">A4</f>
        <v>102</v>
      </c>
      <c r="B13" s="1">
        <f t="shared" si="3"/>
        <v>64</v>
      </c>
      <c r="C13" s="9" t="str">
        <f t="shared" si="4"/>
        <v>"ally_instance_ids": [],</v>
      </c>
      <c r="D13" s="1" t="s">
        <v>8738</v>
      </c>
      <c r="E13" s="1" t="str">
        <f>IF(DayNight&lt;&gt;"Day","",_xlfn.IFNA(MATCH(A13,Main!$I$125:$I$127,0),""))</f>
        <v/>
      </c>
    </row>
    <row r="14" spans="1:6" x14ac:dyDescent="0.25">
      <c r="A14" s="1">
        <f t="shared" ref="A14" si="6">A5</f>
        <v>104</v>
      </c>
      <c r="B14" s="1">
        <f t="shared" si="3"/>
        <v>112</v>
      </c>
      <c r="C14" s="9" t="str">
        <f t="shared" si="4"/>
        <v>"ally_instance_ids": [],</v>
      </c>
      <c r="D14" s="1" t="s">
        <v>8738</v>
      </c>
      <c r="E14" s="1" t="str">
        <f>IF(DayNight&lt;&gt;"Day","",_xlfn.IFNA(MATCH(A14,Main!$I$125:$I$127,0),""))</f>
        <v/>
      </c>
    </row>
    <row r="15" spans="1:6" x14ac:dyDescent="0.25">
      <c r="A15" s="1">
        <f t="shared" ref="A15" si="7">A6</f>
        <v>105</v>
      </c>
      <c r="B15" s="1">
        <f t="shared" si="3"/>
        <v>136</v>
      </c>
      <c r="C15" s="9" t="str">
        <f t="shared" si="4"/>
        <v>"ally_instance_ids": [],</v>
      </c>
      <c r="D15" s="1" t="s">
        <v>8738</v>
      </c>
      <c r="E15" s="1" t="str">
        <f>IF(DayNight&lt;&gt;"Day","",_xlfn.IFNA(MATCH(A15,Main!$I$125:$I$127,0),""))</f>
        <v/>
      </c>
    </row>
    <row r="16" spans="1:6" x14ac:dyDescent="0.25">
      <c r="A16" s="1">
        <f t="shared" ref="A16" si="8">A7</f>
        <v>106</v>
      </c>
      <c r="B16" s="1">
        <f t="shared" si="3"/>
        <v>160</v>
      </c>
      <c r="C16" s="9" t="str">
        <f t="shared" si="4"/>
        <v>"ally_instance_ids": [],</v>
      </c>
      <c r="D16" s="1" t="s">
        <v>8738</v>
      </c>
      <c r="E16" s="1" t="str">
        <f>IF(DayNight&lt;&gt;"Day","",_xlfn.IFNA(MATCH(A16,Main!$I$125:$I$127,0),""))</f>
        <v/>
      </c>
    </row>
    <row r="17" spans="1:5" x14ac:dyDescent="0.25">
      <c r="A17" s="1">
        <f t="shared" ref="A17" si="9">A8</f>
        <v>107</v>
      </c>
      <c r="B17" s="1">
        <f t="shared" si="3"/>
        <v>184</v>
      </c>
      <c r="C17" s="9" t="str">
        <f t="shared" si="4"/>
        <v>"ally_instance_ids": [],</v>
      </c>
      <c r="D17" s="1" t="s">
        <v>8738</v>
      </c>
      <c r="E17" s="1" t="str">
        <f>IF(DayNight&lt;&gt;"Day","",_xlfn.IFNA(MATCH(A17,Main!$I$125:$I$127,0),""))</f>
        <v/>
      </c>
    </row>
    <row r="18" spans="1:5" x14ac:dyDescent="0.25">
      <c r="A18" s="1">
        <f t="shared" ref="A18" si="10">A9</f>
        <v>99</v>
      </c>
      <c r="B18" s="1">
        <f t="shared" si="3"/>
        <v>203</v>
      </c>
      <c r="C18" s="9" t="str">
        <f t="shared" si="4"/>
        <v>"ally_instance_ids": [],</v>
      </c>
      <c r="D18" s="1" t="s">
        <v>8738</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40" t="s">
        <v>1768</v>
      </c>
      <c r="B1" s="40" t="s">
        <v>776</v>
      </c>
      <c r="C1" s="40" t="s">
        <v>1771</v>
      </c>
      <c r="D1" s="40" t="s">
        <v>780</v>
      </c>
      <c r="E1" s="40" t="s">
        <v>1770</v>
      </c>
      <c r="F1" s="93"/>
      <c r="M1" s="1"/>
      <c r="T1" s="93"/>
    </row>
    <row r="2" spans="1:20" x14ac:dyDescent="0.25">
      <c r="A2" s="1">
        <v>7117</v>
      </c>
      <c r="B2" s="1">
        <v>15</v>
      </c>
      <c r="C2" s="9" t="str">
        <f t="shared" ref="C2:C32" si="0">CHAR(34)&amp;D2&amp;CHAR(34)&amp;": "&amp;CHAR(34)&amp;E2&amp;CHAR(34)&amp;","</f>
        <v>"sangvis_team_id": "0",</v>
      </c>
      <c r="D2" s="1" t="s">
        <v>1769</v>
      </c>
      <c r="E2" s="1">
        <f>SUMPRODUCT('SF Team'!$D$3:$D$7,--(Main!$A$114:$A$118="X"),--(Main!$N$114:$N$118=A2))</f>
        <v>0</v>
      </c>
      <c r="F2" s="1"/>
      <c r="M2" s="1"/>
    </row>
    <row r="3" spans="1:20" x14ac:dyDescent="0.25">
      <c r="A3" s="1">
        <v>7118</v>
      </c>
      <c r="B3" s="1">
        <v>39</v>
      </c>
      <c r="C3" s="9" t="str">
        <f t="shared" si="0"/>
        <v>"sangvis_team_id": "0",</v>
      </c>
      <c r="D3" s="1" t="s">
        <v>1769</v>
      </c>
      <c r="E3" s="1">
        <f>SUMPRODUCT('SF Team'!$D$3:$D$7,--(Main!$A$114:$A$118="X"),--(Main!$N$114:$N$118=A3))</f>
        <v>0</v>
      </c>
      <c r="F3" s="1"/>
      <c r="M3" s="1"/>
    </row>
    <row r="4" spans="1:20" x14ac:dyDescent="0.25">
      <c r="A4" s="1">
        <v>7119</v>
      </c>
      <c r="B4" s="1">
        <v>63</v>
      </c>
      <c r="C4" s="9" t="str">
        <f t="shared" si="0"/>
        <v>"sangvis_team_id": "0",</v>
      </c>
      <c r="D4" s="1" t="s">
        <v>1769</v>
      </c>
      <c r="E4" s="1">
        <f>SUMPRODUCT('SF Team'!$D$3:$D$7,--(Main!$A$114:$A$118="X"),--(Main!$N$114:$N$118=A4))</f>
        <v>0</v>
      </c>
      <c r="F4" s="1"/>
      <c r="M4" s="1"/>
    </row>
    <row r="5" spans="1:20" x14ac:dyDescent="0.25">
      <c r="A5" s="1">
        <v>7120</v>
      </c>
      <c r="B5" s="1">
        <v>87</v>
      </c>
      <c r="C5" s="9" t="str">
        <f t="shared" si="0"/>
        <v>"sangvis_team_id": "0",</v>
      </c>
      <c r="D5" s="1" t="s">
        <v>1769</v>
      </c>
      <c r="E5" s="1">
        <f>SUMPRODUCT('SF Team'!$D$3:$D$7,--(Main!$A$114:$A$118="X"),--(Main!$N$114:$N$118=A5))</f>
        <v>0</v>
      </c>
      <c r="F5" s="1"/>
      <c r="M5" s="1"/>
    </row>
    <row r="6" spans="1:20" x14ac:dyDescent="0.25">
      <c r="A6" s="1">
        <v>7121</v>
      </c>
      <c r="B6" s="1">
        <v>111</v>
      </c>
      <c r="C6" s="9" t="str">
        <f t="shared" si="0"/>
        <v>"sangvis_team_id": "0",</v>
      </c>
      <c r="D6" s="1" t="s">
        <v>1769</v>
      </c>
      <c r="E6" s="1">
        <f>SUMPRODUCT('SF Team'!$D$3:$D$7,--(Main!$A$114:$A$118="X"),--(Main!$N$114:$N$118=A6))</f>
        <v>0</v>
      </c>
      <c r="F6" s="1"/>
      <c r="M6" s="1"/>
    </row>
    <row r="7" spans="1:20" x14ac:dyDescent="0.25">
      <c r="A7" s="1">
        <v>7122</v>
      </c>
      <c r="B7" s="1">
        <v>135</v>
      </c>
      <c r="C7" s="9" t="str">
        <f t="shared" si="0"/>
        <v>"sangvis_team_id": "0",</v>
      </c>
      <c r="D7" s="1" t="s">
        <v>1769</v>
      </c>
      <c r="E7" s="1">
        <f>SUMPRODUCT('SF Team'!$D$3:$D$7,--(Main!$A$114:$A$118="X"),--(Main!$N$114:$N$118=A7))</f>
        <v>0</v>
      </c>
      <c r="F7" s="1"/>
      <c r="M7" s="1"/>
    </row>
    <row r="8" spans="1:20" x14ac:dyDescent="0.25">
      <c r="A8" s="1">
        <v>7123</v>
      </c>
      <c r="B8" s="1">
        <v>159</v>
      </c>
      <c r="C8" s="9" t="str">
        <f t="shared" si="0"/>
        <v>"sangvis_team_id": "0",</v>
      </c>
      <c r="D8" s="1" t="s">
        <v>1769</v>
      </c>
      <c r="E8" s="1">
        <f>SUMPRODUCT('SF Team'!$D$3:$D$7,--(Main!$A$114:$A$118="X"),--(Main!$N$114:$N$118=A8))</f>
        <v>0</v>
      </c>
      <c r="F8" s="1"/>
      <c r="M8" s="1"/>
    </row>
    <row r="9" spans="1:20" x14ac:dyDescent="0.25">
      <c r="A9" s="1">
        <v>7124</v>
      </c>
      <c r="B9" s="1">
        <v>183</v>
      </c>
      <c r="C9" s="9" t="str">
        <f t="shared" si="0"/>
        <v>"sangvis_team_id": "0",</v>
      </c>
      <c r="D9" s="1" t="s">
        <v>1769</v>
      </c>
      <c r="E9" s="1">
        <f>SUMPRODUCT('SF Team'!$D$3:$D$7,--(Main!$A$114:$A$118="X"),--(Main!$N$114:$N$118=A9))</f>
        <v>0</v>
      </c>
      <c r="F9" s="1"/>
      <c r="M9" s="1"/>
    </row>
    <row r="10" spans="1:20" x14ac:dyDescent="0.25">
      <c r="A10" s="1">
        <v>7126</v>
      </c>
      <c r="B10" s="1">
        <v>207</v>
      </c>
      <c r="C10" s="9" t="str">
        <f t="shared" si="0"/>
        <v>"sangvis_team_id": "0",</v>
      </c>
      <c r="D10" s="1" t="s">
        <v>1769</v>
      </c>
      <c r="E10" s="1">
        <f>SUMPRODUCT('SF Team'!$D$3:$D$7,--(Main!$A$114:$A$118="X"),--(Main!$N$114:$N$118=A10))</f>
        <v>0</v>
      </c>
      <c r="F10" s="1"/>
    </row>
    <row r="11" spans="1:20" x14ac:dyDescent="0.25">
      <c r="A11" s="1">
        <v>7127</v>
      </c>
      <c r="B11" s="1">
        <v>231</v>
      </c>
      <c r="C11" s="9" t="str">
        <f t="shared" si="0"/>
        <v>"sangvis_team_id": "0",</v>
      </c>
      <c r="D11" s="1" t="s">
        <v>1769</v>
      </c>
      <c r="E11" s="1">
        <f>SUMPRODUCT('SF Team'!$D$3:$D$7,--(Main!$A$114:$A$118="X"),--(Main!$N$114:$N$118=A11))</f>
        <v>0</v>
      </c>
      <c r="F11" s="1"/>
    </row>
    <row r="12" spans="1:20" x14ac:dyDescent="0.25">
      <c r="A12" s="1">
        <v>7128</v>
      </c>
      <c r="B12" s="1">
        <v>255</v>
      </c>
      <c r="C12" s="9" t="str">
        <f t="shared" si="0"/>
        <v>"sangvis_team_id": "0",</v>
      </c>
      <c r="D12" s="1" t="s">
        <v>1769</v>
      </c>
      <c r="E12" s="1">
        <f>SUMPRODUCT('SF Team'!$D$3:$D$7,--(Main!$A$114:$A$118="X"),--(Main!$N$114:$N$118=A12))</f>
        <v>0</v>
      </c>
      <c r="F12" s="1"/>
    </row>
    <row r="13" spans="1:20" x14ac:dyDescent="0.25">
      <c r="A13" s="1">
        <v>7129</v>
      </c>
      <c r="B13" s="1">
        <v>279</v>
      </c>
      <c r="C13" s="9" t="str">
        <f t="shared" si="0"/>
        <v>"sangvis_team_id": "0",</v>
      </c>
      <c r="D13" s="1" t="s">
        <v>1769</v>
      </c>
      <c r="E13" s="1">
        <f>SUMPRODUCT('SF Team'!$D$3:$D$7,--(Main!$A$114:$A$118="X"),--(Main!$N$114:$N$118=A13))</f>
        <v>0</v>
      </c>
      <c r="F13" s="1"/>
    </row>
    <row r="14" spans="1:20" x14ac:dyDescent="0.25">
      <c r="A14" s="1">
        <v>7130</v>
      </c>
      <c r="B14" s="1">
        <v>303</v>
      </c>
      <c r="C14" s="9" t="str">
        <f t="shared" si="0"/>
        <v>"sangvis_team_id": "0",</v>
      </c>
      <c r="D14" s="1" t="s">
        <v>1769</v>
      </c>
      <c r="E14" s="1">
        <f>SUMPRODUCT('SF Team'!$D$3:$D$7,--(Main!$A$114:$A$118="X"),--(Main!$N$114:$N$118=A14))</f>
        <v>0</v>
      </c>
      <c r="F14" s="1"/>
    </row>
    <row r="15" spans="1:20" x14ac:dyDescent="0.25">
      <c r="A15" s="1">
        <v>7131</v>
      </c>
      <c r="B15" s="1">
        <v>327</v>
      </c>
      <c r="C15" s="9" t="str">
        <f t="shared" si="0"/>
        <v>"sangvis_team_id": "0",</v>
      </c>
      <c r="D15" s="1" t="s">
        <v>1769</v>
      </c>
      <c r="E15" s="1">
        <f>SUMPRODUCT('SF Team'!$D$3:$D$7,--(Main!$A$114:$A$118="X"),--(Main!$N$114:$N$118=A15))</f>
        <v>0</v>
      </c>
      <c r="F15" s="1"/>
    </row>
    <row r="16" spans="1:20" x14ac:dyDescent="0.25">
      <c r="A16" s="1">
        <v>7132</v>
      </c>
      <c r="B16" s="1">
        <v>351</v>
      </c>
      <c r="C16" s="9" t="str">
        <f t="shared" si="0"/>
        <v>"sangvis_team_id": "0",</v>
      </c>
      <c r="D16" s="1" t="s">
        <v>1769</v>
      </c>
      <c r="E16" s="1">
        <f>SUMPRODUCT('SF Team'!$D$3:$D$7,--(Main!$A$114:$A$118="X"),--(Main!$N$114:$N$118=A16))</f>
        <v>0</v>
      </c>
      <c r="F16" s="1"/>
    </row>
    <row r="17" spans="1:6" x14ac:dyDescent="0.25">
      <c r="A17" s="1">
        <v>7133</v>
      </c>
      <c r="B17" s="1">
        <v>375</v>
      </c>
      <c r="C17" s="9" t="str">
        <f t="shared" si="0"/>
        <v>"sangvis_team_id": "0",</v>
      </c>
      <c r="D17" s="1" t="s">
        <v>1769</v>
      </c>
      <c r="E17" s="1">
        <f>SUMPRODUCT('SF Team'!$D$3:$D$7,--(Main!$A$114:$A$118="X"),--(Main!$N$114:$N$118=A17))</f>
        <v>0</v>
      </c>
      <c r="F17" s="1"/>
    </row>
    <row r="18" spans="1:6" x14ac:dyDescent="0.25">
      <c r="A18" s="1">
        <v>7134</v>
      </c>
      <c r="B18" s="1">
        <v>399</v>
      </c>
      <c r="C18" s="9" t="str">
        <f t="shared" si="0"/>
        <v>"sangvis_team_id": "0",</v>
      </c>
      <c r="D18" s="1" t="s">
        <v>1769</v>
      </c>
      <c r="E18" s="1">
        <f>SUMPRODUCT('SF Team'!$D$3:$D$7,--(Main!$A$114:$A$118="X"),--(Main!$N$114:$N$118=A18))</f>
        <v>0</v>
      </c>
      <c r="F18" s="1"/>
    </row>
    <row r="19" spans="1:6" x14ac:dyDescent="0.25">
      <c r="A19" s="1">
        <v>7135</v>
      </c>
      <c r="B19" s="1">
        <v>423</v>
      </c>
      <c r="C19" s="9" t="str">
        <f t="shared" si="0"/>
        <v>"sangvis_team_id": "0",</v>
      </c>
      <c r="D19" s="1" t="s">
        <v>1769</v>
      </c>
      <c r="E19" s="1">
        <f>SUMPRODUCT('SF Team'!$D$3:$D$7,--(Main!$A$114:$A$118="X"),--(Main!$N$114:$N$118=A19))</f>
        <v>0</v>
      </c>
      <c r="F19" s="1"/>
    </row>
    <row r="20" spans="1:6" x14ac:dyDescent="0.25">
      <c r="A20" s="1">
        <v>7136</v>
      </c>
      <c r="B20" s="1">
        <v>447</v>
      </c>
      <c r="C20" s="9" t="str">
        <f t="shared" si="0"/>
        <v>"sangvis_team_id": "0",</v>
      </c>
      <c r="D20" s="1" t="s">
        <v>1769</v>
      </c>
      <c r="E20" s="1">
        <f>SUMPRODUCT('SF Team'!$D$3:$D$7,--(Main!$A$114:$A$118="X"),--(Main!$N$114:$N$118=A20))</f>
        <v>0</v>
      </c>
      <c r="F20" s="1"/>
    </row>
    <row r="21" spans="1:6" x14ac:dyDescent="0.25">
      <c r="A21" s="1">
        <v>7137</v>
      </c>
      <c r="B21" s="1">
        <v>471</v>
      </c>
      <c r="C21" s="9" t="str">
        <f t="shared" si="0"/>
        <v>"sangvis_team_id": "0",</v>
      </c>
      <c r="D21" s="1" t="s">
        <v>1769</v>
      </c>
      <c r="E21" s="1">
        <f>SUMPRODUCT('SF Team'!$D$3:$D$7,--(Main!$A$114:$A$118="X"),--(Main!$N$114:$N$118=A21))</f>
        <v>0</v>
      </c>
      <c r="F21" s="1"/>
    </row>
    <row r="22" spans="1:6" x14ac:dyDescent="0.25">
      <c r="A22" s="1">
        <v>7138</v>
      </c>
      <c r="B22" s="1">
        <v>495</v>
      </c>
      <c r="C22" s="9" t="str">
        <f t="shared" si="0"/>
        <v>"sangvis_team_id": "0",</v>
      </c>
      <c r="D22" s="1" t="s">
        <v>1769</v>
      </c>
      <c r="E22" s="1">
        <f>SUMPRODUCT('SF Team'!$D$3:$D$7,--(Main!$A$114:$A$118="X"),--(Main!$N$114:$N$118=A22))</f>
        <v>0</v>
      </c>
      <c r="F22" s="1"/>
    </row>
    <row r="23" spans="1:6" x14ac:dyDescent="0.25">
      <c r="A23" s="1">
        <v>7139</v>
      </c>
      <c r="B23" s="1">
        <v>519</v>
      </c>
      <c r="C23" s="9" t="str">
        <f t="shared" si="0"/>
        <v>"sangvis_team_id": "0",</v>
      </c>
      <c r="D23" s="1" t="s">
        <v>1769</v>
      </c>
      <c r="E23" s="1">
        <f>SUMPRODUCT('SF Team'!$D$3:$D$7,--(Main!$A$114:$A$118="X"),--(Main!$N$114:$N$118=A23))</f>
        <v>0</v>
      </c>
      <c r="F23" s="1"/>
    </row>
    <row r="24" spans="1:6" x14ac:dyDescent="0.25">
      <c r="A24" s="1">
        <v>7140</v>
      </c>
      <c r="B24" s="1">
        <v>543</v>
      </c>
      <c r="C24" s="9" t="str">
        <f t="shared" si="0"/>
        <v>"sangvis_team_id": "0",</v>
      </c>
      <c r="D24" s="1" t="s">
        <v>1769</v>
      </c>
      <c r="E24" s="1">
        <f>SUMPRODUCT('SF Team'!$D$3:$D$7,--(Main!$A$114:$A$118="X"),--(Main!$N$114:$N$118=A24))</f>
        <v>0</v>
      </c>
      <c r="F24" s="1"/>
    </row>
    <row r="25" spans="1:6" x14ac:dyDescent="0.25">
      <c r="A25" s="1">
        <v>7141</v>
      </c>
      <c r="B25" s="1">
        <v>567</v>
      </c>
      <c r="C25" s="9" t="str">
        <f t="shared" si="0"/>
        <v>"sangvis_team_id": "0",</v>
      </c>
      <c r="D25" s="1" t="s">
        <v>1769</v>
      </c>
      <c r="E25" s="1">
        <f>SUMPRODUCT('SF Team'!$D$3:$D$7,--(Main!$A$114:$A$118="X"),--(Main!$N$114:$N$118=A25))</f>
        <v>0</v>
      </c>
      <c r="F25" s="1"/>
    </row>
    <row r="26" spans="1:6" x14ac:dyDescent="0.25">
      <c r="A26" s="1">
        <v>7142</v>
      </c>
      <c r="B26" s="1">
        <v>591</v>
      </c>
      <c r="C26" s="9" t="str">
        <f t="shared" si="0"/>
        <v>"sangvis_team_id": "0",</v>
      </c>
      <c r="D26" s="1" t="s">
        <v>1769</v>
      </c>
      <c r="E26" s="1">
        <f>SUMPRODUCT('SF Team'!$D$3:$D$7,--(Main!$A$114:$A$118="X"),--(Main!$N$114:$N$118=A26))</f>
        <v>0</v>
      </c>
      <c r="F26" s="1"/>
    </row>
    <row r="27" spans="1:6" x14ac:dyDescent="0.25">
      <c r="A27" s="1">
        <v>7143</v>
      </c>
      <c r="B27" s="1">
        <v>615</v>
      </c>
      <c r="C27" s="9" t="str">
        <f t="shared" si="0"/>
        <v>"sangvis_team_id": "0",</v>
      </c>
      <c r="D27" s="1" t="s">
        <v>1769</v>
      </c>
      <c r="E27" s="1">
        <f>SUMPRODUCT('SF Team'!$D$3:$D$7,--(Main!$A$114:$A$118="X"),--(Main!$N$114:$N$118=A27))</f>
        <v>0</v>
      </c>
      <c r="F27" s="1"/>
    </row>
    <row r="28" spans="1:6" x14ac:dyDescent="0.25">
      <c r="A28" s="1">
        <v>7144</v>
      </c>
      <c r="B28" s="1">
        <v>639</v>
      </c>
      <c r="C28" s="9" t="str">
        <f t="shared" si="0"/>
        <v>"sangvis_team_id": "0",</v>
      </c>
      <c r="D28" s="1" t="s">
        <v>1769</v>
      </c>
      <c r="E28" s="1">
        <f>SUMPRODUCT('SF Team'!$D$3:$D$7,--(Main!$A$114:$A$118="X"),--(Main!$N$114:$N$118=A28))</f>
        <v>0</v>
      </c>
      <c r="F28" s="1"/>
    </row>
    <row r="29" spans="1:6" x14ac:dyDescent="0.25">
      <c r="A29" s="1">
        <v>7145</v>
      </c>
      <c r="B29" s="1">
        <v>663</v>
      </c>
      <c r="C29" s="9" t="str">
        <f t="shared" si="0"/>
        <v>"sangvis_team_id": "0",</v>
      </c>
      <c r="D29" s="1" t="s">
        <v>1769</v>
      </c>
      <c r="E29" s="1">
        <f>SUMPRODUCT('SF Team'!$D$3:$D$7,--(Main!$A$114:$A$118="X"),--(Main!$N$114:$N$118=A29))</f>
        <v>0</v>
      </c>
      <c r="F29" s="1"/>
    </row>
    <row r="30" spans="1:6" x14ac:dyDescent="0.25">
      <c r="A30" s="1">
        <v>7146</v>
      </c>
      <c r="B30" s="1">
        <v>687</v>
      </c>
      <c r="C30" s="9" t="str">
        <f t="shared" si="0"/>
        <v>"sangvis_team_id": "0",</v>
      </c>
      <c r="D30" s="1" t="s">
        <v>1769</v>
      </c>
      <c r="E30" s="1">
        <f>SUMPRODUCT('SF Team'!$D$3:$D$7,--(Main!$A$114:$A$118="X"),--(Main!$N$114:$N$118=A30))</f>
        <v>0</v>
      </c>
      <c r="F30" s="1"/>
    </row>
    <row r="31" spans="1:6" x14ac:dyDescent="0.25">
      <c r="A31" s="1">
        <v>7125</v>
      </c>
      <c r="B31" s="1">
        <v>711</v>
      </c>
      <c r="C31" s="9" t="str">
        <f t="shared" si="0"/>
        <v>"sangvis_team_id": "0",</v>
      </c>
      <c r="D31" s="1" t="s">
        <v>1769</v>
      </c>
      <c r="E31" s="1">
        <f>SUMPRODUCT('SF Team'!$D$3:$D$7,--(Main!$A$114:$A$118="X"),--(Main!$N$114:$N$118=A31))</f>
        <v>0</v>
      </c>
      <c r="F31" s="1"/>
    </row>
    <row r="32" spans="1:6" x14ac:dyDescent="0.25">
      <c r="A32" s="1">
        <v>7123</v>
      </c>
      <c r="B32" s="1">
        <v>157</v>
      </c>
      <c r="C32" s="9" t="str">
        <f t="shared" si="0"/>
        <v>"seed": "1234",</v>
      </c>
      <c r="D32" s="1" t="s">
        <v>6519</v>
      </c>
      <c r="E32" s="1">
        <f>SeedNum</f>
        <v>1234</v>
      </c>
      <c r="F32" s="1"/>
    </row>
    <row r="33" spans="1:5" x14ac:dyDescent="0.25">
      <c r="A33" s="1">
        <f>A2</f>
        <v>7117</v>
      </c>
      <c r="B33" s="1">
        <f>B2+1</f>
        <v>16</v>
      </c>
      <c r="C33" s="9" t="str">
        <f>CHAR(34)&amp;D33&amp;CHAR(34)&amp;": ["&amp;E33&amp;"],"</f>
        <v>"ally_instance_ids": [],</v>
      </c>
      <c r="D33" s="1" t="s">
        <v>8738</v>
      </c>
      <c r="E33" s="1" t="str">
        <f>IF(DayNight&lt;&gt;"Night","",_xlfn.IFNA(MATCH(A33,Main!$I$125:$I$127,0),""))</f>
        <v/>
      </c>
    </row>
    <row r="34" spans="1:5" x14ac:dyDescent="0.25">
      <c r="A34" s="1">
        <f t="shared" ref="A34" si="1">A3</f>
        <v>7118</v>
      </c>
      <c r="B34" s="1">
        <f t="shared" ref="B34:B62" si="2">B3+1</f>
        <v>40</v>
      </c>
      <c r="C34" s="9" t="str">
        <f t="shared" ref="C34:C62" si="3">CHAR(34)&amp;D34&amp;CHAR(34)&amp;": ["&amp;E34&amp;"],"</f>
        <v>"ally_instance_ids": [],</v>
      </c>
      <c r="D34" s="1" t="s">
        <v>8738</v>
      </c>
      <c r="E34" s="1" t="str">
        <f>IF(DayNight&lt;&gt;"Night","",_xlfn.IFNA(MATCH(A34,Main!$I$125:$I$127,0),""))</f>
        <v/>
      </c>
    </row>
    <row r="35" spans="1:5" x14ac:dyDescent="0.25">
      <c r="A35" s="1">
        <f t="shared" ref="A35" si="4">A4</f>
        <v>7119</v>
      </c>
      <c r="B35" s="1">
        <f t="shared" si="2"/>
        <v>64</v>
      </c>
      <c r="C35" s="9" t="str">
        <f t="shared" si="3"/>
        <v>"ally_instance_ids": [],</v>
      </c>
      <c r="D35" s="1" t="s">
        <v>8738</v>
      </c>
      <c r="E35" s="1" t="str">
        <f>IF(DayNight&lt;&gt;"Night","",_xlfn.IFNA(MATCH(A35,Main!$I$125:$I$127,0),""))</f>
        <v/>
      </c>
    </row>
    <row r="36" spans="1:5" x14ac:dyDescent="0.25">
      <c r="A36" s="1">
        <f t="shared" ref="A36" si="5">A5</f>
        <v>7120</v>
      </c>
      <c r="B36" s="1">
        <f t="shared" si="2"/>
        <v>88</v>
      </c>
      <c r="C36" s="9" t="str">
        <f t="shared" si="3"/>
        <v>"ally_instance_ids": [],</v>
      </c>
      <c r="D36" s="1" t="s">
        <v>8738</v>
      </c>
      <c r="E36" s="1" t="str">
        <f>IF(DayNight&lt;&gt;"Night","",_xlfn.IFNA(MATCH(A36,Main!$I$125:$I$127,0),""))</f>
        <v/>
      </c>
    </row>
    <row r="37" spans="1:5" x14ac:dyDescent="0.25">
      <c r="A37" s="1">
        <f t="shared" ref="A37" si="6">A6</f>
        <v>7121</v>
      </c>
      <c r="B37" s="1">
        <f t="shared" si="2"/>
        <v>112</v>
      </c>
      <c r="C37" s="9" t="str">
        <f t="shared" si="3"/>
        <v>"ally_instance_ids": [],</v>
      </c>
      <c r="D37" s="1" t="s">
        <v>8738</v>
      </c>
      <c r="E37" s="1" t="str">
        <f>IF(DayNight&lt;&gt;"Night","",_xlfn.IFNA(MATCH(A37,Main!$I$125:$I$127,0),""))</f>
        <v/>
      </c>
    </row>
    <row r="38" spans="1:5" x14ac:dyDescent="0.25">
      <c r="A38" s="1">
        <f t="shared" ref="A38" si="7">A7</f>
        <v>7122</v>
      </c>
      <c r="B38" s="1">
        <f t="shared" si="2"/>
        <v>136</v>
      </c>
      <c r="C38" s="9" t="str">
        <f t="shared" si="3"/>
        <v>"ally_instance_ids": [],</v>
      </c>
      <c r="D38" s="1" t="s">
        <v>8738</v>
      </c>
      <c r="E38" s="1" t="str">
        <f>IF(DayNight&lt;&gt;"Night","",_xlfn.IFNA(MATCH(A38,Main!$I$125:$I$127,0),""))</f>
        <v/>
      </c>
    </row>
    <row r="39" spans="1:5" x14ac:dyDescent="0.25">
      <c r="A39" s="1">
        <f t="shared" ref="A39" si="8">A8</f>
        <v>7123</v>
      </c>
      <c r="B39" s="1">
        <f t="shared" si="2"/>
        <v>160</v>
      </c>
      <c r="C39" s="9" t="str">
        <f t="shared" si="3"/>
        <v>"ally_instance_ids": [],</v>
      </c>
      <c r="D39" s="1" t="s">
        <v>8738</v>
      </c>
      <c r="E39" s="1" t="str">
        <f>IF(DayNight&lt;&gt;"Night","",_xlfn.IFNA(MATCH(A39,Main!$I$125:$I$127,0),""))</f>
        <v/>
      </c>
    </row>
    <row r="40" spans="1:5" x14ac:dyDescent="0.25">
      <c r="A40" s="1">
        <f t="shared" ref="A40" si="9">A9</f>
        <v>7124</v>
      </c>
      <c r="B40" s="1">
        <f t="shared" si="2"/>
        <v>184</v>
      </c>
      <c r="C40" s="9" t="str">
        <f t="shared" si="3"/>
        <v>"ally_instance_ids": [],</v>
      </c>
      <c r="D40" s="1" t="s">
        <v>8738</v>
      </c>
      <c r="E40" s="1" t="str">
        <f>IF(DayNight&lt;&gt;"Night","",_xlfn.IFNA(MATCH(A40,Main!$I$125:$I$127,0),""))</f>
        <v/>
      </c>
    </row>
    <row r="41" spans="1:5" x14ac:dyDescent="0.25">
      <c r="A41" s="1">
        <f t="shared" ref="A41" si="10">A10</f>
        <v>7126</v>
      </c>
      <c r="B41" s="1">
        <f t="shared" si="2"/>
        <v>208</v>
      </c>
      <c r="C41" s="9" t="str">
        <f t="shared" si="3"/>
        <v>"ally_instance_ids": [],</v>
      </c>
      <c r="D41" s="1" t="s">
        <v>8738</v>
      </c>
      <c r="E41" s="1" t="str">
        <f>IF(DayNight&lt;&gt;"Night","",_xlfn.IFNA(MATCH(A41,Main!$I$125:$I$127,0),""))</f>
        <v/>
      </c>
    </row>
    <row r="42" spans="1:5" x14ac:dyDescent="0.25">
      <c r="A42" s="1">
        <f t="shared" ref="A42" si="11">A11</f>
        <v>7127</v>
      </c>
      <c r="B42" s="1">
        <f t="shared" si="2"/>
        <v>232</v>
      </c>
      <c r="C42" s="9" t="str">
        <f t="shared" si="3"/>
        <v>"ally_instance_ids": [],</v>
      </c>
      <c r="D42" s="1" t="s">
        <v>8738</v>
      </c>
      <c r="E42" s="1" t="str">
        <f>IF(DayNight&lt;&gt;"Night","",_xlfn.IFNA(MATCH(A42,Main!$I$125:$I$127,0),""))</f>
        <v/>
      </c>
    </row>
    <row r="43" spans="1:5" x14ac:dyDescent="0.25">
      <c r="A43" s="1">
        <f t="shared" ref="A43" si="12">A12</f>
        <v>7128</v>
      </c>
      <c r="B43" s="1">
        <f t="shared" si="2"/>
        <v>256</v>
      </c>
      <c r="C43" s="9" t="str">
        <f t="shared" si="3"/>
        <v>"ally_instance_ids": [],</v>
      </c>
      <c r="D43" s="1" t="s">
        <v>8738</v>
      </c>
      <c r="E43" s="1" t="str">
        <f>IF(DayNight&lt;&gt;"Night","",_xlfn.IFNA(MATCH(A43,Main!$I$125:$I$127,0),""))</f>
        <v/>
      </c>
    </row>
    <row r="44" spans="1:5" x14ac:dyDescent="0.25">
      <c r="A44" s="1">
        <f t="shared" ref="A44" si="13">A13</f>
        <v>7129</v>
      </c>
      <c r="B44" s="1">
        <f t="shared" si="2"/>
        <v>280</v>
      </c>
      <c r="C44" s="9" t="str">
        <f t="shared" si="3"/>
        <v>"ally_instance_ids": [],</v>
      </c>
      <c r="D44" s="1" t="s">
        <v>8738</v>
      </c>
      <c r="E44" s="1" t="str">
        <f>IF(DayNight&lt;&gt;"Night","",_xlfn.IFNA(MATCH(A44,Main!$I$125:$I$127,0),""))</f>
        <v/>
      </c>
    </row>
    <row r="45" spans="1:5" x14ac:dyDescent="0.25">
      <c r="A45" s="1">
        <f t="shared" ref="A45" si="14">A14</f>
        <v>7130</v>
      </c>
      <c r="B45" s="1">
        <f t="shared" si="2"/>
        <v>304</v>
      </c>
      <c r="C45" s="9" t="str">
        <f t="shared" si="3"/>
        <v>"ally_instance_ids": [],</v>
      </c>
      <c r="D45" s="1" t="s">
        <v>8738</v>
      </c>
      <c r="E45" s="1" t="str">
        <f>IF(DayNight&lt;&gt;"Night","",_xlfn.IFNA(MATCH(A45,Main!$I$125:$I$127,0),""))</f>
        <v/>
      </c>
    </row>
    <row r="46" spans="1:5" x14ac:dyDescent="0.25">
      <c r="A46" s="1">
        <f t="shared" ref="A46" si="15">A15</f>
        <v>7131</v>
      </c>
      <c r="B46" s="1">
        <f t="shared" si="2"/>
        <v>328</v>
      </c>
      <c r="C46" s="9" t="str">
        <f t="shared" si="3"/>
        <v>"ally_instance_ids": [],</v>
      </c>
      <c r="D46" s="1" t="s">
        <v>8738</v>
      </c>
      <c r="E46" s="1" t="str">
        <f>IF(DayNight&lt;&gt;"Night","",_xlfn.IFNA(MATCH(A46,Main!$I$125:$I$127,0),""))</f>
        <v/>
      </c>
    </row>
    <row r="47" spans="1:5" x14ac:dyDescent="0.25">
      <c r="A47" s="1">
        <f t="shared" ref="A47" si="16">A16</f>
        <v>7132</v>
      </c>
      <c r="B47" s="1">
        <f t="shared" si="2"/>
        <v>352</v>
      </c>
      <c r="C47" s="9" t="str">
        <f t="shared" si="3"/>
        <v>"ally_instance_ids": [],</v>
      </c>
      <c r="D47" s="1" t="s">
        <v>8738</v>
      </c>
      <c r="E47" s="1" t="str">
        <f>IF(DayNight&lt;&gt;"Night","",_xlfn.IFNA(MATCH(A47,Main!$I$125:$I$127,0),""))</f>
        <v/>
      </c>
    </row>
    <row r="48" spans="1:5" x14ac:dyDescent="0.25">
      <c r="A48" s="1">
        <f t="shared" ref="A48" si="17">A17</f>
        <v>7133</v>
      </c>
      <c r="B48" s="1">
        <f t="shared" si="2"/>
        <v>376</v>
      </c>
      <c r="C48" s="9" t="str">
        <f t="shared" si="3"/>
        <v>"ally_instance_ids": [],</v>
      </c>
      <c r="D48" s="1" t="s">
        <v>8738</v>
      </c>
      <c r="E48" s="1" t="str">
        <f>IF(DayNight&lt;&gt;"Night","",_xlfn.IFNA(MATCH(A48,Main!$I$125:$I$127,0),""))</f>
        <v/>
      </c>
    </row>
    <row r="49" spans="1:5" x14ac:dyDescent="0.25">
      <c r="A49" s="1">
        <f t="shared" ref="A49" si="18">A18</f>
        <v>7134</v>
      </c>
      <c r="B49" s="1">
        <f t="shared" si="2"/>
        <v>400</v>
      </c>
      <c r="C49" s="9" t="str">
        <f t="shared" si="3"/>
        <v>"ally_instance_ids": [],</v>
      </c>
      <c r="D49" s="1" t="s">
        <v>8738</v>
      </c>
      <c r="E49" s="1" t="str">
        <f>IF(DayNight&lt;&gt;"Night","",_xlfn.IFNA(MATCH(A49,Main!$I$125:$I$127,0),""))</f>
        <v/>
      </c>
    </row>
    <row r="50" spans="1:5" x14ac:dyDescent="0.25">
      <c r="A50" s="1">
        <f t="shared" ref="A50" si="19">A19</f>
        <v>7135</v>
      </c>
      <c r="B50" s="1">
        <f t="shared" si="2"/>
        <v>424</v>
      </c>
      <c r="C50" s="9" t="str">
        <f t="shared" si="3"/>
        <v>"ally_instance_ids": [],</v>
      </c>
      <c r="D50" s="1" t="s">
        <v>8738</v>
      </c>
      <c r="E50" s="1" t="str">
        <f>IF(DayNight&lt;&gt;"Night","",_xlfn.IFNA(MATCH(A50,Main!$I$125:$I$127,0),""))</f>
        <v/>
      </c>
    </row>
    <row r="51" spans="1:5" x14ac:dyDescent="0.25">
      <c r="A51" s="1">
        <f t="shared" ref="A51" si="20">A20</f>
        <v>7136</v>
      </c>
      <c r="B51" s="1">
        <f t="shared" si="2"/>
        <v>448</v>
      </c>
      <c r="C51" s="9" t="str">
        <f t="shared" si="3"/>
        <v>"ally_instance_ids": [],</v>
      </c>
      <c r="D51" s="1" t="s">
        <v>8738</v>
      </c>
      <c r="E51" s="1" t="str">
        <f>IF(DayNight&lt;&gt;"Night","",_xlfn.IFNA(MATCH(A51,Main!$I$125:$I$127,0),""))</f>
        <v/>
      </c>
    </row>
    <row r="52" spans="1:5" x14ac:dyDescent="0.25">
      <c r="A52" s="1">
        <f t="shared" ref="A52" si="21">A21</f>
        <v>7137</v>
      </c>
      <c r="B52" s="1">
        <f t="shared" si="2"/>
        <v>472</v>
      </c>
      <c r="C52" s="9" t="str">
        <f t="shared" si="3"/>
        <v>"ally_instance_ids": [],</v>
      </c>
      <c r="D52" s="1" t="s">
        <v>8738</v>
      </c>
      <c r="E52" s="1" t="str">
        <f>IF(DayNight&lt;&gt;"Night","",_xlfn.IFNA(MATCH(A52,Main!$I$125:$I$127,0),""))</f>
        <v/>
      </c>
    </row>
    <row r="53" spans="1:5" x14ac:dyDescent="0.25">
      <c r="A53" s="1">
        <f t="shared" ref="A53" si="22">A22</f>
        <v>7138</v>
      </c>
      <c r="B53" s="1">
        <f t="shared" si="2"/>
        <v>496</v>
      </c>
      <c r="C53" s="9" t="str">
        <f t="shared" si="3"/>
        <v>"ally_instance_ids": [],</v>
      </c>
      <c r="D53" s="1" t="s">
        <v>8738</v>
      </c>
      <c r="E53" s="1" t="str">
        <f>IF(DayNight&lt;&gt;"Night","",_xlfn.IFNA(MATCH(A53,Main!$I$125:$I$127,0),""))</f>
        <v/>
      </c>
    </row>
    <row r="54" spans="1:5" x14ac:dyDescent="0.25">
      <c r="A54" s="1">
        <f t="shared" ref="A54" si="23">A23</f>
        <v>7139</v>
      </c>
      <c r="B54" s="1">
        <f t="shared" si="2"/>
        <v>520</v>
      </c>
      <c r="C54" s="9" t="str">
        <f t="shared" si="3"/>
        <v>"ally_instance_ids": [],</v>
      </c>
      <c r="D54" s="1" t="s">
        <v>8738</v>
      </c>
      <c r="E54" s="1" t="str">
        <f>IF(DayNight&lt;&gt;"Night","",_xlfn.IFNA(MATCH(A54,Main!$I$125:$I$127,0),""))</f>
        <v/>
      </c>
    </row>
    <row r="55" spans="1:5" x14ac:dyDescent="0.25">
      <c r="A55" s="1">
        <f t="shared" ref="A55" si="24">A24</f>
        <v>7140</v>
      </c>
      <c r="B55" s="1">
        <f t="shared" si="2"/>
        <v>544</v>
      </c>
      <c r="C55" s="9" t="str">
        <f t="shared" si="3"/>
        <v>"ally_instance_ids": [],</v>
      </c>
      <c r="D55" s="1" t="s">
        <v>8738</v>
      </c>
      <c r="E55" s="1" t="str">
        <f>IF(DayNight&lt;&gt;"Night","",_xlfn.IFNA(MATCH(A55,Main!$I$125:$I$127,0),""))</f>
        <v/>
      </c>
    </row>
    <row r="56" spans="1:5" x14ac:dyDescent="0.25">
      <c r="A56" s="1">
        <f t="shared" ref="A56" si="25">A25</f>
        <v>7141</v>
      </c>
      <c r="B56" s="1">
        <f t="shared" si="2"/>
        <v>568</v>
      </c>
      <c r="C56" s="9" t="str">
        <f t="shared" si="3"/>
        <v>"ally_instance_ids": [],</v>
      </c>
      <c r="D56" s="1" t="s">
        <v>8738</v>
      </c>
      <c r="E56" s="1" t="str">
        <f>IF(DayNight&lt;&gt;"Night","",_xlfn.IFNA(MATCH(A56,Main!$I$125:$I$127,0),""))</f>
        <v/>
      </c>
    </row>
    <row r="57" spans="1:5" x14ac:dyDescent="0.25">
      <c r="A57" s="1">
        <f t="shared" ref="A57" si="26">A26</f>
        <v>7142</v>
      </c>
      <c r="B57" s="1">
        <f t="shared" si="2"/>
        <v>592</v>
      </c>
      <c r="C57" s="9" t="str">
        <f t="shared" si="3"/>
        <v>"ally_instance_ids": [],</v>
      </c>
      <c r="D57" s="1" t="s">
        <v>8738</v>
      </c>
      <c r="E57" s="1" t="str">
        <f>IF(DayNight&lt;&gt;"Night","",_xlfn.IFNA(MATCH(A57,Main!$I$125:$I$127,0),""))</f>
        <v/>
      </c>
    </row>
    <row r="58" spans="1:5" x14ac:dyDescent="0.25">
      <c r="A58" s="1">
        <f t="shared" ref="A58" si="27">A27</f>
        <v>7143</v>
      </c>
      <c r="B58" s="1">
        <f t="shared" si="2"/>
        <v>616</v>
      </c>
      <c r="C58" s="9" t="str">
        <f t="shared" si="3"/>
        <v>"ally_instance_ids": [],</v>
      </c>
      <c r="D58" s="1" t="s">
        <v>8738</v>
      </c>
      <c r="E58" s="1" t="str">
        <f>IF(DayNight&lt;&gt;"Night","",_xlfn.IFNA(MATCH(A58,Main!$I$125:$I$127,0),""))</f>
        <v/>
      </c>
    </row>
    <row r="59" spans="1:5" x14ac:dyDescent="0.25">
      <c r="A59" s="1">
        <f t="shared" ref="A59" si="28">A28</f>
        <v>7144</v>
      </c>
      <c r="B59" s="1">
        <f t="shared" si="2"/>
        <v>640</v>
      </c>
      <c r="C59" s="9" t="str">
        <f t="shared" si="3"/>
        <v>"ally_instance_ids": [],</v>
      </c>
      <c r="D59" s="1" t="s">
        <v>8738</v>
      </c>
      <c r="E59" s="1" t="str">
        <f>IF(DayNight&lt;&gt;"Night","",_xlfn.IFNA(MATCH(A59,Main!$I$125:$I$127,0),""))</f>
        <v/>
      </c>
    </row>
    <row r="60" spans="1:5" x14ac:dyDescent="0.25">
      <c r="A60" s="1">
        <f t="shared" ref="A60" si="29">A29</f>
        <v>7145</v>
      </c>
      <c r="B60" s="1">
        <f t="shared" si="2"/>
        <v>664</v>
      </c>
      <c r="C60" s="9" t="str">
        <f t="shared" si="3"/>
        <v>"ally_instance_ids": [],</v>
      </c>
      <c r="D60" s="1" t="s">
        <v>8738</v>
      </c>
      <c r="E60" s="1" t="str">
        <f>IF(DayNight&lt;&gt;"Night","",_xlfn.IFNA(MATCH(A60,Main!$I$125:$I$127,0),""))</f>
        <v/>
      </c>
    </row>
    <row r="61" spans="1:5" x14ac:dyDescent="0.25">
      <c r="A61" s="1">
        <f t="shared" ref="A61" si="30">A30</f>
        <v>7146</v>
      </c>
      <c r="B61" s="1">
        <f t="shared" si="2"/>
        <v>688</v>
      </c>
      <c r="C61" s="9" t="str">
        <f t="shared" si="3"/>
        <v>"ally_instance_ids": [],</v>
      </c>
      <c r="D61" s="1" t="s">
        <v>8738</v>
      </c>
      <c r="E61" s="1" t="str">
        <f>IF(DayNight&lt;&gt;"Night","",_xlfn.IFNA(MATCH(A61,Main!$I$125:$I$127,0),""))</f>
        <v/>
      </c>
    </row>
    <row r="62" spans="1:5" x14ac:dyDescent="0.25">
      <c r="A62" s="1">
        <f t="shared" ref="A62" si="31">A31</f>
        <v>7125</v>
      </c>
      <c r="B62" s="1">
        <f t="shared" si="2"/>
        <v>712</v>
      </c>
      <c r="C62" s="9" t="str">
        <f t="shared" si="3"/>
        <v>"ally_instance_ids": [],</v>
      </c>
      <c r="D62" s="1" t="s">
        <v>8738</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"Day",</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10004,</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1777</v>
      </c>
      <c r="B8" s="1">
        <v>13</v>
      </c>
      <c r="C8" s="9" t="str">
        <f>CHAR(34)&amp;A8&amp;CHAR(34)&amp;": ["&amp;EnemyID&amp;"]"&amp;","</f>
        <v>"target_train_teams": [10004],</v>
      </c>
    </row>
    <row r="9" spans="1:3" x14ac:dyDescent="0.25">
      <c r="A9" t="s">
        <v>7315</v>
      </c>
      <c r="B9" s="1">
        <v>14</v>
      </c>
      <c r="C9" s="9" t="str">
        <f>CHAR(34)&amp;A9&amp;CHAR(34)&amp;": "&amp;CHAR(34)&amp;INDEX('Mapwide Buffs'!H:H,COUNTA('Mapwide Buffs'!A:A))&amp;CHAR(34)&amp;","</f>
        <v>"fight_environment_group": "",</v>
      </c>
    </row>
    <row r="10" spans="1:3" x14ac:dyDescent="0.25">
      <c r="A10" t="s">
        <v>7316</v>
      </c>
      <c r="B10" s="1">
        <v>15</v>
      </c>
      <c r="C10" s="9" t="str">
        <f>CHAR(34)&amp;A10&amp;CHAR(34)&amp;": "&amp;EnemyHPPercent/100&amp;","</f>
        <v>"enemy_hp_percent": 1,</v>
      </c>
    </row>
    <row r="11" spans="1:3" x14ac:dyDescent="0.25">
      <c r="A11" t="s">
        <v>8283</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8287</v>
      </c>
      <c r="B2" s="1">
        <v>10</v>
      </c>
      <c r="C2" s="9" t="str">
        <f>CHAR(34)&amp;A2&amp;CHAR(34)&amp;": "&amp;CHAR(34)&amp;IF(DayNight="Day",107,7173)&amp;CHAR(34)&amp;","</f>
        <v>"from_spot_id": "107",</v>
      </c>
    </row>
    <row r="3" spans="1:3" x14ac:dyDescent="0.25">
      <c r="A3" t="s">
        <v>8288</v>
      </c>
      <c r="B3" s="1">
        <v>11</v>
      </c>
      <c r="C3" s="9" t="str">
        <f>CHAR(34)&amp;A3&amp;CHAR(34)&amp;": "&amp;CHAR(34)&amp;IF(DayNight="Day",103,7123)&amp;CHAR(34)&amp;","</f>
        <v>"to_spot_id": "103",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8166</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1107</v>
      </c>
      <c r="AZ2" s="3" t="s">
        <v>1108</v>
      </c>
      <c r="BA2" s="3" t="s">
        <v>1109</v>
      </c>
      <c r="BB2" s="3" t="s">
        <v>1110</v>
      </c>
      <c r="BC2" s="3" t="s">
        <v>1111</v>
      </c>
      <c r="BD2" s="3" t="s">
        <v>1112</v>
      </c>
      <c r="BE2" s="4" t="s">
        <v>1113</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1742</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6765</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8510</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1071</v>
      </c>
      <c r="I1" s="10" t="s">
        <v>1065</v>
      </c>
      <c r="J1" s="134"/>
      <c r="K1" s="135"/>
      <c r="L1" s="135"/>
      <c r="M1" s="135"/>
      <c r="N1" s="135"/>
      <c r="O1" s="135"/>
      <c r="P1" s="135"/>
      <c r="Q1" s="135"/>
      <c r="R1" s="135"/>
      <c r="S1" s="135"/>
      <c r="T1" s="135"/>
      <c r="U1" s="135"/>
      <c r="V1" s="135"/>
      <c r="W1" s="135"/>
      <c r="X1" s="135"/>
      <c r="Y1" s="135"/>
      <c r="Z1" s="135"/>
    </row>
    <row r="2" spans="1:26" x14ac:dyDescent="0.25">
      <c r="A2" s="54" t="s">
        <v>1064</v>
      </c>
      <c r="B2" s="55" t="s">
        <v>9</v>
      </c>
      <c r="C2" s="58" t="s">
        <v>10</v>
      </c>
      <c r="D2" s="58" t="s">
        <v>11</v>
      </c>
      <c r="E2" s="58" t="s">
        <v>12</v>
      </c>
      <c r="F2" s="58" t="s">
        <v>13</v>
      </c>
      <c r="G2" s="59" t="s">
        <v>14</v>
      </c>
      <c r="I2" s="136" t="s">
        <v>1031</v>
      </c>
      <c r="J2" s="55" t="s">
        <v>18</v>
      </c>
      <c r="K2" s="58" t="s">
        <v>1039</v>
      </c>
      <c r="L2" s="58" t="s">
        <v>1040</v>
      </c>
      <c r="M2" s="58" t="s">
        <v>1764</v>
      </c>
      <c r="N2" s="58" t="s">
        <v>1035</v>
      </c>
      <c r="O2" s="55" t="s">
        <v>1033</v>
      </c>
      <c r="P2" s="58" t="s">
        <v>1035</v>
      </c>
      <c r="Q2" s="58" t="s">
        <v>1067</v>
      </c>
      <c r="R2" s="58" t="s">
        <v>1068</v>
      </c>
      <c r="S2" s="58" t="s">
        <v>1066</v>
      </c>
      <c r="T2" s="58" t="s">
        <v>1094</v>
      </c>
      <c r="U2" s="58" t="s">
        <v>1096</v>
      </c>
      <c r="V2" s="59" t="s">
        <v>1095</v>
      </c>
      <c r="W2" s="135"/>
      <c r="X2" s="96" t="s">
        <v>1097</v>
      </c>
      <c r="Y2" s="135"/>
      <c r="Z2" s="135"/>
    </row>
    <row r="3" spans="1:26" x14ac:dyDescent="0.25">
      <c r="A3" s="55" t="s">
        <v>1046</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1045</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1044</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1047</v>
      </c>
      <c r="B7" s="55" t="s">
        <v>1070</v>
      </c>
      <c r="C7" s="58" t="s">
        <v>1048</v>
      </c>
      <c r="D7" s="58" t="s">
        <v>1049</v>
      </c>
      <c r="E7" s="58" t="s">
        <v>1050</v>
      </c>
      <c r="F7" s="58" t="s">
        <v>1034</v>
      </c>
      <c r="G7" s="59" t="s">
        <v>1044</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1069</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1044</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1044</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1044</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1044</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1044</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1072</v>
      </c>
      <c r="I17" s="138">
        <v>15</v>
      </c>
      <c r="J17" s="77">
        <f>Main!D119</f>
        <v>100</v>
      </c>
      <c r="K17" s="78">
        <v>3</v>
      </c>
      <c r="L17" s="78">
        <f>Main!E119</f>
        <v>5</v>
      </c>
      <c r="M17" s="78">
        <f>Main!F119</f>
        <v>4</v>
      </c>
      <c r="N17" s="78" t="s">
        <v>1044</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1073</v>
      </c>
      <c r="T18" s="17"/>
      <c r="U18" s="11"/>
      <c r="X18" s="1"/>
      <c r="Y18" s="27"/>
    </row>
    <row r="19" spans="1:25" x14ac:dyDescent="0.25">
      <c r="T19" s="17"/>
      <c r="U19" s="11"/>
      <c r="X19" s="1"/>
      <c r="Y19" s="27"/>
    </row>
    <row r="20" spans="1:25" x14ac:dyDescent="0.25">
      <c r="A20" s="10" t="s">
        <v>6376</v>
      </c>
      <c r="T20" s="17"/>
      <c r="U20" s="11"/>
      <c r="X20" s="1"/>
      <c r="Y20" s="27"/>
    </row>
    <row r="21" spans="1:25" x14ac:dyDescent="0.25">
      <c r="A21" s="142" t="s">
        <v>6377</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1606</v>
      </c>
      <c r="C22" s="1">
        <v>2</v>
      </c>
      <c r="D22" t="s">
        <v>1607</v>
      </c>
      <c r="E22" s="94">
        <v>0</v>
      </c>
      <c r="F22" s="94">
        <v>100</v>
      </c>
      <c r="G22" s="94">
        <v>200</v>
      </c>
      <c r="H22" s="94">
        <v>250</v>
      </c>
      <c r="I22" s="94">
        <v>550</v>
      </c>
      <c r="J22" s="1">
        <v>1</v>
      </c>
      <c r="K22" s="1">
        <v>1</v>
      </c>
    </row>
    <row r="23" spans="1:11" x14ac:dyDescent="0.25">
      <c r="A23" s="1">
        <v>1009</v>
      </c>
      <c r="B23" t="s">
        <v>7092</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7308</v>
      </c>
      <c r="C26" s="1">
        <v>6</v>
      </c>
      <c r="D26" t="s">
        <v>7309</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8069</v>
      </c>
      <c r="C28" s="1">
        <v>3</v>
      </c>
      <c r="D28" s="220" t="s">
        <v>8070</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8061</v>
      </c>
      <c r="C40" s="1">
        <v>2</v>
      </c>
      <c r="D40" s="220" t="s">
        <v>8062</v>
      </c>
      <c r="E40" s="94">
        <v>0</v>
      </c>
      <c r="F40" s="94">
        <v>100</v>
      </c>
      <c r="G40" s="94">
        <v>200</v>
      </c>
      <c r="H40" s="94">
        <v>350</v>
      </c>
      <c r="I40" s="94">
        <v>550</v>
      </c>
      <c r="J40" s="1">
        <v>1</v>
      </c>
      <c r="K40" s="1">
        <v>0</v>
      </c>
    </row>
    <row r="41" spans="1:11" x14ac:dyDescent="0.25">
      <c r="A41" s="1">
        <v>31</v>
      </c>
      <c r="B41" t="s">
        <v>5777</v>
      </c>
      <c r="C41" s="1">
        <v>6</v>
      </c>
      <c r="D41" t="s">
        <v>5776</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1718</v>
      </c>
      <c r="C44" s="1">
        <v>6</v>
      </c>
      <c r="D44" t="s">
        <v>1719</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964</v>
      </c>
    </row>
    <row r="20" spans="1:3" x14ac:dyDescent="0.25">
      <c r="A20" t="s">
        <v>656</v>
      </c>
      <c r="B20" s="94">
        <v>910122</v>
      </c>
      <c r="C20" t="s">
        <v>964</v>
      </c>
    </row>
    <row r="21" spans="1:3" x14ac:dyDescent="0.25">
      <c r="A21" t="s">
        <v>962</v>
      </c>
      <c r="B21" s="94">
        <v>902385</v>
      </c>
      <c r="C21" t="s">
        <v>964</v>
      </c>
    </row>
    <row r="22" spans="1:3" x14ac:dyDescent="0.25">
      <c r="A22" t="s">
        <v>654</v>
      </c>
      <c r="B22" s="94">
        <v>910119</v>
      </c>
      <c r="C22" t="s">
        <v>964</v>
      </c>
    </row>
    <row r="23" spans="1:3" x14ac:dyDescent="0.25">
      <c r="A23" t="s">
        <v>655</v>
      </c>
      <c r="B23" s="94">
        <v>910120</v>
      </c>
      <c r="C23" t="s">
        <v>964</v>
      </c>
    </row>
    <row r="24" spans="1:3" x14ac:dyDescent="0.25">
      <c r="A24" t="s">
        <v>653</v>
      </c>
      <c r="B24" s="94">
        <v>910118</v>
      </c>
      <c r="C24" t="s">
        <v>964</v>
      </c>
    </row>
    <row r="25" spans="1:3" x14ac:dyDescent="0.25">
      <c r="A25" t="s">
        <v>961</v>
      </c>
      <c r="B25" s="94">
        <v>900906</v>
      </c>
      <c r="C25" t="s">
        <v>964</v>
      </c>
    </row>
    <row r="26" spans="1:3" x14ac:dyDescent="0.25">
      <c r="A26" t="s">
        <v>963</v>
      </c>
      <c r="B26" s="94">
        <v>910121</v>
      </c>
      <c r="C26" t="s">
        <v>964</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6592</v>
      </c>
      <c r="B1" s="40" t="s">
        <v>939</v>
      </c>
      <c r="C1" s="40" t="s">
        <v>940</v>
      </c>
      <c r="E1" s="40" t="s">
        <v>6593</v>
      </c>
      <c r="F1" s="40" t="s">
        <v>939</v>
      </c>
      <c r="G1" s="40" t="s">
        <v>940</v>
      </c>
    </row>
    <row r="2" spans="1:7" x14ac:dyDescent="0.25">
      <c r="A2" s="9" t="s">
        <v>6603</v>
      </c>
      <c r="B2" s="1">
        <v>50008</v>
      </c>
      <c r="C2" s="1">
        <v>30011</v>
      </c>
      <c r="E2" s="9" t="s">
        <v>660</v>
      </c>
      <c r="F2" s="1">
        <v>1811</v>
      </c>
      <c r="G2" s="1">
        <v>18</v>
      </c>
    </row>
    <row r="3" spans="1:7" x14ac:dyDescent="0.25">
      <c r="A3" s="9" t="s">
        <v>660</v>
      </c>
      <c r="B3" s="1">
        <v>1801</v>
      </c>
      <c r="C3" s="1">
        <v>18</v>
      </c>
      <c r="E3" s="9" t="s">
        <v>6595</v>
      </c>
      <c r="F3" s="1">
        <v>440002</v>
      </c>
      <c r="G3" s="1">
        <v>4400</v>
      </c>
    </row>
    <row r="4" spans="1:7" x14ac:dyDescent="0.25">
      <c r="A4" s="9" t="s">
        <v>941</v>
      </c>
      <c r="B4" s="1">
        <v>1700</v>
      </c>
      <c r="C4" s="1">
        <v>17</v>
      </c>
      <c r="E4" s="9" t="s">
        <v>6606</v>
      </c>
      <c r="F4" s="1">
        <v>10086</v>
      </c>
      <c r="G4" s="1">
        <v>9</v>
      </c>
    </row>
    <row r="5" spans="1:7" x14ac:dyDescent="0.25">
      <c r="A5" s="9" t="s">
        <v>942</v>
      </c>
      <c r="B5" s="1">
        <v>1701</v>
      </c>
      <c r="C5" s="1">
        <v>17</v>
      </c>
      <c r="E5" s="9" t="s">
        <v>8039</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6594</v>
      </c>
      <c r="B8" s="1">
        <v>440001</v>
      </c>
      <c r="C8" s="1">
        <v>4400</v>
      </c>
      <c r="E8" s="9"/>
      <c r="F8" s="1"/>
      <c r="G8" s="1"/>
    </row>
    <row r="9" spans="1:7" x14ac:dyDescent="0.25">
      <c r="A9" s="9" t="s">
        <v>6604</v>
      </c>
      <c r="B9" s="1">
        <v>5</v>
      </c>
      <c r="C9" s="1">
        <v>6</v>
      </c>
      <c r="E9" s="9"/>
      <c r="F9" s="1"/>
      <c r="G9" s="1"/>
    </row>
    <row r="10" spans="1:7" x14ac:dyDescent="0.25">
      <c r="A10" s="9" t="s">
        <v>6340</v>
      </c>
      <c r="B10" s="1">
        <v>2000</v>
      </c>
      <c r="C10" s="1">
        <v>20</v>
      </c>
      <c r="E10" s="9"/>
      <c r="F10" s="1"/>
      <c r="G10" s="1"/>
    </row>
    <row r="11" spans="1:7" x14ac:dyDescent="0.25">
      <c r="A11" s="9" t="s">
        <v>6341</v>
      </c>
      <c r="B11" s="1">
        <v>1900</v>
      </c>
      <c r="C11" s="1">
        <v>19</v>
      </c>
      <c r="E11" s="9"/>
      <c r="F11" s="1"/>
      <c r="G11" s="1"/>
    </row>
    <row r="12" spans="1:7" x14ac:dyDescent="0.25">
      <c r="A12" t="s">
        <v>7310</v>
      </c>
      <c r="B12" s="1">
        <v>6580005</v>
      </c>
      <c r="C12" s="1">
        <v>65800</v>
      </c>
      <c r="E12" s="9"/>
      <c r="F12" s="1"/>
      <c r="G12" s="1"/>
    </row>
    <row r="13" spans="1:7" x14ac:dyDescent="0.25">
      <c r="A13" t="s">
        <v>7311</v>
      </c>
      <c r="B13" s="1">
        <v>6580007</v>
      </c>
      <c r="C13" s="1">
        <v>65800</v>
      </c>
      <c r="E13" s="9"/>
      <c r="F13" s="1"/>
      <c r="G13" s="1"/>
    </row>
    <row r="14" spans="1:7" x14ac:dyDescent="0.25">
      <c r="A14" t="s">
        <v>7312</v>
      </c>
      <c r="B14" s="1">
        <v>6580008</v>
      </c>
      <c r="C14" s="1">
        <v>65800</v>
      </c>
      <c r="E14" s="9"/>
      <c r="F14" s="1"/>
      <c r="G14" s="1"/>
    </row>
    <row r="15" spans="1:7" x14ac:dyDescent="0.25">
      <c r="A15" t="s">
        <v>7313</v>
      </c>
      <c r="B15" s="1">
        <v>6580009</v>
      </c>
      <c r="C15" s="1">
        <v>65800</v>
      </c>
      <c r="E15" s="9"/>
      <c r="F15" s="1"/>
      <c r="G15" s="1"/>
    </row>
    <row r="16" spans="1:7" x14ac:dyDescent="0.25">
      <c r="A16" t="s">
        <v>7314</v>
      </c>
      <c r="B16" s="1">
        <v>580121</v>
      </c>
      <c r="C16" s="1">
        <v>580120</v>
      </c>
    </row>
    <row r="17" spans="1:3" x14ac:dyDescent="0.25">
      <c r="A17" s="9" t="s">
        <v>652</v>
      </c>
      <c r="B17" s="1">
        <v>15</v>
      </c>
      <c r="C17" s="1">
        <v>15</v>
      </c>
    </row>
    <row r="18" spans="1:3" x14ac:dyDescent="0.25">
      <c r="A18" s="9" t="s">
        <v>1701</v>
      </c>
      <c r="B18" s="1">
        <v>50005</v>
      </c>
      <c r="C18" s="1">
        <v>30007</v>
      </c>
    </row>
    <row r="19" spans="1:3" x14ac:dyDescent="0.25">
      <c r="A19" s="9" t="s">
        <v>6464</v>
      </c>
      <c r="B19" s="1">
        <v>50007</v>
      </c>
      <c r="C19" s="1">
        <v>30009</v>
      </c>
    </row>
    <row r="20" spans="1:3" x14ac:dyDescent="0.25">
      <c r="A20" s="9" t="s">
        <v>7971</v>
      </c>
      <c r="B20" s="1">
        <v>6540000</v>
      </c>
      <c r="C20" s="1">
        <v>6540001</v>
      </c>
    </row>
    <row r="21" spans="1:3" x14ac:dyDescent="0.25">
      <c r="A21" s="9" t="s">
        <v>7972</v>
      </c>
      <c r="B21" s="1">
        <v>6540003</v>
      </c>
      <c r="C21" s="1">
        <v>6540001</v>
      </c>
    </row>
    <row r="22" spans="1:3" x14ac:dyDescent="0.25">
      <c r="A22" s="9" t="s">
        <v>7973</v>
      </c>
      <c r="B22" s="1">
        <v>6540006</v>
      </c>
      <c r="C22" s="1">
        <v>6540001</v>
      </c>
    </row>
    <row r="23" spans="1:3" x14ac:dyDescent="0.25">
      <c r="A23" s="9" t="s">
        <v>7974</v>
      </c>
      <c r="B23" s="1">
        <v>6540010</v>
      </c>
      <c r="C23" s="1">
        <v>6540001</v>
      </c>
    </row>
    <row r="24" spans="1:3" x14ac:dyDescent="0.25">
      <c r="A24" s="9" t="s">
        <v>6605</v>
      </c>
      <c r="B24" s="1">
        <v>10086</v>
      </c>
      <c r="C24" s="1">
        <v>9</v>
      </c>
    </row>
    <row r="25" spans="1:3" x14ac:dyDescent="0.25">
      <c r="A25" s="9" t="s">
        <v>8038</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78"/>
  <sheetViews>
    <sheetView topLeftCell="AE1" workbookViewId="0">
      <pane ySplit="1" topLeftCell="A358" activePane="bottomLeft" state="frozen"/>
      <selection activeCell="AG369" sqref="AG369:AG371"/>
      <selection pane="bottomLeft" activeCell="A375" sqref="A375:AX378"/>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1778</v>
      </c>
      <c r="C1" s="40" t="s">
        <v>1779</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1802</v>
      </c>
      <c r="W1" s="40" t="s">
        <v>1780</v>
      </c>
      <c r="X1" s="40" t="s">
        <v>1781</v>
      </c>
      <c r="Y1" s="40" t="s">
        <v>1782</v>
      </c>
      <c r="Z1" s="40" t="s">
        <v>1783</v>
      </c>
      <c r="AA1" s="40" t="s">
        <v>1784</v>
      </c>
      <c r="AB1" s="40" t="s">
        <v>1785</v>
      </c>
      <c r="AC1" s="40" t="s">
        <v>1786</v>
      </c>
      <c r="AD1" s="40" t="s">
        <v>1787</v>
      </c>
      <c r="AE1" s="40" t="s">
        <v>1788</v>
      </c>
      <c r="AF1" s="40" t="s">
        <v>1789</v>
      </c>
      <c r="AG1" s="240" t="s">
        <v>322</v>
      </c>
      <c r="AH1" s="40" t="s">
        <v>323</v>
      </c>
      <c r="AI1" s="40" t="s">
        <v>1790</v>
      </c>
      <c r="AJ1" s="40" t="s">
        <v>1791</v>
      </c>
      <c r="AK1" s="40" t="s">
        <v>324</v>
      </c>
      <c r="AL1" s="40" t="s">
        <v>1792</v>
      </c>
      <c r="AM1" s="40" t="s">
        <v>1793</v>
      </c>
      <c r="AN1" s="40" t="s">
        <v>1794</v>
      </c>
      <c r="AO1" s="40" t="s">
        <v>1795</v>
      </c>
      <c r="AP1" s="40" t="s">
        <v>1796</v>
      </c>
      <c r="AQ1" s="40" t="s">
        <v>1797</v>
      </c>
      <c r="AR1" s="40" t="s">
        <v>1467</v>
      </c>
      <c r="AS1" s="40" t="s">
        <v>1798</v>
      </c>
      <c r="AT1" s="10" t="s">
        <v>630</v>
      </c>
      <c r="AU1" s="10" t="s">
        <v>1799</v>
      </c>
      <c r="AV1" s="10" t="s">
        <v>1800</v>
      </c>
      <c r="AW1" s="10" t="s">
        <v>1801</v>
      </c>
    </row>
    <row r="2" spans="1:49" x14ac:dyDescent="0.25">
      <c r="A2" s="1">
        <v>1</v>
      </c>
      <c r="B2" s="1" t="s">
        <v>1803</v>
      </c>
      <c r="C2" s="1" t="s">
        <v>1804</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1805</v>
      </c>
      <c r="AJ2" s="1">
        <v>0</v>
      </c>
      <c r="AK2" s="1" t="s">
        <v>329</v>
      </c>
      <c r="AL2" s="1" t="s">
        <v>1806</v>
      </c>
      <c r="AM2" s="1">
        <v>0</v>
      </c>
      <c r="AN2" s="1">
        <v>0</v>
      </c>
      <c r="AO2" s="1">
        <v>0</v>
      </c>
      <c r="AP2" s="1">
        <v>0</v>
      </c>
      <c r="AQ2" s="1">
        <v>1</v>
      </c>
      <c r="AR2" s="1" t="s">
        <v>329</v>
      </c>
      <c r="AS2" s="1">
        <v>0</v>
      </c>
      <c r="AT2" s="1" t="s">
        <v>1807</v>
      </c>
      <c r="AU2" s="1">
        <v>0</v>
      </c>
      <c r="AV2" s="1">
        <v>1001</v>
      </c>
      <c r="AW2" s="1">
        <v>0</v>
      </c>
    </row>
    <row r="3" spans="1:49" x14ac:dyDescent="0.25">
      <c r="A3" s="1">
        <v>2</v>
      </c>
      <c r="B3" s="1" t="s">
        <v>1808</v>
      </c>
      <c r="C3" s="1" t="s">
        <v>1809</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1805</v>
      </c>
      <c r="AJ3" s="1">
        <v>0</v>
      </c>
      <c r="AK3" s="1" t="s">
        <v>329</v>
      </c>
      <c r="AL3" s="1" t="s">
        <v>1810</v>
      </c>
      <c r="AM3" s="1">
        <v>0.45</v>
      </c>
      <c r="AN3" s="1">
        <v>0.15</v>
      </c>
      <c r="AO3" s="1">
        <v>0.3</v>
      </c>
      <c r="AP3" s="1">
        <v>0.15</v>
      </c>
      <c r="AQ3" s="1">
        <v>1</v>
      </c>
      <c r="AR3" s="1" t="s">
        <v>1468</v>
      </c>
      <c r="AS3" s="1">
        <v>0</v>
      </c>
      <c r="AT3" s="1" t="s">
        <v>1807</v>
      </c>
      <c r="AU3" s="1">
        <v>10</v>
      </c>
      <c r="AV3" s="1">
        <v>1001</v>
      </c>
      <c r="AW3" s="1">
        <v>0</v>
      </c>
    </row>
    <row r="4" spans="1:49" x14ac:dyDescent="0.25">
      <c r="A4" s="1">
        <v>3</v>
      </c>
      <c r="B4" s="1" t="s">
        <v>1811</v>
      </c>
      <c r="C4" s="1" t="s">
        <v>1812</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1805</v>
      </c>
      <c r="AJ4" s="1">
        <v>0</v>
      </c>
      <c r="AK4" s="1" t="s">
        <v>329</v>
      </c>
      <c r="AL4" s="1" t="s">
        <v>1813</v>
      </c>
      <c r="AM4" s="1">
        <v>0.45</v>
      </c>
      <c r="AN4" s="1">
        <v>0.15</v>
      </c>
      <c r="AO4" s="1">
        <v>0.3</v>
      </c>
      <c r="AP4" s="1">
        <v>0.15</v>
      </c>
      <c r="AQ4" s="1">
        <v>1</v>
      </c>
      <c r="AR4" s="1" t="s">
        <v>1468</v>
      </c>
      <c r="AS4" s="1">
        <v>0</v>
      </c>
      <c r="AT4" s="1" t="s">
        <v>1807</v>
      </c>
      <c r="AU4" s="1">
        <v>10</v>
      </c>
      <c r="AV4" s="1">
        <v>1001</v>
      </c>
      <c r="AW4" s="1">
        <v>0</v>
      </c>
    </row>
    <row r="5" spans="1:49" x14ac:dyDescent="0.25">
      <c r="A5" s="1">
        <v>4</v>
      </c>
      <c r="B5" s="1" t="s">
        <v>1814</v>
      </c>
      <c r="C5" s="1" t="s">
        <v>1815</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1805</v>
      </c>
      <c r="AJ5" s="1">
        <v>0</v>
      </c>
      <c r="AK5" s="1" t="s">
        <v>329</v>
      </c>
      <c r="AL5" s="1" t="s">
        <v>1816</v>
      </c>
      <c r="AM5" s="1">
        <v>0.45</v>
      </c>
      <c r="AN5" s="1">
        <v>0.15</v>
      </c>
      <c r="AO5" s="1">
        <v>0.3</v>
      </c>
      <c r="AP5" s="1">
        <v>0.15</v>
      </c>
      <c r="AQ5" s="1">
        <v>1</v>
      </c>
      <c r="AR5" s="1" t="s">
        <v>1468</v>
      </c>
      <c r="AS5" s="1">
        <v>0</v>
      </c>
      <c r="AT5" s="1" t="s">
        <v>1807</v>
      </c>
      <c r="AU5" s="1">
        <v>10</v>
      </c>
      <c r="AV5" s="1">
        <v>1001</v>
      </c>
      <c r="AW5" s="1">
        <v>0</v>
      </c>
    </row>
    <row r="6" spans="1:49" x14ac:dyDescent="0.25">
      <c r="A6" s="1">
        <v>5</v>
      </c>
      <c r="B6" s="1" t="s">
        <v>1817</v>
      </c>
      <c r="C6" s="1" t="s">
        <v>1818</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1819</v>
      </c>
      <c r="AM6" s="1">
        <v>0</v>
      </c>
      <c r="AN6" s="1">
        <v>0</v>
      </c>
      <c r="AO6" s="1">
        <v>0</v>
      </c>
      <c r="AP6" s="1">
        <v>0</v>
      </c>
      <c r="AQ6" s="1">
        <v>1</v>
      </c>
      <c r="AR6" s="1" t="s">
        <v>329</v>
      </c>
      <c r="AS6" s="1">
        <v>0</v>
      </c>
      <c r="AT6" s="1" t="s">
        <v>1807</v>
      </c>
      <c r="AU6" s="1">
        <v>0</v>
      </c>
      <c r="AV6" s="1">
        <v>2001</v>
      </c>
      <c r="AW6" s="1">
        <v>0</v>
      </c>
    </row>
    <row r="7" spans="1:49" x14ac:dyDescent="0.25">
      <c r="A7" s="1">
        <v>6</v>
      </c>
      <c r="B7" s="1" t="s">
        <v>1820</v>
      </c>
      <c r="C7" s="1" t="s">
        <v>1821</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1822</v>
      </c>
      <c r="AM7" s="1">
        <v>0.45</v>
      </c>
      <c r="AN7" s="1">
        <v>0.15</v>
      </c>
      <c r="AO7" s="1">
        <v>0.3</v>
      </c>
      <c r="AP7" s="1">
        <v>0.15</v>
      </c>
      <c r="AQ7" s="1">
        <v>1</v>
      </c>
      <c r="AR7" s="1" t="s">
        <v>1469</v>
      </c>
      <c r="AS7" s="1">
        <v>0</v>
      </c>
      <c r="AT7" s="1" t="s">
        <v>1807</v>
      </c>
      <c r="AU7" s="1">
        <v>10</v>
      </c>
      <c r="AV7" s="1">
        <v>2001</v>
      </c>
      <c r="AW7" s="1">
        <v>0</v>
      </c>
    </row>
    <row r="8" spans="1:49" x14ac:dyDescent="0.25">
      <c r="A8" s="1">
        <v>7</v>
      </c>
      <c r="B8" s="1" t="s">
        <v>1823</v>
      </c>
      <c r="C8" s="1" t="s">
        <v>1824</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1825</v>
      </c>
      <c r="AM8" s="1">
        <v>0.45</v>
      </c>
      <c r="AN8" s="1">
        <v>0.15</v>
      </c>
      <c r="AO8" s="1">
        <v>0.3</v>
      </c>
      <c r="AP8" s="1">
        <v>0.15</v>
      </c>
      <c r="AQ8" s="1">
        <v>1</v>
      </c>
      <c r="AR8" s="1" t="s">
        <v>1470</v>
      </c>
      <c r="AS8" s="1">
        <v>0</v>
      </c>
      <c r="AT8" s="1" t="s">
        <v>1807</v>
      </c>
      <c r="AU8" s="1">
        <v>10</v>
      </c>
      <c r="AV8" s="1">
        <v>2001</v>
      </c>
      <c r="AW8" s="1">
        <v>0</v>
      </c>
    </row>
    <row r="9" spans="1:49" x14ac:dyDescent="0.25">
      <c r="A9" s="1">
        <v>8</v>
      </c>
      <c r="B9" s="1" t="s">
        <v>1826</v>
      </c>
      <c r="C9" s="1" t="s">
        <v>1827</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1828</v>
      </c>
      <c r="AM9" s="1">
        <v>0.45</v>
      </c>
      <c r="AN9" s="1">
        <v>0.15</v>
      </c>
      <c r="AO9" s="1">
        <v>0.3</v>
      </c>
      <c r="AP9" s="1">
        <v>0.15</v>
      </c>
      <c r="AQ9" s="1">
        <v>1</v>
      </c>
      <c r="AR9" s="1" t="s">
        <v>1470</v>
      </c>
      <c r="AS9" s="1">
        <v>0</v>
      </c>
      <c r="AT9" s="1" t="s">
        <v>1807</v>
      </c>
      <c r="AU9" s="1">
        <v>10</v>
      </c>
      <c r="AV9" s="1">
        <v>2001</v>
      </c>
      <c r="AW9" s="1">
        <v>0</v>
      </c>
    </row>
    <row r="10" spans="1:49" x14ac:dyDescent="0.25">
      <c r="A10" s="1">
        <v>9</v>
      </c>
      <c r="B10" s="1" t="s">
        <v>1829</v>
      </c>
      <c r="C10" s="1" t="s">
        <v>1830</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6370</v>
      </c>
      <c r="AH10" s="1">
        <v>600</v>
      </c>
      <c r="AI10" s="1" t="s">
        <v>1831</v>
      </c>
      <c r="AJ10" s="1">
        <v>0</v>
      </c>
      <c r="AK10" s="1" t="s">
        <v>329</v>
      </c>
      <c r="AL10" s="1" t="s">
        <v>1832</v>
      </c>
      <c r="AM10" s="1">
        <v>0</v>
      </c>
      <c r="AN10" s="1">
        <v>0</v>
      </c>
      <c r="AO10" s="1">
        <v>0</v>
      </c>
      <c r="AP10" s="1">
        <v>0</v>
      </c>
      <c r="AQ10" s="1">
        <v>1</v>
      </c>
      <c r="AR10" s="1" t="s">
        <v>329</v>
      </c>
      <c r="AS10" s="1">
        <v>0</v>
      </c>
      <c r="AT10" s="1" t="s">
        <v>1807</v>
      </c>
      <c r="AU10" s="1">
        <v>0</v>
      </c>
      <c r="AV10" s="1">
        <v>3001</v>
      </c>
      <c r="AW10" s="1">
        <v>0</v>
      </c>
    </row>
    <row r="11" spans="1:49" x14ac:dyDescent="0.25">
      <c r="A11" s="1">
        <v>10</v>
      </c>
      <c r="B11" s="1" t="s">
        <v>1833</v>
      </c>
      <c r="C11" s="1" t="s">
        <v>1834</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6371</v>
      </c>
      <c r="AH11" s="1">
        <v>1500</v>
      </c>
      <c r="AI11" s="1" t="s">
        <v>1831</v>
      </c>
      <c r="AJ11" s="1">
        <v>0</v>
      </c>
      <c r="AK11" s="1" t="s">
        <v>329</v>
      </c>
      <c r="AL11" s="1" t="s">
        <v>1835</v>
      </c>
      <c r="AM11" s="1">
        <v>0.45</v>
      </c>
      <c r="AN11" s="1">
        <v>0.15</v>
      </c>
      <c r="AO11" s="1">
        <v>0.3</v>
      </c>
      <c r="AP11" s="1">
        <v>0.15</v>
      </c>
      <c r="AQ11" s="1">
        <v>1</v>
      </c>
      <c r="AR11" s="1" t="s">
        <v>1471</v>
      </c>
      <c r="AS11" s="1">
        <v>0</v>
      </c>
      <c r="AT11" s="1" t="s">
        <v>1807</v>
      </c>
      <c r="AU11" s="1">
        <v>10</v>
      </c>
      <c r="AV11" s="1">
        <v>3001</v>
      </c>
      <c r="AW11" s="1">
        <v>0</v>
      </c>
    </row>
    <row r="12" spans="1:49" x14ac:dyDescent="0.25">
      <c r="A12" s="1">
        <v>11</v>
      </c>
      <c r="B12" s="1" t="s">
        <v>1836</v>
      </c>
      <c r="C12" s="1" t="s">
        <v>1837</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6372</v>
      </c>
      <c r="AH12" s="1">
        <v>2400</v>
      </c>
      <c r="AI12" s="1" t="s">
        <v>1831</v>
      </c>
      <c r="AJ12" s="1">
        <v>0</v>
      </c>
      <c r="AK12" s="1" t="s">
        <v>329</v>
      </c>
      <c r="AL12" s="1" t="s">
        <v>1838</v>
      </c>
      <c r="AM12" s="1">
        <v>0.45</v>
      </c>
      <c r="AN12" s="1">
        <v>0.15</v>
      </c>
      <c r="AO12" s="1">
        <v>0.3</v>
      </c>
      <c r="AP12" s="1">
        <v>0.15</v>
      </c>
      <c r="AQ12" s="1">
        <v>1</v>
      </c>
      <c r="AR12" s="1" t="s">
        <v>1471</v>
      </c>
      <c r="AS12" s="1">
        <v>0</v>
      </c>
      <c r="AT12" s="1" t="s">
        <v>1807</v>
      </c>
      <c r="AU12" s="1">
        <v>10</v>
      </c>
      <c r="AV12" s="1">
        <v>3001</v>
      </c>
      <c r="AW12" s="1">
        <v>0</v>
      </c>
    </row>
    <row r="13" spans="1:49" x14ac:dyDescent="0.25">
      <c r="A13" s="1">
        <v>12</v>
      </c>
      <c r="B13" s="1" t="s">
        <v>1839</v>
      </c>
      <c r="C13" s="1" t="s">
        <v>1840</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6373</v>
      </c>
      <c r="AH13" s="1">
        <v>3000</v>
      </c>
      <c r="AI13" s="1" t="s">
        <v>1831</v>
      </c>
      <c r="AJ13" s="1">
        <v>0</v>
      </c>
      <c r="AK13" s="1" t="s">
        <v>329</v>
      </c>
      <c r="AL13" s="1" t="s">
        <v>1841</v>
      </c>
      <c r="AM13" s="1">
        <v>0.45</v>
      </c>
      <c r="AN13" s="1">
        <v>0.15</v>
      </c>
      <c r="AO13" s="1">
        <v>0.3</v>
      </c>
      <c r="AP13" s="1">
        <v>0.15</v>
      </c>
      <c r="AQ13" s="1">
        <v>1</v>
      </c>
      <c r="AR13" s="1" t="s">
        <v>1471</v>
      </c>
      <c r="AS13" s="1">
        <v>0</v>
      </c>
      <c r="AT13" s="1" t="s">
        <v>1807</v>
      </c>
      <c r="AU13" s="1">
        <v>10</v>
      </c>
      <c r="AV13" s="1">
        <v>3001</v>
      </c>
      <c r="AW13" s="1">
        <v>0</v>
      </c>
    </row>
    <row r="14" spans="1:49" x14ac:dyDescent="0.25">
      <c r="A14" s="1">
        <v>13</v>
      </c>
      <c r="B14" s="1" t="s">
        <v>1842</v>
      </c>
      <c r="C14" s="1" t="s">
        <v>1843</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1844</v>
      </c>
      <c r="AJ14" s="1">
        <v>0</v>
      </c>
      <c r="AK14" s="1" t="s">
        <v>329</v>
      </c>
      <c r="AL14" s="1" t="s">
        <v>1845</v>
      </c>
      <c r="AM14" s="1">
        <v>0</v>
      </c>
      <c r="AN14" s="1">
        <v>0</v>
      </c>
      <c r="AO14" s="1">
        <v>0</v>
      </c>
      <c r="AP14" s="1">
        <v>0</v>
      </c>
      <c r="AQ14" s="1">
        <v>1</v>
      </c>
      <c r="AR14" s="1" t="s">
        <v>329</v>
      </c>
      <c r="AS14" s="1">
        <v>0</v>
      </c>
      <c r="AT14" s="1" t="s">
        <v>1807</v>
      </c>
      <c r="AU14" s="1">
        <v>0</v>
      </c>
      <c r="AV14" s="1">
        <v>4001</v>
      </c>
      <c r="AW14" s="1">
        <v>0</v>
      </c>
    </row>
    <row r="15" spans="1:49" x14ac:dyDescent="0.25">
      <c r="A15" s="1">
        <v>14</v>
      </c>
      <c r="B15" s="1" t="s">
        <v>1846</v>
      </c>
      <c r="C15" s="1" t="s">
        <v>1847</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1844</v>
      </c>
      <c r="AJ15" s="1">
        <v>0</v>
      </c>
      <c r="AK15" s="1" t="s">
        <v>329</v>
      </c>
      <c r="AL15" s="1" t="s">
        <v>1848</v>
      </c>
      <c r="AM15" s="1">
        <v>0</v>
      </c>
      <c r="AN15" s="1">
        <v>0</v>
      </c>
      <c r="AO15" s="1">
        <v>0</v>
      </c>
      <c r="AP15" s="1">
        <v>0</v>
      </c>
      <c r="AQ15" s="1">
        <v>1</v>
      </c>
      <c r="AR15" s="1" t="s">
        <v>329</v>
      </c>
      <c r="AS15" s="1">
        <v>0</v>
      </c>
      <c r="AT15" s="1" t="s">
        <v>1807</v>
      </c>
      <c r="AU15" s="1">
        <v>0</v>
      </c>
      <c r="AV15" s="1">
        <v>4001</v>
      </c>
      <c r="AW15" s="1">
        <v>0</v>
      </c>
    </row>
    <row r="16" spans="1:49" x14ac:dyDescent="0.25">
      <c r="A16" s="1">
        <v>15</v>
      </c>
      <c r="B16" s="1" t="s">
        <v>1849</v>
      </c>
      <c r="C16" s="1" t="s">
        <v>1850</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1844</v>
      </c>
      <c r="AJ16" s="1">
        <v>0</v>
      </c>
      <c r="AK16" s="1" t="s">
        <v>329</v>
      </c>
      <c r="AL16" s="1" t="s">
        <v>1851</v>
      </c>
      <c r="AM16" s="1">
        <v>0</v>
      </c>
      <c r="AN16" s="1">
        <v>0</v>
      </c>
      <c r="AO16" s="1">
        <v>0</v>
      </c>
      <c r="AP16" s="1">
        <v>0</v>
      </c>
      <c r="AQ16" s="1">
        <v>1</v>
      </c>
      <c r="AR16" s="1" t="s">
        <v>329</v>
      </c>
      <c r="AS16" s="1">
        <v>0</v>
      </c>
      <c r="AT16" s="1" t="s">
        <v>1807</v>
      </c>
      <c r="AU16" s="1">
        <v>0</v>
      </c>
      <c r="AV16" s="1">
        <v>4001</v>
      </c>
      <c r="AW16" s="1">
        <v>0</v>
      </c>
    </row>
    <row r="17" spans="1:49" x14ac:dyDescent="0.25">
      <c r="A17" s="1">
        <v>16</v>
      </c>
      <c r="B17" s="1" t="s">
        <v>1852</v>
      </c>
      <c r="C17" s="1" t="s">
        <v>1853</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1844</v>
      </c>
      <c r="AJ17" s="1">
        <v>0</v>
      </c>
      <c r="AK17" s="1" t="s">
        <v>329</v>
      </c>
      <c r="AL17" s="1" t="s">
        <v>1854</v>
      </c>
      <c r="AM17" s="1">
        <v>0</v>
      </c>
      <c r="AN17" s="1">
        <v>0</v>
      </c>
      <c r="AO17" s="1">
        <v>0</v>
      </c>
      <c r="AP17" s="1">
        <v>0</v>
      </c>
      <c r="AQ17" s="1">
        <v>1</v>
      </c>
      <c r="AR17" s="1" t="s">
        <v>329</v>
      </c>
      <c r="AS17" s="1">
        <v>0</v>
      </c>
      <c r="AT17" s="1" t="s">
        <v>1807</v>
      </c>
      <c r="AU17" s="1">
        <v>0</v>
      </c>
      <c r="AV17" s="1">
        <v>4001</v>
      </c>
      <c r="AW17" s="1">
        <v>0</v>
      </c>
    </row>
    <row r="18" spans="1:49" x14ac:dyDescent="0.25">
      <c r="A18" s="1">
        <v>17</v>
      </c>
      <c r="B18" s="1" t="s">
        <v>1855</v>
      </c>
      <c r="C18" s="1" t="s">
        <v>1856</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1844</v>
      </c>
      <c r="AJ18" s="1">
        <v>0</v>
      </c>
      <c r="AK18" s="1" t="s">
        <v>329</v>
      </c>
      <c r="AL18" s="1" t="s">
        <v>1857</v>
      </c>
      <c r="AM18" s="1">
        <v>0</v>
      </c>
      <c r="AN18" s="1">
        <v>0</v>
      </c>
      <c r="AO18" s="1">
        <v>0</v>
      </c>
      <c r="AP18" s="1">
        <v>0</v>
      </c>
      <c r="AQ18" s="1">
        <v>1</v>
      </c>
      <c r="AR18" s="1" t="s">
        <v>329</v>
      </c>
      <c r="AS18" s="1">
        <v>0</v>
      </c>
      <c r="AT18" s="1" t="s">
        <v>1807</v>
      </c>
      <c r="AU18" s="1">
        <v>0</v>
      </c>
      <c r="AV18" s="1">
        <v>5001</v>
      </c>
      <c r="AW18" s="1">
        <v>0</v>
      </c>
    </row>
    <row r="19" spans="1:49" x14ac:dyDescent="0.25">
      <c r="A19" s="1">
        <v>18</v>
      </c>
      <c r="B19" s="1" t="s">
        <v>1858</v>
      </c>
      <c r="C19" s="1" t="s">
        <v>1859</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1844</v>
      </c>
      <c r="AJ19" s="1">
        <v>0</v>
      </c>
      <c r="AK19" s="1" t="s">
        <v>329</v>
      </c>
      <c r="AL19" s="1" t="s">
        <v>1860</v>
      </c>
      <c r="AM19" s="1">
        <v>0.08</v>
      </c>
      <c r="AN19" s="1">
        <v>0.5</v>
      </c>
      <c r="AO19" s="1">
        <v>0.3</v>
      </c>
      <c r="AP19" s="1">
        <v>0.3</v>
      </c>
      <c r="AQ19" s="1">
        <v>1</v>
      </c>
      <c r="AR19" s="1" t="s">
        <v>1472</v>
      </c>
      <c r="AS19" s="1">
        <v>0</v>
      </c>
      <c r="AT19" s="1" t="s">
        <v>1807</v>
      </c>
      <c r="AU19" s="1">
        <v>10</v>
      </c>
      <c r="AV19" s="1">
        <v>5001</v>
      </c>
      <c r="AW19" s="1">
        <v>0</v>
      </c>
    </row>
    <row r="20" spans="1:49" x14ac:dyDescent="0.25">
      <c r="A20" s="1">
        <v>19</v>
      </c>
      <c r="B20" s="1" t="s">
        <v>1861</v>
      </c>
      <c r="C20" s="1" t="s">
        <v>1862</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1844</v>
      </c>
      <c r="AJ20" s="1">
        <v>0</v>
      </c>
      <c r="AK20" s="1" t="s">
        <v>329</v>
      </c>
      <c r="AL20" s="1" t="s">
        <v>1863</v>
      </c>
      <c r="AM20" s="1">
        <v>0.08</v>
      </c>
      <c r="AN20" s="1">
        <v>0.5</v>
      </c>
      <c r="AO20" s="1">
        <v>0.3</v>
      </c>
      <c r="AP20" s="1">
        <v>0.3</v>
      </c>
      <c r="AQ20" s="1">
        <v>1</v>
      </c>
      <c r="AR20" s="1" t="s">
        <v>1472</v>
      </c>
      <c r="AS20" s="1">
        <v>0</v>
      </c>
      <c r="AT20" s="1" t="s">
        <v>1807</v>
      </c>
      <c r="AU20" s="1">
        <v>10</v>
      </c>
      <c r="AV20" s="1">
        <v>5001</v>
      </c>
      <c r="AW20" s="1">
        <v>0</v>
      </c>
    </row>
    <row r="21" spans="1:49" x14ac:dyDescent="0.25">
      <c r="A21" s="1">
        <v>20</v>
      </c>
      <c r="B21" s="1" t="s">
        <v>1864</v>
      </c>
      <c r="C21" s="1" t="s">
        <v>1865</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1844</v>
      </c>
      <c r="AJ21" s="1">
        <v>0</v>
      </c>
      <c r="AK21" s="1" t="s">
        <v>329</v>
      </c>
      <c r="AL21" s="1" t="s">
        <v>1866</v>
      </c>
      <c r="AM21" s="1">
        <v>0.08</v>
      </c>
      <c r="AN21" s="1">
        <v>0.5</v>
      </c>
      <c r="AO21" s="1">
        <v>0.3</v>
      </c>
      <c r="AP21" s="1">
        <v>0.3</v>
      </c>
      <c r="AQ21" s="1">
        <v>1</v>
      </c>
      <c r="AR21" s="1" t="s">
        <v>1472</v>
      </c>
      <c r="AS21" s="1">
        <v>0</v>
      </c>
      <c r="AT21" s="1" t="s">
        <v>1807</v>
      </c>
      <c r="AU21" s="1">
        <v>10</v>
      </c>
      <c r="AV21" s="1">
        <v>5001</v>
      </c>
      <c r="AW21" s="1">
        <v>0</v>
      </c>
    </row>
    <row r="22" spans="1:49" x14ac:dyDescent="0.25">
      <c r="A22" s="1">
        <v>21</v>
      </c>
      <c r="B22" s="1" t="s">
        <v>5511</v>
      </c>
      <c r="C22" s="1" t="s">
        <v>5512</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5513</v>
      </c>
      <c r="AM22" s="1">
        <v>0</v>
      </c>
      <c r="AN22" s="1">
        <v>0</v>
      </c>
      <c r="AO22" s="1">
        <v>0</v>
      </c>
      <c r="AP22" s="1">
        <v>0</v>
      </c>
      <c r="AQ22" s="1">
        <v>1</v>
      </c>
      <c r="AR22" s="1" t="s">
        <v>329</v>
      </c>
      <c r="AS22" s="1">
        <v>0</v>
      </c>
      <c r="AT22" s="1" t="s">
        <v>1807</v>
      </c>
      <c r="AU22" s="1">
        <v>0</v>
      </c>
      <c r="AV22" s="1">
        <v>6001</v>
      </c>
      <c r="AW22" s="1">
        <v>0</v>
      </c>
    </row>
    <row r="23" spans="1:49" x14ac:dyDescent="0.25">
      <c r="A23" s="1">
        <v>22</v>
      </c>
      <c r="B23" s="1" t="s">
        <v>5514</v>
      </c>
      <c r="C23" s="1" t="s">
        <v>5515</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5516</v>
      </c>
      <c r="AH23" s="1">
        <v>1740</v>
      </c>
      <c r="AI23" s="1" t="s">
        <v>329</v>
      </c>
      <c r="AJ23" s="1">
        <v>0</v>
      </c>
      <c r="AK23" s="1" t="s">
        <v>329</v>
      </c>
      <c r="AL23" s="1" t="s">
        <v>5517</v>
      </c>
      <c r="AM23" s="1">
        <v>0</v>
      </c>
      <c r="AN23" s="1">
        <v>0</v>
      </c>
      <c r="AO23" s="1">
        <v>0</v>
      </c>
      <c r="AP23" s="1">
        <v>0</v>
      </c>
      <c r="AQ23" s="1">
        <v>1</v>
      </c>
      <c r="AR23" s="1" t="s">
        <v>329</v>
      </c>
      <c r="AS23" s="1">
        <v>0</v>
      </c>
      <c r="AT23" s="1" t="s">
        <v>1807</v>
      </c>
      <c r="AU23" s="1">
        <v>0</v>
      </c>
      <c r="AV23" s="1">
        <v>6001</v>
      </c>
      <c r="AW23" s="1">
        <v>0</v>
      </c>
    </row>
    <row r="24" spans="1:49" x14ac:dyDescent="0.25">
      <c r="A24" s="1">
        <v>23</v>
      </c>
      <c r="B24" s="1" t="s">
        <v>5518</v>
      </c>
      <c r="C24" s="1" t="s">
        <v>5519</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4910</v>
      </c>
      <c r="AH24" s="1">
        <v>2640</v>
      </c>
      <c r="AI24" s="1" t="s">
        <v>329</v>
      </c>
      <c r="AJ24" s="1">
        <v>0</v>
      </c>
      <c r="AK24" s="1" t="s">
        <v>329</v>
      </c>
      <c r="AL24" s="1" t="s">
        <v>5520</v>
      </c>
      <c r="AM24" s="1">
        <v>0</v>
      </c>
      <c r="AN24" s="1">
        <v>0</v>
      </c>
      <c r="AO24" s="1">
        <v>0</v>
      </c>
      <c r="AP24" s="1">
        <v>0</v>
      </c>
      <c r="AQ24" s="1">
        <v>1</v>
      </c>
      <c r="AR24" s="1" t="s">
        <v>329</v>
      </c>
      <c r="AS24" s="1">
        <v>0</v>
      </c>
      <c r="AT24" s="1" t="s">
        <v>1807</v>
      </c>
      <c r="AU24" s="1">
        <v>0</v>
      </c>
      <c r="AV24" s="1">
        <v>6001</v>
      </c>
      <c r="AW24" s="1">
        <v>0</v>
      </c>
    </row>
    <row r="25" spans="1:49" x14ac:dyDescent="0.25">
      <c r="A25" s="1">
        <v>24</v>
      </c>
      <c r="B25" s="1" t="s">
        <v>5521</v>
      </c>
      <c r="C25" s="1" t="s">
        <v>5522</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1473</v>
      </c>
      <c r="AH25" s="1">
        <v>3240</v>
      </c>
      <c r="AI25" s="1" t="s">
        <v>329</v>
      </c>
      <c r="AJ25" s="1">
        <v>0</v>
      </c>
      <c r="AK25" s="1" t="s">
        <v>329</v>
      </c>
      <c r="AL25" s="1" t="s">
        <v>5523</v>
      </c>
      <c r="AM25" s="1">
        <v>0</v>
      </c>
      <c r="AN25" s="1">
        <v>0</v>
      </c>
      <c r="AO25" s="1">
        <v>0</v>
      </c>
      <c r="AP25" s="1">
        <v>0</v>
      </c>
      <c r="AQ25" s="1">
        <v>1</v>
      </c>
      <c r="AR25" s="1" t="s">
        <v>329</v>
      </c>
      <c r="AS25" s="1">
        <v>0</v>
      </c>
      <c r="AT25" s="1" t="s">
        <v>1807</v>
      </c>
      <c r="AU25" s="1">
        <v>0</v>
      </c>
      <c r="AV25" s="1">
        <v>6001</v>
      </c>
      <c r="AW25" s="1">
        <v>0</v>
      </c>
    </row>
    <row r="26" spans="1:49" x14ac:dyDescent="0.25">
      <c r="A26" s="1">
        <v>25</v>
      </c>
      <c r="B26" s="1" t="s">
        <v>5524</v>
      </c>
      <c r="C26" s="1" t="s">
        <v>5525</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4924</v>
      </c>
      <c r="AH26" s="1">
        <v>1020</v>
      </c>
      <c r="AI26" s="1" t="s">
        <v>329</v>
      </c>
      <c r="AJ26" s="1">
        <v>0</v>
      </c>
      <c r="AK26" s="1" t="s">
        <v>329</v>
      </c>
      <c r="AL26" s="1" t="s">
        <v>5526</v>
      </c>
      <c r="AM26" s="1">
        <v>0</v>
      </c>
      <c r="AN26" s="1">
        <v>0</v>
      </c>
      <c r="AO26" s="1">
        <v>0</v>
      </c>
      <c r="AP26" s="1">
        <v>0</v>
      </c>
      <c r="AQ26" s="1">
        <v>1</v>
      </c>
      <c r="AR26" s="1" t="s">
        <v>329</v>
      </c>
      <c r="AS26" s="1">
        <v>0</v>
      </c>
      <c r="AT26" s="1" t="s">
        <v>1807</v>
      </c>
      <c r="AU26" s="1">
        <v>0</v>
      </c>
      <c r="AV26" s="1">
        <v>6002</v>
      </c>
      <c r="AW26" s="1">
        <v>0</v>
      </c>
    </row>
    <row r="27" spans="1:49" x14ac:dyDescent="0.25">
      <c r="A27" s="1">
        <v>26</v>
      </c>
      <c r="B27" s="1" t="s">
        <v>5527</v>
      </c>
      <c r="C27" s="1" t="s">
        <v>5528</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5529</v>
      </c>
      <c r="AH27" s="1">
        <v>1920</v>
      </c>
      <c r="AI27" s="1" t="s">
        <v>329</v>
      </c>
      <c r="AJ27" s="1">
        <v>0</v>
      </c>
      <c r="AK27" s="1" t="s">
        <v>329</v>
      </c>
      <c r="AL27" s="1" t="s">
        <v>5530</v>
      </c>
      <c r="AM27" s="1">
        <v>0</v>
      </c>
      <c r="AN27" s="1">
        <v>0</v>
      </c>
      <c r="AO27" s="1">
        <v>0</v>
      </c>
      <c r="AP27" s="1">
        <v>0</v>
      </c>
      <c r="AQ27" s="1">
        <v>1</v>
      </c>
      <c r="AR27" s="1" t="s">
        <v>329</v>
      </c>
      <c r="AS27" s="1">
        <v>0</v>
      </c>
      <c r="AT27" s="1" t="s">
        <v>1807</v>
      </c>
      <c r="AU27" s="1">
        <v>0</v>
      </c>
      <c r="AV27" s="1">
        <v>6002</v>
      </c>
      <c r="AW27" s="1">
        <v>0</v>
      </c>
    </row>
    <row r="28" spans="1:49" x14ac:dyDescent="0.25">
      <c r="A28" s="1">
        <v>27</v>
      </c>
      <c r="B28" s="1" t="s">
        <v>5531</v>
      </c>
      <c r="C28" s="1" t="s">
        <v>5532</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5533</v>
      </c>
      <c r="AM28" s="1">
        <v>0</v>
      </c>
      <c r="AN28" s="1">
        <v>0</v>
      </c>
      <c r="AO28" s="1">
        <v>0</v>
      </c>
      <c r="AP28" s="1">
        <v>0</v>
      </c>
      <c r="AQ28" s="1">
        <v>1</v>
      </c>
      <c r="AR28" s="1" t="s">
        <v>329</v>
      </c>
      <c r="AS28" s="1">
        <v>0</v>
      </c>
      <c r="AT28" s="1" t="s">
        <v>1807</v>
      </c>
      <c r="AU28" s="1">
        <v>0</v>
      </c>
      <c r="AV28" s="1">
        <v>6002</v>
      </c>
      <c r="AW28" s="1">
        <v>0</v>
      </c>
    </row>
    <row r="29" spans="1:49" x14ac:dyDescent="0.25">
      <c r="A29" s="1">
        <v>28</v>
      </c>
      <c r="B29" s="1" t="s">
        <v>5534</v>
      </c>
      <c r="C29" s="1" t="s">
        <v>5535</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4916</v>
      </c>
      <c r="AH29" s="1">
        <v>3420</v>
      </c>
      <c r="AI29" s="1" t="s">
        <v>329</v>
      </c>
      <c r="AJ29" s="1">
        <v>0</v>
      </c>
      <c r="AK29" s="1" t="s">
        <v>329</v>
      </c>
      <c r="AL29" s="1" t="s">
        <v>5536</v>
      </c>
      <c r="AM29" s="1">
        <v>0</v>
      </c>
      <c r="AN29" s="1">
        <v>0</v>
      </c>
      <c r="AO29" s="1">
        <v>0</v>
      </c>
      <c r="AP29" s="1">
        <v>0</v>
      </c>
      <c r="AQ29" s="1">
        <v>1</v>
      </c>
      <c r="AR29" s="1" t="s">
        <v>329</v>
      </c>
      <c r="AS29" s="1">
        <v>0</v>
      </c>
      <c r="AT29" s="1" t="s">
        <v>1807</v>
      </c>
      <c r="AU29" s="1">
        <v>0</v>
      </c>
      <c r="AV29" s="1">
        <v>6002</v>
      </c>
      <c r="AW29" s="1">
        <v>0</v>
      </c>
    </row>
    <row r="30" spans="1:49" x14ac:dyDescent="0.25">
      <c r="A30" s="1">
        <v>29</v>
      </c>
      <c r="B30" s="1" t="s">
        <v>1867</v>
      </c>
      <c r="C30" s="1" t="s">
        <v>1868</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1869</v>
      </c>
      <c r="AJ30" s="1">
        <v>0</v>
      </c>
      <c r="AK30" s="1" t="s">
        <v>329</v>
      </c>
      <c r="AL30" s="1" t="s">
        <v>1870</v>
      </c>
      <c r="AM30" s="1">
        <v>0</v>
      </c>
      <c r="AN30" s="1">
        <v>0</v>
      </c>
      <c r="AO30" s="1">
        <v>0</v>
      </c>
      <c r="AP30" s="1">
        <v>0</v>
      </c>
      <c r="AQ30" s="1">
        <v>1</v>
      </c>
      <c r="AR30" s="1" t="s">
        <v>329</v>
      </c>
      <c r="AS30" s="1">
        <v>0</v>
      </c>
      <c r="AT30" s="1" t="s">
        <v>1807</v>
      </c>
      <c r="AU30" s="1">
        <v>0</v>
      </c>
      <c r="AV30" s="1">
        <v>8001</v>
      </c>
      <c r="AW30" s="1">
        <v>0</v>
      </c>
    </row>
    <row r="31" spans="1:49" x14ac:dyDescent="0.25">
      <c r="A31" s="1">
        <v>30</v>
      </c>
      <c r="B31" s="1" t="s">
        <v>1871</v>
      </c>
      <c r="C31" s="1" t="s">
        <v>1872</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1869</v>
      </c>
      <c r="AJ31" s="1">
        <v>0</v>
      </c>
      <c r="AK31" s="1" t="s">
        <v>329</v>
      </c>
      <c r="AL31" s="1" t="s">
        <v>1873</v>
      </c>
      <c r="AM31" s="1">
        <v>0.15</v>
      </c>
      <c r="AN31" s="1">
        <v>0.6</v>
      </c>
      <c r="AO31" s="1">
        <v>0.38</v>
      </c>
      <c r="AP31" s="1">
        <v>0.23</v>
      </c>
      <c r="AQ31" s="1">
        <v>1</v>
      </c>
      <c r="AR31" s="1" t="s">
        <v>1474</v>
      </c>
      <c r="AS31" s="1">
        <v>0</v>
      </c>
      <c r="AT31" s="1" t="s">
        <v>1807</v>
      </c>
      <c r="AU31" s="1">
        <v>10</v>
      </c>
      <c r="AV31" s="1">
        <v>8001</v>
      </c>
      <c r="AW31" s="1">
        <v>0</v>
      </c>
    </row>
    <row r="32" spans="1:49" x14ac:dyDescent="0.25">
      <c r="A32" s="1">
        <v>31</v>
      </c>
      <c r="B32" s="1" t="s">
        <v>1874</v>
      </c>
      <c r="C32" s="1" t="s">
        <v>1875</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1869</v>
      </c>
      <c r="AJ32" s="1">
        <v>0</v>
      </c>
      <c r="AK32" s="1" t="s">
        <v>329</v>
      </c>
      <c r="AL32" s="1" t="s">
        <v>1876</v>
      </c>
      <c r="AM32" s="1">
        <v>0.15</v>
      </c>
      <c r="AN32" s="1">
        <v>0.6</v>
      </c>
      <c r="AO32" s="1">
        <v>0.38</v>
      </c>
      <c r="AP32" s="1">
        <v>0.23</v>
      </c>
      <c r="AQ32" s="1">
        <v>1</v>
      </c>
      <c r="AR32" s="1" t="s">
        <v>1475</v>
      </c>
      <c r="AS32" s="1">
        <v>0</v>
      </c>
      <c r="AT32" s="1" t="s">
        <v>1807</v>
      </c>
      <c r="AU32" s="1">
        <v>10</v>
      </c>
      <c r="AV32" s="1">
        <v>8001</v>
      </c>
      <c r="AW32" s="1">
        <v>0</v>
      </c>
    </row>
    <row r="33" spans="1:49" x14ac:dyDescent="0.25">
      <c r="A33" s="1">
        <v>32</v>
      </c>
      <c r="B33" s="1" t="s">
        <v>1877</v>
      </c>
      <c r="C33" s="1" t="s">
        <v>1878</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1869</v>
      </c>
      <c r="AJ33" s="1">
        <v>0</v>
      </c>
      <c r="AK33" s="1" t="s">
        <v>329</v>
      </c>
      <c r="AL33" s="1" t="s">
        <v>1879</v>
      </c>
      <c r="AM33" s="1">
        <v>0.15</v>
      </c>
      <c r="AN33" s="1">
        <v>0.6</v>
      </c>
      <c r="AO33" s="1">
        <v>0.38</v>
      </c>
      <c r="AP33" s="1">
        <v>0.23</v>
      </c>
      <c r="AQ33" s="1">
        <v>1</v>
      </c>
      <c r="AR33" s="1" t="s">
        <v>1476</v>
      </c>
      <c r="AS33" s="1">
        <v>0</v>
      </c>
      <c r="AT33" s="1" t="s">
        <v>1807</v>
      </c>
      <c r="AU33" s="1">
        <v>10</v>
      </c>
      <c r="AV33" s="1">
        <v>8001</v>
      </c>
      <c r="AW33" s="1">
        <v>0</v>
      </c>
    </row>
    <row r="34" spans="1:49" x14ac:dyDescent="0.25">
      <c r="A34" s="1">
        <v>33</v>
      </c>
      <c r="B34" s="1" t="s">
        <v>5537</v>
      </c>
      <c r="C34" s="1" t="s">
        <v>5538</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5005</v>
      </c>
      <c r="AH34" s="1">
        <v>660</v>
      </c>
      <c r="AI34" s="1" t="s">
        <v>329</v>
      </c>
      <c r="AJ34" s="1">
        <v>0</v>
      </c>
      <c r="AK34" s="1" t="s">
        <v>329</v>
      </c>
      <c r="AL34" s="1" t="s">
        <v>5539</v>
      </c>
      <c r="AM34" s="1">
        <v>0</v>
      </c>
      <c r="AN34" s="1">
        <v>0</v>
      </c>
      <c r="AO34" s="1">
        <v>0</v>
      </c>
      <c r="AP34" s="1">
        <v>0</v>
      </c>
      <c r="AQ34" s="1">
        <v>1</v>
      </c>
      <c r="AR34" s="1" t="s">
        <v>329</v>
      </c>
      <c r="AS34" s="1">
        <v>0</v>
      </c>
      <c r="AT34" s="1" t="s">
        <v>1807</v>
      </c>
      <c r="AU34" s="1">
        <v>0</v>
      </c>
      <c r="AV34" s="1">
        <v>9001</v>
      </c>
      <c r="AW34" s="1">
        <v>0</v>
      </c>
    </row>
    <row r="35" spans="1:49" x14ac:dyDescent="0.25">
      <c r="A35" s="1">
        <v>34</v>
      </c>
      <c r="B35" s="1" t="s">
        <v>5540</v>
      </c>
      <c r="C35" s="1" t="s">
        <v>5541</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5542</v>
      </c>
      <c r="AH35" s="1">
        <v>1560</v>
      </c>
      <c r="AI35" s="1" t="s">
        <v>329</v>
      </c>
      <c r="AJ35" s="1">
        <v>0</v>
      </c>
      <c r="AK35" s="1" t="s">
        <v>329</v>
      </c>
      <c r="AL35" s="1" t="s">
        <v>5543</v>
      </c>
      <c r="AM35" s="1">
        <v>0</v>
      </c>
      <c r="AN35" s="1">
        <v>0</v>
      </c>
      <c r="AO35" s="1">
        <v>0</v>
      </c>
      <c r="AP35" s="1">
        <v>0</v>
      </c>
      <c r="AQ35" s="1">
        <v>1</v>
      </c>
      <c r="AR35" s="1" t="s">
        <v>329</v>
      </c>
      <c r="AS35" s="1">
        <v>0</v>
      </c>
      <c r="AT35" s="1" t="s">
        <v>1807</v>
      </c>
      <c r="AU35" s="1">
        <v>0</v>
      </c>
      <c r="AV35" s="1">
        <v>9001</v>
      </c>
      <c r="AW35" s="1">
        <v>0</v>
      </c>
    </row>
    <row r="36" spans="1:49" x14ac:dyDescent="0.25">
      <c r="A36" s="1">
        <v>35</v>
      </c>
      <c r="B36" s="1" t="s">
        <v>5544</v>
      </c>
      <c r="C36" s="1" t="s">
        <v>5545</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5417</v>
      </c>
      <c r="AH36" s="1">
        <v>2460</v>
      </c>
      <c r="AI36" s="1" t="s">
        <v>329</v>
      </c>
      <c r="AJ36" s="1">
        <v>0</v>
      </c>
      <c r="AK36" s="1" t="s">
        <v>329</v>
      </c>
      <c r="AL36" s="1" t="s">
        <v>5546</v>
      </c>
      <c r="AM36" s="1">
        <v>0</v>
      </c>
      <c r="AN36" s="1">
        <v>0</v>
      </c>
      <c r="AO36" s="1">
        <v>0</v>
      </c>
      <c r="AP36" s="1">
        <v>0</v>
      </c>
      <c r="AQ36" s="1">
        <v>1</v>
      </c>
      <c r="AR36" s="1" t="s">
        <v>329</v>
      </c>
      <c r="AS36" s="1">
        <v>0</v>
      </c>
      <c r="AT36" s="1" t="s">
        <v>1807</v>
      </c>
      <c r="AU36" s="1">
        <v>0</v>
      </c>
      <c r="AV36" s="1">
        <v>9001</v>
      </c>
      <c r="AW36" s="1">
        <v>0</v>
      </c>
    </row>
    <row r="37" spans="1:49" x14ac:dyDescent="0.25">
      <c r="A37" s="1">
        <v>36</v>
      </c>
      <c r="B37" s="1" t="s">
        <v>5547</v>
      </c>
      <c r="C37" s="1" t="s">
        <v>5548</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5549</v>
      </c>
      <c r="AM37" s="1">
        <v>0</v>
      </c>
      <c r="AN37" s="1">
        <v>0</v>
      </c>
      <c r="AO37" s="1">
        <v>0</v>
      </c>
      <c r="AP37" s="1">
        <v>0</v>
      </c>
      <c r="AQ37" s="1">
        <v>1</v>
      </c>
      <c r="AR37" s="1" t="s">
        <v>329</v>
      </c>
      <c r="AS37" s="1">
        <v>0</v>
      </c>
      <c r="AT37" s="1" t="s">
        <v>1807</v>
      </c>
      <c r="AU37" s="1">
        <v>0</v>
      </c>
      <c r="AV37" s="1">
        <v>9001</v>
      </c>
      <c r="AW37" s="1">
        <v>0</v>
      </c>
    </row>
    <row r="38" spans="1:49" x14ac:dyDescent="0.25">
      <c r="A38" s="1">
        <v>37</v>
      </c>
      <c r="B38" s="1" t="s">
        <v>1880</v>
      </c>
      <c r="C38" s="1" t="s">
        <v>1881</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1844</v>
      </c>
      <c r="AJ38" s="1">
        <v>0</v>
      </c>
      <c r="AK38" s="1" t="s">
        <v>329</v>
      </c>
      <c r="AL38" s="1" t="s">
        <v>1882</v>
      </c>
      <c r="AM38" s="1">
        <v>0</v>
      </c>
      <c r="AN38" s="1">
        <v>0</v>
      </c>
      <c r="AO38" s="1">
        <v>0</v>
      </c>
      <c r="AP38" s="1">
        <v>0</v>
      </c>
      <c r="AQ38" s="1">
        <v>1</v>
      </c>
      <c r="AR38" s="1" t="s">
        <v>329</v>
      </c>
      <c r="AS38" s="1">
        <v>0</v>
      </c>
      <c r="AT38" s="1" t="s">
        <v>1807</v>
      </c>
      <c r="AU38" s="1">
        <v>0</v>
      </c>
      <c r="AV38" s="1">
        <v>10001</v>
      </c>
      <c r="AW38" s="1">
        <v>0</v>
      </c>
    </row>
    <row r="39" spans="1:49" x14ac:dyDescent="0.25">
      <c r="A39" s="1">
        <v>38</v>
      </c>
      <c r="B39" s="1" t="s">
        <v>1883</v>
      </c>
      <c r="C39" s="1" t="s">
        <v>1884</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1844</v>
      </c>
      <c r="AJ39" s="1">
        <v>0</v>
      </c>
      <c r="AK39" s="1" t="s">
        <v>329</v>
      </c>
      <c r="AL39" s="1" t="s">
        <v>1885</v>
      </c>
      <c r="AM39" s="1">
        <v>0.3</v>
      </c>
      <c r="AN39" s="1">
        <v>0.23</v>
      </c>
      <c r="AO39" s="1">
        <v>0.15</v>
      </c>
      <c r="AP39" s="1">
        <v>0.38</v>
      </c>
      <c r="AQ39" s="1">
        <v>1</v>
      </c>
      <c r="AR39" s="1" t="s">
        <v>1477</v>
      </c>
      <c r="AS39" s="1">
        <v>0</v>
      </c>
      <c r="AT39" s="1" t="s">
        <v>1807</v>
      </c>
      <c r="AU39" s="1">
        <v>10</v>
      </c>
      <c r="AV39" s="1">
        <v>10001</v>
      </c>
      <c r="AW39" s="1">
        <v>0</v>
      </c>
    </row>
    <row r="40" spans="1:49" x14ac:dyDescent="0.25">
      <c r="A40" s="1">
        <v>39</v>
      </c>
      <c r="B40" s="1" t="s">
        <v>1886</v>
      </c>
      <c r="C40" s="1" t="s">
        <v>1887</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1844</v>
      </c>
      <c r="AJ40" s="1">
        <v>0</v>
      </c>
      <c r="AK40" s="1" t="s">
        <v>329</v>
      </c>
      <c r="AL40" s="1" t="s">
        <v>1888</v>
      </c>
      <c r="AM40" s="1">
        <v>0.3</v>
      </c>
      <c r="AN40" s="1">
        <v>0.23</v>
      </c>
      <c r="AO40" s="1">
        <v>0.15</v>
      </c>
      <c r="AP40" s="1">
        <v>0.38</v>
      </c>
      <c r="AQ40" s="1">
        <v>1</v>
      </c>
      <c r="AR40" s="1" t="s">
        <v>1477</v>
      </c>
      <c r="AS40" s="1">
        <v>0</v>
      </c>
      <c r="AT40" s="1" t="s">
        <v>1807</v>
      </c>
      <c r="AU40" s="1">
        <v>10</v>
      </c>
      <c r="AV40" s="1">
        <v>10001</v>
      </c>
      <c r="AW40" s="1">
        <v>0</v>
      </c>
    </row>
    <row r="41" spans="1:49" x14ac:dyDescent="0.25">
      <c r="A41" s="1">
        <v>40</v>
      </c>
      <c r="B41" s="1" t="s">
        <v>1889</v>
      </c>
      <c r="C41" s="1" t="s">
        <v>1890</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1844</v>
      </c>
      <c r="AJ41" s="1">
        <v>0</v>
      </c>
      <c r="AK41" s="1" t="s">
        <v>329</v>
      </c>
      <c r="AL41" s="1" t="s">
        <v>1891</v>
      </c>
      <c r="AM41" s="1">
        <v>0.3</v>
      </c>
      <c r="AN41" s="1">
        <v>0.23</v>
      </c>
      <c r="AO41" s="1">
        <v>0.15</v>
      </c>
      <c r="AP41" s="1">
        <v>0.38</v>
      </c>
      <c r="AQ41" s="1">
        <v>1</v>
      </c>
      <c r="AR41" s="1" t="s">
        <v>1477</v>
      </c>
      <c r="AS41" s="1">
        <v>0</v>
      </c>
      <c r="AT41" s="1" t="s">
        <v>1807</v>
      </c>
      <c r="AU41" s="1">
        <v>10</v>
      </c>
      <c r="AV41" s="1">
        <v>10001</v>
      </c>
      <c r="AW41" s="1">
        <v>0</v>
      </c>
    </row>
    <row r="42" spans="1:49" x14ac:dyDescent="0.25">
      <c r="A42" s="1">
        <v>42</v>
      </c>
      <c r="B42" s="1" t="s">
        <v>1892</v>
      </c>
      <c r="C42" s="1" t="s">
        <v>1893</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1844</v>
      </c>
      <c r="AJ42" s="1">
        <v>0</v>
      </c>
      <c r="AK42" s="1" t="s">
        <v>329</v>
      </c>
      <c r="AL42" s="1" t="s">
        <v>1894</v>
      </c>
      <c r="AM42" s="1">
        <v>0.23</v>
      </c>
      <c r="AN42" s="1">
        <v>0.23</v>
      </c>
      <c r="AO42" s="1">
        <v>0.33</v>
      </c>
      <c r="AP42" s="1">
        <v>0.33</v>
      </c>
      <c r="AQ42" s="1">
        <v>1</v>
      </c>
      <c r="AR42" s="1" t="s">
        <v>1478</v>
      </c>
      <c r="AS42" s="1">
        <v>0</v>
      </c>
      <c r="AT42" s="1" t="s">
        <v>1807</v>
      </c>
      <c r="AU42" s="1">
        <v>10</v>
      </c>
      <c r="AV42" s="1">
        <v>11001</v>
      </c>
      <c r="AW42" s="1">
        <v>0</v>
      </c>
    </row>
    <row r="43" spans="1:49" x14ac:dyDescent="0.25">
      <c r="A43" s="1">
        <v>43</v>
      </c>
      <c r="B43" s="1" t="s">
        <v>1895</v>
      </c>
      <c r="C43" s="1" t="s">
        <v>1896</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1844</v>
      </c>
      <c r="AJ43" s="1">
        <v>0</v>
      </c>
      <c r="AK43" s="1" t="s">
        <v>329</v>
      </c>
      <c r="AL43" s="1" t="s">
        <v>1897</v>
      </c>
      <c r="AM43" s="1">
        <v>0.23</v>
      </c>
      <c r="AN43" s="1">
        <v>0.23</v>
      </c>
      <c r="AO43" s="1">
        <v>0.33</v>
      </c>
      <c r="AP43" s="1">
        <v>0.33</v>
      </c>
      <c r="AQ43" s="1">
        <v>1</v>
      </c>
      <c r="AR43" s="1" t="s">
        <v>1478</v>
      </c>
      <c r="AS43" s="1">
        <v>0</v>
      </c>
      <c r="AT43" s="1" t="s">
        <v>1807</v>
      </c>
      <c r="AU43" s="1">
        <v>10</v>
      </c>
      <c r="AV43" s="1">
        <v>11001</v>
      </c>
      <c r="AW43" s="1">
        <v>0</v>
      </c>
    </row>
    <row r="44" spans="1:49" x14ac:dyDescent="0.25">
      <c r="A44" s="1">
        <v>44</v>
      </c>
      <c r="B44" s="1" t="s">
        <v>1898</v>
      </c>
      <c r="C44" s="1" t="s">
        <v>1899</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1844</v>
      </c>
      <c r="AJ44" s="1">
        <v>0</v>
      </c>
      <c r="AK44" s="1" t="s">
        <v>329</v>
      </c>
      <c r="AL44" s="1" t="s">
        <v>1900</v>
      </c>
      <c r="AM44" s="1">
        <v>0.23</v>
      </c>
      <c r="AN44" s="1">
        <v>0.23</v>
      </c>
      <c r="AO44" s="1">
        <v>0.33</v>
      </c>
      <c r="AP44" s="1">
        <v>0.33</v>
      </c>
      <c r="AQ44" s="1">
        <v>1</v>
      </c>
      <c r="AR44" s="1" t="s">
        <v>1478</v>
      </c>
      <c r="AS44" s="1">
        <v>0</v>
      </c>
      <c r="AT44" s="1" t="s">
        <v>1807</v>
      </c>
      <c r="AU44" s="1">
        <v>10</v>
      </c>
      <c r="AV44" s="1">
        <v>11001</v>
      </c>
      <c r="AW44" s="1">
        <v>0</v>
      </c>
    </row>
    <row r="45" spans="1:49" x14ac:dyDescent="0.25">
      <c r="A45" s="1">
        <v>45</v>
      </c>
      <c r="B45" s="1" t="s">
        <v>5551</v>
      </c>
      <c r="C45" s="1" t="s">
        <v>5552</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5553</v>
      </c>
      <c r="AH45" s="1">
        <v>1200</v>
      </c>
      <c r="AI45" s="1" t="s">
        <v>329</v>
      </c>
      <c r="AJ45" s="1">
        <v>0</v>
      </c>
      <c r="AK45" s="1" t="s">
        <v>329</v>
      </c>
      <c r="AL45" s="1" t="s">
        <v>5554</v>
      </c>
      <c r="AM45" s="1">
        <v>0</v>
      </c>
      <c r="AN45" s="1">
        <v>0</v>
      </c>
      <c r="AO45" s="1">
        <v>0</v>
      </c>
      <c r="AP45" s="1">
        <v>0</v>
      </c>
      <c r="AQ45" s="1">
        <v>1</v>
      </c>
      <c r="AR45" s="1" t="s">
        <v>329</v>
      </c>
      <c r="AS45" s="1">
        <v>0</v>
      </c>
      <c r="AT45" s="1" t="s">
        <v>1807</v>
      </c>
      <c r="AU45" s="1">
        <v>0</v>
      </c>
      <c r="AV45" s="1">
        <v>12001</v>
      </c>
      <c r="AW45" s="1">
        <v>0</v>
      </c>
    </row>
    <row r="46" spans="1:49" x14ac:dyDescent="0.25">
      <c r="A46" s="1">
        <v>46</v>
      </c>
      <c r="B46" s="1" t="s">
        <v>5555</v>
      </c>
      <c r="C46" s="1" t="s">
        <v>5556</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5557</v>
      </c>
      <c r="AM46" s="1">
        <v>0</v>
      </c>
      <c r="AN46" s="1">
        <v>0</v>
      </c>
      <c r="AO46" s="1">
        <v>0</v>
      </c>
      <c r="AP46" s="1">
        <v>0</v>
      </c>
      <c r="AQ46" s="1">
        <v>1</v>
      </c>
      <c r="AR46" s="1" t="s">
        <v>329</v>
      </c>
      <c r="AS46" s="1">
        <v>0</v>
      </c>
      <c r="AT46" s="1" t="s">
        <v>1807</v>
      </c>
      <c r="AU46" s="1">
        <v>0</v>
      </c>
      <c r="AV46" s="1">
        <v>12001</v>
      </c>
      <c r="AW46" s="1">
        <v>0</v>
      </c>
    </row>
    <row r="47" spans="1:49" x14ac:dyDescent="0.25">
      <c r="A47" s="1">
        <v>47</v>
      </c>
      <c r="B47" s="1" t="s">
        <v>5558</v>
      </c>
      <c r="C47" s="1" t="s">
        <v>5559</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5560</v>
      </c>
      <c r="AH47" s="1">
        <v>3000</v>
      </c>
      <c r="AI47" s="1" t="s">
        <v>329</v>
      </c>
      <c r="AJ47" s="1">
        <v>0</v>
      </c>
      <c r="AK47" s="1" t="s">
        <v>329</v>
      </c>
      <c r="AL47" s="1" t="s">
        <v>5561</v>
      </c>
      <c r="AM47" s="1">
        <v>0</v>
      </c>
      <c r="AN47" s="1">
        <v>0</v>
      </c>
      <c r="AO47" s="1">
        <v>0</v>
      </c>
      <c r="AP47" s="1">
        <v>0</v>
      </c>
      <c r="AQ47" s="1">
        <v>1</v>
      </c>
      <c r="AR47" s="1" t="s">
        <v>329</v>
      </c>
      <c r="AS47" s="1">
        <v>0</v>
      </c>
      <c r="AT47" s="1" t="s">
        <v>1807</v>
      </c>
      <c r="AU47" s="1">
        <v>0</v>
      </c>
      <c r="AV47" s="1">
        <v>12001</v>
      </c>
      <c r="AW47" s="1">
        <v>0</v>
      </c>
    </row>
    <row r="48" spans="1:49" x14ac:dyDescent="0.25">
      <c r="A48" s="1">
        <v>48</v>
      </c>
      <c r="B48" s="1" t="s">
        <v>5562</v>
      </c>
      <c r="C48" s="1" t="s">
        <v>5563</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5564</v>
      </c>
      <c r="AM48" s="1">
        <v>0</v>
      </c>
      <c r="AN48" s="1">
        <v>0</v>
      </c>
      <c r="AO48" s="1">
        <v>0</v>
      </c>
      <c r="AP48" s="1">
        <v>0</v>
      </c>
      <c r="AQ48" s="1">
        <v>1</v>
      </c>
      <c r="AR48" s="1" t="s">
        <v>329</v>
      </c>
      <c r="AS48" s="1">
        <v>0</v>
      </c>
      <c r="AT48" s="1" t="s">
        <v>1807</v>
      </c>
      <c r="AU48" s="1">
        <v>0</v>
      </c>
      <c r="AV48" s="1">
        <v>12001</v>
      </c>
      <c r="AW48" s="1">
        <v>0</v>
      </c>
    </row>
    <row r="49" spans="1:49" x14ac:dyDescent="0.25">
      <c r="A49" s="1">
        <v>49</v>
      </c>
      <c r="B49" s="1" t="s">
        <v>5565</v>
      </c>
      <c r="C49" s="1" t="s">
        <v>5566</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5567</v>
      </c>
      <c r="AH49" s="1">
        <v>3120</v>
      </c>
      <c r="AI49" s="1" t="s">
        <v>1919</v>
      </c>
      <c r="AJ49" s="1">
        <v>0</v>
      </c>
      <c r="AK49" s="1" t="s">
        <v>329</v>
      </c>
      <c r="AL49" s="1" t="s">
        <v>5568</v>
      </c>
      <c r="AM49" s="1">
        <v>0</v>
      </c>
      <c r="AN49" s="1">
        <v>0</v>
      </c>
      <c r="AO49" s="1">
        <v>0</v>
      </c>
      <c r="AP49" s="1">
        <v>0</v>
      </c>
      <c r="AQ49" s="1">
        <v>1</v>
      </c>
      <c r="AR49" s="1" t="s">
        <v>329</v>
      </c>
      <c r="AS49" s="1">
        <v>0</v>
      </c>
      <c r="AT49" s="1" t="s">
        <v>1807</v>
      </c>
      <c r="AU49" s="1">
        <v>0</v>
      </c>
      <c r="AV49" s="1">
        <v>4001</v>
      </c>
      <c r="AW49" s="1">
        <v>0</v>
      </c>
    </row>
    <row r="50" spans="1:49" x14ac:dyDescent="0.25">
      <c r="A50" s="1">
        <v>50</v>
      </c>
      <c r="B50" s="1" t="s">
        <v>5569</v>
      </c>
      <c r="C50" s="1" t="s">
        <v>5570</v>
      </c>
      <c r="D50" s="1">
        <v>5</v>
      </c>
      <c r="E50" s="1">
        <v>2</v>
      </c>
      <c r="F50" s="1">
        <v>5</v>
      </c>
      <c r="G50" s="1" t="s">
        <v>329</v>
      </c>
      <c r="H50" s="1" t="s">
        <v>329</v>
      </c>
      <c r="I50" s="1" t="s">
        <v>329</v>
      </c>
      <c r="J50" s="1" t="s">
        <v>329</v>
      </c>
      <c r="K50" s="1" t="s">
        <v>329</v>
      </c>
      <c r="L50" s="1" t="s">
        <v>329</v>
      </c>
      <c r="M50" s="1" t="s">
        <v>329</v>
      </c>
      <c r="N50" s="1" t="s">
        <v>5571</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5572</v>
      </c>
      <c r="AH50" s="1">
        <v>3420</v>
      </c>
      <c r="AI50" s="1" t="s">
        <v>1919</v>
      </c>
      <c r="AJ50" s="1">
        <v>0</v>
      </c>
      <c r="AK50" s="1" t="s">
        <v>329</v>
      </c>
      <c r="AL50" s="1" t="s">
        <v>5573</v>
      </c>
      <c r="AM50" s="1">
        <v>0.08</v>
      </c>
      <c r="AN50" s="1">
        <v>0.55000000000000004</v>
      </c>
      <c r="AO50" s="1">
        <v>0.3</v>
      </c>
      <c r="AP50" s="1">
        <v>0.3</v>
      </c>
      <c r="AQ50" s="1">
        <v>1</v>
      </c>
      <c r="AR50" s="1" t="s">
        <v>1472</v>
      </c>
      <c r="AS50" s="1">
        <v>0</v>
      </c>
      <c r="AT50" s="1" t="s">
        <v>1807</v>
      </c>
      <c r="AU50" s="1">
        <v>10</v>
      </c>
      <c r="AV50" s="1">
        <v>5001</v>
      </c>
      <c r="AW50" s="1">
        <v>0</v>
      </c>
    </row>
    <row r="51" spans="1:49" x14ac:dyDescent="0.25">
      <c r="A51" s="1">
        <v>51</v>
      </c>
      <c r="B51" s="1" t="s">
        <v>5574</v>
      </c>
      <c r="C51" s="1" t="s">
        <v>5575</v>
      </c>
      <c r="D51" s="1">
        <v>2</v>
      </c>
      <c r="E51" s="1">
        <v>2</v>
      </c>
      <c r="F51" s="1">
        <v>5</v>
      </c>
      <c r="G51" s="1" t="s">
        <v>370</v>
      </c>
      <c r="H51" s="1" t="s">
        <v>329</v>
      </c>
      <c r="I51" s="1" t="s">
        <v>329</v>
      </c>
      <c r="J51" s="1" t="s">
        <v>329</v>
      </c>
      <c r="K51" s="1" t="s">
        <v>329</v>
      </c>
      <c r="L51" s="1" t="s">
        <v>329</v>
      </c>
      <c r="M51" s="1" t="s">
        <v>329</v>
      </c>
      <c r="N51" s="1" t="s">
        <v>5576</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4882</v>
      </c>
      <c r="AH51" s="1">
        <v>960</v>
      </c>
      <c r="AI51" s="1" t="s">
        <v>1844</v>
      </c>
      <c r="AJ51" s="1">
        <v>0</v>
      </c>
      <c r="AK51" s="1" t="s">
        <v>329</v>
      </c>
      <c r="AL51" s="1" t="s">
        <v>5577</v>
      </c>
      <c r="AM51" s="1">
        <v>0</v>
      </c>
      <c r="AN51" s="1">
        <v>0</v>
      </c>
      <c r="AO51" s="1">
        <v>0</v>
      </c>
      <c r="AP51" s="1">
        <v>0</v>
      </c>
      <c r="AQ51" s="1">
        <v>1</v>
      </c>
      <c r="AR51" s="1" t="s">
        <v>329</v>
      </c>
      <c r="AS51" s="1">
        <v>0</v>
      </c>
      <c r="AT51" s="1" t="s">
        <v>1807</v>
      </c>
      <c r="AU51" s="1">
        <v>0</v>
      </c>
      <c r="AV51" s="1">
        <v>5002</v>
      </c>
      <c r="AW51" s="1">
        <v>0</v>
      </c>
    </row>
    <row r="52" spans="1:49" x14ac:dyDescent="0.25">
      <c r="A52" s="1">
        <v>52</v>
      </c>
      <c r="B52" s="1" t="s">
        <v>5578</v>
      </c>
      <c r="C52" s="1" t="s">
        <v>5579</v>
      </c>
      <c r="D52" s="1">
        <v>3</v>
      </c>
      <c r="E52" s="1">
        <v>2</v>
      </c>
      <c r="F52" s="1">
        <v>5</v>
      </c>
      <c r="G52" s="1" t="s">
        <v>893</v>
      </c>
      <c r="H52" s="1" t="s">
        <v>329</v>
      </c>
      <c r="I52" s="1" t="s">
        <v>329</v>
      </c>
      <c r="J52" s="1" t="s">
        <v>329</v>
      </c>
      <c r="K52" s="1" t="s">
        <v>329</v>
      </c>
      <c r="L52" s="1" t="s">
        <v>329</v>
      </c>
      <c r="M52" s="1" t="s">
        <v>329</v>
      </c>
      <c r="N52" s="1" t="s">
        <v>5580</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1844</v>
      </c>
      <c r="AJ52" s="1">
        <v>0</v>
      </c>
      <c r="AK52" s="1" t="s">
        <v>329</v>
      </c>
      <c r="AL52" s="1" t="s">
        <v>5581</v>
      </c>
      <c r="AM52" s="1">
        <v>0</v>
      </c>
      <c r="AN52" s="1">
        <v>0</v>
      </c>
      <c r="AO52" s="1">
        <v>0</v>
      </c>
      <c r="AP52" s="1">
        <v>0</v>
      </c>
      <c r="AQ52" s="1">
        <v>1</v>
      </c>
      <c r="AR52" s="1" t="s">
        <v>329</v>
      </c>
      <c r="AS52" s="1">
        <v>0</v>
      </c>
      <c r="AT52" s="1" t="s">
        <v>1807</v>
      </c>
      <c r="AU52" s="1">
        <v>0</v>
      </c>
      <c r="AV52" s="1">
        <v>5002</v>
      </c>
      <c r="AW52" s="1">
        <v>0</v>
      </c>
    </row>
    <row r="53" spans="1:49" x14ac:dyDescent="0.25">
      <c r="A53" s="1">
        <v>53</v>
      </c>
      <c r="B53" s="1" t="s">
        <v>5582</v>
      </c>
      <c r="C53" s="1" t="s">
        <v>5583</v>
      </c>
      <c r="D53" s="1">
        <v>4</v>
      </c>
      <c r="E53" s="1">
        <v>2</v>
      </c>
      <c r="F53" s="1">
        <v>5</v>
      </c>
      <c r="G53" s="1" t="s">
        <v>894</v>
      </c>
      <c r="H53" s="1" t="s">
        <v>329</v>
      </c>
      <c r="I53" s="1" t="s">
        <v>329</v>
      </c>
      <c r="J53" s="1" t="s">
        <v>329</v>
      </c>
      <c r="K53" s="1" t="s">
        <v>329</v>
      </c>
      <c r="L53" s="1" t="s">
        <v>329</v>
      </c>
      <c r="M53" s="1" t="s">
        <v>329</v>
      </c>
      <c r="N53" s="1" t="s">
        <v>5584</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4953</v>
      </c>
      <c r="AH53" s="1">
        <v>2760</v>
      </c>
      <c r="AI53" s="1" t="s">
        <v>1844</v>
      </c>
      <c r="AJ53" s="1">
        <v>0</v>
      </c>
      <c r="AK53" s="1" t="s">
        <v>329</v>
      </c>
      <c r="AL53" s="1" t="s">
        <v>5585</v>
      </c>
      <c r="AM53" s="1">
        <v>0</v>
      </c>
      <c r="AN53" s="1">
        <v>0</v>
      </c>
      <c r="AO53" s="1">
        <v>0</v>
      </c>
      <c r="AP53" s="1">
        <v>0</v>
      </c>
      <c r="AQ53" s="1">
        <v>1</v>
      </c>
      <c r="AR53" s="1" t="s">
        <v>329</v>
      </c>
      <c r="AS53" s="1">
        <v>0</v>
      </c>
      <c r="AT53" s="1" t="s">
        <v>1807</v>
      </c>
      <c r="AU53" s="1">
        <v>0</v>
      </c>
      <c r="AV53" s="1">
        <v>5002</v>
      </c>
      <c r="AW53" s="1">
        <v>0</v>
      </c>
    </row>
    <row r="54" spans="1:49" x14ac:dyDescent="0.25">
      <c r="A54" s="1">
        <v>54</v>
      </c>
      <c r="B54" s="1" t="s">
        <v>5586</v>
      </c>
      <c r="C54" s="1" t="s">
        <v>5587</v>
      </c>
      <c r="D54" s="1">
        <v>5</v>
      </c>
      <c r="E54" s="1">
        <v>2</v>
      </c>
      <c r="F54" s="1">
        <v>5</v>
      </c>
      <c r="G54" s="1" t="s">
        <v>5588</v>
      </c>
      <c r="H54" s="1" t="s">
        <v>329</v>
      </c>
      <c r="I54" s="1" t="s">
        <v>329</v>
      </c>
      <c r="J54" s="1" t="s">
        <v>329</v>
      </c>
      <c r="K54" s="1" t="s">
        <v>329</v>
      </c>
      <c r="L54" s="1" t="s">
        <v>329</v>
      </c>
      <c r="M54" s="1" t="s">
        <v>329</v>
      </c>
      <c r="N54" s="1" t="s">
        <v>5589</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1844</v>
      </c>
      <c r="AJ54" s="1">
        <v>0</v>
      </c>
      <c r="AK54" s="1" t="s">
        <v>329</v>
      </c>
      <c r="AL54" s="1" t="s">
        <v>5590</v>
      </c>
      <c r="AM54" s="1">
        <v>0</v>
      </c>
      <c r="AN54" s="1">
        <v>0</v>
      </c>
      <c r="AO54" s="1">
        <v>0</v>
      </c>
      <c r="AP54" s="1">
        <v>0</v>
      </c>
      <c r="AQ54" s="1">
        <v>1</v>
      </c>
      <c r="AR54" s="1" t="s">
        <v>329</v>
      </c>
      <c r="AS54" s="1">
        <v>0</v>
      </c>
      <c r="AT54" s="1" t="s">
        <v>1807</v>
      </c>
      <c r="AU54" s="1">
        <v>0</v>
      </c>
      <c r="AV54" s="1">
        <v>5002</v>
      </c>
      <c r="AW54" s="1">
        <v>0</v>
      </c>
    </row>
    <row r="55" spans="1:49" x14ac:dyDescent="0.25">
      <c r="A55" s="1">
        <v>55</v>
      </c>
      <c r="B55" s="1" t="s">
        <v>1901</v>
      </c>
      <c r="C55" s="1" t="s">
        <v>1902</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1844</v>
      </c>
      <c r="AJ55" s="1">
        <v>0</v>
      </c>
      <c r="AK55" s="1" t="s">
        <v>329</v>
      </c>
      <c r="AL55" s="1" t="s">
        <v>1903</v>
      </c>
      <c r="AM55" s="1">
        <v>0</v>
      </c>
      <c r="AN55" s="1">
        <v>0</v>
      </c>
      <c r="AO55" s="1">
        <v>0</v>
      </c>
      <c r="AP55" s="1">
        <v>0</v>
      </c>
      <c r="AQ55" s="1">
        <v>1</v>
      </c>
      <c r="AR55" s="1" t="s">
        <v>329</v>
      </c>
      <c r="AS55" s="1">
        <v>0</v>
      </c>
      <c r="AT55" s="1" t="s">
        <v>1807</v>
      </c>
      <c r="AU55" s="1">
        <v>0</v>
      </c>
      <c r="AV55" s="1">
        <v>10002</v>
      </c>
      <c r="AW55" s="1">
        <v>0</v>
      </c>
    </row>
    <row r="56" spans="1:49" x14ac:dyDescent="0.25">
      <c r="A56" s="1">
        <v>56</v>
      </c>
      <c r="B56" s="1" t="s">
        <v>1904</v>
      </c>
      <c r="C56" s="1" t="s">
        <v>1905</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1844</v>
      </c>
      <c r="AJ56" s="1">
        <v>0</v>
      </c>
      <c r="AK56" s="1" t="s">
        <v>329</v>
      </c>
      <c r="AL56" s="1" t="s">
        <v>1906</v>
      </c>
      <c r="AM56" s="1">
        <v>0.3</v>
      </c>
      <c r="AN56" s="1">
        <v>0.25</v>
      </c>
      <c r="AO56" s="1">
        <v>0.12</v>
      </c>
      <c r="AP56" s="1">
        <v>0.38</v>
      </c>
      <c r="AQ56" s="1">
        <v>1</v>
      </c>
      <c r="AR56" s="1" t="s">
        <v>1479</v>
      </c>
      <c r="AS56" s="1">
        <v>0</v>
      </c>
      <c r="AT56" s="1" t="s">
        <v>1807</v>
      </c>
      <c r="AU56" s="1">
        <v>10</v>
      </c>
      <c r="AV56" s="1">
        <v>10002</v>
      </c>
      <c r="AW56" s="1">
        <v>0</v>
      </c>
    </row>
    <row r="57" spans="1:49" x14ac:dyDescent="0.25">
      <c r="A57" s="1">
        <v>57</v>
      </c>
      <c r="B57" s="1" t="s">
        <v>1907</v>
      </c>
      <c r="C57" s="1" t="s">
        <v>1908</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1844</v>
      </c>
      <c r="AJ57" s="1">
        <v>0</v>
      </c>
      <c r="AK57" s="1" t="s">
        <v>329</v>
      </c>
      <c r="AL57" s="1" t="s">
        <v>1909</v>
      </c>
      <c r="AM57" s="1">
        <v>0.3</v>
      </c>
      <c r="AN57" s="1">
        <v>0.25</v>
      </c>
      <c r="AO57" s="1">
        <v>0.12</v>
      </c>
      <c r="AP57" s="1">
        <v>0.38</v>
      </c>
      <c r="AQ57" s="1">
        <v>1</v>
      </c>
      <c r="AR57" s="1" t="s">
        <v>1480</v>
      </c>
      <c r="AS57" s="1">
        <v>0</v>
      </c>
      <c r="AT57" s="1" t="s">
        <v>1807</v>
      </c>
      <c r="AU57" s="1">
        <v>10</v>
      </c>
      <c r="AV57" s="1">
        <v>10002</v>
      </c>
      <c r="AW57" s="1">
        <v>0</v>
      </c>
    </row>
    <row r="58" spans="1:49" x14ac:dyDescent="0.25">
      <c r="A58" s="1">
        <v>58</v>
      </c>
      <c r="B58" s="1" t="s">
        <v>1910</v>
      </c>
      <c r="C58" s="1" t="s">
        <v>1911</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1844</v>
      </c>
      <c r="AJ58" s="1">
        <v>0</v>
      </c>
      <c r="AK58" s="1" t="s">
        <v>329</v>
      </c>
      <c r="AL58" s="1" t="s">
        <v>1912</v>
      </c>
      <c r="AM58" s="1">
        <v>0.3</v>
      </c>
      <c r="AN58" s="1">
        <v>0.25</v>
      </c>
      <c r="AO58" s="1">
        <v>0.12</v>
      </c>
      <c r="AP58" s="1">
        <v>0.38</v>
      </c>
      <c r="AQ58" s="1">
        <v>1</v>
      </c>
      <c r="AR58" s="1" t="s">
        <v>1481</v>
      </c>
      <c r="AS58" s="1">
        <v>0</v>
      </c>
      <c r="AT58" s="1" t="s">
        <v>1807</v>
      </c>
      <c r="AU58" s="1">
        <v>10</v>
      </c>
      <c r="AV58" s="1">
        <v>10002</v>
      </c>
      <c r="AW58" s="1">
        <v>0</v>
      </c>
    </row>
    <row r="59" spans="1:49" x14ac:dyDescent="0.25">
      <c r="A59" s="1">
        <v>59</v>
      </c>
      <c r="B59" s="1" t="s">
        <v>1913</v>
      </c>
      <c r="C59" s="1" t="s">
        <v>1914</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1915</v>
      </c>
      <c r="AJ59" s="1">
        <v>0</v>
      </c>
      <c r="AK59" s="1" t="s">
        <v>358</v>
      </c>
      <c r="AL59" s="1" t="s">
        <v>1916</v>
      </c>
      <c r="AM59" s="1">
        <v>0.08</v>
      </c>
      <c r="AN59" s="1">
        <v>0.55000000000000004</v>
      </c>
      <c r="AO59" s="1">
        <v>0.3</v>
      </c>
      <c r="AP59" s="1">
        <v>0.3</v>
      </c>
      <c r="AQ59" s="1">
        <v>3</v>
      </c>
      <c r="AR59" s="1" t="s">
        <v>1482</v>
      </c>
      <c r="AS59" s="1">
        <v>0</v>
      </c>
      <c r="AT59" s="1" t="s">
        <v>1807</v>
      </c>
      <c r="AU59" s="1">
        <v>10</v>
      </c>
      <c r="AV59" s="1">
        <v>19001</v>
      </c>
      <c r="AW59" s="1">
        <v>0</v>
      </c>
    </row>
    <row r="60" spans="1:49" x14ac:dyDescent="0.25">
      <c r="A60" s="1">
        <v>60</v>
      </c>
      <c r="B60" s="1" t="s">
        <v>1917</v>
      </c>
      <c r="C60" s="1" t="s">
        <v>1918</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1919</v>
      </c>
      <c r="AJ60" s="1">
        <v>0</v>
      </c>
      <c r="AK60" s="1" t="s">
        <v>378</v>
      </c>
      <c r="AL60" s="1" t="s">
        <v>1920</v>
      </c>
      <c r="AM60" s="1">
        <v>0.15</v>
      </c>
      <c r="AN60" s="1">
        <v>0.6</v>
      </c>
      <c r="AO60" s="1">
        <v>0.38</v>
      </c>
      <c r="AP60" s="1">
        <v>0.23</v>
      </c>
      <c r="AQ60" s="1">
        <v>3</v>
      </c>
      <c r="AR60" s="1" t="s">
        <v>1483</v>
      </c>
      <c r="AS60" s="1">
        <v>0</v>
      </c>
      <c r="AT60" s="1" t="s">
        <v>1807</v>
      </c>
      <c r="AU60" s="1">
        <v>10</v>
      </c>
      <c r="AV60" s="1">
        <v>19002</v>
      </c>
      <c r="AW60" s="1">
        <v>0</v>
      </c>
    </row>
    <row r="61" spans="1:49" x14ac:dyDescent="0.25">
      <c r="A61" s="1">
        <v>61</v>
      </c>
      <c r="B61" s="1" t="s">
        <v>1921</v>
      </c>
      <c r="C61" s="1" t="s">
        <v>1922</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1919</v>
      </c>
      <c r="AJ61" s="1">
        <v>0</v>
      </c>
      <c r="AK61" s="1" t="s">
        <v>381</v>
      </c>
      <c r="AL61" s="1" t="s">
        <v>1923</v>
      </c>
      <c r="AM61" s="1">
        <v>0.1</v>
      </c>
      <c r="AN61" s="1">
        <v>0.1</v>
      </c>
      <c r="AO61" s="1">
        <v>0.1</v>
      </c>
      <c r="AP61" s="1">
        <v>0.55000000000000004</v>
      </c>
      <c r="AQ61" s="1">
        <v>3</v>
      </c>
      <c r="AR61" s="1" t="s">
        <v>1484</v>
      </c>
      <c r="AS61" s="1">
        <v>0</v>
      </c>
      <c r="AT61" s="1" t="s">
        <v>1807</v>
      </c>
      <c r="AU61" s="1">
        <v>10</v>
      </c>
      <c r="AV61" s="1">
        <v>20001</v>
      </c>
      <c r="AW61" s="1">
        <v>0</v>
      </c>
    </row>
    <row r="62" spans="1:49" x14ac:dyDescent="0.25">
      <c r="A62" s="1">
        <v>62</v>
      </c>
      <c r="B62" s="1" t="s">
        <v>1924</v>
      </c>
      <c r="C62" s="1" t="s">
        <v>1925</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1919</v>
      </c>
      <c r="AJ62" s="1">
        <v>0</v>
      </c>
      <c r="AK62" s="1" t="s">
        <v>384</v>
      </c>
      <c r="AL62" s="1" t="s">
        <v>1926</v>
      </c>
      <c r="AM62" s="1">
        <v>0.3</v>
      </c>
      <c r="AN62" s="1">
        <v>0.25</v>
      </c>
      <c r="AO62" s="1">
        <v>0.12</v>
      </c>
      <c r="AP62" s="1">
        <v>0.38</v>
      </c>
      <c r="AQ62" s="1">
        <v>3</v>
      </c>
      <c r="AR62" s="1" t="s">
        <v>1485</v>
      </c>
      <c r="AS62" s="1">
        <v>0</v>
      </c>
      <c r="AT62" s="1" t="s">
        <v>1807</v>
      </c>
      <c r="AU62" s="1">
        <v>10</v>
      </c>
      <c r="AV62" s="1">
        <v>20002</v>
      </c>
      <c r="AW62" s="1">
        <v>0</v>
      </c>
    </row>
    <row r="63" spans="1:49" x14ac:dyDescent="0.25">
      <c r="A63" s="1">
        <v>63</v>
      </c>
      <c r="B63" s="1" t="s">
        <v>1927</v>
      </c>
      <c r="C63" s="1" t="s">
        <v>1928</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1929</v>
      </c>
      <c r="AJ63" s="1">
        <v>0</v>
      </c>
      <c r="AK63" s="1" t="s">
        <v>329</v>
      </c>
      <c r="AL63" s="1" t="s">
        <v>1930</v>
      </c>
      <c r="AM63" s="1">
        <v>0</v>
      </c>
      <c r="AN63" s="1">
        <v>0</v>
      </c>
      <c r="AO63" s="1">
        <v>0</v>
      </c>
      <c r="AP63" s="1">
        <v>0</v>
      </c>
      <c r="AQ63" s="1">
        <v>1</v>
      </c>
      <c r="AR63" s="1" t="s">
        <v>329</v>
      </c>
      <c r="AS63" s="1">
        <v>0</v>
      </c>
      <c r="AT63" s="1" t="s">
        <v>1807</v>
      </c>
      <c r="AU63" s="1">
        <v>0</v>
      </c>
      <c r="AV63" s="1">
        <v>13001</v>
      </c>
      <c r="AW63" s="1">
        <v>0</v>
      </c>
    </row>
    <row r="64" spans="1:49" x14ac:dyDescent="0.25">
      <c r="A64" s="1">
        <v>64</v>
      </c>
      <c r="B64" s="1" t="s">
        <v>1931</v>
      </c>
      <c r="C64" s="1" t="s">
        <v>1932</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1929</v>
      </c>
      <c r="AJ64" s="1">
        <v>0</v>
      </c>
      <c r="AK64" s="1" t="s">
        <v>329</v>
      </c>
      <c r="AL64" s="1" t="s">
        <v>1933</v>
      </c>
      <c r="AM64" s="1">
        <v>0.55000000000000004</v>
      </c>
      <c r="AN64" s="1">
        <v>0.23</v>
      </c>
      <c r="AO64" s="1">
        <v>0.23</v>
      </c>
      <c r="AP64" s="1">
        <v>0.23</v>
      </c>
      <c r="AQ64" s="1">
        <v>1</v>
      </c>
      <c r="AR64" s="1" t="s">
        <v>1486</v>
      </c>
      <c r="AS64" s="1">
        <v>0</v>
      </c>
      <c r="AT64" s="1" t="s">
        <v>1807</v>
      </c>
      <c r="AU64" s="1">
        <v>10</v>
      </c>
      <c r="AV64" s="1">
        <v>13001</v>
      </c>
      <c r="AW64" s="1">
        <v>0</v>
      </c>
    </row>
    <row r="65" spans="1:49" x14ac:dyDescent="0.25">
      <c r="A65" s="1">
        <v>65</v>
      </c>
      <c r="B65" s="1" t="s">
        <v>1934</v>
      </c>
      <c r="C65" s="1" t="s">
        <v>1935</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1929</v>
      </c>
      <c r="AJ65" s="1">
        <v>0</v>
      </c>
      <c r="AK65" s="1" t="s">
        <v>329</v>
      </c>
      <c r="AL65" s="1" t="s">
        <v>1936</v>
      </c>
      <c r="AM65" s="1">
        <v>0.55000000000000004</v>
      </c>
      <c r="AN65" s="1">
        <v>0.23</v>
      </c>
      <c r="AO65" s="1">
        <v>0.23</v>
      </c>
      <c r="AP65" s="1">
        <v>0.23</v>
      </c>
      <c r="AQ65" s="1">
        <v>1</v>
      </c>
      <c r="AR65" s="1" t="s">
        <v>1486</v>
      </c>
      <c r="AS65" s="1">
        <v>0</v>
      </c>
      <c r="AT65" s="1" t="s">
        <v>1807</v>
      </c>
      <c r="AU65" s="1">
        <v>10</v>
      </c>
      <c r="AV65" s="1">
        <v>13001</v>
      </c>
      <c r="AW65" s="1">
        <v>0</v>
      </c>
    </row>
    <row r="66" spans="1:49" x14ac:dyDescent="0.25">
      <c r="A66" s="1">
        <v>66</v>
      </c>
      <c r="B66" s="1" t="s">
        <v>1937</v>
      </c>
      <c r="C66" s="1" t="s">
        <v>1938</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1929</v>
      </c>
      <c r="AJ66" s="1">
        <v>0</v>
      </c>
      <c r="AK66" s="1" t="s">
        <v>329</v>
      </c>
      <c r="AL66" s="1" t="s">
        <v>1939</v>
      </c>
      <c r="AM66" s="1">
        <v>0.55000000000000004</v>
      </c>
      <c r="AN66" s="1">
        <v>0.23</v>
      </c>
      <c r="AO66" s="1">
        <v>0.23</v>
      </c>
      <c r="AP66" s="1">
        <v>0.23</v>
      </c>
      <c r="AQ66" s="1">
        <v>1</v>
      </c>
      <c r="AR66" s="1" t="s">
        <v>1487</v>
      </c>
      <c r="AS66" s="1">
        <v>0</v>
      </c>
      <c r="AT66" s="1" t="s">
        <v>1807</v>
      </c>
      <c r="AU66" s="1">
        <v>10</v>
      </c>
      <c r="AV66" s="1">
        <v>13001</v>
      </c>
      <c r="AW66" s="1">
        <v>0</v>
      </c>
    </row>
    <row r="67" spans="1:49" x14ac:dyDescent="0.25">
      <c r="A67" s="1">
        <v>67</v>
      </c>
      <c r="B67" s="1" t="s">
        <v>1940</v>
      </c>
      <c r="C67" s="1" t="s">
        <v>1941</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1844</v>
      </c>
      <c r="AJ67" s="1">
        <v>0</v>
      </c>
      <c r="AK67" s="1" t="s">
        <v>329</v>
      </c>
      <c r="AL67" s="1" t="s">
        <v>1942</v>
      </c>
      <c r="AM67" s="1">
        <v>0.1</v>
      </c>
      <c r="AN67" s="1">
        <v>0.1</v>
      </c>
      <c r="AO67" s="1">
        <v>0.1</v>
      </c>
      <c r="AP67" s="1">
        <v>0.55000000000000004</v>
      </c>
      <c r="AQ67" s="1">
        <v>1</v>
      </c>
      <c r="AR67" s="1" t="s">
        <v>1488</v>
      </c>
      <c r="AS67" s="1">
        <v>0</v>
      </c>
      <c r="AT67" s="1" t="s">
        <v>1807</v>
      </c>
      <c r="AU67" s="1">
        <v>10</v>
      </c>
      <c r="AV67" s="1">
        <v>14001</v>
      </c>
      <c r="AW67" s="1">
        <v>0</v>
      </c>
    </row>
    <row r="68" spans="1:49" x14ac:dyDescent="0.25">
      <c r="A68" s="1">
        <v>68</v>
      </c>
      <c r="B68" s="1" t="s">
        <v>1943</v>
      </c>
      <c r="C68" s="1" t="s">
        <v>1944</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1844</v>
      </c>
      <c r="AJ68" s="1">
        <v>0</v>
      </c>
      <c r="AK68" s="1" t="s">
        <v>329</v>
      </c>
      <c r="AL68" s="1" t="s">
        <v>1945</v>
      </c>
      <c r="AM68" s="1">
        <v>0.1</v>
      </c>
      <c r="AN68" s="1">
        <v>0.1</v>
      </c>
      <c r="AO68" s="1">
        <v>0.1</v>
      </c>
      <c r="AP68" s="1">
        <v>0.55000000000000004</v>
      </c>
      <c r="AQ68" s="1">
        <v>1</v>
      </c>
      <c r="AR68" s="1" t="s">
        <v>1489</v>
      </c>
      <c r="AS68" s="1">
        <v>0</v>
      </c>
      <c r="AT68" s="1" t="s">
        <v>1807</v>
      </c>
      <c r="AU68" s="1">
        <v>10</v>
      </c>
      <c r="AV68" s="1">
        <v>14001</v>
      </c>
      <c r="AW68" s="1">
        <v>0</v>
      </c>
    </row>
    <row r="69" spans="1:49" x14ac:dyDescent="0.25">
      <c r="A69" s="1">
        <v>69</v>
      </c>
      <c r="B69" s="1" t="s">
        <v>1946</v>
      </c>
      <c r="C69" s="1" t="s">
        <v>1947</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1948</v>
      </c>
      <c r="AJ69" s="1">
        <v>0</v>
      </c>
      <c r="AK69" s="1" t="s">
        <v>329</v>
      </c>
      <c r="AL69" s="1" t="s">
        <v>1949</v>
      </c>
      <c r="AM69" s="1">
        <v>0</v>
      </c>
      <c r="AN69" s="1">
        <v>0</v>
      </c>
      <c r="AO69" s="1">
        <v>0</v>
      </c>
      <c r="AP69" s="1">
        <v>0</v>
      </c>
      <c r="AQ69" s="1">
        <v>1</v>
      </c>
      <c r="AR69" s="1" t="s">
        <v>329</v>
      </c>
      <c r="AS69" s="1">
        <v>0</v>
      </c>
      <c r="AT69" s="1" t="s">
        <v>1807</v>
      </c>
      <c r="AU69" s="1">
        <v>0</v>
      </c>
      <c r="AV69" s="1">
        <v>6003</v>
      </c>
      <c r="AW69" s="1">
        <v>0</v>
      </c>
    </row>
    <row r="70" spans="1:49" x14ac:dyDescent="0.25">
      <c r="A70" s="1">
        <v>70</v>
      </c>
      <c r="B70" s="1" t="s">
        <v>1950</v>
      </c>
      <c r="C70" s="1" t="s">
        <v>1951</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1948</v>
      </c>
      <c r="AJ70" s="1">
        <v>0</v>
      </c>
      <c r="AK70" s="1" t="s">
        <v>329</v>
      </c>
      <c r="AL70" s="1" t="s">
        <v>1952</v>
      </c>
      <c r="AM70" s="1">
        <v>0.48</v>
      </c>
      <c r="AN70" s="1">
        <v>0.48</v>
      </c>
      <c r="AO70" s="1">
        <v>0.08</v>
      </c>
      <c r="AP70" s="1">
        <v>0.25</v>
      </c>
      <c r="AQ70" s="1">
        <v>1</v>
      </c>
      <c r="AR70" s="1" t="s">
        <v>1476</v>
      </c>
      <c r="AS70" s="1">
        <v>0</v>
      </c>
      <c r="AT70" s="1" t="s">
        <v>1807</v>
      </c>
      <c r="AU70" s="1">
        <v>10</v>
      </c>
      <c r="AV70" s="1">
        <v>6003</v>
      </c>
      <c r="AW70" s="1">
        <v>0</v>
      </c>
    </row>
    <row r="71" spans="1:49" x14ac:dyDescent="0.25">
      <c r="A71" s="1">
        <v>71</v>
      </c>
      <c r="B71" s="1" t="s">
        <v>1953</v>
      </c>
      <c r="C71" s="1" t="s">
        <v>1954</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1948</v>
      </c>
      <c r="AJ71" s="1">
        <v>0</v>
      </c>
      <c r="AK71" s="1" t="s">
        <v>329</v>
      </c>
      <c r="AL71" s="1" t="s">
        <v>1955</v>
      </c>
      <c r="AM71" s="1">
        <v>0.48</v>
      </c>
      <c r="AN71" s="1">
        <v>0.48</v>
      </c>
      <c r="AO71" s="1">
        <v>0.08</v>
      </c>
      <c r="AP71" s="1">
        <v>0.25</v>
      </c>
      <c r="AQ71" s="1">
        <v>1</v>
      </c>
      <c r="AR71" s="1" t="s">
        <v>1490</v>
      </c>
      <c r="AS71" s="1">
        <v>0</v>
      </c>
      <c r="AT71" s="1" t="s">
        <v>1807</v>
      </c>
      <c r="AU71" s="1">
        <v>10</v>
      </c>
      <c r="AV71" s="1">
        <v>6003</v>
      </c>
      <c r="AW71" s="1">
        <v>0</v>
      </c>
    </row>
    <row r="72" spans="1:49" x14ac:dyDescent="0.25">
      <c r="A72" s="1">
        <v>72</v>
      </c>
      <c r="B72" s="1" t="s">
        <v>1956</v>
      </c>
      <c r="C72" s="1" t="s">
        <v>1957</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1948</v>
      </c>
      <c r="AJ72" s="1">
        <v>0</v>
      </c>
      <c r="AK72" s="1" t="s">
        <v>329</v>
      </c>
      <c r="AL72" s="1" t="s">
        <v>1958</v>
      </c>
      <c r="AM72" s="1">
        <v>0.48</v>
      </c>
      <c r="AN72" s="1">
        <v>0.48</v>
      </c>
      <c r="AO72" s="1">
        <v>0.08</v>
      </c>
      <c r="AP72" s="1">
        <v>0.25</v>
      </c>
      <c r="AQ72" s="1">
        <v>1</v>
      </c>
      <c r="AR72" s="1" t="s">
        <v>1490</v>
      </c>
      <c r="AS72" s="1">
        <v>0</v>
      </c>
      <c r="AT72" s="1" t="s">
        <v>1807</v>
      </c>
      <c r="AU72" s="1">
        <v>10</v>
      </c>
      <c r="AV72" s="1">
        <v>6003</v>
      </c>
      <c r="AW72" s="1">
        <v>0</v>
      </c>
    </row>
    <row r="73" spans="1:49" x14ac:dyDescent="0.25">
      <c r="A73" s="1">
        <v>73</v>
      </c>
      <c r="B73" s="1" t="s">
        <v>1959</v>
      </c>
      <c r="C73" s="1" t="s">
        <v>1960</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1844</v>
      </c>
      <c r="AJ73" s="1">
        <v>0</v>
      </c>
      <c r="AK73" s="1" t="s">
        <v>329</v>
      </c>
      <c r="AL73" s="1" t="s">
        <v>1961</v>
      </c>
      <c r="AM73" s="1">
        <v>0</v>
      </c>
      <c r="AN73" s="1">
        <v>0</v>
      </c>
      <c r="AO73" s="1">
        <v>0</v>
      </c>
      <c r="AP73" s="1">
        <v>0</v>
      </c>
      <c r="AQ73" s="1">
        <v>1</v>
      </c>
      <c r="AR73" s="1" t="s">
        <v>329</v>
      </c>
      <c r="AS73" s="1">
        <v>0</v>
      </c>
      <c r="AT73" s="1" t="s">
        <v>1807</v>
      </c>
      <c r="AU73" s="1">
        <v>0</v>
      </c>
      <c r="AV73" s="1">
        <v>7001</v>
      </c>
      <c r="AW73" s="1">
        <v>0</v>
      </c>
    </row>
    <row r="74" spans="1:49" x14ac:dyDescent="0.25">
      <c r="A74" s="1">
        <v>74</v>
      </c>
      <c r="B74" s="1" t="s">
        <v>1962</v>
      </c>
      <c r="C74" s="1" t="s">
        <v>1963</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1844</v>
      </c>
      <c r="AJ74" s="1">
        <v>0</v>
      </c>
      <c r="AK74" s="1" t="s">
        <v>329</v>
      </c>
      <c r="AL74" s="1" t="s">
        <v>1964</v>
      </c>
      <c r="AM74" s="1">
        <v>0.08</v>
      </c>
      <c r="AN74" s="1">
        <v>0.53</v>
      </c>
      <c r="AO74" s="1">
        <v>0.08</v>
      </c>
      <c r="AP74" s="1">
        <v>0.45</v>
      </c>
      <c r="AQ74" s="1">
        <v>1</v>
      </c>
      <c r="AR74" s="1" t="s">
        <v>1491</v>
      </c>
      <c r="AS74" s="1">
        <v>0</v>
      </c>
      <c r="AT74" s="1" t="s">
        <v>1807</v>
      </c>
      <c r="AU74" s="1">
        <v>10</v>
      </c>
      <c r="AV74" s="1">
        <v>7001</v>
      </c>
      <c r="AW74" s="1">
        <v>0</v>
      </c>
    </row>
    <row r="75" spans="1:49" x14ac:dyDescent="0.25">
      <c r="A75" s="1">
        <v>75</v>
      </c>
      <c r="B75" s="1" t="s">
        <v>1965</v>
      </c>
      <c r="C75" s="1" t="s">
        <v>1966</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1844</v>
      </c>
      <c r="AJ75" s="1">
        <v>0</v>
      </c>
      <c r="AK75" s="1" t="s">
        <v>329</v>
      </c>
      <c r="AL75" s="1" t="s">
        <v>1967</v>
      </c>
      <c r="AM75" s="1">
        <v>0.08</v>
      </c>
      <c r="AN75" s="1">
        <v>0.53</v>
      </c>
      <c r="AO75" s="1">
        <v>0.08</v>
      </c>
      <c r="AP75" s="1">
        <v>0.45</v>
      </c>
      <c r="AQ75" s="1">
        <v>1</v>
      </c>
      <c r="AR75" s="1" t="s">
        <v>1492</v>
      </c>
      <c r="AS75" s="1">
        <v>0</v>
      </c>
      <c r="AT75" s="1" t="s">
        <v>1807</v>
      </c>
      <c r="AU75" s="1">
        <v>10</v>
      </c>
      <c r="AV75" s="1">
        <v>7001</v>
      </c>
      <c r="AW75" s="1">
        <v>0</v>
      </c>
    </row>
    <row r="76" spans="1:49" x14ac:dyDescent="0.25">
      <c r="A76" s="1">
        <v>76</v>
      </c>
      <c r="B76" s="1" t="s">
        <v>1968</v>
      </c>
      <c r="C76" s="1" t="s">
        <v>1969</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1844</v>
      </c>
      <c r="AJ76" s="1">
        <v>0</v>
      </c>
      <c r="AK76" s="1" t="s">
        <v>329</v>
      </c>
      <c r="AL76" s="1" t="s">
        <v>1970</v>
      </c>
      <c r="AM76" s="1">
        <v>0.08</v>
      </c>
      <c r="AN76" s="1">
        <v>0.53</v>
      </c>
      <c r="AO76" s="1">
        <v>0.08</v>
      </c>
      <c r="AP76" s="1">
        <v>0.45</v>
      </c>
      <c r="AQ76" s="1">
        <v>1</v>
      </c>
      <c r="AR76" s="1" t="s">
        <v>1491</v>
      </c>
      <c r="AS76" s="1">
        <v>0</v>
      </c>
      <c r="AT76" s="1" t="s">
        <v>1807</v>
      </c>
      <c r="AU76" s="1">
        <v>10</v>
      </c>
      <c r="AV76" s="1">
        <v>7001</v>
      </c>
      <c r="AW76" s="1">
        <v>0</v>
      </c>
    </row>
    <row r="77" spans="1:49" x14ac:dyDescent="0.25">
      <c r="A77" s="1">
        <v>77</v>
      </c>
      <c r="B77" s="1" t="s">
        <v>1971</v>
      </c>
      <c r="C77" s="1" t="s">
        <v>1972</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1844</v>
      </c>
      <c r="AJ77" s="1">
        <v>0</v>
      </c>
      <c r="AK77" s="1" t="s">
        <v>329</v>
      </c>
      <c r="AL77" s="1" t="s">
        <v>1973</v>
      </c>
      <c r="AM77" s="1">
        <v>0</v>
      </c>
      <c r="AN77" s="1">
        <v>0</v>
      </c>
      <c r="AO77" s="1">
        <v>0</v>
      </c>
      <c r="AP77" s="1">
        <v>0</v>
      </c>
      <c r="AQ77" s="1">
        <v>1</v>
      </c>
      <c r="AR77" s="1" t="s">
        <v>329</v>
      </c>
      <c r="AS77" s="1">
        <v>300701</v>
      </c>
      <c r="AT77" s="1" t="s">
        <v>1807</v>
      </c>
      <c r="AU77" s="1">
        <v>0</v>
      </c>
      <c r="AV77" s="1">
        <v>7002</v>
      </c>
      <c r="AW77" s="1">
        <v>0</v>
      </c>
    </row>
    <row r="78" spans="1:49" x14ac:dyDescent="0.25">
      <c r="A78" s="1">
        <v>78</v>
      </c>
      <c r="B78" s="1" t="s">
        <v>1974</v>
      </c>
      <c r="C78" s="1" t="s">
        <v>1975</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1844</v>
      </c>
      <c r="AJ78" s="1">
        <v>0</v>
      </c>
      <c r="AK78" s="1" t="s">
        <v>329</v>
      </c>
      <c r="AL78" s="1" t="s">
        <v>1976</v>
      </c>
      <c r="AM78" s="1">
        <v>0.08</v>
      </c>
      <c r="AN78" s="1">
        <v>0.39</v>
      </c>
      <c r="AO78" s="1">
        <v>0.08</v>
      </c>
      <c r="AP78" s="1">
        <v>0.48</v>
      </c>
      <c r="AQ78" s="1">
        <v>1</v>
      </c>
      <c r="AR78" s="1" t="s">
        <v>1471</v>
      </c>
      <c r="AS78" s="1">
        <v>300701</v>
      </c>
      <c r="AT78" s="1" t="s">
        <v>1807</v>
      </c>
      <c r="AU78" s="1">
        <v>10</v>
      </c>
      <c r="AV78" s="1">
        <v>7002</v>
      </c>
      <c r="AW78" s="1">
        <v>0</v>
      </c>
    </row>
    <row r="79" spans="1:49" x14ac:dyDescent="0.25">
      <c r="A79" s="1">
        <v>79</v>
      </c>
      <c r="B79" s="1" t="s">
        <v>1977</v>
      </c>
      <c r="C79" s="1" t="s">
        <v>1978</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1844</v>
      </c>
      <c r="AJ79" s="1">
        <v>0</v>
      </c>
      <c r="AK79" s="1" t="s">
        <v>329</v>
      </c>
      <c r="AL79" s="1" t="s">
        <v>1979</v>
      </c>
      <c r="AM79" s="1">
        <v>0.08</v>
      </c>
      <c r="AN79" s="1">
        <v>0.39</v>
      </c>
      <c r="AO79" s="1">
        <v>0.08</v>
      </c>
      <c r="AP79" s="1">
        <v>0.48</v>
      </c>
      <c r="AQ79" s="1">
        <v>1</v>
      </c>
      <c r="AR79" s="1" t="s">
        <v>1493</v>
      </c>
      <c r="AS79" s="1">
        <v>300701</v>
      </c>
      <c r="AT79" s="1" t="s">
        <v>1807</v>
      </c>
      <c r="AU79" s="1">
        <v>10</v>
      </c>
      <c r="AV79" s="1">
        <v>7002</v>
      </c>
      <c r="AW79" s="1">
        <v>0</v>
      </c>
    </row>
    <row r="80" spans="1:49" x14ac:dyDescent="0.25">
      <c r="A80" s="1">
        <v>80</v>
      </c>
      <c r="B80" s="1" t="s">
        <v>1980</v>
      </c>
      <c r="C80" s="1" t="s">
        <v>1981</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1844</v>
      </c>
      <c r="AJ80" s="1">
        <v>0</v>
      </c>
      <c r="AK80" s="1" t="s">
        <v>329</v>
      </c>
      <c r="AL80" s="1" t="s">
        <v>1982</v>
      </c>
      <c r="AM80" s="1">
        <v>0.08</v>
      </c>
      <c r="AN80" s="1">
        <v>0.39</v>
      </c>
      <c r="AO80" s="1">
        <v>0.08</v>
      </c>
      <c r="AP80" s="1">
        <v>0.48</v>
      </c>
      <c r="AQ80" s="1">
        <v>1</v>
      </c>
      <c r="AR80" s="1" t="s">
        <v>1494</v>
      </c>
      <c r="AS80" s="1">
        <v>300701</v>
      </c>
      <c r="AT80" s="1" t="s">
        <v>1807</v>
      </c>
      <c r="AU80" s="1">
        <v>10</v>
      </c>
      <c r="AV80" s="1">
        <v>7002</v>
      </c>
      <c r="AW80" s="1">
        <v>0</v>
      </c>
    </row>
    <row r="81" spans="1:49" x14ac:dyDescent="0.25">
      <c r="A81" s="1">
        <v>81</v>
      </c>
      <c r="B81" s="1" t="s">
        <v>5591</v>
      </c>
      <c r="C81" s="1" t="s">
        <v>5592</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5593</v>
      </c>
      <c r="AH81" s="1">
        <v>3060</v>
      </c>
      <c r="AI81" s="1" t="s">
        <v>1919</v>
      </c>
      <c r="AJ81" s="1">
        <v>0</v>
      </c>
      <c r="AK81" s="1" t="s">
        <v>329</v>
      </c>
      <c r="AL81" s="1" t="s">
        <v>5594</v>
      </c>
      <c r="AM81" s="1">
        <v>0.23</v>
      </c>
      <c r="AN81" s="1">
        <v>0.23</v>
      </c>
      <c r="AO81" s="1">
        <v>0.33</v>
      </c>
      <c r="AP81" s="1">
        <v>0.33</v>
      </c>
      <c r="AQ81" s="1">
        <v>1</v>
      </c>
      <c r="AR81" s="1" t="s">
        <v>1478</v>
      </c>
      <c r="AS81" s="1">
        <v>0</v>
      </c>
      <c r="AT81" s="1" t="s">
        <v>1807</v>
      </c>
      <c r="AU81" s="1">
        <v>10</v>
      </c>
      <c r="AV81" s="1">
        <v>11001</v>
      </c>
      <c r="AW81" s="1">
        <v>0</v>
      </c>
    </row>
    <row r="82" spans="1:49" x14ac:dyDescent="0.25">
      <c r="A82" s="1">
        <v>82</v>
      </c>
      <c r="B82" s="1" t="s">
        <v>5595</v>
      </c>
      <c r="C82" s="1" t="s">
        <v>5596</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5597</v>
      </c>
      <c r="AH82" s="1">
        <v>3240</v>
      </c>
      <c r="AI82" s="1" t="s">
        <v>1919</v>
      </c>
      <c r="AJ82" s="1">
        <v>0</v>
      </c>
      <c r="AK82" s="1" t="s">
        <v>329</v>
      </c>
      <c r="AL82" s="1" t="s">
        <v>5598</v>
      </c>
      <c r="AM82" s="1">
        <v>0.08</v>
      </c>
      <c r="AN82" s="1">
        <v>0.53</v>
      </c>
      <c r="AO82" s="1">
        <v>0.08</v>
      </c>
      <c r="AP82" s="1">
        <v>0.45</v>
      </c>
      <c r="AQ82" s="1">
        <v>1</v>
      </c>
      <c r="AR82" s="1" t="s">
        <v>1491</v>
      </c>
      <c r="AS82" s="1">
        <v>0</v>
      </c>
      <c r="AT82" s="1" t="s">
        <v>1807</v>
      </c>
      <c r="AU82" s="1">
        <v>10</v>
      </c>
      <c r="AV82" s="1">
        <v>7001</v>
      </c>
      <c r="AW82" s="1">
        <v>0</v>
      </c>
    </row>
    <row r="83" spans="1:49" x14ac:dyDescent="0.25">
      <c r="A83" s="1">
        <v>83</v>
      </c>
      <c r="B83" s="1" t="s">
        <v>1983</v>
      </c>
      <c r="C83" s="1" t="s">
        <v>1984</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1985</v>
      </c>
      <c r="AJ83" s="1">
        <v>0</v>
      </c>
      <c r="AK83" s="1" t="s">
        <v>396</v>
      </c>
      <c r="AL83" s="1" t="s">
        <v>1986</v>
      </c>
      <c r="AM83" s="1">
        <v>0.45</v>
      </c>
      <c r="AN83" s="1">
        <v>0.15</v>
      </c>
      <c r="AO83" s="1">
        <v>0.3</v>
      </c>
      <c r="AP83" s="1">
        <v>0.15</v>
      </c>
      <c r="AQ83" s="1">
        <v>3</v>
      </c>
      <c r="AR83" s="1" t="s">
        <v>1495</v>
      </c>
      <c r="AS83" s="1">
        <v>0</v>
      </c>
      <c r="AT83" s="1" t="s">
        <v>1807</v>
      </c>
      <c r="AU83" s="1">
        <v>10</v>
      </c>
      <c r="AV83" s="1">
        <v>18001</v>
      </c>
      <c r="AW83" s="1">
        <v>0</v>
      </c>
    </row>
    <row r="84" spans="1:49" x14ac:dyDescent="0.25">
      <c r="A84" s="1">
        <v>84</v>
      </c>
      <c r="B84" s="1" t="s">
        <v>1987</v>
      </c>
      <c r="C84" s="1" t="s">
        <v>1988</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1985</v>
      </c>
      <c r="AJ84" s="1">
        <v>0</v>
      </c>
      <c r="AK84" s="1" t="s">
        <v>396</v>
      </c>
      <c r="AL84" s="1" t="s">
        <v>1989</v>
      </c>
      <c r="AM84" s="1">
        <v>0.45</v>
      </c>
      <c r="AN84" s="1">
        <v>0.15</v>
      </c>
      <c r="AO84" s="1">
        <v>0.3</v>
      </c>
      <c r="AP84" s="1">
        <v>0.15</v>
      </c>
      <c r="AQ84" s="1">
        <v>3</v>
      </c>
      <c r="AR84" s="1" t="s">
        <v>1496</v>
      </c>
      <c r="AS84" s="1">
        <v>0</v>
      </c>
      <c r="AT84" s="1" t="s">
        <v>1807</v>
      </c>
      <c r="AU84" s="1">
        <v>10</v>
      </c>
      <c r="AV84" s="1">
        <v>18002</v>
      </c>
      <c r="AW84" s="1">
        <v>0</v>
      </c>
    </row>
    <row r="85" spans="1:49" x14ac:dyDescent="0.25">
      <c r="A85" s="1">
        <v>85</v>
      </c>
      <c r="B85" s="1" t="s">
        <v>1990</v>
      </c>
      <c r="C85" s="1" t="s">
        <v>1991</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1985</v>
      </c>
      <c r="AJ85" s="1">
        <v>0</v>
      </c>
      <c r="AK85" s="1" t="s">
        <v>396</v>
      </c>
      <c r="AL85" s="1" t="s">
        <v>1992</v>
      </c>
      <c r="AM85" s="1">
        <v>0.45</v>
      </c>
      <c r="AN85" s="1">
        <v>0.15</v>
      </c>
      <c r="AO85" s="1">
        <v>0.3</v>
      </c>
      <c r="AP85" s="1">
        <v>0.15</v>
      </c>
      <c r="AQ85" s="1">
        <v>3</v>
      </c>
      <c r="AR85" s="1" t="s">
        <v>1497</v>
      </c>
      <c r="AS85" s="1">
        <v>0</v>
      </c>
      <c r="AT85" s="1" t="s">
        <v>1807</v>
      </c>
      <c r="AU85" s="1">
        <v>10</v>
      </c>
      <c r="AV85" s="1">
        <v>18003</v>
      </c>
      <c r="AW85" s="1">
        <v>0</v>
      </c>
    </row>
    <row r="86" spans="1:49" x14ac:dyDescent="0.25">
      <c r="A86" s="1">
        <v>86</v>
      </c>
      <c r="B86" s="1" t="s">
        <v>1993</v>
      </c>
      <c r="C86" s="1" t="s">
        <v>1994</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1919</v>
      </c>
      <c r="AJ86" s="1">
        <v>0</v>
      </c>
      <c r="AK86" s="1" t="s">
        <v>401</v>
      </c>
      <c r="AL86" s="1" t="s">
        <v>1995</v>
      </c>
      <c r="AM86" s="1">
        <v>0.6</v>
      </c>
      <c r="AN86" s="1">
        <v>0.16</v>
      </c>
      <c r="AO86" s="1">
        <v>0.6</v>
      </c>
      <c r="AP86" s="1">
        <v>0.16</v>
      </c>
      <c r="AQ86" s="1">
        <v>3</v>
      </c>
      <c r="AR86" s="1" t="s">
        <v>1498</v>
      </c>
      <c r="AS86" s="1">
        <v>0</v>
      </c>
      <c r="AT86" s="1" t="s">
        <v>1807</v>
      </c>
      <c r="AU86" s="1">
        <v>10</v>
      </c>
      <c r="AV86" s="1">
        <v>20003</v>
      </c>
      <c r="AW86" s="1">
        <v>0</v>
      </c>
    </row>
    <row r="87" spans="1:49" x14ac:dyDescent="0.25">
      <c r="A87" s="1">
        <v>87</v>
      </c>
      <c r="B87" s="1" t="s">
        <v>1996</v>
      </c>
      <c r="C87" s="1" t="s">
        <v>1997</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1844</v>
      </c>
      <c r="AJ87" s="1">
        <v>0</v>
      </c>
      <c r="AK87" s="1" t="s">
        <v>329</v>
      </c>
      <c r="AL87" s="1" t="s">
        <v>1998</v>
      </c>
      <c r="AM87" s="1">
        <v>0</v>
      </c>
      <c r="AN87" s="1">
        <v>0</v>
      </c>
      <c r="AO87" s="1">
        <v>0</v>
      </c>
      <c r="AP87" s="1">
        <v>0</v>
      </c>
      <c r="AQ87" s="1">
        <v>1</v>
      </c>
      <c r="AR87" s="1" t="s">
        <v>329</v>
      </c>
      <c r="AS87" s="1">
        <v>0</v>
      </c>
      <c r="AT87" s="1" t="s">
        <v>1807</v>
      </c>
      <c r="AU87" s="1">
        <v>0</v>
      </c>
      <c r="AV87" s="1">
        <v>15001</v>
      </c>
      <c r="AW87" s="1">
        <v>0</v>
      </c>
    </row>
    <row r="88" spans="1:49" x14ac:dyDescent="0.25">
      <c r="A88" s="1">
        <v>88</v>
      </c>
      <c r="B88" s="1" t="s">
        <v>1999</v>
      </c>
      <c r="C88" s="1" t="s">
        <v>2000</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1844</v>
      </c>
      <c r="AJ88" s="1">
        <v>0</v>
      </c>
      <c r="AK88" s="1" t="s">
        <v>329</v>
      </c>
      <c r="AL88" s="1" t="s">
        <v>2001</v>
      </c>
      <c r="AM88" s="1">
        <v>0.55000000000000004</v>
      </c>
      <c r="AN88" s="1">
        <v>0.16</v>
      </c>
      <c r="AO88" s="1">
        <v>0.6</v>
      </c>
      <c r="AP88" s="1">
        <v>0.16</v>
      </c>
      <c r="AQ88" s="1">
        <v>1</v>
      </c>
      <c r="AR88" s="1" t="s">
        <v>1499</v>
      </c>
      <c r="AS88" s="1">
        <v>0</v>
      </c>
      <c r="AT88" s="1" t="s">
        <v>1807</v>
      </c>
      <c r="AU88" s="1">
        <v>10</v>
      </c>
      <c r="AV88" s="1">
        <v>15001</v>
      </c>
      <c r="AW88" s="1">
        <v>0</v>
      </c>
    </row>
    <row r="89" spans="1:49" x14ac:dyDescent="0.25">
      <c r="A89" s="1">
        <v>89</v>
      </c>
      <c r="B89" s="1" t="s">
        <v>2002</v>
      </c>
      <c r="C89" s="1" t="s">
        <v>2003</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1844</v>
      </c>
      <c r="AJ89" s="1">
        <v>0</v>
      </c>
      <c r="AK89" s="1" t="s">
        <v>329</v>
      </c>
      <c r="AL89" s="1" t="s">
        <v>2004</v>
      </c>
      <c r="AM89" s="1">
        <v>0.55000000000000004</v>
      </c>
      <c r="AN89" s="1">
        <v>0.16</v>
      </c>
      <c r="AO89" s="1">
        <v>0.6</v>
      </c>
      <c r="AP89" s="1">
        <v>0.16</v>
      </c>
      <c r="AQ89" s="1">
        <v>1</v>
      </c>
      <c r="AR89" s="1" t="s">
        <v>1500</v>
      </c>
      <c r="AS89" s="1">
        <v>0</v>
      </c>
      <c r="AT89" s="1" t="s">
        <v>1807</v>
      </c>
      <c r="AU89" s="1">
        <v>10</v>
      </c>
      <c r="AV89" s="1">
        <v>15001</v>
      </c>
      <c r="AW89" s="1">
        <v>0</v>
      </c>
    </row>
    <row r="90" spans="1:49" x14ac:dyDescent="0.25">
      <c r="A90" s="1">
        <v>90</v>
      </c>
      <c r="B90" s="1" t="s">
        <v>2005</v>
      </c>
      <c r="C90" s="1" t="s">
        <v>2006</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1844</v>
      </c>
      <c r="AJ90" s="1">
        <v>0</v>
      </c>
      <c r="AK90" s="1" t="s">
        <v>329</v>
      </c>
      <c r="AL90" s="1" t="s">
        <v>2007</v>
      </c>
      <c r="AM90" s="1">
        <v>0.55000000000000004</v>
      </c>
      <c r="AN90" s="1">
        <v>0.16</v>
      </c>
      <c r="AO90" s="1">
        <v>0.6</v>
      </c>
      <c r="AP90" s="1">
        <v>0.16</v>
      </c>
      <c r="AQ90" s="1">
        <v>1</v>
      </c>
      <c r="AR90" s="1" t="s">
        <v>1501</v>
      </c>
      <c r="AS90" s="1">
        <v>0</v>
      </c>
      <c r="AT90" s="1" t="s">
        <v>1807</v>
      </c>
      <c r="AU90" s="1">
        <v>10</v>
      </c>
      <c r="AV90" s="1">
        <v>15001</v>
      </c>
      <c r="AW90" s="1">
        <v>0</v>
      </c>
    </row>
    <row r="91" spans="1:49" x14ac:dyDescent="0.25">
      <c r="A91" s="1">
        <v>91</v>
      </c>
      <c r="B91" s="1" t="s">
        <v>2008</v>
      </c>
      <c r="C91" s="1" t="s">
        <v>2009</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2010</v>
      </c>
      <c r="AJ91" s="1">
        <v>0</v>
      </c>
      <c r="AK91" s="1" t="s">
        <v>372</v>
      </c>
      <c r="AL91" s="1" t="s">
        <v>2011</v>
      </c>
      <c r="AM91" s="1">
        <v>0.23</v>
      </c>
      <c r="AN91" s="1">
        <v>0.23</v>
      </c>
      <c r="AO91" s="1">
        <v>0.33</v>
      </c>
      <c r="AP91" s="1">
        <v>0.33</v>
      </c>
      <c r="AQ91" s="1">
        <v>3</v>
      </c>
      <c r="AR91" s="1" t="s">
        <v>1502</v>
      </c>
      <c r="AS91" s="1">
        <v>0</v>
      </c>
      <c r="AT91" s="1" t="s">
        <v>1807</v>
      </c>
      <c r="AU91" s="1">
        <v>10</v>
      </c>
      <c r="AV91" s="1">
        <v>20004</v>
      </c>
      <c r="AW91" s="1">
        <v>0</v>
      </c>
    </row>
    <row r="92" spans="1:49" x14ac:dyDescent="0.25">
      <c r="A92" s="1">
        <v>92</v>
      </c>
      <c r="B92" s="1" t="s">
        <v>2012</v>
      </c>
      <c r="C92" s="1" t="s">
        <v>2013</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1844</v>
      </c>
      <c r="AJ92" s="1">
        <v>0</v>
      </c>
      <c r="AK92" s="1" t="s">
        <v>406</v>
      </c>
      <c r="AL92" s="1" t="s">
        <v>2014</v>
      </c>
      <c r="AM92" s="1">
        <v>0.3</v>
      </c>
      <c r="AN92" s="1">
        <v>0.23</v>
      </c>
      <c r="AO92" s="1">
        <v>0.15</v>
      </c>
      <c r="AP92" s="1">
        <v>0.38</v>
      </c>
      <c r="AQ92" s="1">
        <v>3</v>
      </c>
      <c r="AR92" s="1" t="s">
        <v>1503</v>
      </c>
      <c r="AS92" s="1">
        <v>0</v>
      </c>
      <c r="AT92" s="1" t="s">
        <v>1807</v>
      </c>
      <c r="AU92" s="1">
        <v>10</v>
      </c>
      <c r="AV92" s="1">
        <v>20005</v>
      </c>
      <c r="AW92" s="1">
        <v>0</v>
      </c>
    </row>
    <row r="93" spans="1:49" x14ac:dyDescent="0.25">
      <c r="A93" s="1">
        <v>93</v>
      </c>
      <c r="B93" s="1" t="s">
        <v>2015</v>
      </c>
      <c r="C93" s="1" t="s">
        <v>2016</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2017</v>
      </c>
      <c r="AJ93" s="1">
        <v>0</v>
      </c>
      <c r="AK93" s="1" t="s">
        <v>408</v>
      </c>
      <c r="AL93" s="1" t="s">
        <v>2018</v>
      </c>
      <c r="AM93" s="1">
        <v>0.33</v>
      </c>
      <c r="AN93" s="1">
        <v>0.22</v>
      </c>
      <c r="AO93" s="1">
        <v>0.5</v>
      </c>
      <c r="AP93" s="1">
        <v>0.18</v>
      </c>
      <c r="AQ93" s="1">
        <v>3</v>
      </c>
      <c r="AR93" s="1" t="s">
        <v>1483</v>
      </c>
      <c r="AS93" s="1">
        <v>0</v>
      </c>
      <c r="AT93" s="1" t="s">
        <v>1807</v>
      </c>
      <c r="AU93" s="1">
        <v>10</v>
      </c>
      <c r="AV93" s="1">
        <v>18004</v>
      </c>
      <c r="AW93" s="1">
        <v>0</v>
      </c>
    </row>
    <row r="94" spans="1:49" x14ac:dyDescent="0.25">
      <c r="A94" s="1">
        <v>94</v>
      </c>
      <c r="B94" s="1" t="s">
        <v>2019</v>
      </c>
      <c r="C94" s="1" t="s">
        <v>2020</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1919</v>
      </c>
      <c r="AJ94" s="1">
        <v>0</v>
      </c>
      <c r="AK94" s="1" t="s">
        <v>410</v>
      </c>
      <c r="AL94" s="1" t="s">
        <v>2021</v>
      </c>
      <c r="AM94" s="1">
        <v>0.1</v>
      </c>
      <c r="AN94" s="1">
        <v>0.1</v>
      </c>
      <c r="AO94" s="1">
        <v>0.1</v>
      </c>
      <c r="AP94" s="1">
        <v>0.55000000000000004</v>
      </c>
      <c r="AQ94" s="1">
        <v>3</v>
      </c>
      <c r="AR94" s="1" t="s">
        <v>1504</v>
      </c>
      <c r="AS94" s="1">
        <v>0</v>
      </c>
      <c r="AT94" s="1" t="s">
        <v>1807</v>
      </c>
      <c r="AU94" s="1">
        <v>10</v>
      </c>
      <c r="AV94" s="1">
        <v>20006</v>
      </c>
      <c r="AW94" s="1">
        <v>0</v>
      </c>
    </row>
    <row r="95" spans="1:49" x14ac:dyDescent="0.25">
      <c r="A95" s="1">
        <v>95</v>
      </c>
      <c r="B95" s="1" t="s">
        <v>5599</v>
      </c>
      <c r="C95" s="1" t="s">
        <v>5600</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5601</v>
      </c>
      <c r="AH95" s="1">
        <v>3180</v>
      </c>
      <c r="AI95" s="1" t="s">
        <v>1919</v>
      </c>
      <c r="AJ95" s="1">
        <v>0</v>
      </c>
      <c r="AK95" s="1" t="s">
        <v>329</v>
      </c>
      <c r="AL95" s="1" t="s">
        <v>5602</v>
      </c>
      <c r="AM95" s="1">
        <v>0.48</v>
      </c>
      <c r="AN95" s="1">
        <v>0.48</v>
      </c>
      <c r="AO95" s="1">
        <v>0.08</v>
      </c>
      <c r="AP95" s="1">
        <v>0.25</v>
      </c>
      <c r="AQ95" s="1">
        <v>1</v>
      </c>
      <c r="AR95" s="1" t="s">
        <v>1490</v>
      </c>
      <c r="AS95" s="1">
        <v>0</v>
      </c>
      <c r="AT95" s="1" t="s">
        <v>1807</v>
      </c>
      <c r="AU95" s="1">
        <v>10</v>
      </c>
      <c r="AV95" s="1">
        <v>6003</v>
      </c>
      <c r="AW95" s="1">
        <v>0</v>
      </c>
    </row>
    <row r="96" spans="1:49" x14ac:dyDescent="0.25">
      <c r="A96" s="1">
        <v>96</v>
      </c>
      <c r="B96" s="1" t="s">
        <v>5603</v>
      </c>
      <c r="C96" s="1" t="s">
        <v>5604</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5605</v>
      </c>
      <c r="AH96" s="1">
        <v>3360</v>
      </c>
      <c r="AI96" s="1" t="s">
        <v>1919</v>
      </c>
      <c r="AJ96" s="1">
        <v>0</v>
      </c>
      <c r="AK96" s="1" t="s">
        <v>329</v>
      </c>
      <c r="AL96" s="1" t="s">
        <v>5606</v>
      </c>
      <c r="AM96" s="1">
        <v>0.55000000000000004</v>
      </c>
      <c r="AN96" s="1">
        <v>0.16</v>
      </c>
      <c r="AO96" s="1">
        <v>0.6</v>
      </c>
      <c r="AP96" s="1">
        <v>0.16</v>
      </c>
      <c r="AQ96" s="1">
        <v>1</v>
      </c>
      <c r="AR96" s="1" t="s">
        <v>1501</v>
      </c>
      <c r="AS96" s="1">
        <v>0</v>
      </c>
      <c r="AT96" s="1" t="s">
        <v>1807</v>
      </c>
      <c r="AU96" s="1">
        <v>10</v>
      </c>
      <c r="AV96" s="1">
        <v>15001</v>
      </c>
      <c r="AW96" s="1">
        <v>0</v>
      </c>
    </row>
    <row r="97" spans="1:49" x14ac:dyDescent="0.25">
      <c r="A97" s="1">
        <v>97</v>
      </c>
      <c r="B97" s="1" t="s">
        <v>5607</v>
      </c>
      <c r="C97" s="1" t="s">
        <v>5608</v>
      </c>
      <c r="D97" s="1">
        <v>5</v>
      </c>
      <c r="E97" s="1">
        <v>3</v>
      </c>
      <c r="F97" s="1">
        <v>20</v>
      </c>
      <c r="G97" s="1" t="s">
        <v>329</v>
      </c>
      <c r="H97" s="1" t="s">
        <v>329</v>
      </c>
      <c r="I97" s="1" t="s">
        <v>329</v>
      </c>
      <c r="J97" s="1" t="s">
        <v>329</v>
      </c>
      <c r="K97" s="1" t="s">
        <v>329</v>
      </c>
      <c r="L97" s="1" t="s">
        <v>329</v>
      </c>
      <c r="M97" s="1" t="s">
        <v>329</v>
      </c>
      <c r="N97" s="1" t="s">
        <v>329</v>
      </c>
      <c r="O97" s="1" t="s">
        <v>5609</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5550</v>
      </c>
      <c r="AH97" s="1">
        <v>3600</v>
      </c>
      <c r="AI97" s="1" t="s">
        <v>329</v>
      </c>
      <c r="AJ97" s="1">
        <v>0</v>
      </c>
      <c r="AK97" s="1" t="s">
        <v>5610</v>
      </c>
      <c r="AL97" s="1" t="s">
        <v>5611</v>
      </c>
      <c r="AM97" s="1">
        <v>100</v>
      </c>
      <c r="AN97" s="1">
        <v>100</v>
      </c>
      <c r="AO97" s="1">
        <v>100</v>
      </c>
      <c r="AP97" s="1">
        <v>100</v>
      </c>
      <c r="AQ97" s="1">
        <v>1</v>
      </c>
      <c r="AR97" s="1" t="s">
        <v>1478</v>
      </c>
      <c r="AS97" s="1">
        <v>0</v>
      </c>
      <c r="AT97" s="1" t="s">
        <v>1807</v>
      </c>
      <c r="AU97" s="1">
        <v>10</v>
      </c>
      <c r="AV97" s="1">
        <v>20007</v>
      </c>
      <c r="AW97" s="1">
        <v>0</v>
      </c>
    </row>
    <row r="98" spans="1:49" x14ac:dyDescent="0.25">
      <c r="A98" s="1">
        <v>98</v>
      </c>
      <c r="B98" s="1" t="s">
        <v>5612</v>
      </c>
      <c r="C98" s="1" t="s">
        <v>5613</v>
      </c>
      <c r="D98" s="1">
        <v>5</v>
      </c>
      <c r="E98" s="1">
        <v>2</v>
      </c>
      <c r="F98" s="1">
        <v>19</v>
      </c>
      <c r="G98" s="1" t="s">
        <v>329</v>
      </c>
      <c r="H98" s="1" t="s">
        <v>329</v>
      </c>
      <c r="I98" s="1" t="s">
        <v>329</v>
      </c>
      <c r="J98" s="1" t="s">
        <v>329</v>
      </c>
      <c r="K98" s="1" t="s">
        <v>329</v>
      </c>
      <c r="L98" s="1" t="s">
        <v>329</v>
      </c>
      <c r="M98" s="1" t="s">
        <v>329</v>
      </c>
      <c r="N98" s="1" t="s">
        <v>5609</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5510</v>
      </c>
      <c r="AH98" s="1">
        <v>3600</v>
      </c>
      <c r="AI98" s="1" t="s">
        <v>329</v>
      </c>
      <c r="AJ98" s="1">
        <v>0</v>
      </c>
      <c r="AK98" s="1" t="s">
        <v>5610</v>
      </c>
      <c r="AL98" s="1" t="s">
        <v>5614</v>
      </c>
      <c r="AM98" s="1">
        <v>100</v>
      </c>
      <c r="AN98" s="1">
        <v>100</v>
      </c>
      <c r="AO98" s="1">
        <v>100</v>
      </c>
      <c r="AP98" s="1">
        <v>100</v>
      </c>
      <c r="AQ98" s="1">
        <v>1</v>
      </c>
      <c r="AR98" s="1" t="s">
        <v>1472</v>
      </c>
      <c r="AS98" s="1">
        <v>0</v>
      </c>
      <c r="AT98" s="1" t="s">
        <v>1807</v>
      </c>
      <c r="AU98" s="1">
        <v>10</v>
      </c>
      <c r="AV98" s="1">
        <v>19003</v>
      </c>
      <c r="AW98" s="1">
        <v>0</v>
      </c>
    </row>
    <row r="99" spans="1:49" x14ac:dyDescent="0.25">
      <c r="A99" s="1">
        <v>99</v>
      </c>
      <c r="B99" s="1" t="s">
        <v>2022</v>
      </c>
      <c r="C99" s="1" t="s">
        <v>2023</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1919</v>
      </c>
      <c r="AJ99" s="1">
        <v>0</v>
      </c>
      <c r="AK99" s="1" t="s">
        <v>412</v>
      </c>
      <c r="AL99" s="1" t="s">
        <v>2024</v>
      </c>
      <c r="AM99" s="1">
        <v>0.15</v>
      </c>
      <c r="AN99" s="1">
        <v>0.6</v>
      </c>
      <c r="AO99" s="1">
        <v>0.6</v>
      </c>
      <c r="AP99" s="1">
        <v>0.15</v>
      </c>
      <c r="AQ99" s="1">
        <v>3</v>
      </c>
      <c r="AR99" s="1" t="s">
        <v>1505</v>
      </c>
      <c r="AS99" s="1">
        <v>0</v>
      </c>
      <c r="AT99" s="1" t="s">
        <v>1807</v>
      </c>
      <c r="AU99" s="1">
        <v>10</v>
      </c>
      <c r="AV99" s="1">
        <v>20008</v>
      </c>
      <c r="AW99" s="1">
        <v>0</v>
      </c>
    </row>
    <row r="100" spans="1:49" x14ac:dyDescent="0.25">
      <c r="A100" s="1">
        <v>100</v>
      </c>
      <c r="B100" s="1" t="s">
        <v>2025</v>
      </c>
      <c r="C100" s="1" t="s">
        <v>2026</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1683</v>
      </c>
      <c r="AH100" s="1">
        <v>3600</v>
      </c>
      <c r="AI100" s="1" t="s">
        <v>1919</v>
      </c>
      <c r="AJ100" s="1">
        <v>0</v>
      </c>
      <c r="AK100" s="1" t="s">
        <v>413</v>
      </c>
      <c r="AL100" s="1" t="s">
        <v>2027</v>
      </c>
      <c r="AM100" s="1">
        <v>0.5</v>
      </c>
      <c r="AN100" s="1">
        <v>0.25</v>
      </c>
      <c r="AO100" s="1">
        <v>0.55000000000000004</v>
      </c>
      <c r="AP100" s="1">
        <v>0.15</v>
      </c>
      <c r="AQ100" s="1">
        <v>3</v>
      </c>
      <c r="AR100" s="1" t="s">
        <v>1506</v>
      </c>
      <c r="AS100" s="1">
        <v>0</v>
      </c>
      <c r="AT100" s="1" t="s">
        <v>1807</v>
      </c>
      <c r="AU100" s="1">
        <v>10</v>
      </c>
      <c r="AV100" s="1">
        <v>18005</v>
      </c>
      <c r="AW100" s="1">
        <v>0</v>
      </c>
    </row>
    <row r="101" spans="1:49" x14ac:dyDescent="0.25">
      <c r="A101" s="1">
        <v>101</v>
      </c>
      <c r="B101" s="1" t="s">
        <v>2028</v>
      </c>
      <c r="C101" s="1" t="s">
        <v>2029</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2030</v>
      </c>
      <c r="AJ101" s="1">
        <v>0</v>
      </c>
      <c r="AK101" s="1" t="s">
        <v>415</v>
      </c>
      <c r="AL101" s="1" t="s">
        <v>2031</v>
      </c>
      <c r="AM101" s="1">
        <v>0.48</v>
      </c>
      <c r="AN101" s="1">
        <v>0.48</v>
      </c>
      <c r="AO101" s="1">
        <v>0.08</v>
      </c>
      <c r="AP101" s="1">
        <v>0.25</v>
      </c>
      <c r="AQ101" s="1">
        <v>3</v>
      </c>
      <c r="AR101" s="1" t="s">
        <v>1507</v>
      </c>
      <c r="AS101" s="1">
        <v>0</v>
      </c>
      <c r="AT101" s="1" t="s">
        <v>1807</v>
      </c>
      <c r="AU101" s="1">
        <v>10</v>
      </c>
      <c r="AV101" s="1">
        <v>19004</v>
      </c>
      <c r="AW101" s="1">
        <v>0</v>
      </c>
    </row>
    <row r="102" spans="1:49" x14ac:dyDescent="0.25">
      <c r="A102" s="1">
        <v>102</v>
      </c>
      <c r="B102" s="1" t="s">
        <v>2032</v>
      </c>
      <c r="C102" s="1" t="s">
        <v>2033</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2034</v>
      </c>
      <c r="AJ102" s="1">
        <v>0</v>
      </c>
      <c r="AK102" s="1" t="s">
        <v>417</v>
      </c>
      <c r="AL102" s="1" t="s">
        <v>2035</v>
      </c>
      <c r="AM102" s="1">
        <v>0.3</v>
      </c>
      <c r="AN102" s="1">
        <v>0.25</v>
      </c>
      <c r="AO102" s="1">
        <v>0.12</v>
      </c>
      <c r="AP102" s="1">
        <v>0.38</v>
      </c>
      <c r="AQ102" s="1">
        <v>3</v>
      </c>
      <c r="AR102" s="1" t="s">
        <v>1508</v>
      </c>
      <c r="AS102" s="1">
        <v>0</v>
      </c>
      <c r="AT102" s="1" t="s">
        <v>1807</v>
      </c>
      <c r="AU102" s="1">
        <v>10</v>
      </c>
      <c r="AV102" s="1">
        <v>20009</v>
      </c>
      <c r="AW102" s="1">
        <v>0</v>
      </c>
    </row>
    <row r="103" spans="1:49" x14ac:dyDescent="0.25">
      <c r="A103" s="1">
        <v>103</v>
      </c>
      <c r="B103" s="1" t="s">
        <v>2036</v>
      </c>
      <c r="C103" s="1" t="s">
        <v>2037</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2038</v>
      </c>
      <c r="AJ103" s="1">
        <v>0</v>
      </c>
      <c r="AK103" s="1" t="s">
        <v>418</v>
      </c>
      <c r="AL103" s="1" t="s">
        <v>2039</v>
      </c>
      <c r="AM103" s="1">
        <v>0.55000000000000004</v>
      </c>
      <c r="AN103" s="1">
        <v>0.25</v>
      </c>
      <c r="AO103" s="1">
        <v>0.25</v>
      </c>
      <c r="AP103" s="1">
        <v>0.23</v>
      </c>
      <c r="AQ103" s="1">
        <v>3</v>
      </c>
      <c r="AR103" s="1" t="s">
        <v>1509</v>
      </c>
      <c r="AS103" s="1">
        <v>0</v>
      </c>
      <c r="AT103" s="1" t="s">
        <v>1807</v>
      </c>
      <c r="AU103" s="1">
        <v>10</v>
      </c>
      <c r="AV103" s="1">
        <v>18006</v>
      </c>
      <c r="AW103" s="1">
        <v>0</v>
      </c>
    </row>
    <row r="104" spans="1:49" x14ac:dyDescent="0.25">
      <c r="A104" s="1">
        <v>104</v>
      </c>
      <c r="B104" s="1" t="s">
        <v>2040</v>
      </c>
      <c r="C104" s="1" t="s">
        <v>2041</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1418</v>
      </c>
      <c r="AH104" s="1">
        <v>3600</v>
      </c>
      <c r="AI104" s="1" t="s">
        <v>2042</v>
      </c>
      <c r="AJ104" s="1">
        <v>0</v>
      </c>
      <c r="AK104" s="1" t="s">
        <v>419</v>
      </c>
      <c r="AL104" s="1" t="s">
        <v>2043</v>
      </c>
      <c r="AM104" s="1">
        <v>0.4</v>
      </c>
      <c r="AN104" s="1">
        <v>0.2</v>
      </c>
      <c r="AO104" s="1">
        <v>0.6</v>
      </c>
      <c r="AP104" s="1">
        <v>0.18</v>
      </c>
      <c r="AQ104" s="1">
        <v>3</v>
      </c>
      <c r="AR104" s="1" t="s">
        <v>1510</v>
      </c>
      <c r="AS104" s="1">
        <v>0</v>
      </c>
      <c r="AT104" s="1" t="s">
        <v>1807</v>
      </c>
      <c r="AU104" s="1">
        <v>10</v>
      </c>
      <c r="AV104" s="1">
        <v>18007</v>
      </c>
      <c r="AW104" s="1">
        <v>0</v>
      </c>
    </row>
    <row r="105" spans="1:49" x14ac:dyDescent="0.25">
      <c r="A105" s="1">
        <v>105</v>
      </c>
      <c r="B105" s="1" t="s">
        <v>2044</v>
      </c>
      <c r="C105" s="1" t="s">
        <v>2045</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2046</v>
      </c>
      <c r="AJ105" s="1">
        <v>0</v>
      </c>
      <c r="AK105" s="1" t="s">
        <v>368</v>
      </c>
      <c r="AL105" s="1" t="s">
        <v>2047</v>
      </c>
      <c r="AM105" s="1">
        <v>0.45</v>
      </c>
      <c r="AN105" s="1">
        <v>0.15</v>
      </c>
      <c r="AO105" s="1">
        <v>0.3</v>
      </c>
      <c r="AP105" s="1">
        <v>0.15</v>
      </c>
      <c r="AQ105" s="1">
        <v>3</v>
      </c>
      <c r="AR105" s="1" t="s">
        <v>1511</v>
      </c>
      <c r="AS105" s="1">
        <v>0</v>
      </c>
      <c r="AT105" s="1" t="s">
        <v>1807</v>
      </c>
      <c r="AU105" s="1">
        <v>10</v>
      </c>
      <c r="AV105" s="1">
        <v>18008</v>
      </c>
      <c r="AW105" s="1">
        <v>0</v>
      </c>
    </row>
    <row r="106" spans="1:49" x14ac:dyDescent="0.25">
      <c r="A106" s="1">
        <v>106</v>
      </c>
      <c r="B106" s="1" t="s">
        <v>2048</v>
      </c>
      <c r="C106" s="1" t="s">
        <v>2049</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1919</v>
      </c>
      <c r="AJ106" s="1">
        <v>0</v>
      </c>
      <c r="AK106" s="1" t="s">
        <v>421</v>
      </c>
      <c r="AL106" s="1" t="s">
        <v>2050</v>
      </c>
      <c r="AM106" s="1">
        <v>0.45</v>
      </c>
      <c r="AN106" s="1">
        <v>0.15</v>
      </c>
      <c r="AO106" s="1">
        <v>0.3</v>
      </c>
      <c r="AP106" s="1">
        <v>0.15</v>
      </c>
      <c r="AQ106" s="1">
        <v>3</v>
      </c>
      <c r="AR106" s="1" t="s">
        <v>1512</v>
      </c>
      <c r="AS106" s="1">
        <v>0</v>
      </c>
      <c r="AT106" s="1" t="s">
        <v>1807</v>
      </c>
      <c r="AU106" s="1">
        <v>10</v>
      </c>
      <c r="AV106" s="1">
        <v>18009</v>
      </c>
      <c r="AW106" s="1">
        <v>0</v>
      </c>
    </row>
    <row r="107" spans="1:49" x14ac:dyDescent="0.25">
      <c r="A107" s="1">
        <v>107</v>
      </c>
      <c r="B107" s="1" t="s">
        <v>2051</v>
      </c>
      <c r="C107" s="1" t="s">
        <v>2052</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1919</v>
      </c>
      <c r="AJ107" s="1">
        <v>0</v>
      </c>
      <c r="AK107" s="1" t="s">
        <v>424</v>
      </c>
      <c r="AL107" s="1" t="s">
        <v>2053</v>
      </c>
      <c r="AM107" s="1">
        <v>0.1</v>
      </c>
      <c r="AN107" s="1">
        <v>0.1</v>
      </c>
      <c r="AO107" s="1">
        <v>0.1</v>
      </c>
      <c r="AP107" s="1">
        <v>0.55000000000000004</v>
      </c>
      <c r="AQ107" s="1">
        <v>3</v>
      </c>
      <c r="AR107" s="1" t="s">
        <v>1484</v>
      </c>
      <c r="AS107" s="1">
        <v>0</v>
      </c>
      <c r="AT107" s="1" t="s">
        <v>1807</v>
      </c>
      <c r="AU107" s="1">
        <v>10</v>
      </c>
      <c r="AV107" s="1">
        <v>20010</v>
      </c>
      <c r="AW107" s="1">
        <v>0</v>
      </c>
    </row>
    <row r="108" spans="1:49" x14ac:dyDescent="0.25">
      <c r="A108" s="1">
        <v>108</v>
      </c>
      <c r="B108" s="1" t="s">
        <v>2054</v>
      </c>
      <c r="C108" s="1" t="s">
        <v>2055</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1919</v>
      </c>
      <c r="AJ108" s="1">
        <v>0</v>
      </c>
      <c r="AK108" s="1" t="s">
        <v>425</v>
      </c>
      <c r="AL108" s="1" t="s">
        <v>2056</v>
      </c>
      <c r="AM108" s="1">
        <v>0.55000000000000004</v>
      </c>
      <c r="AN108" s="1">
        <v>0.16</v>
      </c>
      <c r="AO108" s="1">
        <v>0.6</v>
      </c>
      <c r="AP108" s="1">
        <v>0.16</v>
      </c>
      <c r="AQ108" s="1">
        <v>3</v>
      </c>
      <c r="AR108" s="1" t="s">
        <v>1513</v>
      </c>
      <c r="AS108" s="1">
        <v>0</v>
      </c>
      <c r="AT108" s="1" t="s">
        <v>1807</v>
      </c>
      <c r="AU108" s="1">
        <v>10</v>
      </c>
      <c r="AV108" s="1">
        <v>20011</v>
      </c>
      <c r="AW108" s="1">
        <v>0</v>
      </c>
    </row>
    <row r="109" spans="1:49" x14ac:dyDescent="0.25">
      <c r="A109" s="1">
        <v>109</v>
      </c>
      <c r="B109" s="1" t="s">
        <v>5615</v>
      </c>
      <c r="C109" s="1" t="s">
        <v>5616</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5617</v>
      </c>
      <c r="AH109" s="1">
        <v>3600</v>
      </c>
      <c r="AI109" s="1" t="s">
        <v>1919</v>
      </c>
      <c r="AJ109" s="1">
        <v>0</v>
      </c>
      <c r="AK109" s="1" t="s">
        <v>329</v>
      </c>
      <c r="AL109" s="1" t="s">
        <v>5618</v>
      </c>
      <c r="AM109" s="1">
        <v>0.45</v>
      </c>
      <c r="AN109" s="1">
        <v>0.15</v>
      </c>
      <c r="AO109" s="1">
        <v>0.3</v>
      </c>
      <c r="AP109" s="1">
        <v>0.15</v>
      </c>
      <c r="AQ109" s="1">
        <v>1</v>
      </c>
      <c r="AR109" s="1" t="s">
        <v>1468</v>
      </c>
      <c r="AS109" s="1">
        <v>0</v>
      </c>
      <c r="AT109" s="1" t="s">
        <v>1807</v>
      </c>
      <c r="AU109" s="1">
        <v>10</v>
      </c>
      <c r="AV109" s="1">
        <v>1001</v>
      </c>
      <c r="AW109" s="1">
        <v>0</v>
      </c>
    </row>
    <row r="110" spans="1:49" x14ac:dyDescent="0.25">
      <c r="A110" s="1">
        <v>110</v>
      </c>
      <c r="B110" s="1" t="s">
        <v>5619</v>
      </c>
      <c r="C110" s="1" t="s">
        <v>5620</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5621</v>
      </c>
      <c r="AH110" s="1">
        <v>3600</v>
      </c>
      <c r="AI110" s="1" t="s">
        <v>1919</v>
      </c>
      <c r="AJ110" s="1">
        <v>0</v>
      </c>
      <c r="AK110" s="1" t="s">
        <v>329</v>
      </c>
      <c r="AL110" s="1" t="s">
        <v>5622</v>
      </c>
      <c r="AM110" s="1">
        <v>0.15</v>
      </c>
      <c r="AN110" s="1">
        <v>0.6</v>
      </c>
      <c r="AO110" s="1">
        <v>0.38</v>
      </c>
      <c r="AP110" s="1">
        <v>0.23</v>
      </c>
      <c r="AQ110" s="1">
        <v>1</v>
      </c>
      <c r="AR110" s="1" t="s">
        <v>1476</v>
      </c>
      <c r="AS110" s="1">
        <v>0</v>
      </c>
      <c r="AT110" s="1" t="s">
        <v>1807</v>
      </c>
      <c r="AU110" s="1">
        <v>10</v>
      </c>
      <c r="AV110" s="1">
        <v>8001</v>
      </c>
      <c r="AW110" s="1">
        <v>0</v>
      </c>
    </row>
    <row r="111" spans="1:49" x14ac:dyDescent="0.25">
      <c r="A111" s="1">
        <v>111</v>
      </c>
      <c r="B111" s="1" t="s">
        <v>2057</v>
      </c>
      <c r="C111" s="1" t="s">
        <v>2058</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1680</v>
      </c>
      <c r="AH111" s="1">
        <v>3600</v>
      </c>
      <c r="AI111" s="1" t="s">
        <v>2059</v>
      </c>
      <c r="AJ111" s="1">
        <v>0</v>
      </c>
      <c r="AK111" s="1" t="s">
        <v>427</v>
      </c>
      <c r="AL111" s="1" t="s">
        <v>2060</v>
      </c>
      <c r="AM111" s="1">
        <v>0.45</v>
      </c>
      <c r="AN111" s="1">
        <v>0.15</v>
      </c>
      <c r="AO111" s="1">
        <v>0.3</v>
      </c>
      <c r="AP111" s="1">
        <v>0.15</v>
      </c>
      <c r="AQ111" s="1">
        <v>3</v>
      </c>
      <c r="AR111" s="1" t="s">
        <v>1514</v>
      </c>
      <c r="AS111" s="1">
        <v>0</v>
      </c>
      <c r="AT111" s="1" t="s">
        <v>1807</v>
      </c>
      <c r="AU111" s="1">
        <v>10</v>
      </c>
      <c r="AV111" s="1">
        <v>18010</v>
      </c>
      <c r="AW111" s="1">
        <v>0</v>
      </c>
    </row>
    <row r="112" spans="1:49" x14ac:dyDescent="0.25">
      <c r="A112" s="1">
        <v>112</v>
      </c>
      <c r="B112" s="1" t="s">
        <v>2061</v>
      </c>
      <c r="C112" s="1" t="s">
        <v>2062</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2063</v>
      </c>
      <c r="AJ112" s="1">
        <v>0</v>
      </c>
      <c r="AK112" s="1" t="s">
        <v>428</v>
      </c>
      <c r="AL112" s="1" t="s">
        <v>2064</v>
      </c>
      <c r="AM112" s="1">
        <v>0.45</v>
      </c>
      <c r="AN112" s="1">
        <v>0.15</v>
      </c>
      <c r="AO112" s="1">
        <v>0.3</v>
      </c>
      <c r="AP112" s="1">
        <v>0.15</v>
      </c>
      <c r="AQ112" s="1">
        <v>3</v>
      </c>
      <c r="AR112" s="1" t="s">
        <v>1515</v>
      </c>
      <c r="AS112" s="1">
        <v>0</v>
      </c>
      <c r="AT112" s="1" t="s">
        <v>1807</v>
      </c>
      <c r="AU112" s="1">
        <v>10</v>
      </c>
      <c r="AV112" s="1">
        <v>18011</v>
      </c>
      <c r="AW112" s="1">
        <v>0</v>
      </c>
    </row>
    <row r="113" spans="1:49" x14ac:dyDescent="0.25">
      <c r="A113" s="1">
        <v>113</v>
      </c>
      <c r="B113" s="1" t="s">
        <v>2065</v>
      </c>
      <c r="C113" s="1" t="s">
        <v>2066</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2067</v>
      </c>
      <c r="AJ113" s="1">
        <v>0</v>
      </c>
      <c r="AK113" s="1" t="s">
        <v>429</v>
      </c>
      <c r="AL113" s="1" t="s">
        <v>2068</v>
      </c>
      <c r="AM113" s="1">
        <v>0.55000000000000004</v>
      </c>
      <c r="AN113" s="1">
        <v>0.23</v>
      </c>
      <c r="AO113" s="1">
        <v>0.23</v>
      </c>
      <c r="AP113" s="1">
        <v>0.23</v>
      </c>
      <c r="AQ113" s="1">
        <v>3</v>
      </c>
      <c r="AR113" s="1" t="s">
        <v>1516</v>
      </c>
      <c r="AS113" s="1">
        <v>0</v>
      </c>
      <c r="AT113" s="1" t="s">
        <v>1807</v>
      </c>
      <c r="AU113" s="1">
        <v>10</v>
      </c>
      <c r="AV113" s="1">
        <v>18012</v>
      </c>
      <c r="AW113" s="1">
        <v>0</v>
      </c>
    </row>
    <row r="114" spans="1:49" x14ac:dyDescent="0.25">
      <c r="A114" s="1">
        <v>114</v>
      </c>
      <c r="B114" s="1" t="s">
        <v>2069</v>
      </c>
      <c r="C114" s="1" t="s">
        <v>2070</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1684</v>
      </c>
      <c r="AH114" s="1">
        <v>3600</v>
      </c>
      <c r="AI114" s="1" t="s">
        <v>2071</v>
      </c>
      <c r="AJ114" s="1">
        <v>0</v>
      </c>
      <c r="AK114" s="1" t="s">
        <v>430</v>
      </c>
      <c r="AL114" s="1" t="s">
        <v>2072</v>
      </c>
      <c r="AM114" s="1">
        <v>0.55000000000000004</v>
      </c>
      <c r="AN114" s="1">
        <v>0.23</v>
      </c>
      <c r="AO114" s="1">
        <v>0.23</v>
      </c>
      <c r="AP114" s="1">
        <v>0.23</v>
      </c>
      <c r="AQ114" s="1">
        <v>3</v>
      </c>
      <c r="AR114" s="1" t="s">
        <v>1517</v>
      </c>
      <c r="AS114" s="1">
        <v>0</v>
      </c>
      <c r="AT114" s="1" t="s">
        <v>1807</v>
      </c>
      <c r="AU114" s="1">
        <v>10</v>
      </c>
      <c r="AV114" s="1">
        <v>18013</v>
      </c>
      <c r="AW114" s="1">
        <v>0</v>
      </c>
    </row>
    <row r="115" spans="1:49" x14ac:dyDescent="0.25">
      <c r="A115" s="1">
        <v>115</v>
      </c>
      <c r="B115" s="1" t="s">
        <v>2073</v>
      </c>
      <c r="C115" s="1" t="s">
        <v>2074</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1681</v>
      </c>
      <c r="AH115" s="1">
        <v>3600</v>
      </c>
      <c r="AI115" s="1" t="s">
        <v>2075</v>
      </c>
      <c r="AJ115" s="1">
        <v>0</v>
      </c>
      <c r="AK115" s="1" t="s">
        <v>431</v>
      </c>
      <c r="AL115" s="1" t="s">
        <v>2076</v>
      </c>
      <c r="AM115" s="1">
        <v>0.55000000000000004</v>
      </c>
      <c r="AN115" s="1">
        <v>0.16</v>
      </c>
      <c r="AO115" s="1">
        <v>0.6</v>
      </c>
      <c r="AP115" s="1">
        <v>0.16</v>
      </c>
      <c r="AQ115" s="1">
        <v>3</v>
      </c>
      <c r="AR115" s="1" t="s">
        <v>1518</v>
      </c>
      <c r="AS115" s="1">
        <v>0</v>
      </c>
      <c r="AT115" s="1" t="s">
        <v>1807</v>
      </c>
      <c r="AU115" s="1">
        <v>10</v>
      </c>
      <c r="AV115" s="1">
        <v>20012</v>
      </c>
      <c r="AW115" s="1">
        <v>0</v>
      </c>
    </row>
    <row r="116" spans="1:49" x14ac:dyDescent="0.25">
      <c r="A116" s="1">
        <v>117</v>
      </c>
      <c r="B116" s="1" t="s">
        <v>2077</v>
      </c>
      <c r="C116" s="1" t="s">
        <v>2078</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2079</v>
      </c>
      <c r="AJ116" s="1">
        <v>0</v>
      </c>
      <c r="AK116" s="1" t="s">
        <v>432</v>
      </c>
      <c r="AL116" s="1" t="s">
        <v>2080</v>
      </c>
      <c r="AM116" s="1">
        <v>0</v>
      </c>
      <c r="AN116" s="1">
        <v>0</v>
      </c>
      <c r="AO116" s="1">
        <v>0</v>
      </c>
      <c r="AP116" s="1">
        <v>0</v>
      </c>
      <c r="AQ116" s="1">
        <v>3</v>
      </c>
      <c r="AR116" s="1" t="s">
        <v>329</v>
      </c>
      <c r="AS116" s="1">
        <v>109406</v>
      </c>
      <c r="AT116" s="1" t="s">
        <v>1807</v>
      </c>
      <c r="AU116" s="1">
        <v>0</v>
      </c>
      <c r="AV116" s="1">
        <v>18014</v>
      </c>
      <c r="AW116" s="1">
        <v>0</v>
      </c>
    </row>
    <row r="117" spans="1:49" x14ac:dyDescent="0.25">
      <c r="A117" s="1">
        <v>118</v>
      </c>
      <c r="B117" s="1" t="s">
        <v>2081</v>
      </c>
      <c r="C117" s="1" t="s">
        <v>2082</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2079</v>
      </c>
      <c r="AJ117" s="1">
        <v>0</v>
      </c>
      <c r="AK117" s="1" t="s">
        <v>433</v>
      </c>
      <c r="AL117" s="1" t="s">
        <v>2083</v>
      </c>
      <c r="AM117" s="1">
        <v>0</v>
      </c>
      <c r="AN117" s="1">
        <v>0</v>
      </c>
      <c r="AO117" s="1">
        <v>0</v>
      </c>
      <c r="AP117" s="1">
        <v>0</v>
      </c>
      <c r="AQ117" s="1">
        <v>3</v>
      </c>
      <c r="AR117" s="1" t="s">
        <v>329</v>
      </c>
      <c r="AS117" s="1">
        <v>109504</v>
      </c>
      <c r="AT117" s="1" t="s">
        <v>1807</v>
      </c>
      <c r="AU117" s="1">
        <v>0</v>
      </c>
      <c r="AV117" s="1">
        <v>18015</v>
      </c>
      <c r="AW117" s="1">
        <v>0</v>
      </c>
    </row>
    <row r="118" spans="1:49" x14ac:dyDescent="0.25">
      <c r="A118" s="1">
        <v>119</v>
      </c>
      <c r="B118" s="1" t="s">
        <v>2084</v>
      </c>
      <c r="C118" s="1" t="s">
        <v>2085</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2086</v>
      </c>
      <c r="AJ118" s="1">
        <v>0</v>
      </c>
      <c r="AK118" s="1" t="s">
        <v>434</v>
      </c>
      <c r="AL118" s="1" t="s">
        <v>2087</v>
      </c>
      <c r="AM118" s="1">
        <v>0.45</v>
      </c>
      <c r="AN118" s="1">
        <v>0.15</v>
      </c>
      <c r="AO118" s="1">
        <v>0.3</v>
      </c>
      <c r="AP118" s="1">
        <v>0.15</v>
      </c>
      <c r="AQ118" s="1">
        <v>3</v>
      </c>
      <c r="AR118" s="1" t="s">
        <v>1519</v>
      </c>
      <c r="AS118" s="1">
        <v>0</v>
      </c>
      <c r="AT118" s="1" t="s">
        <v>1807</v>
      </c>
      <c r="AU118" s="1">
        <v>10</v>
      </c>
      <c r="AV118" s="1">
        <v>18016</v>
      </c>
      <c r="AW118" s="1">
        <v>0</v>
      </c>
    </row>
    <row r="119" spans="1:49" x14ac:dyDescent="0.25">
      <c r="A119" s="1">
        <v>120</v>
      </c>
      <c r="B119" s="1" t="s">
        <v>5623</v>
      </c>
      <c r="C119" s="1" t="s">
        <v>5624</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5625</v>
      </c>
      <c r="AH119" s="1">
        <v>3600</v>
      </c>
      <c r="AI119" s="1" t="s">
        <v>1919</v>
      </c>
      <c r="AJ119" s="1">
        <v>0</v>
      </c>
      <c r="AK119" s="1" t="s">
        <v>329</v>
      </c>
      <c r="AL119" s="1" t="s">
        <v>5626</v>
      </c>
      <c r="AM119" s="1">
        <v>0.45</v>
      </c>
      <c r="AN119" s="1">
        <v>0.15</v>
      </c>
      <c r="AO119" s="1">
        <v>0.3</v>
      </c>
      <c r="AP119" s="1">
        <v>0.15</v>
      </c>
      <c r="AQ119" s="1">
        <v>1</v>
      </c>
      <c r="AR119" s="1" t="s">
        <v>1471</v>
      </c>
      <c r="AS119" s="1">
        <v>0</v>
      </c>
      <c r="AT119" s="1" t="s">
        <v>1807</v>
      </c>
      <c r="AU119" s="1">
        <v>10</v>
      </c>
      <c r="AV119" s="1">
        <v>3001</v>
      </c>
      <c r="AW119" s="1">
        <v>0</v>
      </c>
    </row>
    <row r="120" spans="1:49" x14ac:dyDescent="0.25">
      <c r="A120" s="1">
        <v>121</v>
      </c>
      <c r="B120" s="1" t="s">
        <v>5627</v>
      </c>
      <c r="C120" s="1" t="s">
        <v>5628</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5629</v>
      </c>
      <c r="AH120" s="1">
        <v>3600</v>
      </c>
      <c r="AI120" s="1" t="s">
        <v>1919</v>
      </c>
      <c r="AJ120" s="1">
        <v>0</v>
      </c>
      <c r="AK120" s="1" t="s">
        <v>329</v>
      </c>
      <c r="AL120" s="1" t="s">
        <v>5630</v>
      </c>
      <c r="AM120" s="1">
        <v>0.3</v>
      </c>
      <c r="AN120" s="1">
        <v>0.23</v>
      </c>
      <c r="AO120" s="1">
        <v>0.15</v>
      </c>
      <c r="AP120" s="1">
        <v>0.38</v>
      </c>
      <c r="AQ120" s="1">
        <v>1</v>
      </c>
      <c r="AR120" s="1" t="s">
        <v>1477</v>
      </c>
      <c r="AS120" s="1">
        <v>0</v>
      </c>
      <c r="AT120" s="1" t="s">
        <v>1807</v>
      </c>
      <c r="AU120" s="1">
        <v>10</v>
      </c>
      <c r="AV120" s="1">
        <v>10001</v>
      </c>
      <c r="AW120" s="1">
        <v>0</v>
      </c>
    </row>
    <row r="121" spans="1:49" x14ac:dyDescent="0.25">
      <c r="A121" s="1">
        <v>122</v>
      </c>
      <c r="B121" s="1" t="s">
        <v>2088</v>
      </c>
      <c r="C121" s="1" t="s">
        <v>2089</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2063</v>
      </c>
      <c r="AJ121" s="1">
        <v>0</v>
      </c>
      <c r="AK121" s="1" t="s">
        <v>436</v>
      </c>
      <c r="AL121" s="1" t="s">
        <v>2090</v>
      </c>
      <c r="AM121" s="1">
        <v>0.55000000000000004</v>
      </c>
      <c r="AN121" s="1">
        <v>0.23</v>
      </c>
      <c r="AO121" s="1">
        <v>0.23</v>
      </c>
      <c r="AP121" s="1">
        <v>0.23</v>
      </c>
      <c r="AQ121" s="1">
        <v>3</v>
      </c>
      <c r="AR121" s="1" t="s">
        <v>1520</v>
      </c>
      <c r="AS121" s="1">
        <v>0</v>
      </c>
      <c r="AT121" s="1" t="s">
        <v>1807</v>
      </c>
      <c r="AU121" s="1">
        <v>10</v>
      </c>
      <c r="AV121" s="1">
        <v>18017</v>
      </c>
      <c r="AW121" s="1">
        <v>0</v>
      </c>
    </row>
    <row r="122" spans="1:49" x14ac:dyDescent="0.25">
      <c r="A122" s="1">
        <v>123</v>
      </c>
      <c r="B122" s="1" t="s">
        <v>2091</v>
      </c>
      <c r="C122" s="1" t="s">
        <v>2092</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2093</v>
      </c>
      <c r="AJ122" s="1">
        <v>0</v>
      </c>
      <c r="AK122" s="1" t="s">
        <v>437</v>
      </c>
      <c r="AL122" s="1" t="s">
        <v>2094</v>
      </c>
      <c r="AM122" s="1">
        <v>0.45</v>
      </c>
      <c r="AN122" s="1">
        <v>0.15</v>
      </c>
      <c r="AO122" s="1">
        <v>0.3</v>
      </c>
      <c r="AP122" s="1">
        <v>0.15</v>
      </c>
      <c r="AQ122" s="1">
        <v>3</v>
      </c>
      <c r="AR122" s="1" t="s">
        <v>1521</v>
      </c>
      <c r="AS122" s="1">
        <v>0</v>
      </c>
      <c r="AT122" s="1" t="s">
        <v>1807</v>
      </c>
      <c r="AU122" s="1">
        <v>10</v>
      </c>
      <c r="AV122" s="1">
        <v>18018</v>
      </c>
      <c r="AW122" s="1">
        <v>0</v>
      </c>
    </row>
    <row r="123" spans="1:49" x14ac:dyDescent="0.25">
      <c r="A123" s="1">
        <v>124</v>
      </c>
      <c r="B123" s="1" t="s">
        <v>2095</v>
      </c>
      <c r="C123" s="1" t="s">
        <v>2096</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1428</v>
      </c>
      <c r="AH123" s="1">
        <v>3600</v>
      </c>
      <c r="AI123" s="1" t="s">
        <v>2097</v>
      </c>
      <c r="AJ123" s="1">
        <v>0</v>
      </c>
      <c r="AK123" s="1" t="s">
        <v>438</v>
      </c>
      <c r="AL123" s="1" t="s">
        <v>2098</v>
      </c>
      <c r="AM123" s="1">
        <v>0.45</v>
      </c>
      <c r="AN123" s="1">
        <v>0.15</v>
      </c>
      <c r="AO123" s="1">
        <v>0.3</v>
      </c>
      <c r="AP123" s="1">
        <v>0.15</v>
      </c>
      <c r="AQ123" s="1">
        <v>3</v>
      </c>
      <c r="AR123" s="1" t="s">
        <v>1522</v>
      </c>
      <c r="AS123" s="1">
        <v>0</v>
      </c>
      <c r="AT123" s="1" t="s">
        <v>1807</v>
      </c>
      <c r="AU123" s="1">
        <v>10</v>
      </c>
      <c r="AV123" s="1">
        <v>18019</v>
      </c>
      <c r="AW123" s="1">
        <v>0</v>
      </c>
    </row>
    <row r="124" spans="1:49" x14ac:dyDescent="0.25">
      <c r="A124" s="1">
        <v>125</v>
      </c>
      <c r="B124" s="1" t="s">
        <v>2099</v>
      </c>
      <c r="C124" s="1" t="s">
        <v>2100</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2101</v>
      </c>
      <c r="AJ124" s="1">
        <v>0</v>
      </c>
      <c r="AK124" s="1" t="s">
        <v>440</v>
      </c>
      <c r="AL124" s="1" t="s">
        <v>2102</v>
      </c>
      <c r="AM124" s="1">
        <v>0.55000000000000004</v>
      </c>
      <c r="AN124" s="1">
        <v>0.23</v>
      </c>
      <c r="AO124" s="1">
        <v>0.23</v>
      </c>
      <c r="AP124" s="1">
        <v>0.23</v>
      </c>
      <c r="AQ124" s="1">
        <v>3</v>
      </c>
      <c r="AR124" s="1" t="s">
        <v>1523</v>
      </c>
      <c r="AS124" s="1">
        <v>0</v>
      </c>
      <c r="AT124" s="1" t="s">
        <v>1807</v>
      </c>
      <c r="AU124" s="1">
        <v>10</v>
      </c>
      <c r="AV124" s="1">
        <v>18020</v>
      </c>
      <c r="AW124" s="1">
        <v>0</v>
      </c>
    </row>
    <row r="125" spans="1:49" x14ac:dyDescent="0.25">
      <c r="A125" s="1">
        <v>126</v>
      </c>
      <c r="B125" s="1" t="s">
        <v>2103</v>
      </c>
      <c r="C125" s="1" t="s">
        <v>2104</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2101</v>
      </c>
      <c r="AJ125" s="1">
        <v>0</v>
      </c>
      <c r="AK125" s="1" t="s">
        <v>442</v>
      </c>
      <c r="AL125" s="1" t="s">
        <v>2105</v>
      </c>
      <c r="AM125" s="1">
        <v>0.45</v>
      </c>
      <c r="AN125" s="1">
        <v>0.15</v>
      </c>
      <c r="AO125" s="1">
        <v>0.3</v>
      </c>
      <c r="AP125" s="1">
        <v>0.15</v>
      </c>
      <c r="AQ125" s="1">
        <v>3</v>
      </c>
      <c r="AR125" s="1" t="s">
        <v>1524</v>
      </c>
      <c r="AS125" s="1">
        <v>0</v>
      </c>
      <c r="AT125" s="1" t="s">
        <v>1807</v>
      </c>
      <c r="AU125" s="1">
        <v>10</v>
      </c>
      <c r="AV125" s="1">
        <v>18021</v>
      </c>
      <c r="AW125" s="1">
        <v>0</v>
      </c>
    </row>
    <row r="126" spans="1:49" x14ac:dyDescent="0.25">
      <c r="A126" s="1">
        <v>127</v>
      </c>
      <c r="B126" s="1" t="s">
        <v>2106</v>
      </c>
      <c r="C126" s="1" t="s">
        <v>2107</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2108</v>
      </c>
      <c r="AJ126" s="1">
        <v>0</v>
      </c>
      <c r="AK126" s="1" t="s">
        <v>443</v>
      </c>
      <c r="AL126" s="1" t="s">
        <v>2109</v>
      </c>
      <c r="AM126" s="1">
        <v>0.3</v>
      </c>
      <c r="AN126" s="1">
        <v>0.25</v>
      </c>
      <c r="AO126" s="1">
        <v>0.12</v>
      </c>
      <c r="AP126" s="1">
        <v>0.38</v>
      </c>
      <c r="AQ126" s="1">
        <v>3</v>
      </c>
      <c r="AR126" s="1" t="s">
        <v>1525</v>
      </c>
      <c r="AS126" s="1">
        <v>0</v>
      </c>
      <c r="AT126" s="1" t="s">
        <v>1807</v>
      </c>
      <c r="AU126" s="1">
        <v>10</v>
      </c>
      <c r="AV126" s="1">
        <v>20013</v>
      </c>
      <c r="AW126" s="1">
        <v>0</v>
      </c>
    </row>
    <row r="127" spans="1:49" x14ac:dyDescent="0.25">
      <c r="A127" s="1">
        <v>128</v>
      </c>
      <c r="B127" s="1" t="s">
        <v>2110</v>
      </c>
      <c r="C127" s="1" t="s">
        <v>2111</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2112</v>
      </c>
      <c r="AJ127" s="1">
        <v>0</v>
      </c>
      <c r="AK127" s="1" t="s">
        <v>444</v>
      </c>
      <c r="AL127" s="1" t="s">
        <v>2113</v>
      </c>
      <c r="AM127" s="1">
        <v>0.55000000000000004</v>
      </c>
      <c r="AN127" s="1">
        <v>0.25</v>
      </c>
      <c r="AO127" s="1">
        <v>0.25</v>
      </c>
      <c r="AP127" s="1">
        <v>0.23</v>
      </c>
      <c r="AQ127" s="1">
        <v>3</v>
      </c>
      <c r="AR127" s="1" t="s">
        <v>1509</v>
      </c>
      <c r="AS127" s="1">
        <v>0</v>
      </c>
      <c r="AT127" s="1" t="s">
        <v>1807</v>
      </c>
      <c r="AU127" s="1">
        <v>10</v>
      </c>
      <c r="AV127" s="1">
        <v>18022</v>
      </c>
      <c r="AW127" s="1">
        <v>0</v>
      </c>
    </row>
    <row r="128" spans="1:49" x14ac:dyDescent="0.25">
      <c r="A128" s="1">
        <v>129</v>
      </c>
      <c r="B128" s="1" t="s">
        <v>2114</v>
      </c>
      <c r="C128" s="1" t="s">
        <v>2115</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2116</v>
      </c>
      <c r="AJ128" s="1">
        <v>0</v>
      </c>
      <c r="AK128" s="1" t="s">
        <v>445</v>
      </c>
      <c r="AL128" s="1" t="s">
        <v>2117</v>
      </c>
      <c r="AM128" s="1">
        <v>0.45</v>
      </c>
      <c r="AN128" s="1">
        <v>0.15</v>
      </c>
      <c r="AO128" s="1">
        <v>0.3</v>
      </c>
      <c r="AP128" s="1">
        <v>0.15</v>
      </c>
      <c r="AQ128" s="1">
        <v>3</v>
      </c>
      <c r="AR128" s="1" t="s">
        <v>1514</v>
      </c>
      <c r="AS128" s="1">
        <v>0</v>
      </c>
      <c r="AT128" s="1" t="s">
        <v>1807</v>
      </c>
      <c r="AU128" s="1">
        <v>10</v>
      </c>
      <c r="AV128" s="1">
        <v>18023</v>
      </c>
      <c r="AW128" s="1">
        <v>0</v>
      </c>
    </row>
    <row r="129" spans="1:49" x14ac:dyDescent="0.25">
      <c r="A129" s="1">
        <v>130</v>
      </c>
      <c r="B129" s="1" t="s">
        <v>2118</v>
      </c>
      <c r="C129" s="1" t="s">
        <v>2119</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1430</v>
      </c>
      <c r="AH129" s="1">
        <v>3600</v>
      </c>
      <c r="AI129" s="1" t="s">
        <v>2120</v>
      </c>
      <c r="AJ129" s="1">
        <v>0</v>
      </c>
      <c r="AK129" s="1" t="s">
        <v>446</v>
      </c>
      <c r="AL129" s="1" t="s">
        <v>2121</v>
      </c>
      <c r="AM129" s="1">
        <v>0.45</v>
      </c>
      <c r="AN129" s="1">
        <v>0.15</v>
      </c>
      <c r="AO129" s="1">
        <v>0.3</v>
      </c>
      <c r="AP129" s="1">
        <v>0.15</v>
      </c>
      <c r="AQ129" s="1">
        <v>3</v>
      </c>
      <c r="AR129" s="1" t="s">
        <v>1514</v>
      </c>
      <c r="AS129" s="1">
        <v>0</v>
      </c>
      <c r="AT129" s="1" t="s">
        <v>1807</v>
      </c>
      <c r="AU129" s="1">
        <v>10</v>
      </c>
      <c r="AV129" s="1">
        <v>18024</v>
      </c>
      <c r="AW129" s="1">
        <v>0</v>
      </c>
    </row>
    <row r="130" spans="1:49" x14ac:dyDescent="0.25">
      <c r="A130" s="1">
        <v>131</v>
      </c>
      <c r="B130" s="1" t="s">
        <v>2122</v>
      </c>
      <c r="C130" s="1" t="s">
        <v>2123</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2124</v>
      </c>
      <c r="AJ130" s="1">
        <v>0</v>
      </c>
      <c r="AK130" s="1" t="s">
        <v>448</v>
      </c>
      <c r="AL130" s="1" t="s">
        <v>2125</v>
      </c>
      <c r="AM130" s="1">
        <v>0.45</v>
      </c>
      <c r="AN130" s="1">
        <v>0.15</v>
      </c>
      <c r="AO130" s="1">
        <v>0.3</v>
      </c>
      <c r="AP130" s="1">
        <v>0.15</v>
      </c>
      <c r="AQ130" s="1">
        <v>3</v>
      </c>
      <c r="AR130" s="1" t="s">
        <v>1526</v>
      </c>
      <c r="AS130" s="1">
        <v>0</v>
      </c>
      <c r="AT130" s="1" t="s">
        <v>1807</v>
      </c>
      <c r="AU130" s="1">
        <v>10</v>
      </c>
      <c r="AV130" s="1">
        <v>18025</v>
      </c>
      <c r="AW130" s="1">
        <v>0</v>
      </c>
    </row>
    <row r="131" spans="1:49" x14ac:dyDescent="0.25">
      <c r="A131" s="1">
        <v>132</v>
      </c>
      <c r="B131" s="1" t="s">
        <v>2126</v>
      </c>
      <c r="C131" s="1" t="s">
        <v>2127</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2124</v>
      </c>
      <c r="AJ131" s="1">
        <v>0</v>
      </c>
      <c r="AK131" s="1" t="s">
        <v>930</v>
      </c>
      <c r="AL131" s="1" t="s">
        <v>2128</v>
      </c>
      <c r="AM131" s="1">
        <v>0.45</v>
      </c>
      <c r="AN131" s="1">
        <v>0.15</v>
      </c>
      <c r="AO131" s="1">
        <v>0.3</v>
      </c>
      <c r="AP131" s="1">
        <v>0.15</v>
      </c>
      <c r="AQ131" s="1">
        <v>3</v>
      </c>
      <c r="AR131" s="1" t="s">
        <v>1527</v>
      </c>
      <c r="AS131" s="1">
        <v>0</v>
      </c>
      <c r="AT131" s="1" t="s">
        <v>1807</v>
      </c>
      <c r="AU131" s="1">
        <v>10</v>
      </c>
      <c r="AV131" s="1">
        <v>18026</v>
      </c>
      <c r="AW131" s="1">
        <v>0</v>
      </c>
    </row>
    <row r="132" spans="1:49" x14ac:dyDescent="0.25">
      <c r="A132" s="1">
        <v>133</v>
      </c>
      <c r="B132" s="1" t="s">
        <v>2129</v>
      </c>
      <c r="C132" s="1" t="s">
        <v>2130</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2131</v>
      </c>
      <c r="AJ132" s="1">
        <v>0</v>
      </c>
      <c r="AK132" s="1" t="s">
        <v>450</v>
      </c>
      <c r="AL132" s="1" t="s">
        <v>2132</v>
      </c>
      <c r="AM132" s="1">
        <v>0.55000000000000004</v>
      </c>
      <c r="AN132" s="1">
        <v>0.23</v>
      </c>
      <c r="AO132" s="1">
        <v>0.23</v>
      </c>
      <c r="AP132" s="1">
        <v>0.23</v>
      </c>
      <c r="AQ132" s="1">
        <v>3</v>
      </c>
      <c r="AR132" s="1" t="s">
        <v>1528</v>
      </c>
      <c r="AS132" s="1">
        <v>300119</v>
      </c>
      <c r="AT132" s="1" t="s">
        <v>2133</v>
      </c>
      <c r="AU132" s="1">
        <v>10</v>
      </c>
      <c r="AV132" s="1">
        <v>18027</v>
      </c>
      <c r="AW132" s="1">
        <v>0</v>
      </c>
    </row>
    <row r="133" spans="1:49" x14ac:dyDescent="0.25">
      <c r="A133" s="1">
        <v>134</v>
      </c>
      <c r="B133" s="1" t="s">
        <v>2134</v>
      </c>
      <c r="C133" s="1" t="s">
        <v>2135</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2136</v>
      </c>
      <c r="AJ133" s="1">
        <v>0</v>
      </c>
      <c r="AK133" s="1" t="s">
        <v>452</v>
      </c>
      <c r="AL133" s="1" t="s">
        <v>2137</v>
      </c>
      <c r="AM133" s="1">
        <v>0.45</v>
      </c>
      <c r="AN133" s="1">
        <v>0.15</v>
      </c>
      <c r="AO133" s="1">
        <v>0.3</v>
      </c>
      <c r="AP133" s="1">
        <v>0.15</v>
      </c>
      <c r="AQ133" s="1">
        <v>3</v>
      </c>
      <c r="AR133" s="1" t="s">
        <v>1529</v>
      </c>
      <c r="AS133" s="1">
        <v>0</v>
      </c>
      <c r="AT133" s="1" t="s">
        <v>1807</v>
      </c>
      <c r="AU133" s="1">
        <v>10</v>
      </c>
      <c r="AV133" s="1">
        <v>18028</v>
      </c>
      <c r="AW133" s="1">
        <v>0</v>
      </c>
    </row>
    <row r="134" spans="1:49" x14ac:dyDescent="0.25">
      <c r="A134" s="1">
        <v>135</v>
      </c>
      <c r="B134" s="1" t="s">
        <v>2138</v>
      </c>
      <c r="C134" s="1" t="s">
        <v>2139</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2140</v>
      </c>
      <c r="AJ134" s="1">
        <v>0</v>
      </c>
      <c r="AK134" s="1" t="s">
        <v>454</v>
      </c>
      <c r="AL134" s="1" t="s">
        <v>2141</v>
      </c>
      <c r="AM134" s="1">
        <v>0.15</v>
      </c>
      <c r="AN134" s="1">
        <v>0.6</v>
      </c>
      <c r="AO134" s="1">
        <v>0.38</v>
      </c>
      <c r="AP134" s="1">
        <v>0.23</v>
      </c>
      <c r="AQ134" s="1">
        <v>3</v>
      </c>
      <c r="AR134" s="1" t="s">
        <v>1530</v>
      </c>
      <c r="AS134" s="1">
        <v>0</v>
      </c>
      <c r="AT134" s="1" t="s">
        <v>1807</v>
      </c>
      <c r="AU134" s="1">
        <v>10</v>
      </c>
      <c r="AV134" s="1">
        <v>19005</v>
      </c>
      <c r="AW134" s="1">
        <v>0</v>
      </c>
    </row>
    <row r="135" spans="1:49" x14ac:dyDescent="0.25">
      <c r="A135" s="1">
        <v>136</v>
      </c>
      <c r="B135" s="1" t="s">
        <v>2142</v>
      </c>
      <c r="C135" s="1" t="s">
        <v>2143</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2144</v>
      </c>
      <c r="AJ135" s="1">
        <v>0</v>
      </c>
      <c r="AK135" s="1" t="s">
        <v>455</v>
      </c>
      <c r="AL135" s="1" t="s">
        <v>2145</v>
      </c>
      <c r="AM135" s="1">
        <v>0.15</v>
      </c>
      <c r="AN135" s="1">
        <v>0.6</v>
      </c>
      <c r="AO135" s="1">
        <v>0.38</v>
      </c>
      <c r="AP135" s="1">
        <v>0.23</v>
      </c>
      <c r="AQ135" s="1">
        <v>3</v>
      </c>
      <c r="AR135" s="1" t="s">
        <v>1530</v>
      </c>
      <c r="AS135" s="1">
        <v>0</v>
      </c>
      <c r="AT135" s="1" t="s">
        <v>1807</v>
      </c>
      <c r="AU135" s="1">
        <v>10</v>
      </c>
      <c r="AV135" s="1">
        <v>19006</v>
      </c>
      <c r="AW135" s="1">
        <v>0</v>
      </c>
    </row>
    <row r="136" spans="1:49" x14ac:dyDescent="0.25">
      <c r="A136" s="1">
        <v>137</v>
      </c>
      <c r="B136" s="1" t="s">
        <v>2146</v>
      </c>
      <c r="C136" s="1" t="s">
        <v>2147</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2148</v>
      </c>
      <c r="AJ136" s="1">
        <v>0</v>
      </c>
      <c r="AK136" s="1" t="s">
        <v>456</v>
      </c>
      <c r="AL136" s="1" t="s">
        <v>2149</v>
      </c>
      <c r="AM136" s="1">
        <v>0</v>
      </c>
      <c r="AN136" s="1">
        <v>0</v>
      </c>
      <c r="AO136" s="1">
        <v>0</v>
      </c>
      <c r="AP136" s="1">
        <v>0</v>
      </c>
      <c r="AQ136" s="1">
        <v>3</v>
      </c>
      <c r="AR136" s="1" t="s">
        <v>329</v>
      </c>
      <c r="AS136" s="1">
        <v>0</v>
      </c>
      <c r="AT136" s="1" t="s">
        <v>2150</v>
      </c>
      <c r="AU136" s="1">
        <v>0</v>
      </c>
      <c r="AV136" s="1">
        <v>18029</v>
      </c>
      <c r="AW136" s="1">
        <v>0</v>
      </c>
    </row>
    <row r="137" spans="1:49" x14ac:dyDescent="0.25">
      <c r="A137" s="1">
        <v>138</v>
      </c>
      <c r="B137" s="1" t="s">
        <v>2151</v>
      </c>
      <c r="C137" s="1" t="s">
        <v>2152</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2148</v>
      </c>
      <c r="AJ137" s="1">
        <v>0</v>
      </c>
      <c r="AK137" s="1" t="s">
        <v>456</v>
      </c>
      <c r="AL137" s="1" t="s">
        <v>2153</v>
      </c>
      <c r="AM137" s="1">
        <v>0</v>
      </c>
      <c r="AN137" s="1">
        <v>0</v>
      </c>
      <c r="AO137" s="1">
        <v>0</v>
      </c>
      <c r="AP137" s="1">
        <v>0</v>
      </c>
      <c r="AQ137" s="1">
        <v>3</v>
      </c>
      <c r="AR137" s="1" t="s">
        <v>329</v>
      </c>
      <c r="AS137" s="1">
        <v>0</v>
      </c>
      <c r="AT137" s="1" t="s">
        <v>2154</v>
      </c>
      <c r="AU137" s="1">
        <v>0</v>
      </c>
      <c r="AV137" s="1">
        <v>18030</v>
      </c>
      <c r="AW137" s="1">
        <v>0</v>
      </c>
    </row>
    <row r="138" spans="1:49" x14ac:dyDescent="0.25">
      <c r="A138" s="1">
        <v>139</v>
      </c>
      <c r="B138" s="1" t="s">
        <v>2155</v>
      </c>
      <c r="C138" s="1" t="s">
        <v>2156</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2148</v>
      </c>
      <c r="AJ138" s="1">
        <v>0</v>
      </c>
      <c r="AK138" s="1" t="s">
        <v>456</v>
      </c>
      <c r="AL138" s="1" t="s">
        <v>2157</v>
      </c>
      <c r="AM138" s="1">
        <v>0</v>
      </c>
      <c r="AN138" s="1">
        <v>0</v>
      </c>
      <c r="AO138" s="1">
        <v>0</v>
      </c>
      <c r="AP138" s="1">
        <v>0</v>
      </c>
      <c r="AQ138" s="1">
        <v>3</v>
      </c>
      <c r="AR138" s="1" t="s">
        <v>329</v>
      </c>
      <c r="AS138" s="1">
        <v>0</v>
      </c>
      <c r="AT138" s="1" t="s">
        <v>2158</v>
      </c>
      <c r="AU138" s="1">
        <v>0</v>
      </c>
      <c r="AV138" s="1">
        <v>19007</v>
      </c>
      <c r="AW138" s="1">
        <v>0</v>
      </c>
    </row>
    <row r="139" spans="1:49" x14ac:dyDescent="0.25">
      <c r="A139" s="1">
        <v>140</v>
      </c>
      <c r="B139" s="1" t="s">
        <v>2159</v>
      </c>
      <c r="C139" s="1" t="s">
        <v>2160</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2148</v>
      </c>
      <c r="AJ139" s="1">
        <v>0</v>
      </c>
      <c r="AK139" s="1" t="s">
        <v>456</v>
      </c>
      <c r="AL139" s="1" t="s">
        <v>2161</v>
      </c>
      <c r="AM139" s="1">
        <v>0</v>
      </c>
      <c r="AN139" s="1">
        <v>0</v>
      </c>
      <c r="AO139" s="1">
        <v>0</v>
      </c>
      <c r="AP139" s="1">
        <v>0</v>
      </c>
      <c r="AQ139" s="1">
        <v>3</v>
      </c>
      <c r="AR139" s="1" t="s">
        <v>329</v>
      </c>
      <c r="AS139" s="1">
        <v>0</v>
      </c>
      <c r="AT139" s="1" t="s">
        <v>2162</v>
      </c>
      <c r="AU139" s="1">
        <v>0</v>
      </c>
      <c r="AV139" s="1">
        <v>19008</v>
      </c>
      <c r="AW139" s="1">
        <v>0</v>
      </c>
    </row>
    <row r="140" spans="1:49" x14ac:dyDescent="0.25">
      <c r="A140" s="1">
        <v>141</v>
      </c>
      <c r="B140" s="1" t="s">
        <v>2163</v>
      </c>
      <c r="C140" s="1" t="s">
        <v>2164</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2148</v>
      </c>
      <c r="AJ140" s="1">
        <v>0</v>
      </c>
      <c r="AK140" s="1" t="s">
        <v>456</v>
      </c>
      <c r="AL140" s="1" t="s">
        <v>2165</v>
      </c>
      <c r="AM140" s="1">
        <v>0</v>
      </c>
      <c r="AN140" s="1">
        <v>0</v>
      </c>
      <c r="AO140" s="1">
        <v>0</v>
      </c>
      <c r="AP140" s="1">
        <v>0</v>
      </c>
      <c r="AQ140" s="1">
        <v>3</v>
      </c>
      <c r="AR140" s="1" t="s">
        <v>329</v>
      </c>
      <c r="AS140" s="1">
        <v>0</v>
      </c>
      <c r="AT140" s="1" t="s">
        <v>2166</v>
      </c>
      <c r="AU140" s="1">
        <v>0</v>
      </c>
      <c r="AV140" s="1">
        <v>20014</v>
      </c>
      <c r="AW140" s="1">
        <v>0</v>
      </c>
    </row>
    <row r="141" spans="1:49" x14ac:dyDescent="0.25">
      <c r="A141" s="1">
        <v>142</v>
      </c>
      <c r="B141" s="1" t="s">
        <v>2167</v>
      </c>
      <c r="C141" s="1" t="s">
        <v>2168</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2148</v>
      </c>
      <c r="AJ141" s="1">
        <v>0</v>
      </c>
      <c r="AK141" s="1" t="s">
        <v>456</v>
      </c>
      <c r="AL141" s="1" t="s">
        <v>2169</v>
      </c>
      <c r="AM141" s="1">
        <v>0</v>
      </c>
      <c r="AN141" s="1">
        <v>0</v>
      </c>
      <c r="AO141" s="1">
        <v>0</v>
      </c>
      <c r="AP141" s="1">
        <v>0</v>
      </c>
      <c r="AQ141" s="1">
        <v>3</v>
      </c>
      <c r="AR141" s="1" t="s">
        <v>329</v>
      </c>
      <c r="AS141" s="1">
        <v>0</v>
      </c>
      <c r="AT141" s="1" t="s">
        <v>2170</v>
      </c>
      <c r="AU141" s="1">
        <v>0</v>
      </c>
      <c r="AV141" s="1">
        <v>18031</v>
      </c>
      <c r="AW141" s="1">
        <v>0</v>
      </c>
    </row>
    <row r="142" spans="1:49" x14ac:dyDescent="0.25">
      <c r="A142" s="1">
        <v>143</v>
      </c>
      <c r="B142" s="1" t="s">
        <v>2171</v>
      </c>
      <c r="C142" s="1" t="s">
        <v>2172</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2148</v>
      </c>
      <c r="AJ142" s="1">
        <v>0</v>
      </c>
      <c r="AK142" s="1" t="s">
        <v>456</v>
      </c>
      <c r="AL142" s="1" t="s">
        <v>2173</v>
      </c>
      <c r="AM142" s="1">
        <v>0</v>
      </c>
      <c r="AN142" s="1">
        <v>0</v>
      </c>
      <c r="AO142" s="1">
        <v>0</v>
      </c>
      <c r="AP142" s="1">
        <v>0</v>
      </c>
      <c r="AQ142" s="1">
        <v>3</v>
      </c>
      <c r="AR142" s="1" t="s">
        <v>329</v>
      </c>
      <c r="AS142" s="1">
        <v>0</v>
      </c>
      <c r="AT142" s="1" t="s">
        <v>2174</v>
      </c>
      <c r="AU142" s="1">
        <v>0</v>
      </c>
      <c r="AV142" s="1">
        <v>19009</v>
      </c>
      <c r="AW142" s="1">
        <v>0</v>
      </c>
    </row>
    <row r="143" spans="1:49" x14ac:dyDescent="0.25">
      <c r="A143" s="1">
        <v>144</v>
      </c>
      <c r="B143" s="1" t="s">
        <v>2175</v>
      </c>
      <c r="C143" s="1" t="s">
        <v>2176</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2148</v>
      </c>
      <c r="AJ143" s="1">
        <v>0</v>
      </c>
      <c r="AK143" s="1" t="s">
        <v>456</v>
      </c>
      <c r="AL143" s="1" t="s">
        <v>2177</v>
      </c>
      <c r="AM143" s="1">
        <v>0</v>
      </c>
      <c r="AN143" s="1">
        <v>0</v>
      </c>
      <c r="AO143" s="1">
        <v>0</v>
      </c>
      <c r="AP143" s="1">
        <v>0</v>
      </c>
      <c r="AQ143" s="1">
        <v>3</v>
      </c>
      <c r="AR143" s="1" t="s">
        <v>329</v>
      </c>
      <c r="AS143" s="1">
        <v>0</v>
      </c>
      <c r="AT143" s="1" t="s">
        <v>2178</v>
      </c>
      <c r="AU143" s="1">
        <v>0</v>
      </c>
      <c r="AV143" s="1">
        <v>20015</v>
      </c>
      <c r="AW143" s="1">
        <v>0</v>
      </c>
    </row>
    <row r="144" spans="1:49" x14ac:dyDescent="0.25">
      <c r="A144" s="1">
        <v>145</v>
      </c>
      <c r="B144" s="1" t="s">
        <v>2179</v>
      </c>
      <c r="C144" s="1" t="s">
        <v>2180</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2181</v>
      </c>
      <c r="AJ144" s="1">
        <v>0</v>
      </c>
      <c r="AK144" s="1" t="s">
        <v>457</v>
      </c>
      <c r="AL144" s="1" t="s">
        <v>2182</v>
      </c>
      <c r="AM144" s="1">
        <v>0.23</v>
      </c>
      <c r="AN144" s="1">
        <v>0.23</v>
      </c>
      <c r="AO144" s="1">
        <v>0.33</v>
      </c>
      <c r="AP144" s="1">
        <v>0.33</v>
      </c>
      <c r="AQ144" s="1">
        <v>3</v>
      </c>
      <c r="AR144" s="1" t="s">
        <v>1531</v>
      </c>
      <c r="AS144" s="1">
        <v>0</v>
      </c>
      <c r="AT144" s="1" t="s">
        <v>1807</v>
      </c>
      <c r="AU144" s="1">
        <v>10</v>
      </c>
      <c r="AV144" s="1">
        <v>20016</v>
      </c>
      <c r="AW144" s="1">
        <v>0</v>
      </c>
    </row>
    <row r="145" spans="1:49" x14ac:dyDescent="0.25">
      <c r="A145" s="1">
        <v>146</v>
      </c>
      <c r="B145" s="1" t="s">
        <v>2183</v>
      </c>
      <c r="C145" s="1" t="s">
        <v>2184</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2181</v>
      </c>
      <c r="AJ145" s="1">
        <v>0</v>
      </c>
      <c r="AK145" s="1" t="s">
        <v>458</v>
      </c>
      <c r="AL145" s="1" t="s">
        <v>2185</v>
      </c>
      <c r="AM145" s="1">
        <v>0.48</v>
      </c>
      <c r="AN145" s="1">
        <v>0.48</v>
      </c>
      <c r="AO145" s="1">
        <v>0.08</v>
      </c>
      <c r="AP145" s="1">
        <v>0.25</v>
      </c>
      <c r="AQ145" s="1">
        <v>3</v>
      </c>
      <c r="AR145" s="1" t="s">
        <v>1490</v>
      </c>
      <c r="AS145" s="1">
        <v>0</v>
      </c>
      <c r="AT145" s="1" t="s">
        <v>1807</v>
      </c>
      <c r="AU145" s="1">
        <v>10</v>
      </c>
      <c r="AV145" s="1">
        <v>19010</v>
      </c>
      <c r="AW145" s="1">
        <v>0</v>
      </c>
    </row>
    <row r="146" spans="1:49" x14ac:dyDescent="0.25">
      <c r="A146" s="1">
        <v>147</v>
      </c>
      <c r="B146" s="1" t="s">
        <v>2186</v>
      </c>
      <c r="C146" s="1" t="s">
        <v>2187</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2181</v>
      </c>
      <c r="AJ146" s="1">
        <v>0</v>
      </c>
      <c r="AK146" s="1" t="s">
        <v>459</v>
      </c>
      <c r="AL146" s="1" t="s">
        <v>2188</v>
      </c>
      <c r="AM146" s="1">
        <v>0.3</v>
      </c>
      <c r="AN146" s="1">
        <v>0.23</v>
      </c>
      <c r="AO146" s="1">
        <v>0.15</v>
      </c>
      <c r="AP146" s="1">
        <v>0.38</v>
      </c>
      <c r="AQ146" s="1">
        <v>3</v>
      </c>
      <c r="AR146" s="1" t="s">
        <v>1481</v>
      </c>
      <c r="AS146" s="1">
        <v>0</v>
      </c>
      <c r="AT146" s="1" t="s">
        <v>1807</v>
      </c>
      <c r="AU146" s="1">
        <v>10</v>
      </c>
      <c r="AV146" s="1">
        <v>20017</v>
      </c>
      <c r="AW146" s="1">
        <v>0</v>
      </c>
    </row>
    <row r="147" spans="1:49" x14ac:dyDescent="0.25">
      <c r="A147" s="1">
        <v>148</v>
      </c>
      <c r="B147" s="1" t="s">
        <v>2189</v>
      </c>
      <c r="C147" s="1" t="s">
        <v>2190</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2181</v>
      </c>
      <c r="AJ147" s="1">
        <v>0</v>
      </c>
      <c r="AK147" s="1" t="s">
        <v>460</v>
      </c>
      <c r="AL147" s="1" t="s">
        <v>2191</v>
      </c>
      <c r="AM147" s="1">
        <v>0.55000000000000004</v>
      </c>
      <c r="AN147" s="1">
        <v>0.16</v>
      </c>
      <c r="AO147" s="1">
        <v>0.6</v>
      </c>
      <c r="AP147" s="1">
        <v>0.16</v>
      </c>
      <c r="AQ147" s="1">
        <v>3</v>
      </c>
      <c r="AR147" s="1" t="s">
        <v>1532</v>
      </c>
      <c r="AS147" s="1">
        <v>0</v>
      </c>
      <c r="AT147" s="1" t="s">
        <v>1807</v>
      </c>
      <c r="AU147" s="1">
        <v>10</v>
      </c>
      <c r="AV147" s="1">
        <v>20018</v>
      </c>
      <c r="AW147" s="1">
        <v>0</v>
      </c>
    </row>
    <row r="148" spans="1:49" x14ac:dyDescent="0.25">
      <c r="A148" s="1">
        <v>149</v>
      </c>
      <c r="B148" s="1" t="s">
        <v>2192</v>
      </c>
      <c r="C148" s="1" t="s">
        <v>2193</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2181</v>
      </c>
      <c r="AJ148" s="1">
        <v>0</v>
      </c>
      <c r="AK148" s="1" t="s">
        <v>461</v>
      </c>
      <c r="AL148" s="1" t="s">
        <v>2194</v>
      </c>
      <c r="AM148" s="1">
        <v>0.55000000000000004</v>
      </c>
      <c r="AN148" s="1">
        <v>0.16</v>
      </c>
      <c r="AO148" s="1">
        <v>0.6</v>
      </c>
      <c r="AP148" s="1">
        <v>0.16</v>
      </c>
      <c r="AQ148" s="1">
        <v>3</v>
      </c>
      <c r="AR148" s="1" t="s">
        <v>1533</v>
      </c>
      <c r="AS148" s="1">
        <v>0</v>
      </c>
      <c r="AT148" s="1" t="s">
        <v>1807</v>
      </c>
      <c r="AU148" s="1">
        <v>10</v>
      </c>
      <c r="AV148" s="1">
        <v>20019</v>
      </c>
      <c r="AW148" s="1">
        <v>0</v>
      </c>
    </row>
    <row r="149" spans="1:49" x14ac:dyDescent="0.25">
      <c r="A149" s="1">
        <v>150</v>
      </c>
      <c r="B149" s="1" t="s">
        <v>2195</v>
      </c>
      <c r="C149" s="1" t="s">
        <v>2196</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2120</v>
      </c>
      <c r="AJ149" s="1">
        <v>0</v>
      </c>
      <c r="AK149" s="1" t="s">
        <v>462</v>
      </c>
      <c r="AL149" s="1" t="s">
        <v>2197</v>
      </c>
      <c r="AM149" s="1">
        <v>0.45</v>
      </c>
      <c r="AN149" s="1">
        <v>0.15</v>
      </c>
      <c r="AO149" s="1">
        <v>0.3</v>
      </c>
      <c r="AP149" s="1">
        <v>0.15</v>
      </c>
      <c r="AQ149" s="1">
        <v>3</v>
      </c>
      <c r="AR149" s="1" t="s">
        <v>1534</v>
      </c>
      <c r="AS149" s="1">
        <v>0</v>
      </c>
      <c r="AT149" s="1" t="s">
        <v>1807</v>
      </c>
      <c r="AU149" s="1">
        <v>10</v>
      </c>
      <c r="AV149" s="1">
        <v>18032</v>
      </c>
      <c r="AW149" s="1">
        <v>0</v>
      </c>
    </row>
    <row r="150" spans="1:49" x14ac:dyDescent="0.25">
      <c r="A150" s="1">
        <v>151</v>
      </c>
      <c r="B150" s="1" t="s">
        <v>2198</v>
      </c>
      <c r="C150" s="1" t="s">
        <v>2199</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2200</v>
      </c>
      <c r="AJ150" s="1">
        <v>0</v>
      </c>
      <c r="AK150" s="1" t="s">
        <v>463</v>
      </c>
      <c r="AL150" s="1" t="s">
        <v>2201</v>
      </c>
      <c r="AM150" s="1">
        <v>0.08</v>
      </c>
      <c r="AN150" s="1">
        <v>0.53</v>
      </c>
      <c r="AO150" s="1">
        <v>0.08</v>
      </c>
      <c r="AP150" s="1">
        <v>0.45</v>
      </c>
      <c r="AQ150" s="1">
        <v>3</v>
      </c>
      <c r="AR150" s="1" t="s">
        <v>1535</v>
      </c>
      <c r="AS150" s="1">
        <v>0</v>
      </c>
      <c r="AT150" s="1" t="s">
        <v>1807</v>
      </c>
      <c r="AU150" s="1">
        <v>10</v>
      </c>
      <c r="AV150" s="1">
        <v>19011</v>
      </c>
      <c r="AW150" s="1">
        <v>0</v>
      </c>
    </row>
    <row r="151" spans="1:49" x14ac:dyDescent="0.25">
      <c r="A151" s="1">
        <v>152</v>
      </c>
      <c r="B151" s="1" t="s">
        <v>2202</v>
      </c>
      <c r="C151" s="1" t="s">
        <v>2203</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2204</v>
      </c>
      <c r="AJ151" s="1">
        <v>0</v>
      </c>
      <c r="AK151" s="1" t="s">
        <v>464</v>
      </c>
      <c r="AL151" s="1" t="s">
        <v>2205</v>
      </c>
      <c r="AM151" s="1">
        <v>0.45</v>
      </c>
      <c r="AN151" s="1">
        <v>0.15</v>
      </c>
      <c r="AO151" s="1">
        <v>0.3</v>
      </c>
      <c r="AP151" s="1">
        <v>0.15</v>
      </c>
      <c r="AQ151" s="1">
        <v>3</v>
      </c>
      <c r="AR151" s="1" t="s">
        <v>1536</v>
      </c>
      <c r="AS151" s="1">
        <v>0</v>
      </c>
      <c r="AT151" s="1" t="s">
        <v>1807</v>
      </c>
      <c r="AU151" s="1">
        <v>10</v>
      </c>
      <c r="AV151" s="1">
        <v>18033</v>
      </c>
      <c r="AW151" s="1">
        <v>0</v>
      </c>
    </row>
    <row r="152" spans="1:49" x14ac:dyDescent="0.25">
      <c r="A152" s="1">
        <v>153</v>
      </c>
      <c r="B152" s="1" t="s">
        <v>2206</v>
      </c>
      <c r="C152" s="1" t="s">
        <v>2207</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2208</v>
      </c>
      <c r="AJ152" s="1">
        <v>0</v>
      </c>
      <c r="AK152" s="1" t="s">
        <v>371</v>
      </c>
      <c r="AL152" s="1" t="s">
        <v>2209</v>
      </c>
      <c r="AM152" s="1">
        <v>0.45</v>
      </c>
      <c r="AN152" s="1">
        <v>0.15</v>
      </c>
      <c r="AO152" s="1">
        <v>0.3</v>
      </c>
      <c r="AP152" s="1">
        <v>0.15</v>
      </c>
      <c r="AQ152" s="1">
        <v>3</v>
      </c>
      <c r="AR152" s="1" t="s">
        <v>1537</v>
      </c>
      <c r="AS152" s="1">
        <v>0</v>
      </c>
      <c r="AT152" s="1" t="s">
        <v>1807</v>
      </c>
      <c r="AU152" s="1">
        <v>10</v>
      </c>
      <c r="AV152" s="1">
        <v>18034</v>
      </c>
      <c r="AW152" s="1">
        <v>0</v>
      </c>
    </row>
    <row r="153" spans="1:49" x14ac:dyDescent="0.25">
      <c r="A153" s="1">
        <v>154</v>
      </c>
      <c r="B153" s="1" t="s">
        <v>2210</v>
      </c>
      <c r="C153" s="1" t="s">
        <v>2211</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2212</v>
      </c>
      <c r="AJ153" s="1">
        <v>0</v>
      </c>
      <c r="AK153" s="1" t="s">
        <v>466</v>
      </c>
      <c r="AL153" s="1" t="s">
        <v>2213</v>
      </c>
      <c r="AM153" s="1">
        <v>0.55000000000000004</v>
      </c>
      <c r="AN153" s="1">
        <v>0.23</v>
      </c>
      <c r="AO153" s="1">
        <v>0.23</v>
      </c>
      <c r="AP153" s="1">
        <v>0.23</v>
      </c>
      <c r="AQ153" s="1">
        <v>3</v>
      </c>
      <c r="AR153" s="1" t="s">
        <v>1538</v>
      </c>
      <c r="AS153" s="1">
        <v>0</v>
      </c>
      <c r="AT153" s="1" t="s">
        <v>1807</v>
      </c>
      <c r="AU153" s="1">
        <v>10</v>
      </c>
      <c r="AV153" s="1">
        <v>18035</v>
      </c>
      <c r="AW153" s="1">
        <v>0</v>
      </c>
    </row>
    <row r="154" spans="1:49" x14ac:dyDescent="0.25">
      <c r="A154" s="1">
        <v>155</v>
      </c>
      <c r="B154" s="1" t="s">
        <v>2214</v>
      </c>
      <c r="C154" s="1" t="s">
        <v>2215</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2216</v>
      </c>
      <c r="AJ154" s="1">
        <v>0</v>
      </c>
      <c r="AK154" s="1" t="s">
        <v>468</v>
      </c>
      <c r="AL154" s="1" t="s">
        <v>2217</v>
      </c>
      <c r="AM154" s="1">
        <v>0.55000000000000004</v>
      </c>
      <c r="AN154" s="1">
        <v>0.23</v>
      </c>
      <c r="AO154" s="1">
        <v>0.23</v>
      </c>
      <c r="AP154" s="1">
        <v>0.23</v>
      </c>
      <c r="AQ154" s="1">
        <v>3</v>
      </c>
      <c r="AR154" s="1" t="s">
        <v>1539</v>
      </c>
      <c r="AS154" s="1">
        <v>0</v>
      </c>
      <c r="AT154" s="1" t="s">
        <v>1807</v>
      </c>
      <c r="AU154" s="1">
        <v>10</v>
      </c>
      <c r="AV154" s="1">
        <v>18036</v>
      </c>
      <c r="AW154" s="1">
        <v>0</v>
      </c>
    </row>
    <row r="155" spans="1:49" x14ac:dyDescent="0.25">
      <c r="A155" s="1">
        <v>156</v>
      </c>
      <c r="B155" s="1" t="s">
        <v>2218</v>
      </c>
      <c r="C155" s="1" t="s">
        <v>2219</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1831</v>
      </c>
      <c r="AJ155" s="1">
        <v>0</v>
      </c>
      <c r="AK155" s="1" t="s">
        <v>469</v>
      </c>
      <c r="AL155" s="1" t="s">
        <v>2220</v>
      </c>
      <c r="AM155" s="1">
        <v>0.45</v>
      </c>
      <c r="AN155" s="1">
        <v>0.15</v>
      </c>
      <c r="AO155" s="1">
        <v>0.3</v>
      </c>
      <c r="AP155" s="1">
        <v>0.15</v>
      </c>
      <c r="AQ155" s="1">
        <v>3</v>
      </c>
      <c r="AR155" s="1" t="s">
        <v>1540</v>
      </c>
      <c r="AS155" s="1">
        <v>0</v>
      </c>
      <c r="AT155" s="1" t="s">
        <v>1807</v>
      </c>
      <c r="AU155" s="1">
        <v>10</v>
      </c>
      <c r="AV155" s="1">
        <v>18037</v>
      </c>
      <c r="AW155" s="1">
        <v>0</v>
      </c>
    </row>
    <row r="156" spans="1:49" x14ac:dyDescent="0.25">
      <c r="A156" s="1">
        <v>157</v>
      </c>
      <c r="B156" s="1" t="s">
        <v>2221</v>
      </c>
      <c r="C156" s="1" t="s">
        <v>2222</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1410</v>
      </c>
      <c r="AH156" s="1">
        <v>3600</v>
      </c>
      <c r="AI156" s="1" t="s">
        <v>2010</v>
      </c>
      <c r="AJ156" s="1">
        <v>0</v>
      </c>
      <c r="AK156" s="1" t="s">
        <v>384</v>
      </c>
      <c r="AL156" s="1" t="s">
        <v>2223</v>
      </c>
      <c r="AM156" s="1">
        <v>0.45</v>
      </c>
      <c r="AN156" s="1">
        <v>0.15</v>
      </c>
      <c r="AO156" s="1">
        <v>0.3</v>
      </c>
      <c r="AP156" s="1">
        <v>0.15</v>
      </c>
      <c r="AQ156" s="1">
        <v>3</v>
      </c>
      <c r="AR156" s="1" t="s">
        <v>1541</v>
      </c>
      <c r="AS156" s="1">
        <v>0</v>
      </c>
      <c r="AT156" s="1" t="s">
        <v>1807</v>
      </c>
      <c r="AU156" s="1">
        <v>10</v>
      </c>
      <c r="AV156" s="1">
        <v>18038</v>
      </c>
      <c r="AW156" s="1">
        <v>0</v>
      </c>
    </row>
    <row r="157" spans="1:49" x14ac:dyDescent="0.25">
      <c r="A157" s="1">
        <v>158</v>
      </c>
      <c r="B157" s="1" t="s">
        <v>2224</v>
      </c>
      <c r="C157" s="1" t="s">
        <v>2225</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2226</v>
      </c>
      <c r="AJ157" s="1">
        <v>0</v>
      </c>
      <c r="AK157" s="1" t="s">
        <v>472</v>
      </c>
      <c r="AL157" s="1" t="s">
        <v>2227</v>
      </c>
      <c r="AM157" s="1">
        <v>0.45</v>
      </c>
      <c r="AN157" s="1">
        <v>0.15</v>
      </c>
      <c r="AO157" s="1">
        <v>0.3</v>
      </c>
      <c r="AP157" s="1">
        <v>0.15</v>
      </c>
      <c r="AQ157" s="1">
        <v>3</v>
      </c>
      <c r="AR157" s="1" t="s">
        <v>1542</v>
      </c>
      <c r="AS157" s="1">
        <v>0</v>
      </c>
      <c r="AT157" s="1" t="s">
        <v>1807</v>
      </c>
      <c r="AU157" s="1">
        <v>10</v>
      </c>
      <c r="AV157" s="1">
        <v>18039</v>
      </c>
      <c r="AW157" s="1">
        <v>0</v>
      </c>
    </row>
    <row r="158" spans="1:49" x14ac:dyDescent="0.25">
      <c r="A158" s="1">
        <v>159</v>
      </c>
      <c r="B158" s="1" t="s">
        <v>2228</v>
      </c>
      <c r="C158" s="1" t="s">
        <v>2229</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2230</v>
      </c>
      <c r="AJ158" s="1">
        <v>0</v>
      </c>
      <c r="AK158" s="1" t="s">
        <v>421</v>
      </c>
      <c r="AL158" s="1" t="s">
        <v>2231</v>
      </c>
      <c r="AM158" s="1">
        <v>0.3</v>
      </c>
      <c r="AN158" s="1">
        <v>0.23</v>
      </c>
      <c r="AO158" s="1">
        <v>0.15</v>
      </c>
      <c r="AP158" s="1">
        <v>0.38</v>
      </c>
      <c r="AQ158" s="1">
        <v>3</v>
      </c>
      <c r="AR158" s="1" t="s">
        <v>1543</v>
      </c>
      <c r="AS158" s="1">
        <v>0</v>
      </c>
      <c r="AT158" s="1" t="s">
        <v>1807</v>
      </c>
      <c r="AU158" s="1">
        <v>10</v>
      </c>
      <c r="AV158" s="1">
        <v>20020</v>
      </c>
      <c r="AW158" s="1">
        <v>0</v>
      </c>
    </row>
    <row r="159" spans="1:49" x14ac:dyDescent="0.25">
      <c r="A159" s="1">
        <v>160</v>
      </c>
      <c r="B159" s="1" t="s">
        <v>2232</v>
      </c>
      <c r="C159" s="1" t="s">
        <v>2233</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2234</v>
      </c>
      <c r="AJ159" s="1">
        <v>0</v>
      </c>
      <c r="AK159" s="1" t="s">
        <v>473</v>
      </c>
      <c r="AL159" s="1" t="s">
        <v>2235</v>
      </c>
      <c r="AM159" s="1">
        <v>0.45</v>
      </c>
      <c r="AN159" s="1">
        <v>0.15</v>
      </c>
      <c r="AO159" s="1">
        <v>0.3</v>
      </c>
      <c r="AP159" s="1">
        <v>0.15</v>
      </c>
      <c r="AQ159" s="1">
        <v>3</v>
      </c>
      <c r="AR159" s="1" t="s">
        <v>1544</v>
      </c>
      <c r="AS159" s="1">
        <v>0</v>
      </c>
      <c r="AT159" s="1" t="s">
        <v>1807</v>
      </c>
      <c r="AU159" s="1">
        <v>10</v>
      </c>
      <c r="AV159" s="1">
        <v>18040</v>
      </c>
      <c r="AW159" s="1">
        <v>0</v>
      </c>
    </row>
    <row r="160" spans="1:49" x14ac:dyDescent="0.25">
      <c r="A160" s="1">
        <v>161</v>
      </c>
      <c r="B160" s="1" t="s">
        <v>2236</v>
      </c>
      <c r="C160" s="1" t="s">
        <v>2237</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2238</v>
      </c>
      <c r="AJ160" s="1">
        <v>0</v>
      </c>
      <c r="AK160" s="1" t="s">
        <v>474</v>
      </c>
      <c r="AL160" s="1" t="s">
        <v>2239</v>
      </c>
      <c r="AM160" s="1">
        <v>0.45</v>
      </c>
      <c r="AN160" s="1">
        <v>0.15</v>
      </c>
      <c r="AO160" s="1">
        <v>0.3</v>
      </c>
      <c r="AP160" s="1">
        <v>0.15</v>
      </c>
      <c r="AQ160" s="1">
        <v>3</v>
      </c>
      <c r="AR160" s="1" t="s">
        <v>1545</v>
      </c>
      <c r="AS160" s="1">
        <v>0</v>
      </c>
      <c r="AT160" s="1" t="s">
        <v>1807</v>
      </c>
      <c r="AU160" s="1">
        <v>10</v>
      </c>
      <c r="AV160" s="1">
        <v>18041</v>
      </c>
      <c r="AW160" s="1">
        <v>0</v>
      </c>
    </row>
    <row r="161" spans="1:49" x14ac:dyDescent="0.25">
      <c r="A161" s="1">
        <v>162</v>
      </c>
      <c r="B161" s="1" t="s">
        <v>2240</v>
      </c>
      <c r="C161" s="1" t="s">
        <v>2241</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2242</v>
      </c>
      <c r="AJ161" s="1">
        <v>0</v>
      </c>
      <c r="AK161" s="1" t="s">
        <v>475</v>
      </c>
      <c r="AL161" s="1" t="s">
        <v>2243</v>
      </c>
      <c r="AM161" s="1">
        <v>0.1</v>
      </c>
      <c r="AN161" s="1">
        <v>0.1</v>
      </c>
      <c r="AO161" s="1">
        <v>0.1</v>
      </c>
      <c r="AP161" s="1">
        <v>0.55000000000000004</v>
      </c>
      <c r="AQ161" s="1">
        <v>3</v>
      </c>
      <c r="AR161" s="1" t="s">
        <v>1546</v>
      </c>
      <c r="AS161" s="1">
        <v>0</v>
      </c>
      <c r="AT161" s="1" t="s">
        <v>1807</v>
      </c>
      <c r="AU161" s="1">
        <v>10</v>
      </c>
      <c r="AV161" s="1">
        <v>20021</v>
      </c>
      <c r="AW161" s="1">
        <v>0</v>
      </c>
    </row>
    <row r="162" spans="1:49" x14ac:dyDescent="0.25">
      <c r="A162" s="1">
        <v>163</v>
      </c>
      <c r="B162" s="1" t="s">
        <v>2244</v>
      </c>
      <c r="C162" s="1" t="s">
        <v>2245</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2246</v>
      </c>
      <c r="AJ162" s="1">
        <v>0</v>
      </c>
      <c r="AK162" s="1" t="s">
        <v>476</v>
      </c>
      <c r="AL162" s="1" t="s">
        <v>2247</v>
      </c>
      <c r="AM162" s="1">
        <v>0.55000000000000004</v>
      </c>
      <c r="AN162" s="1">
        <v>0.23</v>
      </c>
      <c r="AO162" s="1">
        <v>0.23</v>
      </c>
      <c r="AP162" s="1">
        <v>0.23</v>
      </c>
      <c r="AQ162" s="1">
        <v>3</v>
      </c>
      <c r="AR162" s="1" t="s">
        <v>1547</v>
      </c>
      <c r="AS162" s="1">
        <v>0</v>
      </c>
      <c r="AT162" s="1" t="s">
        <v>1807</v>
      </c>
      <c r="AU162" s="1">
        <v>10</v>
      </c>
      <c r="AV162" s="1">
        <v>18042</v>
      </c>
      <c r="AW162" s="1">
        <v>0</v>
      </c>
    </row>
    <row r="163" spans="1:49" x14ac:dyDescent="0.25">
      <c r="A163" s="1">
        <v>164</v>
      </c>
      <c r="B163" s="1" t="s">
        <v>2248</v>
      </c>
      <c r="C163" s="1" t="s">
        <v>2249</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2250</v>
      </c>
      <c r="AJ163" s="1">
        <v>0</v>
      </c>
      <c r="AK163" s="1" t="s">
        <v>477</v>
      </c>
      <c r="AL163" s="1" t="s">
        <v>2251</v>
      </c>
      <c r="AM163" s="1">
        <v>0.55000000000000004</v>
      </c>
      <c r="AN163" s="1">
        <v>0.23</v>
      </c>
      <c r="AO163" s="1">
        <v>0.23</v>
      </c>
      <c r="AP163" s="1">
        <v>0.23</v>
      </c>
      <c r="AQ163" s="1">
        <v>3</v>
      </c>
      <c r="AR163" s="1" t="s">
        <v>1548</v>
      </c>
      <c r="AS163" s="1">
        <v>0</v>
      </c>
      <c r="AT163" s="1" t="s">
        <v>1807</v>
      </c>
      <c r="AU163" s="1">
        <v>10</v>
      </c>
      <c r="AV163" s="1">
        <v>18043</v>
      </c>
      <c r="AW163" s="1">
        <v>0</v>
      </c>
    </row>
    <row r="164" spans="1:49" x14ac:dyDescent="0.25">
      <c r="A164" s="1">
        <v>165</v>
      </c>
      <c r="B164" s="1" t="s">
        <v>2252</v>
      </c>
      <c r="C164" s="1" t="s">
        <v>2253</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2254</v>
      </c>
      <c r="AJ164" s="1">
        <v>0</v>
      </c>
      <c r="AK164" s="1" t="s">
        <v>478</v>
      </c>
      <c r="AL164" s="1" t="s">
        <v>2255</v>
      </c>
      <c r="AM164" s="1">
        <v>0.3</v>
      </c>
      <c r="AN164" s="1">
        <v>0.25</v>
      </c>
      <c r="AO164" s="1">
        <v>0.12</v>
      </c>
      <c r="AP164" s="1">
        <v>0.38</v>
      </c>
      <c r="AQ164" s="1">
        <v>3</v>
      </c>
      <c r="AR164" s="1" t="s">
        <v>1549</v>
      </c>
      <c r="AS164" s="1">
        <v>0</v>
      </c>
      <c r="AT164" s="1" t="s">
        <v>1807</v>
      </c>
      <c r="AU164" s="1">
        <v>10</v>
      </c>
      <c r="AV164" s="1">
        <v>20022</v>
      </c>
      <c r="AW164" s="1">
        <v>0</v>
      </c>
    </row>
    <row r="165" spans="1:49" x14ac:dyDescent="0.25">
      <c r="A165" s="1">
        <v>166</v>
      </c>
      <c r="B165" s="1" t="s">
        <v>2256</v>
      </c>
      <c r="C165" s="1" t="s">
        <v>2257</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2258</v>
      </c>
      <c r="AJ165" s="1">
        <v>0</v>
      </c>
      <c r="AK165" s="1" t="s">
        <v>479</v>
      </c>
      <c r="AL165" s="1" t="s">
        <v>2259</v>
      </c>
      <c r="AM165" s="1">
        <v>0.45</v>
      </c>
      <c r="AN165" s="1">
        <v>0.15</v>
      </c>
      <c r="AO165" s="1">
        <v>0.3</v>
      </c>
      <c r="AP165" s="1">
        <v>0.15</v>
      </c>
      <c r="AQ165" s="1">
        <v>3</v>
      </c>
      <c r="AR165" s="1" t="s">
        <v>1550</v>
      </c>
      <c r="AS165" s="1">
        <v>0</v>
      </c>
      <c r="AT165" s="1" t="s">
        <v>1807</v>
      </c>
      <c r="AU165" s="1">
        <v>10</v>
      </c>
      <c r="AV165" s="1">
        <v>18044</v>
      </c>
      <c r="AW165" s="1">
        <v>0</v>
      </c>
    </row>
    <row r="166" spans="1:49" x14ac:dyDescent="0.25">
      <c r="A166" s="1">
        <v>167</v>
      </c>
      <c r="B166" s="1" t="s">
        <v>2260</v>
      </c>
      <c r="C166" s="1" t="s">
        <v>2261</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2108</v>
      </c>
      <c r="AJ166" s="1">
        <v>0</v>
      </c>
      <c r="AK166" s="1" t="s">
        <v>480</v>
      </c>
      <c r="AL166" s="1" t="s">
        <v>2262</v>
      </c>
      <c r="AM166" s="1">
        <v>0.55000000000000004</v>
      </c>
      <c r="AN166" s="1">
        <v>0.23</v>
      </c>
      <c r="AO166" s="1">
        <v>0.23</v>
      </c>
      <c r="AP166" s="1">
        <v>0.23</v>
      </c>
      <c r="AQ166" s="1">
        <v>3</v>
      </c>
      <c r="AR166" s="1" t="s">
        <v>1551</v>
      </c>
      <c r="AS166" s="1">
        <v>0</v>
      </c>
      <c r="AT166" s="1" t="s">
        <v>1807</v>
      </c>
      <c r="AU166" s="1">
        <v>10</v>
      </c>
      <c r="AV166" s="1">
        <v>18045</v>
      </c>
      <c r="AW166" s="1">
        <v>0</v>
      </c>
    </row>
    <row r="167" spans="1:49" x14ac:dyDescent="0.25">
      <c r="A167" s="1">
        <v>168</v>
      </c>
      <c r="B167" s="1" t="s">
        <v>2263</v>
      </c>
      <c r="C167" s="1" t="s">
        <v>2264</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2265</v>
      </c>
      <c r="AJ167" s="1">
        <v>0</v>
      </c>
      <c r="AK167" s="1" t="s">
        <v>481</v>
      </c>
      <c r="AL167" s="1" t="s">
        <v>2266</v>
      </c>
      <c r="AM167" s="1">
        <v>0.55000000000000004</v>
      </c>
      <c r="AN167" s="1">
        <v>0.23</v>
      </c>
      <c r="AO167" s="1">
        <v>0.23</v>
      </c>
      <c r="AP167" s="1">
        <v>0.23</v>
      </c>
      <c r="AQ167" s="1">
        <v>3</v>
      </c>
      <c r="AR167" s="1" t="s">
        <v>1548</v>
      </c>
      <c r="AS167" s="1">
        <v>0</v>
      </c>
      <c r="AT167" s="1" t="s">
        <v>1807</v>
      </c>
      <c r="AU167" s="1">
        <v>10</v>
      </c>
      <c r="AV167" s="1">
        <v>18046</v>
      </c>
      <c r="AW167" s="1">
        <v>0</v>
      </c>
    </row>
    <row r="168" spans="1:49" x14ac:dyDescent="0.25">
      <c r="A168" s="1">
        <v>169</v>
      </c>
      <c r="B168" s="1" t="s">
        <v>2267</v>
      </c>
      <c r="C168" s="1" t="s">
        <v>2268</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2269</v>
      </c>
      <c r="AJ168" s="1">
        <v>0</v>
      </c>
      <c r="AK168" s="1" t="s">
        <v>482</v>
      </c>
      <c r="AL168" s="1" t="s">
        <v>2270</v>
      </c>
      <c r="AM168" s="1">
        <v>0.45</v>
      </c>
      <c r="AN168" s="1">
        <v>0.15</v>
      </c>
      <c r="AO168" s="1">
        <v>0.3</v>
      </c>
      <c r="AP168" s="1">
        <v>0.15</v>
      </c>
      <c r="AQ168" s="1">
        <v>3</v>
      </c>
      <c r="AR168" s="1" t="s">
        <v>1552</v>
      </c>
      <c r="AS168" s="1">
        <v>0</v>
      </c>
      <c r="AT168" s="1" t="s">
        <v>1807</v>
      </c>
      <c r="AU168" s="1">
        <v>10</v>
      </c>
      <c r="AV168" s="1">
        <v>18047</v>
      </c>
      <c r="AW168" s="1">
        <v>0</v>
      </c>
    </row>
    <row r="169" spans="1:49" x14ac:dyDescent="0.25">
      <c r="A169" s="1">
        <v>170</v>
      </c>
      <c r="B169" s="1" t="s">
        <v>2271</v>
      </c>
      <c r="C169" s="1" t="s">
        <v>2272</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1682</v>
      </c>
      <c r="AH169" s="1">
        <v>3300</v>
      </c>
      <c r="AI169" s="1" t="s">
        <v>2273</v>
      </c>
      <c r="AJ169" s="1">
        <v>0</v>
      </c>
      <c r="AK169" s="1" t="s">
        <v>483</v>
      </c>
      <c r="AL169" s="1" t="s">
        <v>2274</v>
      </c>
      <c r="AM169" s="1">
        <v>0.08</v>
      </c>
      <c r="AN169" s="1">
        <v>0.5</v>
      </c>
      <c r="AO169" s="1">
        <v>0.3</v>
      </c>
      <c r="AP169" s="1">
        <v>0.3</v>
      </c>
      <c r="AQ169" s="1">
        <v>3</v>
      </c>
      <c r="AR169" s="1" t="s">
        <v>1553</v>
      </c>
      <c r="AS169" s="1">
        <v>0</v>
      </c>
      <c r="AT169" s="1" t="s">
        <v>1807</v>
      </c>
      <c r="AU169" s="1">
        <v>10</v>
      </c>
      <c r="AV169" s="1">
        <v>19012</v>
      </c>
      <c r="AW169" s="1">
        <v>0</v>
      </c>
    </row>
    <row r="170" spans="1:49" x14ac:dyDescent="0.25">
      <c r="A170" s="1">
        <v>171</v>
      </c>
      <c r="B170" s="1" t="s">
        <v>2275</v>
      </c>
      <c r="C170" s="1" t="s">
        <v>2276</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2277</v>
      </c>
      <c r="AJ170" s="1">
        <v>0</v>
      </c>
      <c r="AK170" s="1" t="s">
        <v>484</v>
      </c>
      <c r="AL170" s="1" t="s">
        <v>2278</v>
      </c>
      <c r="AM170" s="1">
        <v>0.3</v>
      </c>
      <c r="AN170" s="1">
        <v>0.25</v>
      </c>
      <c r="AO170" s="1">
        <v>0.12</v>
      </c>
      <c r="AP170" s="1">
        <v>0.38</v>
      </c>
      <c r="AQ170" s="1">
        <v>3</v>
      </c>
      <c r="AR170" s="1" t="s">
        <v>1548</v>
      </c>
      <c r="AS170" s="1">
        <v>0</v>
      </c>
      <c r="AT170" s="1" t="s">
        <v>1807</v>
      </c>
      <c r="AU170" s="1">
        <v>10</v>
      </c>
      <c r="AV170" s="1">
        <v>20023</v>
      </c>
      <c r="AW170" s="1">
        <v>0</v>
      </c>
    </row>
    <row r="171" spans="1:49" x14ac:dyDescent="0.25">
      <c r="A171" s="1">
        <v>172</v>
      </c>
      <c r="B171" s="1" t="s">
        <v>2279</v>
      </c>
      <c r="C171" s="1" t="s">
        <v>2280</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2281</v>
      </c>
      <c r="AJ171" s="1">
        <v>0</v>
      </c>
      <c r="AK171" s="1" t="s">
        <v>485</v>
      </c>
      <c r="AL171" s="1" t="s">
        <v>2282</v>
      </c>
      <c r="AM171" s="1">
        <v>0.45</v>
      </c>
      <c r="AN171" s="1">
        <v>0.15</v>
      </c>
      <c r="AO171" s="1">
        <v>0.3</v>
      </c>
      <c r="AP171" s="1">
        <v>0.15</v>
      </c>
      <c r="AQ171" s="1">
        <v>3</v>
      </c>
      <c r="AR171" s="1" t="s">
        <v>1554</v>
      </c>
      <c r="AS171" s="1">
        <v>0</v>
      </c>
      <c r="AT171" s="1" t="s">
        <v>1807</v>
      </c>
      <c r="AU171" s="1">
        <v>10</v>
      </c>
      <c r="AV171" s="1">
        <v>18048</v>
      </c>
      <c r="AW171" s="1">
        <v>0</v>
      </c>
    </row>
    <row r="172" spans="1:49" x14ac:dyDescent="0.25">
      <c r="A172" s="1">
        <v>173</v>
      </c>
      <c r="B172" s="1" t="s">
        <v>2283</v>
      </c>
      <c r="C172" s="1" t="s">
        <v>2284</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2285</v>
      </c>
      <c r="AJ172" s="1">
        <v>0</v>
      </c>
      <c r="AK172" s="1" t="s">
        <v>486</v>
      </c>
      <c r="AL172" s="1" t="s">
        <v>2286</v>
      </c>
      <c r="AM172" s="1">
        <v>0.15</v>
      </c>
      <c r="AN172" s="1">
        <v>0.6</v>
      </c>
      <c r="AO172" s="1">
        <v>0.38</v>
      </c>
      <c r="AP172" s="1">
        <v>0.23</v>
      </c>
      <c r="AQ172" s="1">
        <v>3</v>
      </c>
      <c r="AR172" s="1" t="s">
        <v>1555</v>
      </c>
      <c r="AS172" s="1">
        <v>0</v>
      </c>
      <c r="AT172" s="1" t="s">
        <v>1807</v>
      </c>
      <c r="AU172" s="1">
        <v>10</v>
      </c>
      <c r="AV172" s="1">
        <v>19013</v>
      </c>
      <c r="AW172" s="1">
        <v>0</v>
      </c>
    </row>
    <row r="173" spans="1:49" x14ac:dyDescent="0.25">
      <c r="A173" s="1">
        <v>174</v>
      </c>
      <c r="B173" s="1" t="s">
        <v>2287</v>
      </c>
      <c r="C173" s="1" t="s">
        <v>2288</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2289</v>
      </c>
      <c r="AJ173" s="1">
        <v>0</v>
      </c>
      <c r="AK173" s="1" t="s">
        <v>487</v>
      </c>
      <c r="AL173" s="1" t="s">
        <v>2290</v>
      </c>
      <c r="AM173" s="1">
        <v>0.08</v>
      </c>
      <c r="AN173" s="1">
        <v>0.39</v>
      </c>
      <c r="AO173" s="1">
        <v>0.08</v>
      </c>
      <c r="AP173" s="1">
        <v>0.48</v>
      </c>
      <c r="AQ173" s="1">
        <v>3</v>
      </c>
      <c r="AR173" s="1" t="s">
        <v>1556</v>
      </c>
      <c r="AS173" s="1">
        <v>0</v>
      </c>
      <c r="AT173" s="1" t="s">
        <v>2291</v>
      </c>
      <c r="AU173" s="1">
        <v>10</v>
      </c>
      <c r="AV173" s="1">
        <v>19014</v>
      </c>
      <c r="AW173" s="1">
        <v>0</v>
      </c>
    </row>
    <row r="174" spans="1:49" x14ac:dyDescent="0.25">
      <c r="A174" s="1">
        <v>175</v>
      </c>
      <c r="B174" s="1" t="s">
        <v>2292</v>
      </c>
      <c r="C174" s="1" t="s">
        <v>2293</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2294</v>
      </c>
      <c r="AM174" s="1">
        <v>0.55000000000000004</v>
      </c>
      <c r="AN174" s="1">
        <v>0.23</v>
      </c>
      <c r="AO174" s="1">
        <v>0.23</v>
      </c>
      <c r="AP174" s="1">
        <v>0.23</v>
      </c>
      <c r="AQ174" s="1">
        <v>3</v>
      </c>
      <c r="AR174" s="1" t="s">
        <v>1557</v>
      </c>
      <c r="AS174" s="1">
        <v>0</v>
      </c>
      <c r="AT174" s="1" t="s">
        <v>1807</v>
      </c>
      <c r="AU174" s="1">
        <v>10</v>
      </c>
      <c r="AV174" s="1">
        <v>18049</v>
      </c>
      <c r="AW174" s="1">
        <v>0</v>
      </c>
    </row>
    <row r="175" spans="1:49" x14ac:dyDescent="0.25">
      <c r="A175" s="1">
        <v>176</v>
      </c>
      <c r="B175" s="1" t="s">
        <v>2295</v>
      </c>
      <c r="C175" s="1" t="s">
        <v>2296</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1686</v>
      </c>
      <c r="AH175" s="1">
        <v>3180</v>
      </c>
      <c r="AI175" s="1" t="s">
        <v>1844</v>
      </c>
      <c r="AJ175" s="1">
        <v>0</v>
      </c>
      <c r="AK175" s="1" t="s">
        <v>490</v>
      </c>
      <c r="AL175" s="1" t="s">
        <v>2297</v>
      </c>
      <c r="AM175" s="1">
        <v>0.48</v>
      </c>
      <c r="AN175" s="1">
        <v>0.48</v>
      </c>
      <c r="AO175" s="1">
        <v>0.08</v>
      </c>
      <c r="AP175" s="1">
        <v>0.25</v>
      </c>
      <c r="AQ175" s="1">
        <v>3</v>
      </c>
      <c r="AR175" s="1" t="s">
        <v>1558</v>
      </c>
      <c r="AS175" s="1">
        <v>0</v>
      </c>
      <c r="AT175" s="1" t="s">
        <v>1807</v>
      </c>
      <c r="AU175" s="1">
        <v>10</v>
      </c>
      <c r="AV175" s="1">
        <v>19015</v>
      </c>
      <c r="AW175" s="1">
        <v>0</v>
      </c>
    </row>
    <row r="176" spans="1:49" x14ac:dyDescent="0.25">
      <c r="A176" s="1">
        <v>177</v>
      </c>
      <c r="B176" s="1" t="s">
        <v>2298</v>
      </c>
      <c r="C176" s="1" t="s">
        <v>2299</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2300</v>
      </c>
      <c r="AJ176" s="1">
        <v>0</v>
      </c>
      <c r="AK176" s="1" t="s">
        <v>491</v>
      </c>
      <c r="AL176" s="1" t="s">
        <v>2301</v>
      </c>
      <c r="AM176" s="1">
        <v>0.45</v>
      </c>
      <c r="AN176" s="1">
        <v>0.15</v>
      </c>
      <c r="AO176" s="1">
        <v>0.3</v>
      </c>
      <c r="AP176" s="1">
        <v>0.15</v>
      </c>
      <c r="AQ176" s="1">
        <v>3</v>
      </c>
      <c r="AR176" s="1" t="s">
        <v>1559</v>
      </c>
      <c r="AS176" s="1">
        <v>0</v>
      </c>
      <c r="AT176" s="1" t="s">
        <v>1807</v>
      </c>
      <c r="AU176" s="1">
        <v>10</v>
      </c>
      <c r="AV176" s="1">
        <v>18050</v>
      </c>
      <c r="AW176" s="1">
        <v>0</v>
      </c>
    </row>
    <row r="177" spans="1:49" x14ac:dyDescent="0.25">
      <c r="A177" s="1">
        <v>178</v>
      </c>
      <c r="B177" s="1" t="s">
        <v>2302</v>
      </c>
      <c r="C177" s="1" t="s">
        <v>2303</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1844</v>
      </c>
      <c r="AJ177" s="1">
        <v>0</v>
      </c>
      <c r="AK177" s="1" t="s">
        <v>492</v>
      </c>
      <c r="AL177" s="1" t="s">
        <v>2304</v>
      </c>
      <c r="AM177" s="1">
        <v>0.08</v>
      </c>
      <c r="AN177" s="1">
        <v>0.5</v>
      </c>
      <c r="AO177" s="1">
        <v>0.3</v>
      </c>
      <c r="AP177" s="1">
        <v>0.3</v>
      </c>
      <c r="AQ177" s="1">
        <v>3</v>
      </c>
      <c r="AR177" s="1" t="s">
        <v>1553</v>
      </c>
      <c r="AS177" s="1">
        <v>0</v>
      </c>
      <c r="AT177" s="1" t="s">
        <v>1807</v>
      </c>
      <c r="AU177" s="1">
        <v>10</v>
      </c>
      <c r="AV177" s="1">
        <v>19016</v>
      </c>
      <c r="AW177" s="1">
        <v>0</v>
      </c>
    </row>
    <row r="178" spans="1:49" x14ac:dyDescent="0.25">
      <c r="A178" s="1">
        <v>179</v>
      </c>
      <c r="B178" s="1" t="s">
        <v>2305</v>
      </c>
      <c r="C178" s="1" t="s">
        <v>2306</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1844</v>
      </c>
      <c r="AJ178" s="1">
        <v>0</v>
      </c>
      <c r="AK178" s="1" t="s">
        <v>493</v>
      </c>
      <c r="AL178" s="1" t="s">
        <v>2307</v>
      </c>
      <c r="AM178" s="1">
        <v>0.55000000000000004</v>
      </c>
      <c r="AN178" s="1">
        <v>0.23</v>
      </c>
      <c r="AO178" s="1">
        <v>0.23</v>
      </c>
      <c r="AP178" s="1">
        <v>0.23</v>
      </c>
      <c r="AQ178" s="1">
        <v>3</v>
      </c>
      <c r="AR178" s="1" t="s">
        <v>1548</v>
      </c>
      <c r="AS178" s="1">
        <v>0</v>
      </c>
      <c r="AT178" s="1" t="s">
        <v>1807</v>
      </c>
      <c r="AU178" s="1">
        <v>10</v>
      </c>
      <c r="AV178" s="1">
        <v>18051</v>
      </c>
      <c r="AW178" s="1">
        <v>0</v>
      </c>
    </row>
    <row r="179" spans="1:49" x14ac:dyDescent="0.25">
      <c r="A179" s="1">
        <v>180</v>
      </c>
      <c r="B179" s="1" t="s">
        <v>2308</v>
      </c>
      <c r="C179" s="1" t="s">
        <v>2309</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2310</v>
      </c>
      <c r="AJ179" s="1">
        <v>0</v>
      </c>
      <c r="AK179" s="1" t="s">
        <v>931</v>
      </c>
      <c r="AL179" s="1" t="s">
        <v>2311</v>
      </c>
      <c r="AM179" s="1">
        <v>0.55000000000000004</v>
      </c>
      <c r="AN179" s="1">
        <v>0.23</v>
      </c>
      <c r="AO179" s="1">
        <v>0.23</v>
      </c>
      <c r="AP179" s="1">
        <v>0.23</v>
      </c>
      <c r="AQ179" s="1">
        <v>3</v>
      </c>
      <c r="AR179" s="1" t="s">
        <v>1560</v>
      </c>
      <c r="AS179" s="1">
        <v>0</v>
      </c>
      <c r="AT179" s="1" t="s">
        <v>1807</v>
      </c>
      <c r="AU179" s="1">
        <v>10</v>
      </c>
      <c r="AV179" s="1">
        <v>18052</v>
      </c>
      <c r="AW179" s="1">
        <v>0</v>
      </c>
    </row>
    <row r="180" spans="1:49" x14ac:dyDescent="0.25">
      <c r="A180" s="1">
        <v>181</v>
      </c>
      <c r="B180" s="1" t="s">
        <v>2312</v>
      </c>
      <c r="C180" s="1" t="s">
        <v>2313</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2314</v>
      </c>
      <c r="AJ180" s="1">
        <v>0</v>
      </c>
      <c r="AK180" s="1" t="s">
        <v>354</v>
      </c>
      <c r="AL180" s="1" t="s">
        <v>2315</v>
      </c>
      <c r="AM180" s="1">
        <v>0.48</v>
      </c>
      <c r="AN180" s="1">
        <v>0.48</v>
      </c>
      <c r="AO180" s="1">
        <v>0.08</v>
      </c>
      <c r="AP180" s="1">
        <v>0.25</v>
      </c>
      <c r="AQ180" s="1">
        <v>3</v>
      </c>
      <c r="AR180" s="1" t="s">
        <v>1474</v>
      </c>
      <c r="AS180" s="1">
        <v>0</v>
      </c>
      <c r="AT180" s="1" t="s">
        <v>1807</v>
      </c>
      <c r="AU180" s="1">
        <v>10</v>
      </c>
      <c r="AV180" s="1">
        <v>19017</v>
      </c>
      <c r="AW180" s="1">
        <v>0</v>
      </c>
    </row>
    <row r="181" spans="1:49" x14ac:dyDescent="0.25">
      <c r="A181" s="1">
        <v>182</v>
      </c>
      <c r="B181" s="1" t="s">
        <v>2316</v>
      </c>
      <c r="C181" s="1" t="s">
        <v>2317</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2046</v>
      </c>
      <c r="AJ181" s="1">
        <v>0</v>
      </c>
      <c r="AK181" s="1" t="s">
        <v>495</v>
      </c>
      <c r="AL181" s="1" t="s">
        <v>2318</v>
      </c>
      <c r="AM181" s="1">
        <v>0.48</v>
      </c>
      <c r="AN181" s="1">
        <v>0.48</v>
      </c>
      <c r="AO181" s="1">
        <v>0.08</v>
      </c>
      <c r="AP181" s="1">
        <v>0.25</v>
      </c>
      <c r="AQ181" s="1">
        <v>3</v>
      </c>
      <c r="AR181" s="1" t="s">
        <v>1476</v>
      </c>
      <c r="AS181" s="1">
        <v>0</v>
      </c>
      <c r="AT181" s="1" t="s">
        <v>1807</v>
      </c>
      <c r="AU181" s="1">
        <v>10</v>
      </c>
      <c r="AV181" s="1">
        <v>19018</v>
      </c>
      <c r="AW181" s="1">
        <v>0</v>
      </c>
    </row>
    <row r="182" spans="1:49" x14ac:dyDescent="0.25">
      <c r="A182" s="1">
        <v>183</v>
      </c>
      <c r="B182" s="1" t="s">
        <v>2319</v>
      </c>
      <c r="C182" s="1" t="s">
        <v>2320</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1844</v>
      </c>
      <c r="AJ182" s="1">
        <v>0</v>
      </c>
      <c r="AK182" s="1" t="s">
        <v>496</v>
      </c>
      <c r="AL182" s="1" t="s">
        <v>2321</v>
      </c>
      <c r="AM182" s="1">
        <v>0.55000000000000004</v>
      </c>
      <c r="AN182" s="1">
        <v>0.16</v>
      </c>
      <c r="AO182" s="1">
        <v>0.6</v>
      </c>
      <c r="AP182" s="1">
        <v>0.16</v>
      </c>
      <c r="AQ182" s="1">
        <v>3</v>
      </c>
      <c r="AR182" s="1" t="s">
        <v>1500</v>
      </c>
      <c r="AS182" s="1">
        <v>0</v>
      </c>
      <c r="AT182" s="1" t="s">
        <v>1807</v>
      </c>
      <c r="AU182" s="1">
        <v>10</v>
      </c>
      <c r="AV182" s="1">
        <v>20024</v>
      </c>
      <c r="AW182" s="1">
        <v>0</v>
      </c>
    </row>
    <row r="183" spans="1:49" x14ac:dyDescent="0.25">
      <c r="A183" s="1">
        <v>184</v>
      </c>
      <c r="B183" s="1" t="s">
        <v>2322</v>
      </c>
      <c r="C183" s="1" t="s">
        <v>2323</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1844</v>
      </c>
      <c r="AJ183" s="1">
        <v>0</v>
      </c>
      <c r="AK183" s="1" t="s">
        <v>497</v>
      </c>
      <c r="AL183" s="1" t="s">
        <v>2324</v>
      </c>
      <c r="AM183" s="1">
        <v>0.3</v>
      </c>
      <c r="AN183" s="1">
        <v>0.25</v>
      </c>
      <c r="AO183" s="1">
        <v>0.12</v>
      </c>
      <c r="AP183" s="1">
        <v>0.38</v>
      </c>
      <c r="AQ183" s="1">
        <v>3</v>
      </c>
      <c r="AR183" s="1" t="s">
        <v>1561</v>
      </c>
      <c r="AS183" s="1">
        <v>0</v>
      </c>
      <c r="AT183" s="1" t="s">
        <v>1807</v>
      </c>
      <c r="AU183" s="1">
        <v>10</v>
      </c>
      <c r="AV183" s="1">
        <v>20025</v>
      </c>
      <c r="AW183" s="1">
        <v>0</v>
      </c>
    </row>
    <row r="184" spans="1:49" x14ac:dyDescent="0.25">
      <c r="A184" s="1">
        <v>185</v>
      </c>
      <c r="B184" s="1" t="s">
        <v>2325</v>
      </c>
      <c r="C184" s="1" t="s">
        <v>2326</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1844</v>
      </c>
      <c r="AJ184" s="1">
        <v>0</v>
      </c>
      <c r="AK184" s="1" t="s">
        <v>498</v>
      </c>
      <c r="AL184" s="1" t="s">
        <v>2327</v>
      </c>
      <c r="AM184" s="1">
        <v>0.45</v>
      </c>
      <c r="AN184" s="1">
        <v>0.15</v>
      </c>
      <c r="AO184" s="1">
        <v>0.3</v>
      </c>
      <c r="AP184" s="1">
        <v>0.15</v>
      </c>
      <c r="AQ184" s="1">
        <v>3</v>
      </c>
      <c r="AR184" s="1" t="s">
        <v>1562</v>
      </c>
      <c r="AS184" s="1">
        <v>0</v>
      </c>
      <c r="AT184" s="1" t="s">
        <v>2328</v>
      </c>
      <c r="AU184" s="1">
        <v>10</v>
      </c>
      <c r="AV184" s="1">
        <v>18053</v>
      </c>
      <c r="AW184" s="1">
        <v>0</v>
      </c>
    </row>
    <row r="185" spans="1:49" x14ac:dyDescent="0.25">
      <c r="A185" s="1">
        <v>186</v>
      </c>
      <c r="B185" s="1" t="s">
        <v>2329</v>
      </c>
      <c r="C185" s="1" t="s">
        <v>2330</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1844</v>
      </c>
      <c r="AJ185" s="1">
        <v>0</v>
      </c>
      <c r="AK185" s="1" t="s">
        <v>500</v>
      </c>
      <c r="AL185" s="1" t="s">
        <v>2331</v>
      </c>
      <c r="AM185" s="1">
        <v>0.08</v>
      </c>
      <c r="AN185" s="1">
        <v>0.53</v>
      </c>
      <c r="AO185" s="1">
        <v>0.08</v>
      </c>
      <c r="AP185" s="1">
        <v>0.45</v>
      </c>
      <c r="AQ185" s="1">
        <v>3</v>
      </c>
      <c r="AR185" s="1" t="s">
        <v>1563</v>
      </c>
      <c r="AS185" s="1">
        <v>0</v>
      </c>
      <c r="AT185" s="1" t="s">
        <v>1807</v>
      </c>
      <c r="AU185" s="1">
        <v>10</v>
      </c>
      <c r="AV185" s="1">
        <v>19019</v>
      </c>
      <c r="AW185" s="1">
        <v>0</v>
      </c>
    </row>
    <row r="186" spans="1:49" x14ac:dyDescent="0.25">
      <c r="A186" s="1">
        <v>187</v>
      </c>
      <c r="B186" s="1" t="s">
        <v>2332</v>
      </c>
      <c r="C186" s="1" t="s">
        <v>2333</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1844</v>
      </c>
      <c r="AJ186" s="1">
        <v>0</v>
      </c>
      <c r="AK186" s="1" t="s">
        <v>501</v>
      </c>
      <c r="AL186" s="1" t="s">
        <v>2334</v>
      </c>
      <c r="AM186" s="1">
        <v>0.55000000000000004</v>
      </c>
      <c r="AN186" s="1">
        <v>0.23</v>
      </c>
      <c r="AO186" s="1">
        <v>0.23</v>
      </c>
      <c r="AP186" s="1">
        <v>0.23</v>
      </c>
      <c r="AQ186" s="1">
        <v>3</v>
      </c>
      <c r="AR186" s="1" t="s">
        <v>1564</v>
      </c>
      <c r="AS186" s="1">
        <v>0</v>
      </c>
      <c r="AT186" s="1" t="s">
        <v>1807</v>
      </c>
      <c r="AU186" s="1">
        <v>10</v>
      </c>
      <c r="AV186" s="1">
        <v>18054</v>
      </c>
      <c r="AW186" s="1">
        <v>0</v>
      </c>
    </row>
    <row r="187" spans="1:49" x14ac:dyDescent="0.25">
      <c r="A187" s="1">
        <v>188</v>
      </c>
      <c r="B187" s="1" t="s">
        <v>2335</v>
      </c>
      <c r="C187" s="1" t="s">
        <v>2336</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1844</v>
      </c>
      <c r="AJ187" s="1">
        <v>0</v>
      </c>
      <c r="AK187" s="1" t="s">
        <v>498</v>
      </c>
      <c r="AL187" s="1" t="s">
        <v>2337</v>
      </c>
      <c r="AM187" s="1">
        <v>0.45</v>
      </c>
      <c r="AN187" s="1">
        <v>0.15</v>
      </c>
      <c r="AO187" s="1">
        <v>0.3</v>
      </c>
      <c r="AP187" s="1">
        <v>0.15</v>
      </c>
      <c r="AQ187" s="1">
        <v>3</v>
      </c>
      <c r="AR187" s="1" t="s">
        <v>1562</v>
      </c>
      <c r="AS187" s="1">
        <v>0</v>
      </c>
      <c r="AT187" s="1" t="s">
        <v>2338</v>
      </c>
      <c r="AU187" s="1">
        <v>10</v>
      </c>
      <c r="AV187" s="1">
        <v>18055</v>
      </c>
      <c r="AW187" s="1">
        <v>0</v>
      </c>
    </row>
    <row r="188" spans="1:49" x14ac:dyDescent="0.25">
      <c r="A188" s="1">
        <v>189</v>
      </c>
      <c r="B188" s="1" t="s">
        <v>2339</v>
      </c>
      <c r="C188" s="1" t="s">
        <v>2340</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1844</v>
      </c>
      <c r="AJ188" s="1">
        <v>0</v>
      </c>
      <c r="AK188" s="1" t="s">
        <v>498</v>
      </c>
      <c r="AL188" s="1" t="s">
        <v>2341</v>
      </c>
      <c r="AM188" s="1">
        <v>0.45</v>
      </c>
      <c r="AN188" s="1">
        <v>0.15</v>
      </c>
      <c r="AO188" s="1">
        <v>0.3</v>
      </c>
      <c r="AP188" s="1">
        <v>0.15</v>
      </c>
      <c r="AQ188" s="1">
        <v>3</v>
      </c>
      <c r="AR188" s="1" t="s">
        <v>1562</v>
      </c>
      <c r="AS188" s="1">
        <v>0</v>
      </c>
      <c r="AT188" s="1" t="s">
        <v>2342</v>
      </c>
      <c r="AU188" s="1">
        <v>10</v>
      </c>
      <c r="AV188" s="1">
        <v>18056</v>
      </c>
      <c r="AW188" s="1">
        <v>0</v>
      </c>
    </row>
    <row r="189" spans="1:49" x14ac:dyDescent="0.25">
      <c r="A189" s="1">
        <v>190</v>
      </c>
      <c r="B189" s="1" t="s">
        <v>2343</v>
      </c>
      <c r="C189" s="1" t="s">
        <v>2344</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1448</v>
      </c>
      <c r="AH189" s="1">
        <v>3120</v>
      </c>
      <c r="AI189" s="1" t="s">
        <v>2345</v>
      </c>
      <c r="AJ189" s="1">
        <v>0</v>
      </c>
      <c r="AK189" s="1" t="s">
        <v>502</v>
      </c>
      <c r="AL189" s="1" t="s">
        <v>2346</v>
      </c>
      <c r="AM189" s="1">
        <v>0.3</v>
      </c>
      <c r="AN189" s="1">
        <v>0.25</v>
      </c>
      <c r="AO189" s="1">
        <v>0.12</v>
      </c>
      <c r="AP189" s="1">
        <v>0.38</v>
      </c>
      <c r="AQ189" s="1">
        <v>3</v>
      </c>
      <c r="AR189" s="1" t="s">
        <v>1565</v>
      </c>
      <c r="AS189" s="1">
        <v>0</v>
      </c>
      <c r="AT189" s="1" t="s">
        <v>1807</v>
      </c>
      <c r="AU189" s="1">
        <v>10</v>
      </c>
      <c r="AV189" s="1">
        <v>20026</v>
      </c>
      <c r="AW189" s="1">
        <v>0</v>
      </c>
    </row>
    <row r="190" spans="1:49" x14ac:dyDescent="0.25">
      <c r="A190" s="1">
        <v>191</v>
      </c>
      <c r="B190" s="1" t="s">
        <v>2347</v>
      </c>
      <c r="C190" s="1" t="s">
        <v>2348</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2300</v>
      </c>
      <c r="AJ190" s="1">
        <v>0</v>
      </c>
      <c r="AK190" s="1" t="s">
        <v>503</v>
      </c>
      <c r="AL190" s="1" t="s">
        <v>2349</v>
      </c>
      <c r="AM190" s="1">
        <v>0.45</v>
      </c>
      <c r="AN190" s="1">
        <v>0.15</v>
      </c>
      <c r="AO190" s="1">
        <v>0.3</v>
      </c>
      <c r="AP190" s="1">
        <v>0.15</v>
      </c>
      <c r="AQ190" s="1">
        <v>3</v>
      </c>
      <c r="AR190" s="1" t="s">
        <v>1522</v>
      </c>
      <c r="AS190" s="1">
        <v>0</v>
      </c>
      <c r="AT190" s="1" t="s">
        <v>1807</v>
      </c>
      <c r="AU190" s="1">
        <v>10</v>
      </c>
      <c r="AV190" s="1">
        <v>18057</v>
      </c>
      <c r="AW190" s="1">
        <v>0</v>
      </c>
    </row>
    <row r="191" spans="1:49" x14ac:dyDescent="0.25">
      <c r="A191" s="1">
        <v>192</v>
      </c>
      <c r="B191" s="1" t="s">
        <v>2350</v>
      </c>
      <c r="C191" s="1" t="s">
        <v>2351</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1844</v>
      </c>
      <c r="AJ191" s="1">
        <v>0</v>
      </c>
      <c r="AK191" s="1" t="s">
        <v>504</v>
      </c>
      <c r="AL191" s="1" t="s">
        <v>2352</v>
      </c>
      <c r="AM191" s="1">
        <v>0.3</v>
      </c>
      <c r="AN191" s="1">
        <v>0.25</v>
      </c>
      <c r="AO191" s="1">
        <v>0.12</v>
      </c>
      <c r="AP191" s="1">
        <v>0.38</v>
      </c>
      <c r="AQ191" s="1">
        <v>3</v>
      </c>
      <c r="AR191" s="1" t="s">
        <v>1479</v>
      </c>
      <c r="AS191" s="1">
        <v>0</v>
      </c>
      <c r="AT191" s="1" t="s">
        <v>1807</v>
      </c>
      <c r="AU191" s="1">
        <v>10</v>
      </c>
      <c r="AV191" s="1">
        <v>20027</v>
      </c>
      <c r="AW191" s="1">
        <v>0</v>
      </c>
    </row>
    <row r="192" spans="1:49" x14ac:dyDescent="0.25">
      <c r="A192" s="1">
        <v>193</v>
      </c>
      <c r="B192" s="1" t="s">
        <v>2353</v>
      </c>
      <c r="C192" s="1" t="s">
        <v>2354</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1844</v>
      </c>
      <c r="AJ192" s="1">
        <v>0</v>
      </c>
      <c r="AK192" s="1" t="s">
        <v>505</v>
      </c>
      <c r="AL192" s="1" t="s">
        <v>2355</v>
      </c>
      <c r="AM192" s="1">
        <v>0.23</v>
      </c>
      <c r="AN192" s="1">
        <v>0.23</v>
      </c>
      <c r="AO192" s="1">
        <v>0.33</v>
      </c>
      <c r="AP192" s="1">
        <v>0.38</v>
      </c>
      <c r="AQ192" s="1">
        <v>3</v>
      </c>
      <c r="AR192" s="1" t="s">
        <v>1478</v>
      </c>
      <c r="AS192" s="1">
        <v>0</v>
      </c>
      <c r="AT192" s="1" t="s">
        <v>1807</v>
      </c>
      <c r="AU192" s="1">
        <v>10</v>
      </c>
      <c r="AV192" s="1">
        <v>20028</v>
      </c>
      <c r="AW192" s="1">
        <v>0</v>
      </c>
    </row>
    <row r="193" spans="1:49" x14ac:dyDescent="0.25">
      <c r="A193" s="1">
        <v>194</v>
      </c>
      <c r="B193" s="1" t="s">
        <v>2356</v>
      </c>
      <c r="C193" s="1" t="s">
        <v>2357</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1844</v>
      </c>
      <c r="AJ193" s="1">
        <v>0</v>
      </c>
      <c r="AK193" s="1" t="s">
        <v>506</v>
      </c>
      <c r="AL193" s="1" t="s">
        <v>2358</v>
      </c>
      <c r="AM193" s="1">
        <v>0.55000000000000004</v>
      </c>
      <c r="AN193" s="1">
        <v>0.23</v>
      </c>
      <c r="AO193" s="1">
        <v>0.23</v>
      </c>
      <c r="AP193" s="1">
        <v>0.23</v>
      </c>
      <c r="AQ193" s="1">
        <v>3</v>
      </c>
      <c r="AR193" s="1" t="s">
        <v>1560</v>
      </c>
      <c r="AS193" s="1">
        <v>0</v>
      </c>
      <c r="AT193" s="1" t="s">
        <v>1807</v>
      </c>
      <c r="AU193" s="1">
        <v>10</v>
      </c>
      <c r="AV193" s="1">
        <v>18058</v>
      </c>
      <c r="AW193" s="1">
        <v>0</v>
      </c>
    </row>
    <row r="194" spans="1:49" x14ac:dyDescent="0.25">
      <c r="A194" s="1">
        <v>195</v>
      </c>
      <c r="B194" s="1" t="s">
        <v>2359</v>
      </c>
      <c r="C194" s="1" t="s">
        <v>2360</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1948</v>
      </c>
      <c r="AJ194" s="1">
        <v>0</v>
      </c>
      <c r="AK194" s="1" t="s">
        <v>507</v>
      </c>
      <c r="AL194" s="1" t="s">
        <v>2361</v>
      </c>
      <c r="AM194" s="1">
        <v>0.48</v>
      </c>
      <c r="AN194" s="1">
        <v>0.48</v>
      </c>
      <c r="AO194" s="1">
        <v>0.08</v>
      </c>
      <c r="AP194" s="1">
        <v>0.25</v>
      </c>
      <c r="AQ194" s="1">
        <v>3</v>
      </c>
      <c r="AR194" s="1" t="s">
        <v>1474</v>
      </c>
      <c r="AS194" s="1">
        <v>0</v>
      </c>
      <c r="AT194" s="1" t="s">
        <v>1807</v>
      </c>
      <c r="AU194" s="1">
        <v>10</v>
      </c>
      <c r="AV194" s="1">
        <v>19020</v>
      </c>
      <c r="AW194" s="1">
        <v>0</v>
      </c>
    </row>
    <row r="195" spans="1:49" x14ac:dyDescent="0.25">
      <c r="A195" s="1">
        <v>196</v>
      </c>
      <c r="B195" s="1" t="s">
        <v>2362</v>
      </c>
      <c r="C195" s="1" t="s">
        <v>2363</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1844</v>
      </c>
      <c r="AJ195" s="1">
        <v>0</v>
      </c>
      <c r="AK195" s="1" t="s">
        <v>508</v>
      </c>
      <c r="AL195" s="1" t="s">
        <v>2364</v>
      </c>
      <c r="AM195" s="1">
        <v>0.55000000000000004</v>
      </c>
      <c r="AN195" s="1">
        <v>0.23</v>
      </c>
      <c r="AO195" s="1">
        <v>0.23</v>
      </c>
      <c r="AP195" s="1">
        <v>0.23</v>
      </c>
      <c r="AQ195" s="1">
        <v>3</v>
      </c>
      <c r="AR195" s="1" t="s">
        <v>1566</v>
      </c>
      <c r="AS195" s="1">
        <v>0</v>
      </c>
      <c r="AT195" s="1" t="s">
        <v>1807</v>
      </c>
      <c r="AU195" s="1">
        <v>10</v>
      </c>
      <c r="AV195" s="1">
        <v>18059</v>
      </c>
      <c r="AW195" s="1">
        <v>0</v>
      </c>
    </row>
    <row r="196" spans="1:49" x14ac:dyDescent="0.25">
      <c r="A196" s="1">
        <v>197</v>
      </c>
      <c r="B196" s="1" t="s">
        <v>2365</v>
      </c>
      <c r="C196" s="1" t="s">
        <v>2366</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1844</v>
      </c>
      <c r="AJ196" s="1">
        <v>0</v>
      </c>
      <c r="AK196" s="1" t="s">
        <v>509</v>
      </c>
      <c r="AL196" s="1" t="s">
        <v>2367</v>
      </c>
      <c r="AM196" s="1">
        <v>0.3</v>
      </c>
      <c r="AN196" s="1">
        <v>0.25</v>
      </c>
      <c r="AO196" s="1">
        <v>0.12</v>
      </c>
      <c r="AP196" s="1">
        <v>0.38</v>
      </c>
      <c r="AQ196" s="1">
        <v>3</v>
      </c>
      <c r="AR196" s="1" t="s">
        <v>1480</v>
      </c>
      <c r="AS196" s="1">
        <v>0</v>
      </c>
      <c r="AT196" s="1" t="s">
        <v>1807</v>
      </c>
      <c r="AU196" s="1">
        <v>10</v>
      </c>
      <c r="AV196" s="1">
        <v>20029</v>
      </c>
      <c r="AW196" s="1">
        <v>0</v>
      </c>
    </row>
    <row r="197" spans="1:49" x14ac:dyDescent="0.25">
      <c r="A197" s="1">
        <v>198</v>
      </c>
      <c r="B197" s="1" t="s">
        <v>2368</v>
      </c>
      <c r="C197" s="1" t="s">
        <v>2369</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1844</v>
      </c>
      <c r="AJ197" s="1">
        <v>0</v>
      </c>
      <c r="AK197" s="1" t="s">
        <v>510</v>
      </c>
      <c r="AL197" s="1" t="s">
        <v>2370</v>
      </c>
      <c r="AM197" s="1">
        <v>0.55000000000000004</v>
      </c>
      <c r="AN197" s="1">
        <v>0.23</v>
      </c>
      <c r="AO197" s="1">
        <v>0.23</v>
      </c>
      <c r="AP197" s="1">
        <v>0.23</v>
      </c>
      <c r="AQ197" s="1">
        <v>3</v>
      </c>
      <c r="AR197" s="1" t="s">
        <v>1567</v>
      </c>
      <c r="AS197" s="1">
        <v>0</v>
      </c>
      <c r="AT197" s="1" t="s">
        <v>1807</v>
      </c>
      <c r="AU197" s="1">
        <v>10</v>
      </c>
      <c r="AV197" s="1">
        <v>18060</v>
      </c>
      <c r="AW197" s="1">
        <v>0</v>
      </c>
    </row>
    <row r="198" spans="1:49" x14ac:dyDescent="0.25">
      <c r="A198" s="1">
        <v>199</v>
      </c>
      <c r="B198" s="1" t="s">
        <v>2371</v>
      </c>
      <c r="C198" s="1" t="s">
        <v>2372</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2373</v>
      </c>
      <c r="AJ198" s="1">
        <v>0</v>
      </c>
      <c r="AK198" s="1" t="s">
        <v>511</v>
      </c>
      <c r="AL198" s="1" t="s">
        <v>2374</v>
      </c>
      <c r="AM198" s="1">
        <v>0.55000000000000004</v>
      </c>
      <c r="AN198" s="1">
        <v>0.23</v>
      </c>
      <c r="AO198" s="1">
        <v>0.23</v>
      </c>
      <c r="AP198" s="1">
        <v>0.23</v>
      </c>
      <c r="AQ198" s="1">
        <v>1</v>
      </c>
      <c r="AR198" s="1" t="s">
        <v>1487</v>
      </c>
      <c r="AS198" s="1">
        <v>0</v>
      </c>
      <c r="AT198" s="1" t="s">
        <v>2375</v>
      </c>
      <c r="AU198" s="1">
        <v>10</v>
      </c>
      <c r="AV198" s="1">
        <v>18061</v>
      </c>
      <c r="AW198" s="1">
        <v>1</v>
      </c>
    </row>
    <row r="199" spans="1:49" x14ac:dyDescent="0.25">
      <c r="A199" s="1">
        <v>200</v>
      </c>
      <c r="B199" s="1" t="s">
        <v>2376</v>
      </c>
      <c r="C199" s="1" t="s">
        <v>2377</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2378</v>
      </c>
      <c r="AJ199" s="1">
        <v>0</v>
      </c>
      <c r="AK199" s="1" t="s">
        <v>511</v>
      </c>
      <c r="AL199" s="1" t="s">
        <v>2379</v>
      </c>
      <c r="AM199" s="1">
        <v>0.48</v>
      </c>
      <c r="AN199" s="1">
        <v>0.48</v>
      </c>
      <c r="AO199" s="1">
        <v>0.08</v>
      </c>
      <c r="AP199" s="1">
        <v>0.25</v>
      </c>
      <c r="AQ199" s="1">
        <v>1</v>
      </c>
      <c r="AR199" s="1" t="s">
        <v>1490</v>
      </c>
      <c r="AS199" s="1">
        <v>0</v>
      </c>
      <c r="AT199" s="1" t="s">
        <v>2380</v>
      </c>
      <c r="AU199" s="1">
        <v>10</v>
      </c>
      <c r="AV199" s="1">
        <v>19021</v>
      </c>
      <c r="AW199" s="1">
        <v>1</v>
      </c>
    </row>
    <row r="200" spans="1:49" x14ac:dyDescent="0.25">
      <c r="A200" s="1">
        <v>201</v>
      </c>
      <c r="B200" s="1" t="s">
        <v>2381</v>
      </c>
      <c r="C200" s="1" t="s">
        <v>2382</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2378</v>
      </c>
      <c r="AJ200" s="1">
        <v>0</v>
      </c>
      <c r="AK200" s="1" t="s">
        <v>511</v>
      </c>
      <c r="AL200" s="1" t="s">
        <v>2383</v>
      </c>
      <c r="AM200" s="1">
        <v>0.3</v>
      </c>
      <c r="AN200" s="1">
        <v>0.23</v>
      </c>
      <c r="AO200" s="1">
        <v>0.15</v>
      </c>
      <c r="AP200" s="1">
        <v>0.38</v>
      </c>
      <c r="AQ200" s="1">
        <v>1</v>
      </c>
      <c r="AR200" s="1" t="s">
        <v>1477</v>
      </c>
      <c r="AS200" s="1">
        <v>0</v>
      </c>
      <c r="AT200" s="1" t="s">
        <v>2384</v>
      </c>
      <c r="AU200" s="1">
        <v>10</v>
      </c>
      <c r="AV200" s="1">
        <v>20030</v>
      </c>
      <c r="AW200" s="1">
        <v>1</v>
      </c>
    </row>
    <row r="201" spans="1:49" x14ac:dyDescent="0.25">
      <c r="A201" s="1">
        <v>202</v>
      </c>
      <c r="B201" s="1" t="s">
        <v>2385</v>
      </c>
      <c r="C201" s="1" t="s">
        <v>2386</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2387</v>
      </c>
      <c r="AJ201" s="1">
        <v>0</v>
      </c>
      <c r="AK201" s="1" t="s">
        <v>512</v>
      </c>
      <c r="AL201" s="1" t="s">
        <v>2388</v>
      </c>
      <c r="AM201" s="1">
        <v>0.45</v>
      </c>
      <c r="AN201" s="1">
        <v>0.15</v>
      </c>
      <c r="AO201" s="1">
        <v>0.3</v>
      </c>
      <c r="AP201" s="1">
        <v>0.15</v>
      </c>
      <c r="AQ201" s="1">
        <v>1</v>
      </c>
      <c r="AR201" s="1" t="s">
        <v>1468</v>
      </c>
      <c r="AS201" s="1">
        <v>0</v>
      </c>
      <c r="AT201" s="1" t="s">
        <v>2389</v>
      </c>
      <c r="AU201" s="1">
        <v>10</v>
      </c>
      <c r="AV201" s="1">
        <v>18062</v>
      </c>
      <c r="AW201" s="1">
        <v>2</v>
      </c>
    </row>
    <row r="202" spans="1:49" x14ac:dyDescent="0.25">
      <c r="A202" s="1">
        <v>203</v>
      </c>
      <c r="B202" s="1" t="s">
        <v>2390</v>
      </c>
      <c r="C202" s="1" t="s">
        <v>2391</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2378</v>
      </c>
      <c r="AJ202" s="1">
        <v>0</v>
      </c>
      <c r="AK202" s="1" t="s">
        <v>512</v>
      </c>
      <c r="AL202" s="1" t="s">
        <v>2392</v>
      </c>
      <c r="AM202" s="1">
        <v>0.15</v>
      </c>
      <c r="AN202" s="1">
        <v>0.6</v>
      </c>
      <c r="AO202" s="1">
        <v>0.38</v>
      </c>
      <c r="AP202" s="1">
        <v>0.23</v>
      </c>
      <c r="AQ202" s="1">
        <v>1</v>
      </c>
      <c r="AR202" s="1" t="s">
        <v>1476</v>
      </c>
      <c r="AS202" s="1">
        <v>0</v>
      </c>
      <c r="AT202" s="1" t="s">
        <v>2393</v>
      </c>
      <c r="AU202" s="1">
        <v>10</v>
      </c>
      <c r="AV202" s="1">
        <v>19022</v>
      </c>
      <c r="AW202" s="1">
        <v>2</v>
      </c>
    </row>
    <row r="203" spans="1:49" x14ac:dyDescent="0.25">
      <c r="A203" s="1">
        <v>204</v>
      </c>
      <c r="B203" s="1" t="s">
        <v>2394</v>
      </c>
      <c r="C203" s="1" t="s">
        <v>2395</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2378</v>
      </c>
      <c r="AJ203" s="1">
        <v>0</v>
      </c>
      <c r="AK203" s="1" t="s">
        <v>512</v>
      </c>
      <c r="AL203" s="1" t="s">
        <v>2396</v>
      </c>
      <c r="AM203" s="1">
        <v>0.3</v>
      </c>
      <c r="AN203" s="1">
        <v>0.25</v>
      </c>
      <c r="AO203" s="1">
        <v>0.12</v>
      </c>
      <c r="AP203" s="1">
        <v>0.38</v>
      </c>
      <c r="AQ203" s="1">
        <v>1</v>
      </c>
      <c r="AR203" s="1" t="s">
        <v>1481</v>
      </c>
      <c r="AS203" s="1">
        <v>0</v>
      </c>
      <c r="AT203" s="1" t="s">
        <v>2397</v>
      </c>
      <c r="AU203" s="1">
        <v>10</v>
      </c>
      <c r="AV203" s="1">
        <v>20031</v>
      </c>
      <c r="AW203" s="1">
        <v>2</v>
      </c>
    </row>
    <row r="204" spans="1:49" x14ac:dyDescent="0.25">
      <c r="A204" s="1">
        <v>205</v>
      </c>
      <c r="B204" s="1" t="s">
        <v>2398</v>
      </c>
      <c r="C204" s="1" t="s">
        <v>2399</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2400</v>
      </c>
      <c r="AJ204" s="1">
        <v>0</v>
      </c>
      <c r="AK204" s="1" t="s">
        <v>513</v>
      </c>
      <c r="AL204" s="1" t="s">
        <v>2401</v>
      </c>
      <c r="AM204" s="1">
        <v>0.3</v>
      </c>
      <c r="AN204" s="1">
        <v>0.25</v>
      </c>
      <c r="AO204" s="1">
        <v>0.12</v>
      </c>
      <c r="AP204" s="1">
        <v>0.38</v>
      </c>
      <c r="AQ204" s="1">
        <v>3</v>
      </c>
      <c r="AR204" s="1" t="s">
        <v>1568</v>
      </c>
      <c r="AS204" s="1">
        <v>0</v>
      </c>
      <c r="AT204" s="1" t="s">
        <v>1807</v>
      </c>
      <c r="AU204" s="1">
        <v>10</v>
      </c>
      <c r="AV204" s="1">
        <v>20032</v>
      </c>
      <c r="AW204" s="1">
        <v>0</v>
      </c>
    </row>
    <row r="205" spans="1:49" x14ac:dyDescent="0.25">
      <c r="A205" s="1">
        <v>206</v>
      </c>
      <c r="B205" s="1" t="s">
        <v>2402</v>
      </c>
      <c r="C205" s="1" t="s">
        <v>2403</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1844</v>
      </c>
      <c r="AJ205" s="1">
        <v>0</v>
      </c>
      <c r="AK205" s="1" t="s">
        <v>514</v>
      </c>
      <c r="AL205" s="1" t="s">
        <v>2404</v>
      </c>
      <c r="AM205" s="1">
        <v>0.08</v>
      </c>
      <c r="AN205" s="1">
        <v>0.53</v>
      </c>
      <c r="AO205" s="1">
        <v>0.08</v>
      </c>
      <c r="AP205" s="1">
        <v>0.45</v>
      </c>
      <c r="AQ205" s="1">
        <v>3</v>
      </c>
      <c r="AR205" s="1" t="s">
        <v>1568</v>
      </c>
      <c r="AS205" s="1">
        <v>0</v>
      </c>
      <c r="AT205" s="1" t="s">
        <v>1807</v>
      </c>
      <c r="AU205" s="1">
        <v>10</v>
      </c>
      <c r="AV205" s="1">
        <v>19023</v>
      </c>
      <c r="AW205" s="1">
        <v>0</v>
      </c>
    </row>
    <row r="206" spans="1:49" x14ac:dyDescent="0.25">
      <c r="A206" s="1">
        <v>207</v>
      </c>
      <c r="B206" s="1" t="s">
        <v>2405</v>
      </c>
      <c r="C206" s="1" t="s">
        <v>2406</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1685</v>
      </c>
      <c r="AH206" s="1">
        <v>2820</v>
      </c>
      <c r="AI206" s="1" t="s">
        <v>2407</v>
      </c>
      <c r="AJ206" s="1">
        <v>0</v>
      </c>
      <c r="AK206" s="1" t="s">
        <v>515</v>
      </c>
      <c r="AL206" s="1" t="s">
        <v>2408</v>
      </c>
      <c r="AM206" s="1">
        <v>0.55000000000000004</v>
      </c>
      <c r="AN206" s="1">
        <v>0.23</v>
      </c>
      <c r="AO206" s="1">
        <v>0.23</v>
      </c>
      <c r="AP206" s="1">
        <v>0.23</v>
      </c>
      <c r="AQ206" s="1">
        <v>3</v>
      </c>
      <c r="AR206" s="1" t="s">
        <v>1566</v>
      </c>
      <c r="AS206" s="1">
        <v>0</v>
      </c>
      <c r="AT206" s="1" t="s">
        <v>2409</v>
      </c>
      <c r="AU206" s="1">
        <v>10</v>
      </c>
      <c r="AV206" s="1">
        <v>18063</v>
      </c>
      <c r="AW206" s="1">
        <v>0</v>
      </c>
    </row>
    <row r="207" spans="1:49" x14ac:dyDescent="0.25">
      <c r="A207" s="1">
        <v>208</v>
      </c>
      <c r="B207" s="1" t="s">
        <v>2410</v>
      </c>
      <c r="C207" s="1" t="s">
        <v>2411</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1631</v>
      </c>
      <c r="AH207" s="1">
        <v>2700</v>
      </c>
      <c r="AI207" s="1" t="s">
        <v>1844</v>
      </c>
      <c r="AJ207" s="1">
        <v>0</v>
      </c>
      <c r="AK207" s="1" t="s">
        <v>516</v>
      </c>
      <c r="AL207" s="1" t="s">
        <v>2412</v>
      </c>
      <c r="AM207" s="1">
        <v>0.45</v>
      </c>
      <c r="AN207" s="1">
        <v>0.15</v>
      </c>
      <c r="AO207" s="1">
        <v>0.3</v>
      </c>
      <c r="AP207" s="1">
        <v>0.15</v>
      </c>
      <c r="AQ207" s="1">
        <v>3</v>
      </c>
      <c r="AR207" s="1" t="s">
        <v>1569</v>
      </c>
      <c r="AS207" s="1">
        <v>0</v>
      </c>
      <c r="AT207" s="1" t="s">
        <v>1807</v>
      </c>
      <c r="AU207" s="1">
        <v>10</v>
      </c>
      <c r="AV207" s="1">
        <v>18064</v>
      </c>
      <c r="AW207" s="1">
        <v>0</v>
      </c>
    </row>
    <row r="208" spans="1:49" x14ac:dyDescent="0.25">
      <c r="A208" s="1">
        <v>209</v>
      </c>
      <c r="B208" s="1" t="s">
        <v>2413</v>
      </c>
      <c r="C208" s="1" t="s">
        <v>2414</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1844</v>
      </c>
      <c r="AJ208" s="1">
        <v>0</v>
      </c>
      <c r="AK208" s="1" t="s">
        <v>517</v>
      </c>
      <c r="AL208" s="1" t="s">
        <v>2415</v>
      </c>
      <c r="AM208" s="1">
        <v>0.55000000000000004</v>
      </c>
      <c r="AN208" s="1">
        <v>0.23</v>
      </c>
      <c r="AO208" s="1">
        <v>0.23</v>
      </c>
      <c r="AP208" s="1">
        <v>0.23</v>
      </c>
      <c r="AQ208" s="1">
        <v>3</v>
      </c>
      <c r="AR208" s="1" t="s">
        <v>1522</v>
      </c>
      <c r="AS208" s="1">
        <v>0</v>
      </c>
      <c r="AT208" s="1" t="s">
        <v>1807</v>
      </c>
      <c r="AU208" s="1">
        <v>10</v>
      </c>
      <c r="AV208" s="1">
        <v>18065</v>
      </c>
      <c r="AW208" s="1">
        <v>0</v>
      </c>
    </row>
    <row r="209" spans="1:49" x14ac:dyDescent="0.25">
      <c r="A209" s="1">
        <v>210</v>
      </c>
      <c r="B209" s="1" t="s">
        <v>2416</v>
      </c>
      <c r="C209" s="1" t="s">
        <v>2417</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2063</v>
      </c>
      <c r="AJ209" s="1">
        <v>0</v>
      </c>
      <c r="AK209" s="1" t="s">
        <v>518</v>
      </c>
      <c r="AL209" s="1" t="s">
        <v>2418</v>
      </c>
      <c r="AM209" s="1">
        <v>0.55000000000000004</v>
      </c>
      <c r="AN209" s="1">
        <v>0.23</v>
      </c>
      <c r="AO209" s="1">
        <v>0.23</v>
      </c>
      <c r="AP209" s="1">
        <v>0.23</v>
      </c>
      <c r="AQ209" s="1">
        <v>3</v>
      </c>
      <c r="AR209" s="1" t="s">
        <v>1570</v>
      </c>
      <c r="AS209" s="1">
        <v>0</v>
      </c>
      <c r="AT209" s="1" t="s">
        <v>1807</v>
      </c>
      <c r="AU209" s="1">
        <v>10</v>
      </c>
      <c r="AV209" s="1">
        <v>18066</v>
      </c>
      <c r="AW209" s="1">
        <v>0</v>
      </c>
    </row>
    <row r="210" spans="1:49" x14ac:dyDescent="0.25">
      <c r="A210" s="1">
        <v>211</v>
      </c>
      <c r="B210" s="1" t="s">
        <v>2419</v>
      </c>
      <c r="C210" s="1" t="s">
        <v>2420</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1844</v>
      </c>
      <c r="AJ210" s="1">
        <v>0</v>
      </c>
      <c r="AK210" s="1" t="s">
        <v>519</v>
      </c>
      <c r="AL210" s="1" t="s">
        <v>2421</v>
      </c>
      <c r="AM210" s="1">
        <v>0.08</v>
      </c>
      <c r="AN210" s="1">
        <v>0.5</v>
      </c>
      <c r="AO210" s="1">
        <v>0.3</v>
      </c>
      <c r="AP210" s="1">
        <v>0.3</v>
      </c>
      <c r="AQ210" s="1">
        <v>3</v>
      </c>
      <c r="AR210" s="1" t="s">
        <v>1553</v>
      </c>
      <c r="AS210" s="1">
        <v>0</v>
      </c>
      <c r="AT210" s="1" t="s">
        <v>2422</v>
      </c>
      <c r="AU210" s="1">
        <v>10</v>
      </c>
      <c r="AV210" s="1">
        <v>19024</v>
      </c>
      <c r="AW210" s="1">
        <v>0</v>
      </c>
    </row>
    <row r="211" spans="1:49" x14ac:dyDescent="0.25">
      <c r="A211" s="1">
        <v>212</v>
      </c>
      <c r="B211" s="1" t="s">
        <v>2423</v>
      </c>
      <c r="C211" s="1" t="s">
        <v>2424</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1844</v>
      </c>
      <c r="AJ211" s="1">
        <v>0</v>
      </c>
      <c r="AK211" s="1" t="s">
        <v>885</v>
      </c>
      <c r="AL211" s="1" t="s">
        <v>2425</v>
      </c>
      <c r="AM211" s="1">
        <v>0.08</v>
      </c>
      <c r="AN211" s="1">
        <v>0.5</v>
      </c>
      <c r="AO211" s="1">
        <v>0.3</v>
      </c>
      <c r="AP211" s="1">
        <v>0.3</v>
      </c>
      <c r="AQ211" s="1">
        <v>3</v>
      </c>
      <c r="AR211" s="1" t="s">
        <v>1553</v>
      </c>
      <c r="AS211" s="1">
        <v>0</v>
      </c>
      <c r="AT211" s="1" t="s">
        <v>1807</v>
      </c>
      <c r="AU211" s="1">
        <v>10</v>
      </c>
      <c r="AV211" s="1">
        <v>19025</v>
      </c>
      <c r="AW211" s="1">
        <v>0</v>
      </c>
    </row>
    <row r="212" spans="1:49" x14ac:dyDescent="0.25">
      <c r="A212" s="1">
        <v>213</v>
      </c>
      <c r="B212" s="1" t="s">
        <v>2426</v>
      </c>
      <c r="C212" s="1" t="s">
        <v>2427</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1844</v>
      </c>
      <c r="AJ212" s="1">
        <v>0</v>
      </c>
      <c r="AK212" s="1" t="s">
        <v>886</v>
      </c>
      <c r="AL212" s="1" t="s">
        <v>2428</v>
      </c>
      <c r="AM212" s="1">
        <v>0.3</v>
      </c>
      <c r="AN212" s="1">
        <v>0.25</v>
      </c>
      <c r="AO212" s="1">
        <v>0.12</v>
      </c>
      <c r="AP212" s="1">
        <v>0.38</v>
      </c>
      <c r="AQ212" s="1">
        <v>3</v>
      </c>
      <c r="AR212" s="1" t="s">
        <v>1481</v>
      </c>
      <c r="AS212" s="1">
        <v>902257</v>
      </c>
      <c r="AT212" s="1" t="s">
        <v>2429</v>
      </c>
      <c r="AU212" s="1">
        <v>10</v>
      </c>
      <c r="AV212" s="1">
        <v>20033</v>
      </c>
      <c r="AW212" s="1">
        <v>0</v>
      </c>
    </row>
    <row r="213" spans="1:49" x14ac:dyDescent="0.25">
      <c r="A213" s="1">
        <v>214</v>
      </c>
      <c r="B213" s="1" t="s">
        <v>2430</v>
      </c>
      <c r="C213" s="1" t="s">
        <v>2431</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1844</v>
      </c>
      <c r="AJ213" s="1">
        <v>0</v>
      </c>
      <c r="AK213" s="1" t="s">
        <v>887</v>
      </c>
      <c r="AL213" s="1" t="s">
        <v>2432</v>
      </c>
      <c r="AM213" s="1">
        <v>0.3</v>
      </c>
      <c r="AN213" s="1">
        <v>0.25</v>
      </c>
      <c r="AO213" s="1">
        <v>0.12</v>
      </c>
      <c r="AP213" s="1">
        <v>0.38</v>
      </c>
      <c r="AQ213" s="1">
        <v>3</v>
      </c>
      <c r="AR213" s="1" t="s">
        <v>1571</v>
      </c>
      <c r="AS213" s="1">
        <v>0</v>
      </c>
      <c r="AT213" s="1" t="s">
        <v>1807</v>
      </c>
      <c r="AU213" s="1">
        <v>10</v>
      </c>
      <c r="AV213" s="1">
        <v>20034</v>
      </c>
      <c r="AW213" s="1">
        <v>0</v>
      </c>
    </row>
    <row r="214" spans="1:49" x14ac:dyDescent="0.25">
      <c r="A214" s="1">
        <v>215</v>
      </c>
      <c r="B214" s="1" t="s">
        <v>2433</v>
      </c>
      <c r="C214" s="1" t="s">
        <v>2434</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1844</v>
      </c>
      <c r="AJ214" s="1">
        <v>0</v>
      </c>
      <c r="AK214" s="1" t="s">
        <v>888</v>
      </c>
      <c r="AL214" s="1" t="s">
        <v>2435</v>
      </c>
      <c r="AM214" s="1">
        <v>0.08</v>
      </c>
      <c r="AN214" s="1">
        <v>0.5</v>
      </c>
      <c r="AO214" s="1">
        <v>0.3</v>
      </c>
      <c r="AP214" s="1">
        <v>0.3</v>
      </c>
      <c r="AQ214" s="1">
        <v>3</v>
      </c>
      <c r="AR214" s="1" t="s">
        <v>1553</v>
      </c>
      <c r="AS214" s="1">
        <v>0</v>
      </c>
      <c r="AT214" s="1" t="s">
        <v>1807</v>
      </c>
      <c r="AU214" s="1">
        <v>10</v>
      </c>
      <c r="AV214" s="1">
        <v>19026</v>
      </c>
      <c r="AW214" s="1">
        <v>0</v>
      </c>
    </row>
    <row r="215" spans="1:49" x14ac:dyDescent="0.25">
      <c r="A215" s="1">
        <v>216</v>
      </c>
      <c r="B215" s="1" t="s">
        <v>2436</v>
      </c>
      <c r="C215" s="1" t="s">
        <v>2437</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1605</v>
      </c>
      <c r="AH215" s="1">
        <v>3240</v>
      </c>
      <c r="AI215" s="1" t="s">
        <v>1844</v>
      </c>
      <c r="AJ215" s="1">
        <v>0</v>
      </c>
      <c r="AK215" s="1" t="s">
        <v>889</v>
      </c>
      <c r="AL215" s="1" t="s">
        <v>2438</v>
      </c>
      <c r="AM215" s="1">
        <v>0.08</v>
      </c>
      <c r="AN215" s="1">
        <v>0.39</v>
      </c>
      <c r="AO215" s="1">
        <v>0.08</v>
      </c>
      <c r="AP215" s="1">
        <v>0.48</v>
      </c>
      <c r="AQ215" s="1">
        <v>3</v>
      </c>
      <c r="AR215" s="1" t="s">
        <v>1572</v>
      </c>
      <c r="AS215" s="1">
        <v>0</v>
      </c>
      <c r="AT215" s="1" t="s">
        <v>2439</v>
      </c>
      <c r="AU215" s="1">
        <v>10</v>
      </c>
      <c r="AV215" s="1">
        <v>19027</v>
      </c>
      <c r="AW215" s="1">
        <v>0</v>
      </c>
    </row>
    <row r="216" spans="1:49" x14ac:dyDescent="0.25">
      <c r="A216" s="1">
        <v>217</v>
      </c>
      <c r="B216" s="1" t="s">
        <v>2440</v>
      </c>
      <c r="C216" s="1" t="s">
        <v>2441</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2442</v>
      </c>
      <c r="AJ216" s="1">
        <v>0</v>
      </c>
      <c r="AK216" s="1" t="s">
        <v>884</v>
      </c>
      <c r="AL216" s="1" t="s">
        <v>2443</v>
      </c>
      <c r="AM216" s="1">
        <v>0.45</v>
      </c>
      <c r="AN216" s="1">
        <v>0.15</v>
      </c>
      <c r="AO216" s="1">
        <v>0.3</v>
      </c>
      <c r="AP216" s="1">
        <v>0.15</v>
      </c>
      <c r="AQ216" s="1">
        <v>3</v>
      </c>
      <c r="AR216" s="1" t="s">
        <v>1545</v>
      </c>
      <c r="AS216" s="1">
        <v>0</v>
      </c>
      <c r="AT216" s="1" t="s">
        <v>1807</v>
      </c>
      <c r="AU216" s="1">
        <v>10</v>
      </c>
      <c r="AV216" s="1">
        <v>18067</v>
      </c>
      <c r="AW216" s="1">
        <v>0</v>
      </c>
    </row>
    <row r="217" spans="1:49" x14ac:dyDescent="0.25">
      <c r="A217" s="1">
        <v>218</v>
      </c>
      <c r="B217" s="1" t="s">
        <v>2444</v>
      </c>
      <c r="C217" s="1" t="s">
        <v>2445</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1844</v>
      </c>
      <c r="AJ217" s="1">
        <v>0</v>
      </c>
      <c r="AK217" s="1" t="s">
        <v>895</v>
      </c>
      <c r="AL217" s="1" t="s">
        <v>2446</v>
      </c>
      <c r="AM217" s="1">
        <v>0.3</v>
      </c>
      <c r="AN217" s="1">
        <v>0.25</v>
      </c>
      <c r="AO217" s="1">
        <v>0.12</v>
      </c>
      <c r="AP217" s="1">
        <v>0.38</v>
      </c>
      <c r="AQ217" s="1">
        <v>3</v>
      </c>
      <c r="AR217" s="1" t="s">
        <v>1573</v>
      </c>
      <c r="AS217" s="1">
        <v>0</v>
      </c>
      <c r="AT217" s="1" t="s">
        <v>2447</v>
      </c>
      <c r="AU217" s="1">
        <v>10</v>
      </c>
      <c r="AV217" s="1">
        <v>20035</v>
      </c>
      <c r="AW217" s="1">
        <v>0</v>
      </c>
    </row>
    <row r="218" spans="1:49" x14ac:dyDescent="0.25">
      <c r="A218" s="1">
        <v>219</v>
      </c>
      <c r="B218" s="1" t="s">
        <v>2448</v>
      </c>
      <c r="C218" s="1" t="s">
        <v>2449</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1844</v>
      </c>
      <c r="AJ218" s="1">
        <v>0</v>
      </c>
      <c r="AK218" s="1" t="s">
        <v>890</v>
      </c>
      <c r="AL218" s="1" t="s">
        <v>2450</v>
      </c>
      <c r="AM218" s="1">
        <v>0.55000000000000004</v>
      </c>
      <c r="AN218" s="1">
        <v>0.23</v>
      </c>
      <c r="AO218" s="1">
        <v>0.23</v>
      </c>
      <c r="AP218" s="1">
        <v>0.23</v>
      </c>
      <c r="AQ218" s="1">
        <v>3</v>
      </c>
      <c r="AR218" s="1" t="s">
        <v>1566</v>
      </c>
      <c r="AS218" s="1">
        <v>0</v>
      </c>
      <c r="AT218" s="1" t="s">
        <v>1807</v>
      </c>
      <c r="AU218" s="1">
        <v>10</v>
      </c>
      <c r="AV218" s="1">
        <v>18068</v>
      </c>
      <c r="AW218" s="1">
        <v>0</v>
      </c>
    </row>
    <row r="219" spans="1:49" x14ac:dyDescent="0.25">
      <c r="A219" s="1">
        <v>220</v>
      </c>
      <c r="B219" s="1" t="s">
        <v>2451</v>
      </c>
      <c r="C219" s="1" t="s">
        <v>2452</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1844</v>
      </c>
      <c r="AJ219" s="1">
        <v>0</v>
      </c>
      <c r="AK219" s="1" t="s">
        <v>896</v>
      </c>
      <c r="AL219" s="1" t="s">
        <v>2453</v>
      </c>
      <c r="AM219" s="1">
        <v>0.55000000000000004</v>
      </c>
      <c r="AN219" s="1">
        <v>0.23</v>
      </c>
      <c r="AO219" s="1">
        <v>0.23</v>
      </c>
      <c r="AP219" s="1">
        <v>0.23</v>
      </c>
      <c r="AQ219" s="1">
        <v>3</v>
      </c>
      <c r="AR219" s="1" t="s">
        <v>1574</v>
      </c>
      <c r="AS219" s="1">
        <v>0</v>
      </c>
      <c r="AT219" s="1" t="s">
        <v>1807</v>
      </c>
      <c r="AU219" s="1">
        <v>10</v>
      </c>
      <c r="AV219" s="1">
        <v>18069</v>
      </c>
      <c r="AW219" s="1">
        <v>0</v>
      </c>
    </row>
    <row r="220" spans="1:49" x14ac:dyDescent="0.25">
      <c r="A220" s="1">
        <v>221</v>
      </c>
      <c r="B220" s="1" t="s">
        <v>2454</v>
      </c>
      <c r="C220" s="1" t="s">
        <v>2455</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1919</v>
      </c>
      <c r="AJ220" s="1">
        <v>0</v>
      </c>
      <c r="AK220" s="1" t="s">
        <v>932</v>
      </c>
      <c r="AL220" s="1" t="s">
        <v>2456</v>
      </c>
      <c r="AM220" s="1">
        <v>0.08</v>
      </c>
      <c r="AN220" s="1">
        <v>0.5</v>
      </c>
      <c r="AO220" s="1">
        <v>0.3</v>
      </c>
      <c r="AP220" s="1">
        <v>0.3</v>
      </c>
      <c r="AQ220" s="1">
        <v>3</v>
      </c>
      <c r="AR220" s="1" t="s">
        <v>1575</v>
      </c>
      <c r="AS220" s="1">
        <v>0</v>
      </c>
      <c r="AT220" s="1" t="s">
        <v>1807</v>
      </c>
      <c r="AU220" s="1">
        <v>10</v>
      </c>
      <c r="AV220" s="1">
        <v>19028</v>
      </c>
      <c r="AW220" s="1">
        <v>0</v>
      </c>
    </row>
    <row r="221" spans="1:49" x14ac:dyDescent="0.25">
      <c r="A221" s="1">
        <v>222</v>
      </c>
      <c r="B221" s="1" t="s">
        <v>2457</v>
      </c>
      <c r="C221" s="1" t="s">
        <v>2458</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2124</v>
      </c>
      <c r="AJ221" s="1">
        <v>0</v>
      </c>
      <c r="AK221" s="1" t="s">
        <v>329</v>
      </c>
      <c r="AL221" s="1" t="s">
        <v>2459</v>
      </c>
      <c r="AM221" s="1">
        <v>0.45</v>
      </c>
      <c r="AN221" s="1">
        <v>0.15</v>
      </c>
      <c r="AO221" s="1">
        <v>0.3</v>
      </c>
      <c r="AP221" s="1">
        <v>0.15</v>
      </c>
      <c r="AQ221" s="1">
        <v>1</v>
      </c>
      <c r="AR221" s="1" t="s">
        <v>1576</v>
      </c>
      <c r="AS221" s="1">
        <v>0</v>
      </c>
      <c r="AT221" s="1" t="s">
        <v>1807</v>
      </c>
      <c r="AU221" s="1">
        <v>10</v>
      </c>
      <c r="AV221" s="1">
        <v>16001</v>
      </c>
      <c r="AW221" s="1">
        <v>0</v>
      </c>
    </row>
    <row r="222" spans="1:49" x14ac:dyDescent="0.25">
      <c r="A222" s="1">
        <v>223</v>
      </c>
      <c r="B222" s="1" t="s">
        <v>2460</v>
      </c>
      <c r="C222" s="1" t="s">
        <v>2461</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2124</v>
      </c>
      <c r="AJ222" s="1">
        <v>0</v>
      </c>
      <c r="AK222" s="1" t="s">
        <v>329</v>
      </c>
      <c r="AL222" s="1" t="s">
        <v>2462</v>
      </c>
      <c r="AM222" s="1">
        <v>0.45</v>
      </c>
      <c r="AN222" s="1">
        <v>0.15</v>
      </c>
      <c r="AO222" s="1">
        <v>0.3</v>
      </c>
      <c r="AP222" s="1">
        <v>0.15</v>
      </c>
      <c r="AQ222" s="1">
        <v>1</v>
      </c>
      <c r="AR222" s="1" t="s">
        <v>1577</v>
      </c>
      <c r="AS222" s="1">
        <v>0</v>
      </c>
      <c r="AT222" s="1" t="s">
        <v>1807</v>
      </c>
      <c r="AU222" s="1">
        <v>10</v>
      </c>
      <c r="AV222" s="1">
        <v>16001</v>
      </c>
      <c r="AW222" s="1">
        <v>0</v>
      </c>
    </row>
    <row r="223" spans="1:49" x14ac:dyDescent="0.25">
      <c r="A223" s="1">
        <v>224</v>
      </c>
      <c r="B223" s="1" t="s">
        <v>2463</v>
      </c>
      <c r="C223" s="1" t="s">
        <v>2464</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2124</v>
      </c>
      <c r="AJ223" s="1">
        <v>0</v>
      </c>
      <c r="AK223" s="1" t="s">
        <v>329</v>
      </c>
      <c r="AL223" s="1" t="s">
        <v>2465</v>
      </c>
      <c r="AM223" s="1">
        <v>0.45</v>
      </c>
      <c r="AN223" s="1">
        <v>0.15</v>
      </c>
      <c r="AO223" s="1">
        <v>0.3</v>
      </c>
      <c r="AP223" s="1">
        <v>0.15</v>
      </c>
      <c r="AQ223" s="1">
        <v>1</v>
      </c>
      <c r="AR223" s="1" t="s">
        <v>1578</v>
      </c>
      <c r="AS223" s="1">
        <v>0</v>
      </c>
      <c r="AT223" s="1" t="s">
        <v>1807</v>
      </c>
      <c r="AU223" s="1">
        <v>10</v>
      </c>
      <c r="AV223" s="1">
        <v>16001</v>
      </c>
      <c r="AW223" s="1">
        <v>0</v>
      </c>
    </row>
    <row r="224" spans="1:49" x14ac:dyDescent="0.25">
      <c r="A224" s="1">
        <v>225</v>
      </c>
      <c r="B224" s="1" t="s">
        <v>2466</v>
      </c>
      <c r="C224" s="1" t="s">
        <v>2467</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1844</v>
      </c>
      <c r="AJ224" s="1">
        <v>0</v>
      </c>
      <c r="AK224" s="1" t="s">
        <v>329</v>
      </c>
      <c r="AL224" s="1" t="s">
        <v>2468</v>
      </c>
      <c r="AM224" s="1">
        <v>0.48</v>
      </c>
      <c r="AN224" s="1">
        <v>0.48</v>
      </c>
      <c r="AO224" s="1">
        <v>0.08</v>
      </c>
      <c r="AP224" s="1">
        <v>0.45</v>
      </c>
      <c r="AQ224" s="1">
        <v>1</v>
      </c>
      <c r="AR224" s="1" t="s">
        <v>329</v>
      </c>
      <c r="AS224" s="1">
        <v>0</v>
      </c>
      <c r="AT224" s="1" t="s">
        <v>2469</v>
      </c>
      <c r="AU224" s="1">
        <v>0</v>
      </c>
      <c r="AV224" s="1">
        <v>6004</v>
      </c>
      <c r="AW224" s="1">
        <v>0</v>
      </c>
    </row>
    <row r="225" spans="1:49" x14ac:dyDescent="0.25">
      <c r="A225" s="1">
        <v>226</v>
      </c>
      <c r="B225" s="1" t="s">
        <v>2470</v>
      </c>
      <c r="C225" s="1" t="s">
        <v>2471</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5670</v>
      </c>
      <c r="AH225" s="1">
        <v>2400</v>
      </c>
      <c r="AI225" s="1" t="s">
        <v>1844</v>
      </c>
      <c r="AJ225" s="1">
        <v>0</v>
      </c>
      <c r="AK225" s="1" t="s">
        <v>329</v>
      </c>
      <c r="AL225" s="1" t="s">
        <v>2472</v>
      </c>
      <c r="AM225" s="1">
        <v>0.08</v>
      </c>
      <c r="AN225" s="1">
        <v>0.5</v>
      </c>
      <c r="AO225" s="1">
        <v>0.3</v>
      </c>
      <c r="AP225" s="1">
        <v>0.3</v>
      </c>
      <c r="AQ225" s="1">
        <v>1</v>
      </c>
      <c r="AR225" s="1" t="s">
        <v>1579</v>
      </c>
      <c r="AS225" s="1">
        <v>0</v>
      </c>
      <c r="AT225" s="1" t="s">
        <v>1807</v>
      </c>
      <c r="AU225" s="1">
        <v>10</v>
      </c>
      <c r="AV225" s="1">
        <v>5003</v>
      </c>
      <c r="AW225" s="1">
        <v>0</v>
      </c>
    </row>
    <row r="226" spans="1:49" x14ac:dyDescent="0.25">
      <c r="A226" s="1">
        <v>227</v>
      </c>
      <c r="B226" s="1" t="s">
        <v>2473</v>
      </c>
      <c r="C226" s="1" t="s">
        <v>2474</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5669</v>
      </c>
      <c r="AH226" s="1">
        <v>3000</v>
      </c>
      <c r="AI226" s="1" t="s">
        <v>1844</v>
      </c>
      <c r="AJ226" s="1">
        <v>0</v>
      </c>
      <c r="AK226" s="1" t="s">
        <v>329</v>
      </c>
      <c r="AL226" s="1" t="s">
        <v>2475</v>
      </c>
      <c r="AM226" s="1">
        <v>0.08</v>
      </c>
      <c r="AN226" s="1">
        <v>0.5</v>
      </c>
      <c r="AO226" s="1">
        <v>0.3</v>
      </c>
      <c r="AP226" s="1">
        <v>0.3</v>
      </c>
      <c r="AQ226" s="1">
        <v>1</v>
      </c>
      <c r="AR226" s="1" t="s">
        <v>1580</v>
      </c>
      <c r="AS226" s="1">
        <v>0</v>
      </c>
      <c r="AT226" s="1" t="s">
        <v>1807</v>
      </c>
      <c r="AU226" s="1">
        <v>10</v>
      </c>
      <c r="AV226" s="1">
        <v>5003</v>
      </c>
      <c r="AW226" s="1">
        <v>0</v>
      </c>
    </row>
    <row r="227" spans="1:49" x14ac:dyDescent="0.25">
      <c r="A227" s="1">
        <v>228</v>
      </c>
      <c r="B227" s="1" t="s">
        <v>2476</v>
      </c>
      <c r="C227" s="1" t="s">
        <v>2477</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1844</v>
      </c>
      <c r="AJ227" s="1">
        <v>0</v>
      </c>
      <c r="AK227" s="1" t="s">
        <v>329</v>
      </c>
      <c r="AL227" s="1" t="s">
        <v>2478</v>
      </c>
      <c r="AM227" s="1">
        <v>0.08</v>
      </c>
      <c r="AN227" s="1">
        <v>0.5</v>
      </c>
      <c r="AO227" s="1">
        <v>0.08</v>
      </c>
      <c r="AP227" s="1">
        <v>0.08</v>
      </c>
      <c r="AQ227" s="1">
        <v>1</v>
      </c>
      <c r="AR227" s="1" t="s">
        <v>1581</v>
      </c>
      <c r="AS227" s="1">
        <v>0</v>
      </c>
      <c r="AT227" s="1" t="s">
        <v>1807</v>
      </c>
      <c r="AU227" s="1">
        <v>10</v>
      </c>
      <c r="AV227" s="1">
        <v>17001</v>
      </c>
      <c r="AW227" s="1">
        <v>0</v>
      </c>
    </row>
    <row r="228" spans="1:49" x14ac:dyDescent="0.25">
      <c r="A228" s="1">
        <v>229</v>
      </c>
      <c r="B228" s="1" t="s">
        <v>2479</v>
      </c>
      <c r="C228" s="1" t="s">
        <v>2480</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1844</v>
      </c>
      <c r="AJ228" s="1">
        <v>0</v>
      </c>
      <c r="AK228" s="1" t="s">
        <v>329</v>
      </c>
      <c r="AL228" s="1" t="s">
        <v>2481</v>
      </c>
      <c r="AM228" s="1">
        <v>0.08</v>
      </c>
      <c r="AN228" s="1">
        <v>0.5</v>
      </c>
      <c r="AO228" s="1">
        <v>0.08</v>
      </c>
      <c r="AP228" s="1">
        <v>0.08</v>
      </c>
      <c r="AQ228" s="1">
        <v>1</v>
      </c>
      <c r="AR228" s="1" t="s">
        <v>1581</v>
      </c>
      <c r="AS228" s="1">
        <v>0</v>
      </c>
      <c r="AT228" s="1" t="s">
        <v>1807</v>
      </c>
      <c r="AU228" s="1">
        <v>10</v>
      </c>
      <c r="AV228" s="1">
        <v>17001</v>
      </c>
      <c r="AW228" s="1">
        <v>0</v>
      </c>
    </row>
    <row r="229" spans="1:49" x14ac:dyDescent="0.25">
      <c r="A229" s="1">
        <v>230</v>
      </c>
      <c r="B229" s="1" t="s">
        <v>2482</v>
      </c>
      <c r="C229" s="1" t="s">
        <v>2483</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1844</v>
      </c>
      <c r="AJ229" s="1">
        <v>0</v>
      </c>
      <c r="AK229" s="1" t="s">
        <v>329</v>
      </c>
      <c r="AL229" s="1" t="s">
        <v>2484</v>
      </c>
      <c r="AM229" s="1">
        <v>0.08</v>
      </c>
      <c r="AN229" s="1">
        <v>0.39</v>
      </c>
      <c r="AO229" s="1">
        <v>0.08</v>
      </c>
      <c r="AP229" s="1">
        <v>0.48</v>
      </c>
      <c r="AQ229" s="1">
        <v>1</v>
      </c>
      <c r="AR229" s="1" t="s">
        <v>1582</v>
      </c>
      <c r="AS229" s="1">
        <v>300901</v>
      </c>
      <c r="AT229" s="1" t="s">
        <v>1807</v>
      </c>
      <c r="AU229" s="1">
        <v>10</v>
      </c>
      <c r="AV229" s="1">
        <v>7003</v>
      </c>
      <c r="AW229" s="1">
        <v>0</v>
      </c>
    </row>
    <row r="230" spans="1:49" x14ac:dyDescent="0.25">
      <c r="A230" s="1">
        <v>231</v>
      </c>
      <c r="B230" s="1" t="s">
        <v>2485</v>
      </c>
      <c r="C230" s="1" t="s">
        <v>2486</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1844</v>
      </c>
      <c r="AJ230" s="1">
        <v>0</v>
      </c>
      <c r="AK230" s="1" t="s">
        <v>329</v>
      </c>
      <c r="AL230" s="1" t="s">
        <v>2487</v>
      </c>
      <c r="AM230" s="1">
        <v>0.08</v>
      </c>
      <c r="AN230" s="1">
        <v>0.39</v>
      </c>
      <c r="AO230" s="1">
        <v>0.08</v>
      </c>
      <c r="AP230" s="1">
        <v>0.48</v>
      </c>
      <c r="AQ230" s="1">
        <v>1</v>
      </c>
      <c r="AR230" s="1" t="s">
        <v>1582</v>
      </c>
      <c r="AS230" s="1">
        <v>300901</v>
      </c>
      <c r="AT230" s="1" t="s">
        <v>1807</v>
      </c>
      <c r="AU230" s="1">
        <v>10</v>
      </c>
      <c r="AV230" s="1">
        <v>7003</v>
      </c>
      <c r="AW230" s="1">
        <v>0</v>
      </c>
    </row>
    <row r="231" spans="1:49" x14ac:dyDescent="0.25">
      <c r="A231" s="1">
        <v>232</v>
      </c>
      <c r="B231" s="1" t="s">
        <v>2488</v>
      </c>
      <c r="C231" s="1" t="s">
        <v>2489</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1844</v>
      </c>
      <c r="AJ231" s="1">
        <v>0</v>
      </c>
      <c r="AK231" s="1" t="s">
        <v>329</v>
      </c>
      <c r="AL231" s="1" t="s">
        <v>2490</v>
      </c>
      <c r="AM231" s="1">
        <v>0.3</v>
      </c>
      <c r="AN231" s="1">
        <v>0.23</v>
      </c>
      <c r="AO231" s="1">
        <v>0.15</v>
      </c>
      <c r="AP231" s="1">
        <v>0.38</v>
      </c>
      <c r="AQ231" s="1">
        <v>1</v>
      </c>
      <c r="AR231" s="1" t="s">
        <v>1583</v>
      </c>
      <c r="AS231" s="1">
        <v>0</v>
      </c>
      <c r="AT231" s="1" t="s">
        <v>1807</v>
      </c>
      <c r="AU231" s="1">
        <v>10</v>
      </c>
      <c r="AV231" s="1">
        <v>9001</v>
      </c>
      <c r="AW231" s="1">
        <v>0</v>
      </c>
    </row>
    <row r="232" spans="1:49" x14ac:dyDescent="0.25">
      <c r="A232" s="1">
        <v>233</v>
      </c>
      <c r="B232" s="1" t="s">
        <v>2491</v>
      </c>
      <c r="C232" s="1" t="s">
        <v>2492</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1844</v>
      </c>
      <c r="AJ232" s="1">
        <v>0</v>
      </c>
      <c r="AK232" s="1" t="s">
        <v>329</v>
      </c>
      <c r="AL232" s="1" t="s">
        <v>2493</v>
      </c>
      <c r="AM232" s="1">
        <v>0.3</v>
      </c>
      <c r="AN232" s="1">
        <v>0.23</v>
      </c>
      <c r="AO232" s="1">
        <v>0.15</v>
      </c>
      <c r="AP232" s="1">
        <v>0.38</v>
      </c>
      <c r="AQ232" s="1">
        <v>1</v>
      </c>
      <c r="AR232" s="1" t="s">
        <v>1583</v>
      </c>
      <c r="AS232" s="1">
        <v>0</v>
      </c>
      <c r="AT232" s="1" t="s">
        <v>1807</v>
      </c>
      <c r="AU232" s="1">
        <v>10</v>
      </c>
      <c r="AV232" s="1">
        <v>9001</v>
      </c>
      <c r="AW232" s="1">
        <v>0</v>
      </c>
    </row>
    <row r="233" spans="1:49" x14ac:dyDescent="0.25">
      <c r="A233" s="1">
        <v>234</v>
      </c>
      <c r="B233" s="1" t="s">
        <v>2494</v>
      </c>
      <c r="C233" s="1" t="s">
        <v>2495</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1844</v>
      </c>
      <c r="AJ233" s="1">
        <v>0</v>
      </c>
      <c r="AK233" s="1" t="s">
        <v>329</v>
      </c>
      <c r="AL233" s="1" t="s">
        <v>2496</v>
      </c>
      <c r="AM233" s="1">
        <v>0.3</v>
      </c>
      <c r="AN233" s="1">
        <v>0.23</v>
      </c>
      <c r="AO233" s="1">
        <v>0.15</v>
      </c>
      <c r="AP233" s="1">
        <v>0.38</v>
      </c>
      <c r="AQ233" s="1">
        <v>1</v>
      </c>
      <c r="AR233" s="1" t="s">
        <v>1584</v>
      </c>
      <c r="AS233" s="1">
        <v>0</v>
      </c>
      <c r="AT233" s="1" t="s">
        <v>1807</v>
      </c>
      <c r="AU233" s="1">
        <v>10</v>
      </c>
      <c r="AV233" s="1">
        <v>9001</v>
      </c>
      <c r="AW233" s="1">
        <v>0</v>
      </c>
    </row>
    <row r="234" spans="1:49" x14ac:dyDescent="0.25">
      <c r="A234" s="1">
        <v>235</v>
      </c>
      <c r="B234" s="1" t="s">
        <v>2497</v>
      </c>
      <c r="C234" s="1" t="s">
        <v>2498</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1844</v>
      </c>
      <c r="AJ234" s="1">
        <v>0</v>
      </c>
      <c r="AK234" s="1" t="s">
        <v>329</v>
      </c>
      <c r="AL234" s="1" t="s">
        <v>2499</v>
      </c>
      <c r="AM234" s="1">
        <v>0.08</v>
      </c>
      <c r="AN234" s="1">
        <v>0.39</v>
      </c>
      <c r="AO234" s="1">
        <v>0.08</v>
      </c>
      <c r="AP234" s="1">
        <v>0.48</v>
      </c>
      <c r="AQ234" s="1">
        <v>1</v>
      </c>
      <c r="AR234" s="1" t="s">
        <v>1494</v>
      </c>
      <c r="AS234" s="1">
        <v>0</v>
      </c>
      <c r="AT234" s="1" t="s">
        <v>2500</v>
      </c>
      <c r="AU234" s="1">
        <v>10</v>
      </c>
      <c r="AV234" s="1">
        <v>7004</v>
      </c>
      <c r="AW234" s="1">
        <v>0</v>
      </c>
    </row>
    <row r="235" spans="1:49" x14ac:dyDescent="0.25">
      <c r="A235" s="1">
        <v>236</v>
      </c>
      <c r="B235" s="1" t="s">
        <v>2501</v>
      </c>
      <c r="C235" s="1" t="s">
        <v>2502</v>
      </c>
      <c r="D235" s="1">
        <v>5</v>
      </c>
      <c r="E235" s="1">
        <v>3</v>
      </c>
      <c r="F235" s="1">
        <v>20</v>
      </c>
      <c r="G235" s="1" t="s">
        <v>1608</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2503</v>
      </c>
      <c r="AJ235" s="1">
        <v>0</v>
      </c>
      <c r="AK235" s="1" t="s">
        <v>904</v>
      </c>
      <c r="AL235" s="1" t="s">
        <v>2504</v>
      </c>
      <c r="AM235" s="1">
        <v>0.3</v>
      </c>
      <c r="AN235" s="1">
        <v>0.25</v>
      </c>
      <c r="AO235" s="1">
        <v>0.12</v>
      </c>
      <c r="AP235" s="1">
        <v>0.38</v>
      </c>
      <c r="AQ235" s="1">
        <v>3</v>
      </c>
      <c r="AR235" s="1" t="s">
        <v>1585</v>
      </c>
      <c r="AS235" s="1">
        <v>116202</v>
      </c>
      <c r="AT235" s="1" t="s">
        <v>2505</v>
      </c>
      <c r="AU235" s="1">
        <v>10</v>
      </c>
      <c r="AV235" s="1">
        <v>20036</v>
      </c>
      <c r="AW235" s="1">
        <v>0</v>
      </c>
    </row>
    <row r="236" spans="1:49" x14ac:dyDescent="0.25">
      <c r="A236" s="1">
        <v>237</v>
      </c>
      <c r="B236" s="1" t="s">
        <v>2506</v>
      </c>
      <c r="C236" s="1" t="s">
        <v>2507</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1844</v>
      </c>
      <c r="AJ236" s="1">
        <v>0</v>
      </c>
      <c r="AK236" s="1" t="s">
        <v>934</v>
      </c>
      <c r="AL236" s="1" t="s">
        <v>2508</v>
      </c>
      <c r="AM236" s="1">
        <v>0.3</v>
      </c>
      <c r="AN236" s="1">
        <v>0.25</v>
      </c>
      <c r="AO236" s="1">
        <v>0.12</v>
      </c>
      <c r="AP236" s="1">
        <v>0.38</v>
      </c>
      <c r="AQ236" s="1">
        <v>3</v>
      </c>
      <c r="AR236" s="1" t="s">
        <v>1573</v>
      </c>
      <c r="AS236" s="1">
        <v>0</v>
      </c>
      <c r="AT236" s="1" t="s">
        <v>2509</v>
      </c>
      <c r="AU236" s="1">
        <v>10</v>
      </c>
      <c r="AV236" s="1">
        <v>20037</v>
      </c>
      <c r="AW236" s="1">
        <v>0</v>
      </c>
    </row>
    <row r="237" spans="1:49" x14ac:dyDescent="0.25">
      <c r="A237" s="1">
        <v>238</v>
      </c>
      <c r="B237" s="1" t="s">
        <v>2510</v>
      </c>
      <c r="C237" s="1" t="s">
        <v>2511</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2512</v>
      </c>
      <c r="AJ237" s="1">
        <v>0</v>
      </c>
      <c r="AK237" s="1" t="s">
        <v>931</v>
      </c>
      <c r="AL237" s="1" t="s">
        <v>2513</v>
      </c>
      <c r="AM237" s="1">
        <v>0.48</v>
      </c>
      <c r="AN237" s="1">
        <v>0.48</v>
      </c>
      <c r="AO237" s="1">
        <v>0.08</v>
      </c>
      <c r="AP237" s="1">
        <v>0.25</v>
      </c>
      <c r="AQ237" s="1">
        <v>3</v>
      </c>
      <c r="AR237" s="1" t="s">
        <v>1474</v>
      </c>
      <c r="AS237" s="1">
        <v>0</v>
      </c>
      <c r="AT237" s="1" t="s">
        <v>2469</v>
      </c>
      <c r="AU237" s="1">
        <v>10</v>
      </c>
      <c r="AV237" s="1">
        <v>19029</v>
      </c>
      <c r="AW237" s="1">
        <v>0</v>
      </c>
    </row>
    <row r="238" spans="1:49" x14ac:dyDescent="0.25">
      <c r="A238" s="1">
        <v>239</v>
      </c>
      <c r="B238" s="1" t="s">
        <v>2514</v>
      </c>
      <c r="C238" s="1" t="s">
        <v>2515</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2516</v>
      </c>
      <c r="AJ238" s="1">
        <v>0</v>
      </c>
      <c r="AK238" s="1" t="s">
        <v>930</v>
      </c>
      <c r="AL238" s="1" t="s">
        <v>2517</v>
      </c>
      <c r="AM238" s="1">
        <v>0.08</v>
      </c>
      <c r="AN238" s="1">
        <v>0.5</v>
      </c>
      <c r="AO238" s="1">
        <v>0.3</v>
      </c>
      <c r="AP238" s="1">
        <v>0.3</v>
      </c>
      <c r="AQ238" s="1">
        <v>3</v>
      </c>
      <c r="AR238" s="1" t="s">
        <v>1581</v>
      </c>
      <c r="AS238" s="1">
        <v>0</v>
      </c>
      <c r="AT238" s="1" t="s">
        <v>2518</v>
      </c>
      <c r="AU238" s="1">
        <v>10</v>
      </c>
      <c r="AV238" s="1">
        <v>19030</v>
      </c>
      <c r="AW238" s="1">
        <v>0</v>
      </c>
    </row>
    <row r="239" spans="1:49" x14ac:dyDescent="0.25">
      <c r="A239" s="1">
        <v>240</v>
      </c>
      <c r="B239" s="1" t="s">
        <v>2519</v>
      </c>
      <c r="C239" s="1" t="s">
        <v>2520</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1844</v>
      </c>
      <c r="AJ239" s="1">
        <v>0</v>
      </c>
      <c r="AK239" s="1" t="s">
        <v>936</v>
      </c>
      <c r="AL239" s="1" t="s">
        <v>2521</v>
      </c>
      <c r="AM239" s="1">
        <v>0.23</v>
      </c>
      <c r="AN239" s="1">
        <v>0.23</v>
      </c>
      <c r="AO239" s="1">
        <v>0.33</v>
      </c>
      <c r="AP239" s="1">
        <v>0.33</v>
      </c>
      <c r="AQ239" s="1">
        <v>3</v>
      </c>
      <c r="AR239" s="1" t="s">
        <v>1586</v>
      </c>
      <c r="AS239" s="1">
        <v>0</v>
      </c>
      <c r="AT239" s="1" t="s">
        <v>1807</v>
      </c>
      <c r="AU239" s="1">
        <v>10</v>
      </c>
      <c r="AV239" s="1">
        <v>20038</v>
      </c>
      <c r="AW239" s="1">
        <v>0</v>
      </c>
    </row>
    <row r="240" spans="1:49" x14ac:dyDescent="0.25">
      <c r="A240" s="1">
        <v>241</v>
      </c>
      <c r="B240" s="1" t="s">
        <v>2522</v>
      </c>
      <c r="C240" s="1" t="s">
        <v>2523</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1844</v>
      </c>
      <c r="AJ240" s="1">
        <v>0</v>
      </c>
      <c r="AK240" s="1" t="s">
        <v>937</v>
      </c>
      <c r="AL240" s="1" t="s">
        <v>2524</v>
      </c>
      <c r="AM240" s="1">
        <v>0.08</v>
      </c>
      <c r="AN240" s="1">
        <v>0.5</v>
      </c>
      <c r="AO240" s="1">
        <v>0.3</v>
      </c>
      <c r="AP240" s="1">
        <v>0.3</v>
      </c>
      <c r="AQ240" s="1">
        <v>3</v>
      </c>
      <c r="AR240" s="1" t="s">
        <v>1587</v>
      </c>
      <c r="AS240" s="1">
        <v>0</v>
      </c>
      <c r="AT240" s="1" t="s">
        <v>1807</v>
      </c>
      <c r="AU240" s="1">
        <v>10</v>
      </c>
      <c r="AV240" s="1">
        <v>19031</v>
      </c>
      <c r="AW240" s="1">
        <v>0</v>
      </c>
    </row>
    <row r="241" spans="1:49" x14ac:dyDescent="0.25">
      <c r="A241" s="1">
        <v>242</v>
      </c>
      <c r="B241" s="1" t="s">
        <v>2525</v>
      </c>
      <c r="C241" s="1" t="s">
        <v>2526</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1844</v>
      </c>
      <c r="AJ241" s="1">
        <v>0</v>
      </c>
      <c r="AK241" s="1" t="s">
        <v>1588</v>
      </c>
      <c r="AL241" s="1" t="s">
        <v>2527</v>
      </c>
      <c r="AM241" s="1">
        <v>0.08</v>
      </c>
      <c r="AN241" s="1">
        <v>0.5</v>
      </c>
      <c r="AO241" s="1">
        <v>0.3</v>
      </c>
      <c r="AP241" s="1">
        <v>0.3</v>
      </c>
      <c r="AQ241" s="1">
        <v>3</v>
      </c>
      <c r="AR241" s="1" t="s">
        <v>1553</v>
      </c>
      <c r="AS241" s="1">
        <v>756005</v>
      </c>
      <c r="AT241" s="1" t="s">
        <v>2528</v>
      </c>
      <c r="AU241" s="1">
        <v>10</v>
      </c>
      <c r="AV241" s="1">
        <v>19032</v>
      </c>
      <c r="AW241" s="1">
        <v>0</v>
      </c>
    </row>
    <row r="242" spans="1:49" x14ac:dyDescent="0.25">
      <c r="A242" s="1">
        <v>243</v>
      </c>
      <c r="B242" s="1" t="s">
        <v>2529</v>
      </c>
      <c r="C242" s="1" t="s">
        <v>2530</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1184</v>
      </c>
      <c r="AH242" s="1">
        <v>3600</v>
      </c>
      <c r="AI242" s="1" t="s">
        <v>2042</v>
      </c>
      <c r="AJ242" s="1">
        <v>0</v>
      </c>
      <c r="AK242" s="1" t="s">
        <v>1589</v>
      </c>
      <c r="AL242" s="1" t="s">
        <v>2531</v>
      </c>
      <c r="AM242" s="1">
        <v>0.45</v>
      </c>
      <c r="AN242" s="1">
        <v>0.15</v>
      </c>
      <c r="AO242" s="1">
        <v>0.3</v>
      </c>
      <c r="AP242" s="1">
        <v>0.15</v>
      </c>
      <c r="AQ242" s="1">
        <v>3</v>
      </c>
      <c r="AR242" s="1" t="s">
        <v>1590</v>
      </c>
      <c r="AS242" s="1">
        <v>0</v>
      </c>
      <c r="AT242" s="1" t="s">
        <v>1807</v>
      </c>
      <c r="AU242" s="1">
        <v>10</v>
      </c>
      <c r="AV242" s="1">
        <v>18070</v>
      </c>
      <c r="AW242" s="1">
        <v>0</v>
      </c>
    </row>
    <row r="243" spans="1:49" x14ac:dyDescent="0.25">
      <c r="A243" s="1">
        <v>244</v>
      </c>
      <c r="B243" s="1" t="s">
        <v>2532</v>
      </c>
      <c r="C243" s="1" t="s">
        <v>2533</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1134</v>
      </c>
      <c r="AH243" s="1">
        <v>3600</v>
      </c>
      <c r="AI243" s="1" t="s">
        <v>1844</v>
      </c>
      <c r="AJ243" s="1">
        <v>0</v>
      </c>
      <c r="AK243" s="1" t="s">
        <v>1473</v>
      </c>
      <c r="AL243" s="1" t="s">
        <v>2534</v>
      </c>
      <c r="AM243" s="1">
        <v>0.45</v>
      </c>
      <c r="AN243" s="1">
        <v>0.15</v>
      </c>
      <c r="AO243" s="1">
        <v>0.3</v>
      </c>
      <c r="AP243" s="1">
        <v>0.15</v>
      </c>
      <c r="AQ243" s="1">
        <v>3</v>
      </c>
      <c r="AR243" s="1" t="s">
        <v>1591</v>
      </c>
      <c r="AS243" s="1">
        <v>0</v>
      </c>
      <c r="AT243" s="1" t="s">
        <v>1807</v>
      </c>
      <c r="AU243" s="1">
        <v>10</v>
      </c>
      <c r="AV243" s="1">
        <v>18071</v>
      </c>
      <c r="AW243" s="1">
        <v>0</v>
      </c>
    </row>
    <row r="244" spans="1:49" x14ac:dyDescent="0.25">
      <c r="A244" s="1">
        <v>245</v>
      </c>
      <c r="B244" s="1" t="s">
        <v>2535</v>
      </c>
      <c r="C244" s="1" t="s">
        <v>2536</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2537</v>
      </c>
      <c r="AJ244" s="1">
        <v>0</v>
      </c>
      <c r="AK244" s="1" t="s">
        <v>1592</v>
      </c>
      <c r="AL244" s="1" t="s">
        <v>2538</v>
      </c>
      <c r="AM244" s="1">
        <v>0.45</v>
      </c>
      <c r="AN244" s="1">
        <v>0.15</v>
      </c>
      <c r="AO244" s="1">
        <v>0.3</v>
      </c>
      <c r="AP244" s="1">
        <v>0.15</v>
      </c>
      <c r="AQ244" s="1">
        <v>3</v>
      </c>
      <c r="AR244" s="1" t="s">
        <v>1593</v>
      </c>
      <c r="AS244" s="1">
        <v>0</v>
      </c>
      <c r="AT244" s="1" t="s">
        <v>1807</v>
      </c>
      <c r="AU244" s="1">
        <v>10</v>
      </c>
      <c r="AV244" s="1">
        <v>18072</v>
      </c>
      <c r="AW244" s="1">
        <v>0</v>
      </c>
    </row>
    <row r="245" spans="1:49" x14ac:dyDescent="0.25">
      <c r="A245" s="1">
        <v>246</v>
      </c>
      <c r="B245" s="1" t="s">
        <v>2539</v>
      </c>
      <c r="C245" s="1" t="s">
        <v>2540</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2541</v>
      </c>
      <c r="AJ245" s="1">
        <v>0</v>
      </c>
      <c r="AK245" s="1" t="s">
        <v>1594</v>
      </c>
      <c r="AL245" s="1" t="s">
        <v>2542</v>
      </c>
      <c r="AM245" s="1">
        <v>0.55000000000000004</v>
      </c>
      <c r="AN245" s="1">
        <v>0.23</v>
      </c>
      <c r="AO245" s="1">
        <v>0.23</v>
      </c>
      <c r="AP245" s="1">
        <v>0.23</v>
      </c>
      <c r="AQ245" s="1">
        <v>3</v>
      </c>
      <c r="AR245" s="1" t="s">
        <v>1595</v>
      </c>
      <c r="AS245" s="1">
        <v>0</v>
      </c>
      <c r="AT245" s="1" t="s">
        <v>2543</v>
      </c>
      <c r="AU245" s="1">
        <v>10</v>
      </c>
      <c r="AV245" s="1">
        <v>18073</v>
      </c>
      <c r="AW245" s="1">
        <v>0</v>
      </c>
    </row>
    <row r="246" spans="1:49" x14ac:dyDescent="0.25">
      <c r="A246" s="1">
        <v>247</v>
      </c>
      <c r="B246" s="1" t="s">
        <v>2544</v>
      </c>
      <c r="C246" s="1" t="s">
        <v>2545</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1238</v>
      </c>
      <c r="AH246" s="1">
        <v>3600</v>
      </c>
      <c r="AI246" s="1" t="s">
        <v>2546</v>
      </c>
      <c r="AJ246" s="1">
        <v>0</v>
      </c>
      <c r="AK246" s="1" t="s">
        <v>1373</v>
      </c>
      <c r="AL246" s="1" t="s">
        <v>2547</v>
      </c>
      <c r="AM246" s="1">
        <v>0.45</v>
      </c>
      <c r="AN246" s="1">
        <v>0.15</v>
      </c>
      <c r="AO246" s="1">
        <v>0.3</v>
      </c>
      <c r="AP246" s="1">
        <v>0.15</v>
      </c>
      <c r="AQ246" s="1">
        <v>3</v>
      </c>
      <c r="AR246" s="1" t="s">
        <v>1596</v>
      </c>
      <c r="AS246" s="1">
        <v>0</v>
      </c>
      <c r="AT246" s="1" t="s">
        <v>1807</v>
      </c>
      <c r="AU246" s="1">
        <v>10</v>
      </c>
      <c r="AV246" s="1">
        <v>18074</v>
      </c>
      <c r="AW246" s="1">
        <v>0</v>
      </c>
    </row>
    <row r="247" spans="1:49" x14ac:dyDescent="0.25">
      <c r="A247" s="1">
        <v>248</v>
      </c>
      <c r="B247" s="1" t="s">
        <v>2548</v>
      </c>
      <c r="C247" s="1" t="s">
        <v>2549</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1609</v>
      </c>
      <c r="AH247" s="1">
        <v>3060</v>
      </c>
      <c r="AI247" s="1" t="s">
        <v>1844</v>
      </c>
      <c r="AJ247" s="1">
        <v>0</v>
      </c>
      <c r="AK247" s="1" t="s">
        <v>408</v>
      </c>
      <c r="AL247" s="1" t="s">
        <v>2550</v>
      </c>
      <c r="AM247" s="1">
        <v>0.3</v>
      </c>
      <c r="AN247" s="1">
        <v>0.23</v>
      </c>
      <c r="AO247" s="1">
        <v>0.15</v>
      </c>
      <c r="AP247" s="1">
        <v>0.38</v>
      </c>
      <c r="AQ247" s="1">
        <v>3</v>
      </c>
      <c r="AR247" s="1" t="s">
        <v>1584</v>
      </c>
      <c r="AS247" s="1">
        <v>0</v>
      </c>
      <c r="AT247" s="1" t="s">
        <v>2551</v>
      </c>
      <c r="AU247" s="1">
        <v>10</v>
      </c>
      <c r="AV247" s="1">
        <v>20042</v>
      </c>
      <c r="AW247" s="1">
        <v>0</v>
      </c>
    </row>
    <row r="248" spans="1:49" x14ac:dyDescent="0.25">
      <c r="A248" s="1">
        <v>249</v>
      </c>
      <c r="B248" s="1" t="s">
        <v>2552</v>
      </c>
      <c r="C248" s="1" t="s">
        <v>2553</v>
      </c>
      <c r="D248" s="1">
        <v>5</v>
      </c>
      <c r="E248" s="1">
        <v>1</v>
      </c>
      <c r="F248" s="1">
        <v>18</v>
      </c>
      <c r="G248" s="1" t="s">
        <v>1721</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1627</v>
      </c>
      <c r="AH248" s="1">
        <v>3600</v>
      </c>
      <c r="AI248" s="1" t="s">
        <v>1844</v>
      </c>
      <c r="AJ248" s="1">
        <v>0</v>
      </c>
      <c r="AK248" s="1" t="s">
        <v>1722</v>
      </c>
      <c r="AL248" s="1" t="s">
        <v>2554</v>
      </c>
      <c r="AM248" s="1">
        <v>0.55000000000000004</v>
      </c>
      <c r="AN248" s="1">
        <v>0.23</v>
      </c>
      <c r="AO248" s="1">
        <v>0.23</v>
      </c>
      <c r="AP248" s="1">
        <v>0.23</v>
      </c>
      <c r="AQ248" s="1">
        <v>3</v>
      </c>
      <c r="AR248" s="1" t="s">
        <v>1723</v>
      </c>
      <c r="AS248" s="1">
        <v>0</v>
      </c>
      <c r="AT248" s="1" t="s">
        <v>1807</v>
      </c>
      <c r="AU248" s="1">
        <v>10</v>
      </c>
      <c r="AV248" s="1">
        <v>18077</v>
      </c>
      <c r="AW248" s="1">
        <v>0</v>
      </c>
    </row>
    <row r="249" spans="1:49" x14ac:dyDescent="0.25">
      <c r="A249" s="1">
        <v>250</v>
      </c>
      <c r="B249" s="1" t="s">
        <v>2555</v>
      </c>
      <c r="C249" s="1" t="s">
        <v>2556</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1720</v>
      </c>
      <c r="AH249" s="1">
        <v>3120</v>
      </c>
      <c r="AI249" s="1" t="s">
        <v>2503</v>
      </c>
      <c r="AJ249" s="1">
        <v>0</v>
      </c>
      <c r="AK249" s="1" t="s">
        <v>1724</v>
      </c>
      <c r="AL249" s="1" t="s">
        <v>2557</v>
      </c>
      <c r="AM249" s="1">
        <v>0.3</v>
      </c>
      <c r="AN249" s="1">
        <v>0.25</v>
      </c>
      <c r="AO249" s="1">
        <v>0.12</v>
      </c>
      <c r="AP249" s="1">
        <v>0.38</v>
      </c>
      <c r="AQ249" s="1">
        <v>3</v>
      </c>
      <c r="AR249" s="1" t="s">
        <v>1725</v>
      </c>
      <c r="AS249" s="1">
        <v>0</v>
      </c>
      <c r="AT249" s="1" t="s">
        <v>2558</v>
      </c>
      <c r="AU249" s="1">
        <v>10</v>
      </c>
      <c r="AV249" s="1">
        <v>20043</v>
      </c>
      <c r="AW249" s="1">
        <v>0</v>
      </c>
    </row>
    <row r="250" spans="1:49" x14ac:dyDescent="0.25">
      <c r="A250" s="1">
        <v>251</v>
      </c>
      <c r="B250" s="1" t="s">
        <v>2559</v>
      </c>
      <c r="C250" s="1" t="s">
        <v>2560</v>
      </c>
      <c r="D250" s="1">
        <v>5</v>
      </c>
      <c r="E250" s="1">
        <v>1</v>
      </c>
      <c r="F250" s="1">
        <v>18</v>
      </c>
      <c r="G250" s="1" t="s">
        <v>329</v>
      </c>
      <c r="H250" s="1" t="s">
        <v>1597</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1401</v>
      </c>
      <c r="AH250" s="1">
        <v>3000</v>
      </c>
      <c r="AI250" s="1" t="s">
        <v>1844</v>
      </c>
      <c r="AJ250" s="1">
        <v>0</v>
      </c>
      <c r="AK250" s="1" t="s">
        <v>1598</v>
      </c>
      <c r="AL250" s="1" t="s">
        <v>2561</v>
      </c>
      <c r="AM250" s="1">
        <v>0.45</v>
      </c>
      <c r="AN250" s="1">
        <v>0.15</v>
      </c>
      <c r="AO250" s="1">
        <v>0.3</v>
      </c>
      <c r="AP250" s="1">
        <v>0.15</v>
      </c>
      <c r="AQ250" s="1">
        <v>3</v>
      </c>
      <c r="AR250" s="1" t="s">
        <v>1471</v>
      </c>
      <c r="AS250" s="1">
        <v>0</v>
      </c>
      <c r="AT250" s="1" t="s">
        <v>1807</v>
      </c>
      <c r="AU250" s="1">
        <v>10</v>
      </c>
      <c r="AV250" s="1">
        <v>18075</v>
      </c>
      <c r="AW250" s="1">
        <v>0</v>
      </c>
    </row>
    <row r="251" spans="1:49" x14ac:dyDescent="0.25">
      <c r="A251" s="1">
        <v>252</v>
      </c>
      <c r="B251" s="1" t="s">
        <v>2562</v>
      </c>
      <c r="C251" s="1" t="s">
        <v>2563</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1691</v>
      </c>
      <c r="AH251" s="1">
        <v>2700</v>
      </c>
      <c r="AI251" s="1" t="s">
        <v>1844</v>
      </c>
      <c r="AJ251" s="1">
        <v>0</v>
      </c>
      <c r="AK251" s="1" t="s">
        <v>1599</v>
      </c>
      <c r="AL251" s="1" t="s">
        <v>2564</v>
      </c>
      <c r="AM251" s="1">
        <v>0.45</v>
      </c>
      <c r="AN251" s="1">
        <v>0.15</v>
      </c>
      <c r="AO251" s="1">
        <v>0.3</v>
      </c>
      <c r="AP251" s="1">
        <v>0.15</v>
      </c>
      <c r="AQ251" s="1">
        <v>3</v>
      </c>
      <c r="AR251" s="1" t="s">
        <v>1562</v>
      </c>
      <c r="AS251" s="1">
        <v>0</v>
      </c>
      <c r="AT251" s="1" t="s">
        <v>1807</v>
      </c>
      <c r="AU251" s="1">
        <v>10</v>
      </c>
      <c r="AV251" s="1">
        <v>18076</v>
      </c>
      <c r="AW251" s="1">
        <v>0</v>
      </c>
    </row>
    <row r="252" spans="1:49" x14ac:dyDescent="0.25">
      <c r="A252" s="1">
        <v>253</v>
      </c>
      <c r="B252" s="1" t="s">
        <v>2565</v>
      </c>
      <c r="C252" s="1" t="s">
        <v>2566</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1692</v>
      </c>
      <c r="AH252" s="1">
        <v>3600</v>
      </c>
      <c r="AI252" s="1" t="s">
        <v>1844</v>
      </c>
      <c r="AJ252" s="1">
        <v>0</v>
      </c>
      <c r="AK252" s="1" t="s">
        <v>1600</v>
      </c>
      <c r="AL252" s="1" t="s">
        <v>2567</v>
      </c>
      <c r="AM252" s="1">
        <v>0.3</v>
      </c>
      <c r="AN252" s="1">
        <v>0.25</v>
      </c>
      <c r="AO252" s="1">
        <v>0.12</v>
      </c>
      <c r="AP252" s="1">
        <v>0.38</v>
      </c>
      <c r="AQ252" s="1">
        <v>3</v>
      </c>
      <c r="AR252" s="1" t="s">
        <v>1571</v>
      </c>
      <c r="AS252" s="1">
        <v>0</v>
      </c>
      <c r="AT252" s="1" t="s">
        <v>1807</v>
      </c>
      <c r="AU252" s="1">
        <v>10</v>
      </c>
      <c r="AV252" s="1">
        <v>20039</v>
      </c>
      <c r="AW252" s="1">
        <v>0</v>
      </c>
    </row>
    <row r="253" spans="1:49" x14ac:dyDescent="0.25">
      <c r="A253" s="1">
        <v>254</v>
      </c>
      <c r="B253" s="1" t="s">
        <v>2568</v>
      </c>
      <c r="C253" s="1" t="s">
        <v>2569</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1394</v>
      </c>
      <c r="AH253" s="1">
        <v>3360</v>
      </c>
      <c r="AI253" s="1" t="s">
        <v>1844</v>
      </c>
      <c r="AJ253" s="1">
        <v>0</v>
      </c>
      <c r="AK253" s="1" t="s">
        <v>1601</v>
      </c>
      <c r="AL253" s="1" t="s">
        <v>2570</v>
      </c>
      <c r="AM253" s="1">
        <v>0.55000000000000004</v>
      </c>
      <c r="AN253" s="1">
        <v>0.16</v>
      </c>
      <c r="AO253" s="1">
        <v>0.6</v>
      </c>
      <c r="AP253" s="1">
        <v>0.16</v>
      </c>
      <c r="AQ253" s="1">
        <v>3</v>
      </c>
      <c r="AR253" s="1" t="s">
        <v>1500</v>
      </c>
      <c r="AS253" s="1">
        <v>0</v>
      </c>
      <c r="AT253" s="1" t="s">
        <v>1807</v>
      </c>
      <c r="AU253" s="1">
        <v>10</v>
      </c>
      <c r="AV253" s="1">
        <v>20040</v>
      </c>
      <c r="AW253" s="1">
        <v>0</v>
      </c>
    </row>
    <row r="254" spans="1:49" x14ac:dyDescent="0.25">
      <c r="A254" s="1">
        <v>255</v>
      </c>
      <c r="B254" s="1" t="s">
        <v>2571</v>
      </c>
      <c r="C254" s="1" t="s">
        <v>2572</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1397</v>
      </c>
      <c r="AH254" s="1">
        <v>3120</v>
      </c>
      <c r="AI254" s="1" t="s">
        <v>1844</v>
      </c>
      <c r="AJ254" s="1">
        <v>0</v>
      </c>
      <c r="AK254" s="1" t="s">
        <v>1602</v>
      </c>
      <c r="AL254" s="1" t="s">
        <v>2573</v>
      </c>
      <c r="AM254" s="1">
        <v>0.3</v>
      </c>
      <c r="AN254" s="1">
        <v>0.25</v>
      </c>
      <c r="AO254" s="1">
        <v>0.12</v>
      </c>
      <c r="AP254" s="1">
        <v>0.38</v>
      </c>
      <c r="AQ254" s="1">
        <v>3</v>
      </c>
      <c r="AR254" s="1" t="s">
        <v>1584</v>
      </c>
      <c r="AS254" s="1">
        <v>0</v>
      </c>
      <c r="AT254" s="1" t="s">
        <v>1807</v>
      </c>
      <c r="AU254" s="1">
        <v>10</v>
      </c>
      <c r="AV254" s="1">
        <v>20041</v>
      </c>
      <c r="AW254" s="1">
        <v>0</v>
      </c>
    </row>
    <row r="255" spans="1:49" x14ac:dyDescent="0.25">
      <c r="A255" s="1">
        <v>256</v>
      </c>
      <c r="B255" s="1" t="s">
        <v>2574</v>
      </c>
      <c r="C255" s="1" t="s">
        <v>2575</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1172</v>
      </c>
      <c r="AH255" s="1">
        <v>3420</v>
      </c>
      <c r="AI255" s="1" t="s">
        <v>2576</v>
      </c>
      <c r="AJ255" s="1">
        <v>0</v>
      </c>
      <c r="AK255" s="1" t="s">
        <v>1737</v>
      </c>
      <c r="AL255" s="1" t="s">
        <v>2577</v>
      </c>
      <c r="AM255" s="1">
        <v>0.1</v>
      </c>
      <c r="AN255" s="1">
        <v>0.1</v>
      </c>
      <c r="AO255" s="1">
        <v>0.1</v>
      </c>
      <c r="AP255" s="1">
        <v>0.55000000000000004</v>
      </c>
      <c r="AQ255" s="1">
        <v>3</v>
      </c>
      <c r="AR255" s="1" t="s">
        <v>1738</v>
      </c>
      <c r="AS255" s="1">
        <v>0</v>
      </c>
      <c r="AT255" s="1" t="s">
        <v>1807</v>
      </c>
      <c r="AU255" s="1">
        <v>10</v>
      </c>
      <c r="AV255" s="1">
        <v>20044</v>
      </c>
      <c r="AW255" s="1">
        <v>0</v>
      </c>
    </row>
    <row r="256" spans="1:49" x14ac:dyDescent="0.25">
      <c r="A256" s="1">
        <v>257</v>
      </c>
      <c r="B256" s="1" t="s">
        <v>2578</v>
      </c>
      <c r="C256" s="1" t="s">
        <v>2579</v>
      </c>
      <c r="D256" s="1">
        <v>5</v>
      </c>
      <c r="E256" s="1">
        <v>1</v>
      </c>
      <c r="F256" s="1">
        <v>18</v>
      </c>
      <c r="G256" s="1" t="s">
        <v>329</v>
      </c>
      <c r="H256" s="1" t="s">
        <v>362</v>
      </c>
      <c r="I256" s="1" t="s">
        <v>329</v>
      </c>
      <c r="J256" s="1" t="s">
        <v>329</v>
      </c>
      <c r="K256" s="1" t="s">
        <v>329</v>
      </c>
      <c r="L256" s="1" t="s">
        <v>329</v>
      </c>
      <c r="M256" s="1" t="s">
        <v>1739</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2580</v>
      </c>
      <c r="AJ256" s="1">
        <v>0</v>
      </c>
      <c r="AK256" s="1" t="s">
        <v>1726</v>
      </c>
      <c r="AL256" s="1" t="s">
        <v>2581</v>
      </c>
      <c r="AM256" s="1">
        <v>0.45</v>
      </c>
      <c r="AN256" s="1">
        <v>0.15</v>
      </c>
      <c r="AO256" s="1">
        <v>0.3</v>
      </c>
      <c r="AP256" s="1">
        <v>0.15</v>
      </c>
      <c r="AQ256" s="1">
        <v>3</v>
      </c>
      <c r="AR256" s="1" t="s">
        <v>1515</v>
      </c>
      <c r="AS256" s="1">
        <v>0</v>
      </c>
      <c r="AT256" s="1" t="s">
        <v>1807</v>
      </c>
      <c r="AU256" s="1">
        <v>10</v>
      </c>
      <c r="AV256" s="1">
        <v>18077</v>
      </c>
      <c r="AW256" s="1">
        <v>0</v>
      </c>
    </row>
    <row r="257" spans="1:50" x14ac:dyDescent="0.25">
      <c r="A257" s="1">
        <v>258</v>
      </c>
      <c r="B257" s="1" t="s">
        <v>2582</v>
      </c>
      <c r="C257" s="1" t="s">
        <v>2583</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1844</v>
      </c>
      <c r="AJ257" s="1">
        <v>0</v>
      </c>
      <c r="AK257" s="1" t="s">
        <v>1740</v>
      </c>
      <c r="AL257" s="1" t="s">
        <v>2584</v>
      </c>
      <c r="AM257" s="1">
        <v>0.08</v>
      </c>
      <c r="AN257" s="1">
        <v>0.5</v>
      </c>
      <c r="AO257" s="1">
        <v>0.3</v>
      </c>
      <c r="AP257" s="1">
        <v>0.3</v>
      </c>
      <c r="AQ257" s="1">
        <v>3</v>
      </c>
      <c r="AR257" s="1" t="s">
        <v>1553</v>
      </c>
      <c r="AS257" s="1">
        <v>0</v>
      </c>
      <c r="AT257" s="1" t="s">
        <v>1807</v>
      </c>
      <c r="AU257" s="1">
        <v>10</v>
      </c>
      <c r="AV257" s="1">
        <v>19033</v>
      </c>
      <c r="AW257" s="1">
        <v>0</v>
      </c>
    </row>
    <row r="258" spans="1:50" x14ac:dyDescent="0.25">
      <c r="A258" s="1">
        <v>259</v>
      </c>
      <c r="B258" s="1" t="s">
        <v>2585</v>
      </c>
      <c r="C258" s="1" t="s">
        <v>2586</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1844</v>
      </c>
      <c r="AJ258" s="1">
        <v>0</v>
      </c>
      <c r="AK258" s="1" t="s">
        <v>1741</v>
      </c>
      <c r="AL258" s="1" t="s">
        <v>2587</v>
      </c>
      <c r="AM258" s="1">
        <v>0.55000000000000004</v>
      </c>
      <c r="AN258" s="1">
        <v>0.16</v>
      </c>
      <c r="AO258" s="1">
        <v>0.6</v>
      </c>
      <c r="AP258" s="1">
        <v>0.16</v>
      </c>
      <c r="AQ258" s="1">
        <v>3</v>
      </c>
      <c r="AR258" s="1" t="s">
        <v>1500</v>
      </c>
      <c r="AS258" s="1">
        <v>0</v>
      </c>
      <c r="AT258" s="1" t="s">
        <v>2588</v>
      </c>
      <c r="AU258" s="1">
        <v>10</v>
      </c>
      <c r="AV258" s="1">
        <v>20045</v>
      </c>
      <c r="AW258" s="1">
        <v>0</v>
      </c>
    </row>
    <row r="259" spans="1:50" x14ac:dyDescent="0.25">
      <c r="A259" s="1">
        <v>260</v>
      </c>
      <c r="B259" s="1" t="s">
        <v>2589</v>
      </c>
      <c r="C259" s="1" t="s">
        <v>2590</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6379</v>
      </c>
      <c r="AH259" s="1">
        <v>3120</v>
      </c>
      <c r="AI259" s="1" t="s">
        <v>1844</v>
      </c>
      <c r="AJ259" s="1">
        <v>0</v>
      </c>
      <c r="AK259" s="1" t="s">
        <v>1757</v>
      </c>
      <c r="AL259" s="1" t="s">
        <v>2591</v>
      </c>
      <c r="AM259" s="1">
        <v>0.3</v>
      </c>
      <c r="AN259" s="1">
        <v>0.25</v>
      </c>
      <c r="AO259" s="1">
        <v>0.12</v>
      </c>
      <c r="AP259" s="1">
        <v>0.38</v>
      </c>
      <c r="AQ259" s="1">
        <v>3</v>
      </c>
      <c r="AR259" s="1" t="s">
        <v>1758</v>
      </c>
      <c r="AS259" s="1">
        <v>0</v>
      </c>
      <c r="AT259" s="1" t="s">
        <v>1807</v>
      </c>
      <c r="AU259" s="1">
        <v>10</v>
      </c>
      <c r="AV259" s="1">
        <v>20046</v>
      </c>
      <c r="AW259" s="1">
        <v>0</v>
      </c>
      <c r="AX259">
        <v>0</v>
      </c>
    </row>
    <row r="260" spans="1:50" x14ac:dyDescent="0.25">
      <c r="A260" s="1">
        <v>261</v>
      </c>
      <c r="B260" s="1" t="s">
        <v>2592</v>
      </c>
      <c r="C260" s="1" t="s">
        <v>2593</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1755</v>
      </c>
      <c r="AH260" s="1">
        <v>3600</v>
      </c>
      <c r="AI260" s="1" t="s">
        <v>1844</v>
      </c>
      <c r="AJ260" s="1">
        <v>0</v>
      </c>
      <c r="AK260" s="1" t="s">
        <v>1759</v>
      </c>
      <c r="AL260" s="1" t="s">
        <v>2594</v>
      </c>
      <c r="AM260" s="1">
        <v>0.45</v>
      </c>
      <c r="AN260" s="1">
        <v>0.15</v>
      </c>
      <c r="AO260" s="1">
        <v>0.3</v>
      </c>
      <c r="AP260" s="1">
        <v>0.15</v>
      </c>
      <c r="AQ260" s="1">
        <v>3</v>
      </c>
      <c r="AR260" s="1" t="s">
        <v>1723</v>
      </c>
      <c r="AS260" s="1">
        <v>0</v>
      </c>
      <c r="AT260" s="1" t="s">
        <v>1807</v>
      </c>
      <c r="AU260" s="1">
        <v>10</v>
      </c>
      <c r="AV260" s="1">
        <v>18078</v>
      </c>
      <c r="AW260" s="1">
        <v>0</v>
      </c>
    </row>
    <row r="261" spans="1:50" x14ac:dyDescent="0.25">
      <c r="A261" s="1">
        <v>262</v>
      </c>
      <c r="B261" s="1" t="s">
        <v>2595</v>
      </c>
      <c r="C261" s="1" t="s">
        <v>2596</v>
      </c>
      <c r="D261" s="1">
        <v>5</v>
      </c>
      <c r="E261" s="1">
        <v>2</v>
      </c>
      <c r="F261" s="1">
        <v>19</v>
      </c>
      <c r="G261" s="1" t="s">
        <v>336</v>
      </c>
      <c r="H261" s="1" t="s">
        <v>329</v>
      </c>
      <c r="I261" s="1" t="s">
        <v>329</v>
      </c>
      <c r="J261" s="1" t="s">
        <v>329</v>
      </c>
      <c r="K261" s="1" t="s">
        <v>329</v>
      </c>
      <c r="L261" s="1" t="s">
        <v>329</v>
      </c>
      <c r="M261" s="1" t="s">
        <v>329</v>
      </c>
      <c r="N261" s="1" t="s">
        <v>1760</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1756</v>
      </c>
      <c r="AH261" s="1">
        <v>3300</v>
      </c>
      <c r="AI261" s="1" t="s">
        <v>1844</v>
      </c>
      <c r="AJ261" s="1">
        <v>0</v>
      </c>
      <c r="AK261" s="1" t="s">
        <v>1761</v>
      </c>
      <c r="AL261" s="1" t="s">
        <v>2597</v>
      </c>
      <c r="AM261" s="1">
        <v>0.08</v>
      </c>
      <c r="AN261" s="1">
        <v>0.5</v>
      </c>
      <c r="AO261" s="1">
        <v>0.3</v>
      </c>
      <c r="AP261" s="1">
        <v>0.3</v>
      </c>
      <c r="AQ261" s="1">
        <v>3</v>
      </c>
      <c r="AR261" s="1" t="s">
        <v>1762</v>
      </c>
      <c r="AS261" s="1">
        <v>0</v>
      </c>
      <c r="AT261" s="1" t="s">
        <v>1807</v>
      </c>
      <c r="AU261" s="1">
        <v>10</v>
      </c>
      <c r="AV261" s="1">
        <v>19034</v>
      </c>
      <c r="AW261" s="1">
        <v>0</v>
      </c>
    </row>
    <row r="262" spans="1:50" x14ac:dyDescent="0.25">
      <c r="A262" s="1">
        <v>263</v>
      </c>
      <c r="B262" s="1" t="s">
        <v>2598</v>
      </c>
      <c r="C262" s="1" t="s">
        <v>2599</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1754</v>
      </c>
      <c r="AH262" s="1">
        <v>3600</v>
      </c>
      <c r="AI262" s="1" t="s">
        <v>2600</v>
      </c>
      <c r="AJ262" s="1">
        <v>0</v>
      </c>
      <c r="AK262" s="1" t="s">
        <v>1763</v>
      </c>
      <c r="AL262" s="1" t="s">
        <v>2601</v>
      </c>
      <c r="AM262" s="1">
        <v>0.48</v>
      </c>
      <c r="AN262" s="1">
        <v>0.48</v>
      </c>
      <c r="AO262" s="1">
        <v>0.08</v>
      </c>
      <c r="AP262" s="1">
        <v>0.25</v>
      </c>
      <c r="AQ262" s="1">
        <v>3</v>
      </c>
      <c r="AR262" s="1" t="s">
        <v>1494</v>
      </c>
      <c r="AS262" s="1">
        <v>0</v>
      </c>
      <c r="AT262" s="1" t="s">
        <v>2469</v>
      </c>
      <c r="AU262" s="1">
        <v>10</v>
      </c>
      <c r="AV262" s="1">
        <v>19035</v>
      </c>
      <c r="AW262" s="1">
        <v>0</v>
      </c>
    </row>
    <row r="263" spans="1:50" x14ac:dyDescent="0.25">
      <c r="A263" s="1">
        <v>264</v>
      </c>
      <c r="B263" s="1" t="s">
        <v>2602</v>
      </c>
      <c r="C263" s="1" t="s">
        <v>2603</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1844</v>
      </c>
      <c r="AJ263" s="1">
        <v>0</v>
      </c>
      <c r="AK263" s="1" t="s">
        <v>2604</v>
      </c>
      <c r="AL263" s="1" t="s">
        <v>2605</v>
      </c>
      <c r="AM263" s="1">
        <v>0.45</v>
      </c>
      <c r="AN263" s="1">
        <v>0.15</v>
      </c>
      <c r="AO263" s="1">
        <v>0.3</v>
      </c>
      <c r="AP263" s="1">
        <v>0.15</v>
      </c>
      <c r="AQ263" s="1">
        <v>3</v>
      </c>
      <c r="AR263" s="1" t="s">
        <v>1590</v>
      </c>
      <c r="AS263" s="1">
        <v>0</v>
      </c>
      <c r="AT263" s="1" t="s">
        <v>5631</v>
      </c>
      <c r="AU263" s="1">
        <v>10</v>
      </c>
      <c r="AV263" s="1">
        <v>18079</v>
      </c>
      <c r="AW263" s="1">
        <v>0</v>
      </c>
      <c r="AX263">
        <v>0</v>
      </c>
    </row>
    <row r="264" spans="1:50" x14ac:dyDescent="0.25">
      <c r="A264" s="1">
        <v>265</v>
      </c>
      <c r="B264" s="1" t="s">
        <v>5494</v>
      </c>
      <c r="C264" s="1" t="s">
        <v>5495</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5496</v>
      </c>
      <c r="AJ264" s="1">
        <v>0</v>
      </c>
      <c r="AK264" s="1" t="s">
        <v>5497</v>
      </c>
      <c r="AL264" s="1" t="s">
        <v>5498</v>
      </c>
      <c r="AM264" s="1">
        <v>0.45</v>
      </c>
      <c r="AN264" s="1">
        <v>0.15</v>
      </c>
      <c r="AO264" s="1">
        <v>0.3</v>
      </c>
      <c r="AP264" s="1">
        <v>0.15</v>
      </c>
      <c r="AQ264" s="1">
        <v>3</v>
      </c>
      <c r="AR264" s="1" t="s">
        <v>5499</v>
      </c>
      <c r="AS264" s="1">
        <v>0</v>
      </c>
      <c r="AT264" s="1" t="s">
        <v>5500</v>
      </c>
      <c r="AU264" s="1">
        <v>10</v>
      </c>
      <c r="AV264" s="1">
        <v>18080</v>
      </c>
      <c r="AW264" s="1">
        <v>0</v>
      </c>
    </row>
    <row r="265" spans="1:50" x14ac:dyDescent="0.25">
      <c r="A265" s="1">
        <v>266</v>
      </c>
      <c r="B265" s="1" t="s">
        <v>5501</v>
      </c>
      <c r="C265" s="1" t="s">
        <v>5502</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5503</v>
      </c>
      <c r="AJ265" s="1">
        <v>0</v>
      </c>
      <c r="AK265" s="1" t="s">
        <v>5406</v>
      </c>
      <c r="AL265" s="1" t="s">
        <v>5504</v>
      </c>
      <c r="AM265" s="1">
        <v>0.55000000000000004</v>
      </c>
      <c r="AN265" s="1">
        <v>0.23</v>
      </c>
      <c r="AO265" s="1">
        <v>0.23</v>
      </c>
      <c r="AP265" s="1">
        <v>0.23</v>
      </c>
      <c r="AQ265" s="1">
        <v>3</v>
      </c>
      <c r="AR265" s="1" t="s">
        <v>5505</v>
      </c>
      <c r="AS265" s="1">
        <v>0</v>
      </c>
      <c r="AT265" s="1" t="s">
        <v>1807</v>
      </c>
      <c r="AU265" s="1">
        <v>10</v>
      </c>
      <c r="AV265" s="1">
        <v>18081</v>
      </c>
      <c r="AW265" s="1">
        <v>0</v>
      </c>
    </row>
    <row r="266" spans="1:50" x14ac:dyDescent="0.25">
      <c r="A266" s="1">
        <v>267</v>
      </c>
      <c r="B266" s="1" t="s">
        <v>5636</v>
      </c>
      <c r="C266" s="1" t="s">
        <v>5637</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1844</v>
      </c>
      <c r="AJ266" s="1">
        <v>0</v>
      </c>
      <c r="AK266" s="1" t="s">
        <v>5142</v>
      </c>
      <c r="AL266" s="1" t="s">
        <v>5638</v>
      </c>
      <c r="AM266" s="1">
        <v>0.55000000000000004</v>
      </c>
      <c r="AN266" s="1">
        <v>0.23</v>
      </c>
      <c r="AO266" s="1">
        <v>0.23</v>
      </c>
      <c r="AP266" s="1">
        <v>0.23</v>
      </c>
      <c r="AQ266" s="1">
        <v>3</v>
      </c>
      <c r="AR266" s="1" t="s">
        <v>1548</v>
      </c>
      <c r="AS266" s="1">
        <v>0</v>
      </c>
      <c r="AT266" s="1" t="s">
        <v>1807</v>
      </c>
      <c r="AU266" s="1">
        <v>10</v>
      </c>
      <c r="AV266" s="1">
        <v>18082</v>
      </c>
      <c r="AW266" s="1">
        <v>0</v>
      </c>
      <c r="AX266">
        <v>0</v>
      </c>
    </row>
    <row r="267" spans="1:50" x14ac:dyDescent="0.25">
      <c r="A267" s="1">
        <v>268</v>
      </c>
      <c r="B267" s="1" t="s">
        <v>5639</v>
      </c>
      <c r="C267" s="1" t="s">
        <v>5640</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1844</v>
      </c>
      <c r="AJ267" s="1">
        <v>0</v>
      </c>
      <c r="AK267" s="1" t="s">
        <v>5059</v>
      </c>
      <c r="AL267" s="1" t="s">
        <v>5641</v>
      </c>
      <c r="AM267" s="1">
        <v>0.15</v>
      </c>
      <c r="AN267" s="1">
        <v>0.6</v>
      </c>
      <c r="AO267" s="1">
        <v>0.38</v>
      </c>
      <c r="AP267" s="1">
        <v>0.23</v>
      </c>
      <c r="AQ267" s="1">
        <v>3</v>
      </c>
      <c r="AR267" s="1" t="s">
        <v>1555</v>
      </c>
      <c r="AS267" s="1">
        <v>0</v>
      </c>
      <c r="AT267" s="1" t="s">
        <v>1807</v>
      </c>
      <c r="AU267" s="1">
        <v>10</v>
      </c>
      <c r="AV267" s="1">
        <v>19036</v>
      </c>
      <c r="AW267" s="1">
        <v>0</v>
      </c>
      <c r="AX267">
        <v>0</v>
      </c>
    </row>
    <row r="268" spans="1:50" x14ac:dyDescent="0.25">
      <c r="A268" s="1">
        <v>269</v>
      </c>
      <c r="B268" s="1" t="s">
        <v>5642</v>
      </c>
      <c r="C268" s="1" t="s">
        <v>5643</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1760</v>
      </c>
      <c r="T268" s="1" t="s">
        <v>329</v>
      </c>
      <c r="U268" s="1">
        <v>0</v>
      </c>
      <c r="V268" s="1">
        <v>0</v>
      </c>
      <c r="W268" s="1">
        <v>0</v>
      </c>
      <c r="X268" s="1">
        <v>0</v>
      </c>
      <c r="Y268" s="1">
        <v>0</v>
      </c>
      <c r="Z268" s="1">
        <v>0</v>
      </c>
      <c r="AA268" s="1">
        <v>0</v>
      </c>
      <c r="AB268" s="1">
        <v>0</v>
      </c>
      <c r="AC268" s="1">
        <v>3</v>
      </c>
      <c r="AD268" s="1">
        <v>0</v>
      </c>
      <c r="AE268" s="1">
        <v>4</v>
      </c>
      <c r="AF268" s="1">
        <v>2</v>
      </c>
      <c r="AG268" s="242" t="s">
        <v>1179</v>
      </c>
      <c r="AH268" s="1">
        <v>2940</v>
      </c>
      <c r="AI268" s="1" t="s">
        <v>5644</v>
      </c>
      <c r="AJ268" s="1">
        <v>0</v>
      </c>
      <c r="AK268" s="1" t="s">
        <v>5645</v>
      </c>
      <c r="AL268" s="1" t="s">
        <v>5646</v>
      </c>
      <c r="AM268" s="1">
        <v>0.33</v>
      </c>
      <c r="AN268" s="1">
        <v>0.22</v>
      </c>
      <c r="AO268" s="1">
        <v>0.5</v>
      </c>
      <c r="AP268" s="1">
        <v>0.18</v>
      </c>
      <c r="AQ268" s="1">
        <v>3</v>
      </c>
      <c r="AR268" s="1" t="s">
        <v>1758</v>
      </c>
      <c r="AS268" s="1">
        <v>0</v>
      </c>
      <c r="AT268" s="1" t="s">
        <v>1807</v>
      </c>
      <c r="AU268" s="1">
        <v>10</v>
      </c>
      <c r="AV268" s="1">
        <v>18083</v>
      </c>
      <c r="AW268" s="1">
        <v>0</v>
      </c>
      <c r="AX268">
        <v>0</v>
      </c>
    </row>
    <row r="269" spans="1:50" x14ac:dyDescent="0.25">
      <c r="A269" s="1">
        <v>270</v>
      </c>
      <c r="B269" s="1" t="s">
        <v>5647</v>
      </c>
      <c r="C269" s="1" t="s">
        <v>5648</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5649</v>
      </c>
      <c r="AJ269" s="1">
        <v>0</v>
      </c>
      <c r="AK269" s="1" t="s">
        <v>5650</v>
      </c>
      <c r="AL269" s="1" t="s">
        <v>5651</v>
      </c>
      <c r="AM269" s="1">
        <v>0.45</v>
      </c>
      <c r="AN269" s="1">
        <v>0.15</v>
      </c>
      <c r="AO269" s="1">
        <v>0.3</v>
      </c>
      <c r="AP269" s="1">
        <v>0.15</v>
      </c>
      <c r="AQ269" s="1">
        <v>3</v>
      </c>
      <c r="AR269" s="1" t="s">
        <v>5652</v>
      </c>
      <c r="AS269" s="1">
        <v>0</v>
      </c>
      <c r="AT269" s="1" t="s">
        <v>1807</v>
      </c>
      <c r="AU269" s="1">
        <v>10</v>
      </c>
      <c r="AV269" s="1">
        <v>18084</v>
      </c>
      <c r="AW269" s="1">
        <v>0</v>
      </c>
      <c r="AX269">
        <v>0</v>
      </c>
    </row>
    <row r="270" spans="1:50" x14ac:dyDescent="0.25">
      <c r="A270" s="1">
        <v>271</v>
      </c>
      <c r="B270" s="1" t="s">
        <v>5754</v>
      </c>
      <c r="C270" s="1" t="s">
        <v>5755</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1844</v>
      </c>
      <c r="AJ270" s="1">
        <v>0</v>
      </c>
      <c r="AK270" s="1" t="s">
        <v>4791</v>
      </c>
      <c r="AL270" s="1" t="s">
        <v>5756</v>
      </c>
      <c r="AM270" s="1">
        <v>0.48</v>
      </c>
      <c r="AN270" s="1">
        <v>0.48</v>
      </c>
      <c r="AO270" s="1">
        <v>0.08</v>
      </c>
      <c r="AP270" s="1">
        <v>0.25</v>
      </c>
      <c r="AQ270" s="1">
        <v>3</v>
      </c>
      <c r="AR270" s="1" t="s">
        <v>1474</v>
      </c>
      <c r="AS270" s="1">
        <v>0</v>
      </c>
      <c r="AT270" s="1" t="s">
        <v>1807</v>
      </c>
      <c r="AU270" s="1">
        <v>10</v>
      </c>
      <c r="AV270" s="1">
        <v>19037</v>
      </c>
      <c r="AW270" s="1">
        <v>0</v>
      </c>
      <c r="AX270">
        <v>0</v>
      </c>
    </row>
    <row r="271" spans="1:50" x14ac:dyDescent="0.25">
      <c r="A271" s="1">
        <v>272</v>
      </c>
      <c r="B271" s="1" t="s">
        <v>5757</v>
      </c>
      <c r="C271" s="1" t="s">
        <v>5758</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5722</v>
      </c>
      <c r="AH271" s="1">
        <v>3600</v>
      </c>
      <c r="AI271" s="1" t="s">
        <v>1844</v>
      </c>
      <c r="AJ271" s="1">
        <v>0</v>
      </c>
      <c r="AK271" s="1" t="s">
        <v>5753</v>
      </c>
      <c r="AL271" s="1" t="s">
        <v>5759</v>
      </c>
      <c r="AM271" s="1">
        <v>0.48</v>
      </c>
      <c r="AN271" s="1">
        <v>0.48</v>
      </c>
      <c r="AO271" s="1">
        <v>0.08</v>
      </c>
      <c r="AP271" s="1">
        <v>0.25</v>
      </c>
      <c r="AQ271" s="1">
        <v>3</v>
      </c>
      <c r="AR271" s="1" t="s">
        <v>1474</v>
      </c>
      <c r="AS271" s="1">
        <v>0</v>
      </c>
      <c r="AT271" s="1" t="s">
        <v>1807</v>
      </c>
      <c r="AU271" s="1">
        <v>10</v>
      </c>
      <c r="AV271" s="1">
        <v>19038</v>
      </c>
      <c r="AW271" s="1">
        <v>0</v>
      </c>
      <c r="AX271">
        <v>0</v>
      </c>
    </row>
    <row r="272" spans="1:50" x14ac:dyDescent="0.25">
      <c r="A272" s="1">
        <v>273</v>
      </c>
      <c r="B272" s="1" t="s">
        <v>5760</v>
      </c>
      <c r="C272" s="1" t="s">
        <v>5761</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5737</v>
      </c>
      <c r="AH272" s="1">
        <v>3600</v>
      </c>
      <c r="AI272" s="1" t="s">
        <v>5644</v>
      </c>
      <c r="AJ272" s="1">
        <v>0</v>
      </c>
      <c r="AK272" s="1" t="s">
        <v>5762</v>
      </c>
      <c r="AL272" s="1" t="s">
        <v>5763</v>
      </c>
      <c r="AM272" s="1">
        <v>0.45</v>
      </c>
      <c r="AN272" s="1">
        <v>0.15</v>
      </c>
      <c r="AO272" s="1">
        <v>0.3</v>
      </c>
      <c r="AP272" s="1">
        <v>0.15</v>
      </c>
      <c r="AQ272" s="1">
        <v>3</v>
      </c>
      <c r="AR272" s="1" t="s">
        <v>1529</v>
      </c>
      <c r="AS272" s="1">
        <v>0</v>
      </c>
      <c r="AT272" s="1" t="s">
        <v>1807</v>
      </c>
      <c r="AU272" s="1">
        <v>10</v>
      </c>
      <c r="AV272" s="1">
        <v>18085</v>
      </c>
      <c r="AW272" s="1">
        <v>0</v>
      </c>
      <c r="AX272">
        <v>0</v>
      </c>
    </row>
    <row r="273" spans="1:50" x14ac:dyDescent="0.25">
      <c r="A273" s="1">
        <v>274</v>
      </c>
      <c r="B273" s="1" t="s">
        <v>5764</v>
      </c>
      <c r="C273" s="1" t="s">
        <v>5765</v>
      </c>
      <c r="D273" s="1">
        <v>5</v>
      </c>
      <c r="E273" s="1">
        <v>1</v>
      </c>
      <c r="F273" s="1">
        <v>18</v>
      </c>
      <c r="G273" s="1" t="s">
        <v>329</v>
      </c>
      <c r="H273" s="1" t="s">
        <v>329</v>
      </c>
      <c r="I273" s="1" t="s">
        <v>329</v>
      </c>
      <c r="J273" s="1" t="s">
        <v>329</v>
      </c>
      <c r="K273" s="1" t="s">
        <v>329</v>
      </c>
      <c r="L273" s="1" t="s">
        <v>390</v>
      </c>
      <c r="M273" s="1" t="s">
        <v>5766</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5730</v>
      </c>
      <c r="AH273" s="1">
        <v>3600</v>
      </c>
      <c r="AI273" s="1" t="s">
        <v>1844</v>
      </c>
      <c r="AJ273" s="1">
        <v>0</v>
      </c>
      <c r="AK273" s="1" t="s">
        <v>5767</v>
      </c>
      <c r="AL273" s="1" t="s">
        <v>5768</v>
      </c>
      <c r="AM273" s="1">
        <v>0.45</v>
      </c>
      <c r="AN273" s="1">
        <v>0.15</v>
      </c>
      <c r="AO273" s="1">
        <v>0.3</v>
      </c>
      <c r="AP273" s="1">
        <v>0.15</v>
      </c>
      <c r="AQ273" s="1">
        <v>3</v>
      </c>
      <c r="AR273" s="1" t="s">
        <v>5769</v>
      </c>
      <c r="AS273" s="1">
        <v>0</v>
      </c>
      <c r="AT273" s="1" t="s">
        <v>1807</v>
      </c>
      <c r="AU273" s="1">
        <v>10</v>
      </c>
      <c r="AV273" s="1">
        <v>18086</v>
      </c>
      <c r="AW273" s="1">
        <v>0</v>
      </c>
      <c r="AX273">
        <v>0</v>
      </c>
    </row>
    <row r="274" spans="1:50" x14ac:dyDescent="0.25">
      <c r="A274" s="1">
        <v>275</v>
      </c>
      <c r="B274" s="1" t="s">
        <v>5770</v>
      </c>
      <c r="C274" s="1" t="s">
        <v>5771</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5746</v>
      </c>
      <c r="AH274" s="1">
        <v>3060</v>
      </c>
      <c r="AI274" s="1" t="s">
        <v>2407</v>
      </c>
      <c r="AJ274" s="1">
        <v>0</v>
      </c>
      <c r="AK274" s="1" t="s">
        <v>5772</v>
      </c>
      <c r="AL274" s="1" t="s">
        <v>5773</v>
      </c>
      <c r="AM274" s="1">
        <v>0.3</v>
      </c>
      <c r="AN274" s="1">
        <v>0.23</v>
      </c>
      <c r="AO274" s="1">
        <v>0.15</v>
      </c>
      <c r="AP274" s="1">
        <v>0.38</v>
      </c>
      <c r="AQ274" s="1">
        <v>3</v>
      </c>
      <c r="AR274" s="1" t="s">
        <v>5774</v>
      </c>
      <c r="AS274" s="1">
        <v>0</v>
      </c>
      <c r="AT274" s="1" t="s">
        <v>1807</v>
      </c>
      <c r="AU274" s="1">
        <v>10</v>
      </c>
      <c r="AV274" s="1">
        <v>20047</v>
      </c>
      <c r="AW274" s="1">
        <v>0</v>
      </c>
      <c r="AX274">
        <v>0</v>
      </c>
    </row>
    <row r="275" spans="1:50" x14ac:dyDescent="0.25">
      <c r="A275" s="1">
        <v>276</v>
      </c>
      <c r="B275" s="1" t="s">
        <v>6309</v>
      </c>
      <c r="C275" s="1" t="s">
        <v>6310</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2230</v>
      </c>
      <c r="AJ275" s="1">
        <v>0</v>
      </c>
      <c r="AK275" s="1" t="s">
        <v>6311</v>
      </c>
      <c r="AL275" s="1" t="s">
        <v>6312</v>
      </c>
      <c r="AM275" s="1">
        <v>0.55000000000000004</v>
      </c>
      <c r="AN275" s="1">
        <v>0.23</v>
      </c>
      <c r="AO275" s="1">
        <v>0.23</v>
      </c>
      <c r="AP275" s="1">
        <v>0.23</v>
      </c>
      <c r="AQ275" s="1">
        <v>3</v>
      </c>
      <c r="AR275" s="1" t="s">
        <v>1595</v>
      </c>
      <c r="AS275" s="1">
        <v>0</v>
      </c>
      <c r="AT275" s="1" t="s">
        <v>1807</v>
      </c>
      <c r="AU275" s="1">
        <v>10</v>
      </c>
      <c r="AV275" s="1">
        <v>18087</v>
      </c>
      <c r="AW275" s="1">
        <v>0</v>
      </c>
      <c r="AX275">
        <v>0</v>
      </c>
    </row>
    <row r="276" spans="1:50" x14ac:dyDescent="0.25">
      <c r="A276" s="1">
        <v>277</v>
      </c>
      <c r="B276" s="1" t="s">
        <v>6345</v>
      </c>
      <c r="C276" s="1" t="s">
        <v>6346</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6347</v>
      </c>
      <c r="AJ276" s="1">
        <v>0</v>
      </c>
      <c r="AK276" s="1" t="s">
        <v>5377</v>
      </c>
      <c r="AL276" s="1" t="s">
        <v>6348</v>
      </c>
      <c r="AM276" s="1">
        <v>0.55000000000000004</v>
      </c>
      <c r="AN276" s="1">
        <v>0.23</v>
      </c>
      <c r="AO276" s="1">
        <v>0.23</v>
      </c>
      <c r="AP276" s="1">
        <v>0.23</v>
      </c>
      <c r="AQ276" s="1">
        <v>3</v>
      </c>
      <c r="AR276" s="1" t="s">
        <v>6349</v>
      </c>
      <c r="AS276" s="1">
        <v>0</v>
      </c>
      <c r="AT276" s="1" t="s">
        <v>1807</v>
      </c>
      <c r="AU276" s="1">
        <v>10</v>
      </c>
      <c r="AV276" s="1">
        <v>18088</v>
      </c>
      <c r="AW276" s="1">
        <v>0</v>
      </c>
      <c r="AX276">
        <v>0</v>
      </c>
    </row>
    <row r="277" spans="1:50" x14ac:dyDescent="0.25">
      <c r="A277" s="1">
        <v>278</v>
      </c>
      <c r="B277" s="1" t="s">
        <v>6406</v>
      </c>
      <c r="C277" s="1" t="s">
        <v>6407</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2216</v>
      </c>
      <c r="AJ277" s="1">
        <v>0</v>
      </c>
      <c r="AK277" s="1" t="s">
        <v>5415</v>
      </c>
      <c r="AL277" s="1" t="s">
        <v>6408</v>
      </c>
      <c r="AM277" s="1">
        <v>0.55000000000000004</v>
      </c>
      <c r="AN277" s="1">
        <v>0.23</v>
      </c>
      <c r="AO277" s="1">
        <v>0.23</v>
      </c>
      <c r="AP277" s="1">
        <v>0.23</v>
      </c>
      <c r="AQ277" s="1">
        <v>3</v>
      </c>
      <c r="AR277" s="1" t="s">
        <v>1551</v>
      </c>
      <c r="AS277" s="1">
        <v>0</v>
      </c>
      <c r="AT277" s="1" t="s">
        <v>1807</v>
      </c>
      <c r="AU277" s="1">
        <v>10</v>
      </c>
      <c r="AV277" s="1">
        <v>18089</v>
      </c>
      <c r="AW277" s="1">
        <v>0</v>
      </c>
      <c r="AX277">
        <v>0</v>
      </c>
    </row>
    <row r="278" spans="1:50" x14ac:dyDescent="0.25">
      <c r="A278" s="1">
        <v>279</v>
      </c>
      <c r="B278" s="1" t="s">
        <v>6409</v>
      </c>
      <c r="C278" s="1" t="s">
        <v>6410</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1844</v>
      </c>
      <c r="AJ278" s="1">
        <v>0</v>
      </c>
      <c r="AK278" s="1" t="s">
        <v>5542</v>
      </c>
      <c r="AL278" s="1" t="s">
        <v>6411</v>
      </c>
      <c r="AM278" s="1">
        <v>0.45</v>
      </c>
      <c r="AN278" s="1">
        <v>0.15</v>
      </c>
      <c r="AO278" s="1">
        <v>0.3</v>
      </c>
      <c r="AP278" s="1">
        <v>0.15</v>
      </c>
      <c r="AQ278" s="1">
        <v>3</v>
      </c>
      <c r="AR278" s="1" t="s">
        <v>1544</v>
      </c>
      <c r="AS278" s="1">
        <v>0</v>
      </c>
      <c r="AT278" s="1" t="s">
        <v>1807</v>
      </c>
      <c r="AU278" s="1">
        <v>10</v>
      </c>
      <c r="AV278" s="1">
        <v>18090</v>
      </c>
      <c r="AW278" s="1">
        <v>0</v>
      </c>
      <c r="AX278">
        <v>0</v>
      </c>
    </row>
    <row r="279" spans="1:50" x14ac:dyDescent="0.25">
      <c r="A279" s="1">
        <v>280</v>
      </c>
      <c r="B279" s="1" t="s">
        <v>6412</v>
      </c>
      <c r="C279" s="1" t="s">
        <v>6413</v>
      </c>
      <c r="D279" s="1">
        <v>5</v>
      </c>
      <c r="E279" s="1">
        <v>2</v>
      </c>
      <c r="F279" s="1">
        <v>19</v>
      </c>
      <c r="G279" s="1" t="s">
        <v>6414</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6415</v>
      </c>
      <c r="AJ279" s="1">
        <v>0</v>
      </c>
      <c r="AK279" s="1" t="s">
        <v>5230</v>
      </c>
      <c r="AL279" s="1" t="s">
        <v>6416</v>
      </c>
      <c r="AM279" s="1">
        <v>0.48</v>
      </c>
      <c r="AN279" s="1">
        <v>0.48</v>
      </c>
      <c r="AO279" s="1">
        <v>0.08</v>
      </c>
      <c r="AP279" s="1">
        <v>0.25</v>
      </c>
      <c r="AQ279" s="1">
        <v>3</v>
      </c>
      <c r="AR279" s="1" t="s">
        <v>6417</v>
      </c>
      <c r="AS279" s="1">
        <v>0</v>
      </c>
      <c r="AT279" s="1" t="s">
        <v>1807</v>
      </c>
      <c r="AU279" s="1">
        <v>10</v>
      </c>
      <c r="AV279" s="1">
        <v>19039</v>
      </c>
      <c r="AW279" s="1">
        <v>0</v>
      </c>
      <c r="AX279">
        <v>0</v>
      </c>
    </row>
    <row r="280" spans="1:50" x14ac:dyDescent="0.25">
      <c r="A280" s="1">
        <v>281</v>
      </c>
      <c r="B280" s="1" t="s">
        <v>6418</v>
      </c>
      <c r="C280" s="1" t="s">
        <v>6419</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1613</v>
      </c>
      <c r="AH280" s="1">
        <v>3300</v>
      </c>
      <c r="AI280" s="1" t="s">
        <v>1844</v>
      </c>
      <c r="AJ280" s="1">
        <v>0</v>
      </c>
      <c r="AK280" s="1" t="s">
        <v>6420</v>
      </c>
      <c r="AL280" s="1" t="s">
        <v>6421</v>
      </c>
      <c r="AM280" s="1">
        <v>0.08</v>
      </c>
      <c r="AN280" s="1">
        <v>0.5</v>
      </c>
      <c r="AO280" s="1">
        <v>0.3</v>
      </c>
      <c r="AP280" s="1">
        <v>0.3</v>
      </c>
      <c r="AQ280" s="1">
        <v>3</v>
      </c>
      <c r="AR280" s="1" t="s">
        <v>1553</v>
      </c>
      <c r="AS280" s="1">
        <v>0</v>
      </c>
      <c r="AT280" s="1" t="s">
        <v>1807</v>
      </c>
      <c r="AU280" s="1">
        <v>10</v>
      </c>
      <c r="AV280" s="1">
        <v>19040</v>
      </c>
      <c r="AW280" s="1">
        <v>0</v>
      </c>
      <c r="AX280">
        <v>0</v>
      </c>
    </row>
    <row r="281" spans="1:50" x14ac:dyDescent="0.25">
      <c r="A281" s="1">
        <v>282</v>
      </c>
      <c r="B281" s="1" t="s">
        <v>6422</v>
      </c>
      <c r="C281" s="1" t="s">
        <v>6423</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1844</v>
      </c>
      <c r="AJ281" s="1">
        <v>0</v>
      </c>
      <c r="AK281" s="1" t="s">
        <v>5416</v>
      </c>
      <c r="AL281" s="1" t="s">
        <v>6424</v>
      </c>
      <c r="AM281" s="1">
        <v>0.45</v>
      </c>
      <c r="AN281" s="1">
        <v>0.15</v>
      </c>
      <c r="AO281" s="1">
        <v>0.3</v>
      </c>
      <c r="AP281" s="1">
        <v>0.15</v>
      </c>
      <c r="AQ281" s="1">
        <v>3</v>
      </c>
      <c r="AR281" s="1" t="s">
        <v>1552</v>
      </c>
      <c r="AS281" s="1">
        <v>0</v>
      </c>
      <c r="AT281" s="1" t="s">
        <v>1807</v>
      </c>
      <c r="AU281" s="1">
        <v>10</v>
      </c>
      <c r="AV281" s="1">
        <v>18091</v>
      </c>
      <c r="AW281" s="1">
        <v>0</v>
      </c>
      <c r="AX281">
        <v>0</v>
      </c>
    </row>
    <row r="282" spans="1:50" x14ac:dyDescent="0.25">
      <c r="A282" s="1">
        <v>283</v>
      </c>
      <c r="B282" s="1" t="s">
        <v>6451</v>
      </c>
      <c r="C282" s="1" t="s">
        <v>6452</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2208</v>
      </c>
      <c r="AJ282" s="1">
        <v>0</v>
      </c>
      <c r="AK282" s="1" t="s">
        <v>5404</v>
      </c>
      <c r="AL282" s="1" t="s">
        <v>6453</v>
      </c>
      <c r="AM282" s="1">
        <v>0.45</v>
      </c>
      <c r="AN282" s="1">
        <v>0.15</v>
      </c>
      <c r="AO282" s="1">
        <v>0.3</v>
      </c>
      <c r="AP282" s="1">
        <v>0.15</v>
      </c>
      <c r="AQ282" s="1">
        <v>3</v>
      </c>
      <c r="AR282" s="1" t="s">
        <v>1522</v>
      </c>
      <c r="AS282" s="1">
        <v>0</v>
      </c>
      <c r="AT282" s="1" t="s">
        <v>1807</v>
      </c>
      <c r="AU282" s="1">
        <v>10</v>
      </c>
      <c r="AV282" s="1">
        <v>18092</v>
      </c>
      <c r="AW282" s="1">
        <v>0</v>
      </c>
      <c r="AX282">
        <v>0</v>
      </c>
    </row>
    <row r="283" spans="1:50" x14ac:dyDescent="0.25">
      <c r="A283" s="1">
        <v>284</v>
      </c>
      <c r="B283" s="1" t="s">
        <v>6497</v>
      </c>
      <c r="C283" s="1" t="s">
        <v>6498</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6467</v>
      </c>
      <c r="AH283" s="1">
        <v>3600</v>
      </c>
      <c r="AI283" s="1" t="s">
        <v>1844</v>
      </c>
      <c r="AJ283" s="1">
        <v>0</v>
      </c>
      <c r="AK283" s="1" t="s">
        <v>6495</v>
      </c>
      <c r="AL283" s="1" t="s">
        <v>6499</v>
      </c>
      <c r="AM283" s="1">
        <v>0.48</v>
      </c>
      <c r="AN283" s="1">
        <v>0.48</v>
      </c>
      <c r="AO283" s="1">
        <v>0.08</v>
      </c>
      <c r="AP283" s="1">
        <v>0.25</v>
      </c>
      <c r="AQ283" s="1">
        <v>3</v>
      </c>
      <c r="AR283" s="1" t="s">
        <v>1471</v>
      </c>
      <c r="AS283" s="1">
        <v>0</v>
      </c>
      <c r="AT283" s="1" t="s">
        <v>2469</v>
      </c>
      <c r="AU283" s="1">
        <v>10</v>
      </c>
      <c r="AV283" s="1">
        <v>19041</v>
      </c>
      <c r="AW283" s="1">
        <v>0</v>
      </c>
      <c r="AX283">
        <v>0</v>
      </c>
    </row>
    <row r="284" spans="1:50" x14ac:dyDescent="0.25">
      <c r="A284" s="1">
        <v>285</v>
      </c>
      <c r="B284" s="1" t="s">
        <v>6500</v>
      </c>
      <c r="C284" s="1" t="s">
        <v>6501</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6475</v>
      </c>
      <c r="AH284" s="1">
        <v>3600</v>
      </c>
      <c r="AI284" s="1" t="s">
        <v>1844</v>
      </c>
      <c r="AJ284" s="1">
        <v>0</v>
      </c>
      <c r="AK284" s="1" t="s">
        <v>6494</v>
      </c>
      <c r="AL284" s="1" t="s">
        <v>6502</v>
      </c>
      <c r="AM284" s="1">
        <v>0.45</v>
      </c>
      <c r="AN284" s="1">
        <v>0.15</v>
      </c>
      <c r="AO284" s="1">
        <v>0.3</v>
      </c>
      <c r="AP284" s="1">
        <v>0.15</v>
      </c>
      <c r="AQ284" s="1">
        <v>3</v>
      </c>
      <c r="AR284" s="1" t="s">
        <v>1562</v>
      </c>
      <c r="AS284" s="1">
        <v>0</v>
      </c>
      <c r="AT284" s="1" t="s">
        <v>1807</v>
      </c>
      <c r="AU284" s="1">
        <v>10</v>
      </c>
      <c r="AV284" s="1">
        <v>18093</v>
      </c>
      <c r="AW284" s="1">
        <v>0</v>
      </c>
      <c r="AX284">
        <v>0</v>
      </c>
    </row>
    <row r="285" spans="1:50" x14ac:dyDescent="0.25">
      <c r="A285" s="1">
        <v>286</v>
      </c>
      <c r="B285" s="1" t="s">
        <v>6503</v>
      </c>
      <c r="C285" s="1" t="s">
        <v>6504</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6513</v>
      </c>
      <c r="AH285" s="1">
        <v>3600</v>
      </c>
      <c r="AI285" s="1" t="s">
        <v>6505</v>
      </c>
      <c r="AJ285" s="1">
        <v>0</v>
      </c>
      <c r="AK285" s="1" t="s">
        <v>6496</v>
      </c>
      <c r="AL285" s="1" t="s">
        <v>6506</v>
      </c>
      <c r="AM285" s="1">
        <v>0.48</v>
      </c>
      <c r="AN285" s="1">
        <v>0.48</v>
      </c>
      <c r="AO285" s="1">
        <v>0.08</v>
      </c>
      <c r="AP285" s="1">
        <v>0.25</v>
      </c>
      <c r="AQ285" s="1">
        <v>3</v>
      </c>
      <c r="AR285" s="1" t="s">
        <v>1494</v>
      </c>
      <c r="AS285" s="1">
        <v>0</v>
      </c>
      <c r="AT285" s="1" t="s">
        <v>6507</v>
      </c>
      <c r="AU285" s="1">
        <v>10</v>
      </c>
      <c r="AV285" s="1">
        <v>19042</v>
      </c>
      <c r="AW285" s="1">
        <v>0</v>
      </c>
      <c r="AX285">
        <v>0</v>
      </c>
    </row>
    <row r="286" spans="1:50" x14ac:dyDescent="0.25">
      <c r="A286" s="1">
        <v>287</v>
      </c>
      <c r="B286" s="1" t="s">
        <v>6508</v>
      </c>
      <c r="C286" s="1" t="s">
        <v>6509</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6488</v>
      </c>
      <c r="AH286" s="1">
        <v>2700</v>
      </c>
      <c r="AI286" s="1" t="s">
        <v>6510</v>
      </c>
      <c r="AJ286" s="1">
        <v>0</v>
      </c>
      <c r="AK286" s="1" t="s">
        <v>6511</v>
      </c>
      <c r="AL286" s="1" t="s">
        <v>6512</v>
      </c>
      <c r="AM286" s="1">
        <v>0.45</v>
      </c>
      <c r="AN286" s="1">
        <v>0.15</v>
      </c>
      <c r="AO286" s="1">
        <v>0.3</v>
      </c>
      <c r="AP286" s="1">
        <v>0.15</v>
      </c>
      <c r="AQ286" s="1">
        <v>3</v>
      </c>
      <c r="AR286" s="1" t="s">
        <v>1522</v>
      </c>
      <c r="AS286" s="1">
        <v>0</v>
      </c>
      <c r="AT286" s="1" t="s">
        <v>1807</v>
      </c>
      <c r="AU286" s="1">
        <v>10</v>
      </c>
      <c r="AV286" s="1">
        <v>18094</v>
      </c>
      <c r="AW286" s="1">
        <v>0</v>
      </c>
      <c r="AX286">
        <v>0</v>
      </c>
    </row>
    <row r="287" spans="1:50" x14ac:dyDescent="0.25">
      <c r="A287" s="1">
        <v>288</v>
      </c>
      <c r="B287" s="1" t="s">
        <v>6520</v>
      </c>
      <c r="C287" s="1" t="s">
        <v>6521</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6522</v>
      </c>
      <c r="AL287" s="1" t="s">
        <v>6523</v>
      </c>
      <c r="AM287" s="1">
        <v>0.45</v>
      </c>
      <c r="AN287" s="1">
        <v>0.15</v>
      </c>
      <c r="AO287" s="1">
        <v>0.3</v>
      </c>
      <c r="AP287" s="1">
        <v>0.15</v>
      </c>
      <c r="AQ287" s="1">
        <v>3</v>
      </c>
      <c r="AR287" s="1" t="s">
        <v>6524</v>
      </c>
      <c r="AS287" s="1">
        <v>0</v>
      </c>
      <c r="AT287" s="1" t="s">
        <v>6525</v>
      </c>
      <c r="AU287" s="1">
        <v>10</v>
      </c>
      <c r="AV287" s="1">
        <v>18095</v>
      </c>
      <c r="AW287" s="1">
        <v>0</v>
      </c>
      <c r="AX287">
        <v>0</v>
      </c>
    </row>
    <row r="288" spans="1:50" x14ac:dyDescent="0.25">
      <c r="A288">
        <v>289</v>
      </c>
      <c r="B288" t="s">
        <v>6543</v>
      </c>
      <c r="C288" t="s">
        <v>6544</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1626</v>
      </c>
      <c r="AH288" s="1">
        <v>3600</v>
      </c>
      <c r="AI288" t="s">
        <v>2208</v>
      </c>
      <c r="AJ288">
        <v>0</v>
      </c>
      <c r="AK288" s="1" t="s">
        <v>6545</v>
      </c>
      <c r="AL288" s="1" t="s">
        <v>6546</v>
      </c>
      <c r="AM288" s="1">
        <v>0.45</v>
      </c>
      <c r="AN288" s="1">
        <v>0.15</v>
      </c>
      <c r="AO288" s="1">
        <v>0.3</v>
      </c>
      <c r="AP288" s="1">
        <v>0.15</v>
      </c>
      <c r="AQ288" s="1">
        <v>3</v>
      </c>
      <c r="AR288" t="s">
        <v>6547</v>
      </c>
      <c r="AS288">
        <v>0</v>
      </c>
      <c r="AT288" t="s">
        <v>1807</v>
      </c>
      <c r="AU288">
        <v>10</v>
      </c>
      <c r="AV288">
        <v>18096</v>
      </c>
      <c r="AW288">
        <v>0</v>
      </c>
      <c r="AX288">
        <v>0</v>
      </c>
    </row>
    <row r="289" spans="1:50" x14ac:dyDescent="0.25">
      <c r="A289">
        <v>290</v>
      </c>
      <c r="B289" t="s">
        <v>6548</v>
      </c>
      <c r="C289" t="s">
        <v>6549</v>
      </c>
      <c r="D289">
        <v>5</v>
      </c>
      <c r="E289">
        <v>1</v>
      </c>
      <c r="F289">
        <v>18</v>
      </c>
      <c r="G289" s="1" t="s">
        <v>399</v>
      </c>
      <c r="H289" s="1" t="s">
        <v>336</v>
      </c>
      <c r="I289" s="1" t="s">
        <v>329</v>
      </c>
      <c r="J289" s="1" t="s">
        <v>329</v>
      </c>
      <c r="K289" s="1" t="s">
        <v>329</v>
      </c>
      <c r="L289" s="1" t="s">
        <v>329</v>
      </c>
      <c r="M289" s="1" t="s">
        <v>6550</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1844</v>
      </c>
      <c r="AJ289">
        <v>0</v>
      </c>
      <c r="AK289" s="1" t="s">
        <v>6551</v>
      </c>
      <c r="AL289" s="1" t="s">
        <v>6552</v>
      </c>
      <c r="AM289" s="1">
        <v>0.45</v>
      </c>
      <c r="AN289" s="1">
        <v>0.15</v>
      </c>
      <c r="AO289" s="1">
        <v>0.3</v>
      </c>
      <c r="AP289" s="1">
        <v>0.15</v>
      </c>
      <c r="AQ289" s="1">
        <v>3</v>
      </c>
      <c r="AR289" t="s">
        <v>6553</v>
      </c>
      <c r="AS289">
        <v>0</v>
      </c>
      <c r="AT289" t="s">
        <v>1807</v>
      </c>
      <c r="AU289">
        <v>10</v>
      </c>
      <c r="AV289">
        <v>18097</v>
      </c>
      <c r="AW289">
        <v>0</v>
      </c>
      <c r="AX289">
        <v>0</v>
      </c>
    </row>
    <row r="290" spans="1:50" x14ac:dyDescent="0.25">
      <c r="A290">
        <v>291</v>
      </c>
      <c r="B290" t="s">
        <v>6554</v>
      </c>
      <c r="C290" t="s">
        <v>6555</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1844</v>
      </c>
      <c r="AJ290">
        <v>0</v>
      </c>
      <c r="AK290" s="1" t="s">
        <v>6556</v>
      </c>
      <c r="AL290" s="1" t="s">
        <v>6557</v>
      </c>
      <c r="AM290" s="1">
        <v>0.45</v>
      </c>
      <c r="AN290" s="1">
        <v>0.15</v>
      </c>
      <c r="AO290" s="1">
        <v>0.3</v>
      </c>
      <c r="AP290" s="1">
        <v>0.15</v>
      </c>
      <c r="AQ290" s="1">
        <v>3</v>
      </c>
      <c r="AR290" t="s">
        <v>5652</v>
      </c>
      <c r="AS290">
        <v>0</v>
      </c>
      <c r="AT290" t="s">
        <v>1807</v>
      </c>
      <c r="AU290">
        <v>10</v>
      </c>
      <c r="AV290">
        <v>18098</v>
      </c>
      <c r="AW290">
        <v>0</v>
      </c>
      <c r="AX290">
        <v>0</v>
      </c>
    </row>
    <row r="291" spans="1:50" x14ac:dyDescent="0.25">
      <c r="A291">
        <v>292</v>
      </c>
      <c r="B291" t="s">
        <v>6558</v>
      </c>
      <c r="C291" t="s">
        <v>6559</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1635</v>
      </c>
      <c r="AH291" s="1">
        <v>3000</v>
      </c>
      <c r="AI291" t="s">
        <v>6560</v>
      </c>
      <c r="AJ291">
        <v>0</v>
      </c>
      <c r="AK291" s="1" t="s">
        <v>6561</v>
      </c>
      <c r="AL291" s="1" t="s">
        <v>6562</v>
      </c>
      <c r="AM291" s="1">
        <v>0.45</v>
      </c>
      <c r="AN291" s="1">
        <v>0.15</v>
      </c>
      <c r="AO291" s="1">
        <v>0.3</v>
      </c>
      <c r="AP291" s="1">
        <v>0.15</v>
      </c>
      <c r="AQ291" s="1">
        <v>3</v>
      </c>
      <c r="AR291" t="s">
        <v>5499</v>
      </c>
      <c r="AS291">
        <v>0</v>
      </c>
      <c r="AT291" t="s">
        <v>6563</v>
      </c>
      <c r="AU291">
        <v>10</v>
      </c>
      <c r="AV291">
        <v>18099</v>
      </c>
      <c r="AW291">
        <v>0</v>
      </c>
      <c r="AX291">
        <v>0</v>
      </c>
    </row>
    <row r="292" spans="1:50" x14ac:dyDescent="0.25">
      <c r="A292">
        <v>293</v>
      </c>
      <c r="B292" t="s">
        <v>6614</v>
      </c>
      <c r="C292" t="s">
        <v>6615</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1844</v>
      </c>
      <c r="AJ292">
        <v>0</v>
      </c>
      <c r="AK292" s="1" t="s">
        <v>6616</v>
      </c>
      <c r="AL292" s="1" t="s">
        <v>6617</v>
      </c>
      <c r="AM292" s="1">
        <v>0.23</v>
      </c>
      <c r="AN292" s="1">
        <v>0.23</v>
      </c>
      <c r="AO292" s="1">
        <v>0.33</v>
      </c>
      <c r="AP292" s="1">
        <v>0.33</v>
      </c>
      <c r="AQ292" s="1">
        <v>3</v>
      </c>
      <c r="AR292" t="s">
        <v>6618</v>
      </c>
      <c r="AS292">
        <v>0</v>
      </c>
      <c r="AT292" t="s">
        <v>1807</v>
      </c>
      <c r="AU292">
        <v>10</v>
      </c>
      <c r="AV292">
        <v>20048</v>
      </c>
      <c r="AW292">
        <v>0</v>
      </c>
      <c r="AX292">
        <v>0</v>
      </c>
    </row>
    <row r="293" spans="1:50" x14ac:dyDescent="0.25">
      <c r="A293">
        <v>294</v>
      </c>
      <c r="B293" t="s">
        <v>6619</v>
      </c>
      <c r="C293" t="s">
        <v>6620</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1844</v>
      </c>
      <c r="AJ293">
        <v>0</v>
      </c>
      <c r="AK293" s="1" t="s">
        <v>6621</v>
      </c>
      <c r="AL293" s="1" t="s">
        <v>6622</v>
      </c>
      <c r="AM293" s="1">
        <v>0.45</v>
      </c>
      <c r="AN293" s="1">
        <v>0.15</v>
      </c>
      <c r="AO293" s="1">
        <v>0.3</v>
      </c>
      <c r="AP293" s="1">
        <v>0.15</v>
      </c>
      <c r="AQ293" s="1">
        <v>3</v>
      </c>
      <c r="AR293" t="s">
        <v>1522</v>
      </c>
      <c r="AS293">
        <v>0</v>
      </c>
      <c r="AT293" t="s">
        <v>6623</v>
      </c>
      <c r="AU293">
        <v>10</v>
      </c>
      <c r="AV293">
        <v>18100</v>
      </c>
      <c r="AW293">
        <v>0</v>
      </c>
      <c r="AX293">
        <v>0</v>
      </c>
    </row>
    <row r="294" spans="1:50" x14ac:dyDescent="0.25">
      <c r="A294">
        <v>295</v>
      </c>
      <c r="B294" t="s">
        <v>6626</v>
      </c>
      <c r="C294" t="s">
        <v>6627</v>
      </c>
      <c r="D294">
        <v>5</v>
      </c>
      <c r="E294">
        <v>1</v>
      </c>
      <c r="F294">
        <v>18</v>
      </c>
      <c r="G294" s="1" t="s">
        <v>329</v>
      </c>
      <c r="H294" s="1" t="s">
        <v>329</v>
      </c>
      <c r="I294" s="1" t="s">
        <v>329</v>
      </c>
      <c r="J294" s="1" t="s">
        <v>329</v>
      </c>
      <c r="K294" s="1" t="s">
        <v>329</v>
      </c>
      <c r="L294" s="1" t="s">
        <v>403</v>
      </c>
      <c r="M294" s="1" t="s">
        <v>6628</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6629</v>
      </c>
      <c r="AJ294">
        <v>0</v>
      </c>
      <c r="AK294" s="1" t="s">
        <v>6630</v>
      </c>
      <c r="AL294" s="1" t="s">
        <v>6631</v>
      </c>
      <c r="AM294" s="1">
        <v>0.45</v>
      </c>
      <c r="AN294" s="1">
        <v>0.15</v>
      </c>
      <c r="AO294" s="1">
        <v>0.3</v>
      </c>
      <c r="AP294" s="1">
        <v>0.15</v>
      </c>
      <c r="AQ294" s="1">
        <v>3</v>
      </c>
      <c r="AR294" t="s">
        <v>6632</v>
      </c>
      <c r="AS294">
        <v>0</v>
      </c>
      <c r="AT294" t="s">
        <v>6633</v>
      </c>
      <c r="AU294">
        <v>10</v>
      </c>
      <c r="AV294">
        <v>18101</v>
      </c>
      <c r="AW294">
        <v>0</v>
      </c>
      <c r="AX294">
        <v>0</v>
      </c>
    </row>
    <row r="295" spans="1:50" x14ac:dyDescent="0.25">
      <c r="A295">
        <v>296</v>
      </c>
      <c r="B295" t="s">
        <v>6736</v>
      </c>
      <c r="C295" t="s">
        <v>6737</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6759</v>
      </c>
      <c r="AH295" s="1">
        <v>3600</v>
      </c>
      <c r="AI295" t="s">
        <v>1844</v>
      </c>
      <c r="AJ295">
        <v>0</v>
      </c>
      <c r="AK295" s="1" t="s">
        <v>6738</v>
      </c>
      <c r="AL295" s="1" t="s">
        <v>6739</v>
      </c>
      <c r="AM295" s="1">
        <v>0.48</v>
      </c>
      <c r="AN295" s="1">
        <v>0.48</v>
      </c>
      <c r="AO295" s="1">
        <v>0.08</v>
      </c>
      <c r="AP295" s="1">
        <v>0.25</v>
      </c>
      <c r="AQ295" s="1">
        <v>3</v>
      </c>
      <c r="AR295" t="s">
        <v>1471</v>
      </c>
      <c r="AS295">
        <v>0</v>
      </c>
      <c r="AT295" t="s">
        <v>2469</v>
      </c>
      <c r="AU295">
        <v>10</v>
      </c>
      <c r="AV295">
        <v>19043</v>
      </c>
      <c r="AW295">
        <v>0</v>
      </c>
      <c r="AX295">
        <v>0</v>
      </c>
    </row>
    <row r="296" spans="1:50" x14ac:dyDescent="0.25">
      <c r="A296">
        <v>297</v>
      </c>
      <c r="B296" t="s">
        <v>6740</v>
      </c>
      <c r="C296" t="s">
        <v>6741</v>
      </c>
      <c r="D296">
        <v>5</v>
      </c>
      <c r="E296">
        <v>3</v>
      </c>
      <c r="F296">
        <v>20</v>
      </c>
      <c r="G296" s="1" t="s">
        <v>329</v>
      </c>
      <c r="H296" s="1" t="s">
        <v>329</v>
      </c>
      <c r="I296" s="1" t="s">
        <v>345</v>
      </c>
      <c r="J296" s="1" t="s">
        <v>329</v>
      </c>
      <c r="K296" s="1" t="s">
        <v>329</v>
      </c>
      <c r="L296" s="1" t="s">
        <v>6628</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6760</v>
      </c>
      <c r="AH296" s="1">
        <v>3360</v>
      </c>
      <c r="AI296" t="s">
        <v>1844</v>
      </c>
      <c r="AJ296">
        <v>0</v>
      </c>
      <c r="AK296" s="1" t="s">
        <v>6734</v>
      </c>
      <c r="AL296" s="1" t="s">
        <v>6742</v>
      </c>
      <c r="AM296" s="1">
        <v>0.55000000000000004</v>
      </c>
      <c r="AN296" s="1">
        <v>0.16</v>
      </c>
      <c r="AO296" s="1">
        <v>0.6</v>
      </c>
      <c r="AP296" s="1">
        <v>0.16</v>
      </c>
      <c r="AQ296" s="1">
        <v>3</v>
      </c>
      <c r="AR296" t="s">
        <v>6743</v>
      </c>
      <c r="AS296">
        <v>0</v>
      </c>
      <c r="AT296" t="s">
        <v>1807</v>
      </c>
      <c r="AU296">
        <v>10</v>
      </c>
      <c r="AV296">
        <v>20049</v>
      </c>
      <c r="AW296">
        <v>0</v>
      </c>
      <c r="AX296">
        <v>0</v>
      </c>
    </row>
    <row r="297" spans="1:50" x14ac:dyDescent="0.25">
      <c r="A297">
        <v>298</v>
      </c>
      <c r="B297" t="s">
        <v>6744</v>
      </c>
      <c r="C297" t="s">
        <v>6745</v>
      </c>
      <c r="D297">
        <v>5</v>
      </c>
      <c r="E297">
        <v>2</v>
      </c>
      <c r="F297">
        <v>19</v>
      </c>
      <c r="G297" s="1" t="s">
        <v>399</v>
      </c>
      <c r="H297" s="1" t="s">
        <v>329</v>
      </c>
      <c r="I297" s="1" t="s">
        <v>329</v>
      </c>
      <c r="J297" s="1" t="s">
        <v>329</v>
      </c>
      <c r="K297" s="1" t="s">
        <v>329</v>
      </c>
      <c r="L297" s="1" t="s">
        <v>329</v>
      </c>
      <c r="M297" s="1" t="s">
        <v>329</v>
      </c>
      <c r="N297" s="1" t="s">
        <v>6746</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6761</v>
      </c>
      <c r="AH297" s="1">
        <v>3300</v>
      </c>
      <c r="AI297" t="s">
        <v>1844</v>
      </c>
      <c r="AJ297">
        <v>0</v>
      </c>
      <c r="AK297" s="1" t="s">
        <v>6735</v>
      </c>
      <c r="AL297" s="1" t="s">
        <v>6747</v>
      </c>
      <c r="AM297" s="1">
        <v>0.08</v>
      </c>
      <c r="AN297" s="1">
        <v>0.5</v>
      </c>
      <c r="AO297" s="1">
        <v>0.3</v>
      </c>
      <c r="AP297" s="1">
        <v>0.3</v>
      </c>
      <c r="AQ297" s="1">
        <v>3</v>
      </c>
      <c r="AR297" t="s">
        <v>6748</v>
      </c>
      <c r="AS297">
        <v>0</v>
      </c>
      <c r="AT297" t="s">
        <v>1807</v>
      </c>
      <c r="AU297">
        <v>10</v>
      </c>
      <c r="AV297">
        <v>19044</v>
      </c>
      <c r="AW297">
        <v>0</v>
      </c>
      <c r="AX297">
        <v>0</v>
      </c>
    </row>
    <row r="298" spans="1:50" x14ac:dyDescent="0.25">
      <c r="A298">
        <v>299</v>
      </c>
      <c r="B298" t="s">
        <v>6749</v>
      </c>
      <c r="C298" t="s">
        <v>6750</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6763</v>
      </c>
      <c r="AH298" s="1">
        <v>3060</v>
      </c>
      <c r="AI298" t="s">
        <v>1844</v>
      </c>
      <c r="AJ298">
        <v>0</v>
      </c>
      <c r="AK298" s="1" t="s">
        <v>6751</v>
      </c>
      <c r="AL298" s="1" t="s">
        <v>6752</v>
      </c>
      <c r="AM298" s="1">
        <v>0.3</v>
      </c>
      <c r="AN298" s="1">
        <v>0.23</v>
      </c>
      <c r="AO298" s="1">
        <v>0.15</v>
      </c>
      <c r="AP298" s="1">
        <v>0.38</v>
      </c>
      <c r="AQ298" s="1">
        <v>3</v>
      </c>
      <c r="AR298" t="s">
        <v>6753</v>
      </c>
      <c r="AS298">
        <v>0</v>
      </c>
      <c r="AT298" t="s">
        <v>1807</v>
      </c>
      <c r="AU298">
        <v>10</v>
      </c>
      <c r="AV298">
        <v>20050</v>
      </c>
      <c r="AW298">
        <v>0</v>
      </c>
      <c r="AX298">
        <v>0</v>
      </c>
    </row>
    <row r="299" spans="1:50" x14ac:dyDescent="0.25">
      <c r="A299">
        <v>300</v>
      </c>
      <c r="B299" t="s">
        <v>6754</v>
      </c>
      <c r="C299" t="s">
        <v>6755</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1655</v>
      </c>
      <c r="AH299" s="1">
        <v>2700</v>
      </c>
      <c r="AI299" t="s">
        <v>6756</v>
      </c>
      <c r="AJ299">
        <v>0</v>
      </c>
      <c r="AK299" s="1" t="s">
        <v>6757</v>
      </c>
      <c r="AL299" s="1" t="s">
        <v>6758</v>
      </c>
      <c r="AM299" s="1">
        <v>0.45</v>
      </c>
      <c r="AN299" s="1">
        <v>0.15</v>
      </c>
      <c r="AO299" s="1">
        <v>0.3</v>
      </c>
      <c r="AP299" s="1">
        <v>0.15</v>
      </c>
      <c r="AQ299" s="1">
        <v>3</v>
      </c>
      <c r="AR299" t="s">
        <v>1522</v>
      </c>
      <c r="AS299">
        <v>0</v>
      </c>
      <c r="AT299" t="s">
        <v>1807</v>
      </c>
      <c r="AU299">
        <v>10</v>
      </c>
      <c r="AV299">
        <v>18102</v>
      </c>
      <c r="AW299">
        <v>0</v>
      </c>
      <c r="AX299">
        <v>0</v>
      </c>
    </row>
    <row r="300" spans="1:50" x14ac:dyDescent="0.25">
      <c r="A300">
        <v>301</v>
      </c>
      <c r="B300" t="s">
        <v>6766</v>
      </c>
      <c r="C300" t="s">
        <v>6767</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1844</v>
      </c>
      <c r="AJ300">
        <v>0</v>
      </c>
      <c r="AK300" s="1" t="s">
        <v>5560</v>
      </c>
      <c r="AL300" s="1" t="s">
        <v>6768</v>
      </c>
      <c r="AM300" s="1">
        <v>0.45</v>
      </c>
      <c r="AN300" s="1">
        <v>0.15</v>
      </c>
      <c r="AO300" s="1">
        <v>0.3</v>
      </c>
      <c r="AP300" s="1">
        <v>0.15</v>
      </c>
      <c r="AQ300" s="1">
        <v>3</v>
      </c>
      <c r="AR300" t="s">
        <v>1544</v>
      </c>
      <c r="AS300">
        <v>0</v>
      </c>
      <c r="AT300" t="s">
        <v>1807</v>
      </c>
      <c r="AU300">
        <v>10</v>
      </c>
      <c r="AV300">
        <v>18103</v>
      </c>
      <c r="AW300">
        <v>0</v>
      </c>
      <c r="AX300">
        <v>0</v>
      </c>
    </row>
    <row r="301" spans="1:50" x14ac:dyDescent="0.25">
      <c r="A301">
        <v>302</v>
      </c>
      <c r="B301" t="s">
        <v>6769</v>
      </c>
      <c r="C301" t="s">
        <v>6770</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6771</v>
      </c>
      <c r="AJ301">
        <v>0</v>
      </c>
      <c r="AK301" s="1" t="s">
        <v>6772</v>
      </c>
      <c r="AL301" s="1" t="s">
        <v>6773</v>
      </c>
      <c r="AM301" s="1">
        <v>0.45</v>
      </c>
      <c r="AN301" s="1">
        <v>0.15</v>
      </c>
      <c r="AO301" s="1">
        <v>0.3</v>
      </c>
      <c r="AP301" s="1">
        <v>0.15</v>
      </c>
      <c r="AQ301" s="1">
        <v>3</v>
      </c>
      <c r="AR301" t="s">
        <v>1560</v>
      </c>
      <c r="AS301">
        <v>0</v>
      </c>
      <c r="AT301" t="s">
        <v>1807</v>
      </c>
      <c r="AU301">
        <v>10</v>
      </c>
      <c r="AV301">
        <v>18104</v>
      </c>
      <c r="AW301">
        <v>0</v>
      </c>
      <c r="AX301">
        <v>0</v>
      </c>
    </row>
    <row r="302" spans="1:50" x14ac:dyDescent="0.25">
      <c r="A302">
        <v>303</v>
      </c>
      <c r="B302" t="s">
        <v>6774</v>
      </c>
      <c r="C302" t="s">
        <v>6775</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3179</v>
      </c>
      <c r="AH302" s="1">
        <v>2820</v>
      </c>
      <c r="AI302" t="s">
        <v>2400</v>
      </c>
      <c r="AJ302">
        <v>0</v>
      </c>
      <c r="AK302" s="1" t="s">
        <v>6776</v>
      </c>
      <c r="AL302" s="1" t="s">
        <v>6777</v>
      </c>
      <c r="AM302" s="1">
        <v>0.55000000000000004</v>
      </c>
      <c r="AN302" s="1">
        <v>0.23</v>
      </c>
      <c r="AO302" s="1">
        <v>0.23</v>
      </c>
      <c r="AP302" s="1">
        <v>0.23</v>
      </c>
      <c r="AQ302" s="1">
        <v>3</v>
      </c>
      <c r="AR302" t="s">
        <v>1566</v>
      </c>
      <c r="AS302">
        <v>0</v>
      </c>
      <c r="AT302" t="s">
        <v>1807</v>
      </c>
      <c r="AU302">
        <v>10</v>
      </c>
      <c r="AV302">
        <v>18105</v>
      </c>
      <c r="AW302">
        <v>0</v>
      </c>
      <c r="AX302">
        <v>0</v>
      </c>
    </row>
    <row r="303" spans="1:50" x14ac:dyDescent="0.25">
      <c r="A303">
        <v>304</v>
      </c>
      <c r="B303" t="s">
        <v>6778</v>
      </c>
      <c r="C303" t="s">
        <v>6779</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6780</v>
      </c>
      <c r="AJ303">
        <v>0</v>
      </c>
      <c r="AK303" s="1" t="s">
        <v>6781</v>
      </c>
      <c r="AL303" s="1" t="s">
        <v>6782</v>
      </c>
      <c r="AM303" s="1">
        <v>0.45</v>
      </c>
      <c r="AN303" s="1">
        <v>0.15</v>
      </c>
      <c r="AO303" s="1">
        <v>0.3</v>
      </c>
      <c r="AP303" s="1">
        <v>0.15</v>
      </c>
      <c r="AQ303" s="1">
        <v>3</v>
      </c>
      <c r="AR303" t="s">
        <v>6783</v>
      </c>
      <c r="AS303">
        <v>0</v>
      </c>
      <c r="AT303" t="s">
        <v>6784</v>
      </c>
      <c r="AU303">
        <v>10</v>
      </c>
      <c r="AV303">
        <v>18106</v>
      </c>
      <c r="AW303">
        <v>0</v>
      </c>
      <c r="AX303">
        <v>0</v>
      </c>
    </row>
    <row r="304" spans="1:50" x14ac:dyDescent="0.25">
      <c r="A304">
        <v>305</v>
      </c>
      <c r="B304" t="s">
        <v>6795</v>
      </c>
      <c r="C304" t="s">
        <v>6796</v>
      </c>
      <c r="D304">
        <v>5</v>
      </c>
      <c r="E304">
        <v>1</v>
      </c>
      <c r="F304">
        <v>4</v>
      </c>
      <c r="G304" s="1" t="s">
        <v>329</v>
      </c>
      <c r="H304" s="1" t="s">
        <v>329</v>
      </c>
      <c r="I304" s="1" t="s">
        <v>6797</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6842</v>
      </c>
      <c r="AH304" s="1">
        <v>3060</v>
      </c>
      <c r="AI304" t="s">
        <v>1844</v>
      </c>
      <c r="AJ304">
        <v>0</v>
      </c>
      <c r="AK304" s="1" t="s">
        <v>329</v>
      </c>
      <c r="AL304" s="1" t="s">
        <v>6798</v>
      </c>
      <c r="AM304" s="1">
        <v>0.45</v>
      </c>
      <c r="AN304" s="1">
        <v>0.15</v>
      </c>
      <c r="AO304" s="1">
        <v>0.3</v>
      </c>
      <c r="AP304" s="1">
        <v>0.15</v>
      </c>
      <c r="AQ304" s="1">
        <v>1</v>
      </c>
      <c r="AR304" t="s">
        <v>1585</v>
      </c>
      <c r="AS304">
        <v>0</v>
      </c>
      <c r="AT304" t="s">
        <v>6799</v>
      </c>
      <c r="AU304">
        <v>10</v>
      </c>
      <c r="AV304">
        <v>4002</v>
      </c>
      <c r="AW304">
        <v>0</v>
      </c>
      <c r="AX304">
        <v>0</v>
      </c>
    </row>
    <row r="305" spans="1:50" x14ac:dyDescent="0.25">
      <c r="A305">
        <v>306</v>
      </c>
      <c r="B305" t="s">
        <v>6800</v>
      </c>
      <c r="C305" t="s">
        <v>6801</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6843</v>
      </c>
      <c r="AH305" s="1">
        <v>1800</v>
      </c>
      <c r="AI305" t="s">
        <v>1844</v>
      </c>
      <c r="AJ305">
        <v>0</v>
      </c>
      <c r="AK305" s="1" t="s">
        <v>329</v>
      </c>
      <c r="AL305" s="1" t="s">
        <v>6802</v>
      </c>
      <c r="AM305" s="1">
        <v>0.55000000000000004</v>
      </c>
      <c r="AN305" s="1">
        <v>0.23</v>
      </c>
      <c r="AO305" s="1">
        <v>0.23</v>
      </c>
      <c r="AP305" s="1">
        <v>0.23</v>
      </c>
      <c r="AQ305" s="1">
        <v>1</v>
      </c>
      <c r="AR305" t="s">
        <v>6803</v>
      </c>
      <c r="AS305">
        <v>0</v>
      </c>
      <c r="AT305" t="s">
        <v>1807</v>
      </c>
      <c r="AU305">
        <v>10</v>
      </c>
      <c r="AV305">
        <v>22001</v>
      </c>
      <c r="AW305">
        <v>0</v>
      </c>
      <c r="AX305">
        <v>0</v>
      </c>
    </row>
    <row r="306" spans="1:50" x14ac:dyDescent="0.25">
      <c r="A306">
        <v>307</v>
      </c>
      <c r="B306" t="s">
        <v>6804</v>
      </c>
      <c r="C306" t="s">
        <v>6805</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6844</v>
      </c>
      <c r="AH306" s="1">
        <v>2640</v>
      </c>
      <c r="AI306" t="s">
        <v>1844</v>
      </c>
      <c r="AJ306">
        <v>0</v>
      </c>
      <c r="AK306" s="1" t="s">
        <v>329</v>
      </c>
      <c r="AL306" s="1" t="s">
        <v>6806</v>
      </c>
      <c r="AM306" s="1">
        <v>0.55000000000000004</v>
      </c>
      <c r="AN306" s="1">
        <v>0.23</v>
      </c>
      <c r="AO306" s="1">
        <v>0.23</v>
      </c>
      <c r="AP306" s="1">
        <v>0.23</v>
      </c>
      <c r="AQ306" s="1">
        <v>1</v>
      </c>
      <c r="AR306" t="s">
        <v>6807</v>
      </c>
      <c r="AS306">
        <v>0</v>
      </c>
      <c r="AT306" t="s">
        <v>1807</v>
      </c>
      <c r="AU306">
        <v>10</v>
      </c>
      <c r="AV306">
        <v>22001</v>
      </c>
      <c r="AW306">
        <v>0</v>
      </c>
      <c r="AX306">
        <v>0</v>
      </c>
    </row>
    <row r="307" spans="1:50" x14ac:dyDescent="0.25">
      <c r="A307">
        <v>308</v>
      </c>
      <c r="B307" t="s">
        <v>6808</v>
      </c>
      <c r="C307" t="s">
        <v>6809</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6845</v>
      </c>
      <c r="AH307" s="1">
        <v>3360</v>
      </c>
      <c r="AI307" t="s">
        <v>1844</v>
      </c>
      <c r="AJ307">
        <v>0</v>
      </c>
      <c r="AK307" s="1" t="s">
        <v>329</v>
      </c>
      <c r="AL307" s="1" t="s">
        <v>6810</v>
      </c>
      <c r="AM307" s="1">
        <v>0.55000000000000004</v>
      </c>
      <c r="AN307" s="1">
        <v>0.23</v>
      </c>
      <c r="AO307" s="1">
        <v>0.23</v>
      </c>
      <c r="AP307" s="1">
        <v>0.23</v>
      </c>
      <c r="AQ307" s="1">
        <v>1</v>
      </c>
      <c r="AR307" t="s">
        <v>6811</v>
      </c>
      <c r="AS307">
        <v>0</v>
      </c>
      <c r="AT307" t="s">
        <v>1807</v>
      </c>
      <c r="AU307">
        <v>10</v>
      </c>
      <c r="AV307">
        <v>22001</v>
      </c>
      <c r="AW307">
        <v>0</v>
      </c>
      <c r="AX307">
        <v>0</v>
      </c>
    </row>
    <row r="308" spans="1:50" x14ac:dyDescent="0.25">
      <c r="A308">
        <v>309</v>
      </c>
      <c r="B308" t="s">
        <v>6812</v>
      </c>
      <c r="C308" t="s">
        <v>6813</v>
      </c>
      <c r="D308">
        <v>5</v>
      </c>
      <c r="E308">
        <v>3</v>
      </c>
      <c r="F308">
        <v>9</v>
      </c>
      <c r="G308" s="1" t="s">
        <v>338</v>
      </c>
      <c r="H308" s="1" t="s">
        <v>329</v>
      </c>
      <c r="I308" s="1" t="s">
        <v>329</v>
      </c>
      <c r="J308" s="1" t="s">
        <v>329</v>
      </c>
      <c r="K308" s="1" t="s">
        <v>6814</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6935</v>
      </c>
      <c r="AH308" s="1">
        <v>3120</v>
      </c>
      <c r="AI308" t="s">
        <v>1844</v>
      </c>
      <c r="AJ308">
        <v>0</v>
      </c>
      <c r="AK308" s="1" t="s">
        <v>329</v>
      </c>
      <c r="AL308" s="1" t="s">
        <v>6815</v>
      </c>
      <c r="AM308" s="1">
        <v>0.3</v>
      </c>
      <c r="AN308" s="1">
        <v>0.23</v>
      </c>
      <c r="AO308" s="1">
        <v>0.15</v>
      </c>
      <c r="AP308" s="1">
        <v>0.38</v>
      </c>
      <c r="AQ308" s="1">
        <v>1</v>
      </c>
      <c r="AR308" t="s">
        <v>1555</v>
      </c>
      <c r="AS308">
        <v>0</v>
      </c>
      <c r="AT308" t="s">
        <v>1807</v>
      </c>
      <c r="AU308">
        <v>10</v>
      </c>
      <c r="AV308">
        <v>9002</v>
      </c>
      <c r="AW308">
        <v>0</v>
      </c>
      <c r="AX308">
        <v>0</v>
      </c>
    </row>
    <row r="309" spans="1:50" x14ac:dyDescent="0.25">
      <c r="A309">
        <v>310</v>
      </c>
      <c r="B309" t="s">
        <v>6816</v>
      </c>
      <c r="C309" t="s">
        <v>6817</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6846</v>
      </c>
      <c r="AH309" s="1">
        <v>2580</v>
      </c>
      <c r="AI309" t="s">
        <v>6771</v>
      </c>
      <c r="AJ309">
        <v>0</v>
      </c>
      <c r="AK309" s="1" t="s">
        <v>329</v>
      </c>
      <c r="AL309" s="1" t="s">
        <v>6818</v>
      </c>
      <c r="AM309" s="1">
        <v>0.55000000000000004</v>
      </c>
      <c r="AN309" s="1">
        <v>0.16</v>
      </c>
      <c r="AO309" s="1">
        <v>0.6</v>
      </c>
      <c r="AP309" s="1">
        <v>0.16</v>
      </c>
      <c r="AQ309" s="1">
        <v>1</v>
      </c>
      <c r="AR309" t="s">
        <v>1476</v>
      </c>
      <c r="AS309">
        <v>0</v>
      </c>
      <c r="AT309" t="s">
        <v>6819</v>
      </c>
      <c r="AU309">
        <v>10</v>
      </c>
      <c r="AV309">
        <v>23001</v>
      </c>
      <c r="AW309">
        <v>0</v>
      </c>
      <c r="AX309">
        <v>0</v>
      </c>
    </row>
    <row r="310" spans="1:50" x14ac:dyDescent="0.25">
      <c r="A310">
        <v>311</v>
      </c>
      <c r="B310" t="s">
        <v>6820</v>
      </c>
      <c r="C310" t="s">
        <v>6821</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6847</v>
      </c>
      <c r="AH310" s="1">
        <v>3600</v>
      </c>
      <c r="AI310" t="s">
        <v>1844</v>
      </c>
      <c r="AJ310">
        <v>0</v>
      </c>
      <c r="AK310" s="1" t="s">
        <v>329</v>
      </c>
      <c r="AL310" s="1" t="s">
        <v>6822</v>
      </c>
      <c r="AM310" s="1">
        <v>0.55000000000000004</v>
      </c>
      <c r="AN310" s="1">
        <v>0.16</v>
      </c>
      <c r="AO310" s="1">
        <v>0.6</v>
      </c>
      <c r="AP310" s="1">
        <v>0.16</v>
      </c>
      <c r="AQ310" s="1">
        <v>1</v>
      </c>
      <c r="AR310" t="s">
        <v>1474</v>
      </c>
      <c r="AS310">
        <v>0</v>
      </c>
      <c r="AT310" t="s">
        <v>6823</v>
      </c>
      <c r="AU310">
        <v>10</v>
      </c>
      <c r="AV310">
        <v>23001</v>
      </c>
      <c r="AW310">
        <v>0</v>
      </c>
      <c r="AX310">
        <v>0</v>
      </c>
    </row>
    <row r="311" spans="1:50" x14ac:dyDescent="0.25">
      <c r="A311">
        <v>312</v>
      </c>
      <c r="B311" t="s">
        <v>6824</v>
      </c>
      <c r="C311" t="s">
        <v>6825</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6936</v>
      </c>
      <c r="AH311" s="1">
        <v>1920</v>
      </c>
      <c r="AI311" t="s">
        <v>1844</v>
      </c>
      <c r="AJ311">
        <v>0</v>
      </c>
      <c r="AK311" s="1" t="s">
        <v>329</v>
      </c>
      <c r="AL311" s="1" t="s">
        <v>6826</v>
      </c>
      <c r="AM311" s="1">
        <v>0.1</v>
      </c>
      <c r="AN311" s="1">
        <v>0.1</v>
      </c>
      <c r="AO311" s="1">
        <v>0.1</v>
      </c>
      <c r="AP311" s="1">
        <v>0.55000000000000004</v>
      </c>
      <c r="AQ311" s="1">
        <v>1</v>
      </c>
      <c r="AR311" t="s">
        <v>1494</v>
      </c>
      <c r="AS311">
        <v>0</v>
      </c>
      <c r="AT311" t="s">
        <v>6827</v>
      </c>
      <c r="AU311">
        <v>10</v>
      </c>
      <c r="AV311">
        <v>21001</v>
      </c>
      <c r="AW311">
        <v>0</v>
      </c>
      <c r="AX311">
        <v>0</v>
      </c>
    </row>
    <row r="312" spans="1:50" x14ac:dyDescent="0.25">
      <c r="A312">
        <v>313</v>
      </c>
      <c r="B312" t="s">
        <v>6828</v>
      </c>
      <c r="C312" t="s">
        <v>6829</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6937</v>
      </c>
      <c r="AH312" s="1">
        <v>2940</v>
      </c>
      <c r="AI312" t="s">
        <v>1844</v>
      </c>
      <c r="AJ312">
        <v>0</v>
      </c>
      <c r="AK312" s="1" t="s">
        <v>329</v>
      </c>
      <c r="AL312" s="1" t="s">
        <v>6830</v>
      </c>
      <c r="AM312" s="1">
        <v>0.1</v>
      </c>
      <c r="AN312" s="1">
        <v>0.1</v>
      </c>
      <c r="AO312" s="1">
        <v>0.1</v>
      </c>
      <c r="AP312" s="1">
        <v>0.55000000000000004</v>
      </c>
      <c r="AQ312" s="1">
        <v>1</v>
      </c>
      <c r="AR312" t="s">
        <v>1471</v>
      </c>
      <c r="AS312">
        <v>0</v>
      </c>
      <c r="AT312" t="s">
        <v>6831</v>
      </c>
      <c r="AU312">
        <v>10</v>
      </c>
      <c r="AV312">
        <v>21001</v>
      </c>
      <c r="AW312">
        <v>0</v>
      </c>
      <c r="AX312">
        <v>0</v>
      </c>
    </row>
    <row r="313" spans="1:50" x14ac:dyDescent="0.25">
      <c r="A313">
        <v>314</v>
      </c>
      <c r="B313" t="s">
        <v>6832</v>
      </c>
      <c r="C313" t="s">
        <v>6833</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6938</v>
      </c>
      <c r="AH313" s="1">
        <v>3540</v>
      </c>
      <c r="AI313" t="s">
        <v>1844</v>
      </c>
      <c r="AJ313">
        <v>0</v>
      </c>
      <c r="AK313" s="1" t="s">
        <v>329</v>
      </c>
      <c r="AL313" s="1" t="s">
        <v>6834</v>
      </c>
      <c r="AM313" s="1">
        <v>0.1</v>
      </c>
      <c r="AN313" s="1">
        <v>0.1</v>
      </c>
      <c r="AO313" s="1">
        <v>0.1</v>
      </c>
      <c r="AP313" s="1">
        <v>0.55000000000000004</v>
      </c>
      <c r="AQ313" s="1">
        <v>1</v>
      </c>
      <c r="AR313" t="s">
        <v>1494</v>
      </c>
      <c r="AS313">
        <v>0</v>
      </c>
      <c r="AT313" t="s">
        <v>6835</v>
      </c>
      <c r="AU313">
        <v>10</v>
      </c>
      <c r="AV313">
        <v>21001</v>
      </c>
      <c r="AW313">
        <v>0</v>
      </c>
      <c r="AX313">
        <v>0</v>
      </c>
    </row>
    <row r="314" spans="1:50" x14ac:dyDescent="0.25">
      <c r="A314">
        <v>315</v>
      </c>
      <c r="B314" t="s">
        <v>6836</v>
      </c>
      <c r="C314" t="s">
        <v>6837</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1637</v>
      </c>
      <c r="AH314" s="1">
        <v>3000</v>
      </c>
      <c r="AI314" t="s">
        <v>1844</v>
      </c>
      <c r="AJ314">
        <v>0</v>
      </c>
      <c r="AK314" s="1" t="s">
        <v>6838</v>
      </c>
      <c r="AL314" s="1" t="s">
        <v>6839</v>
      </c>
      <c r="AM314" s="1">
        <v>0.45</v>
      </c>
      <c r="AN314" s="1">
        <v>0.15</v>
      </c>
      <c r="AO314" s="1">
        <v>0.3</v>
      </c>
      <c r="AP314" s="1">
        <v>0.15</v>
      </c>
      <c r="AQ314" s="1">
        <v>3</v>
      </c>
      <c r="AR314" t="s">
        <v>6840</v>
      </c>
      <c r="AS314">
        <v>0</v>
      </c>
      <c r="AT314" t="s">
        <v>6841</v>
      </c>
      <c r="AU314">
        <v>10</v>
      </c>
      <c r="AV314">
        <v>18080</v>
      </c>
      <c r="AW314">
        <v>0</v>
      </c>
      <c r="AX314">
        <v>0</v>
      </c>
    </row>
    <row r="315" spans="1:50" x14ac:dyDescent="0.25">
      <c r="A315">
        <v>316</v>
      </c>
      <c r="B315" t="s">
        <v>6868</v>
      </c>
      <c r="C315" t="s">
        <v>6869</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2407</v>
      </c>
      <c r="AJ315">
        <v>0</v>
      </c>
      <c r="AK315" s="1" t="s">
        <v>6870</v>
      </c>
      <c r="AL315" s="1" t="s">
        <v>6871</v>
      </c>
      <c r="AM315" s="1">
        <v>0.45</v>
      </c>
      <c r="AN315" s="1">
        <v>0.15</v>
      </c>
      <c r="AO315" s="1">
        <v>0.3</v>
      </c>
      <c r="AP315" s="1">
        <v>0.15</v>
      </c>
      <c r="AQ315" s="1">
        <v>3</v>
      </c>
      <c r="AR315" t="s">
        <v>1515</v>
      </c>
      <c r="AS315">
        <v>0</v>
      </c>
      <c r="AT315" t="s">
        <v>6872</v>
      </c>
      <c r="AU315">
        <v>10</v>
      </c>
      <c r="AV315">
        <v>18081</v>
      </c>
      <c r="AW315">
        <v>0</v>
      </c>
      <c r="AX315">
        <v>0</v>
      </c>
    </row>
    <row r="316" spans="1:50" x14ac:dyDescent="0.25">
      <c r="A316">
        <v>317</v>
      </c>
      <c r="B316" t="s">
        <v>6912</v>
      </c>
      <c r="C316" t="s">
        <v>6913</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6906</v>
      </c>
      <c r="AH316" s="1">
        <v>3600</v>
      </c>
      <c r="AI316" t="s">
        <v>1844</v>
      </c>
      <c r="AJ316">
        <v>0</v>
      </c>
      <c r="AK316" s="1" t="s">
        <v>6914</v>
      </c>
      <c r="AL316" s="1" t="s">
        <v>6915</v>
      </c>
      <c r="AM316" s="1">
        <v>0.15</v>
      </c>
      <c r="AN316" s="1">
        <v>0.6</v>
      </c>
      <c r="AO316" s="1">
        <v>0.38</v>
      </c>
      <c r="AP316" s="1">
        <v>0.23</v>
      </c>
      <c r="AQ316" s="1">
        <v>3</v>
      </c>
      <c r="AR316" t="s">
        <v>1474</v>
      </c>
      <c r="AS316">
        <v>0</v>
      </c>
      <c r="AT316" t="s">
        <v>1807</v>
      </c>
      <c r="AU316">
        <v>10</v>
      </c>
      <c r="AV316">
        <v>19045</v>
      </c>
      <c r="AW316">
        <v>0</v>
      </c>
      <c r="AX316">
        <v>0</v>
      </c>
    </row>
    <row r="317" spans="1:50" x14ac:dyDescent="0.25">
      <c r="A317">
        <v>318</v>
      </c>
      <c r="B317" t="s">
        <v>6916</v>
      </c>
      <c r="C317" t="s">
        <v>6917</v>
      </c>
      <c r="D317">
        <v>5</v>
      </c>
      <c r="E317">
        <v>2</v>
      </c>
      <c r="F317">
        <v>19</v>
      </c>
      <c r="G317" s="1" t="s">
        <v>471</v>
      </c>
      <c r="H317" s="1" t="s">
        <v>329</v>
      </c>
      <c r="I317" s="1" t="s">
        <v>329</v>
      </c>
      <c r="J317" s="1" t="s">
        <v>329</v>
      </c>
      <c r="K317" s="1" t="s">
        <v>329</v>
      </c>
      <c r="L317" s="1" t="s">
        <v>329</v>
      </c>
      <c r="M317" s="1" t="s">
        <v>329</v>
      </c>
      <c r="N317" s="1" t="s">
        <v>6918</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6898</v>
      </c>
      <c r="AH317" s="1">
        <v>3600</v>
      </c>
      <c r="AI317" t="s">
        <v>1844</v>
      </c>
      <c r="AJ317">
        <v>0</v>
      </c>
      <c r="AK317" s="1" t="s">
        <v>6919</v>
      </c>
      <c r="AL317" s="1" t="s">
        <v>6920</v>
      </c>
      <c r="AM317" s="1">
        <v>0.08</v>
      </c>
      <c r="AN317" s="1">
        <v>0.5</v>
      </c>
      <c r="AO317" s="1">
        <v>0.3</v>
      </c>
      <c r="AP317" s="1">
        <v>0.3</v>
      </c>
      <c r="AQ317" s="1">
        <v>3</v>
      </c>
      <c r="AR317" t="s">
        <v>6921</v>
      </c>
      <c r="AS317">
        <v>0</v>
      </c>
      <c r="AT317" t="s">
        <v>1807</v>
      </c>
      <c r="AU317">
        <v>10</v>
      </c>
      <c r="AV317">
        <v>19046</v>
      </c>
      <c r="AW317">
        <v>0</v>
      </c>
      <c r="AX317">
        <v>0</v>
      </c>
    </row>
    <row r="318" spans="1:50" x14ac:dyDescent="0.25">
      <c r="A318">
        <v>319</v>
      </c>
      <c r="B318" t="s">
        <v>6931</v>
      </c>
      <c r="C318" t="s">
        <v>6932</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1844</v>
      </c>
      <c r="AJ318">
        <v>0</v>
      </c>
      <c r="AK318" s="1" t="s">
        <v>5201</v>
      </c>
      <c r="AL318" s="1" t="s">
        <v>6933</v>
      </c>
      <c r="AM318" s="1">
        <v>0.15</v>
      </c>
      <c r="AN318" s="1">
        <v>0.6</v>
      </c>
      <c r="AO318" s="1">
        <v>0.38</v>
      </c>
      <c r="AP318" s="1">
        <v>0.23</v>
      </c>
      <c r="AQ318" s="1">
        <v>3</v>
      </c>
      <c r="AR318" t="s">
        <v>1474</v>
      </c>
      <c r="AS318">
        <v>0</v>
      </c>
      <c r="AT318" t="s">
        <v>6934</v>
      </c>
      <c r="AU318">
        <v>10</v>
      </c>
      <c r="AV318">
        <v>19047</v>
      </c>
      <c r="AW318">
        <v>0</v>
      </c>
      <c r="AX318">
        <v>0</v>
      </c>
    </row>
    <row r="319" spans="1:50" x14ac:dyDescent="0.25">
      <c r="A319">
        <v>320</v>
      </c>
      <c r="B319" t="s">
        <v>6939</v>
      </c>
      <c r="C319" t="s">
        <v>6940</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1654</v>
      </c>
      <c r="AH319" s="1">
        <v>3120</v>
      </c>
      <c r="AI319" t="s">
        <v>1844</v>
      </c>
      <c r="AJ319">
        <v>0</v>
      </c>
      <c r="AK319" s="1" t="s">
        <v>6941</v>
      </c>
      <c r="AL319" s="1" t="s">
        <v>6942</v>
      </c>
      <c r="AM319" s="1">
        <v>0.3</v>
      </c>
      <c r="AN319" s="1">
        <v>0.25</v>
      </c>
      <c r="AO319" s="1">
        <v>0.12</v>
      </c>
      <c r="AP319" s="1">
        <v>0.38</v>
      </c>
      <c r="AQ319" s="1">
        <v>3</v>
      </c>
      <c r="AR319" t="s">
        <v>6943</v>
      </c>
      <c r="AS319">
        <v>0</v>
      </c>
      <c r="AT319" t="s">
        <v>1807</v>
      </c>
      <c r="AU319">
        <v>10</v>
      </c>
      <c r="AV319">
        <v>20051</v>
      </c>
      <c r="AW319">
        <v>0</v>
      </c>
      <c r="AX319">
        <v>0</v>
      </c>
    </row>
    <row r="320" spans="1:50" x14ac:dyDescent="0.25">
      <c r="A320">
        <v>321</v>
      </c>
      <c r="B320" t="s">
        <v>6944</v>
      </c>
      <c r="C320" t="s">
        <v>6945</v>
      </c>
      <c r="D320">
        <v>5</v>
      </c>
      <c r="E320">
        <v>2</v>
      </c>
      <c r="F320">
        <v>19</v>
      </c>
      <c r="G320" s="1" t="s">
        <v>471</v>
      </c>
      <c r="H320" s="1" t="s">
        <v>329</v>
      </c>
      <c r="I320" s="1" t="s">
        <v>329</v>
      </c>
      <c r="J320" s="1" t="s">
        <v>329</v>
      </c>
      <c r="K320" s="1" t="s">
        <v>329</v>
      </c>
      <c r="L320" s="1" t="s">
        <v>329</v>
      </c>
      <c r="M320" s="1" t="s">
        <v>329</v>
      </c>
      <c r="N320" s="1" t="s">
        <v>6946</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1668</v>
      </c>
      <c r="AH320" s="1">
        <v>3300</v>
      </c>
      <c r="AI320" t="s">
        <v>1844</v>
      </c>
      <c r="AJ320">
        <v>0</v>
      </c>
      <c r="AK320" s="1" t="s">
        <v>5391</v>
      </c>
      <c r="AL320" s="1" t="s">
        <v>6947</v>
      </c>
      <c r="AM320" s="1">
        <v>0.08</v>
      </c>
      <c r="AN320" s="1">
        <v>0.5</v>
      </c>
      <c r="AO320" s="1">
        <v>0.3</v>
      </c>
      <c r="AP320" s="1">
        <v>0.3</v>
      </c>
      <c r="AQ320" s="1">
        <v>3</v>
      </c>
      <c r="AR320" t="s">
        <v>6948</v>
      </c>
      <c r="AS320">
        <v>0</v>
      </c>
      <c r="AT320" t="s">
        <v>6949</v>
      </c>
      <c r="AU320">
        <v>10</v>
      </c>
      <c r="AV320">
        <v>19048</v>
      </c>
      <c r="AW320">
        <v>0</v>
      </c>
      <c r="AX320">
        <v>0</v>
      </c>
    </row>
    <row r="321" spans="1:50" x14ac:dyDescent="0.25">
      <c r="A321">
        <v>322</v>
      </c>
      <c r="B321" t="s">
        <v>6950</v>
      </c>
      <c r="C321" t="s">
        <v>6951</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1604</v>
      </c>
      <c r="AH321" s="1">
        <v>3300</v>
      </c>
      <c r="AI321" t="s">
        <v>1844</v>
      </c>
      <c r="AJ321">
        <v>0</v>
      </c>
      <c r="AK321" s="1" t="s">
        <v>6952</v>
      </c>
      <c r="AL321" s="1" t="s">
        <v>6953</v>
      </c>
      <c r="AM321" s="1">
        <v>0.08</v>
      </c>
      <c r="AN321" s="1">
        <v>0.5</v>
      </c>
      <c r="AO321" s="1">
        <v>0.3</v>
      </c>
      <c r="AP321" s="1">
        <v>0.3</v>
      </c>
      <c r="AQ321" s="1">
        <v>3</v>
      </c>
      <c r="AR321" t="s">
        <v>1553</v>
      </c>
      <c r="AS321">
        <v>0</v>
      </c>
      <c r="AT321" t="s">
        <v>1807</v>
      </c>
      <c r="AU321">
        <v>10</v>
      </c>
      <c r="AV321">
        <v>19049</v>
      </c>
      <c r="AW321">
        <v>0</v>
      </c>
      <c r="AX321">
        <v>0</v>
      </c>
    </row>
    <row r="322" spans="1:50" x14ac:dyDescent="0.25">
      <c r="A322">
        <v>323</v>
      </c>
      <c r="B322" t="s">
        <v>6954</v>
      </c>
      <c r="C322" t="s">
        <v>6955</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6956</v>
      </c>
      <c r="AJ322">
        <v>0</v>
      </c>
      <c r="AK322" s="1" t="s">
        <v>6957</v>
      </c>
      <c r="AL322" s="1" t="s">
        <v>6958</v>
      </c>
      <c r="AM322" s="1">
        <v>0.55000000000000004</v>
      </c>
      <c r="AN322" s="1">
        <v>0.23</v>
      </c>
      <c r="AO322" s="1">
        <v>0.23</v>
      </c>
      <c r="AP322" s="1">
        <v>0.23</v>
      </c>
      <c r="AQ322" s="1">
        <v>3</v>
      </c>
      <c r="AR322" t="s">
        <v>1522</v>
      </c>
      <c r="AS322">
        <v>0</v>
      </c>
      <c r="AT322" t="s">
        <v>1807</v>
      </c>
      <c r="AU322">
        <v>10</v>
      </c>
      <c r="AV322">
        <v>18109</v>
      </c>
      <c r="AW322">
        <v>0</v>
      </c>
      <c r="AX322">
        <v>0</v>
      </c>
    </row>
    <row r="323" spans="1:50" x14ac:dyDescent="0.25">
      <c r="A323">
        <v>324</v>
      </c>
      <c r="B323" t="s">
        <v>6959</v>
      </c>
      <c r="C323" t="s">
        <v>6960</v>
      </c>
      <c r="D323">
        <v>5</v>
      </c>
      <c r="E323">
        <v>1</v>
      </c>
      <c r="F323">
        <v>18</v>
      </c>
      <c r="G323" s="1" t="s">
        <v>399</v>
      </c>
      <c r="H323" s="1" t="s">
        <v>336</v>
      </c>
      <c r="I323" s="1" t="s">
        <v>329</v>
      </c>
      <c r="J323" s="1" t="s">
        <v>329</v>
      </c>
      <c r="K323" s="1" t="s">
        <v>329</v>
      </c>
      <c r="L323" s="1" t="s">
        <v>329</v>
      </c>
      <c r="M323" s="1" t="s">
        <v>6550</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1844</v>
      </c>
      <c r="AJ323">
        <v>0</v>
      </c>
      <c r="AK323" s="1" t="s">
        <v>6961</v>
      </c>
      <c r="AL323" s="1" t="s">
        <v>6962</v>
      </c>
      <c r="AM323" s="1">
        <v>0.45</v>
      </c>
      <c r="AN323" s="1">
        <v>0.15</v>
      </c>
      <c r="AO323" s="1">
        <v>0.3</v>
      </c>
      <c r="AP323" s="1">
        <v>0.15</v>
      </c>
      <c r="AQ323" s="1">
        <v>3</v>
      </c>
      <c r="AR323" t="s">
        <v>6553</v>
      </c>
      <c r="AS323">
        <v>0</v>
      </c>
      <c r="AT323" t="s">
        <v>1807</v>
      </c>
      <c r="AU323">
        <v>10</v>
      </c>
      <c r="AV323">
        <v>18110</v>
      </c>
      <c r="AW323">
        <v>0</v>
      </c>
      <c r="AX323">
        <v>0</v>
      </c>
    </row>
    <row r="324" spans="1:50" x14ac:dyDescent="0.25">
      <c r="A324">
        <v>325</v>
      </c>
      <c r="B324" t="s">
        <v>7057</v>
      </c>
      <c r="C324" t="s">
        <v>7058</v>
      </c>
      <c r="D324">
        <v>5</v>
      </c>
      <c r="E324">
        <v>1</v>
      </c>
      <c r="F324">
        <v>18</v>
      </c>
      <c r="G324" s="1" t="s">
        <v>329</v>
      </c>
      <c r="H324" s="1" t="s">
        <v>329</v>
      </c>
      <c r="I324" s="1" t="s">
        <v>329</v>
      </c>
      <c r="J324" s="1" t="s">
        <v>329</v>
      </c>
      <c r="K324" s="1" t="s">
        <v>329</v>
      </c>
      <c r="L324" s="1" t="s">
        <v>414</v>
      </c>
      <c r="M324" s="1" t="s">
        <v>7059</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1844</v>
      </c>
      <c r="AJ324">
        <v>0</v>
      </c>
      <c r="AK324" s="1" t="s">
        <v>7060</v>
      </c>
      <c r="AL324" s="1" t="s">
        <v>7061</v>
      </c>
      <c r="AM324" s="1">
        <v>0.45</v>
      </c>
      <c r="AN324" s="1">
        <v>0.15</v>
      </c>
      <c r="AO324" s="1">
        <v>0.3</v>
      </c>
      <c r="AP324" s="1">
        <v>0.15</v>
      </c>
      <c r="AQ324" s="1">
        <v>3</v>
      </c>
      <c r="AR324" t="s">
        <v>1569</v>
      </c>
      <c r="AS324">
        <v>0</v>
      </c>
      <c r="AT324" t="s">
        <v>1807</v>
      </c>
      <c r="AU324">
        <v>10</v>
      </c>
      <c r="AV324">
        <v>18111</v>
      </c>
      <c r="AW324">
        <v>0</v>
      </c>
      <c r="AX324">
        <v>0</v>
      </c>
    </row>
    <row r="325" spans="1:50" x14ac:dyDescent="0.25">
      <c r="A325">
        <v>326</v>
      </c>
      <c r="B325" t="s">
        <v>7062</v>
      </c>
      <c r="C325" t="s">
        <v>7063</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7016</v>
      </c>
      <c r="AH325" s="1">
        <v>2700</v>
      </c>
      <c r="AI325" t="s">
        <v>1844</v>
      </c>
      <c r="AJ325">
        <v>0</v>
      </c>
      <c r="AK325" s="1" t="s">
        <v>7064</v>
      </c>
      <c r="AL325" s="1" t="s">
        <v>7065</v>
      </c>
      <c r="AM325" s="1">
        <v>0.45</v>
      </c>
      <c r="AN325" s="1">
        <v>0.15</v>
      </c>
      <c r="AO325" s="1">
        <v>0.3</v>
      </c>
      <c r="AP325" s="1">
        <v>0.15</v>
      </c>
      <c r="AQ325" s="1">
        <v>3</v>
      </c>
      <c r="AR325" t="s">
        <v>1519</v>
      </c>
      <c r="AS325">
        <v>0</v>
      </c>
      <c r="AT325" t="s">
        <v>1807</v>
      </c>
      <c r="AU325">
        <v>10</v>
      </c>
      <c r="AV325">
        <v>18112</v>
      </c>
      <c r="AW325">
        <v>0</v>
      </c>
      <c r="AX325">
        <v>0</v>
      </c>
    </row>
    <row r="326" spans="1:50" x14ac:dyDescent="0.25">
      <c r="A326">
        <v>327</v>
      </c>
      <c r="B326" t="s">
        <v>7066</v>
      </c>
      <c r="C326" t="s">
        <v>7067</v>
      </c>
      <c r="D326">
        <v>5</v>
      </c>
      <c r="E326">
        <v>2</v>
      </c>
      <c r="F326">
        <v>19</v>
      </c>
      <c r="G326" s="1" t="s">
        <v>390</v>
      </c>
      <c r="H326" s="1" t="s">
        <v>7068</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6975</v>
      </c>
      <c r="AH326" s="1">
        <v>3600</v>
      </c>
      <c r="AI326" t="s">
        <v>1844</v>
      </c>
      <c r="AJ326">
        <v>0</v>
      </c>
      <c r="AK326" s="1" t="s">
        <v>7069</v>
      </c>
      <c r="AL326" s="1" t="s">
        <v>7070</v>
      </c>
      <c r="AM326" s="1">
        <v>0.48</v>
      </c>
      <c r="AN326" s="1">
        <v>0.48</v>
      </c>
      <c r="AO326" s="1">
        <v>0.08</v>
      </c>
      <c r="AP326" s="1">
        <v>0.25</v>
      </c>
      <c r="AQ326" s="1">
        <v>3</v>
      </c>
      <c r="AR326" t="s">
        <v>1476</v>
      </c>
      <c r="AS326">
        <v>0</v>
      </c>
      <c r="AT326" t="s">
        <v>1807</v>
      </c>
      <c r="AU326">
        <v>10</v>
      </c>
      <c r="AV326">
        <v>19050</v>
      </c>
      <c r="AW326">
        <v>0</v>
      </c>
      <c r="AX326">
        <v>0</v>
      </c>
    </row>
    <row r="327" spans="1:50" x14ac:dyDescent="0.25">
      <c r="A327">
        <v>328</v>
      </c>
      <c r="B327" t="s">
        <v>7071</v>
      </c>
      <c r="C327" t="s">
        <v>7072</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6985</v>
      </c>
      <c r="AH327" s="1">
        <v>3600</v>
      </c>
      <c r="AI327" t="s">
        <v>1844</v>
      </c>
      <c r="AJ327">
        <v>0</v>
      </c>
      <c r="AK327" s="1" t="s">
        <v>7073</v>
      </c>
      <c r="AL327" s="1" t="s">
        <v>7074</v>
      </c>
      <c r="AM327" s="1">
        <v>0.48</v>
      </c>
      <c r="AN327" s="1">
        <v>0.48</v>
      </c>
      <c r="AO327" s="1">
        <v>0.08</v>
      </c>
      <c r="AP327" s="1">
        <v>0.25</v>
      </c>
      <c r="AQ327" s="1">
        <v>3</v>
      </c>
      <c r="AR327" t="s">
        <v>1494</v>
      </c>
      <c r="AS327">
        <v>0</v>
      </c>
      <c r="AT327" t="s">
        <v>2469</v>
      </c>
      <c r="AU327">
        <v>10</v>
      </c>
      <c r="AV327">
        <v>19051</v>
      </c>
      <c r="AW327">
        <v>0</v>
      </c>
      <c r="AX327">
        <v>0</v>
      </c>
    </row>
    <row r="328" spans="1:50" x14ac:dyDescent="0.25">
      <c r="A328">
        <v>329</v>
      </c>
      <c r="B328" t="s">
        <v>7075</v>
      </c>
      <c r="C328" t="s">
        <v>7076</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7000</v>
      </c>
      <c r="AH328" s="1">
        <v>3060</v>
      </c>
      <c r="AI328" t="s">
        <v>1844</v>
      </c>
      <c r="AJ328">
        <v>0</v>
      </c>
      <c r="AK328" s="1" t="s">
        <v>7077</v>
      </c>
      <c r="AL328" s="1" t="s">
        <v>7078</v>
      </c>
      <c r="AM328" s="1">
        <v>0.3</v>
      </c>
      <c r="AN328" s="1">
        <v>0.23</v>
      </c>
      <c r="AO328" s="1">
        <v>0.15</v>
      </c>
      <c r="AP328" s="1">
        <v>0.38</v>
      </c>
      <c r="AQ328" s="1">
        <v>3</v>
      </c>
      <c r="AR328" t="s">
        <v>1584</v>
      </c>
      <c r="AS328">
        <v>0</v>
      </c>
      <c r="AT328" t="s">
        <v>1807</v>
      </c>
      <c r="AU328">
        <v>10</v>
      </c>
      <c r="AV328">
        <v>20052</v>
      </c>
      <c r="AW328">
        <v>0</v>
      </c>
      <c r="AX328">
        <v>0</v>
      </c>
    </row>
    <row r="329" spans="1:50" x14ac:dyDescent="0.25">
      <c r="A329">
        <v>330</v>
      </c>
      <c r="B329" t="s">
        <v>7079</v>
      </c>
      <c r="C329" t="s">
        <v>7080</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7009</v>
      </c>
      <c r="AH329" s="1">
        <v>3060</v>
      </c>
      <c r="AI329" t="s">
        <v>1844</v>
      </c>
      <c r="AJ329">
        <v>0</v>
      </c>
      <c r="AK329" s="1" t="s">
        <v>7081</v>
      </c>
      <c r="AL329" s="1" t="s">
        <v>7082</v>
      </c>
      <c r="AM329" s="1">
        <v>0.3</v>
      </c>
      <c r="AN329" s="1">
        <v>0.23</v>
      </c>
      <c r="AO329" s="1">
        <v>0.15</v>
      </c>
      <c r="AP329" s="1">
        <v>0.38</v>
      </c>
      <c r="AQ329" s="1">
        <v>3</v>
      </c>
      <c r="AR329" t="s">
        <v>7083</v>
      </c>
      <c r="AS329">
        <v>0</v>
      </c>
      <c r="AT329" t="s">
        <v>1807</v>
      </c>
      <c r="AU329">
        <v>10</v>
      </c>
      <c r="AV329">
        <v>20053</v>
      </c>
      <c r="AW329">
        <v>0</v>
      </c>
      <c r="AX329">
        <v>0</v>
      </c>
    </row>
    <row r="330" spans="1:50" x14ac:dyDescent="0.25">
      <c r="A330">
        <v>331</v>
      </c>
      <c r="B330" t="s">
        <v>7084</v>
      </c>
      <c r="C330" t="s">
        <v>7085</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7024</v>
      </c>
      <c r="AH330" s="1">
        <v>3060</v>
      </c>
      <c r="AI330" t="s">
        <v>1844</v>
      </c>
      <c r="AJ330">
        <v>0</v>
      </c>
      <c r="AK330" s="1" t="s">
        <v>7086</v>
      </c>
      <c r="AL330" s="1" t="s">
        <v>7087</v>
      </c>
      <c r="AM330" s="1">
        <v>0.23</v>
      </c>
      <c r="AN330" s="1">
        <v>0.23</v>
      </c>
      <c r="AO330" s="1">
        <v>0.33</v>
      </c>
      <c r="AP330" s="1">
        <v>0.38</v>
      </c>
      <c r="AQ330" s="1">
        <v>3</v>
      </c>
      <c r="AR330" t="s">
        <v>7088</v>
      </c>
      <c r="AS330">
        <v>0</v>
      </c>
      <c r="AT330" t="s">
        <v>1807</v>
      </c>
      <c r="AU330">
        <v>10</v>
      </c>
      <c r="AV330">
        <v>20054</v>
      </c>
      <c r="AW330">
        <v>0</v>
      </c>
      <c r="AX330">
        <v>0</v>
      </c>
    </row>
    <row r="331" spans="1:50" x14ac:dyDescent="0.25">
      <c r="A331">
        <v>332</v>
      </c>
      <c r="B331" t="s">
        <v>7103</v>
      </c>
      <c r="C331" t="s">
        <v>7104</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1629</v>
      </c>
      <c r="AH331" s="1">
        <v>3060</v>
      </c>
      <c r="AI331" t="s">
        <v>7105</v>
      </c>
      <c r="AJ331">
        <v>0</v>
      </c>
      <c r="AK331" s="1" t="s">
        <v>7106</v>
      </c>
      <c r="AL331" s="1" t="s">
        <v>7107</v>
      </c>
      <c r="AM331" s="1">
        <v>0.45</v>
      </c>
      <c r="AN331" s="1">
        <v>0.15</v>
      </c>
      <c r="AO331" s="1">
        <v>0.3</v>
      </c>
      <c r="AP331" s="1">
        <v>0.15</v>
      </c>
      <c r="AQ331" s="1">
        <v>3</v>
      </c>
      <c r="AR331" t="s">
        <v>1573</v>
      </c>
      <c r="AS331">
        <v>0</v>
      </c>
      <c r="AT331" t="s">
        <v>7108</v>
      </c>
      <c r="AU331">
        <v>10</v>
      </c>
      <c r="AV331">
        <v>18113</v>
      </c>
      <c r="AW331">
        <v>0</v>
      </c>
      <c r="AX331">
        <v>0</v>
      </c>
    </row>
    <row r="332" spans="1:50" x14ac:dyDescent="0.25">
      <c r="A332">
        <v>333</v>
      </c>
      <c r="B332" t="s">
        <v>7176</v>
      </c>
      <c r="C332" t="s">
        <v>7177</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7146</v>
      </c>
      <c r="AH332" s="1">
        <v>3540</v>
      </c>
      <c r="AI332" t="s">
        <v>1844</v>
      </c>
      <c r="AJ332">
        <v>0</v>
      </c>
      <c r="AK332" s="1" t="s">
        <v>7175</v>
      </c>
      <c r="AL332" s="1" t="s">
        <v>7178</v>
      </c>
      <c r="AM332" s="1">
        <v>0.1</v>
      </c>
      <c r="AN332" s="1">
        <v>0.1</v>
      </c>
      <c r="AO332" s="1">
        <v>0.1</v>
      </c>
      <c r="AP332" s="1">
        <v>0.55000000000000004</v>
      </c>
      <c r="AQ332" s="1">
        <v>3</v>
      </c>
      <c r="AR332" t="s">
        <v>1474</v>
      </c>
      <c r="AS332">
        <v>0</v>
      </c>
      <c r="AT332" t="s">
        <v>6835</v>
      </c>
      <c r="AU332">
        <v>10</v>
      </c>
      <c r="AV332">
        <v>20055</v>
      </c>
      <c r="AW332">
        <v>0</v>
      </c>
      <c r="AX332">
        <v>0</v>
      </c>
    </row>
    <row r="333" spans="1:50" x14ac:dyDescent="0.25">
      <c r="A333">
        <v>334</v>
      </c>
      <c r="B333" t="s">
        <v>7179</v>
      </c>
      <c r="C333" t="s">
        <v>7180</v>
      </c>
      <c r="D333">
        <v>5</v>
      </c>
      <c r="E333">
        <v>3</v>
      </c>
      <c r="F333">
        <v>20</v>
      </c>
      <c r="G333" s="1" t="s">
        <v>1608</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7153</v>
      </c>
      <c r="AH333" s="1">
        <v>3120</v>
      </c>
      <c r="AI333" t="s">
        <v>1844</v>
      </c>
      <c r="AJ333">
        <v>0</v>
      </c>
      <c r="AK333" s="1" t="s">
        <v>7181</v>
      </c>
      <c r="AL333" s="1" t="s">
        <v>7182</v>
      </c>
      <c r="AM333" s="1">
        <v>0.3</v>
      </c>
      <c r="AN333" s="1">
        <v>0.25</v>
      </c>
      <c r="AO333" s="1">
        <v>0.12</v>
      </c>
      <c r="AP333" s="1">
        <v>0.38</v>
      </c>
      <c r="AQ333" s="1">
        <v>3</v>
      </c>
      <c r="AR333" t="s">
        <v>1479</v>
      </c>
      <c r="AS333">
        <v>0</v>
      </c>
      <c r="AT333" t="s">
        <v>1807</v>
      </c>
      <c r="AU333">
        <v>10</v>
      </c>
      <c r="AV333">
        <v>20056</v>
      </c>
      <c r="AW333">
        <v>0</v>
      </c>
      <c r="AX333">
        <v>0</v>
      </c>
    </row>
    <row r="334" spans="1:50" x14ac:dyDescent="0.25">
      <c r="A334">
        <v>335</v>
      </c>
      <c r="B334" t="s">
        <v>7183</v>
      </c>
      <c r="C334" t="s">
        <v>7184</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7197</v>
      </c>
      <c r="AH334" s="1">
        <v>3600</v>
      </c>
      <c r="AI334" t="s">
        <v>6505</v>
      </c>
      <c r="AJ334">
        <v>0</v>
      </c>
      <c r="AK334" s="1" t="s">
        <v>7174</v>
      </c>
      <c r="AL334" s="1" t="s">
        <v>7185</v>
      </c>
      <c r="AM334" s="1">
        <v>0.48</v>
      </c>
      <c r="AN334" s="1">
        <v>0.48</v>
      </c>
      <c r="AO334" s="1">
        <v>0.08</v>
      </c>
      <c r="AP334" s="1">
        <v>0.25</v>
      </c>
      <c r="AQ334" s="1">
        <v>3</v>
      </c>
      <c r="AR334" t="s">
        <v>1494</v>
      </c>
      <c r="AS334">
        <v>0</v>
      </c>
      <c r="AT334" t="s">
        <v>6507</v>
      </c>
      <c r="AU334">
        <v>10</v>
      </c>
      <c r="AV334">
        <v>19052</v>
      </c>
      <c r="AW334">
        <v>0</v>
      </c>
      <c r="AX334">
        <v>0</v>
      </c>
    </row>
    <row r="335" spans="1:50" x14ac:dyDescent="0.25">
      <c r="A335">
        <v>336</v>
      </c>
      <c r="B335" t="s">
        <v>7186</v>
      </c>
      <c r="C335" t="s">
        <v>7187</v>
      </c>
      <c r="D335">
        <v>5</v>
      </c>
      <c r="E335">
        <v>3</v>
      </c>
      <c r="F335">
        <v>20</v>
      </c>
      <c r="G335" s="1" t="s">
        <v>329</v>
      </c>
      <c r="H335" s="1" t="s">
        <v>329</v>
      </c>
      <c r="I335" s="1" t="s">
        <v>329</v>
      </c>
      <c r="J335" s="1" t="s">
        <v>331</v>
      </c>
      <c r="K335" s="1" t="s">
        <v>329</v>
      </c>
      <c r="L335" s="1" t="s">
        <v>329</v>
      </c>
      <c r="M335" s="1" t="s">
        <v>329</v>
      </c>
      <c r="N335" s="1" t="s">
        <v>329</v>
      </c>
      <c r="O335" s="1" t="s">
        <v>7188</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7168</v>
      </c>
      <c r="AH335" s="1">
        <v>3060</v>
      </c>
      <c r="AI335" t="s">
        <v>1844</v>
      </c>
      <c r="AJ335">
        <v>0</v>
      </c>
      <c r="AK335" s="1" t="s">
        <v>7189</v>
      </c>
      <c r="AL335" s="1" t="s">
        <v>7190</v>
      </c>
      <c r="AM335" s="1">
        <v>0.23</v>
      </c>
      <c r="AN335" s="1">
        <v>0.23</v>
      </c>
      <c r="AO335" s="1">
        <v>0.33</v>
      </c>
      <c r="AP335" s="1">
        <v>0.38</v>
      </c>
      <c r="AQ335" s="1">
        <v>3</v>
      </c>
      <c r="AR335" t="s">
        <v>1586</v>
      </c>
      <c r="AS335">
        <v>0</v>
      </c>
      <c r="AT335" t="s">
        <v>7191</v>
      </c>
      <c r="AU335">
        <v>10</v>
      </c>
      <c r="AV335">
        <v>20057</v>
      </c>
      <c r="AW335">
        <v>0</v>
      </c>
      <c r="AX335">
        <v>0</v>
      </c>
    </row>
    <row r="336" spans="1:50" x14ac:dyDescent="0.25">
      <c r="A336">
        <v>339</v>
      </c>
      <c r="B336" t="s">
        <v>7192</v>
      </c>
      <c r="C336" t="s">
        <v>7193</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1844</v>
      </c>
      <c r="AJ336">
        <v>0</v>
      </c>
      <c r="AK336" s="1" t="s">
        <v>7194</v>
      </c>
      <c r="AL336" s="1" t="s">
        <v>7195</v>
      </c>
      <c r="AM336" s="1">
        <v>0.08</v>
      </c>
      <c r="AN336" s="1">
        <v>0.5</v>
      </c>
      <c r="AO336" s="1">
        <v>0.3</v>
      </c>
      <c r="AP336" s="1">
        <v>0.3</v>
      </c>
      <c r="AQ336" s="1">
        <v>3</v>
      </c>
      <c r="AR336" t="s">
        <v>1553</v>
      </c>
      <c r="AS336">
        <v>0</v>
      </c>
      <c r="AT336" t="s">
        <v>7196</v>
      </c>
      <c r="AU336">
        <v>10</v>
      </c>
      <c r="AV336">
        <v>19053</v>
      </c>
      <c r="AW336">
        <v>0</v>
      </c>
      <c r="AX336">
        <v>0</v>
      </c>
    </row>
    <row r="337" spans="1:50" x14ac:dyDescent="0.25">
      <c r="A337">
        <v>337</v>
      </c>
      <c r="B337" t="s">
        <v>7285</v>
      </c>
      <c r="C337" t="s">
        <v>7286</v>
      </c>
      <c r="D337">
        <v>5</v>
      </c>
      <c r="E337">
        <v>2</v>
      </c>
      <c r="F337">
        <v>19</v>
      </c>
      <c r="G337" s="1" t="s">
        <v>329</v>
      </c>
      <c r="H337" s="1" t="s">
        <v>329</v>
      </c>
      <c r="I337" s="1" t="s">
        <v>329</v>
      </c>
      <c r="J337" s="1" t="s">
        <v>329</v>
      </c>
      <c r="K337" s="1" t="s">
        <v>471</v>
      </c>
      <c r="L337" s="1" t="s">
        <v>329</v>
      </c>
      <c r="M337" s="1" t="s">
        <v>329</v>
      </c>
      <c r="N337" s="1" t="s">
        <v>6918</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8122</v>
      </c>
      <c r="AH337" s="1">
        <v>3300</v>
      </c>
      <c r="AI337" t="s">
        <v>1844</v>
      </c>
      <c r="AJ337">
        <v>0</v>
      </c>
      <c r="AK337" s="1" t="s">
        <v>7287</v>
      </c>
      <c r="AL337" s="1" t="s">
        <v>7288</v>
      </c>
      <c r="AM337" s="1">
        <v>0.08</v>
      </c>
      <c r="AN337" s="1">
        <v>0.5</v>
      </c>
      <c r="AO337" s="1">
        <v>0.3</v>
      </c>
      <c r="AP337" s="1">
        <v>0.3</v>
      </c>
      <c r="AQ337" s="1">
        <v>3</v>
      </c>
      <c r="AR337" t="s">
        <v>7289</v>
      </c>
      <c r="AS337">
        <v>0</v>
      </c>
      <c r="AT337" t="s">
        <v>7290</v>
      </c>
      <c r="AU337">
        <v>10</v>
      </c>
      <c r="AV337">
        <v>19053</v>
      </c>
      <c r="AW337">
        <v>3</v>
      </c>
      <c r="AX337">
        <v>0</v>
      </c>
    </row>
    <row r="338" spans="1:50" x14ac:dyDescent="0.25">
      <c r="A338">
        <v>338</v>
      </c>
      <c r="B338" t="s">
        <v>7291</v>
      </c>
      <c r="C338" t="s">
        <v>7292</v>
      </c>
      <c r="D338">
        <v>5</v>
      </c>
      <c r="E338">
        <v>1</v>
      </c>
      <c r="F338">
        <v>16</v>
      </c>
      <c r="G338" s="1" t="s">
        <v>329</v>
      </c>
      <c r="H338" s="1" t="s">
        <v>329</v>
      </c>
      <c r="I338" s="1" t="s">
        <v>329</v>
      </c>
      <c r="J338" s="1" t="s">
        <v>329</v>
      </c>
      <c r="K338" s="1" t="s">
        <v>471</v>
      </c>
      <c r="L338" s="1" t="s">
        <v>329</v>
      </c>
      <c r="M338" s="1" t="s">
        <v>6628</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8123</v>
      </c>
      <c r="AH338" s="1">
        <v>3600</v>
      </c>
      <c r="AI338" t="s">
        <v>1919</v>
      </c>
      <c r="AJ338">
        <v>0</v>
      </c>
      <c r="AK338" s="1" t="s">
        <v>7293</v>
      </c>
      <c r="AL338" s="1" t="s">
        <v>7294</v>
      </c>
      <c r="AM338" s="1">
        <v>0.5</v>
      </c>
      <c r="AN338" s="1">
        <v>0.25</v>
      </c>
      <c r="AO338" s="1">
        <v>0.55000000000000004</v>
      </c>
      <c r="AP338" s="1">
        <v>0.15</v>
      </c>
      <c r="AQ338" s="1">
        <v>3</v>
      </c>
      <c r="AR338" t="s">
        <v>7295</v>
      </c>
      <c r="AS338">
        <v>0</v>
      </c>
      <c r="AT338" t="s">
        <v>7296</v>
      </c>
      <c r="AU338">
        <v>10</v>
      </c>
      <c r="AV338">
        <v>18114</v>
      </c>
      <c r="AW338">
        <v>4</v>
      </c>
      <c r="AX338">
        <v>0</v>
      </c>
    </row>
    <row r="339" spans="1:50" x14ac:dyDescent="0.25">
      <c r="A339">
        <v>340</v>
      </c>
      <c r="B339" t="s">
        <v>7297</v>
      </c>
      <c r="C339" t="s">
        <v>7298</v>
      </c>
      <c r="D339">
        <v>5</v>
      </c>
      <c r="E339">
        <v>2</v>
      </c>
      <c r="F339">
        <v>19</v>
      </c>
      <c r="G339" s="1" t="s">
        <v>365</v>
      </c>
      <c r="H339" s="1" t="s">
        <v>329</v>
      </c>
      <c r="I339" s="1" t="s">
        <v>329</v>
      </c>
      <c r="J339" s="1" t="s">
        <v>329</v>
      </c>
      <c r="K339" s="1" t="s">
        <v>329</v>
      </c>
      <c r="L339" s="1" t="s">
        <v>329</v>
      </c>
      <c r="M339" s="1" t="s">
        <v>329</v>
      </c>
      <c r="N339" s="1" t="s">
        <v>7299</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7307</v>
      </c>
      <c r="AH339" s="1">
        <v>3300</v>
      </c>
      <c r="AI339" t="s">
        <v>1844</v>
      </c>
      <c r="AJ339">
        <v>0</v>
      </c>
      <c r="AK339" s="1" t="s">
        <v>381</v>
      </c>
      <c r="AL339" s="1" t="s">
        <v>7300</v>
      </c>
      <c r="AM339" s="1">
        <v>0.08</v>
      </c>
      <c r="AN339" s="1">
        <v>0.5</v>
      </c>
      <c r="AO339" s="1">
        <v>0.3</v>
      </c>
      <c r="AP339" s="1">
        <v>0.3</v>
      </c>
      <c r="AQ339" s="1">
        <v>3</v>
      </c>
      <c r="AR339" t="s">
        <v>6948</v>
      </c>
      <c r="AS339">
        <v>0</v>
      </c>
      <c r="AT339" t="s">
        <v>7301</v>
      </c>
      <c r="AU339">
        <v>10</v>
      </c>
      <c r="AV339">
        <v>19055</v>
      </c>
      <c r="AW339">
        <v>0</v>
      </c>
      <c r="AX339">
        <v>0</v>
      </c>
    </row>
    <row r="340" spans="1:50" x14ac:dyDescent="0.25">
      <c r="A340">
        <v>341</v>
      </c>
      <c r="B340" t="s">
        <v>7302</v>
      </c>
      <c r="C340" t="s">
        <v>7303</v>
      </c>
      <c r="D340">
        <v>5</v>
      </c>
      <c r="E340">
        <v>2</v>
      </c>
      <c r="F340">
        <v>19</v>
      </c>
      <c r="G340" s="1" t="s">
        <v>471</v>
      </c>
      <c r="H340" s="1" t="s">
        <v>329</v>
      </c>
      <c r="I340" s="1" t="s">
        <v>329</v>
      </c>
      <c r="J340" s="1" t="s">
        <v>329</v>
      </c>
      <c r="K340" s="1" t="s">
        <v>329</v>
      </c>
      <c r="L340" s="1" t="s">
        <v>329</v>
      </c>
      <c r="M340" s="1" t="s">
        <v>329</v>
      </c>
      <c r="N340" s="1" t="s">
        <v>7304</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1652</v>
      </c>
      <c r="AH340" s="1">
        <v>3300</v>
      </c>
      <c r="AI340" t="s">
        <v>1844</v>
      </c>
      <c r="AJ340">
        <v>0</v>
      </c>
      <c r="AK340" s="1" t="s">
        <v>6983</v>
      </c>
      <c r="AL340" s="1" t="s">
        <v>7305</v>
      </c>
      <c r="AM340" s="1">
        <v>0.08</v>
      </c>
      <c r="AN340" s="1">
        <v>0.5</v>
      </c>
      <c r="AO340" s="1">
        <v>0.3</v>
      </c>
      <c r="AP340" s="1">
        <v>0.3</v>
      </c>
      <c r="AQ340" s="1">
        <v>3</v>
      </c>
      <c r="AR340" t="s">
        <v>6948</v>
      </c>
      <c r="AS340">
        <v>0</v>
      </c>
      <c r="AT340" t="s">
        <v>7306</v>
      </c>
      <c r="AU340">
        <v>10</v>
      </c>
      <c r="AV340">
        <v>19056</v>
      </c>
      <c r="AW340">
        <v>0</v>
      </c>
      <c r="AX340">
        <v>0</v>
      </c>
    </row>
    <row r="341" spans="1:50" x14ac:dyDescent="0.25">
      <c r="A341">
        <v>342</v>
      </c>
      <c r="B341" t="s">
        <v>7961</v>
      </c>
      <c r="C341" t="s">
        <v>7962</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8124</v>
      </c>
      <c r="AH341" s="1">
        <v>3600</v>
      </c>
      <c r="AI341" t="s">
        <v>1844</v>
      </c>
      <c r="AJ341">
        <v>0</v>
      </c>
      <c r="AK341" s="1" t="s">
        <v>7963</v>
      </c>
      <c r="AL341" s="1" t="s">
        <v>7964</v>
      </c>
      <c r="AM341" s="1">
        <v>0.48</v>
      </c>
      <c r="AN341" s="1">
        <v>0.48</v>
      </c>
      <c r="AO341" s="1">
        <v>0.08</v>
      </c>
      <c r="AP341" s="1">
        <v>0.25</v>
      </c>
      <c r="AQ341" s="1">
        <v>3</v>
      </c>
      <c r="AR341" t="s">
        <v>1471</v>
      </c>
      <c r="AS341">
        <v>0</v>
      </c>
      <c r="AT341" t="s">
        <v>7965</v>
      </c>
      <c r="AU341">
        <v>10</v>
      </c>
      <c r="AV341">
        <v>19057</v>
      </c>
      <c r="AW341">
        <v>5</v>
      </c>
      <c r="AX341">
        <v>0</v>
      </c>
    </row>
    <row r="342" spans="1:50" x14ac:dyDescent="0.25">
      <c r="A342">
        <v>343</v>
      </c>
      <c r="B342" t="s">
        <v>7966</v>
      </c>
      <c r="C342" t="s">
        <v>7967</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8125</v>
      </c>
      <c r="AH342" s="1">
        <v>3600</v>
      </c>
      <c r="AI342" t="s">
        <v>1844</v>
      </c>
      <c r="AJ342">
        <v>0</v>
      </c>
      <c r="AK342" s="1" t="s">
        <v>7968</v>
      </c>
      <c r="AL342" s="1" t="s">
        <v>7969</v>
      </c>
      <c r="AM342" s="1">
        <v>0.48</v>
      </c>
      <c r="AN342" s="1">
        <v>0.48</v>
      </c>
      <c r="AO342" s="1">
        <v>0.08</v>
      </c>
      <c r="AP342" s="1">
        <v>0.25</v>
      </c>
      <c r="AQ342" s="1">
        <v>3</v>
      </c>
      <c r="AR342" t="s">
        <v>1471</v>
      </c>
      <c r="AS342">
        <v>0</v>
      </c>
      <c r="AT342" t="s">
        <v>7970</v>
      </c>
      <c r="AU342">
        <v>10</v>
      </c>
      <c r="AV342">
        <v>19058</v>
      </c>
      <c r="AW342">
        <v>6</v>
      </c>
      <c r="AX342">
        <v>0</v>
      </c>
    </row>
    <row r="343" spans="1:50" x14ac:dyDescent="0.25">
      <c r="A343">
        <v>344</v>
      </c>
      <c r="B343" t="s">
        <v>7975</v>
      </c>
      <c r="C343" t="s">
        <v>7976</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3214</v>
      </c>
      <c r="AH343" s="1">
        <v>3540</v>
      </c>
      <c r="AI343" t="s">
        <v>1844</v>
      </c>
      <c r="AJ343">
        <v>0</v>
      </c>
      <c r="AK343" s="1" t="s">
        <v>7977</v>
      </c>
      <c r="AL343" s="1" t="s">
        <v>7978</v>
      </c>
      <c r="AM343" s="1">
        <v>0.45</v>
      </c>
      <c r="AN343" s="1">
        <v>0.15</v>
      </c>
      <c r="AO343" s="1">
        <v>0.3</v>
      </c>
      <c r="AP343" s="1">
        <v>0.15</v>
      </c>
      <c r="AQ343" s="1">
        <v>3</v>
      </c>
      <c r="AR343" t="s">
        <v>1567</v>
      </c>
      <c r="AS343">
        <v>0</v>
      </c>
      <c r="AT343" t="s">
        <v>1807</v>
      </c>
      <c r="AU343">
        <v>10</v>
      </c>
      <c r="AV343">
        <v>18114</v>
      </c>
      <c r="AW343">
        <v>0</v>
      </c>
      <c r="AX343">
        <v>0</v>
      </c>
    </row>
    <row r="344" spans="1:50" x14ac:dyDescent="0.25">
      <c r="A344">
        <v>345</v>
      </c>
      <c r="B344" t="s">
        <v>7979</v>
      </c>
      <c r="C344" t="s">
        <v>7980</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1844</v>
      </c>
      <c r="AJ344">
        <v>0</v>
      </c>
      <c r="AK344" s="1" t="s">
        <v>5417</v>
      </c>
      <c r="AL344" s="1" t="s">
        <v>7981</v>
      </c>
      <c r="AM344" s="1">
        <v>0.45</v>
      </c>
      <c r="AN344" s="1">
        <v>0.15</v>
      </c>
      <c r="AO344" s="1">
        <v>0.3</v>
      </c>
      <c r="AP344" s="1">
        <v>0.15</v>
      </c>
      <c r="AQ344" s="1">
        <v>3</v>
      </c>
      <c r="AR344" t="s">
        <v>1522</v>
      </c>
      <c r="AS344">
        <v>0</v>
      </c>
      <c r="AT344" t="s">
        <v>1807</v>
      </c>
      <c r="AU344">
        <v>10</v>
      </c>
      <c r="AV344">
        <v>18115</v>
      </c>
      <c r="AW344">
        <v>0</v>
      </c>
      <c r="AX344">
        <v>0</v>
      </c>
    </row>
    <row r="345" spans="1:50" x14ac:dyDescent="0.25">
      <c r="A345">
        <v>346</v>
      </c>
      <c r="B345" t="s">
        <v>7982</v>
      </c>
      <c r="C345" t="s">
        <v>7983</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1844</v>
      </c>
      <c r="AJ345">
        <v>0</v>
      </c>
      <c r="AK345" s="1" t="s">
        <v>4859</v>
      </c>
      <c r="AL345" s="1" t="s">
        <v>7984</v>
      </c>
      <c r="AM345" s="1">
        <v>0.48</v>
      </c>
      <c r="AN345" s="1">
        <v>0.48</v>
      </c>
      <c r="AO345" s="1">
        <v>0.08</v>
      </c>
      <c r="AP345" s="1">
        <v>0.25</v>
      </c>
      <c r="AQ345" s="1">
        <v>3</v>
      </c>
      <c r="AR345" t="s">
        <v>1474</v>
      </c>
      <c r="AS345">
        <v>0</v>
      </c>
      <c r="AT345" t="s">
        <v>1807</v>
      </c>
      <c r="AU345">
        <v>10</v>
      </c>
      <c r="AV345">
        <v>19059</v>
      </c>
      <c r="AW345">
        <v>0</v>
      </c>
      <c r="AX345">
        <v>0</v>
      </c>
    </row>
    <row r="346" spans="1:50" x14ac:dyDescent="0.25">
      <c r="A346">
        <v>347</v>
      </c>
      <c r="B346" t="s">
        <v>7985</v>
      </c>
      <c r="C346" t="s">
        <v>7986</v>
      </c>
      <c r="D346">
        <v>5</v>
      </c>
      <c r="E346">
        <v>3</v>
      </c>
      <c r="F346">
        <v>20</v>
      </c>
      <c r="G346" s="1" t="s">
        <v>329</v>
      </c>
      <c r="H346" s="1" t="s">
        <v>329</v>
      </c>
      <c r="I346" s="1" t="s">
        <v>329</v>
      </c>
      <c r="J346" s="1" t="s">
        <v>330</v>
      </c>
      <c r="K346" s="1" t="s">
        <v>329</v>
      </c>
      <c r="L346" s="1" t="s">
        <v>329</v>
      </c>
      <c r="M346" s="1" t="s">
        <v>329</v>
      </c>
      <c r="N346" s="1" t="s">
        <v>329</v>
      </c>
      <c r="O346" s="1" t="s">
        <v>4826</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1844</v>
      </c>
      <c r="AJ346">
        <v>0</v>
      </c>
      <c r="AK346" s="1" t="s">
        <v>7987</v>
      </c>
      <c r="AL346" s="1" t="s">
        <v>7988</v>
      </c>
      <c r="AM346" s="1">
        <v>0.23</v>
      </c>
      <c r="AN346" s="1">
        <v>0.23</v>
      </c>
      <c r="AO346" s="1">
        <v>0.33</v>
      </c>
      <c r="AP346" s="1">
        <v>0.38</v>
      </c>
      <c r="AQ346" s="1">
        <v>3</v>
      </c>
      <c r="AR346" t="s">
        <v>7989</v>
      </c>
      <c r="AS346">
        <v>0</v>
      </c>
      <c r="AT346" t="s">
        <v>7990</v>
      </c>
      <c r="AU346">
        <v>10</v>
      </c>
      <c r="AV346">
        <v>20058</v>
      </c>
      <c r="AW346">
        <v>0</v>
      </c>
      <c r="AX346">
        <v>0</v>
      </c>
    </row>
    <row r="347" spans="1:50" x14ac:dyDescent="0.25">
      <c r="A347">
        <v>348</v>
      </c>
      <c r="B347" t="s">
        <v>8028</v>
      </c>
      <c r="C347" t="s">
        <v>8029</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8126</v>
      </c>
      <c r="AH347" s="1">
        <v>3600</v>
      </c>
      <c r="AI347" t="s">
        <v>1844</v>
      </c>
      <c r="AJ347">
        <v>0</v>
      </c>
      <c r="AK347" s="1" t="s">
        <v>8030</v>
      </c>
      <c r="AL347" s="1" t="s">
        <v>8031</v>
      </c>
      <c r="AM347" s="1">
        <v>0.48</v>
      </c>
      <c r="AN347" s="1">
        <v>0.48</v>
      </c>
      <c r="AO347" s="1">
        <v>0.08</v>
      </c>
      <c r="AP347" s="1">
        <v>0.25</v>
      </c>
      <c r="AQ347" s="1">
        <v>3</v>
      </c>
      <c r="AR347" t="s">
        <v>1529</v>
      </c>
      <c r="AS347">
        <v>0</v>
      </c>
      <c r="AT347" t="s">
        <v>8032</v>
      </c>
      <c r="AU347">
        <v>10</v>
      </c>
      <c r="AV347">
        <v>19060</v>
      </c>
      <c r="AW347">
        <v>7</v>
      </c>
      <c r="AX347">
        <v>0</v>
      </c>
    </row>
    <row r="348" spans="1:50" x14ac:dyDescent="0.25">
      <c r="A348">
        <v>349</v>
      </c>
      <c r="B348" t="s">
        <v>8033</v>
      </c>
      <c r="C348" t="s">
        <v>8034</v>
      </c>
      <c r="D348">
        <v>5</v>
      </c>
      <c r="E348">
        <v>3</v>
      </c>
      <c r="F348">
        <v>20</v>
      </c>
      <c r="G348" s="1" t="s">
        <v>471</v>
      </c>
      <c r="H348" s="1" t="s">
        <v>329</v>
      </c>
      <c r="I348" s="1" t="s">
        <v>329</v>
      </c>
      <c r="J348" s="1" t="s">
        <v>4826</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8127</v>
      </c>
      <c r="AH348" s="1">
        <v>3540</v>
      </c>
      <c r="AI348" t="s">
        <v>1844</v>
      </c>
      <c r="AJ348">
        <v>0</v>
      </c>
      <c r="AK348" s="1" t="s">
        <v>8035</v>
      </c>
      <c r="AL348" s="1" t="s">
        <v>8036</v>
      </c>
      <c r="AM348" s="1">
        <v>0.1</v>
      </c>
      <c r="AN348" s="1">
        <v>0.1</v>
      </c>
      <c r="AO348" s="1">
        <v>0.1</v>
      </c>
      <c r="AP348" s="1">
        <v>0.55000000000000004</v>
      </c>
      <c r="AQ348" s="1">
        <v>3</v>
      </c>
      <c r="AR348" t="s">
        <v>1476</v>
      </c>
      <c r="AS348">
        <v>0</v>
      </c>
      <c r="AT348" t="s">
        <v>8037</v>
      </c>
      <c r="AU348">
        <v>10</v>
      </c>
      <c r="AV348">
        <v>20059</v>
      </c>
      <c r="AW348">
        <v>8</v>
      </c>
      <c r="AX348">
        <v>0</v>
      </c>
    </row>
    <row r="349" spans="1:50" x14ac:dyDescent="0.25">
      <c r="A349">
        <v>350</v>
      </c>
      <c r="B349" t="s">
        <v>8040</v>
      </c>
      <c r="C349" t="s">
        <v>8041</v>
      </c>
      <c r="D349">
        <v>5</v>
      </c>
      <c r="E349">
        <v>3</v>
      </c>
      <c r="F349">
        <v>20</v>
      </c>
      <c r="G349" s="1" t="s">
        <v>329</v>
      </c>
      <c r="H349" s="1" t="s">
        <v>329</v>
      </c>
      <c r="I349" s="1" t="s">
        <v>5390</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1642</v>
      </c>
      <c r="AH349" s="1">
        <v>3120</v>
      </c>
      <c r="AI349" t="s">
        <v>1844</v>
      </c>
      <c r="AJ349">
        <v>0</v>
      </c>
      <c r="AK349" s="1" t="s">
        <v>5194</v>
      </c>
      <c r="AL349" s="1" t="s">
        <v>8042</v>
      </c>
      <c r="AM349" s="1">
        <v>0.3</v>
      </c>
      <c r="AN349" s="1">
        <v>0.25</v>
      </c>
      <c r="AO349" s="1">
        <v>0.12</v>
      </c>
      <c r="AP349" s="1">
        <v>0.38</v>
      </c>
      <c r="AQ349" s="1">
        <v>3</v>
      </c>
      <c r="AR349" t="s">
        <v>1758</v>
      </c>
      <c r="AS349">
        <v>0</v>
      </c>
      <c r="AT349" t="s">
        <v>8043</v>
      </c>
      <c r="AU349">
        <v>10</v>
      </c>
      <c r="AV349">
        <v>20060</v>
      </c>
      <c r="AW349">
        <v>0</v>
      </c>
      <c r="AX349">
        <v>0</v>
      </c>
    </row>
    <row r="350" spans="1:50" x14ac:dyDescent="0.25">
      <c r="A350">
        <v>351</v>
      </c>
      <c r="B350" t="s">
        <v>8044</v>
      </c>
      <c r="C350" t="s">
        <v>8045</v>
      </c>
      <c r="D350">
        <v>5</v>
      </c>
      <c r="E350">
        <v>3</v>
      </c>
      <c r="F350">
        <v>20</v>
      </c>
      <c r="G350" s="1" t="s">
        <v>409</v>
      </c>
      <c r="H350" s="1" t="s">
        <v>329</v>
      </c>
      <c r="I350" s="1" t="s">
        <v>8046</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8128</v>
      </c>
      <c r="AH350" s="1">
        <v>3120</v>
      </c>
      <c r="AI350" t="s">
        <v>1844</v>
      </c>
      <c r="AJ350">
        <v>0</v>
      </c>
      <c r="AK350" s="1" t="s">
        <v>8047</v>
      </c>
      <c r="AL350" s="1" t="s">
        <v>8048</v>
      </c>
      <c r="AM350" s="1">
        <v>0.3</v>
      </c>
      <c r="AN350" s="1">
        <v>0.25</v>
      </c>
      <c r="AO350" s="1">
        <v>0.12</v>
      </c>
      <c r="AP350" s="1">
        <v>0.38</v>
      </c>
      <c r="AQ350" s="1">
        <v>3</v>
      </c>
      <c r="AR350" t="s">
        <v>1758</v>
      </c>
      <c r="AS350">
        <v>0</v>
      </c>
      <c r="AT350" t="s">
        <v>8049</v>
      </c>
      <c r="AU350">
        <v>10</v>
      </c>
      <c r="AV350">
        <v>20061</v>
      </c>
      <c r="AW350">
        <v>9</v>
      </c>
      <c r="AX350">
        <v>0</v>
      </c>
    </row>
    <row r="351" spans="1:50" x14ac:dyDescent="0.25">
      <c r="A351">
        <v>352</v>
      </c>
      <c r="B351" t="s">
        <v>8050</v>
      </c>
      <c r="C351" t="s">
        <v>8051</v>
      </c>
      <c r="D351">
        <v>5</v>
      </c>
      <c r="E351">
        <v>3</v>
      </c>
      <c r="F351">
        <v>20</v>
      </c>
      <c r="G351" s="1" t="s">
        <v>332</v>
      </c>
      <c r="H351" s="1" t="s">
        <v>329</v>
      </c>
      <c r="I351" s="1" t="s">
        <v>329</v>
      </c>
      <c r="J351" s="1" t="s">
        <v>329</v>
      </c>
      <c r="K351" s="1" t="s">
        <v>329</v>
      </c>
      <c r="L351" s="1" t="s">
        <v>329</v>
      </c>
      <c r="M351" s="1" t="s">
        <v>8052</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8121</v>
      </c>
      <c r="AH351" s="1">
        <v>3120</v>
      </c>
      <c r="AI351" t="s">
        <v>1844</v>
      </c>
      <c r="AJ351">
        <v>0</v>
      </c>
      <c r="AK351" s="1" t="s">
        <v>8053</v>
      </c>
      <c r="AL351" s="1" t="s">
        <v>8054</v>
      </c>
      <c r="AM351" s="1">
        <v>0.3</v>
      </c>
      <c r="AN351" s="1">
        <v>0.25</v>
      </c>
      <c r="AO351" s="1">
        <v>0.12</v>
      </c>
      <c r="AP351" s="1">
        <v>0.38</v>
      </c>
      <c r="AQ351" s="1">
        <v>3</v>
      </c>
      <c r="AR351" t="s">
        <v>8055</v>
      </c>
      <c r="AS351">
        <v>0</v>
      </c>
      <c r="AT351" t="s">
        <v>8056</v>
      </c>
      <c r="AU351">
        <v>10</v>
      </c>
      <c r="AV351">
        <v>20062</v>
      </c>
      <c r="AW351">
        <v>10</v>
      </c>
      <c r="AX351">
        <v>0</v>
      </c>
    </row>
    <row r="352" spans="1:50" x14ac:dyDescent="0.25">
      <c r="A352">
        <v>353</v>
      </c>
      <c r="B352" t="s">
        <v>8057</v>
      </c>
      <c r="C352" t="s">
        <v>8058</v>
      </c>
      <c r="D352">
        <v>5</v>
      </c>
      <c r="E352">
        <v>3</v>
      </c>
      <c r="F352">
        <v>20</v>
      </c>
      <c r="G352" s="1" t="s">
        <v>329</v>
      </c>
      <c r="H352" s="1" t="s">
        <v>329</v>
      </c>
      <c r="I352" s="1" t="s">
        <v>8059</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1844</v>
      </c>
      <c r="AJ352">
        <v>0</v>
      </c>
      <c r="AK352" s="1" t="s">
        <v>480</v>
      </c>
      <c r="AL352" s="1" t="s">
        <v>8060</v>
      </c>
      <c r="AM352" s="1">
        <v>0.3</v>
      </c>
      <c r="AN352" s="1">
        <v>0.25</v>
      </c>
      <c r="AO352" s="1">
        <v>0.12</v>
      </c>
      <c r="AP352" s="1">
        <v>0.38</v>
      </c>
      <c r="AQ352" s="1">
        <v>3</v>
      </c>
      <c r="AR352" t="s">
        <v>1758</v>
      </c>
      <c r="AS352">
        <v>0</v>
      </c>
      <c r="AT352" t="s">
        <v>1807</v>
      </c>
      <c r="AU352">
        <v>10</v>
      </c>
      <c r="AV352">
        <v>20063</v>
      </c>
      <c r="AW352">
        <v>0</v>
      </c>
      <c r="AX352">
        <v>0</v>
      </c>
    </row>
    <row r="353" spans="1:50" x14ac:dyDescent="0.25">
      <c r="A353">
        <v>354</v>
      </c>
      <c r="B353" t="s">
        <v>8064</v>
      </c>
      <c r="C353" t="s">
        <v>8065</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1669</v>
      </c>
      <c r="AH353" s="1">
        <v>3360</v>
      </c>
      <c r="AI353" t="s">
        <v>1844</v>
      </c>
      <c r="AJ353">
        <v>0</v>
      </c>
      <c r="AK353" s="1" t="s">
        <v>5319</v>
      </c>
      <c r="AL353" s="1" t="s">
        <v>8066</v>
      </c>
      <c r="AM353" s="1">
        <v>0.55000000000000004</v>
      </c>
      <c r="AN353" s="1">
        <v>0.16</v>
      </c>
      <c r="AO353" s="1">
        <v>0.6</v>
      </c>
      <c r="AP353" s="1">
        <v>0.16</v>
      </c>
      <c r="AQ353" s="1">
        <v>3</v>
      </c>
      <c r="AR353" t="s">
        <v>8067</v>
      </c>
      <c r="AS353">
        <v>0</v>
      </c>
      <c r="AT353" t="s">
        <v>8068</v>
      </c>
      <c r="AU353">
        <v>10</v>
      </c>
      <c r="AV353">
        <v>20064</v>
      </c>
      <c r="AW353">
        <v>0</v>
      </c>
      <c r="AX353">
        <v>0</v>
      </c>
    </row>
    <row r="354" spans="1:50" x14ac:dyDescent="0.25">
      <c r="A354">
        <v>355</v>
      </c>
      <c r="B354" t="s">
        <v>8103</v>
      </c>
      <c r="C354" t="s">
        <v>8104</v>
      </c>
      <c r="D354">
        <v>5</v>
      </c>
      <c r="E354">
        <v>3</v>
      </c>
      <c r="F354">
        <v>20</v>
      </c>
      <c r="G354" s="1" t="s">
        <v>329</v>
      </c>
      <c r="H354" s="1" t="s">
        <v>329</v>
      </c>
      <c r="I354" s="1" t="s">
        <v>8105</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8120</v>
      </c>
      <c r="AH354" s="1">
        <v>3120</v>
      </c>
      <c r="AI354" t="s">
        <v>1844</v>
      </c>
      <c r="AJ354">
        <v>0</v>
      </c>
      <c r="AK354" s="1" t="s">
        <v>8106</v>
      </c>
      <c r="AL354" s="1" t="s">
        <v>8107</v>
      </c>
      <c r="AM354" s="1">
        <v>0.3</v>
      </c>
      <c r="AN354" s="1">
        <v>0.25</v>
      </c>
      <c r="AO354" s="1">
        <v>0.12</v>
      </c>
      <c r="AP354" s="1">
        <v>0.38</v>
      </c>
      <c r="AQ354" s="1">
        <v>3</v>
      </c>
      <c r="AR354" t="s">
        <v>1758</v>
      </c>
      <c r="AS354">
        <v>0</v>
      </c>
      <c r="AT354" t="s">
        <v>8108</v>
      </c>
      <c r="AU354">
        <v>10</v>
      </c>
      <c r="AV354">
        <v>20065</v>
      </c>
      <c r="AW354">
        <v>11</v>
      </c>
      <c r="AX354">
        <v>0</v>
      </c>
    </row>
    <row r="355" spans="1:50" x14ac:dyDescent="0.25">
      <c r="A355">
        <v>356</v>
      </c>
      <c r="B355" t="s">
        <v>8109</v>
      </c>
      <c r="C355" t="s">
        <v>8110</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8119</v>
      </c>
      <c r="AH355" s="1">
        <v>3600</v>
      </c>
      <c r="AI355" t="s">
        <v>1844</v>
      </c>
      <c r="AJ355">
        <v>0</v>
      </c>
      <c r="AK355" s="1" t="s">
        <v>8111</v>
      </c>
      <c r="AL355" s="1" t="s">
        <v>8112</v>
      </c>
      <c r="AM355" s="1">
        <v>0.15</v>
      </c>
      <c r="AN355" s="1">
        <v>0.6</v>
      </c>
      <c r="AO355" s="1">
        <v>0.38</v>
      </c>
      <c r="AP355" s="1">
        <v>0.23</v>
      </c>
      <c r="AQ355" s="1">
        <v>3</v>
      </c>
      <c r="AR355" t="s">
        <v>1476</v>
      </c>
      <c r="AS355">
        <v>0</v>
      </c>
      <c r="AT355" t="s">
        <v>8113</v>
      </c>
      <c r="AU355">
        <v>10</v>
      </c>
      <c r="AV355">
        <v>19061</v>
      </c>
      <c r="AW355">
        <v>12</v>
      </c>
      <c r="AX355">
        <v>0</v>
      </c>
    </row>
    <row r="356" spans="1:50" x14ac:dyDescent="0.25">
      <c r="A356">
        <v>357</v>
      </c>
      <c r="B356" t="s">
        <v>8114</v>
      </c>
      <c r="C356" t="s">
        <v>8115</v>
      </c>
      <c r="D356">
        <v>5</v>
      </c>
      <c r="E356">
        <v>3</v>
      </c>
      <c r="F356">
        <v>20</v>
      </c>
      <c r="G356" s="1" t="s">
        <v>329</v>
      </c>
      <c r="H356" s="1" t="s">
        <v>329</v>
      </c>
      <c r="I356" s="1" t="s">
        <v>1597</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1844</v>
      </c>
      <c r="AJ356">
        <v>0</v>
      </c>
      <c r="AK356" s="1" t="s">
        <v>8116</v>
      </c>
      <c r="AL356" s="1" t="s">
        <v>8117</v>
      </c>
      <c r="AM356" s="1">
        <v>0.3</v>
      </c>
      <c r="AN356" s="1">
        <v>0.25</v>
      </c>
      <c r="AO356" s="1">
        <v>0.12</v>
      </c>
      <c r="AP356" s="1">
        <v>0.38</v>
      </c>
      <c r="AQ356" s="1">
        <v>3</v>
      </c>
      <c r="AR356" t="s">
        <v>1758</v>
      </c>
      <c r="AS356">
        <v>0</v>
      </c>
      <c r="AT356" t="s">
        <v>8118</v>
      </c>
      <c r="AU356">
        <v>10</v>
      </c>
      <c r="AV356">
        <v>20066</v>
      </c>
      <c r="AW356">
        <v>0</v>
      </c>
      <c r="AX356">
        <v>0</v>
      </c>
    </row>
    <row r="357" spans="1:50" x14ac:dyDescent="0.25">
      <c r="A357">
        <v>358</v>
      </c>
      <c r="B357" t="s">
        <v>8139</v>
      </c>
      <c r="C357" t="s">
        <v>8140</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8164</v>
      </c>
      <c r="AH357" s="1">
        <v>3600</v>
      </c>
      <c r="AI357" t="s">
        <v>1844</v>
      </c>
      <c r="AJ357">
        <v>0</v>
      </c>
      <c r="AK357" s="1" t="s">
        <v>8141</v>
      </c>
      <c r="AL357" s="1" t="s">
        <v>8142</v>
      </c>
      <c r="AM357" s="1">
        <v>0.48</v>
      </c>
      <c r="AN357" s="1">
        <v>0.48</v>
      </c>
      <c r="AO357" s="1">
        <v>0.08</v>
      </c>
      <c r="AP357" s="1">
        <v>0.25</v>
      </c>
      <c r="AQ357" s="1">
        <v>3</v>
      </c>
      <c r="AR357" t="s">
        <v>8143</v>
      </c>
      <c r="AS357">
        <v>0</v>
      </c>
      <c r="AT357" t="s">
        <v>8144</v>
      </c>
      <c r="AU357">
        <v>10</v>
      </c>
      <c r="AV357">
        <v>19062</v>
      </c>
      <c r="AX357">
        <v>0</v>
      </c>
    </row>
    <row r="358" spans="1:50" x14ac:dyDescent="0.25">
      <c r="A358">
        <v>359</v>
      </c>
      <c r="B358" t="s">
        <v>8145</v>
      </c>
      <c r="C358" t="s">
        <v>8146</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8165</v>
      </c>
      <c r="AH358" s="1">
        <v>3600</v>
      </c>
      <c r="AI358" t="s">
        <v>1844</v>
      </c>
      <c r="AJ358">
        <v>0</v>
      </c>
      <c r="AK358" s="1" t="s">
        <v>8147</v>
      </c>
      <c r="AL358" s="1" t="s">
        <v>8148</v>
      </c>
      <c r="AM358" s="1">
        <v>0.48</v>
      </c>
      <c r="AN358" s="1">
        <v>0.48</v>
      </c>
      <c r="AO358" s="1">
        <v>0.08</v>
      </c>
      <c r="AP358" s="1">
        <v>0.25</v>
      </c>
      <c r="AQ358" s="1">
        <v>3</v>
      </c>
      <c r="AR358" t="s">
        <v>1522</v>
      </c>
      <c r="AS358">
        <v>0</v>
      </c>
      <c r="AT358" t="s">
        <v>8149</v>
      </c>
      <c r="AU358">
        <v>10</v>
      </c>
      <c r="AV358">
        <v>19063</v>
      </c>
      <c r="AX358">
        <v>0</v>
      </c>
    </row>
    <row r="359" spans="1:50" x14ac:dyDescent="0.25">
      <c r="A359">
        <v>361</v>
      </c>
      <c r="B359" t="s">
        <v>8150</v>
      </c>
      <c r="C359" t="s">
        <v>8151</v>
      </c>
      <c r="D359">
        <v>5</v>
      </c>
      <c r="E359">
        <v>2</v>
      </c>
      <c r="F359">
        <v>19</v>
      </c>
      <c r="G359" s="1" t="s">
        <v>8152</v>
      </c>
      <c r="H359" s="1" t="s">
        <v>329</v>
      </c>
      <c r="I359" s="1" t="s">
        <v>329</v>
      </c>
      <c r="J359" s="1" t="s">
        <v>329</v>
      </c>
      <c r="K359" s="1" t="s">
        <v>329</v>
      </c>
      <c r="L359" s="1" t="s">
        <v>329</v>
      </c>
      <c r="M359" s="1" t="s">
        <v>329</v>
      </c>
      <c r="N359" s="1" t="s">
        <v>1760</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1844</v>
      </c>
      <c r="AJ359">
        <v>0</v>
      </c>
      <c r="AK359" s="1" t="s">
        <v>8153</v>
      </c>
      <c r="AL359" s="1" t="s">
        <v>8154</v>
      </c>
      <c r="AM359" s="1">
        <v>0.08</v>
      </c>
      <c r="AN359" s="1">
        <v>0.5</v>
      </c>
      <c r="AO359" s="1">
        <v>0.3</v>
      </c>
      <c r="AP359" s="1">
        <v>0.3</v>
      </c>
      <c r="AQ359" s="1">
        <v>3</v>
      </c>
      <c r="AR359" t="s">
        <v>8155</v>
      </c>
      <c r="AS359">
        <v>0</v>
      </c>
      <c r="AT359" t="s">
        <v>1807</v>
      </c>
      <c r="AU359">
        <v>10</v>
      </c>
      <c r="AV359">
        <v>19064</v>
      </c>
      <c r="AX359">
        <v>0</v>
      </c>
    </row>
    <row r="360" spans="1:50" x14ac:dyDescent="0.25">
      <c r="A360">
        <v>362</v>
      </c>
      <c r="B360" t="s">
        <v>8156</v>
      </c>
      <c r="C360" t="s">
        <v>8157</v>
      </c>
      <c r="D360">
        <v>5</v>
      </c>
      <c r="E360">
        <v>2</v>
      </c>
      <c r="F360">
        <v>19</v>
      </c>
      <c r="G360" s="1" t="s">
        <v>471</v>
      </c>
      <c r="H360" s="1" t="s">
        <v>329</v>
      </c>
      <c r="I360" s="1" t="s">
        <v>329</v>
      </c>
      <c r="J360" s="1" t="s">
        <v>329</v>
      </c>
      <c r="K360" s="1" t="s">
        <v>329</v>
      </c>
      <c r="L360" s="1" t="s">
        <v>329</v>
      </c>
      <c r="M360" s="1" t="s">
        <v>329</v>
      </c>
      <c r="N360" s="1" t="s">
        <v>7304</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1622</v>
      </c>
      <c r="AH360" s="1">
        <v>3300</v>
      </c>
      <c r="AI360" t="s">
        <v>1844</v>
      </c>
      <c r="AJ360">
        <v>0</v>
      </c>
      <c r="AK360" s="1" t="s">
        <v>8158</v>
      </c>
      <c r="AL360" s="1" t="s">
        <v>8159</v>
      </c>
      <c r="AM360" s="1">
        <v>0.08</v>
      </c>
      <c r="AN360" s="1">
        <v>0.5</v>
      </c>
      <c r="AO360" s="1">
        <v>0.3</v>
      </c>
      <c r="AP360" s="1">
        <v>0.3</v>
      </c>
      <c r="AQ360" s="1">
        <v>3</v>
      </c>
      <c r="AR360" t="s">
        <v>6948</v>
      </c>
      <c r="AS360">
        <v>0</v>
      </c>
      <c r="AT360" t="s">
        <v>1807</v>
      </c>
      <c r="AU360">
        <v>10</v>
      </c>
      <c r="AV360">
        <v>19065</v>
      </c>
      <c r="AX360">
        <v>0</v>
      </c>
    </row>
    <row r="361" spans="1:50" x14ac:dyDescent="0.25">
      <c r="A361">
        <v>363</v>
      </c>
      <c r="B361" t="s">
        <v>8160</v>
      </c>
      <c r="C361" t="s">
        <v>8161</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1844</v>
      </c>
      <c r="AJ361">
        <v>0</v>
      </c>
      <c r="AK361" s="1" t="s">
        <v>8162</v>
      </c>
      <c r="AL361" s="1" t="s">
        <v>8163</v>
      </c>
      <c r="AM361" s="1">
        <v>0.3</v>
      </c>
      <c r="AN361" s="1">
        <v>0.23</v>
      </c>
      <c r="AO361" s="1">
        <v>0.15</v>
      </c>
      <c r="AP361" s="1">
        <v>0.38</v>
      </c>
      <c r="AQ361" s="1">
        <v>3</v>
      </c>
      <c r="AR361" t="s">
        <v>1584</v>
      </c>
      <c r="AS361">
        <v>0</v>
      </c>
      <c r="AT361" t="s">
        <v>1807</v>
      </c>
      <c r="AU361">
        <v>10</v>
      </c>
      <c r="AV361">
        <v>20068</v>
      </c>
      <c r="AX361">
        <v>0</v>
      </c>
    </row>
    <row r="362" spans="1:50" x14ac:dyDescent="0.25">
      <c r="A362">
        <v>360</v>
      </c>
      <c r="B362" t="s">
        <v>8167</v>
      </c>
      <c r="C362" t="s">
        <v>8168</v>
      </c>
      <c r="D362">
        <v>5</v>
      </c>
      <c r="E362">
        <v>3</v>
      </c>
      <c r="F362">
        <v>20</v>
      </c>
      <c r="G362" s="1" t="s">
        <v>403</v>
      </c>
      <c r="H362" s="1" t="s">
        <v>329</v>
      </c>
      <c r="I362" s="1" t="s">
        <v>329</v>
      </c>
      <c r="J362" s="1" t="s">
        <v>329</v>
      </c>
      <c r="K362" s="1" t="s">
        <v>377</v>
      </c>
      <c r="L362" s="1" t="s">
        <v>5576</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1844</v>
      </c>
      <c r="AJ362">
        <v>0</v>
      </c>
      <c r="AK362" s="1" t="s">
        <v>8169</v>
      </c>
      <c r="AL362" s="1" t="s">
        <v>8170</v>
      </c>
      <c r="AM362" s="1">
        <v>0.3</v>
      </c>
      <c r="AN362" s="1">
        <v>0.23</v>
      </c>
      <c r="AO362" s="1">
        <v>0.15</v>
      </c>
      <c r="AP362" s="1">
        <v>0.38</v>
      </c>
      <c r="AQ362" s="1">
        <v>3</v>
      </c>
      <c r="AR362" t="s">
        <v>8171</v>
      </c>
      <c r="AS362">
        <v>0</v>
      </c>
      <c r="AT362" t="s">
        <v>1807</v>
      </c>
      <c r="AU362">
        <v>10</v>
      </c>
      <c r="AV362">
        <v>20067</v>
      </c>
      <c r="AX362">
        <v>0</v>
      </c>
    </row>
    <row r="363" spans="1:50" x14ac:dyDescent="0.25">
      <c r="A363">
        <v>364</v>
      </c>
      <c r="B363" t="s">
        <v>8172</v>
      </c>
      <c r="C363" t="s">
        <v>8173</v>
      </c>
      <c r="D363">
        <v>5</v>
      </c>
      <c r="E363">
        <v>3</v>
      </c>
      <c r="F363">
        <v>20</v>
      </c>
      <c r="G363" s="1" t="s">
        <v>329</v>
      </c>
      <c r="H363" s="1" t="s">
        <v>329</v>
      </c>
      <c r="I363" s="1" t="s">
        <v>329</v>
      </c>
      <c r="J363" s="1" t="s">
        <v>365</v>
      </c>
      <c r="K363" s="1" t="s">
        <v>329</v>
      </c>
      <c r="L363" s="1" t="s">
        <v>329</v>
      </c>
      <c r="M363" s="1" t="s">
        <v>329</v>
      </c>
      <c r="N363" s="1" t="s">
        <v>329</v>
      </c>
      <c r="O363" s="1" t="s">
        <v>7188</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5633</v>
      </c>
      <c r="AH363" s="1">
        <v>3060</v>
      </c>
      <c r="AI363" t="s">
        <v>1844</v>
      </c>
      <c r="AJ363">
        <v>0</v>
      </c>
      <c r="AK363" s="1" t="s">
        <v>5286</v>
      </c>
      <c r="AL363" s="1" t="s">
        <v>8174</v>
      </c>
      <c r="AM363" s="1">
        <v>0.23</v>
      </c>
      <c r="AN363" s="1">
        <v>0.23</v>
      </c>
      <c r="AO363" s="1">
        <v>0.33</v>
      </c>
      <c r="AP363" s="1">
        <v>0.38</v>
      </c>
      <c r="AQ363" s="1">
        <v>3</v>
      </c>
      <c r="AR363" t="s">
        <v>1586</v>
      </c>
      <c r="AS363">
        <v>0</v>
      </c>
      <c r="AT363" t="s">
        <v>8175</v>
      </c>
      <c r="AU363">
        <v>10</v>
      </c>
      <c r="AV363">
        <v>20069</v>
      </c>
      <c r="AX363">
        <v>0</v>
      </c>
    </row>
    <row r="364" spans="1:50" x14ac:dyDescent="0.25">
      <c r="A364">
        <v>365</v>
      </c>
      <c r="B364" t="s">
        <v>8290</v>
      </c>
      <c r="C364" t="s">
        <v>8291</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8341</v>
      </c>
      <c r="AH364" s="1">
        <v>3360</v>
      </c>
      <c r="AI364" t="s">
        <v>1844</v>
      </c>
      <c r="AJ364">
        <v>0</v>
      </c>
      <c r="AK364" s="1" t="s">
        <v>8292</v>
      </c>
      <c r="AL364" s="1" t="s">
        <v>8293</v>
      </c>
      <c r="AM364" s="1">
        <v>0.55000000000000004</v>
      </c>
      <c r="AN364" s="1">
        <v>0.16</v>
      </c>
      <c r="AO364" s="1">
        <v>0.6</v>
      </c>
      <c r="AP364" s="1">
        <v>0.16</v>
      </c>
      <c r="AQ364" s="1">
        <v>3</v>
      </c>
      <c r="AR364" t="s">
        <v>8294</v>
      </c>
      <c r="AS364">
        <v>0</v>
      </c>
      <c r="AT364" t="s">
        <v>8295</v>
      </c>
      <c r="AU364">
        <v>10</v>
      </c>
      <c r="AV364">
        <v>20070</v>
      </c>
      <c r="AX364">
        <v>0</v>
      </c>
    </row>
    <row r="365" spans="1:50" x14ac:dyDescent="0.25">
      <c r="A365">
        <v>366</v>
      </c>
      <c r="B365" t="s">
        <v>8296</v>
      </c>
      <c r="C365" t="s">
        <v>8297</v>
      </c>
      <c r="D365">
        <v>5</v>
      </c>
      <c r="E365">
        <v>2</v>
      </c>
      <c r="F365">
        <v>19</v>
      </c>
      <c r="G365" s="1" t="s">
        <v>329</v>
      </c>
      <c r="H365" s="1" t="s">
        <v>329</v>
      </c>
      <c r="I365" s="1" t="s">
        <v>329</v>
      </c>
      <c r="J365" s="1" t="s">
        <v>329</v>
      </c>
      <c r="K365" s="1" t="s">
        <v>329</v>
      </c>
      <c r="L365" s="1" t="s">
        <v>336</v>
      </c>
      <c r="M365" s="1" t="s">
        <v>329</v>
      </c>
      <c r="N365" s="1" t="s">
        <v>7304</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8340</v>
      </c>
      <c r="AH365" s="1">
        <v>3300</v>
      </c>
      <c r="AI365" t="s">
        <v>1844</v>
      </c>
      <c r="AJ365">
        <v>0</v>
      </c>
      <c r="AK365" s="1" t="s">
        <v>8298</v>
      </c>
      <c r="AL365" s="1" t="s">
        <v>8299</v>
      </c>
      <c r="AM365" s="1">
        <v>0.08</v>
      </c>
      <c r="AN365" s="1">
        <v>0.5</v>
      </c>
      <c r="AO365" s="1">
        <v>0.3</v>
      </c>
      <c r="AP365" s="1">
        <v>0.3</v>
      </c>
      <c r="AQ365" s="1">
        <v>3</v>
      </c>
      <c r="AR365" t="s">
        <v>8300</v>
      </c>
      <c r="AS365">
        <v>0</v>
      </c>
      <c r="AT365" t="s">
        <v>8301</v>
      </c>
      <c r="AU365">
        <v>10</v>
      </c>
      <c r="AV365">
        <v>19066</v>
      </c>
      <c r="AX365">
        <v>0</v>
      </c>
    </row>
    <row r="366" spans="1:50" x14ac:dyDescent="0.25">
      <c r="A366">
        <v>367</v>
      </c>
      <c r="B366" t="s">
        <v>8503</v>
      </c>
      <c r="C366" t="s">
        <v>8504</v>
      </c>
      <c r="D366">
        <v>5</v>
      </c>
      <c r="E366">
        <v>3</v>
      </c>
      <c r="F366">
        <v>20</v>
      </c>
      <c r="G366" s="1" t="s">
        <v>329</v>
      </c>
      <c r="H366" s="1" t="s">
        <v>332</v>
      </c>
      <c r="I366" s="1" t="s">
        <v>8505</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1844</v>
      </c>
      <c r="AJ366">
        <v>0</v>
      </c>
      <c r="AK366" s="1" t="s">
        <v>8506</v>
      </c>
      <c r="AL366" s="1" t="s">
        <v>8507</v>
      </c>
      <c r="AM366" s="1">
        <v>0.3</v>
      </c>
      <c r="AN366" s="1">
        <v>0.25</v>
      </c>
      <c r="AO366" s="1">
        <v>0.12</v>
      </c>
      <c r="AP366" s="1">
        <v>0.38</v>
      </c>
      <c r="AQ366" s="1">
        <v>3</v>
      </c>
      <c r="AR366" t="s">
        <v>8508</v>
      </c>
      <c r="AS366">
        <v>0</v>
      </c>
      <c r="AT366" t="s">
        <v>8509</v>
      </c>
      <c r="AU366">
        <v>10</v>
      </c>
      <c r="AV366">
        <v>20071</v>
      </c>
      <c r="AX366">
        <v>0</v>
      </c>
    </row>
    <row r="367" spans="1:50" x14ac:dyDescent="0.25">
      <c r="A367">
        <v>368</v>
      </c>
      <c r="B367" t="s">
        <v>8522</v>
      </c>
      <c r="C367" t="s">
        <v>8523</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8533</v>
      </c>
      <c r="AH367" s="1">
        <v>3600</v>
      </c>
      <c r="AI367" t="s">
        <v>1844</v>
      </c>
      <c r="AJ367">
        <v>0</v>
      </c>
      <c r="AK367" s="1" t="s">
        <v>8524</v>
      </c>
      <c r="AL367" s="1" t="s">
        <v>8525</v>
      </c>
      <c r="AM367" s="1">
        <v>0.15</v>
      </c>
      <c r="AN367" s="1">
        <v>0.6</v>
      </c>
      <c r="AO367" s="1">
        <v>0.38</v>
      </c>
      <c r="AP367" s="1">
        <v>0.23</v>
      </c>
      <c r="AQ367" s="1">
        <v>3</v>
      </c>
      <c r="AR367" t="s">
        <v>1530</v>
      </c>
      <c r="AS367">
        <v>0</v>
      </c>
      <c r="AT367" t="s">
        <v>8526</v>
      </c>
      <c r="AU367">
        <v>10</v>
      </c>
      <c r="AV367">
        <v>19067</v>
      </c>
      <c r="AX367">
        <v>0</v>
      </c>
    </row>
    <row r="368" spans="1:50" x14ac:dyDescent="0.25">
      <c r="A368">
        <v>369</v>
      </c>
      <c r="B368" t="s">
        <v>8527</v>
      </c>
      <c r="C368" t="s">
        <v>8528</v>
      </c>
      <c r="D368">
        <v>5</v>
      </c>
      <c r="E368">
        <v>2</v>
      </c>
      <c r="F368">
        <v>19</v>
      </c>
      <c r="G368" s="1" t="s">
        <v>471</v>
      </c>
      <c r="H368" s="1" t="s">
        <v>329</v>
      </c>
      <c r="I368" s="1" t="s">
        <v>329</v>
      </c>
      <c r="J368" s="1" t="s">
        <v>329</v>
      </c>
      <c r="K368" s="1" t="s">
        <v>329</v>
      </c>
      <c r="L368" s="1" t="s">
        <v>329</v>
      </c>
      <c r="M368" s="1" t="s">
        <v>329</v>
      </c>
      <c r="N368" s="1" t="s">
        <v>6946</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8532</v>
      </c>
      <c r="AH368" s="1">
        <v>3300</v>
      </c>
      <c r="AI368" t="s">
        <v>1844</v>
      </c>
      <c r="AJ368">
        <v>0</v>
      </c>
      <c r="AK368" s="1" t="s">
        <v>8529</v>
      </c>
      <c r="AL368" s="1" t="s">
        <v>8530</v>
      </c>
      <c r="AM368" s="1">
        <v>0.08</v>
      </c>
      <c r="AN368" s="1">
        <v>0.5</v>
      </c>
      <c r="AO368" s="1">
        <v>0.3</v>
      </c>
      <c r="AP368" s="1">
        <v>0.3</v>
      </c>
      <c r="AQ368" s="1">
        <v>3</v>
      </c>
      <c r="AR368" t="s">
        <v>6948</v>
      </c>
      <c r="AS368">
        <v>0</v>
      </c>
      <c r="AT368" t="s">
        <v>8531</v>
      </c>
      <c r="AU368">
        <v>10</v>
      </c>
      <c r="AV368">
        <v>19068</v>
      </c>
      <c r="AX368">
        <v>0</v>
      </c>
    </row>
    <row r="369" spans="1:50" x14ac:dyDescent="0.25">
      <c r="A369">
        <v>370</v>
      </c>
      <c r="B369" t="s">
        <v>8692</v>
      </c>
      <c r="C369" t="s">
        <v>8693</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1844</v>
      </c>
      <c r="AJ369">
        <v>0</v>
      </c>
      <c r="AK369" s="1" t="s">
        <v>8694</v>
      </c>
      <c r="AL369" s="1" t="s">
        <v>8695</v>
      </c>
      <c r="AM369" s="1">
        <v>0.15</v>
      </c>
      <c r="AN369" s="1">
        <v>0.6</v>
      </c>
      <c r="AO369" s="1">
        <v>0.38</v>
      </c>
      <c r="AP369" s="1">
        <v>0.23</v>
      </c>
      <c r="AQ369" s="1">
        <v>3</v>
      </c>
      <c r="AR369" t="s">
        <v>1474</v>
      </c>
      <c r="AS369">
        <v>0</v>
      </c>
      <c r="AT369" t="s">
        <v>8696</v>
      </c>
      <c r="AU369">
        <v>10</v>
      </c>
      <c r="AV369">
        <v>19069</v>
      </c>
      <c r="AX369">
        <v>0</v>
      </c>
    </row>
    <row r="370" spans="1:50" x14ac:dyDescent="0.25">
      <c r="A370">
        <v>371</v>
      </c>
      <c r="B370" t="s">
        <v>8697</v>
      </c>
      <c r="C370" t="s">
        <v>8698</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8708</v>
      </c>
      <c r="AH370" s="1">
        <v>3360</v>
      </c>
      <c r="AI370" t="s">
        <v>1844</v>
      </c>
      <c r="AJ370">
        <v>0</v>
      </c>
      <c r="AK370" s="1" t="s">
        <v>8699</v>
      </c>
      <c r="AL370" s="1" t="s">
        <v>8700</v>
      </c>
      <c r="AM370" s="1">
        <v>0.55000000000000004</v>
      </c>
      <c r="AN370" s="1">
        <v>0.16</v>
      </c>
      <c r="AO370" s="1">
        <v>0.6</v>
      </c>
      <c r="AP370" s="1">
        <v>0.16</v>
      </c>
      <c r="AQ370" s="1">
        <v>3</v>
      </c>
      <c r="AR370" t="s">
        <v>8701</v>
      </c>
      <c r="AS370">
        <v>0</v>
      </c>
      <c r="AT370" t="s">
        <v>8702</v>
      </c>
      <c r="AU370">
        <v>10</v>
      </c>
      <c r="AV370">
        <v>20072</v>
      </c>
      <c r="AX370">
        <v>0</v>
      </c>
    </row>
    <row r="371" spans="1:50" x14ac:dyDescent="0.25">
      <c r="A371">
        <v>372</v>
      </c>
      <c r="B371" t="s">
        <v>8703</v>
      </c>
      <c r="C371" t="s">
        <v>8704</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8709</v>
      </c>
      <c r="AH371" s="1">
        <v>3420</v>
      </c>
      <c r="AI371" t="s">
        <v>1844</v>
      </c>
      <c r="AJ371">
        <v>0</v>
      </c>
      <c r="AK371" s="1" t="s">
        <v>8705</v>
      </c>
      <c r="AL371" s="1" t="s">
        <v>8706</v>
      </c>
      <c r="AM371" s="1">
        <v>0.08</v>
      </c>
      <c r="AN371" s="1">
        <v>0.39</v>
      </c>
      <c r="AO371" s="1">
        <v>0.08</v>
      </c>
      <c r="AP371" s="1">
        <v>0.48</v>
      </c>
      <c r="AQ371" s="1">
        <v>3</v>
      </c>
      <c r="AR371" t="s">
        <v>1471</v>
      </c>
      <c r="AS371">
        <v>0</v>
      </c>
      <c r="AT371" t="s">
        <v>8707</v>
      </c>
      <c r="AU371">
        <v>10</v>
      </c>
      <c r="AV371">
        <v>19070</v>
      </c>
      <c r="AX371">
        <v>0</v>
      </c>
    </row>
    <row r="372" spans="1:50" x14ac:dyDescent="0.25">
      <c r="A372">
        <v>373</v>
      </c>
      <c r="B372" t="s">
        <v>8710</v>
      </c>
      <c r="C372" t="s">
        <v>8711</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1844</v>
      </c>
      <c r="AJ372">
        <v>0</v>
      </c>
      <c r="AK372" s="1" t="s">
        <v>5375</v>
      </c>
      <c r="AL372" s="1" t="s">
        <v>8712</v>
      </c>
      <c r="AM372" s="1">
        <v>0.08</v>
      </c>
      <c r="AN372" s="1">
        <v>0.5</v>
      </c>
      <c r="AO372" s="1">
        <v>0.3</v>
      </c>
      <c r="AP372" s="1">
        <v>0.3</v>
      </c>
      <c r="AQ372" s="1">
        <v>3</v>
      </c>
      <c r="AR372" t="s">
        <v>1553</v>
      </c>
      <c r="AS372">
        <v>759303</v>
      </c>
      <c r="AT372" t="s">
        <v>8713</v>
      </c>
      <c r="AU372">
        <v>10</v>
      </c>
      <c r="AV372">
        <v>19071</v>
      </c>
      <c r="AX372">
        <v>0</v>
      </c>
    </row>
    <row r="373" spans="1:50" x14ac:dyDescent="0.25">
      <c r="A373">
        <v>374</v>
      </c>
      <c r="B373" t="s">
        <v>8714</v>
      </c>
      <c r="C373" t="s">
        <v>8715</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8724</v>
      </c>
      <c r="AH373" s="1">
        <v>3060</v>
      </c>
      <c r="AI373" t="s">
        <v>1844</v>
      </c>
      <c r="AJ373">
        <v>0</v>
      </c>
      <c r="AK373" s="1" t="s">
        <v>8716</v>
      </c>
      <c r="AL373" s="1" t="s">
        <v>8717</v>
      </c>
      <c r="AM373" s="1">
        <v>0.3</v>
      </c>
      <c r="AN373" s="1">
        <v>0.23</v>
      </c>
      <c r="AO373" s="1">
        <v>0.15</v>
      </c>
      <c r="AP373" s="1">
        <v>0.38</v>
      </c>
      <c r="AQ373" s="1">
        <v>3</v>
      </c>
      <c r="AR373" t="s">
        <v>7083</v>
      </c>
      <c r="AS373">
        <v>0</v>
      </c>
      <c r="AT373" t="s">
        <v>8718</v>
      </c>
      <c r="AU373">
        <v>10</v>
      </c>
      <c r="AV373">
        <v>20073</v>
      </c>
      <c r="AX373">
        <v>0</v>
      </c>
    </row>
    <row r="374" spans="1:50" x14ac:dyDescent="0.25">
      <c r="A374">
        <v>375</v>
      </c>
      <c r="B374" t="s">
        <v>8719</v>
      </c>
      <c r="C374" t="s">
        <v>8720</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8725</v>
      </c>
      <c r="AH374" s="1">
        <v>3540</v>
      </c>
      <c r="AI374" t="s">
        <v>1844</v>
      </c>
      <c r="AJ374">
        <v>0</v>
      </c>
      <c r="AK374" s="1" t="s">
        <v>8721</v>
      </c>
      <c r="AL374" s="1" t="s">
        <v>8722</v>
      </c>
      <c r="AM374" s="1">
        <v>0.45</v>
      </c>
      <c r="AN374" s="1">
        <v>0.15</v>
      </c>
      <c r="AO374" s="1">
        <v>0.3</v>
      </c>
      <c r="AP374" s="1">
        <v>0.15</v>
      </c>
      <c r="AQ374" s="1">
        <v>3</v>
      </c>
      <c r="AR374" t="s">
        <v>1578</v>
      </c>
      <c r="AS374">
        <v>0</v>
      </c>
      <c r="AT374" t="s">
        <v>8723</v>
      </c>
      <c r="AU374">
        <v>10</v>
      </c>
      <c r="AV374">
        <v>18116</v>
      </c>
      <c r="AX374">
        <v>0</v>
      </c>
    </row>
    <row r="375" spans="1:50" x14ac:dyDescent="0.25">
      <c r="A375">
        <v>376</v>
      </c>
      <c r="B375" t="s">
        <v>8740</v>
      </c>
      <c r="C375" t="s">
        <v>8741</v>
      </c>
      <c r="D375">
        <v>5</v>
      </c>
      <c r="E375">
        <v>3</v>
      </c>
      <c r="F375">
        <v>20</v>
      </c>
      <c r="G375" s="1" t="s">
        <v>329</v>
      </c>
      <c r="H375" s="1" t="s">
        <v>329</v>
      </c>
      <c r="I375" s="1" t="s">
        <v>332</v>
      </c>
      <c r="J375" s="1" t="s">
        <v>329</v>
      </c>
      <c r="K375" s="1" t="s">
        <v>329</v>
      </c>
      <c r="L375" s="1" t="s">
        <v>329</v>
      </c>
      <c r="M375" s="1" t="s">
        <v>329</v>
      </c>
      <c r="N375" s="1" t="s">
        <v>329</v>
      </c>
      <c r="O375" s="1" t="s">
        <v>7188</v>
      </c>
      <c r="P375" s="1" t="s">
        <v>329</v>
      </c>
      <c r="Q375" s="1" t="s">
        <v>329</v>
      </c>
      <c r="R375" s="1" t="s">
        <v>329</v>
      </c>
      <c r="S375" s="1" t="s">
        <v>329</v>
      </c>
      <c r="T375" s="1" t="s">
        <v>329</v>
      </c>
      <c r="U375" s="1">
        <v>0</v>
      </c>
      <c r="V375" s="1">
        <v>0</v>
      </c>
      <c r="W375" s="1">
        <v>0</v>
      </c>
      <c r="X375" s="1">
        <v>0</v>
      </c>
      <c r="Y375" s="1">
        <v>0</v>
      </c>
      <c r="Z375" s="1">
        <v>0</v>
      </c>
      <c r="AA375" s="1">
        <v>0</v>
      </c>
      <c r="AB375" s="1">
        <v>0</v>
      </c>
      <c r="AC375" s="1">
        <v>2</v>
      </c>
      <c r="AD375" s="1">
        <v>2</v>
      </c>
      <c r="AE375" s="1">
        <v>3</v>
      </c>
      <c r="AF375" s="1">
        <v>3</v>
      </c>
      <c r="AG375" s="242" t="s">
        <v>8742</v>
      </c>
      <c r="AH375" s="1">
        <v>3060</v>
      </c>
      <c r="AI375" t="s">
        <v>1844</v>
      </c>
      <c r="AJ375">
        <v>0</v>
      </c>
      <c r="AK375" s="1" t="s">
        <v>8743</v>
      </c>
      <c r="AL375" s="1" t="s">
        <v>8744</v>
      </c>
      <c r="AM375" s="1">
        <v>0.23</v>
      </c>
      <c r="AN375" s="1">
        <v>0.23</v>
      </c>
      <c r="AO375" s="1">
        <v>0.33</v>
      </c>
      <c r="AP375" s="1">
        <v>0.38</v>
      </c>
      <c r="AQ375" s="1">
        <v>3</v>
      </c>
      <c r="AR375" t="s">
        <v>1478</v>
      </c>
      <c r="AS375">
        <v>0</v>
      </c>
      <c r="AT375" t="s">
        <v>8745</v>
      </c>
      <c r="AU375">
        <v>10</v>
      </c>
      <c r="AV375">
        <v>20074</v>
      </c>
      <c r="AX375">
        <v>0</v>
      </c>
    </row>
    <row r="376" spans="1:50" x14ac:dyDescent="0.25">
      <c r="A376">
        <v>377</v>
      </c>
      <c r="B376" t="s">
        <v>8746</v>
      </c>
      <c r="C376" t="s">
        <v>8747</v>
      </c>
      <c r="D376">
        <v>5</v>
      </c>
      <c r="E376">
        <v>3</v>
      </c>
      <c r="F376">
        <v>20</v>
      </c>
      <c r="G376" s="1" t="s">
        <v>360</v>
      </c>
      <c r="H376" s="1" t="s">
        <v>329</v>
      </c>
      <c r="I376" s="1" t="s">
        <v>329</v>
      </c>
      <c r="J376" s="1" t="s">
        <v>329</v>
      </c>
      <c r="K376" s="1" t="s">
        <v>376</v>
      </c>
      <c r="L376" s="1" t="s">
        <v>903</v>
      </c>
      <c r="M376" s="1" t="s">
        <v>329</v>
      </c>
      <c r="N376" s="1" t="s">
        <v>329</v>
      </c>
      <c r="O376" s="1" t="s">
        <v>329</v>
      </c>
      <c r="P376" s="1" t="s">
        <v>329</v>
      </c>
      <c r="Q376" s="1" t="s">
        <v>329</v>
      </c>
      <c r="R376" s="1" t="s">
        <v>329</v>
      </c>
      <c r="S376" s="1" t="s">
        <v>329</v>
      </c>
      <c r="T376" s="1" t="s">
        <v>329</v>
      </c>
      <c r="U376" s="1">
        <v>0</v>
      </c>
      <c r="V376" s="1">
        <v>0</v>
      </c>
      <c r="W376" s="1">
        <v>0</v>
      </c>
      <c r="X376" s="1">
        <v>0</v>
      </c>
      <c r="Y376" s="1">
        <v>0</v>
      </c>
      <c r="Z376" s="1">
        <v>0</v>
      </c>
      <c r="AA376" s="1">
        <v>0</v>
      </c>
      <c r="AB376" s="1">
        <v>0</v>
      </c>
      <c r="AC376" s="1">
        <v>4</v>
      </c>
      <c r="AD376" s="1">
        <v>3</v>
      </c>
      <c r="AE376" s="1">
        <v>0</v>
      </c>
      <c r="AF376" s="1">
        <v>2</v>
      </c>
      <c r="AG376" s="242" t="s">
        <v>8748</v>
      </c>
      <c r="AH376" s="1">
        <v>3060</v>
      </c>
      <c r="AI376" t="s">
        <v>1844</v>
      </c>
      <c r="AJ376">
        <v>0</v>
      </c>
      <c r="AK376" s="1" t="s">
        <v>4747</v>
      </c>
      <c r="AL376" s="1" t="s">
        <v>8749</v>
      </c>
      <c r="AM376" s="1">
        <v>0.3</v>
      </c>
      <c r="AN376" s="1">
        <v>0.23</v>
      </c>
      <c r="AO376" s="1">
        <v>0.15</v>
      </c>
      <c r="AP376" s="1">
        <v>0.38</v>
      </c>
      <c r="AQ376" s="1">
        <v>3</v>
      </c>
      <c r="AR376" t="s">
        <v>1584</v>
      </c>
      <c r="AS376">
        <v>0</v>
      </c>
      <c r="AT376" t="s">
        <v>1807</v>
      </c>
      <c r="AU376">
        <v>10</v>
      </c>
      <c r="AV376">
        <v>20075</v>
      </c>
      <c r="AX376">
        <v>0</v>
      </c>
    </row>
    <row r="377" spans="1:50" x14ac:dyDescent="0.25">
      <c r="A377">
        <v>378</v>
      </c>
      <c r="B377" t="s">
        <v>8750</v>
      </c>
      <c r="C377" t="s">
        <v>8751</v>
      </c>
      <c r="D377">
        <v>5</v>
      </c>
      <c r="E377">
        <v>2</v>
      </c>
      <c r="F377">
        <v>19</v>
      </c>
      <c r="G377" s="1" t="s">
        <v>403</v>
      </c>
      <c r="H377" s="1" t="s">
        <v>329</v>
      </c>
      <c r="I377" s="1" t="s">
        <v>329</v>
      </c>
      <c r="J377" s="1" t="s">
        <v>329</v>
      </c>
      <c r="K377" s="1" t="s">
        <v>329</v>
      </c>
      <c r="L377" s="1" t="s">
        <v>329</v>
      </c>
      <c r="M377" s="1" t="s">
        <v>329</v>
      </c>
      <c r="N377" s="1" t="s">
        <v>387</v>
      </c>
      <c r="O377" s="1" t="s">
        <v>329</v>
      </c>
      <c r="P377" s="1" t="s">
        <v>329</v>
      </c>
      <c r="Q377" s="1" t="s">
        <v>329</v>
      </c>
      <c r="R377" s="1" t="s">
        <v>329</v>
      </c>
      <c r="S377" s="1" t="s">
        <v>329</v>
      </c>
      <c r="T377" s="1" t="s">
        <v>329</v>
      </c>
      <c r="U377" s="1">
        <v>0</v>
      </c>
      <c r="V377" s="1">
        <v>0</v>
      </c>
      <c r="W377" s="1">
        <v>0</v>
      </c>
      <c r="X377" s="1">
        <v>0</v>
      </c>
      <c r="Y377" s="1">
        <v>0</v>
      </c>
      <c r="Z377" s="1">
        <v>0</v>
      </c>
      <c r="AA377" s="1">
        <v>0</v>
      </c>
      <c r="AB377" s="1">
        <v>0</v>
      </c>
      <c r="AC377" s="1">
        <v>4</v>
      </c>
      <c r="AD377" s="1">
        <v>4</v>
      </c>
      <c r="AE377" s="1">
        <v>0</v>
      </c>
      <c r="AF377" s="1">
        <v>2</v>
      </c>
      <c r="AG377" s="242" t="s">
        <v>8752</v>
      </c>
      <c r="AH377" s="1">
        <v>3600</v>
      </c>
      <c r="AI377" t="s">
        <v>1844</v>
      </c>
      <c r="AJ377">
        <v>0</v>
      </c>
      <c r="AK377" s="1" t="s">
        <v>8753</v>
      </c>
      <c r="AL377" s="1" t="s">
        <v>8754</v>
      </c>
      <c r="AM377" s="1">
        <v>0.48</v>
      </c>
      <c r="AN377" s="1">
        <v>0.48</v>
      </c>
      <c r="AO377" s="1">
        <v>0.08</v>
      </c>
      <c r="AP377" s="1">
        <v>0.25</v>
      </c>
      <c r="AQ377" s="1">
        <v>3</v>
      </c>
      <c r="AR377" t="s">
        <v>1474</v>
      </c>
      <c r="AS377">
        <v>0</v>
      </c>
      <c r="AT377" t="s">
        <v>1807</v>
      </c>
      <c r="AU377">
        <v>10</v>
      </c>
      <c r="AV377">
        <v>19072</v>
      </c>
      <c r="AX377">
        <v>0</v>
      </c>
    </row>
    <row r="378" spans="1:50" x14ac:dyDescent="0.25">
      <c r="A378">
        <v>379</v>
      </c>
      <c r="B378" t="s">
        <v>8755</v>
      </c>
      <c r="C378" t="s">
        <v>8756</v>
      </c>
      <c r="D378">
        <v>5</v>
      </c>
      <c r="E378">
        <v>3</v>
      </c>
      <c r="F378">
        <v>20</v>
      </c>
      <c r="G378" s="1" t="s">
        <v>409</v>
      </c>
      <c r="H378" s="1" t="s">
        <v>329</v>
      </c>
      <c r="I378" s="1" t="s">
        <v>8046</v>
      </c>
      <c r="J378" s="1" t="s">
        <v>329</v>
      </c>
      <c r="K378" s="1" t="s">
        <v>329</v>
      </c>
      <c r="L378" s="1" t="s">
        <v>329</v>
      </c>
      <c r="M378" s="1" t="s">
        <v>329</v>
      </c>
      <c r="N378" s="1" t="s">
        <v>329</v>
      </c>
      <c r="O378" s="1" t="s">
        <v>329</v>
      </c>
      <c r="P378" s="1" t="s">
        <v>329</v>
      </c>
      <c r="Q378" s="1" t="s">
        <v>329</v>
      </c>
      <c r="R378" s="1" t="s">
        <v>329</v>
      </c>
      <c r="S378" s="1" t="s">
        <v>329</v>
      </c>
      <c r="T378" s="1" t="s">
        <v>329</v>
      </c>
      <c r="U378" s="1">
        <v>0</v>
      </c>
      <c r="V378" s="1">
        <v>0</v>
      </c>
      <c r="W378" s="1">
        <v>0</v>
      </c>
      <c r="X378" s="1">
        <v>0</v>
      </c>
      <c r="Y378" s="1">
        <v>0</v>
      </c>
      <c r="Z378" s="1">
        <v>0</v>
      </c>
      <c r="AA378" s="1">
        <v>0</v>
      </c>
      <c r="AB378" s="1">
        <v>0</v>
      </c>
      <c r="AC378" s="1">
        <v>4</v>
      </c>
      <c r="AD378" s="1">
        <v>2</v>
      </c>
      <c r="AE378" s="1">
        <v>0</v>
      </c>
      <c r="AF378" s="1">
        <v>4</v>
      </c>
      <c r="AG378" s="242" t="s">
        <v>8757</v>
      </c>
      <c r="AH378" s="1">
        <v>3120</v>
      </c>
      <c r="AI378" t="s">
        <v>1844</v>
      </c>
      <c r="AJ378">
        <v>0</v>
      </c>
      <c r="AK378" s="1" t="s">
        <v>8758</v>
      </c>
      <c r="AL378" s="1" t="s">
        <v>8759</v>
      </c>
      <c r="AM378" s="1">
        <v>0.3</v>
      </c>
      <c r="AN378" s="1">
        <v>0.25</v>
      </c>
      <c r="AO378" s="1">
        <v>0.12</v>
      </c>
      <c r="AP378" s="1">
        <v>0.38</v>
      </c>
      <c r="AQ378" s="1">
        <v>3</v>
      </c>
      <c r="AR378" t="s">
        <v>1758</v>
      </c>
      <c r="AS378">
        <v>0</v>
      </c>
      <c r="AT378" t="s">
        <v>1807</v>
      </c>
      <c r="AU378">
        <v>10</v>
      </c>
      <c r="AV378">
        <v>20076</v>
      </c>
      <c r="AX378">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17"/>
  <sheetViews>
    <sheetView topLeftCell="B1" workbookViewId="0">
      <pane ySplit="1" topLeftCell="A608" activePane="bottomLeft" state="frozen"/>
      <selection activeCell="AG369" sqref="AG369:AG371"/>
      <selection pane="bottomLeft" activeCell="AG369" sqref="AG369:AG371"/>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1778</v>
      </c>
      <c r="C1" s="240" t="s">
        <v>6764</v>
      </c>
      <c r="D1" s="40" t="s">
        <v>322</v>
      </c>
      <c r="E1" s="40" t="s">
        <v>2606</v>
      </c>
      <c r="F1" s="40" t="s">
        <v>2607</v>
      </c>
      <c r="G1" s="40" t="s">
        <v>2608</v>
      </c>
      <c r="H1" s="40" t="s">
        <v>2609</v>
      </c>
      <c r="I1" s="40" t="s">
        <v>966</v>
      </c>
      <c r="J1" s="40" t="s">
        <v>61</v>
      </c>
      <c r="K1" s="40" t="s">
        <v>220</v>
      </c>
      <c r="L1" s="40" t="s">
        <v>323</v>
      </c>
      <c r="M1" s="40" t="s">
        <v>2610</v>
      </c>
      <c r="N1" s="40" t="s">
        <v>2611</v>
      </c>
      <c r="O1" s="40" t="s">
        <v>2612</v>
      </c>
      <c r="P1" s="40" t="s">
        <v>2613</v>
      </c>
      <c r="Q1" s="40" t="s">
        <v>2614</v>
      </c>
      <c r="R1" s="40" t="s">
        <v>2615</v>
      </c>
      <c r="S1" s="40" t="s">
        <v>2616</v>
      </c>
      <c r="T1" s="40" t="s">
        <v>2617</v>
      </c>
      <c r="U1" s="40" t="s">
        <v>1107</v>
      </c>
      <c r="V1" s="40" t="s">
        <v>1108</v>
      </c>
      <c r="W1" s="40" t="s">
        <v>1109</v>
      </c>
      <c r="X1" s="40" t="s">
        <v>2618</v>
      </c>
      <c r="Y1" s="40" t="s">
        <v>1110</v>
      </c>
      <c r="Z1" s="40" t="s">
        <v>1111</v>
      </c>
      <c r="AA1" s="40" t="s">
        <v>1112</v>
      </c>
      <c r="AB1" s="40" t="s">
        <v>221</v>
      </c>
      <c r="AC1" s="40" t="s">
        <v>2619</v>
      </c>
      <c r="AD1" s="40" t="s">
        <v>2620</v>
      </c>
      <c r="AE1" s="40" t="s">
        <v>1113</v>
      </c>
      <c r="AF1" s="40" t="s">
        <v>2621</v>
      </c>
      <c r="AG1" s="40" t="s">
        <v>41</v>
      </c>
      <c r="AH1" s="40" t="s">
        <v>42</v>
      </c>
      <c r="AI1" s="40" t="s">
        <v>1114</v>
      </c>
      <c r="AJ1" s="40" t="s">
        <v>630</v>
      </c>
      <c r="AK1" s="40" t="s">
        <v>1115</v>
      </c>
      <c r="AL1" s="40" t="s">
        <v>2622</v>
      </c>
      <c r="AM1" s="40" t="s">
        <v>2623</v>
      </c>
      <c r="AN1" s="40" t="s">
        <v>2624</v>
      </c>
      <c r="AO1" s="40" t="s">
        <v>2625</v>
      </c>
      <c r="AP1" s="40" t="s">
        <v>2626</v>
      </c>
      <c r="AQ1" s="40" t="s">
        <v>1116</v>
      </c>
      <c r="AR1" s="40" t="s">
        <v>1117</v>
      </c>
      <c r="AS1" s="40" t="s">
        <v>1118</v>
      </c>
      <c r="AT1" t="s">
        <v>2627</v>
      </c>
      <c r="AU1" t="s">
        <v>2628</v>
      </c>
      <c r="AV1" t="s">
        <v>583</v>
      </c>
      <c r="AW1" t="s">
        <v>2629</v>
      </c>
      <c r="AX1" t="s">
        <v>2630</v>
      </c>
      <c r="AY1" t="s">
        <v>2631</v>
      </c>
      <c r="AZ1" t="s">
        <v>2632</v>
      </c>
      <c r="BA1" t="s">
        <v>2633</v>
      </c>
      <c r="BB1" t="s">
        <v>2634</v>
      </c>
      <c r="BC1" t="s">
        <v>2635</v>
      </c>
      <c r="BD1" t="s">
        <v>2636</v>
      </c>
      <c r="BE1" t="s">
        <v>6624</v>
      </c>
      <c r="BF1" t="s">
        <v>6625</v>
      </c>
    </row>
    <row r="2" spans="1:60" x14ac:dyDescent="0.25">
      <c r="A2" s="1">
        <v>1</v>
      </c>
      <c r="B2" s="1" t="s">
        <v>2637</v>
      </c>
      <c r="C2" s="241" t="s">
        <v>19</v>
      </c>
      <c r="D2" s="1" t="s">
        <v>2638</v>
      </c>
      <c r="E2" s="1"/>
      <c r="F2" s="1"/>
      <c r="G2" s="1" t="s">
        <v>2639</v>
      </c>
      <c r="H2" s="1" t="s">
        <v>2640</v>
      </c>
      <c r="I2" s="1" t="s">
        <v>2641</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1807</v>
      </c>
      <c r="AN2" s="1" t="s">
        <v>4741</v>
      </c>
      <c r="AO2" s="1" t="s">
        <v>4742</v>
      </c>
      <c r="AP2" s="1">
        <v>0</v>
      </c>
      <c r="AQ2" s="1" t="s">
        <v>4743</v>
      </c>
      <c r="AR2" s="1" t="s">
        <v>1120</v>
      </c>
      <c r="AS2" s="1" t="s">
        <v>1121</v>
      </c>
      <c r="AT2" s="1" t="s">
        <v>329</v>
      </c>
      <c r="AU2" s="1">
        <v>1</v>
      </c>
      <c r="AV2" s="1">
        <v>0</v>
      </c>
      <c r="AW2" s="1" t="s">
        <v>4493</v>
      </c>
      <c r="AX2" s="1" t="s">
        <v>471</v>
      </c>
      <c r="AY2" s="1">
        <v>4</v>
      </c>
      <c r="AZ2" s="1">
        <v>0</v>
      </c>
      <c r="BA2" s="1" t="s">
        <v>4744</v>
      </c>
      <c r="BB2" s="1" t="s">
        <v>371</v>
      </c>
      <c r="BC2" s="1" t="s">
        <v>4721</v>
      </c>
      <c r="BD2" s="1">
        <v>10302</v>
      </c>
      <c r="BE2" s="1"/>
      <c r="BH2">
        <f>COUNTIF(Dropdowns!$I:$AF,C2)</f>
        <v>0</v>
      </c>
    </row>
    <row r="3" spans="1:60" x14ac:dyDescent="0.25">
      <c r="A3" s="1">
        <v>2</v>
      </c>
      <c r="B3" s="1" t="s">
        <v>2642</v>
      </c>
      <c r="C3" s="241" t="s">
        <v>62</v>
      </c>
      <c r="D3" s="1" t="s">
        <v>62</v>
      </c>
      <c r="E3" s="1"/>
      <c r="F3" s="1"/>
      <c r="G3" s="1" t="s">
        <v>2643</v>
      </c>
      <c r="H3" s="1" t="s">
        <v>2644</v>
      </c>
      <c r="I3" s="1" t="s">
        <v>2645</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1122</v>
      </c>
      <c r="AK3" s="1" t="s">
        <v>329</v>
      </c>
      <c r="AL3" s="1">
        <v>13</v>
      </c>
      <c r="AM3" s="1" t="s">
        <v>1807</v>
      </c>
      <c r="AN3" s="1" t="s">
        <v>4741</v>
      </c>
      <c r="AO3" s="1" t="s">
        <v>4745</v>
      </c>
      <c r="AP3" s="1">
        <v>0</v>
      </c>
      <c r="AQ3" s="1" t="s">
        <v>1119</v>
      </c>
      <c r="AR3" s="1" t="s">
        <v>1744</v>
      </c>
      <c r="AS3" s="1" t="s">
        <v>1121</v>
      </c>
      <c r="AT3" s="1" t="s">
        <v>329</v>
      </c>
      <c r="AU3" s="1">
        <v>2</v>
      </c>
      <c r="AV3" s="1">
        <v>0</v>
      </c>
      <c r="AW3" s="1" t="s">
        <v>4493</v>
      </c>
      <c r="AX3" s="1" t="s">
        <v>471</v>
      </c>
      <c r="AY3" s="1">
        <v>2</v>
      </c>
      <c r="AZ3" s="1">
        <v>0</v>
      </c>
      <c r="BA3" s="1" t="s">
        <v>4746</v>
      </c>
      <c r="BB3" s="1" t="s">
        <v>4747</v>
      </c>
      <c r="BC3" s="1" t="s">
        <v>4721</v>
      </c>
      <c r="BD3" s="1">
        <v>10202</v>
      </c>
      <c r="BE3" s="1"/>
      <c r="BH3">
        <f>COUNTIF(Dropdowns!$I:$AF,C3)</f>
        <v>0</v>
      </c>
    </row>
    <row r="4" spans="1:60" x14ac:dyDescent="0.25">
      <c r="A4" s="1">
        <v>3</v>
      </c>
      <c r="B4" s="1" t="s">
        <v>2646</v>
      </c>
      <c r="C4" s="241" t="s">
        <v>63</v>
      </c>
      <c r="D4" s="1" t="s">
        <v>63</v>
      </c>
      <c r="E4" s="1"/>
      <c r="F4" s="1"/>
      <c r="G4" s="1" t="s">
        <v>2647</v>
      </c>
      <c r="H4" s="1" t="s">
        <v>2648</v>
      </c>
      <c r="I4" s="1" t="s">
        <v>2649</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1122</v>
      </c>
      <c r="AK4" s="1" t="s">
        <v>329</v>
      </c>
      <c r="AL4" s="1">
        <v>13</v>
      </c>
      <c r="AM4" s="1" t="s">
        <v>1807</v>
      </c>
      <c r="AN4" s="1" t="s">
        <v>4748</v>
      </c>
      <c r="AO4" s="1" t="s">
        <v>4749</v>
      </c>
      <c r="AP4" s="1">
        <v>0</v>
      </c>
      <c r="AQ4" s="1" t="s">
        <v>4743</v>
      </c>
      <c r="AR4" s="1" t="s">
        <v>1120</v>
      </c>
      <c r="AS4" s="1" t="s">
        <v>1121</v>
      </c>
      <c r="AT4" s="1" t="s">
        <v>329</v>
      </c>
      <c r="AU4" s="1">
        <v>3</v>
      </c>
      <c r="AV4" s="1">
        <v>0</v>
      </c>
      <c r="AW4" s="1" t="s">
        <v>4493</v>
      </c>
      <c r="AX4" s="1" t="s">
        <v>471</v>
      </c>
      <c r="AY4" s="1">
        <v>3</v>
      </c>
      <c r="AZ4" s="1">
        <v>0</v>
      </c>
      <c r="BA4" s="1" t="s">
        <v>329</v>
      </c>
      <c r="BB4" s="1" t="s">
        <v>4750</v>
      </c>
      <c r="BC4" s="1" t="s">
        <v>4721</v>
      </c>
      <c r="BD4" s="1">
        <v>10202</v>
      </c>
      <c r="BE4" s="1"/>
      <c r="BH4">
        <f>COUNTIF(Dropdowns!$I:$AF,C4)</f>
        <v>0</v>
      </c>
    </row>
    <row r="5" spans="1:60" x14ac:dyDescent="0.25">
      <c r="A5" s="1">
        <v>4</v>
      </c>
      <c r="B5" s="1" t="s">
        <v>2650</v>
      </c>
      <c r="C5" s="241" t="s">
        <v>64</v>
      </c>
      <c r="D5" s="1" t="s">
        <v>64</v>
      </c>
      <c r="E5" s="1"/>
      <c r="F5" s="1"/>
      <c r="G5" s="1" t="s">
        <v>2651</v>
      </c>
      <c r="H5" s="1" t="s">
        <v>2652</v>
      </c>
      <c r="I5" s="1" t="s">
        <v>2653</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1123</v>
      </c>
      <c r="AK5" s="1" t="s">
        <v>1124</v>
      </c>
      <c r="AL5" s="1">
        <v>13</v>
      </c>
      <c r="AM5" s="1" t="s">
        <v>1807</v>
      </c>
      <c r="AN5" s="1" t="s">
        <v>4751</v>
      </c>
      <c r="AO5" s="1" t="s">
        <v>4752</v>
      </c>
      <c r="AP5" s="1">
        <v>0</v>
      </c>
      <c r="AQ5" s="1" t="s">
        <v>1119</v>
      </c>
      <c r="AR5" s="1" t="s">
        <v>1120</v>
      </c>
      <c r="AS5" s="1" t="s">
        <v>1121</v>
      </c>
      <c r="AT5" s="1" t="s">
        <v>329</v>
      </c>
      <c r="AU5" s="1">
        <v>4</v>
      </c>
      <c r="AV5" s="1">
        <v>0</v>
      </c>
      <c r="AW5" s="1" t="s">
        <v>4753</v>
      </c>
      <c r="AX5" s="1" t="s">
        <v>4754</v>
      </c>
      <c r="AY5" s="1">
        <v>5</v>
      </c>
      <c r="AZ5" s="1">
        <v>0</v>
      </c>
      <c r="BA5" s="1" t="s">
        <v>329</v>
      </c>
      <c r="BB5" s="1" t="s">
        <v>329</v>
      </c>
      <c r="BC5" s="1" t="s">
        <v>4721</v>
      </c>
      <c r="BD5" s="1">
        <v>10202</v>
      </c>
      <c r="BE5" s="1"/>
      <c r="BH5">
        <f>COUNTIF(Dropdowns!$I:$AF,C5)</f>
        <v>0</v>
      </c>
    </row>
    <row r="6" spans="1:60" x14ac:dyDescent="0.25">
      <c r="A6" s="1">
        <v>5</v>
      </c>
      <c r="B6" s="1" t="s">
        <v>2654</v>
      </c>
      <c r="C6" s="241" t="s">
        <v>65</v>
      </c>
      <c r="D6" s="1" t="s">
        <v>65</v>
      </c>
      <c r="E6" s="1"/>
      <c r="F6" s="1"/>
      <c r="G6" s="1" t="s">
        <v>2655</v>
      </c>
      <c r="H6" s="1" t="s">
        <v>2656</v>
      </c>
      <c r="I6" s="1" t="s">
        <v>2657</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1125</v>
      </c>
      <c r="AK6" s="1" t="s">
        <v>329</v>
      </c>
      <c r="AL6" s="1">
        <v>13</v>
      </c>
      <c r="AM6" s="1" t="s">
        <v>1807</v>
      </c>
      <c r="AN6" s="1" t="s">
        <v>4755</v>
      </c>
      <c r="AO6" s="1" t="s">
        <v>4756</v>
      </c>
      <c r="AP6" s="1">
        <v>0</v>
      </c>
      <c r="AQ6" s="1" t="s">
        <v>4743</v>
      </c>
      <c r="AR6" s="1" t="s">
        <v>1120</v>
      </c>
      <c r="AS6" s="1" t="s">
        <v>1121</v>
      </c>
      <c r="AT6" s="1" t="s">
        <v>329</v>
      </c>
      <c r="AU6" s="1">
        <v>5</v>
      </c>
      <c r="AV6" s="1">
        <v>0</v>
      </c>
      <c r="AW6" s="1" t="s">
        <v>4493</v>
      </c>
      <c r="AX6" s="1" t="s">
        <v>471</v>
      </c>
      <c r="AY6" s="1">
        <v>2</v>
      </c>
      <c r="AZ6" s="1">
        <v>0</v>
      </c>
      <c r="BA6" s="1" t="s">
        <v>4746</v>
      </c>
      <c r="BB6" s="1" t="s">
        <v>4757</v>
      </c>
      <c r="BC6" s="1" t="s">
        <v>4758</v>
      </c>
      <c r="BD6" s="1">
        <v>10302</v>
      </c>
      <c r="BE6" s="1"/>
      <c r="BH6">
        <f>COUNTIF(Dropdowns!$I:$AF,C6)</f>
        <v>0</v>
      </c>
    </row>
    <row r="7" spans="1:60" x14ac:dyDescent="0.25">
      <c r="A7" s="1">
        <v>6</v>
      </c>
      <c r="B7" s="1" t="s">
        <v>2658</v>
      </c>
      <c r="C7" s="241" t="s">
        <v>66</v>
      </c>
      <c r="D7" s="1" t="s">
        <v>2659</v>
      </c>
      <c r="E7" s="1"/>
      <c r="F7" s="1"/>
      <c r="G7" s="1" t="s">
        <v>2660</v>
      </c>
      <c r="H7" s="1" t="s">
        <v>2661</v>
      </c>
      <c r="I7" s="1" t="s">
        <v>2662</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4759</v>
      </c>
      <c r="AK7" s="1" t="s">
        <v>329</v>
      </c>
      <c r="AL7" s="1">
        <v>13</v>
      </c>
      <c r="AM7" s="1" t="s">
        <v>1807</v>
      </c>
      <c r="AN7" s="1" t="s">
        <v>4748</v>
      </c>
      <c r="AO7" s="1" t="s">
        <v>4745</v>
      </c>
      <c r="AP7" s="1">
        <v>0</v>
      </c>
      <c r="AQ7" s="1" t="s">
        <v>1119</v>
      </c>
      <c r="AR7" s="1" t="s">
        <v>1120</v>
      </c>
      <c r="AS7" s="1" t="s">
        <v>1121</v>
      </c>
      <c r="AT7" s="1" t="s">
        <v>329</v>
      </c>
      <c r="AU7" s="1">
        <v>6</v>
      </c>
      <c r="AV7" s="1">
        <v>0</v>
      </c>
      <c r="AW7" s="1" t="s">
        <v>4493</v>
      </c>
      <c r="AX7" s="1" t="s">
        <v>471</v>
      </c>
      <c r="AY7" s="1">
        <v>3</v>
      </c>
      <c r="AZ7" s="1">
        <v>0</v>
      </c>
      <c r="BA7" s="1" t="s">
        <v>329</v>
      </c>
      <c r="BB7" s="1" t="s">
        <v>4760</v>
      </c>
      <c r="BC7" s="1" t="s">
        <v>4758</v>
      </c>
      <c r="BD7" s="1">
        <v>10302</v>
      </c>
      <c r="BE7" s="1"/>
      <c r="BH7">
        <f>COUNTIF(Dropdowns!$I:$AF,C7)</f>
        <v>0</v>
      </c>
    </row>
    <row r="8" spans="1:60" x14ac:dyDescent="0.25">
      <c r="A8" s="1">
        <v>7</v>
      </c>
      <c r="B8" s="1" t="s">
        <v>2663</v>
      </c>
      <c r="C8" s="241" t="s">
        <v>67</v>
      </c>
      <c r="D8" s="1" t="s">
        <v>2664</v>
      </c>
      <c r="E8" s="1"/>
      <c r="F8" s="1"/>
      <c r="G8" s="1" t="s">
        <v>2665</v>
      </c>
      <c r="H8" s="1" t="s">
        <v>2666</v>
      </c>
      <c r="I8" s="1" t="s">
        <v>2667</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1807</v>
      </c>
      <c r="AN8" s="1" t="s">
        <v>4748</v>
      </c>
      <c r="AO8" s="1" t="s">
        <v>4761</v>
      </c>
      <c r="AP8" s="1">
        <v>0</v>
      </c>
      <c r="AQ8" s="1" t="s">
        <v>4743</v>
      </c>
      <c r="AR8" s="1" t="s">
        <v>1120</v>
      </c>
      <c r="AS8" s="1" t="s">
        <v>4762</v>
      </c>
      <c r="AT8" s="1" t="s">
        <v>329</v>
      </c>
      <c r="AU8" s="1">
        <v>7</v>
      </c>
      <c r="AV8" s="1">
        <v>0</v>
      </c>
      <c r="AW8" s="1" t="s">
        <v>4493</v>
      </c>
      <c r="AX8" s="1" t="s">
        <v>4763</v>
      </c>
      <c r="AY8" s="1">
        <v>4</v>
      </c>
      <c r="AZ8" s="1">
        <v>0</v>
      </c>
      <c r="BA8" s="1" t="s">
        <v>4744</v>
      </c>
      <c r="BB8" s="1" t="s">
        <v>485</v>
      </c>
      <c r="BC8" s="1" t="s">
        <v>4758</v>
      </c>
      <c r="BD8" s="1">
        <v>10303</v>
      </c>
      <c r="BE8" s="1"/>
      <c r="BH8">
        <f>COUNTIF(Dropdowns!$I:$AF,C8)</f>
        <v>0</v>
      </c>
    </row>
    <row r="9" spans="1:60" x14ac:dyDescent="0.25">
      <c r="A9" s="1">
        <v>8</v>
      </c>
      <c r="B9" s="1" t="s">
        <v>2668</v>
      </c>
      <c r="C9" s="241" t="s">
        <v>68</v>
      </c>
      <c r="D9" s="1" t="s">
        <v>2669</v>
      </c>
      <c r="E9" s="1"/>
      <c r="F9" s="1"/>
      <c r="G9" s="1" t="s">
        <v>2670</v>
      </c>
      <c r="H9" s="1" t="s">
        <v>2671</v>
      </c>
      <c r="I9" s="1" t="s">
        <v>2672</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1126</v>
      </c>
      <c r="AK9" s="1" t="s">
        <v>1127</v>
      </c>
      <c r="AL9" s="1">
        <v>13</v>
      </c>
      <c r="AM9" s="1" t="s">
        <v>1807</v>
      </c>
      <c r="AN9" s="1" t="s">
        <v>4764</v>
      </c>
      <c r="AO9" s="1" t="s">
        <v>4765</v>
      </c>
      <c r="AP9" s="1">
        <v>0</v>
      </c>
      <c r="AQ9" s="1" t="s">
        <v>4743</v>
      </c>
      <c r="AR9" s="1" t="s">
        <v>1744</v>
      </c>
      <c r="AS9" s="1" t="s">
        <v>1121</v>
      </c>
      <c r="AT9" s="1" t="s">
        <v>329</v>
      </c>
      <c r="AU9" s="1">
        <v>8</v>
      </c>
      <c r="AV9" s="1">
        <v>0</v>
      </c>
      <c r="AW9" s="1" t="s">
        <v>4493</v>
      </c>
      <c r="AX9" s="1" t="s">
        <v>471</v>
      </c>
      <c r="AY9" s="1">
        <v>3</v>
      </c>
      <c r="AZ9" s="1">
        <v>0</v>
      </c>
      <c r="BA9" s="1" t="s">
        <v>4766</v>
      </c>
      <c r="BB9" s="1" t="s">
        <v>4767</v>
      </c>
      <c r="BC9" s="1" t="s">
        <v>4758</v>
      </c>
      <c r="BD9" s="1">
        <v>10704</v>
      </c>
      <c r="BE9" s="1"/>
      <c r="BH9">
        <f>COUNTIF(Dropdowns!$I:$AF,C9)</f>
        <v>0</v>
      </c>
    </row>
    <row r="10" spans="1:60" x14ac:dyDescent="0.25">
      <c r="A10" s="1">
        <v>9</v>
      </c>
      <c r="B10" s="1" t="s">
        <v>2673</v>
      </c>
      <c r="C10" s="241" t="s">
        <v>69</v>
      </c>
      <c r="D10" s="1" t="s">
        <v>69</v>
      </c>
      <c r="E10" s="1"/>
      <c r="F10" s="1"/>
      <c r="G10" s="1" t="s">
        <v>2674</v>
      </c>
      <c r="H10" s="1" t="s">
        <v>2675</v>
      </c>
      <c r="I10" s="1" t="s">
        <v>2676</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1128</v>
      </c>
      <c r="AK10" s="1" t="s">
        <v>329</v>
      </c>
      <c r="AL10" s="1">
        <v>13</v>
      </c>
      <c r="AM10" s="1" t="s">
        <v>1807</v>
      </c>
      <c r="AN10" s="1" t="s">
        <v>4748</v>
      </c>
      <c r="AO10" s="1" t="s">
        <v>4768</v>
      </c>
      <c r="AP10" s="1">
        <v>0</v>
      </c>
      <c r="AQ10" s="1" t="s">
        <v>1119</v>
      </c>
      <c r="AR10" s="1" t="s">
        <v>1120</v>
      </c>
      <c r="AS10" s="1" t="s">
        <v>1121</v>
      </c>
      <c r="AT10" s="1" t="s">
        <v>329</v>
      </c>
      <c r="AU10" s="1">
        <v>9</v>
      </c>
      <c r="AV10" s="1">
        <v>0</v>
      </c>
      <c r="AW10" s="1" t="s">
        <v>4493</v>
      </c>
      <c r="AX10" s="1" t="s">
        <v>471</v>
      </c>
      <c r="AY10" s="1">
        <v>2</v>
      </c>
      <c r="AZ10" s="1">
        <v>0</v>
      </c>
      <c r="BA10" s="1" t="s">
        <v>329</v>
      </c>
      <c r="BB10" s="1" t="s">
        <v>4769</v>
      </c>
      <c r="BC10" s="1" t="s">
        <v>4770</v>
      </c>
      <c r="BD10" s="1">
        <v>10803</v>
      </c>
      <c r="BE10" s="1"/>
      <c r="BH10">
        <f>COUNTIF(Dropdowns!$I:$AF,C10)</f>
        <v>0</v>
      </c>
    </row>
    <row r="11" spans="1:60" x14ac:dyDescent="0.25">
      <c r="A11" s="1">
        <v>10</v>
      </c>
      <c r="B11" s="1" t="s">
        <v>2677</v>
      </c>
      <c r="C11" s="241" t="s">
        <v>70</v>
      </c>
      <c r="D11" s="1" t="s">
        <v>70</v>
      </c>
      <c r="E11" s="1"/>
      <c r="F11" s="1"/>
      <c r="G11" s="1" t="s">
        <v>2678</v>
      </c>
      <c r="H11" s="1" t="s">
        <v>2679</v>
      </c>
      <c r="I11" s="1" t="s">
        <v>2680</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4771</v>
      </c>
      <c r="AK11" s="1" t="s">
        <v>329</v>
      </c>
      <c r="AL11" s="1">
        <v>13</v>
      </c>
      <c r="AM11" s="1" t="s">
        <v>1807</v>
      </c>
      <c r="AN11" s="1" t="s">
        <v>4764</v>
      </c>
      <c r="AO11" s="1" t="s">
        <v>4772</v>
      </c>
      <c r="AP11" s="1">
        <v>0</v>
      </c>
      <c r="AQ11" s="1" t="s">
        <v>4743</v>
      </c>
      <c r="AR11" s="1" t="s">
        <v>1120</v>
      </c>
      <c r="AS11" s="1" t="s">
        <v>1121</v>
      </c>
      <c r="AT11" s="1" t="s">
        <v>329</v>
      </c>
      <c r="AU11" s="1">
        <v>10</v>
      </c>
      <c r="AV11" s="1">
        <v>0</v>
      </c>
      <c r="AW11" s="1" t="s">
        <v>4493</v>
      </c>
      <c r="AX11" s="1" t="s">
        <v>471</v>
      </c>
      <c r="AY11" s="1">
        <v>2</v>
      </c>
      <c r="AZ11" s="1">
        <v>0</v>
      </c>
      <c r="BA11" s="1" t="s">
        <v>329</v>
      </c>
      <c r="BB11" s="1" t="s">
        <v>4773</v>
      </c>
      <c r="BC11" s="1" t="s">
        <v>4770</v>
      </c>
      <c r="BD11" s="1">
        <v>10303</v>
      </c>
      <c r="BE11" s="1"/>
      <c r="BH11">
        <f>COUNTIF(Dropdowns!$I:$AF,C11)</f>
        <v>0</v>
      </c>
    </row>
    <row r="12" spans="1:60" x14ac:dyDescent="0.25">
      <c r="A12" s="1">
        <v>11</v>
      </c>
      <c r="B12" s="1" t="s">
        <v>2681</v>
      </c>
      <c r="C12" s="241" t="s">
        <v>71</v>
      </c>
      <c r="D12" s="1" t="s">
        <v>71</v>
      </c>
      <c r="E12" s="1"/>
      <c r="F12" s="1"/>
      <c r="G12" s="1" t="s">
        <v>2682</v>
      </c>
      <c r="H12" s="1" t="s">
        <v>2683</v>
      </c>
      <c r="I12" s="1" t="s">
        <v>2684</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1126</v>
      </c>
      <c r="AK12" s="1" t="s">
        <v>329</v>
      </c>
      <c r="AL12" s="1">
        <v>13</v>
      </c>
      <c r="AM12" s="1" t="s">
        <v>1807</v>
      </c>
      <c r="AN12" s="1" t="s">
        <v>4774</v>
      </c>
      <c r="AO12" s="1" t="s">
        <v>4775</v>
      </c>
      <c r="AP12" s="1">
        <v>0</v>
      </c>
      <c r="AQ12" s="1" t="s">
        <v>1119</v>
      </c>
      <c r="AR12" s="1" t="s">
        <v>1120</v>
      </c>
      <c r="AS12" s="1" t="s">
        <v>1121</v>
      </c>
      <c r="AT12" s="1" t="s">
        <v>329</v>
      </c>
      <c r="AU12" s="1">
        <v>11</v>
      </c>
      <c r="AV12" s="1">
        <v>0</v>
      </c>
      <c r="AW12" s="1" t="s">
        <v>4493</v>
      </c>
      <c r="AX12" s="1" t="s">
        <v>471</v>
      </c>
      <c r="AY12" s="1">
        <v>3</v>
      </c>
      <c r="AZ12" s="1">
        <v>0</v>
      </c>
      <c r="BA12" s="1" t="s">
        <v>329</v>
      </c>
      <c r="BB12" s="1" t="s">
        <v>4776</v>
      </c>
      <c r="BC12" s="1" t="s">
        <v>4770</v>
      </c>
      <c r="BD12" s="1">
        <v>10303</v>
      </c>
      <c r="BE12" s="1"/>
      <c r="BH12">
        <f>COUNTIF(Dropdowns!$I:$AF,C12)</f>
        <v>0</v>
      </c>
    </row>
    <row r="13" spans="1:60" x14ac:dyDescent="0.25">
      <c r="A13" s="1">
        <v>12</v>
      </c>
      <c r="B13" s="1" t="s">
        <v>2685</v>
      </c>
      <c r="C13" s="241" t="s">
        <v>72</v>
      </c>
      <c r="D13" s="1" t="s">
        <v>72</v>
      </c>
      <c r="E13" s="1"/>
      <c r="F13" s="1"/>
      <c r="G13" s="1" t="s">
        <v>2686</v>
      </c>
      <c r="H13" s="1" t="s">
        <v>2687</v>
      </c>
      <c r="I13" s="1" t="s">
        <v>2688</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1126</v>
      </c>
      <c r="AK13" s="1" t="s">
        <v>329</v>
      </c>
      <c r="AL13" s="1">
        <v>13</v>
      </c>
      <c r="AM13" s="1" t="s">
        <v>1807</v>
      </c>
      <c r="AN13" s="1" t="s">
        <v>4777</v>
      </c>
      <c r="AO13" s="1" t="s">
        <v>4778</v>
      </c>
      <c r="AP13" s="1">
        <v>0</v>
      </c>
      <c r="AQ13" s="1" t="s">
        <v>4743</v>
      </c>
      <c r="AR13" s="1" t="s">
        <v>1120</v>
      </c>
      <c r="AS13" s="1" t="s">
        <v>1121</v>
      </c>
      <c r="AT13" s="1" t="s">
        <v>329</v>
      </c>
      <c r="AU13" s="1">
        <v>12</v>
      </c>
      <c r="AV13" s="1">
        <v>0</v>
      </c>
      <c r="AW13" s="1" t="s">
        <v>4493</v>
      </c>
      <c r="AX13" s="1" t="s">
        <v>471</v>
      </c>
      <c r="AY13" s="1">
        <v>3</v>
      </c>
      <c r="AZ13" s="1">
        <v>0</v>
      </c>
      <c r="BA13" s="1" t="s">
        <v>4766</v>
      </c>
      <c r="BB13" s="1" t="s">
        <v>4779</v>
      </c>
      <c r="BC13" s="1" t="s">
        <v>4770</v>
      </c>
      <c r="BD13" s="1">
        <v>10302</v>
      </c>
      <c r="BE13" s="1"/>
      <c r="BH13">
        <f>COUNTIF(Dropdowns!$I:$AF,C13)</f>
        <v>0</v>
      </c>
    </row>
    <row r="14" spans="1:60" x14ac:dyDescent="0.25">
      <c r="A14" s="1">
        <v>13</v>
      </c>
      <c r="B14" s="1" t="s">
        <v>2689</v>
      </c>
      <c r="C14" s="241" t="s">
        <v>73</v>
      </c>
      <c r="D14" s="1" t="s">
        <v>2690</v>
      </c>
      <c r="E14" s="1"/>
      <c r="F14" s="1"/>
      <c r="G14" s="1" t="s">
        <v>2691</v>
      </c>
      <c r="H14" s="1" t="s">
        <v>2692</v>
      </c>
      <c r="I14" s="1" t="s">
        <v>2693</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4780</v>
      </c>
      <c r="AK14" s="1" t="s">
        <v>329</v>
      </c>
      <c r="AL14" s="1">
        <v>13</v>
      </c>
      <c r="AM14" s="1" t="s">
        <v>1807</v>
      </c>
      <c r="AN14" s="1" t="s">
        <v>4781</v>
      </c>
      <c r="AO14" s="1" t="s">
        <v>4782</v>
      </c>
      <c r="AP14" s="1">
        <v>0</v>
      </c>
      <c r="AQ14" s="1" t="s">
        <v>1119</v>
      </c>
      <c r="AR14" s="1" t="s">
        <v>1120</v>
      </c>
      <c r="AS14" s="1" t="s">
        <v>1121</v>
      </c>
      <c r="AT14" s="1" t="s">
        <v>329</v>
      </c>
      <c r="AU14" s="1">
        <v>13</v>
      </c>
      <c r="AV14" s="1">
        <v>0</v>
      </c>
      <c r="AW14" s="1" t="s">
        <v>4493</v>
      </c>
      <c r="AX14" s="1" t="s">
        <v>471</v>
      </c>
      <c r="AY14" s="1">
        <v>3</v>
      </c>
      <c r="AZ14" s="1">
        <v>0</v>
      </c>
      <c r="BA14" s="1" t="s">
        <v>329</v>
      </c>
      <c r="BB14" s="1" t="s">
        <v>4783</v>
      </c>
      <c r="BC14" s="1" t="s">
        <v>4784</v>
      </c>
      <c r="BD14" s="1">
        <v>10704</v>
      </c>
      <c r="BE14" s="1"/>
      <c r="BH14">
        <f>COUNTIF(Dropdowns!$I:$AF,C14)</f>
        <v>0</v>
      </c>
    </row>
    <row r="15" spans="1:60" x14ac:dyDescent="0.25">
      <c r="A15" s="1">
        <v>14</v>
      </c>
      <c r="B15" s="1" t="s">
        <v>2694</v>
      </c>
      <c r="C15" s="241" t="s">
        <v>74</v>
      </c>
      <c r="D15" s="1" t="s">
        <v>2695</v>
      </c>
      <c r="E15" s="1"/>
      <c r="F15" s="1"/>
      <c r="G15" s="1" t="s">
        <v>2696</v>
      </c>
      <c r="H15" s="1" t="s">
        <v>2697</v>
      </c>
      <c r="I15" s="1" t="s">
        <v>2698</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1126</v>
      </c>
      <c r="AK15" s="1" t="s">
        <v>329</v>
      </c>
      <c r="AL15" s="1">
        <v>13</v>
      </c>
      <c r="AM15" s="1" t="s">
        <v>1807</v>
      </c>
      <c r="AN15" s="1" t="s">
        <v>4785</v>
      </c>
      <c r="AO15" s="1" t="s">
        <v>4786</v>
      </c>
      <c r="AP15" s="1">
        <v>0</v>
      </c>
      <c r="AQ15" s="1" t="s">
        <v>1119</v>
      </c>
      <c r="AR15" s="1" t="s">
        <v>1744</v>
      </c>
      <c r="AS15" s="1" t="s">
        <v>1121</v>
      </c>
      <c r="AT15" s="1" t="s">
        <v>329</v>
      </c>
      <c r="AU15" s="1">
        <v>14</v>
      </c>
      <c r="AV15" s="1">
        <v>0</v>
      </c>
      <c r="AW15" s="1" t="s">
        <v>4493</v>
      </c>
      <c r="AX15" s="1" t="s">
        <v>471</v>
      </c>
      <c r="AY15" s="1">
        <v>3</v>
      </c>
      <c r="AZ15" s="1">
        <v>0</v>
      </c>
      <c r="BA15" s="1" t="s">
        <v>329</v>
      </c>
      <c r="BB15" s="1" t="s">
        <v>4787</v>
      </c>
      <c r="BC15" s="1" t="s">
        <v>329</v>
      </c>
      <c r="BD15" s="1">
        <v>10303</v>
      </c>
      <c r="BE15" s="1"/>
      <c r="BH15">
        <f>COUNTIF(Dropdowns!$I:$AF,C15)</f>
        <v>0</v>
      </c>
    </row>
    <row r="16" spans="1:60" x14ac:dyDescent="0.25">
      <c r="A16" s="1">
        <v>15</v>
      </c>
      <c r="B16" s="1" t="s">
        <v>2699</v>
      </c>
      <c r="C16" s="241" t="s">
        <v>75</v>
      </c>
      <c r="D16" s="1" t="s">
        <v>2700</v>
      </c>
      <c r="E16" s="1"/>
      <c r="F16" s="1"/>
      <c r="G16" s="1" t="s">
        <v>2701</v>
      </c>
      <c r="H16" s="1" t="s">
        <v>2702</v>
      </c>
      <c r="I16" s="1" t="s">
        <v>2703</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1126</v>
      </c>
      <c r="AK16" s="1" t="s">
        <v>329</v>
      </c>
      <c r="AL16" s="1">
        <v>13</v>
      </c>
      <c r="AM16" s="1" t="s">
        <v>1807</v>
      </c>
      <c r="AN16" s="1" t="s">
        <v>4788</v>
      </c>
      <c r="AO16" s="1" t="s">
        <v>4778</v>
      </c>
      <c r="AP16" s="1">
        <v>0</v>
      </c>
      <c r="AQ16" s="1" t="s">
        <v>4743</v>
      </c>
      <c r="AR16" s="1" t="s">
        <v>1120</v>
      </c>
      <c r="AS16" s="1" t="s">
        <v>1121</v>
      </c>
      <c r="AT16" s="1" t="s">
        <v>329</v>
      </c>
      <c r="AU16" s="1">
        <v>15</v>
      </c>
      <c r="AV16" s="1">
        <v>0</v>
      </c>
      <c r="AW16" s="1" t="s">
        <v>4493</v>
      </c>
      <c r="AX16" s="1" t="s">
        <v>4789</v>
      </c>
      <c r="AY16" s="1">
        <v>3</v>
      </c>
      <c r="AZ16" s="1">
        <v>0</v>
      </c>
      <c r="BA16" s="1" t="s">
        <v>329</v>
      </c>
      <c r="BB16" s="1" t="s">
        <v>4790</v>
      </c>
      <c r="BC16" s="1" t="s">
        <v>329</v>
      </c>
      <c r="BD16" s="1">
        <v>10802</v>
      </c>
      <c r="BE16" s="1"/>
      <c r="BH16">
        <f>COUNTIF(Dropdowns!$I:$AF,C16)</f>
        <v>0</v>
      </c>
    </row>
    <row r="17" spans="1:60" x14ac:dyDescent="0.25">
      <c r="A17" s="1">
        <v>16</v>
      </c>
      <c r="B17" s="1" t="s">
        <v>2704</v>
      </c>
      <c r="C17" s="241" t="s">
        <v>76</v>
      </c>
      <c r="D17" s="1" t="s">
        <v>2705</v>
      </c>
      <c r="E17" s="1"/>
      <c r="F17" s="1"/>
      <c r="G17" s="1" t="s">
        <v>2706</v>
      </c>
      <c r="H17" s="1" t="s">
        <v>2707</v>
      </c>
      <c r="I17" s="1" t="s">
        <v>2708</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1129</v>
      </c>
      <c r="AK17" s="1" t="s">
        <v>329</v>
      </c>
      <c r="AL17" s="1">
        <v>13</v>
      </c>
      <c r="AM17" s="1" t="s">
        <v>4791</v>
      </c>
      <c r="AN17" s="1" t="s">
        <v>389</v>
      </c>
      <c r="AO17" s="1" t="s">
        <v>4792</v>
      </c>
      <c r="AP17" s="1">
        <v>0</v>
      </c>
      <c r="AQ17" s="1" t="s">
        <v>1745</v>
      </c>
      <c r="AR17" s="1" t="s">
        <v>1120</v>
      </c>
      <c r="AS17" s="1" t="s">
        <v>1131</v>
      </c>
      <c r="AT17" s="1" t="s">
        <v>329</v>
      </c>
      <c r="AU17" s="1">
        <v>16</v>
      </c>
      <c r="AV17" s="1">
        <v>0</v>
      </c>
      <c r="AW17" s="1" t="s">
        <v>4493</v>
      </c>
      <c r="AX17" s="1" t="s">
        <v>332</v>
      </c>
      <c r="AY17" s="1">
        <v>5</v>
      </c>
      <c r="AZ17" s="1">
        <v>0</v>
      </c>
      <c r="BA17" s="1" t="s">
        <v>329</v>
      </c>
      <c r="BB17" s="1" t="s">
        <v>4793</v>
      </c>
      <c r="BC17" s="1" t="s">
        <v>4721</v>
      </c>
      <c r="BD17" s="1">
        <v>102</v>
      </c>
      <c r="BE17" s="1"/>
      <c r="BH17">
        <f>COUNTIF(Dropdowns!$I:$AF,C17)</f>
        <v>1</v>
      </c>
    </row>
    <row r="18" spans="1:60" x14ac:dyDescent="0.25">
      <c r="A18" s="1">
        <v>17</v>
      </c>
      <c r="B18" s="1" t="s">
        <v>2709</v>
      </c>
      <c r="C18" s="241" t="s">
        <v>77</v>
      </c>
      <c r="D18" s="1" t="s">
        <v>77</v>
      </c>
      <c r="E18" s="1"/>
      <c r="F18" s="1"/>
      <c r="G18" s="1" t="s">
        <v>2710</v>
      </c>
      <c r="H18" s="1" t="s">
        <v>2711</v>
      </c>
      <c r="I18" s="1" t="s">
        <v>2712</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1122</v>
      </c>
      <c r="AK18" s="1" t="s">
        <v>329</v>
      </c>
      <c r="AL18" s="1">
        <v>13</v>
      </c>
      <c r="AM18" s="1" t="s">
        <v>4791</v>
      </c>
      <c r="AN18" s="1" t="s">
        <v>4794</v>
      </c>
      <c r="AO18" s="1" t="s">
        <v>4795</v>
      </c>
      <c r="AP18" s="1">
        <v>0</v>
      </c>
      <c r="AQ18" s="1" t="s">
        <v>1130</v>
      </c>
      <c r="AR18" s="1" t="s">
        <v>1120</v>
      </c>
      <c r="AS18" s="1" t="s">
        <v>1746</v>
      </c>
      <c r="AT18" s="1" t="s">
        <v>329</v>
      </c>
      <c r="AU18" s="1">
        <v>17</v>
      </c>
      <c r="AV18" s="1">
        <v>0</v>
      </c>
      <c r="AW18" s="1" t="s">
        <v>4493</v>
      </c>
      <c r="AX18" s="1" t="s">
        <v>471</v>
      </c>
      <c r="AY18" s="1">
        <v>2</v>
      </c>
      <c r="AZ18" s="1">
        <v>0</v>
      </c>
      <c r="BA18" s="1" t="s">
        <v>329</v>
      </c>
      <c r="BB18" s="1" t="s">
        <v>326</v>
      </c>
      <c r="BC18" s="1" t="s">
        <v>4721</v>
      </c>
      <c r="BD18" s="1">
        <v>10303</v>
      </c>
      <c r="BE18" s="1"/>
      <c r="BH18">
        <f>COUNTIF(Dropdowns!$I:$AF,C18)</f>
        <v>0</v>
      </c>
    </row>
    <row r="19" spans="1:60" x14ac:dyDescent="0.25">
      <c r="A19" s="1">
        <v>18</v>
      </c>
      <c r="B19" s="1" t="s">
        <v>2713</v>
      </c>
      <c r="C19" s="241" t="s">
        <v>78</v>
      </c>
      <c r="D19" s="1" t="s">
        <v>2714</v>
      </c>
      <c r="E19" s="1"/>
      <c r="F19" s="1"/>
      <c r="G19" s="1" t="s">
        <v>2715</v>
      </c>
      <c r="H19" s="1" t="s">
        <v>2716</v>
      </c>
      <c r="I19" s="1" t="s">
        <v>2717</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1122</v>
      </c>
      <c r="AK19" s="1" t="s">
        <v>329</v>
      </c>
      <c r="AL19" s="1">
        <v>13</v>
      </c>
      <c r="AM19" s="1" t="s">
        <v>4791</v>
      </c>
      <c r="AN19" s="1" t="s">
        <v>4796</v>
      </c>
      <c r="AO19" s="1" t="s">
        <v>4797</v>
      </c>
      <c r="AP19" s="1">
        <v>0</v>
      </c>
      <c r="AQ19" s="1" t="s">
        <v>1130</v>
      </c>
      <c r="AR19" s="1" t="s">
        <v>1120</v>
      </c>
      <c r="AS19" s="1" t="s">
        <v>1746</v>
      </c>
      <c r="AT19" s="1" t="s">
        <v>329</v>
      </c>
      <c r="AU19" s="1">
        <v>18</v>
      </c>
      <c r="AV19" s="1">
        <v>0</v>
      </c>
      <c r="AW19" s="1" t="s">
        <v>4493</v>
      </c>
      <c r="AX19" s="1" t="s">
        <v>4798</v>
      </c>
      <c r="AY19" s="1">
        <v>3</v>
      </c>
      <c r="AZ19" s="1">
        <v>0</v>
      </c>
      <c r="BA19" s="1" t="s">
        <v>329</v>
      </c>
      <c r="BB19" s="1" t="s">
        <v>4799</v>
      </c>
      <c r="BC19" s="1" t="s">
        <v>4721</v>
      </c>
      <c r="BD19" s="1">
        <v>10202</v>
      </c>
      <c r="BE19" s="1"/>
      <c r="BH19">
        <f>COUNTIF(Dropdowns!$I:$AF,C19)</f>
        <v>1</v>
      </c>
    </row>
    <row r="20" spans="1:60" x14ac:dyDescent="0.25">
      <c r="A20" s="1">
        <v>19</v>
      </c>
      <c r="B20" s="1" t="s">
        <v>2718</v>
      </c>
      <c r="C20" s="241" t="s">
        <v>1610</v>
      </c>
      <c r="D20" s="1" t="s">
        <v>1610</v>
      </c>
      <c r="E20" s="1"/>
      <c r="F20" s="1"/>
      <c r="G20" s="1" t="s">
        <v>2719</v>
      </c>
      <c r="H20" s="1" t="s">
        <v>2720</v>
      </c>
      <c r="I20" s="1" t="s">
        <v>2721</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1126</v>
      </c>
      <c r="AK20" s="1" t="s">
        <v>329</v>
      </c>
      <c r="AL20" s="1">
        <v>13</v>
      </c>
      <c r="AM20" s="1" t="s">
        <v>4791</v>
      </c>
      <c r="AN20" s="1" t="s">
        <v>389</v>
      </c>
      <c r="AO20" s="1" t="s">
        <v>4800</v>
      </c>
      <c r="AP20" s="1">
        <v>0</v>
      </c>
      <c r="AQ20" s="1" t="s">
        <v>1130</v>
      </c>
      <c r="AR20" s="1" t="s">
        <v>1120</v>
      </c>
      <c r="AS20" s="1" t="s">
        <v>1131</v>
      </c>
      <c r="AT20" s="1" t="s">
        <v>329</v>
      </c>
      <c r="AU20" s="1">
        <v>19</v>
      </c>
      <c r="AV20" s="1">
        <v>0</v>
      </c>
      <c r="AW20" s="1" t="s">
        <v>4493</v>
      </c>
      <c r="AX20" s="1" t="s">
        <v>4801</v>
      </c>
      <c r="AY20" s="1">
        <v>3</v>
      </c>
      <c r="AZ20" s="1">
        <v>0</v>
      </c>
      <c r="BA20" s="1" t="s">
        <v>329</v>
      </c>
      <c r="BB20" s="1" t="s">
        <v>4802</v>
      </c>
      <c r="BC20" s="1" t="s">
        <v>4721</v>
      </c>
      <c r="BD20" s="1">
        <v>10402</v>
      </c>
      <c r="BE20" s="1"/>
      <c r="BH20">
        <f>COUNTIF(Dropdowns!$I:$AF,C20)</f>
        <v>1</v>
      </c>
    </row>
    <row r="21" spans="1:60" x14ac:dyDescent="0.25">
      <c r="A21" s="1">
        <v>20</v>
      </c>
      <c r="B21" s="1" t="s">
        <v>2722</v>
      </c>
      <c r="C21" s="241" t="s">
        <v>79</v>
      </c>
      <c r="D21" s="1" t="s">
        <v>79</v>
      </c>
      <c r="E21" s="1"/>
      <c r="F21" s="1"/>
      <c r="G21" s="1" t="s">
        <v>2723</v>
      </c>
      <c r="H21" s="1" t="s">
        <v>2724</v>
      </c>
      <c r="I21" s="1" t="s">
        <v>2725</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1132</v>
      </c>
      <c r="AK21" s="1" t="s">
        <v>329</v>
      </c>
      <c r="AL21" s="1">
        <v>13</v>
      </c>
      <c r="AM21" s="1" t="s">
        <v>4791</v>
      </c>
      <c r="AN21" s="1" t="s">
        <v>4794</v>
      </c>
      <c r="AO21" s="1" t="s">
        <v>4803</v>
      </c>
      <c r="AP21" s="1">
        <v>0</v>
      </c>
      <c r="AQ21" s="1" t="s">
        <v>1130</v>
      </c>
      <c r="AR21" s="1" t="s">
        <v>1120</v>
      </c>
      <c r="AS21" s="1" t="s">
        <v>1131</v>
      </c>
      <c r="AT21" s="1" t="s">
        <v>329</v>
      </c>
      <c r="AU21" s="1">
        <v>20</v>
      </c>
      <c r="AV21" s="1">
        <v>0</v>
      </c>
      <c r="AW21" s="1" t="s">
        <v>4493</v>
      </c>
      <c r="AX21" s="1" t="s">
        <v>4798</v>
      </c>
      <c r="AY21" s="1">
        <v>5</v>
      </c>
      <c r="AZ21" s="1">
        <v>0</v>
      </c>
      <c r="BA21" s="1" t="s">
        <v>329</v>
      </c>
      <c r="BB21" s="1" t="s">
        <v>4804</v>
      </c>
      <c r="BC21" s="1" t="s">
        <v>4721</v>
      </c>
      <c r="BD21" s="1">
        <v>10202</v>
      </c>
      <c r="BE21" s="1"/>
      <c r="BH21">
        <f>COUNTIF(Dropdowns!$I:$AF,C21)</f>
        <v>1</v>
      </c>
    </row>
    <row r="22" spans="1:60" x14ac:dyDescent="0.25">
      <c r="A22" s="1">
        <v>21</v>
      </c>
      <c r="B22" s="1" t="s">
        <v>2726</v>
      </c>
      <c r="C22" s="241" t="s">
        <v>905</v>
      </c>
      <c r="D22" s="1" t="s">
        <v>2727</v>
      </c>
      <c r="E22" s="1"/>
      <c r="F22" s="1"/>
      <c r="G22" s="1" t="s">
        <v>2728</v>
      </c>
      <c r="H22" s="1" t="s">
        <v>2729</v>
      </c>
      <c r="I22" s="1" t="s">
        <v>2730</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1122</v>
      </c>
      <c r="AK22" s="1" t="s">
        <v>329</v>
      </c>
      <c r="AL22" s="1">
        <v>13</v>
      </c>
      <c r="AM22" s="1" t="s">
        <v>4791</v>
      </c>
      <c r="AN22" s="1" t="s">
        <v>465</v>
      </c>
      <c r="AO22" s="1" t="s">
        <v>4805</v>
      </c>
      <c r="AP22" s="1">
        <v>0</v>
      </c>
      <c r="AQ22" s="1" t="s">
        <v>1130</v>
      </c>
      <c r="AR22" s="1" t="s">
        <v>1120</v>
      </c>
      <c r="AS22" s="1" t="s">
        <v>1746</v>
      </c>
      <c r="AT22" s="1" t="s">
        <v>329</v>
      </c>
      <c r="AU22" s="1">
        <v>21</v>
      </c>
      <c r="AV22" s="1">
        <v>0</v>
      </c>
      <c r="AW22" s="1" t="s">
        <v>4493</v>
      </c>
      <c r="AX22" s="1" t="s">
        <v>471</v>
      </c>
      <c r="AY22" s="1">
        <v>2</v>
      </c>
      <c r="AZ22" s="1">
        <v>0</v>
      </c>
      <c r="BA22" s="1" t="s">
        <v>329</v>
      </c>
      <c r="BB22" s="1" t="s">
        <v>4806</v>
      </c>
      <c r="BC22" s="1" t="s">
        <v>4758</v>
      </c>
      <c r="BD22" s="1">
        <v>10303</v>
      </c>
      <c r="BE22" s="1"/>
      <c r="BH22">
        <f>COUNTIF(Dropdowns!$I:$AF,C22)</f>
        <v>0</v>
      </c>
    </row>
    <row r="23" spans="1:60" x14ac:dyDescent="0.25">
      <c r="A23" s="1">
        <v>22</v>
      </c>
      <c r="B23" s="1" t="s">
        <v>2731</v>
      </c>
      <c r="C23" s="241" t="s">
        <v>1611</v>
      </c>
      <c r="D23" s="1" t="s">
        <v>1611</v>
      </c>
      <c r="E23" s="1"/>
      <c r="F23" s="1"/>
      <c r="G23" s="1" t="s">
        <v>2732</v>
      </c>
      <c r="H23" s="1" t="s">
        <v>2733</v>
      </c>
      <c r="I23" s="1" t="s">
        <v>2734</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1122</v>
      </c>
      <c r="AK23" s="1" t="s">
        <v>329</v>
      </c>
      <c r="AL23" s="1">
        <v>13</v>
      </c>
      <c r="AM23" s="1" t="s">
        <v>4791</v>
      </c>
      <c r="AN23" s="1" t="s">
        <v>4796</v>
      </c>
      <c r="AO23" s="1" t="s">
        <v>4797</v>
      </c>
      <c r="AP23" s="1">
        <v>0</v>
      </c>
      <c r="AQ23" s="1" t="s">
        <v>1130</v>
      </c>
      <c r="AR23" s="1" t="s">
        <v>1120</v>
      </c>
      <c r="AS23" s="1" t="s">
        <v>1131</v>
      </c>
      <c r="AT23" s="1" t="s">
        <v>329</v>
      </c>
      <c r="AU23" s="1">
        <v>22</v>
      </c>
      <c r="AV23" s="1">
        <v>0</v>
      </c>
      <c r="AW23" s="1" t="s">
        <v>4493</v>
      </c>
      <c r="AX23" s="1" t="s">
        <v>4798</v>
      </c>
      <c r="AY23" s="1">
        <v>3</v>
      </c>
      <c r="AZ23" s="1">
        <v>0</v>
      </c>
      <c r="BA23" s="1" t="s">
        <v>329</v>
      </c>
      <c r="BB23" s="1" t="s">
        <v>4807</v>
      </c>
      <c r="BC23" s="1" t="s">
        <v>4758</v>
      </c>
      <c r="BD23" s="1">
        <v>10302</v>
      </c>
      <c r="BE23" s="1"/>
      <c r="BH23">
        <f>COUNTIF(Dropdowns!$I:$AF,C23)</f>
        <v>1</v>
      </c>
    </row>
    <row r="24" spans="1:60" x14ac:dyDescent="0.25">
      <c r="A24" s="1">
        <v>23</v>
      </c>
      <c r="B24" s="1" t="s">
        <v>2735</v>
      </c>
      <c r="C24" s="241" t="s">
        <v>1612</v>
      </c>
      <c r="D24" s="1" t="s">
        <v>1612</v>
      </c>
      <c r="E24" s="1"/>
      <c r="F24" s="1"/>
      <c r="G24" s="1" t="s">
        <v>2736</v>
      </c>
      <c r="H24" s="1" t="s">
        <v>2737</v>
      </c>
      <c r="I24" s="1" t="s">
        <v>2738</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1133</v>
      </c>
      <c r="AK24" s="1" t="s">
        <v>329</v>
      </c>
      <c r="AL24" s="1">
        <v>13</v>
      </c>
      <c r="AM24" s="1" t="s">
        <v>4791</v>
      </c>
      <c r="AN24" s="1" t="s">
        <v>389</v>
      </c>
      <c r="AO24" s="1" t="s">
        <v>4808</v>
      </c>
      <c r="AP24" s="1">
        <v>0</v>
      </c>
      <c r="AQ24" s="1" t="s">
        <v>1130</v>
      </c>
      <c r="AR24" s="1" t="s">
        <v>1120</v>
      </c>
      <c r="AS24" s="1" t="s">
        <v>1131</v>
      </c>
      <c r="AT24" s="1" t="s">
        <v>329</v>
      </c>
      <c r="AU24" s="1">
        <v>23</v>
      </c>
      <c r="AV24" s="1">
        <v>0</v>
      </c>
      <c r="AW24" s="1" t="s">
        <v>4809</v>
      </c>
      <c r="AX24" s="1" t="s">
        <v>332</v>
      </c>
      <c r="AY24" s="1">
        <v>4</v>
      </c>
      <c r="AZ24" s="1">
        <v>0</v>
      </c>
      <c r="BA24" s="1" t="s">
        <v>329</v>
      </c>
      <c r="BB24" s="1" t="s">
        <v>476</v>
      </c>
      <c r="BC24" s="1" t="s">
        <v>4758</v>
      </c>
      <c r="BD24" s="1">
        <v>10303</v>
      </c>
      <c r="BE24" s="1"/>
      <c r="BH24">
        <f>COUNTIF(Dropdowns!$I:$AF,C24)</f>
        <v>1</v>
      </c>
    </row>
    <row r="25" spans="1:60" x14ac:dyDescent="0.25">
      <c r="A25" s="1">
        <v>24</v>
      </c>
      <c r="B25" s="1" t="s">
        <v>2739</v>
      </c>
      <c r="C25" s="241" t="s">
        <v>1134</v>
      </c>
      <c r="D25" s="1" t="s">
        <v>1134</v>
      </c>
      <c r="E25" s="1"/>
      <c r="F25" s="1"/>
      <c r="G25" s="1" t="s">
        <v>2740</v>
      </c>
      <c r="H25" s="1" t="s">
        <v>2741</v>
      </c>
      <c r="I25" s="1" t="s">
        <v>2742</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1122</v>
      </c>
      <c r="AK25" s="1" t="s">
        <v>329</v>
      </c>
      <c r="AL25" s="1">
        <v>13</v>
      </c>
      <c r="AM25" s="1" t="s">
        <v>4791</v>
      </c>
      <c r="AN25" s="1" t="s">
        <v>389</v>
      </c>
      <c r="AO25" s="1" t="s">
        <v>4810</v>
      </c>
      <c r="AP25" s="1">
        <v>0</v>
      </c>
      <c r="AQ25" s="1" t="s">
        <v>1130</v>
      </c>
      <c r="AR25" s="1" t="s">
        <v>1120</v>
      </c>
      <c r="AS25" s="1" t="s">
        <v>1746</v>
      </c>
      <c r="AT25" s="1" t="s">
        <v>329</v>
      </c>
      <c r="AU25" s="1">
        <v>24</v>
      </c>
      <c r="AV25" s="1">
        <v>0</v>
      </c>
      <c r="AW25" s="1" t="s">
        <v>4493</v>
      </c>
      <c r="AX25" s="1" t="s">
        <v>471</v>
      </c>
      <c r="AY25" s="1">
        <v>2</v>
      </c>
      <c r="AZ25" s="1">
        <v>0</v>
      </c>
      <c r="BA25" s="1" t="s">
        <v>329</v>
      </c>
      <c r="BB25" s="1" t="s">
        <v>4811</v>
      </c>
      <c r="BC25" s="1" t="s">
        <v>4758</v>
      </c>
      <c r="BD25" s="1">
        <v>10303</v>
      </c>
      <c r="BE25" s="1"/>
      <c r="BH25">
        <f>COUNTIF(Dropdowns!$I:$AF,C25)</f>
        <v>0</v>
      </c>
    </row>
    <row r="26" spans="1:60" x14ac:dyDescent="0.25">
      <c r="A26" s="1">
        <v>25</v>
      </c>
      <c r="B26" s="1" t="s">
        <v>2743</v>
      </c>
      <c r="C26" s="241" t="s">
        <v>80</v>
      </c>
      <c r="D26" s="1" t="s">
        <v>80</v>
      </c>
      <c r="E26" s="1"/>
      <c r="F26" s="1"/>
      <c r="G26" s="1" t="s">
        <v>2744</v>
      </c>
      <c r="H26" s="1" t="s">
        <v>2745</v>
      </c>
      <c r="I26" s="1" t="s">
        <v>2746</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1122</v>
      </c>
      <c r="AK26" s="1" t="s">
        <v>329</v>
      </c>
      <c r="AL26" s="1">
        <v>13</v>
      </c>
      <c r="AM26" s="1" t="s">
        <v>4791</v>
      </c>
      <c r="AN26" s="1" t="s">
        <v>389</v>
      </c>
      <c r="AO26" s="1" t="s">
        <v>4782</v>
      </c>
      <c r="AP26" s="1">
        <v>0</v>
      </c>
      <c r="AQ26" s="1" t="s">
        <v>1130</v>
      </c>
      <c r="AR26" s="1" t="s">
        <v>1120</v>
      </c>
      <c r="AS26" s="1" t="s">
        <v>1131</v>
      </c>
      <c r="AT26" s="1" t="s">
        <v>329</v>
      </c>
      <c r="AU26" s="1">
        <v>25</v>
      </c>
      <c r="AV26" s="1">
        <v>0</v>
      </c>
      <c r="AW26" s="1" t="s">
        <v>4493</v>
      </c>
      <c r="AX26" s="1" t="s">
        <v>471</v>
      </c>
      <c r="AY26" s="1">
        <v>2</v>
      </c>
      <c r="AZ26" s="1">
        <v>0</v>
      </c>
      <c r="BA26" s="1" t="s">
        <v>329</v>
      </c>
      <c r="BB26" s="1" t="s">
        <v>4812</v>
      </c>
      <c r="BC26" s="1" t="s">
        <v>4770</v>
      </c>
      <c r="BD26" s="1">
        <v>10302</v>
      </c>
      <c r="BE26" s="1"/>
      <c r="BH26">
        <f>COUNTIF(Dropdowns!$I:$AF,C26)</f>
        <v>0</v>
      </c>
    </row>
    <row r="27" spans="1:60" x14ac:dyDescent="0.25">
      <c r="A27" s="1">
        <v>26</v>
      </c>
      <c r="B27" s="1" t="s">
        <v>2747</v>
      </c>
      <c r="C27" s="241" t="s">
        <v>730</v>
      </c>
      <c r="D27" s="1" t="s">
        <v>730</v>
      </c>
      <c r="E27" s="1"/>
      <c r="F27" s="1"/>
      <c r="G27" s="1" t="s">
        <v>2748</v>
      </c>
      <c r="H27" s="1" t="s">
        <v>2749</v>
      </c>
      <c r="I27" s="1" t="s">
        <v>2750</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1135</v>
      </c>
      <c r="AK27" s="1" t="s">
        <v>329</v>
      </c>
      <c r="AL27" s="1">
        <v>13</v>
      </c>
      <c r="AM27" s="1" t="s">
        <v>4791</v>
      </c>
      <c r="AN27" s="1" t="s">
        <v>389</v>
      </c>
      <c r="AO27" s="1" t="s">
        <v>4813</v>
      </c>
      <c r="AP27" s="1">
        <v>0</v>
      </c>
      <c r="AQ27" s="1" t="s">
        <v>1745</v>
      </c>
      <c r="AR27" s="1" t="s">
        <v>1120</v>
      </c>
      <c r="AS27" s="1" t="s">
        <v>1746</v>
      </c>
      <c r="AT27" s="1" t="s">
        <v>329</v>
      </c>
      <c r="AU27" s="1">
        <v>26</v>
      </c>
      <c r="AV27" s="1">
        <v>0</v>
      </c>
      <c r="AW27" s="1" t="s">
        <v>4493</v>
      </c>
      <c r="AX27" s="1" t="s">
        <v>4798</v>
      </c>
      <c r="AY27" s="1">
        <v>4</v>
      </c>
      <c r="AZ27" s="1">
        <v>0</v>
      </c>
      <c r="BA27" s="1" t="s">
        <v>4744</v>
      </c>
      <c r="BB27" s="1" t="s">
        <v>4814</v>
      </c>
      <c r="BC27" s="1" t="s">
        <v>4770</v>
      </c>
      <c r="BD27" s="1">
        <v>10203</v>
      </c>
      <c r="BE27" s="1"/>
      <c r="BH27">
        <f>COUNTIF(Dropdowns!$I:$AF,C27)</f>
        <v>1</v>
      </c>
    </row>
    <row r="28" spans="1:60" x14ac:dyDescent="0.25">
      <c r="A28" s="1">
        <v>27</v>
      </c>
      <c r="B28" s="1" t="s">
        <v>2751</v>
      </c>
      <c r="C28" s="241" t="s">
        <v>81</v>
      </c>
      <c r="D28" s="1" t="s">
        <v>2752</v>
      </c>
      <c r="E28" s="1"/>
      <c r="F28" s="1"/>
      <c r="G28" s="1" t="s">
        <v>2753</v>
      </c>
      <c r="H28" s="1" t="s">
        <v>2754</v>
      </c>
      <c r="I28" s="1" t="s">
        <v>2755</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4815</v>
      </c>
      <c r="AK28" s="1" t="s">
        <v>329</v>
      </c>
      <c r="AL28" s="1">
        <v>13</v>
      </c>
      <c r="AM28" s="1" t="s">
        <v>4791</v>
      </c>
      <c r="AN28" s="1" t="s">
        <v>4794</v>
      </c>
      <c r="AO28" s="1" t="s">
        <v>4816</v>
      </c>
      <c r="AP28" s="1">
        <v>0</v>
      </c>
      <c r="AQ28" s="1" t="s">
        <v>1130</v>
      </c>
      <c r="AR28" s="1" t="s">
        <v>1744</v>
      </c>
      <c r="AS28" s="1" t="s">
        <v>1131</v>
      </c>
      <c r="AT28" s="1" t="s">
        <v>329</v>
      </c>
      <c r="AU28" s="1">
        <v>27</v>
      </c>
      <c r="AV28" s="1">
        <v>0</v>
      </c>
      <c r="AW28" s="1" t="s">
        <v>4493</v>
      </c>
      <c r="AX28" s="1" t="s">
        <v>4798</v>
      </c>
      <c r="AY28" s="1">
        <v>3</v>
      </c>
      <c r="AZ28" s="1">
        <v>0</v>
      </c>
      <c r="BA28" s="1" t="s">
        <v>329</v>
      </c>
      <c r="BB28" s="1" t="s">
        <v>4817</v>
      </c>
      <c r="BC28" s="1" t="s">
        <v>329</v>
      </c>
      <c r="BD28" s="1">
        <v>10302</v>
      </c>
      <c r="BE28" s="1"/>
      <c r="BH28">
        <f>COUNTIF(Dropdowns!$I:$AF,C28)</f>
        <v>1</v>
      </c>
    </row>
    <row r="29" spans="1:60" x14ac:dyDescent="0.25">
      <c r="A29" s="1">
        <v>28</v>
      </c>
      <c r="B29" s="1" t="s">
        <v>2756</v>
      </c>
      <c r="C29" s="241" t="s">
        <v>82</v>
      </c>
      <c r="D29" s="1" t="s">
        <v>82</v>
      </c>
      <c r="E29" s="1"/>
      <c r="F29" s="1"/>
      <c r="G29" s="1" t="s">
        <v>2757</v>
      </c>
      <c r="H29" s="1" t="s">
        <v>2758</v>
      </c>
      <c r="I29" s="1" t="s">
        <v>2759</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1136</v>
      </c>
      <c r="AK29" s="1" t="s">
        <v>329</v>
      </c>
      <c r="AL29" s="1">
        <v>13</v>
      </c>
      <c r="AM29" s="1" t="s">
        <v>4791</v>
      </c>
      <c r="AN29" s="1" t="s">
        <v>4796</v>
      </c>
      <c r="AO29" s="1" t="s">
        <v>4818</v>
      </c>
      <c r="AP29" s="1">
        <v>0</v>
      </c>
      <c r="AQ29" s="1" t="s">
        <v>1130</v>
      </c>
      <c r="AR29" s="1" t="s">
        <v>1120</v>
      </c>
      <c r="AS29" s="1" t="s">
        <v>1131</v>
      </c>
      <c r="AT29" s="1" t="s">
        <v>329</v>
      </c>
      <c r="AU29" s="1">
        <v>28</v>
      </c>
      <c r="AV29" s="1">
        <v>0</v>
      </c>
      <c r="AW29" s="1" t="s">
        <v>4819</v>
      </c>
      <c r="AX29" s="1" t="s">
        <v>4820</v>
      </c>
      <c r="AY29" s="1">
        <v>5</v>
      </c>
      <c r="AZ29" s="1">
        <v>0</v>
      </c>
      <c r="BA29" s="1" t="s">
        <v>329</v>
      </c>
      <c r="BB29" s="1" t="s">
        <v>4821</v>
      </c>
      <c r="BC29" s="1" t="s">
        <v>4770</v>
      </c>
      <c r="BD29" s="1">
        <v>10202</v>
      </c>
      <c r="BE29" s="1"/>
      <c r="BH29">
        <f>COUNTIF(Dropdowns!$I:$AF,C29)</f>
        <v>1</v>
      </c>
    </row>
    <row r="30" spans="1:60" x14ac:dyDescent="0.25">
      <c r="A30" s="1">
        <v>29</v>
      </c>
      <c r="B30" s="1" t="s">
        <v>2760</v>
      </c>
      <c r="C30" s="241" t="s">
        <v>828</v>
      </c>
      <c r="D30" s="1" t="s">
        <v>2761</v>
      </c>
      <c r="E30" s="1"/>
      <c r="F30" s="1"/>
      <c r="G30" s="1" t="s">
        <v>2762</v>
      </c>
      <c r="H30" s="1" t="s">
        <v>2763</v>
      </c>
      <c r="I30" s="1" t="s">
        <v>2764</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1137</v>
      </c>
      <c r="AK30" s="1" t="s">
        <v>329</v>
      </c>
      <c r="AL30" s="1">
        <v>13</v>
      </c>
      <c r="AM30" s="1" t="s">
        <v>4791</v>
      </c>
      <c r="AN30" s="1" t="s">
        <v>4796</v>
      </c>
      <c r="AO30" s="1" t="s">
        <v>4822</v>
      </c>
      <c r="AP30" s="1">
        <v>0</v>
      </c>
      <c r="AQ30" s="1" t="s">
        <v>1130</v>
      </c>
      <c r="AR30" s="1" t="s">
        <v>1120</v>
      </c>
      <c r="AS30" s="1" t="s">
        <v>1746</v>
      </c>
      <c r="AT30" s="1" t="s">
        <v>329</v>
      </c>
      <c r="AU30" s="1">
        <v>29</v>
      </c>
      <c r="AV30" s="1">
        <v>0</v>
      </c>
      <c r="AW30" s="1" t="s">
        <v>4493</v>
      </c>
      <c r="AX30" s="1" t="s">
        <v>4798</v>
      </c>
      <c r="AY30" s="1">
        <v>3</v>
      </c>
      <c r="AZ30" s="1">
        <v>0</v>
      </c>
      <c r="BA30" s="1" t="s">
        <v>4766</v>
      </c>
      <c r="BB30" s="1" t="s">
        <v>4823</v>
      </c>
      <c r="BC30" s="1" t="s">
        <v>329</v>
      </c>
      <c r="BD30" s="1">
        <v>10704</v>
      </c>
      <c r="BE30" s="1"/>
      <c r="BH30">
        <f>COUNTIF(Dropdowns!$I:$AF,C30)</f>
        <v>1</v>
      </c>
    </row>
    <row r="31" spans="1:60" x14ac:dyDescent="0.25">
      <c r="A31" s="1">
        <v>31</v>
      </c>
      <c r="B31" s="1" t="s">
        <v>2765</v>
      </c>
      <c r="C31" s="241" t="s">
        <v>83</v>
      </c>
      <c r="D31" s="1" t="s">
        <v>2766</v>
      </c>
      <c r="E31" s="1"/>
      <c r="F31" s="1"/>
      <c r="G31" s="1" t="s">
        <v>2767</v>
      </c>
      <c r="H31" s="1" t="s">
        <v>2768</v>
      </c>
      <c r="I31" s="1" t="s">
        <v>2769</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1122</v>
      </c>
      <c r="AK31" s="1" t="s">
        <v>1138</v>
      </c>
      <c r="AL31" s="1">
        <v>13</v>
      </c>
      <c r="AM31" s="1" t="s">
        <v>4791</v>
      </c>
      <c r="AN31" s="1" t="s">
        <v>389</v>
      </c>
      <c r="AO31" s="1" t="s">
        <v>4824</v>
      </c>
      <c r="AP31" s="1">
        <v>0</v>
      </c>
      <c r="AQ31" s="1" t="s">
        <v>1130</v>
      </c>
      <c r="AR31" s="1" t="s">
        <v>1120</v>
      </c>
      <c r="AS31" s="1" t="s">
        <v>1746</v>
      </c>
      <c r="AT31" s="1" t="s">
        <v>329</v>
      </c>
      <c r="AU31" s="1">
        <v>31</v>
      </c>
      <c r="AV31" s="1">
        <v>0</v>
      </c>
      <c r="AW31" s="1" t="s">
        <v>4493</v>
      </c>
      <c r="AX31" s="1" t="s">
        <v>471</v>
      </c>
      <c r="AY31" s="1">
        <v>2</v>
      </c>
      <c r="AZ31" s="1">
        <v>0</v>
      </c>
      <c r="BA31" s="1" t="s">
        <v>4746</v>
      </c>
      <c r="BB31" s="1" t="s">
        <v>329</v>
      </c>
      <c r="BC31" s="1" t="s">
        <v>4740</v>
      </c>
      <c r="BD31" s="1">
        <v>10302</v>
      </c>
      <c r="BE31" s="1"/>
      <c r="BH31">
        <f>COUNTIF(Dropdowns!$I:$AF,C31)</f>
        <v>0</v>
      </c>
    </row>
    <row r="32" spans="1:60" x14ac:dyDescent="0.25">
      <c r="A32" s="1">
        <v>32</v>
      </c>
      <c r="B32" s="1" t="s">
        <v>2770</v>
      </c>
      <c r="C32" s="241" t="s">
        <v>84</v>
      </c>
      <c r="D32" s="1" t="s">
        <v>2771</v>
      </c>
      <c r="E32" s="1"/>
      <c r="F32" s="1"/>
      <c r="G32" s="1" t="s">
        <v>2772</v>
      </c>
      <c r="H32" s="1" t="s">
        <v>2773</v>
      </c>
      <c r="I32" s="1" t="s">
        <v>2774</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1122</v>
      </c>
      <c r="AK32" s="1" t="s">
        <v>1139</v>
      </c>
      <c r="AL32" s="1">
        <v>13</v>
      </c>
      <c r="AM32" s="1" t="s">
        <v>4791</v>
      </c>
      <c r="AN32" s="1" t="s">
        <v>465</v>
      </c>
      <c r="AO32" s="1" t="s">
        <v>4825</v>
      </c>
      <c r="AP32" s="1">
        <v>0</v>
      </c>
      <c r="AQ32" s="1" t="s">
        <v>1130</v>
      </c>
      <c r="AR32" s="1" t="s">
        <v>1120</v>
      </c>
      <c r="AS32" s="1" t="s">
        <v>1746</v>
      </c>
      <c r="AT32" s="1" t="s">
        <v>329</v>
      </c>
      <c r="AU32" s="1">
        <v>32</v>
      </c>
      <c r="AV32" s="1">
        <v>0</v>
      </c>
      <c r="AW32" s="1" t="s">
        <v>4493</v>
      </c>
      <c r="AX32" s="1" t="s">
        <v>4798</v>
      </c>
      <c r="AY32" s="1">
        <v>3</v>
      </c>
      <c r="AZ32" s="1">
        <v>0</v>
      </c>
      <c r="BA32" s="1" t="s">
        <v>4766</v>
      </c>
      <c r="BB32" s="1" t="s">
        <v>371</v>
      </c>
      <c r="BC32" s="1" t="s">
        <v>329</v>
      </c>
      <c r="BD32" s="1">
        <v>10202</v>
      </c>
      <c r="BE32" s="1"/>
      <c r="BH32">
        <f>COUNTIF(Dropdowns!$I:$AF,C32)</f>
        <v>1</v>
      </c>
    </row>
    <row r="33" spans="1:60" x14ac:dyDescent="0.25">
      <c r="A33" s="1">
        <v>33</v>
      </c>
      <c r="B33" s="1" t="s">
        <v>2775</v>
      </c>
      <c r="C33" s="241" t="s">
        <v>85</v>
      </c>
      <c r="D33" s="1" t="s">
        <v>85</v>
      </c>
      <c r="E33" s="1"/>
      <c r="F33" s="1"/>
      <c r="G33" s="1" t="s">
        <v>2776</v>
      </c>
      <c r="H33" s="1" t="s">
        <v>2777</v>
      </c>
      <c r="I33" s="1" t="s">
        <v>2778</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1122</v>
      </c>
      <c r="AK33" s="1" t="s">
        <v>329</v>
      </c>
      <c r="AL33" s="1">
        <v>13</v>
      </c>
      <c r="AM33" s="1" t="s">
        <v>4791</v>
      </c>
      <c r="AN33" s="1" t="s">
        <v>389</v>
      </c>
      <c r="AO33" s="1" t="s">
        <v>4786</v>
      </c>
      <c r="AP33" s="1">
        <v>0</v>
      </c>
      <c r="AQ33" s="1" t="s">
        <v>1130</v>
      </c>
      <c r="AR33" s="1" t="s">
        <v>1120</v>
      </c>
      <c r="AS33" s="1" t="s">
        <v>1131</v>
      </c>
      <c r="AT33" s="1" t="s">
        <v>329</v>
      </c>
      <c r="AU33" s="1">
        <v>33</v>
      </c>
      <c r="AV33" s="1">
        <v>0</v>
      </c>
      <c r="AW33" s="1" t="s">
        <v>4493</v>
      </c>
      <c r="AX33" s="1" t="s">
        <v>471</v>
      </c>
      <c r="AY33" s="1">
        <v>2</v>
      </c>
      <c r="AZ33" s="1">
        <v>0</v>
      </c>
      <c r="BA33" s="1" t="s">
        <v>329</v>
      </c>
      <c r="BB33" s="1" t="s">
        <v>4826</v>
      </c>
      <c r="BC33" s="1" t="s">
        <v>329</v>
      </c>
      <c r="BD33" s="1">
        <v>10802</v>
      </c>
      <c r="BE33" s="1"/>
      <c r="BH33">
        <f>COUNTIF(Dropdowns!$I:$AF,C33)</f>
        <v>0</v>
      </c>
    </row>
    <row r="34" spans="1:60" x14ac:dyDescent="0.25">
      <c r="A34" s="1">
        <v>34</v>
      </c>
      <c r="B34" s="1" t="s">
        <v>2779</v>
      </c>
      <c r="C34" s="241" t="s">
        <v>86</v>
      </c>
      <c r="D34" s="1" t="s">
        <v>2780</v>
      </c>
      <c r="E34" s="1"/>
      <c r="F34" s="1"/>
      <c r="G34" s="1" t="s">
        <v>2781</v>
      </c>
      <c r="H34" s="1" t="s">
        <v>2782</v>
      </c>
      <c r="I34" s="1" t="s">
        <v>2783</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1140</v>
      </c>
      <c r="AK34" s="1" t="s">
        <v>329</v>
      </c>
      <c r="AL34" s="1">
        <v>13</v>
      </c>
      <c r="AM34" s="1" t="s">
        <v>4763</v>
      </c>
      <c r="AN34" s="1" t="s">
        <v>476</v>
      </c>
      <c r="AO34" s="1" t="s">
        <v>4827</v>
      </c>
      <c r="AP34" s="1">
        <v>0</v>
      </c>
      <c r="AQ34" s="1" t="s">
        <v>1141</v>
      </c>
      <c r="AR34" s="1" t="s">
        <v>1142</v>
      </c>
      <c r="AS34" s="1" t="s">
        <v>1143</v>
      </c>
      <c r="AT34" s="1" t="s">
        <v>329</v>
      </c>
      <c r="AU34" s="1">
        <v>34</v>
      </c>
      <c r="AV34" s="1">
        <v>0</v>
      </c>
      <c r="AW34" s="1" t="s">
        <v>4493</v>
      </c>
      <c r="AX34" s="1" t="s">
        <v>4798</v>
      </c>
      <c r="AY34" s="1">
        <v>3</v>
      </c>
      <c r="AZ34" s="1">
        <v>0</v>
      </c>
      <c r="BA34" s="1" t="s">
        <v>329</v>
      </c>
      <c r="BB34" s="1" t="s">
        <v>4828</v>
      </c>
      <c r="BC34" s="1" t="s">
        <v>4721</v>
      </c>
      <c r="BD34" s="1">
        <v>10303</v>
      </c>
      <c r="BE34" s="1"/>
      <c r="BH34">
        <f>COUNTIF(Dropdowns!$I:$AF,C34)</f>
        <v>1</v>
      </c>
    </row>
    <row r="35" spans="1:60" x14ac:dyDescent="0.25">
      <c r="A35" s="1">
        <v>35</v>
      </c>
      <c r="B35" s="1" t="s">
        <v>2784</v>
      </c>
      <c r="C35" s="241" t="s">
        <v>789</v>
      </c>
      <c r="D35" s="1" t="s">
        <v>789</v>
      </c>
      <c r="E35" s="1"/>
      <c r="F35" s="1"/>
      <c r="G35" s="1" t="s">
        <v>2785</v>
      </c>
      <c r="H35" s="1" t="s">
        <v>2786</v>
      </c>
      <c r="I35" s="1" t="s">
        <v>2787</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1126</v>
      </c>
      <c r="AK35" s="1" t="s">
        <v>329</v>
      </c>
      <c r="AL35" s="1">
        <v>13</v>
      </c>
      <c r="AM35" s="1" t="s">
        <v>4763</v>
      </c>
      <c r="AN35" s="1" t="s">
        <v>465</v>
      </c>
      <c r="AO35" s="1" t="s">
        <v>4827</v>
      </c>
      <c r="AP35" s="1">
        <v>0</v>
      </c>
      <c r="AQ35" s="1" t="s">
        <v>1141</v>
      </c>
      <c r="AR35" s="1" t="s">
        <v>1142</v>
      </c>
      <c r="AS35" s="1" t="s">
        <v>1143</v>
      </c>
      <c r="AT35" s="1" t="s">
        <v>329</v>
      </c>
      <c r="AU35" s="1">
        <v>35</v>
      </c>
      <c r="AV35" s="1">
        <v>0</v>
      </c>
      <c r="AW35" s="1" t="s">
        <v>4829</v>
      </c>
      <c r="AX35" s="1" t="s">
        <v>4830</v>
      </c>
      <c r="AY35" s="1">
        <v>3</v>
      </c>
      <c r="AZ35" s="1">
        <v>0</v>
      </c>
      <c r="BA35" s="1" t="s">
        <v>329</v>
      </c>
      <c r="BB35" s="1" t="s">
        <v>4831</v>
      </c>
      <c r="BC35" s="1" t="s">
        <v>4721</v>
      </c>
      <c r="BD35" s="1">
        <v>10303</v>
      </c>
      <c r="BE35" s="1"/>
      <c r="BH35">
        <f>COUNTIF(Dropdowns!$I:$AF,C35)</f>
        <v>1</v>
      </c>
    </row>
    <row r="36" spans="1:60" x14ac:dyDescent="0.25">
      <c r="A36" s="1">
        <v>36</v>
      </c>
      <c r="B36" s="1" t="s">
        <v>2788</v>
      </c>
      <c r="C36" s="241" t="s">
        <v>87</v>
      </c>
      <c r="D36" s="1" t="s">
        <v>2789</v>
      </c>
      <c r="E36" s="1"/>
      <c r="F36" s="1"/>
      <c r="G36" s="1" t="s">
        <v>2790</v>
      </c>
      <c r="H36" s="1" t="s">
        <v>2791</v>
      </c>
      <c r="I36" s="1" t="s">
        <v>2792</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1144</v>
      </c>
      <c r="AK36" s="1" t="s">
        <v>329</v>
      </c>
      <c r="AL36" s="1">
        <v>13</v>
      </c>
      <c r="AM36" s="1" t="s">
        <v>4763</v>
      </c>
      <c r="AN36" s="1" t="s">
        <v>4832</v>
      </c>
      <c r="AO36" s="1" t="s">
        <v>4833</v>
      </c>
      <c r="AP36" s="1">
        <v>0</v>
      </c>
      <c r="AQ36" s="1" t="s">
        <v>1747</v>
      </c>
      <c r="AR36" s="1" t="s">
        <v>1142</v>
      </c>
      <c r="AS36" s="1" t="s">
        <v>1143</v>
      </c>
      <c r="AT36" s="1" t="s">
        <v>329</v>
      </c>
      <c r="AU36" s="1">
        <v>36</v>
      </c>
      <c r="AV36" s="1">
        <v>0</v>
      </c>
      <c r="AW36" s="1" t="s">
        <v>4493</v>
      </c>
      <c r="AX36" s="1" t="s">
        <v>4798</v>
      </c>
      <c r="AY36" s="1">
        <v>4</v>
      </c>
      <c r="AZ36" s="1">
        <v>0</v>
      </c>
      <c r="BA36" s="1" t="s">
        <v>329</v>
      </c>
      <c r="BB36" s="1" t="s">
        <v>4834</v>
      </c>
      <c r="BC36" s="1" t="s">
        <v>4721</v>
      </c>
      <c r="BD36" s="1">
        <v>107</v>
      </c>
      <c r="BE36" s="1"/>
      <c r="BH36">
        <f>COUNTIF(Dropdowns!$I:$AF,C36)</f>
        <v>1</v>
      </c>
    </row>
    <row r="37" spans="1:60" x14ac:dyDescent="0.25">
      <c r="A37" s="1">
        <v>37</v>
      </c>
      <c r="B37" s="1" t="s">
        <v>2793</v>
      </c>
      <c r="C37" s="241" t="s">
        <v>88</v>
      </c>
      <c r="D37" s="1" t="s">
        <v>88</v>
      </c>
      <c r="E37" s="1"/>
      <c r="F37" s="1"/>
      <c r="G37" s="1" t="s">
        <v>2794</v>
      </c>
      <c r="H37" s="1" t="s">
        <v>2795</v>
      </c>
      <c r="I37" s="1" t="s">
        <v>2796</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1126</v>
      </c>
      <c r="AK37" s="1" t="s">
        <v>329</v>
      </c>
      <c r="AL37" s="1">
        <v>13</v>
      </c>
      <c r="AM37" s="1" t="s">
        <v>4763</v>
      </c>
      <c r="AN37" s="1" t="s">
        <v>4835</v>
      </c>
      <c r="AO37" s="1" t="s">
        <v>4827</v>
      </c>
      <c r="AP37" s="1">
        <v>0</v>
      </c>
      <c r="AQ37" s="1" t="s">
        <v>1141</v>
      </c>
      <c r="AR37" s="1" t="s">
        <v>4836</v>
      </c>
      <c r="AS37" s="1" t="s">
        <v>1143</v>
      </c>
      <c r="AT37" s="1" t="s">
        <v>329</v>
      </c>
      <c r="AU37" s="1">
        <v>37</v>
      </c>
      <c r="AV37" s="1">
        <v>0</v>
      </c>
      <c r="AW37" s="1" t="s">
        <v>4493</v>
      </c>
      <c r="AX37" s="1" t="s">
        <v>4798</v>
      </c>
      <c r="AY37" s="1">
        <v>3</v>
      </c>
      <c r="AZ37" s="1">
        <v>0</v>
      </c>
      <c r="BA37" s="1" t="s">
        <v>4766</v>
      </c>
      <c r="BB37" s="1" t="s">
        <v>4837</v>
      </c>
      <c r="BC37" s="1" t="s">
        <v>4721</v>
      </c>
      <c r="BD37" s="1">
        <v>10202</v>
      </c>
      <c r="BE37" s="1"/>
      <c r="BH37">
        <f>COUNTIF(Dropdowns!$I:$AF,C37)</f>
        <v>1</v>
      </c>
    </row>
    <row r="38" spans="1:60" x14ac:dyDescent="0.25">
      <c r="A38" s="1">
        <v>38</v>
      </c>
      <c r="B38" s="1" t="s">
        <v>2797</v>
      </c>
      <c r="C38" s="241" t="s">
        <v>89</v>
      </c>
      <c r="D38" s="1" t="s">
        <v>89</v>
      </c>
      <c r="E38" s="1"/>
      <c r="F38" s="1"/>
      <c r="G38" s="1" t="s">
        <v>2798</v>
      </c>
      <c r="H38" s="1" t="s">
        <v>2799</v>
      </c>
      <c r="I38" s="1" t="s">
        <v>2800</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1145</v>
      </c>
      <c r="AK38" s="1" t="s">
        <v>329</v>
      </c>
      <c r="AL38" s="1">
        <v>13</v>
      </c>
      <c r="AM38" s="1" t="s">
        <v>4763</v>
      </c>
      <c r="AN38" s="1" t="s">
        <v>465</v>
      </c>
      <c r="AO38" s="1" t="s">
        <v>4827</v>
      </c>
      <c r="AP38" s="1">
        <v>0</v>
      </c>
      <c r="AQ38" s="1" t="s">
        <v>1141</v>
      </c>
      <c r="AR38" s="1" t="s">
        <v>4836</v>
      </c>
      <c r="AS38" s="1" t="s">
        <v>1143</v>
      </c>
      <c r="AT38" s="1" t="s">
        <v>329</v>
      </c>
      <c r="AU38" s="1">
        <v>38</v>
      </c>
      <c r="AV38" s="1">
        <v>0</v>
      </c>
      <c r="AW38" s="1" t="s">
        <v>4493</v>
      </c>
      <c r="AX38" s="1" t="s">
        <v>4838</v>
      </c>
      <c r="AY38" s="1">
        <v>3</v>
      </c>
      <c r="AZ38" s="1">
        <v>0</v>
      </c>
      <c r="BA38" s="1" t="s">
        <v>329</v>
      </c>
      <c r="BB38" s="1" t="s">
        <v>4839</v>
      </c>
      <c r="BC38" s="1" t="s">
        <v>4721</v>
      </c>
      <c r="BD38" s="1">
        <v>10202</v>
      </c>
      <c r="BE38" s="1"/>
      <c r="BH38">
        <f>COUNTIF(Dropdowns!$I:$AF,C38)</f>
        <v>1</v>
      </c>
    </row>
    <row r="39" spans="1:60" x14ac:dyDescent="0.25">
      <c r="A39" s="1">
        <v>39</v>
      </c>
      <c r="B39" s="1" t="s">
        <v>2801</v>
      </c>
      <c r="C39" s="241" t="s">
        <v>729</v>
      </c>
      <c r="D39" s="1" t="s">
        <v>2802</v>
      </c>
      <c r="E39" s="1"/>
      <c r="F39" s="1"/>
      <c r="G39" s="1" t="s">
        <v>2803</v>
      </c>
      <c r="H39" s="1" t="s">
        <v>2804</v>
      </c>
      <c r="I39" s="1" t="s">
        <v>2805</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1146</v>
      </c>
      <c r="AK39" s="1" t="s">
        <v>329</v>
      </c>
      <c r="AL39" s="1">
        <v>13</v>
      </c>
      <c r="AM39" s="1" t="s">
        <v>4763</v>
      </c>
      <c r="AN39" s="1" t="s">
        <v>4811</v>
      </c>
      <c r="AO39" s="1" t="s">
        <v>4833</v>
      </c>
      <c r="AP39" s="1">
        <v>0</v>
      </c>
      <c r="AQ39" s="1" t="s">
        <v>1141</v>
      </c>
      <c r="AR39" s="1" t="s">
        <v>4836</v>
      </c>
      <c r="AS39" s="1" t="s">
        <v>4840</v>
      </c>
      <c r="AT39" s="1" t="s">
        <v>329</v>
      </c>
      <c r="AU39" s="1">
        <v>39</v>
      </c>
      <c r="AV39" s="1">
        <v>0</v>
      </c>
      <c r="AW39" s="1" t="s">
        <v>4493</v>
      </c>
      <c r="AX39" s="1" t="s">
        <v>4798</v>
      </c>
      <c r="AY39" s="1">
        <v>4</v>
      </c>
      <c r="AZ39" s="1">
        <v>0</v>
      </c>
      <c r="BA39" s="1" t="s">
        <v>4744</v>
      </c>
      <c r="BB39" s="1" t="s">
        <v>4841</v>
      </c>
      <c r="BC39" s="1" t="s">
        <v>4758</v>
      </c>
      <c r="BD39" s="1">
        <v>10302</v>
      </c>
      <c r="BE39" s="1"/>
      <c r="BH39">
        <f>COUNTIF(Dropdowns!$I:$AF,C39)</f>
        <v>1</v>
      </c>
    </row>
    <row r="40" spans="1:60" x14ac:dyDescent="0.25">
      <c r="A40" s="1">
        <v>40</v>
      </c>
      <c r="B40" s="1" t="s">
        <v>2806</v>
      </c>
      <c r="C40" s="241" t="s">
        <v>1613</v>
      </c>
      <c r="D40" s="1" t="s">
        <v>1613</v>
      </c>
      <c r="E40" s="1"/>
      <c r="F40" s="1"/>
      <c r="G40" s="1" t="s">
        <v>2807</v>
      </c>
      <c r="H40" s="1" t="s">
        <v>2808</v>
      </c>
      <c r="I40" s="1" t="s">
        <v>2809</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1145</v>
      </c>
      <c r="AK40" s="1" t="s">
        <v>329</v>
      </c>
      <c r="AL40" s="1">
        <v>13</v>
      </c>
      <c r="AM40" s="1" t="s">
        <v>4763</v>
      </c>
      <c r="AN40" s="1" t="s">
        <v>476</v>
      </c>
      <c r="AO40" s="1" t="s">
        <v>339</v>
      </c>
      <c r="AP40" s="1">
        <v>0</v>
      </c>
      <c r="AQ40" s="1" t="s">
        <v>1141</v>
      </c>
      <c r="AR40" s="1" t="s">
        <v>1142</v>
      </c>
      <c r="AS40" s="1" t="s">
        <v>1143</v>
      </c>
      <c r="AT40" s="1" t="s">
        <v>329</v>
      </c>
      <c r="AU40" s="1">
        <v>40</v>
      </c>
      <c r="AV40" s="1">
        <v>0</v>
      </c>
      <c r="AW40" s="1" t="s">
        <v>4493</v>
      </c>
      <c r="AX40" s="1" t="s">
        <v>471</v>
      </c>
      <c r="AY40" s="1">
        <v>2</v>
      </c>
      <c r="AZ40" s="1">
        <v>0</v>
      </c>
      <c r="BA40" s="1" t="s">
        <v>329</v>
      </c>
      <c r="BB40" s="1" t="s">
        <v>372</v>
      </c>
      <c r="BC40" s="1" t="s">
        <v>4758</v>
      </c>
      <c r="BD40" s="1">
        <v>10303</v>
      </c>
      <c r="BE40" s="1"/>
      <c r="BH40">
        <f>COUNTIF(Dropdowns!$I:$AF,C40)</f>
        <v>1</v>
      </c>
    </row>
    <row r="41" spans="1:60" x14ac:dyDescent="0.25">
      <c r="A41" s="1">
        <v>41</v>
      </c>
      <c r="B41" s="1" t="s">
        <v>2810</v>
      </c>
      <c r="C41" s="241" t="s">
        <v>90</v>
      </c>
      <c r="D41" s="1" t="s">
        <v>90</v>
      </c>
      <c r="E41" s="1"/>
      <c r="F41" s="1"/>
      <c r="G41" s="1" t="s">
        <v>2811</v>
      </c>
      <c r="H41" s="1" t="s">
        <v>2812</v>
      </c>
      <c r="I41" s="1" t="s">
        <v>2813</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1126</v>
      </c>
      <c r="AK41" s="1" t="s">
        <v>329</v>
      </c>
      <c r="AL41" s="1">
        <v>13</v>
      </c>
      <c r="AM41" s="1" t="s">
        <v>4763</v>
      </c>
      <c r="AN41" s="1" t="s">
        <v>465</v>
      </c>
      <c r="AO41" s="1" t="s">
        <v>339</v>
      </c>
      <c r="AP41" s="1">
        <v>0</v>
      </c>
      <c r="AQ41" s="1" t="s">
        <v>1141</v>
      </c>
      <c r="AR41" s="1" t="s">
        <v>1142</v>
      </c>
      <c r="AS41" s="1" t="s">
        <v>1143</v>
      </c>
      <c r="AT41" s="1" t="s">
        <v>329</v>
      </c>
      <c r="AU41" s="1">
        <v>41</v>
      </c>
      <c r="AV41" s="1">
        <v>0</v>
      </c>
      <c r="AW41" s="1" t="s">
        <v>4493</v>
      </c>
      <c r="AX41" s="1" t="s">
        <v>471</v>
      </c>
      <c r="AY41" s="1">
        <v>2</v>
      </c>
      <c r="AZ41" s="1">
        <v>0</v>
      </c>
      <c r="BA41" s="1" t="s">
        <v>329</v>
      </c>
      <c r="BB41" s="1" t="s">
        <v>4842</v>
      </c>
      <c r="BC41" s="1" t="s">
        <v>4758</v>
      </c>
      <c r="BD41" s="1">
        <v>10302</v>
      </c>
      <c r="BE41" s="1"/>
      <c r="BH41">
        <f>COUNTIF(Dropdowns!$I:$AF,C41)</f>
        <v>1</v>
      </c>
    </row>
    <row r="42" spans="1:60" x14ac:dyDescent="0.25">
      <c r="A42" s="1">
        <v>42</v>
      </c>
      <c r="B42" s="1" t="s">
        <v>2814</v>
      </c>
      <c r="C42" s="241" t="s">
        <v>91</v>
      </c>
      <c r="D42" s="1" t="s">
        <v>91</v>
      </c>
      <c r="E42" s="1"/>
      <c r="F42" s="1"/>
      <c r="G42" s="1" t="s">
        <v>2815</v>
      </c>
      <c r="H42" s="1" t="s">
        <v>2816</v>
      </c>
      <c r="I42" s="1" t="s">
        <v>2817</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1147</v>
      </c>
      <c r="AK42" s="1" t="s">
        <v>329</v>
      </c>
      <c r="AL42" s="1">
        <v>13</v>
      </c>
      <c r="AM42" s="1" t="s">
        <v>4763</v>
      </c>
      <c r="AN42" s="1" t="s">
        <v>507</v>
      </c>
      <c r="AO42" s="1" t="s">
        <v>4833</v>
      </c>
      <c r="AP42" s="1">
        <v>0</v>
      </c>
      <c r="AQ42" s="1" t="s">
        <v>1141</v>
      </c>
      <c r="AR42" s="1" t="s">
        <v>1142</v>
      </c>
      <c r="AS42" s="1" t="s">
        <v>4840</v>
      </c>
      <c r="AT42" s="1" t="s">
        <v>329</v>
      </c>
      <c r="AU42" s="1">
        <v>42</v>
      </c>
      <c r="AV42" s="1">
        <v>0</v>
      </c>
      <c r="AW42" s="1" t="s">
        <v>4493</v>
      </c>
      <c r="AX42" s="1" t="s">
        <v>4798</v>
      </c>
      <c r="AY42" s="1">
        <v>4</v>
      </c>
      <c r="AZ42" s="1">
        <v>0</v>
      </c>
      <c r="BA42" s="1" t="s">
        <v>329</v>
      </c>
      <c r="BB42" s="1" t="s">
        <v>4747</v>
      </c>
      <c r="BC42" s="1" t="s">
        <v>4758</v>
      </c>
      <c r="BD42" s="1">
        <v>10302</v>
      </c>
      <c r="BE42" s="1"/>
      <c r="BH42">
        <f>COUNTIF(Dropdowns!$I:$AF,C42)</f>
        <v>1</v>
      </c>
    </row>
    <row r="43" spans="1:60" x14ac:dyDescent="0.25">
      <c r="A43" s="1">
        <v>43</v>
      </c>
      <c r="B43" s="1" t="s">
        <v>2818</v>
      </c>
      <c r="C43" s="241" t="s">
        <v>92</v>
      </c>
      <c r="D43" s="1" t="s">
        <v>92</v>
      </c>
      <c r="E43" s="1"/>
      <c r="F43" s="1"/>
      <c r="G43" s="1" t="s">
        <v>2819</v>
      </c>
      <c r="H43" s="1" t="s">
        <v>2820</v>
      </c>
      <c r="I43" s="1" t="s">
        <v>2821</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4763</v>
      </c>
      <c r="AN43" s="1" t="s">
        <v>4835</v>
      </c>
      <c r="AO43" s="1" t="s">
        <v>4833</v>
      </c>
      <c r="AP43" s="1">
        <v>0</v>
      </c>
      <c r="AQ43" s="1" t="s">
        <v>1747</v>
      </c>
      <c r="AR43" s="1" t="s">
        <v>1142</v>
      </c>
      <c r="AS43" s="1" t="s">
        <v>1143</v>
      </c>
      <c r="AT43" s="1" t="s">
        <v>329</v>
      </c>
      <c r="AU43" s="1">
        <v>43</v>
      </c>
      <c r="AV43" s="1">
        <v>0</v>
      </c>
      <c r="AW43" s="1" t="s">
        <v>4843</v>
      </c>
      <c r="AX43" s="1" t="s">
        <v>332</v>
      </c>
      <c r="AY43" s="1">
        <v>4</v>
      </c>
      <c r="AZ43" s="1">
        <v>0</v>
      </c>
      <c r="BA43" s="1" t="s">
        <v>329</v>
      </c>
      <c r="BB43" s="1" t="s">
        <v>4844</v>
      </c>
      <c r="BC43" s="1" t="s">
        <v>4758</v>
      </c>
      <c r="BD43" s="1">
        <v>10402</v>
      </c>
      <c r="BE43" s="1"/>
      <c r="BH43">
        <f>COUNTIF(Dropdowns!$I:$AF,C43)</f>
        <v>1</v>
      </c>
    </row>
    <row r="44" spans="1:60" x14ac:dyDescent="0.25">
      <c r="A44" s="1">
        <v>44</v>
      </c>
      <c r="B44" s="1" t="s">
        <v>2822</v>
      </c>
      <c r="C44" s="241" t="s">
        <v>1614</v>
      </c>
      <c r="D44" s="1" t="s">
        <v>1614</v>
      </c>
      <c r="E44" s="1"/>
      <c r="F44" s="1"/>
      <c r="G44" s="1" t="s">
        <v>2823</v>
      </c>
      <c r="H44" s="1" t="s">
        <v>2824</v>
      </c>
      <c r="I44" s="1" t="s">
        <v>2825</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1148</v>
      </c>
      <c r="AK44" s="1" t="s">
        <v>1149</v>
      </c>
      <c r="AL44" s="1">
        <v>13</v>
      </c>
      <c r="AM44" s="1" t="s">
        <v>4763</v>
      </c>
      <c r="AN44" s="1" t="s">
        <v>466</v>
      </c>
      <c r="AO44" s="1" t="s">
        <v>4827</v>
      </c>
      <c r="AP44" s="1">
        <v>0</v>
      </c>
      <c r="AQ44" s="1" t="s">
        <v>1141</v>
      </c>
      <c r="AR44" s="1" t="s">
        <v>1142</v>
      </c>
      <c r="AS44" s="1" t="s">
        <v>4840</v>
      </c>
      <c r="AT44" s="1" t="s">
        <v>329</v>
      </c>
      <c r="AU44" s="1">
        <v>44</v>
      </c>
      <c r="AV44" s="1">
        <v>0</v>
      </c>
      <c r="AW44" s="1" t="s">
        <v>4493</v>
      </c>
      <c r="AX44" s="1" t="s">
        <v>4798</v>
      </c>
      <c r="AY44" s="1">
        <v>3</v>
      </c>
      <c r="AZ44" s="1">
        <v>0</v>
      </c>
      <c r="BA44" s="1" t="s">
        <v>4766</v>
      </c>
      <c r="BB44" s="1" t="s">
        <v>4845</v>
      </c>
      <c r="BC44" s="1" t="s">
        <v>4758</v>
      </c>
      <c r="BD44" s="1">
        <v>10302</v>
      </c>
      <c r="BE44" s="1"/>
      <c r="BH44">
        <f>COUNTIF(Dropdowns!$I:$AF,C44)</f>
        <v>1</v>
      </c>
    </row>
    <row r="45" spans="1:60" x14ac:dyDescent="0.25">
      <c r="A45" s="1">
        <v>46</v>
      </c>
      <c r="B45" s="1" t="s">
        <v>2826</v>
      </c>
      <c r="C45" s="241" t="s">
        <v>93</v>
      </c>
      <c r="D45" s="1" t="s">
        <v>2827</v>
      </c>
      <c r="E45" s="1"/>
      <c r="F45" s="1"/>
      <c r="G45" s="1" t="s">
        <v>2828</v>
      </c>
      <c r="H45" s="1" t="s">
        <v>2829</v>
      </c>
      <c r="I45" s="1" t="s">
        <v>2830</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1150</v>
      </c>
      <c r="AK45" s="1" t="s">
        <v>329</v>
      </c>
      <c r="AL45" s="1">
        <v>13</v>
      </c>
      <c r="AM45" s="1" t="s">
        <v>4763</v>
      </c>
      <c r="AN45" s="1" t="s">
        <v>4835</v>
      </c>
      <c r="AO45" s="1" t="s">
        <v>4846</v>
      </c>
      <c r="AP45" s="1">
        <v>0</v>
      </c>
      <c r="AQ45" s="1" t="s">
        <v>1141</v>
      </c>
      <c r="AR45" s="1" t="s">
        <v>4836</v>
      </c>
      <c r="AS45" s="1" t="s">
        <v>1143</v>
      </c>
      <c r="AT45" s="1" t="s">
        <v>329</v>
      </c>
      <c r="AU45" s="1">
        <v>46</v>
      </c>
      <c r="AV45" s="1">
        <v>0</v>
      </c>
      <c r="AW45" s="1" t="s">
        <v>4493</v>
      </c>
      <c r="AX45" s="1" t="s">
        <v>332</v>
      </c>
      <c r="AY45" s="1">
        <v>5</v>
      </c>
      <c r="AZ45" s="1">
        <v>0</v>
      </c>
      <c r="BA45" s="1" t="s">
        <v>329</v>
      </c>
      <c r="BB45" s="1" t="s">
        <v>4847</v>
      </c>
      <c r="BC45" s="1" t="s">
        <v>4770</v>
      </c>
      <c r="BD45" s="1">
        <v>10201</v>
      </c>
      <c r="BE45" s="1"/>
      <c r="BH45">
        <f>COUNTIF(Dropdowns!$I:$AF,C45)</f>
        <v>1</v>
      </c>
    </row>
    <row r="46" spans="1:60" x14ac:dyDescent="0.25">
      <c r="A46" s="1">
        <v>47</v>
      </c>
      <c r="B46" s="1" t="s">
        <v>2831</v>
      </c>
      <c r="C46" s="241" t="s">
        <v>94</v>
      </c>
      <c r="D46" s="1" t="s">
        <v>94</v>
      </c>
      <c r="E46" s="1"/>
      <c r="F46" s="1"/>
      <c r="G46" s="1" t="s">
        <v>2832</v>
      </c>
      <c r="H46" s="1" t="s">
        <v>2833</v>
      </c>
      <c r="I46" s="1" t="s">
        <v>2834</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1126</v>
      </c>
      <c r="AK46" s="1" t="s">
        <v>329</v>
      </c>
      <c r="AL46" s="1">
        <v>13</v>
      </c>
      <c r="AM46" s="1" t="s">
        <v>4763</v>
      </c>
      <c r="AN46" s="1" t="s">
        <v>4835</v>
      </c>
      <c r="AO46" s="1" t="s">
        <v>339</v>
      </c>
      <c r="AP46" s="1">
        <v>0</v>
      </c>
      <c r="AQ46" s="1" t="s">
        <v>1141</v>
      </c>
      <c r="AR46" s="1" t="s">
        <v>1142</v>
      </c>
      <c r="AS46" s="1" t="s">
        <v>1143</v>
      </c>
      <c r="AT46" s="1" t="s">
        <v>329</v>
      </c>
      <c r="AU46" s="1">
        <v>47</v>
      </c>
      <c r="AV46" s="1">
        <v>0</v>
      </c>
      <c r="AW46" s="1" t="s">
        <v>4493</v>
      </c>
      <c r="AX46" s="1" t="s">
        <v>471</v>
      </c>
      <c r="AY46" s="1">
        <v>2</v>
      </c>
      <c r="AZ46" s="1">
        <v>0</v>
      </c>
      <c r="BA46" s="1" t="s">
        <v>329</v>
      </c>
      <c r="BB46" s="1" t="s">
        <v>4848</v>
      </c>
      <c r="BC46" s="1" t="s">
        <v>4770</v>
      </c>
      <c r="BD46" s="1">
        <v>10303</v>
      </c>
      <c r="BE46" s="1"/>
      <c r="BH46">
        <f>COUNTIF(Dropdowns!$I:$AF,C46)</f>
        <v>1</v>
      </c>
    </row>
    <row r="47" spans="1:60" x14ac:dyDescent="0.25">
      <c r="A47" s="1">
        <v>48</v>
      </c>
      <c r="B47" s="1" t="s">
        <v>2835</v>
      </c>
      <c r="C47" s="241" t="s">
        <v>95</v>
      </c>
      <c r="D47" s="1" t="s">
        <v>95</v>
      </c>
      <c r="E47" s="1"/>
      <c r="F47" s="1"/>
      <c r="G47" s="1" t="s">
        <v>2836</v>
      </c>
      <c r="H47" s="1" t="s">
        <v>2837</v>
      </c>
      <c r="I47" s="1" t="s">
        <v>2838</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1151</v>
      </c>
      <c r="AK47" s="1" t="s">
        <v>329</v>
      </c>
      <c r="AL47" s="1">
        <v>13</v>
      </c>
      <c r="AM47" s="1" t="s">
        <v>4763</v>
      </c>
      <c r="AN47" s="1" t="s">
        <v>476</v>
      </c>
      <c r="AO47" s="1" t="s">
        <v>4846</v>
      </c>
      <c r="AP47" s="1">
        <v>0</v>
      </c>
      <c r="AQ47" s="1" t="s">
        <v>1141</v>
      </c>
      <c r="AR47" s="1" t="s">
        <v>4836</v>
      </c>
      <c r="AS47" s="1" t="s">
        <v>1143</v>
      </c>
      <c r="AT47" s="1" t="s">
        <v>329</v>
      </c>
      <c r="AU47" s="1">
        <v>48</v>
      </c>
      <c r="AV47" s="1">
        <v>0</v>
      </c>
      <c r="AW47" s="1" t="s">
        <v>4493</v>
      </c>
      <c r="AX47" s="1" t="s">
        <v>4798</v>
      </c>
      <c r="AY47" s="1">
        <v>5</v>
      </c>
      <c r="AZ47" s="1">
        <v>0</v>
      </c>
      <c r="BA47" s="1" t="s">
        <v>329</v>
      </c>
      <c r="BB47" s="1" t="s">
        <v>4791</v>
      </c>
      <c r="BC47" s="1" t="s">
        <v>4770</v>
      </c>
      <c r="BD47" s="1">
        <v>10201</v>
      </c>
      <c r="BE47" s="1"/>
      <c r="BH47">
        <f>COUNTIF(Dropdowns!$I:$AF,C47)</f>
        <v>1</v>
      </c>
    </row>
    <row r="48" spans="1:60" x14ac:dyDescent="0.25">
      <c r="A48" s="1">
        <v>49</v>
      </c>
      <c r="B48" s="1" t="s">
        <v>2839</v>
      </c>
      <c r="C48" s="241" t="s">
        <v>222</v>
      </c>
      <c r="D48" s="1" t="s">
        <v>2840</v>
      </c>
      <c r="E48" s="1"/>
      <c r="F48" s="1"/>
      <c r="G48" s="1" t="s">
        <v>2841</v>
      </c>
      <c r="H48" s="1" t="s">
        <v>2842</v>
      </c>
      <c r="I48" s="1" t="s">
        <v>2843</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1152</v>
      </c>
      <c r="AK48" s="1" t="s">
        <v>329</v>
      </c>
      <c r="AL48" s="1">
        <v>13</v>
      </c>
      <c r="AM48" s="1" t="s">
        <v>4763</v>
      </c>
      <c r="AN48" s="1" t="s">
        <v>465</v>
      </c>
      <c r="AO48" s="1" t="s">
        <v>4827</v>
      </c>
      <c r="AP48" s="1">
        <v>0</v>
      </c>
      <c r="AQ48" s="1" t="s">
        <v>1747</v>
      </c>
      <c r="AR48" s="1" t="s">
        <v>1142</v>
      </c>
      <c r="AS48" s="1" t="s">
        <v>1143</v>
      </c>
      <c r="AT48" s="1" t="s">
        <v>329</v>
      </c>
      <c r="AU48" s="1">
        <v>49</v>
      </c>
      <c r="AV48" s="1">
        <v>0</v>
      </c>
      <c r="AW48" s="1" t="s">
        <v>4849</v>
      </c>
      <c r="AX48" s="1" t="s">
        <v>4850</v>
      </c>
      <c r="AY48" s="1">
        <v>3</v>
      </c>
      <c r="AZ48" s="1">
        <v>0</v>
      </c>
      <c r="BA48" s="1" t="s">
        <v>4766</v>
      </c>
      <c r="BB48" s="1" t="s">
        <v>4851</v>
      </c>
      <c r="BC48" s="1" t="s">
        <v>4784</v>
      </c>
      <c r="BD48" s="1">
        <v>10705</v>
      </c>
      <c r="BE48" s="1"/>
      <c r="BH48">
        <f>COUNTIF(Dropdowns!$I:$AF,C48)</f>
        <v>1</v>
      </c>
    </row>
    <row r="49" spans="1:60" x14ac:dyDescent="0.25">
      <c r="A49" s="1">
        <v>50</v>
      </c>
      <c r="B49" s="1" t="s">
        <v>2844</v>
      </c>
      <c r="C49" s="241" t="s">
        <v>96</v>
      </c>
      <c r="D49" s="1" t="s">
        <v>2845</v>
      </c>
      <c r="E49" s="1"/>
      <c r="F49" s="1"/>
      <c r="G49" s="1" t="s">
        <v>2846</v>
      </c>
      <c r="H49" s="1" t="s">
        <v>2847</v>
      </c>
      <c r="I49" s="1" t="s">
        <v>2848</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4763</v>
      </c>
      <c r="AN49" s="1" t="s">
        <v>465</v>
      </c>
      <c r="AO49" s="1" t="s">
        <v>4846</v>
      </c>
      <c r="AP49" s="1">
        <v>0</v>
      </c>
      <c r="AQ49" s="1" t="s">
        <v>1141</v>
      </c>
      <c r="AR49" s="1" t="s">
        <v>4836</v>
      </c>
      <c r="AS49" s="1" t="s">
        <v>1143</v>
      </c>
      <c r="AT49" s="1" t="s">
        <v>329</v>
      </c>
      <c r="AU49" s="1">
        <v>50</v>
      </c>
      <c r="AV49" s="1">
        <v>0</v>
      </c>
      <c r="AW49" s="1" t="s">
        <v>4493</v>
      </c>
      <c r="AX49" s="1" t="s">
        <v>332</v>
      </c>
      <c r="AY49" s="1">
        <v>5</v>
      </c>
      <c r="AZ49" s="1">
        <v>0</v>
      </c>
      <c r="BA49" s="1" t="s">
        <v>329</v>
      </c>
      <c r="BB49" s="1" t="s">
        <v>4852</v>
      </c>
      <c r="BC49" s="1" t="s">
        <v>329</v>
      </c>
      <c r="BD49" s="1">
        <v>10201</v>
      </c>
      <c r="BE49" s="1"/>
      <c r="BH49">
        <f>COUNTIF(Dropdowns!$I:$AF,C49)</f>
        <v>1</v>
      </c>
    </row>
    <row r="50" spans="1:60" x14ac:dyDescent="0.25">
      <c r="A50" s="1">
        <v>51</v>
      </c>
      <c r="B50" s="1" t="s">
        <v>2849</v>
      </c>
      <c r="C50" s="241" t="s">
        <v>1153</v>
      </c>
      <c r="D50" s="1" t="s">
        <v>1153</v>
      </c>
      <c r="E50" s="1"/>
      <c r="F50" s="1"/>
      <c r="G50" s="1" t="s">
        <v>2850</v>
      </c>
      <c r="H50" s="1" t="s">
        <v>2851</v>
      </c>
      <c r="I50" s="1" t="s">
        <v>2852</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1126</v>
      </c>
      <c r="AK50" s="1" t="s">
        <v>329</v>
      </c>
      <c r="AL50" s="1">
        <v>13</v>
      </c>
      <c r="AM50" s="1" t="s">
        <v>4763</v>
      </c>
      <c r="AN50" s="1" t="s">
        <v>4835</v>
      </c>
      <c r="AO50" s="1" t="s">
        <v>339</v>
      </c>
      <c r="AP50" s="1">
        <v>0</v>
      </c>
      <c r="AQ50" s="1" t="s">
        <v>1141</v>
      </c>
      <c r="AR50" s="1" t="s">
        <v>4836</v>
      </c>
      <c r="AS50" s="1" t="s">
        <v>1143</v>
      </c>
      <c r="AT50" s="1" t="s">
        <v>329</v>
      </c>
      <c r="AU50" s="1">
        <v>51</v>
      </c>
      <c r="AV50" s="1">
        <v>0</v>
      </c>
      <c r="AW50" s="1" t="s">
        <v>4493</v>
      </c>
      <c r="AX50" s="1" t="s">
        <v>471</v>
      </c>
      <c r="AY50" s="1">
        <v>2</v>
      </c>
      <c r="AZ50" s="1">
        <v>0</v>
      </c>
      <c r="BA50" s="1" t="s">
        <v>4746</v>
      </c>
      <c r="BB50" s="1" t="s">
        <v>4853</v>
      </c>
      <c r="BC50" s="1" t="s">
        <v>4854</v>
      </c>
      <c r="BD50" s="1">
        <v>10202</v>
      </c>
      <c r="BE50" s="1"/>
      <c r="BH50">
        <f>COUNTIF(Dropdowns!$I:$AF,C50)</f>
        <v>1</v>
      </c>
    </row>
    <row r="51" spans="1:60" x14ac:dyDescent="0.25">
      <c r="A51" s="1">
        <v>52</v>
      </c>
      <c r="B51" s="1" t="s">
        <v>2853</v>
      </c>
      <c r="C51" s="241" t="s">
        <v>97</v>
      </c>
      <c r="D51" s="1" t="s">
        <v>2854</v>
      </c>
      <c r="E51" s="1"/>
      <c r="F51" s="1"/>
      <c r="G51" s="1" t="s">
        <v>2855</v>
      </c>
      <c r="H51" s="1" t="s">
        <v>2856</v>
      </c>
      <c r="I51" s="1" t="s">
        <v>2857</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1126</v>
      </c>
      <c r="AK51" s="1" t="s">
        <v>329</v>
      </c>
      <c r="AL51" s="1">
        <v>13</v>
      </c>
      <c r="AM51" s="1" t="s">
        <v>4763</v>
      </c>
      <c r="AN51" s="1" t="s">
        <v>476</v>
      </c>
      <c r="AO51" s="1" t="s">
        <v>339</v>
      </c>
      <c r="AP51" s="1">
        <v>0</v>
      </c>
      <c r="AQ51" s="1" t="s">
        <v>1141</v>
      </c>
      <c r="AR51" s="1" t="s">
        <v>4836</v>
      </c>
      <c r="AS51" s="1" t="s">
        <v>1143</v>
      </c>
      <c r="AT51" s="1" t="s">
        <v>329</v>
      </c>
      <c r="AU51" s="1">
        <v>52</v>
      </c>
      <c r="AV51" s="1">
        <v>0</v>
      </c>
      <c r="AW51" s="1" t="s">
        <v>4493</v>
      </c>
      <c r="AX51" s="1" t="s">
        <v>471</v>
      </c>
      <c r="AY51" s="1">
        <v>2</v>
      </c>
      <c r="AZ51" s="1">
        <v>0</v>
      </c>
      <c r="BA51" s="1" t="s">
        <v>329</v>
      </c>
      <c r="BB51" s="1" t="s">
        <v>4855</v>
      </c>
      <c r="BC51" s="1" t="s">
        <v>4740</v>
      </c>
      <c r="BD51" s="1">
        <v>10302</v>
      </c>
      <c r="BE51" s="1"/>
      <c r="BH51">
        <f>COUNTIF(Dropdowns!$I:$AF,C51)</f>
        <v>1</v>
      </c>
    </row>
    <row r="52" spans="1:60" x14ac:dyDescent="0.25">
      <c r="A52" s="1">
        <v>53</v>
      </c>
      <c r="B52" s="1" t="s">
        <v>2858</v>
      </c>
      <c r="C52" s="241" t="s">
        <v>1615</v>
      </c>
      <c r="D52" s="1" t="s">
        <v>1615</v>
      </c>
      <c r="E52" s="1"/>
      <c r="F52" s="1"/>
      <c r="G52" s="1" t="s">
        <v>2859</v>
      </c>
      <c r="H52" s="1" t="s">
        <v>2860</v>
      </c>
      <c r="I52" s="1" t="s">
        <v>2861</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1147</v>
      </c>
      <c r="AK52" s="1" t="s">
        <v>329</v>
      </c>
      <c r="AL52" s="1">
        <v>13</v>
      </c>
      <c r="AM52" s="1" t="s">
        <v>4763</v>
      </c>
      <c r="AN52" s="1" t="s">
        <v>476</v>
      </c>
      <c r="AO52" s="1" t="s">
        <v>4846</v>
      </c>
      <c r="AP52" s="1">
        <v>0</v>
      </c>
      <c r="AQ52" s="1" t="s">
        <v>1747</v>
      </c>
      <c r="AR52" s="1" t="s">
        <v>1142</v>
      </c>
      <c r="AS52" s="1" t="s">
        <v>1143</v>
      </c>
      <c r="AT52" s="1" t="s">
        <v>329</v>
      </c>
      <c r="AU52" s="1">
        <v>53</v>
      </c>
      <c r="AV52" s="1">
        <v>0</v>
      </c>
      <c r="AW52" s="1" t="s">
        <v>4493</v>
      </c>
      <c r="AX52" s="1" t="s">
        <v>4492</v>
      </c>
      <c r="AY52" s="1">
        <v>5</v>
      </c>
      <c r="AZ52" s="1">
        <v>0</v>
      </c>
      <c r="BA52" s="1" t="s">
        <v>4856</v>
      </c>
      <c r="BB52" s="1" t="s">
        <v>4857</v>
      </c>
      <c r="BC52" s="1" t="s">
        <v>329</v>
      </c>
      <c r="BD52" s="1">
        <v>104</v>
      </c>
      <c r="BE52" s="1"/>
      <c r="BH52">
        <f>COUNTIF(Dropdowns!$I:$AF,C52)</f>
        <v>1</v>
      </c>
    </row>
    <row r="53" spans="1:60" x14ac:dyDescent="0.25">
      <c r="A53" s="1">
        <v>54</v>
      </c>
      <c r="B53" s="1" t="s">
        <v>2862</v>
      </c>
      <c r="C53" s="241" t="s">
        <v>98</v>
      </c>
      <c r="D53" s="1" t="s">
        <v>98</v>
      </c>
      <c r="E53" s="1"/>
      <c r="F53" s="1"/>
      <c r="G53" s="1" t="s">
        <v>2863</v>
      </c>
      <c r="H53" s="1" t="s">
        <v>2864</v>
      </c>
      <c r="I53" s="1" t="s">
        <v>2865</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1154</v>
      </c>
      <c r="AK53" s="1" t="s">
        <v>329</v>
      </c>
      <c r="AL53" s="1">
        <v>13</v>
      </c>
      <c r="AM53" s="1" t="s">
        <v>4720</v>
      </c>
      <c r="AN53" s="1" t="s">
        <v>4748</v>
      </c>
      <c r="AO53" s="1" t="s">
        <v>4800</v>
      </c>
      <c r="AP53" s="1">
        <v>0</v>
      </c>
      <c r="AQ53" s="1" t="s">
        <v>1155</v>
      </c>
      <c r="AR53" s="1" t="s">
        <v>4858</v>
      </c>
      <c r="AS53" s="1" t="s">
        <v>4858</v>
      </c>
      <c r="AT53" s="1" t="s">
        <v>329</v>
      </c>
      <c r="AU53" s="1">
        <v>54</v>
      </c>
      <c r="AV53" s="1">
        <v>0</v>
      </c>
      <c r="AW53" s="1" t="s">
        <v>4493</v>
      </c>
      <c r="AX53" s="1" t="s">
        <v>4859</v>
      </c>
      <c r="AY53" s="1">
        <v>4</v>
      </c>
      <c r="AZ53" s="1">
        <v>0</v>
      </c>
      <c r="BA53" s="1" t="s">
        <v>329</v>
      </c>
      <c r="BB53" s="1" t="s">
        <v>4860</v>
      </c>
      <c r="BC53" s="1" t="s">
        <v>4861</v>
      </c>
      <c r="BD53" s="1">
        <v>106</v>
      </c>
      <c r="BE53" s="1"/>
      <c r="BH53">
        <f>COUNTIF(Dropdowns!$I:$AF,C53)</f>
        <v>1</v>
      </c>
    </row>
    <row r="54" spans="1:60" x14ac:dyDescent="0.25">
      <c r="A54" s="1">
        <v>55</v>
      </c>
      <c r="B54" s="1" t="s">
        <v>2866</v>
      </c>
      <c r="C54" s="241" t="s">
        <v>22</v>
      </c>
      <c r="D54" s="1" t="s">
        <v>22</v>
      </c>
      <c r="E54" s="1"/>
      <c r="F54" s="1"/>
      <c r="G54" s="1" t="s">
        <v>2867</v>
      </c>
      <c r="H54" s="1" t="s">
        <v>2868</v>
      </c>
      <c r="I54" s="1" t="s">
        <v>2869</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1156</v>
      </c>
      <c r="AK54" s="1" t="s">
        <v>329</v>
      </c>
      <c r="AL54" s="1">
        <v>13</v>
      </c>
      <c r="AM54" s="1" t="s">
        <v>4791</v>
      </c>
      <c r="AN54" s="1" t="s">
        <v>4862</v>
      </c>
      <c r="AO54" s="1" t="s">
        <v>4863</v>
      </c>
      <c r="AP54" s="1">
        <v>0</v>
      </c>
      <c r="AQ54" s="1" t="s">
        <v>1131</v>
      </c>
      <c r="AR54" s="1" t="s">
        <v>1155</v>
      </c>
      <c r="AS54" s="1" t="s">
        <v>1745</v>
      </c>
      <c r="AT54" s="1" t="s">
        <v>329</v>
      </c>
      <c r="AU54" s="1">
        <v>55</v>
      </c>
      <c r="AV54" s="1">
        <v>0</v>
      </c>
      <c r="AW54" s="1" t="s">
        <v>4493</v>
      </c>
      <c r="AX54" s="1" t="s">
        <v>4859</v>
      </c>
      <c r="AY54" s="1">
        <v>4</v>
      </c>
      <c r="AZ54" s="1">
        <v>0</v>
      </c>
      <c r="BA54" s="1" t="s">
        <v>4744</v>
      </c>
      <c r="BB54" s="1" t="s">
        <v>4864</v>
      </c>
      <c r="BC54" s="1" t="s">
        <v>4861</v>
      </c>
      <c r="BD54" s="1">
        <v>10601</v>
      </c>
      <c r="BE54" s="1"/>
      <c r="BH54">
        <f>COUNTIF(Dropdowns!$I:$AF,C54)</f>
        <v>1</v>
      </c>
    </row>
    <row r="55" spans="1:60" x14ac:dyDescent="0.25">
      <c r="A55" s="1">
        <v>56</v>
      </c>
      <c r="B55" s="1" t="s">
        <v>2870</v>
      </c>
      <c r="C55" s="241" t="s">
        <v>99</v>
      </c>
      <c r="D55" s="1" t="s">
        <v>99</v>
      </c>
      <c r="E55" s="1"/>
      <c r="F55" s="1"/>
      <c r="G55" s="1" t="s">
        <v>2871</v>
      </c>
      <c r="H55" s="1" t="s">
        <v>2872</v>
      </c>
      <c r="I55" s="1" t="s">
        <v>2873</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1157</v>
      </c>
      <c r="AK55" s="1" t="s">
        <v>329</v>
      </c>
      <c r="AL55" s="1">
        <v>13</v>
      </c>
      <c r="AM55" s="1" t="s">
        <v>4720</v>
      </c>
      <c r="AN55" s="1" t="s">
        <v>4865</v>
      </c>
      <c r="AO55" s="1" t="s">
        <v>4866</v>
      </c>
      <c r="AP55" s="1">
        <v>0</v>
      </c>
      <c r="AQ55" s="1" t="s">
        <v>4867</v>
      </c>
      <c r="AR55" s="1" t="s">
        <v>4867</v>
      </c>
      <c r="AS55" s="1" t="s">
        <v>1155</v>
      </c>
      <c r="AT55" s="1" t="s">
        <v>329</v>
      </c>
      <c r="AU55" s="1">
        <v>56</v>
      </c>
      <c r="AV55" s="1">
        <v>0</v>
      </c>
      <c r="AW55" s="1" t="s">
        <v>4493</v>
      </c>
      <c r="AX55" s="1" t="s">
        <v>4859</v>
      </c>
      <c r="AY55" s="1">
        <v>4</v>
      </c>
      <c r="AZ55" s="1">
        <v>0</v>
      </c>
      <c r="BA55" s="1" t="s">
        <v>4744</v>
      </c>
      <c r="BB55" s="1" t="s">
        <v>475</v>
      </c>
      <c r="BC55" s="1" t="s">
        <v>4861</v>
      </c>
      <c r="BD55" s="1">
        <v>10601</v>
      </c>
      <c r="BE55" s="1"/>
      <c r="BH55">
        <f>COUNTIF(Dropdowns!$I:$AF,C55)</f>
        <v>1</v>
      </c>
    </row>
    <row r="56" spans="1:60" x14ac:dyDescent="0.25">
      <c r="A56" s="1">
        <v>57</v>
      </c>
      <c r="B56" s="1" t="s">
        <v>2874</v>
      </c>
      <c r="C56" s="241" t="s">
        <v>1616</v>
      </c>
      <c r="D56" s="1" t="s">
        <v>2875</v>
      </c>
      <c r="E56" s="1"/>
      <c r="F56" s="1"/>
      <c r="G56" s="1" t="s">
        <v>2876</v>
      </c>
      <c r="H56" s="1" t="s">
        <v>2877</v>
      </c>
      <c r="I56" s="1" t="s">
        <v>2878</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1158</v>
      </c>
      <c r="AK56" s="1" t="s">
        <v>329</v>
      </c>
      <c r="AL56" s="1">
        <v>13</v>
      </c>
      <c r="AM56" s="1" t="s">
        <v>4720</v>
      </c>
      <c r="AN56" s="1" t="s">
        <v>4865</v>
      </c>
      <c r="AO56" s="1" t="s">
        <v>4868</v>
      </c>
      <c r="AP56" s="1">
        <v>0</v>
      </c>
      <c r="AQ56" s="1" t="s">
        <v>4867</v>
      </c>
      <c r="AR56" s="1" t="s">
        <v>4867</v>
      </c>
      <c r="AS56" s="1" t="s">
        <v>4869</v>
      </c>
      <c r="AT56" s="1" t="s">
        <v>329</v>
      </c>
      <c r="AU56" s="1">
        <v>57</v>
      </c>
      <c r="AV56" s="1">
        <v>0</v>
      </c>
      <c r="AW56" s="1" t="s">
        <v>4493</v>
      </c>
      <c r="AX56" s="1" t="s">
        <v>4859</v>
      </c>
      <c r="AY56" s="1">
        <v>4</v>
      </c>
      <c r="AZ56" s="1">
        <v>0</v>
      </c>
      <c r="BA56" s="1" t="s">
        <v>4744</v>
      </c>
      <c r="BB56" s="1" t="s">
        <v>4870</v>
      </c>
      <c r="BC56" s="1" t="s">
        <v>4861</v>
      </c>
      <c r="BD56" s="1">
        <v>10601</v>
      </c>
      <c r="BE56" s="1"/>
      <c r="BH56">
        <f>COUNTIF(Dropdowns!$I:$AF,C56)</f>
        <v>1</v>
      </c>
    </row>
    <row r="57" spans="1:60" x14ac:dyDescent="0.25">
      <c r="A57" s="1">
        <v>58</v>
      </c>
      <c r="B57" s="1" t="s">
        <v>2879</v>
      </c>
      <c r="C57" s="241" t="s">
        <v>1617</v>
      </c>
      <c r="D57" s="1" t="s">
        <v>1617</v>
      </c>
      <c r="E57" s="1"/>
      <c r="F57" s="1"/>
      <c r="G57" s="1" t="s">
        <v>2880</v>
      </c>
      <c r="H57" s="1" t="s">
        <v>2881</v>
      </c>
      <c r="I57" s="1" t="s">
        <v>2882</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4871</v>
      </c>
      <c r="AK57" s="1" t="s">
        <v>329</v>
      </c>
      <c r="AL57" s="1">
        <v>13</v>
      </c>
      <c r="AM57" s="1" t="s">
        <v>4720</v>
      </c>
      <c r="AN57" s="1" t="s">
        <v>4811</v>
      </c>
      <c r="AO57" s="1" t="s">
        <v>4872</v>
      </c>
      <c r="AP57" s="1">
        <v>0</v>
      </c>
      <c r="AQ57" s="1" t="s">
        <v>1746</v>
      </c>
      <c r="AR57" s="1" t="s">
        <v>1155</v>
      </c>
      <c r="AS57" s="1" t="s">
        <v>1130</v>
      </c>
      <c r="AT57" s="1" t="s">
        <v>329</v>
      </c>
      <c r="AU57" s="1">
        <v>58</v>
      </c>
      <c r="AV57" s="1">
        <v>0</v>
      </c>
      <c r="AW57" s="1" t="s">
        <v>4493</v>
      </c>
      <c r="AX57" s="1" t="s">
        <v>4798</v>
      </c>
      <c r="AY57" s="1">
        <v>3</v>
      </c>
      <c r="AZ57" s="1">
        <v>0</v>
      </c>
      <c r="BA57" s="1" t="s">
        <v>329</v>
      </c>
      <c r="BB57" s="1" t="s">
        <v>4873</v>
      </c>
      <c r="BC57" s="1" t="s">
        <v>4758</v>
      </c>
      <c r="BD57" s="1">
        <v>10302</v>
      </c>
      <c r="BE57" s="1"/>
      <c r="BH57">
        <f>COUNTIF(Dropdowns!$I:$AF,C57)</f>
        <v>1</v>
      </c>
    </row>
    <row r="58" spans="1:60" x14ac:dyDescent="0.25">
      <c r="A58" s="1">
        <v>59</v>
      </c>
      <c r="B58" s="1" t="s">
        <v>2883</v>
      </c>
      <c r="C58" s="241" t="s">
        <v>1618</v>
      </c>
      <c r="D58" s="1" t="s">
        <v>2884</v>
      </c>
      <c r="E58" s="1"/>
      <c r="F58" s="1"/>
      <c r="G58" s="1" t="s">
        <v>2885</v>
      </c>
      <c r="H58" s="1" t="s">
        <v>2886</v>
      </c>
      <c r="I58" s="1" t="s">
        <v>2887</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4874</v>
      </c>
      <c r="AK58" s="1" t="s">
        <v>4875</v>
      </c>
      <c r="AL58" s="1">
        <v>13</v>
      </c>
      <c r="AM58" s="1" t="s">
        <v>4791</v>
      </c>
      <c r="AN58" s="1" t="s">
        <v>4796</v>
      </c>
      <c r="AO58" s="1" t="s">
        <v>4876</v>
      </c>
      <c r="AP58" s="1">
        <v>0</v>
      </c>
      <c r="AQ58" s="1" t="s">
        <v>1130</v>
      </c>
      <c r="AR58" s="1" t="s">
        <v>1120</v>
      </c>
      <c r="AS58" s="1" t="s">
        <v>1131</v>
      </c>
      <c r="AT58" s="1" t="s">
        <v>329</v>
      </c>
      <c r="AU58" s="1">
        <v>59</v>
      </c>
      <c r="AV58" s="1">
        <v>0</v>
      </c>
      <c r="AW58" s="1" t="s">
        <v>4819</v>
      </c>
      <c r="AX58" s="1" t="s">
        <v>4877</v>
      </c>
      <c r="AY58" s="1">
        <v>5</v>
      </c>
      <c r="AZ58" s="1">
        <v>0</v>
      </c>
      <c r="BA58" s="1" t="s">
        <v>329</v>
      </c>
      <c r="BB58" s="1" t="s">
        <v>329</v>
      </c>
      <c r="BC58" s="1" t="s">
        <v>4758</v>
      </c>
      <c r="BD58" s="1">
        <v>10203</v>
      </c>
      <c r="BE58" s="1"/>
      <c r="BH58">
        <f>COUNTIF(Dropdowns!$I:$AF,C58)</f>
        <v>1</v>
      </c>
    </row>
    <row r="59" spans="1:60" x14ac:dyDescent="0.25">
      <c r="A59" s="1">
        <v>60</v>
      </c>
      <c r="B59" s="1" t="s">
        <v>2888</v>
      </c>
      <c r="C59" s="241" t="s">
        <v>101</v>
      </c>
      <c r="D59" s="1" t="s">
        <v>2889</v>
      </c>
      <c r="E59" s="1"/>
      <c r="F59" s="1"/>
      <c r="G59" s="1" t="s">
        <v>2890</v>
      </c>
      <c r="H59" s="1" t="s">
        <v>2891</v>
      </c>
      <c r="I59" s="1" t="s">
        <v>2892</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1159</v>
      </c>
      <c r="AK59" s="1" t="s">
        <v>329</v>
      </c>
      <c r="AL59" s="1">
        <v>13</v>
      </c>
      <c r="AM59" s="1" t="s">
        <v>4720</v>
      </c>
      <c r="AN59" s="1" t="s">
        <v>507</v>
      </c>
      <c r="AO59" s="1" t="s">
        <v>4878</v>
      </c>
      <c r="AP59" s="1">
        <v>0</v>
      </c>
      <c r="AQ59" s="1" t="s">
        <v>1131</v>
      </c>
      <c r="AR59" s="1" t="s">
        <v>4869</v>
      </c>
      <c r="AS59" s="1" t="s">
        <v>1130</v>
      </c>
      <c r="AT59" s="1" t="s">
        <v>329</v>
      </c>
      <c r="AU59" s="1">
        <v>60</v>
      </c>
      <c r="AV59" s="1">
        <v>0</v>
      </c>
      <c r="AW59" s="1" t="s">
        <v>4493</v>
      </c>
      <c r="AX59" s="1" t="s">
        <v>4798</v>
      </c>
      <c r="AY59" s="1">
        <v>4</v>
      </c>
      <c r="AZ59" s="1">
        <v>0</v>
      </c>
      <c r="BA59" s="1" t="s">
        <v>4744</v>
      </c>
      <c r="BB59" s="1" t="s">
        <v>4879</v>
      </c>
      <c r="BC59" s="1" t="s">
        <v>4758</v>
      </c>
      <c r="BD59" s="1">
        <v>10303</v>
      </c>
      <c r="BE59" s="1"/>
      <c r="BH59">
        <f>COUNTIF(Dropdowns!$I:$AF,C59)</f>
        <v>1</v>
      </c>
    </row>
    <row r="60" spans="1:60" x14ac:dyDescent="0.25">
      <c r="A60" s="1">
        <v>61</v>
      </c>
      <c r="B60" s="1" t="s">
        <v>2893</v>
      </c>
      <c r="C60" s="241" t="s">
        <v>102</v>
      </c>
      <c r="D60" s="1" t="s">
        <v>2894</v>
      </c>
      <c r="E60" s="1"/>
      <c r="F60" s="1"/>
      <c r="G60" s="1" t="s">
        <v>2895</v>
      </c>
      <c r="H60" s="1" t="s">
        <v>2896</v>
      </c>
      <c r="I60" s="1" t="s">
        <v>2897</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1122</v>
      </c>
      <c r="AK60" s="1" t="s">
        <v>1160</v>
      </c>
      <c r="AL60" s="1">
        <v>13</v>
      </c>
      <c r="AM60" s="1" t="s">
        <v>4720</v>
      </c>
      <c r="AN60" s="1" t="s">
        <v>476</v>
      </c>
      <c r="AO60" s="1" t="s">
        <v>4880</v>
      </c>
      <c r="AP60" s="1">
        <v>0</v>
      </c>
      <c r="AQ60" s="1" t="s">
        <v>1131</v>
      </c>
      <c r="AR60" s="1" t="s">
        <v>4869</v>
      </c>
      <c r="AS60" s="1" t="s">
        <v>1130</v>
      </c>
      <c r="AT60" s="1" t="s">
        <v>329</v>
      </c>
      <c r="AU60" s="1">
        <v>61</v>
      </c>
      <c r="AV60" s="1">
        <v>0</v>
      </c>
      <c r="AW60" s="1" t="s">
        <v>4493</v>
      </c>
      <c r="AX60" s="1" t="s">
        <v>4798</v>
      </c>
      <c r="AY60" s="1">
        <v>3</v>
      </c>
      <c r="AZ60" s="1">
        <v>0</v>
      </c>
      <c r="BA60" s="1" t="s">
        <v>4766</v>
      </c>
      <c r="BB60" s="1" t="s">
        <v>4776</v>
      </c>
      <c r="BC60" s="1" t="s">
        <v>4770</v>
      </c>
      <c r="BD60" s="1">
        <v>10303</v>
      </c>
      <c r="BE60" s="1"/>
      <c r="BH60">
        <f>COUNTIF(Dropdowns!$I:$AF,C60)</f>
        <v>1</v>
      </c>
    </row>
    <row r="61" spans="1:60" x14ac:dyDescent="0.25">
      <c r="A61" s="1">
        <v>62</v>
      </c>
      <c r="B61" s="1" t="s">
        <v>2898</v>
      </c>
      <c r="C61" s="241" t="s">
        <v>735</v>
      </c>
      <c r="D61" s="1" t="s">
        <v>735</v>
      </c>
      <c r="E61" s="1"/>
      <c r="F61" s="1"/>
      <c r="G61" s="1" t="s">
        <v>2899</v>
      </c>
      <c r="H61" s="1" t="s">
        <v>2900</v>
      </c>
      <c r="I61" s="1" t="s">
        <v>2901</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1161</v>
      </c>
      <c r="AK61" s="1" t="s">
        <v>329</v>
      </c>
      <c r="AL61" s="1">
        <v>13</v>
      </c>
      <c r="AM61" s="1" t="s">
        <v>4720</v>
      </c>
      <c r="AN61" s="1" t="s">
        <v>4835</v>
      </c>
      <c r="AO61" s="1" t="s">
        <v>4881</v>
      </c>
      <c r="AP61" s="1">
        <v>0</v>
      </c>
      <c r="AQ61" s="1" t="s">
        <v>1131</v>
      </c>
      <c r="AR61" s="1" t="s">
        <v>1155</v>
      </c>
      <c r="AS61" s="1" t="s">
        <v>1745</v>
      </c>
      <c r="AT61" s="1" t="s">
        <v>329</v>
      </c>
      <c r="AU61" s="1">
        <v>62</v>
      </c>
      <c r="AV61" s="1">
        <v>0</v>
      </c>
      <c r="AW61" s="1" t="s">
        <v>4493</v>
      </c>
      <c r="AX61" s="1" t="s">
        <v>4492</v>
      </c>
      <c r="AY61" s="1">
        <v>5</v>
      </c>
      <c r="AZ61" s="1">
        <v>0</v>
      </c>
      <c r="BA61" s="1" t="s">
        <v>329</v>
      </c>
      <c r="BB61" s="1" t="s">
        <v>4882</v>
      </c>
      <c r="BC61" s="1" t="s">
        <v>4770</v>
      </c>
      <c r="BD61" s="1">
        <v>10202</v>
      </c>
      <c r="BE61" s="1"/>
      <c r="BH61">
        <f>COUNTIF(Dropdowns!$I:$AF,C61)</f>
        <v>1</v>
      </c>
    </row>
    <row r="62" spans="1:60" x14ac:dyDescent="0.25">
      <c r="A62" s="1">
        <v>63</v>
      </c>
      <c r="B62" s="1" t="s">
        <v>2902</v>
      </c>
      <c r="C62" s="241" t="s">
        <v>1162</v>
      </c>
      <c r="D62" s="1" t="s">
        <v>1162</v>
      </c>
      <c r="E62" s="1"/>
      <c r="F62" s="1"/>
      <c r="G62" s="1" t="s">
        <v>2903</v>
      </c>
      <c r="H62" s="1" t="s">
        <v>2904</v>
      </c>
      <c r="I62" s="1" t="s">
        <v>2905</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1122</v>
      </c>
      <c r="AK62" s="1" t="s">
        <v>329</v>
      </c>
      <c r="AL62" s="1">
        <v>13</v>
      </c>
      <c r="AM62" s="1" t="s">
        <v>4720</v>
      </c>
      <c r="AN62" s="1" t="s">
        <v>507</v>
      </c>
      <c r="AO62" s="1" t="s">
        <v>4883</v>
      </c>
      <c r="AP62" s="1">
        <v>0</v>
      </c>
      <c r="AQ62" s="1" t="s">
        <v>1746</v>
      </c>
      <c r="AR62" s="1" t="s">
        <v>1155</v>
      </c>
      <c r="AS62" s="1" t="s">
        <v>1130</v>
      </c>
      <c r="AT62" s="1" t="s">
        <v>329</v>
      </c>
      <c r="AU62" s="1">
        <v>63</v>
      </c>
      <c r="AV62" s="1">
        <v>0</v>
      </c>
      <c r="AW62" s="1" t="s">
        <v>4493</v>
      </c>
      <c r="AX62" s="1" t="s">
        <v>471</v>
      </c>
      <c r="AY62" s="1">
        <v>2</v>
      </c>
      <c r="AZ62" s="1">
        <v>0</v>
      </c>
      <c r="BA62" s="1" t="s">
        <v>4746</v>
      </c>
      <c r="BB62" s="1" t="s">
        <v>4884</v>
      </c>
      <c r="BC62" s="1" t="s">
        <v>4770</v>
      </c>
      <c r="BD62" s="1">
        <v>105</v>
      </c>
      <c r="BE62" s="1"/>
      <c r="BH62">
        <f>COUNTIF(Dropdowns!$I:$AF,C62)</f>
        <v>1</v>
      </c>
    </row>
    <row r="63" spans="1:60" x14ac:dyDescent="0.25">
      <c r="A63" s="1">
        <v>64</v>
      </c>
      <c r="B63" s="1" t="s">
        <v>2906</v>
      </c>
      <c r="C63" s="241" t="s">
        <v>1163</v>
      </c>
      <c r="D63" s="1" t="s">
        <v>1163</v>
      </c>
      <c r="E63" s="1"/>
      <c r="F63" s="1"/>
      <c r="G63" s="1" t="s">
        <v>2907</v>
      </c>
      <c r="H63" s="1" t="s">
        <v>2908</v>
      </c>
      <c r="I63" s="1" t="s">
        <v>2909</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4720</v>
      </c>
      <c r="AN63" s="1" t="s">
        <v>4885</v>
      </c>
      <c r="AO63" s="1" t="s">
        <v>4886</v>
      </c>
      <c r="AP63" s="1">
        <v>0</v>
      </c>
      <c r="AQ63" s="1" t="s">
        <v>1746</v>
      </c>
      <c r="AR63" s="1" t="s">
        <v>1155</v>
      </c>
      <c r="AS63" s="1" t="s">
        <v>1130</v>
      </c>
      <c r="AT63" s="1" t="s">
        <v>329</v>
      </c>
      <c r="AU63" s="1">
        <v>64</v>
      </c>
      <c r="AV63" s="1">
        <v>0</v>
      </c>
      <c r="AW63" s="1" t="s">
        <v>4493</v>
      </c>
      <c r="AX63" s="1" t="s">
        <v>332</v>
      </c>
      <c r="AY63" s="1">
        <v>4</v>
      </c>
      <c r="AZ63" s="1">
        <v>0</v>
      </c>
      <c r="BA63" s="1" t="s">
        <v>4744</v>
      </c>
      <c r="BB63" s="1" t="s">
        <v>4887</v>
      </c>
      <c r="BC63" s="1" t="s">
        <v>4770</v>
      </c>
      <c r="BD63" s="1">
        <v>10705</v>
      </c>
      <c r="BE63" s="1"/>
      <c r="BH63">
        <f>COUNTIF(Dropdowns!$I:$AF,C63)</f>
        <v>1</v>
      </c>
    </row>
    <row r="64" spans="1:60" x14ac:dyDescent="0.25">
      <c r="A64" s="1">
        <v>65</v>
      </c>
      <c r="B64" s="1" t="s">
        <v>2910</v>
      </c>
      <c r="C64" s="241" t="s">
        <v>223</v>
      </c>
      <c r="D64" s="1" t="s">
        <v>223</v>
      </c>
      <c r="E64" s="1"/>
      <c r="F64" s="1"/>
      <c r="G64" s="1" t="s">
        <v>2911</v>
      </c>
      <c r="H64" s="1" t="s">
        <v>2912</v>
      </c>
      <c r="I64" s="1" t="s">
        <v>2913</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1164</v>
      </c>
      <c r="AK64" s="1" t="s">
        <v>329</v>
      </c>
      <c r="AL64" s="1">
        <v>13</v>
      </c>
      <c r="AM64" s="1" t="s">
        <v>4720</v>
      </c>
      <c r="AN64" s="1" t="s">
        <v>476</v>
      </c>
      <c r="AO64" s="1" t="s">
        <v>4888</v>
      </c>
      <c r="AP64" s="1">
        <v>0</v>
      </c>
      <c r="AQ64" s="1" t="s">
        <v>1746</v>
      </c>
      <c r="AR64" s="1" t="s">
        <v>1155</v>
      </c>
      <c r="AS64" s="1" t="s">
        <v>1745</v>
      </c>
      <c r="AT64" s="1" t="s">
        <v>329</v>
      </c>
      <c r="AU64" s="1">
        <v>65</v>
      </c>
      <c r="AV64" s="1">
        <v>0</v>
      </c>
      <c r="AW64" s="1" t="s">
        <v>4493</v>
      </c>
      <c r="AX64" s="1" t="s">
        <v>4798</v>
      </c>
      <c r="AY64" s="1">
        <v>5</v>
      </c>
      <c r="AZ64" s="1">
        <v>0</v>
      </c>
      <c r="BA64" s="1" t="s">
        <v>4856</v>
      </c>
      <c r="BB64" s="1" t="s">
        <v>4889</v>
      </c>
      <c r="BC64" s="1" t="s">
        <v>4890</v>
      </c>
      <c r="BD64" s="1">
        <v>10104</v>
      </c>
      <c r="BE64" s="1"/>
      <c r="BH64">
        <f>COUNTIF(Dropdowns!$I:$AF,C64)</f>
        <v>1</v>
      </c>
    </row>
    <row r="65" spans="1:60" x14ac:dyDescent="0.25">
      <c r="A65" s="1">
        <v>66</v>
      </c>
      <c r="B65" s="1" t="s">
        <v>2914</v>
      </c>
      <c r="C65" s="241" t="s">
        <v>6762</v>
      </c>
      <c r="D65" s="1" t="s">
        <v>2915</v>
      </c>
      <c r="E65" s="1"/>
      <c r="F65" s="1"/>
      <c r="G65" s="1" t="s">
        <v>2916</v>
      </c>
      <c r="H65" s="1" t="s">
        <v>2917</v>
      </c>
      <c r="I65" s="1" t="s">
        <v>2918</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1165</v>
      </c>
      <c r="AK65" s="1" t="s">
        <v>329</v>
      </c>
      <c r="AL65" s="1">
        <v>13</v>
      </c>
      <c r="AM65" s="1" t="s">
        <v>4720</v>
      </c>
      <c r="AN65" s="1" t="s">
        <v>476</v>
      </c>
      <c r="AO65" s="1" t="s">
        <v>4891</v>
      </c>
      <c r="AP65" s="1">
        <v>0</v>
      </c>
      <c r="AQ65" s="1" t="s">
        <v>1746</v>
      </c>
      <c r="AR65" s="1" t="s">
        <v>1155</v>
      </c>
      <c r="AS65" s="1" t="s">
        <v>1130</v>
      </c>
      <c r="AT65" s="1" t="s">
        <v>329</v>
      </c>
      <c r="AU65" s="1">
        <v>66</v>
      </c>
      <c r="AV65" s="1">
        <v>0</v>
      </c>
      <c r="AW65" s="1" t="s">
        <v>4493</v>
      </c>
      <c r="AX65" s="1" t="s">
        <v>4798</v>
      </c>
      <c r="AY65" s="1">
        <v>4</v>
      </c>
      <c r="AZ65" s="1">
        <v>0</v>
      </c>
      <c r="BA65" s="1" t="s">
        <v>329</v>
      </c>
      <c r="BB65" s="1" t="s">
        <v>4892</v>
      </c>
      <c r="BC65" s="1" t="s">
        <v>4784</v>
      </c>
      <c r="BD65" s="1">
        <v>10705</v>
      </c>
      <c r="BE65" s="1"/>
      <c r="BH65">
        <f>COUNTIF(Dropdowns!$I:$AF,C65)</f>
        <v>1</v>
      </c>
    </row>
    <row r="66" spans="1:60" x14ac:dyDescent="0.25">
      <c r="A66" s="1">
        <v>68</v>
      </c>
      <c r="B66" s="1" t="s">
        <v>2919</v>
      </c>
      <c r="C66" s="241" t="s">
        <v>103</v>
      </c>
      <c r="D66" s="1" t="s">
        <v>103</v>
      </c>
      <c r="E66" s="1"/>
      <c r="F66" s="1"/>
      <c r="G66" s="1" t="s">
        <v>2920</v>
      </c>
      <c r="H66" s="1" t="s">
        <v>2921</v>
      </c>
      <c r="I66" s="1" t="s">
        <v>2922</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1122</v>
      </c>
      <c r="AK66" s="1" t="s">
        <v>329</v>
      </c>
      <c r="AL66" s="1">
        <v>13</v>
      </c>
      <c r="AM66" s="1" t="s">
        <v>4720</v>
      </c>
      <c r="AN66" s="1" t="s">
        <v>507</v>
      </c>
      <c r="AO66" s="1" t="s">
        <v>4893</v>
      </c>
      <c r="AP66" s="1">
        <v>0</v>
      </c>
      <c r="AQ66" s="1" t="s">
        <v>1131</v>
      </c>
      <c r="AR66" s="1" t="s">
        <v>1155</v>
      </c>
      <c r="AS66" s="1" t="s">
        <v>1130</v>
      </c>
      <c r="AT66" s="1" t="s">
        <v>329</v>
      </c>
      <c r="AU66" s="1">
        <v>68</v>
      </c>
      <c r="AV66" s="1">
        <v>0</v>
      </c>
      <c r="AW66" s="1" t="s">
        <v>4493</v>
      </c>
      <c r="AX66" s="1" t="s">
        <v>471</v>
      </c>
      <c r="AY66" s="1">
        <v>2</v>
      </c>
      <c r="AZ66" s="1">
        <v>0</v>
      </c>
      <c r="BA66" s="1" t="s">
        <v>329</v>
      </c>
      <c r="BB66" s="1" t="s">
        <v>4894</v>
      </c>
      <c r="BC66" s="1" t="s">
        <v>329</v>
      </c>
      <c r="BD66" s="1">
        <v>10302</v>
      </c>
      <c r="BE66" s="1"/>
      <c r="BH66">
        <f>COUNTIF(Dropdowns!$I:$AF,C66)</f>
        <v>1</v>
      </c>
    </row>
    <row r="67" spans="1:60" x14ac:dyDescent="0.25">
      <c r="A67" s="1">
        <v>69</v>
      </c>
      <c r="B67" s="1" t="s">
        <v>2923</v>
      </c>
      <c r="C67" s="241" t="s">
        <v>711</v>
      </c>
      <c r="D67" s="1" t="s">
        <v>711</v>
      </c>
      <c r="E67" s="1"/>
      <c r="F67" s="1"/>
      <c r="G67" s="1" t="s">
        <v>2924</v>
      </c>
      <c r="H67" s="1" t="s">
        <v>2925</v>
      </c>
      <c r="I67" s="1" t="s">
        <v>2926</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1165</v>
      </c>
      <c r="AK67" s="1" t="s">
        <v>329</v>
      </c>
      <c r="AL67" s="1">
        <v>13</v>
      </c>
      <c r="AM67" s="1" t="s">
        <v>4720</v>
      </c>
      <c r="AN67" s="1" t="s">
        <v>466</v>
      </c>
      <c r="AO67" s="1" t="s">
        <v>4895</v>
      </c>
      <c r="AP67" s="1">
        <v>0</v>
      </c>
      <c r="AQ67" s="1" t="s">
        <v>1746</v>
      </c>
      <c r="AR67" s="1" t="s">
        <v>1155</v>
      </c>
      <c r="AS67" s="1" t="s">
        <v>1130</v>
      </c>
      <c r="AT67" s="1" t="s">
        <v>329</v>
      </c>
      <c r="AU67" s="1">
        <v>69</v>
      </c>
      <c r="AV67" s="1">
        <v>0</v>
      </c>
      <c r="AW67" s="1" t="s">
        <v>4493</v>
      </c>
      <c r="AX67" s="1" t="s">
        <v>4798</v>
      </c>
      <c r="AY67" s="1">
        <v>4</v>
      </c>
      <c r="AZ67" s="1">
        <v>0</v>
      </c>
      <c r="BA67" s="1" t="s">
        <v>329</v>
      </c>
      <c r="BB67" s="1" t="s">
        <v>4896</v>
      </c>
      <c r="BC67" s="1" t="s">
        <v>329</v>
      </c>
      <c r="BD67" s="1">
        <v>10403</v>
      </c>
      <c r="BE67" s="1"/>
      <c r="BH67">
        <f>COUNTIF(Dropdowns!$I:$AF,C67)</f>
        <v>1</v>
      </c>
    </row>
    <row r="68" spans="1:60" x14ac:dyDescent="0.25">
      <c r="A68" s="1">
        <v>70</v>
      </c>
      <c r="B68" s="1" t="s">
        <v>2927</v>
      </c>
      <c r="C68" s="241" t="s">
        <v>1166</v>
      </c>
      <c r="D68" s="1" t="s">
        <v>2928</v>
      </c>
      <c r="E68" s="1"/>
      <c r="F68" s="1"/>
      <c r="G68" s="1" t="s">
        <v>2929</v>
      </c>
      <c r="H68" s="1" t="s">
        <v>2930</v>
      </c>
      <c r="I68" s="1" t="s">
        <v>2931</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4897</v>
      </c>
      <c r="AK68" s="1" t="s">
        <v>329</v>
      </c>
      <c r="AL68" s="1">
        <v>13</v>
      </c>
      <c r="AM68" s="1" t="s">
        <v>4720</v>
      </c>
      <c r="AN68" s="1" t="s">
        <v>4832</v>
      </c>
      <c r="AO68" s="1" t="s">
        <v>4866</v>
      </c>
      <c r="AP68" s="1">
        <v>0</v>
      </c>
      <c r="AQ68" s="1" t="s">
        <v>1131</v>
      </c>
      <c r="AR68" s="1" t="s">
        <v>1155</v>
      </c>
      <c r="AS68" s="1" t="s">
        <v>1130</v>
      </c>
      <c r="AT68" s="1" t="s">
        <v>329</v>
      </c>
      <c r="AU68" s="1">
        <v>70</v>
      </c>
      <c r="AV68" s="1">
        <v>0</v>
      </c>
      <c r="AW68" s="1" t="s">
        <v>4493</v>
      </c>
      <c r="AX68" s="1" t="s">
        <v>4798</v>
      </c>
      <c r="AY68" s="1">
        <v>3</v>
      </c>
      <c r="AZ68" s="1">
        <v>0</v>
      </c>
      <c r="BA68" s="1" t="s">
        <v>329</v>
      </c>
      <c r="BB68" s="1" t="s">
        <v>4898</v>
      </c>
      <c r="BC68" s="1" t="s">
        <v>4854</v>
      </c>
      <c r="BD68" s="1">
        <v>10202</v>
      </c>
      <c r="BE68" s="1"/>
      <c r="BH68">
        <f>COUNTIF(Dropdowns!$I:$AF,C68)</f>
        <v>1</v>
      </c>
    </row>
    <row r="69" spans="1:60" x14ac:dyDescent="0.25">
      <c r="A69" s="1">
        <v>71</v>
      </c>
      <c r="B69" s="1" t="s">
        <v>2932</v>
      </c>
      <c r="C69" s="241" t="s">
        <v>840</v>
      </c>
      <c r="D69" s="1" t="s">
        <v>2</v>
      </c>
      <c r="E69" s="1"/>
      <c r="F69" s="1"/>
      <c r="G69" s="1" t="s">
        <v>2933</v>
      </c>
      <c r="H69" s="1" t="s">
        <v>2934</v>
      </c>
      <c r="I69" s="1" t="s">
        <v>2935</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1126</v>
      </c>
      <c r="AK69" s="1" t="s">
        <v>329</v>
      </c>
      <c r="AL69" s="1">
        <v>13</v>
      </c>
      <c r="AM69" s="1" t="s">
        <v>4720</v>
      </c>
      <c r="AN69" s="1" t="s">
        <v>476</v>
      </c>
      <c r="AO69" s="1" t="s">
        <v>4899</v>
      </c>
      <c r="AP69" s="1">
        <v>0</v>
      </c>
      <c r="AQ69" s="1" t="s">
        <v>1131</v>
      </c>
      <c r="AR69" s="1" t="s">
        <v>1155</v>
      </c>
      <c r="AS69" s="1" t="s">
        <v>1745</v>
      </c>
      <c r="AT69" s="1" t="s">
        <v>329</v>
      </c>
      <c r="AU69" s="1">
        <v>71</v>
      </c>
      <c r="AV69" s="1">
        <v>0</v>
      </c>
      <c r="AW69" s="1" t="s">
        <v>4493</v>
      </c>
      <c r="AX69" s="1" t="s">
        <v>471</v>
      </c>
      <c r="AY69" s="1">
        <v>2</v>
      </c>
      <c r="AZ69" s="1">
        <v>0</v>
      </c>
      <c r="BA69" s="1" t="s">
        <v>4746</v>
      </c>
      <c r="BB69" s="1" t="s">
        <v>4900</v>
      </c>
      <c r="BC69" s="1" t="s">
        <v>329</v>
      </c>
      <c r="BD69" s="1">
        <v>10202</v>
      </c>
      <c r="BE69" s="1"/>
      <c r="BH69">
        <f>COUNTIF(Dropdowns!$I:$AF,C69)</f>
        <v>1</v>
      </c>
    </row>
    <row r="70" spans="1:60" x14ac:dyDescent="0.25">
      <c r="A70" s="1">
        <v>72</v>
      </c>
      <c r="B70" s="1" t="s">
        <v>2936</v>
      </c>
      <c r="C70" s="241" t="s">
        <v>739</v>
      </c>
      <c r="D70" s="1" t="s">
        <v>739</v>
      </c>
      <c r="E70" s="1"/>
      <c r="F70" s="1"/>
      <c r="G70" s="1" t="s">
        <v>2937</v>
      </c>
      <c r="H70" s="1" t="s">
        <v>2938</v>
      </c>
      <c r="I70" s="1" t="s">
        <v>2939</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4720</v>
      </c>
      <c r="AN70" s="1" t="s">
        <v>4835</v>
      </c>
      <c r="AO70" s="1" t="s">
        <v>4872</v>
      </c>
      <c r="AP70" s="1">
        <v>0</v>
      </c>
      <c r="AQ70" s="1" t="s">
        <v>1131</v>
      </c>
      <c r="AR70" s="1" t="s">
        <v>1155</v>
      </c>
      <c r="AS70" s="1" t="s">
        <v>1745</v>
      </c>
      <c r="AT70" s="1" t="s">
        <v>329</v>
      </c>
      <c r="AU70" s="1">
        <v>72</v>
      </c>
      <c r="AV70" s="1">
        <v>0</v>
      </c>
      <c r="AW70" s="1" t="s">
        <v>4493</v>
      </c>
      <c r="AX70" s="1" t="s">
        <v>4798</v>
      </c>
      <c r="AY70" s="1">
        <v>4</v>
      </c>
      <c r="AZ70" s="1">
        <v>0</v>
      </c>
      <c r="BA70" s="1" t="s">
        <v>329</v>
      </c>
      <c r="BB70" s="1" t="s">
        <v>4901</v>
      </c>
      <c r="BC70" s="1" t="s">
        <v>329</v>
      </c>
      <c r="BD70" s="1">
        <v>10202</v>
      </c>
      <c r="BE70" s="1"/>
      <c r="BH70">
        <f>COUNTIF(Dropdowns!$I:$AF,C70)</f>
        <v>1</v>
      </c>
    </row>
    <row r="71" spans="1:60" x14ac:dyDescent="0.25">
      <c r="A71" s="1">
        <v>73</v>
      </c>
      <c r="B71" s="1" t="s">
        <v>2940</v>
      </c>
      <c r="C71" s="241" t="s">
        <v>104</v>
      </c>
      <c r="D71" s="1" t="s">
        <v>104</v>
      </c>
      <c r="E71" s="1"/>
      <c r="F71" s="1"/>
      <c r="G71" s="1" t="s">
        <v>2941</v>
      </c>
      <c r="H71" s="1" t="s">
        <v>2942</v>
      </c>
      <c r="I71" s="1" t="s">
        <v>2943</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4902</v>
      </c>
      <c r="AK71" s="1" t="s">
        <v>329</v>
      </c>
      <c r="AL71" s="1">
        <v>13</v>
      </c>
      <c r="AM71" s="1" t="s">
        <v>1807</v>
      </c>
      <c r="AN71" s="1" t="s">
        <v>4903</v>
      </c>
      <c r="AO71" s="1" t="s">
        <v>4904</v>
      </c>
      <c r="AP71" s="1">
        <v>0</v>
      </c>
      <c r="AQ71" s="1" t="s">
        <v>1131</v>
      </c>
      <c r="AR71" s="1" t="s">
        <v>1155</v>
      </c>
      <c r="AS71" s="1" t="s">
        <v>1130</v>
      </c>
      <c r="AT71" s="1" t="s">
        <v>329</v>
      </c>
      <c r="AU71" s="1">
        <v>73</v>
      </c>
      <c r="AV71" s="1">
        <v>0</v>
      </c>
      <c r="AW71" s="1" t="s">
        <v>4905</v>
      </c>
      <c r="AX71" s="1" t="s">
        <v>4906</v>
      </c>
      <c r="AY71" s="1">
        <v>5</v>
      </c>
      <c r="AZ71" s="1">
        <v>0</v>
      </c>
      <c r="BA71" s="1" t="s">
        <v>329</v>
      </c>
      <c r="BB71" s="1" t="s">
        <v>4907</v>
      </c>
      <c r="BC71" s="1" t="s">
        <v>329</v>
      </c>
      <c r="BD71" s="1">
        <v>10402</v>
      </c>
      <c r="BE71" s="1"/>
      <c r="BH71">
        <f>COUNTIF(Dropdowns!$I:$AF,C71)</f>
        <v>1</v>
      </c>
    </row>
    <row r="72" spans="1:60" x14ac:dyDescent="0.25">
      <c r="A72" s="1">
        <v>74</v>
      </c>
      <c r="B72" s="1" t="s">
        <v>2944</v>
      </c>
      <c r="C72" s="241" t="s">
        <v>745</v>
      </c>
      <c r="D72" s="1" t="s">
        <v>745</v>
      </c>
      <c r="E72" s="1"/>
      <c r="F72" s="1"/>
      <c r="G72" s="1" t="s">
        <v>2945</v>
      </c>
      <c r="H72" s="1" t="s">
        <v>2946</v>
      </c>
      <c r="I72" s="1" t="s">
        <v>2947</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1126</v>
      </c>
      <c r="AK72" s="1" t="s">
        <v>329</v>
      </c>
      <c r="AL72" s="1">
        <v>13</v>
      </c>
      <c r="AM72" s="1" t="s">
        <v>4720</v>
      </c>
      <c r="AN72" s="1" t="s">
        <v>4835</v>
      </c>
      <c r="AO72" s="1" t="s">
        <v>4908</v>
      </c>
      <c r="AP72" s="1">
        <v>0</v>
      </c>
      <c r="AQ72" s="1" t="s">
        <v>1746</v>
      </c>
      <c r="AR72" s="1" t="s">
        <v>1155</v>
      </c>
      <c r="AS72" s="1" t="s">
        <v>1130</v>
      </c>
      <c r="AT72" s="1" t="s">
        <v>329</v>
      </c>
      <c r="AU72" s="1">
        <v>74</v>
      </c>
      <c r="AV72" s="1">
        <v>0</v>
      </c>
      <c r="AW72" s="1" t="s">
        <v>4493</v>
      </c>
      <c r="AX72" s="1" t="s">
        <v>471</v>
      </c>
      <c r="AY72" s="1">
        <v>2</v>
      </c>
      <c r="AZ72" s="1">
        <v>0</v>
      </c>
      <c r="BA72" s="1" t="s">
        <v>329</v>
      </c>
      <c r="BB72" s="1" t="s">
        <v>4909</v>
      </c>
      <c r="BC72" s="1" t="s">
        <v>329</v>
      </c>
      <c r="BD72" s="1">
        <v>10302</v>
      </c>
      <c r="BE72" s="1"/>
      <c r="BH72">
        <f>COUNTIF(Dropdowns!$I:$AF,C72)</f>
        <v>1</v>
      </c>
    </row>
    <row r="73" spans="1:60" x14ac:dyDescent="0.25">
      <c r="A73" s="1">
        <v>75</v>
      </c>
      <c r="B73" s="1" t="s">
        <v>2948</v>
      </c>
      <c r="C73" s="241" t="s">
        <v>105</v>
      </c>
      <c r="D73" s="1" t="s">
        <v>105</v>
      </c>
      <c r="E73" s="1"/>
      <c r="F73" s="1"/>
      <c r="G73" s="1" t="s">
        <v>2949</v>
      </c>
      <c r="H73" s="1" t="s">
        <v>2950</v>
      </c>
      <c r="I73" s="1" t="s">
        <v>2951</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1167</v>
      </c>
      <c r="AK73" s="1" t="s">
        <v>329</v>
      </c>
      <c r="AL73" s="1">
        <v>18</v>
      </c>
      <c r="AM73" s="1" t="s">
        <v>4859</v>
      </c>
      <c r="AN73" s="1" t="s">
        <v>4910</v>
      </c>
      <c r="AO73" s="1" t="s">
        <v>4911</v>
      </c>
      <c r="AP73" s="1">
        <v>0</v>
      </c>
      <c r="AQ73" s="1" t="s">
        <v>1168</v>
      </c>
      <c r="AR73" s="1" t="s">
        <v>4912</v>
      </c>
      <c r="AS73" s="1" t="s">
        <v>4913</v>
      </c>
      <c r="AT73" s="1" t="s">
        <v>329</v>
      </c>
      <c r="AU73" s="1">
        <v>75</v>
      </c>
      <c r="AV73" s="1">
        <v>0</v>
      </c>
      <c r="AW73" s="1" t="s">
        <v>4493</v>
      </c>
      <c r="AX73" s="1" t="s">
        <v>4798</v>
      </c>
      <c r="AY73" s="1">
        <v>4</v>
      </c>
      <c r="AZ73" s="1">
        <v>0</v>
      </c>
      <c r="BA73" s="1" t="s">
        <v>4744</v>
      </c>
      <c r="BB73" s="1" t="s">
        <v>4914</v>
      </c>
      <c r="BC73" s="1" t="s">
        <v>4721</v>
      </c>
      <c r="BD73" s="1">
        <v>10303</v>
      </c>
      <c r="BE73" s="1"/>
      <c r="BH73">
        <f>COUNTIF(Dropdowns!$I:$AF,C73)</f>
        <v>1</v>
      </c>
    </row>
    <row r="74" spans="1:60" x14ac:dyDescent="0.25">
      <c r="A74" s="1">
        <v>77</v>
      </c>
      <c r="B74" s="1" t="s">
        <v>2952</v>
      </c>
      <c r="C74" s="241" t="s">
        <v>790</v>
      </c>
      <c r="D74" s="1" t="s">
        <v>790</v>
      </c>
      <c r="E74" s="1"/>
      <c r="F74" s="1"/>
      <c r="G74" s="1" t="s">
        <v>2953</v>
      </c>
      <c r="H74" s="1" t="s">
        <v>2954</v>
      </c>
      <c r="I74" s="1" t="s">
        <v>2955</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1171</v>
      </c>
      <c r="AK74" s="1" t="s">
        <v>329</v>
      </c>
      <c r="AL74" s="1">
        <v>18</v>
      </c>
      <c r="AM74" s="1" t="s">
        <v>4859</v>
      </c>
      <c r="AN74" s="1" t="s">
        <v>4910</v>
      </c>
      <c r="AO74" s="1" t="s">
        <v>4915</v>
      </c>
      <c r="AP74" s="1">
        <v>0</v>
      </c>
      <c r="AQ74" s="1" t="s">
        <v>1168</v>
      </c>
      <c r="AR74" s="1" t="s">
        <v>1169</v>
      </c>
      <c r="AS74" s="1" t="s">
        <v>1170</v>
      </c>
      <c r="AT74" s="1" t="s">
        <v>329</v>
      </c>
      <c r="AU74" s="1">
        <v>77</v>
      </c>
      <c r="AV74" s="1">
        <v>0</v>
      </c>
      <c r="AW74" s="1" t="s">
        <v>4493</v>
      </c>
      <c r="AX74" s="1" t="s">
        <v>4798</v>
      </c>
      <c r="AY74" s="1">
        <v>3</v>
      </c>
      <c r="AZ74" s="1">
        <v>0</v>
      </c>
      <c r="BA74" s="1" t="s">
        <v>329</v>
      </c>
      <c r="BB74" s="1" t="s">
        <v>4916</v>
      </c>
      <c r="BC74" s="1" t="s">
        <v>4721</v>
      </c>
      <c r="BD74" s="1">
        <v>10302</v>
      </c>
      <c r="BE74" s="1"/>
      <c r="BH74">
        <f>COUNTIF(Dropdowns!$I:$AF,C74)</f>
        <v>1</v>
      </c>
    </row>
    <row r="75" spans="1:60" x14ac:dyDescent="0.25">
      <c r="A75" s="1">
        <v>78</v>
      </c>
      <c r="B75" s="1" t="s">
        <v>2956</v>
      </c>
      <c r="C75" s="241" t="s">
        <v>106</v>
      </c>
      <c r="D75" s="1" t="s">
        <v>106</v>
      </c>
      <c r="E75" s="1"/>
      <c r="F75" s="1"/>
      <c r="G75" s="1" t="s">
        <v>2957</v>
      </c>
      <c r="H75" s="1" t="s">
        <v>2958</v>
      </c>
      <c r="I75" s="1" t="s">
        <v>2959</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1167</v>
      </c>
      <c r="AK75" s="1" t="s">
        <v>329</v>
      </c>
      <c r="AL75" s="1">
        <v>17</v>
      </c>
      <c r="AM75" s="1" t="s">
        <v>4859</v>
      </c>
      <c r="AN75" s="1" t="s">
        <v>4917</v>
      </c>
      <c r="AO75" s="1" t="s">
        <v>4918</v>
      </c>
      <c r="AP75" s="1">
        <v>0</v>
      </c>
      <c r="AQ75" s="1" t="s">
        <v>1168</v>
      </c>
      <c r="AR75" s="1" t="s">
        <v>1169</v>
      </c>
      <c r="AS75" s="1" t="s">
        <v>1170</v>
      </c>
      <c r="AT75" s="1" t="s">
        <v>329</v>
      </c>
      <c r="AU75" s="1">
        <v>78</v>
      </c>
      <c r="AV75" s="1">
        <v>0</v>
      </c>
      <c r="AW75" s="1" t="s">
        <v>4493</v>
      </c>
      <c r="AX75" s="1" t="s">
        <v>4798</v>
      </c>
      <c r="AY75" s="1">
        <v>4</v>
      </c>
      <c r="AZ75" s="1">
        <v>0</v>
      </c>
      <c r="BA75" s="1" t="s">
        <v>329</v>
      </c>
      <c r="BB75" s="1" t="s">
        <v>4919</v>
      </c>
      <c r="BC75" s="1" t="s">
        <v>4721</v>
      </c>
      <c r="BD75" s="1">
        <v>10704</v>
      </c>
      <c r="BE75" s="1"/>
      <c r="BH75">
        <f>COUNTIF(Dropdowns!$I:$AF,C75)</f>
        <v>1</v>
      </c>
    </row>
    <row r="76" spans="1:60" x14ac:dyDescent="0.25">
      <c r="A76" s="1">
        <v>79</v>
      </c>
      <c r="B76" s="1" t="s">
        <v>2960</v>
      </c>
      <c r="C76" s="241" t="s">
        <v>1172</v>
      </c>
      <c r="D76" s="1" t="s">
        <v>1172</v>
      </c>
      <c r="E76" s="1"/>
      <c r="F76" s="1"/>
      <c r="G76" s="1" t="s">
        <v>2961</v>
      </c>
      <c r="H76" s="1" t="s">
        <v>2962</v>
      </c>
      <c r="I76" s="1" t="s">
        <v>2963</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1171</v>
      </c>
      <c r="AK76" s="1" t="s">
        <v>329</v>
      </c>
      <c r="AL76" s="1">
        <v>18</v>
      </c>
      <c r="AM76" s="1" t="s">
        <v>4859</v>
      </c>
      <c r="AN76" s="1" t="s">
        <v>4920</v>
      </c>
      <c r="AO76" s="1" t="s">
        <v>4921</v>
      </c>
      <c r="AP76" s="1">
        <v>0</v>
      </c>
      <c r="AQ76" s="1" t="s">
        <v>1168</v>
      </c>
      <c r="AR76" s="1" t="s">
        <v>1169</v>
      </c>
      <c r="AS76" s="1" t="s">
        <v>4913</v>
      </c>
      <c r="AT76" s="1" t="s">
        <v>329</v>
      </c>
      <c r="AU76" s="1">
        <v>79</v>
      </c>
      <c r="AV76" s="1">
        <v>0</v>
      </c>
      <c r="AW76" s="1" t="s">
        <v>4493</v>
      </c>
      <c r="AX76" s="1" t="s">
        <v>4922</v>
      </c>
      <c r="AY76" s="1">
        <v>3</v>
      </c>
      <c r="AZ76" s="1">
        <v>0</v>
      </c>
      <c r="BA76" s="1" t="s">
        <v>329</v>
      </c>
      <c r="BB76" s="1" t="s">
        <v>4916</v>
      </c>
      <c r="BC76" s="1" t="s">
        <v>4721</v>
      </c>
      <c r="BD76" s="1">
        <v>10302</v>
      </c>
      <c r="BE76" s="1"/>
      <c r="BH76">
        <f>COUNTIF(Dropdowns!$I:$AF,C76)</f>
        <v>1</v>
      </c>
    </row>
    <row r="77" spans="1:60" x14ac:dyDescent="0.25">
      <c r="A77" s="1">
        <v>80</v>
      </c>
      <c r="B77" s="1" t="s">
        <v>2964</v>
      </c>
      <c r="C77" s="241" t="s">
        <v>107</v>
      </c>
      <c r="D77" s="1" t="s">
        <v>107</v>
      </c>
      <c r="E77" s="1"/>
      <c r="F77" s="1"/>
      <c r="G77" s="1" t="s">
        <v>2965</v>
      </c>
      <c r="H77" s="1" t="s">
        <v>2966</v>
      </c>
      <c r="I77" s="1" t="s">
        <v>2967</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4923</v>
      </c>
      <c r="AK77" s="1" t="s">
        <v>329</v>
      </c>
      <c r="AL77" s="1">
        <v>19</v>
      </c>
      <c r="AM77" s="1" t="s">
        <v>4859</v>
      </c>
      <c r="AN77" s="1" t="s">
        <v>4924</v>
      </c>
      <c r="AO77" s="1" t="s">
        <v>4925</v>
      </c>
      <c r="AP77" s="1">
        <v>0</v>
      </c>
      <c r="AQ77" s="1" t="s">
        <v>1168</v>
      </c>
      <c r="AR77" s="1" t="s">
        <v>4912</v>
      </c>
      <c r="AS77" s="1" t="s">
        <v>1170</v>
      </c>
      <c r="AT77" s="1" t="s">
        <v>329</v>
      </c>
      <c r="AU77" s="1">
        <v>80</v>
      </c>
      <c r="AV77" s="1">
        <v>0</v>
      </c>
      <c r="AW77" s="1" t="s">
        <v>4493</v>
      </c>
      <c r="AX77" s="1" t="s">
        <v>4798</v>
      </c>
      <c r="AY77" s="1">
        <v>3</v>
      </c>
      <c r="AZ77" s="1">
        <v>0</v>
      </c>
      <c r="BA77" s="1" t="s">
        <v>329</v>
      </c>
      <c r="BB77" s="1" t="s">
        <v>4926</v>
      </c>
      <c r="BC77" s="1" t="s">
        <v>4721</v>
      </c>
      <c r="BD77" s="1">
        <v>10704</v>
      </c>
      <c r="BE77" s="1"/>
      <c r="BH77">
        <f>COUNTIF(Dropdowns!$I:$AF,C77)</f>
        <v>1</v>
      </c>
    </row>
    <row r="78" spans="1:60" x14ac:dyDescent="0.25">
      <c r="A78" s="1">
        <v>81</v>
      </c>
      <c r="B78" s="1" t="s">
        <v>2968</v>
      </c>
      <c r="C78" s="241" t="s">
        <v>108</v>
      </c>
      <c r="D78" s="1" t="s">
        <v>108</v>
      </c>
      <c r="E78" s="1"/>
      <c r="F78" s="1"/>
      <c r="G78" s="1" t="s">
        <v>2969</v>
      </c>
      <c r="H78" s="1" t="s">
        <v>2970</v>
      </c>
      <c r="I78" s="1" t="s">
        <v>2971</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1173</v>
      </c>
      <c r="AK78" s="1" t="s">
        <v>329</v>
      </c>
      <c r="AL78" s="1">
        <v>18</v>
      </c>
      <c r="AM78" s="1" t="s">
        <v>4859</v>
      </c>
      <c r="AN78" s="1" t="s">
        <v>4910</v>
      </c>
      <c r="AO78" s="1" t="s">
        <v>4927</v>
      </c>
      <c r="AP78" s="1">
        <v>0</v>
      </c>
      <c r="AQ78" s="1" t="s">
        <v>1168</v>
      </c>
      <c r="AR78" s="1" t="s">
        <v>4912</v>
      </c>
      <c r="AS78" s="1" t="s">
        <v>1170</v>
      </c>
      <c r="AT78" s="1" t="s">
        <v>329</v>
      </c>
      <c r="AU78" s="1">
        <v>81</v>
      </c>
      <c r="AV78" s="1">
        <v>0</v>
      </c>
      <c r="AW78" s="1" t="s">
        <v>4493</v>
      </c>
      <c r="AX78" s="1" t="s">
        <v>471</v>
      </c>
      <c r="AY78" s="1">
        <v>2</v>
      </c>
      <c r="AZ78" s="1">
        <v>0</v>
      </c>
      <c r="BA78" s="1" t="s">
        <v>4746</v>
      </c>
      <c r="BB78" s="1" t="s">
        <v>4928</v>
      </c>
      <c r="BC78" s="1" t="s">
        <v>4721</v>
      </c>
      <c r="BD78" s="1">
        <v>10302</v>
      </c>
      <c r="BE78" s="1"/>
      <c r="BH78">
        <f>COUNTIF(Dropdowns!$I:$AF,C78)</f>
        <v>1</v>
      </c>
    </row>
    <row r="79" spans="1:60" x14ac:dyDescent="0.25">
      <c r="A79" s="1">
        <v>82</v>
      </c>
      <c r="B79" s="1" t="s">
        <v>2972</v>
      </c>
      <c r="C79" s="241" t="s">
        <v>109</v>
      </c>
      <c r="D79" s="1" t="s">
        <v>109</v>
      </c>
      <c r="E79" s="1"/>
      <c r="F79" s="1"/>
      <c r="G79" s="1" t="s">
        <v>2973</v>
      </c>
      <c r="H79" s="1" t="s">
        <v>2974</v>
      </c>
      <c r="I79" s="1" t="s">
        <v>2975</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1171</v>
      </c>
      <c r="AK79" s="1" t="s">
        <v>329</v>
      </c>
      <c r="AL79" s="1">
        <v>19</v>
      </c>
      <c r="AM79" s="1" t="s">
        <v>4859</v>
      </c>
      <c r="AN79" s="1" t="s">
        <v>4929</v>
      </c>
      <c r="AO79" s="1" t="s">
        <v>4930</v>
      </c>
      <c r="AP79" s="1">
        <v>0</v>
      </c>
      <c r="AQ79" s="1" t="s">
        <v>1168</v>
      </c>
      <c r="AR79" s="1" t="s">
        <v>4912</v>
      </c>
      <c r="AS79" s="1" t="s">
        <v>1170</v>
      </c>
      <c r="AT79" s="1" t="s">
        <v>329</v>
      </c>
      <c r="AU79" s="1">
        <v>82</v>
      </c>
      <c r="AV79" s="1">
        <v>0</v>
      </c>
      <c r="AW79" s="1" t="s">
        <v>4493</v>
      </c>
      <c r="AX79" s="1" t="s">
        <v>471</v>
      </c>
      <c r="AY79" s="1">
        <v>2</v>
      </c>
      <c r="AZ79" s="1">
        <v>0</v>
      </c>
      <c r="BA79" s="1" t="s">
        <v>329</v>
      </c>
      <c r="BB79" s="1" t="s">
        <v>4931</v>
      </c>
      <c r="BC79" s="1" t="s">
        <v>4758</v>
      </c>
      <c r="BD79" s="1">
        <v>10302</v>
      </c>
      <c r="BE79" s="1"/>
      <c r="BH79">
        <f>COUNTIF(Dropdowns!$I:$AF,C79)</f>
        <v>1</v>
      </c>
    </row>
    <row r="80" spans="1:60" x14ac:dyDescent="0.25">
      <c r="A80" s="1">
        <v>84</v>
      </c>
      <c r="B80" s="1" t="s">
        <v>2976</v>
      </c>
      <c r="C80" s="241" t="s">
        <v>110</v>
      </c>
      <c r="D80" s="1" t="s">
        <v>110</v>
      </c>
      <c r="E80" s="1"/>
      <c r="F80" s="1"/>
      <c r="G80" s="1" t="s">
        <v>2977</v>
      </c>
      <c r="H80" s="1" t="s">
        <v>2978</v>
      </c>
      <c r="I80" s="1" t="s">
        <v>2979</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4923</v>
      </c>
      <c r="AK80" s="1" t="s">
        <v>329</v>
      </c>
      <c r="AL80" s="1">
        <v>18</v>
      </c>
      <c r="AM80" s="1" t="s">
        <v>4859</v>
      </c>
      <c r="AN80" s="1" t="s">
        <v>4932</v>
      </c>
      <c r="AO80" s="1" t="s">
        <v>4933</v>
      </c>
      <c r="AP80" s="1">
        <v>0</v>
      </c>
      <c r="AQ80" s="1" t="s">
        <v>1168</v>
      </c>
      <c r="AR80" s="1" t="s">
        <v>1169</v>
      </c>
      <c r="AS80" s="1" t="s">
        <v>4913</v>
      </c>
      <c r="AT80" s="1" t="s">
        <v>329</v>
      </c>
      <c r="AU80" s="1">
        <v>84</v>
      </c>
      <c r="AV80" s="1">
        <v>0</v>
      </c>
      <c r="AW80" s="1" t="s">
        <v>4934</v>
      </c>
      <c r="AX80" s="1" t="s">
        <v>4935</v>
      </c>
      <c r="AY80" s="1">
        <v>3</v>
      </c>
      <c r="AZ80" s="1">
        <v>0</v>
      </c>
      <c r="BA80" s="1" t="s">
        <v>329</v>
      </c>
      <c r="BB80" s="1" t="s">
        <v>329</v>
      </c>
      <c r="BC80" s="1" t="s">
        <v>4758</v>
      </c>
      <c r="BD80" s="1">
        <v>10704</v>
      </c>
      <c r="BE80" s="1"/>
      <c r="BH80">
        <f>COUNTIF(Dropdowns!$I:$AF,C80)</f>
        <v>1</v>
      </c>
    </row>
    <row r="81" spans="1:60" x14ac:dyDescent="0.25">
      <c r="A81" s="1">
        <v>85</v>
      </c>
      <c r="B81" s="1" t="s">
        <v>2980</v>
      </c>
      <c r="C81" s="241" t="s">
        <v>111</v>
      </c>
      <c r="D81" s="1" t="s">
        <v>111</v>
      </c>
      <c r="E81" s="1"/>
      <c r="F81" s="1"/>
      <c r="G81" s="1" t="s">
        <v>2981</v>
      </c>
      <c r="H81" s="1" t="s">
        <v>2982</v>
      </c>
      <c r="I81" s="1" t="s">
        <v>2983</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4936</v>
      </c>
      <c r="AK81" s="1" t="s">
        <v>4937</v>
      </c>
      <c r="AL81" s="1">
        <v>18</v>
      </c>
      <c r="AM81" s="1" t="s">
        <v>4859</v>
      </c>
      <c r="AN81" s="1" t="s">
        <v>4938</v>
      </c>
      <c r="AO81" s="1" t="s">
        <v>4825</v>
      </c>
      <c r="AP81" s="1">
        <v>0</v>
      </c>
      <c r="AQ81" s="1" t="s">
        <v>1168</v>
      </c>
      <c r="AR81" s="1" t="s">
        <v>4912</v>
      </c>
      <c r="AS81" s="1" t="s">
        <v>1170</v>
      </c>
      <c r="AT81" s="1" t="s">
        <v>329</v>
      </c>
      <c r="AU81" s="1">
        <v>85</v>
      </c>
      <c r="AV81" s="1">
        <v>0</v>
      </c>
      <c r="AW81" s="1" t="s">
        <v>4493</v>
      </c>
      <c r="AX81" s="1" t="s">
        <v>4798</v>
      </c>
      <c r="AY81" s="1">
        <v>4</v>
      </c>
      <c r="AZ81" s="1">
        <v>0</v>
      </c>
      <c r="BA81" s="1" t="s">
        <v>329</v>
      </c>
      <c r="BB81" s="1" t="s">
        <v>4939</v>
      </c>
      <c r="BC81" s="1" t="s">
        <v>4758</v>
      </c>
      <c r="BD81" s="1">
        <v>10402</v>
      </c>
      <c r="BE81" s="1"/>
      <c r="BH81">
        <f>COUNTIF(Dropdowns!$I:$AF,C81)</f>
        <v>1</v>
      </c>
    </row>
    <row r="82" spans="1:60" x14ac:dyDescent="0.25">
      <c r="A82" s="1">
        <v>86</v>
      </c>
      <c r="B82" s="1" t="s">
        <v>2984</v>
      </c>
      <c r="C82" s="241" t="s">
        <v>112</v>
      </c>
      <c r="D82" s="1" t="s">
        <v>112</v>
      </c>
      <c r="E82" s="1"/>
      <c r="F82" s="1"/>
      <c r="G82" s="1" t="s">
        <v>2985</v>
      </c>
      <c r="H82" s="1" t="s">
        <v>2986</v>
      </c>
      <c r="I82" s="1" t="s">
        <v>2987</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1171</v>
      </c>
      <c r="AK82" s="1" t="s">
        <v>329</v>
      </c>
      <c r="AL82" s="1">
        <v>17</v>
      </c>
      <c r="AM82" s="1" t="s">
        <v>4859</v>
      </c>
      <c r="AN82" s="1" t="s">
        <v>890</v>
      </c>
      <c r="AO82" s="1" t="s">
        <v>4915</v>
      </c>
      <c r="AP82" s="1">
        <v>0</v>
      </c>
      <c r="AQ82" s="1" t="s">
        <v>1168</v>
      </c>
      <c r="AR82" s="1" t="s">
        <v>1169</v>
      </c>
      <c r="AS82" s="1" t="s">
        <v>1170</v>
      </c>
      <c r="AT82" s="1" t="s">
        <v>329</v>
      </c>
      <c r="AU82" s="1">
        <v>86</v>
      </c>
      <c r="AV82" s="1">
        <v>0</v>
      </c>
      <c r="AW82" s="1" t="s">
        <v>4493</v>
      </c>
      <c r="AX82" s="1" t="s">
        <v>4798</v>
      </c>
      <c r="AY82" s="1">
        <v>3</v>
      </c>
      <c r="AZ82" s="1">
        <v>0</v>
      </c>
      <c r="BA82" s="1" t="s">
        <v>329</v>
      </c>
      <c r="BB82" s="1" t="s">
        <v>4940</v>
      </c>
      <c r="BC82" s="1" t="s">
        <v>4770</v>
      </c>
      <c r="BD82" s="1">
        <v>10702</v>
      </c>
      <c r="BE82" s="1"/>
      <c r="BH82">
        <f>COUNTIF(Dropdowns!$I:$AF,C82)</f>
        <v>1</v>
      </c>
    </row>
    <row r="83" spans="1:60" x14ac:dyDescent="0.25">
      <c r="A83" s="1">
        <v>87</v>
      </c>
      <c r="B83" s="1" t="s">
        <v>2988</v>
      </c>
      <c r="C83" s="241" t="s">
        <v>113</v>
      </c>
      <c r="D83" s="1" t="s">
        <v>113</v>
      </c>
      <c r="E83" s="1"/>
      <c r="F83" s="1"/>
      <c r="G83" s="1" t="s">
        <v>2989</v>
      </c>
      <c r="H83" s="1" t="s">
        <v>2990</v>
      </c>
      <c r="I83" s="1" t="s">
        <v>2991</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1171</v>
      </c>
      <c r="AK83" s="1" t="s">
        <v>329</v>
      </c>
      <c r="AL83" s="1">
        <v>19</v>
      </c>
      <c r="AM83" s="1" t="s">
        <v>4859</v>
      </c>
      <c r="AN83" s="1" t="s">
        <v>4924</v>
      </c>
      <c r="AO83" s="1" t="s">
        <v>4941</v>
      </c>
      <c r="AP83" s="1">
        <v>0</v>
      </c>
      <c r="AQ83" s="1" t="s">
        <v>1168</v>
      </c>
      <c r="AR83" s="1" t="s">
        <v>1169</v>
      </c>
      <c r="AS83" s="1" t="s">
        <v>1170</v>
      </c>
      <c r="AT83" s="1" t="s">
        <v>329</v>
      </c>
      <c r="AU83" s="1">
        <v>87</v>
      </c>
      <c r="AV83" s="1">
        <v>0</v>
      </c>
      <c r="AW83" s="1" t="s">
        <v>4493</v>
      </c>
      <c r="AX83" s="1" t="s">
        <v>471</v>
      </c>
      <c r="AY83" s="1">
        <v>2</v>
      </c>
      <c r="AZ83" s="1">
        <v>0</v>
      </c>
      <c r="BA83" s="1" t="s">
        <v>329</v>
      </c>
      <c r="BB83" s="1" t="s">
        <v>4942</v>
      </c>
      <c r="BC83" s="1" t="s">
        <v>4770</v>
      </c>
      <c r="BD83" s="1">
        <v>10702</v>
      </c>
      <c r="BE83" s="1"/>
      <c r="BH83">
        <f>COUNTIF(Dropdowns!$I:$AF,C83)</f>
        <v>1</v>
      </c>
    </row>
    <row r="84" spans="1:60" x14ac:dyDescent="0.25">
      <c r="A84" s="1">
        <v>88</v>
      </c>
      <c r="B84" s="1" t="s">
        <v>2992</v>
      </c>
      <c r="C84" s="241" t="s">
        <v>114</v>
      </c>
      <c r="D84" s="1" t="s">
        <v>114</v>
      </c>
      <c r="E84" s="1"/>
      <c r="F84" s="1"/>
      <c r="G84" s="1" t="s">
        <v>2993</v>
      </c>
      <c r="H84" s="1" t="s">
        <v>2994</v>
      </c>
      <c r="I84" s="1" t="s">
        <v>2995</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1167</v>
      </c>
      <c r="AK84" s="1" t="s">
        <v>329</v>
      </c>
      <c r="AL84" s="1">
        <v>18</v>
      </c>
      <c r="AM84" s="1" t="s">
        <v>4859</v>
      </c>
      <c r="AN84" s="1" t="s">
        <v>4932</v>
      </c>
      <c r="AO84" s="1" t="s">
        <v>4943</v>
      </c>
      <c r="AP84" s="1">
        <v>0</v>
      </c>
      <c r="AQ84" s="1" t="s">
        <v>1168</v>
      </c>
      <c r="AR84" s="1" t="s">
        <v>1169</v>
      </c>
      <c r="AS84" s="1" t="s">
        <v>4913</v>
      </c>
      <c r="AT84" s="1" t="s">
        <v>329</v>
      </c>
      <c r="AU84" s="1">
        <v>88</v>
      </c>
      <c r="AV84" s="1">
        <v>0</v>
      </c>
      <c r="AW84" s="1" t="s">
        <v>4493</v>
      </c>
      <c r="AX84" s="1" t="s">
        <v>4798</v>
      </c>
      <c r="AY84" s="1">
        <v>4</v>
      </c>
      <c r="AZ84" s="1">
        <v>0</v>
      </c>
      <c r="BA84" s="1" t="s">
        <v>329</v>
      </c>
      <c r="BB84" s="1" t="s">
        <v>4944</v>
      </c>
      <c r="BC84" s="1" t="s">
        <v>4770</v>
      </c>
      <c r="BD84" s="1">
        <v>10302</v>
      </c>
      <c r="BE84" s="1"/>
      <c r="BH84">
        <f>COUNTIF(Dropdowns!$I:$AF,C84)</f>
        <v>2</v>
      </c>
    </row>
    <row r="85" spans="1:60" x14ac:dyDescent="0.25">
      <c r="A85" s="1">
        <v>89</v>
      </c>
      <c r="B85" s="1" t="s">
        <v>2996</v>
      </c>
      <c r="C85" s="241" t="s">
        <v>115</v>
      </c>
      <c r="D85" s="1" t="s">
        <v>2997</v>
      </c>
      <c r="E85" s="1"/>
      <c r="F85" s="1"/>
      <c r="G85" s="1" t="s">
        <v>2998</v>
      </c>
      <c r="H85" s="1" t="s">
        <v>2999</v>
      </c>
      <c r="I85" s="1" t="s">
        <v>3000</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1171</v>
      </c>
      <c r="AK85" s="1" t="s">
        <v>329</v>
      </c>
      <c r="AL85" s="1">
        <v>17</v>
      </c>
      <c r="AM85" s="1" t="s">
        <v>4859</v>
      </c>
      <c r="AN85" s="1" t="s">
        <v>4917</v>
      </c>
      <c r="AO85" s="1" t="s">
        <v>4945</v>
      </c>
      <c r="AP85" s="1">
        <v>0</v>
      </c>
      <c r="AQ85" s="1" t="s">
        <v>1168</v>
      </c>
      <c r="AR85" s="1" t="s">
        <v>4912</v>
      </c>
      <c r="AS85" s="1" t="s">
        <v>1170</v>
      </c>
      <c r="AT85" s="1" t="s">
        <v>329</v>
      </c>
      <c r="AU85" s="1">
        <v>89</v>
      </c>
      <c r="AV85" s="1">
        <v>0</v>
      </c>
      <c r="AW85" s="1" t="s">
        <v>4493</v>
      </c>
      <c r="AX85" s="1" t="s">
        <v>4798</v>
      </c>
      <c r="AY85" s="1">
        <v>3</v>
      </c>
      <c r="AZ85" s="1">
        <v>0</v>
      </c>
      <c r="BA85" s="1" t="s">
        <v>4766</v>
      </c>
      <c r="BB85" s="1" t="s">
        <v>4946</v>
      </c>
      <c r="BC85" s="1" t="s">
        <v>329</v>
      </c>
      <c r="BD85" s="1">
        <v>10302</v>
      </c>
      <c r="BE85" s="1"/>
      <c r="BH85">
        <f>COUNTIF(Dropdowns!$I:$AF,C85)</f>
        <v>1</v>
      </c>
    </row>
    <row r="86" spans="1:60" x14ac:dyDescent="0.25">
      <c r="A86" s="1">
        <v>90</v>
      </c>
      <c r="B86" s="1" t="s">
        <v>3001</v>
      </c>
      <c r="C86" s="241" t="s">
        <v>1174</v>
      </c>
      <c r="D86" s="1" t="s">
        <v>1174</v>
      </c>
      <c r="E86" s="1"/>
      <c r="F86" s="1"/>
      <c r="G86" s="1" t="s">
        <v>3002</v>
      </c>
      <c r="H86" s="1" t="s">
        <v>3003</v>
      </c>
      <c r="I86" s="1" t="s">
        <v>3004</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1126</v>
      </c>
      <c r="AK86" s="1" t="s">
        <v>329</v>
      </c>
      <c r="AL86" s="1">
        <v>13</v>
      </c>
      <c r="AM86" s="1" t="s">
        <v>1807</v>
      </c>
      <c r="AN86" s="1" t="s">
        <v>4862</v>
      </c>
      <c r="AO86" s="1" t="s">
        <v>4947</v>
      </c>
      <c r="AP86" s="1">
        <v>0</v>
      </c>
      <c r="AQ86" s="1" t="s">
        <v>1119</v>
      </c>
      <c r="AR86" s="1" t="s">
        <v>1120</v>
      </c>
      <c r="AS86" s="1" t="s">
        <v>1121</v>
      </c>
      <c r="AT86" s="1" t="s">
        <v>329</v>
      </c>
      <c r="AU86" s="1">
        <v>90</v>
      </c>
      <c r="AV86" s="1">
        <v>0</v>
      </c>
      <c r="AW86" s="1" t="s">
        <v>4493</v>
      </c>
      <c r="AX86" s="1" t="s">
        <v>471</v>
      </c>
      <c r="AY86" s="1">
        <v>2</v>
      </c>
      <c r="AZ86" s="1">
        <v>0</v>
      </c>
      <c r="BA86" s="1" t="s">
        <v>329</v>
      </c>
      <c r="BB86" s="1" t="s">
        <v>4811</v>
      </c>
      <c r="BC86" s="1" t="s">
        <v>4854</v>
      </c>
      <c r="BD86" s="1">
        <v>10704</v>
      </c>
      <c r="BE86" s="1"/>
      <c r="BH86">
        <f>COUNTIF(Dropdowns!$I:$AF,C86)</f>
        <v>0</v>
      </c>
    </row>
    <row r="87" spans="1:60" x14ac:dyDescent="0.25">
      <c r="A87" s="1">
        <v>91</v>
      </c>
      <c r="B87" s="1" t="s">
        <v>3005</v>
      </c>
      <c r="C87" s="241" t="s">
        <v>1619</v>
      </c>
      <c r="D87" s="1" t="s">
        <v>1619</v>
      </c>
      <c r="E87" s="1"/>
      <c r="F87" s="1"/>
      <c r="G87" s="1" t="s">
        <v>3006</v>
      </c>
      <c r="H87" s="1" t="s">
        <v>3007</v>
      </c>
      <c r="I87" s="1" t="s">
        <v>3008</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1175</v>
      </c>
      <c r="AK87" s="1" t="s">
        <v>329</v>
      </c>
      <c r="AL87" s="1">
        <v>13</v>
      </c>
      <c r="AM87" s="1" t="s">
        <v>1807</v>
      </c>
      <c r="AN87" s="1" t="s">
        <v>4948</v>
      </c>
      <c r="AO87" s="1" t="s">
        <v>4949</v>
      </c>
      <c r="AP87" s="1">
        <v>0</v>
      </c>
      <c r="AQ87" s="1" t="s">
        <v>4743</v>
      </c>
      <c r="AR87" s="1" t="s">
        <v>1120</v>
      </c>
      <c r="AS87" s="1" t="s">
        <v>1121</v>
      </c>
      <c r="AT87" s="1" t="s">
        <v>329</v>
      </c>
      <c r="AU87" s="1">
        <v>91</v>
      </c>
      <c r="AV87" s="1">
        <v>0</v>
      </c>
      <c r="AW87" s="1" t="s">
        <v>4493</v>
      </c>
      <c r="AX87" s="1" t="s">
        <v>471</v>
      </c>
      <c r="AY87" s="1">
        <v>2</v>
      </c>
      <c r="AZ87" s="1">
        <v>0</v>
      </c>
      <c r="BA87" s="1" t="s">
        <v>4746</v>
      </c>
      <c r="BB87" s="1" t="s">
        <v>414</v>
      </c>
      <c r="BC87" s="1" t="s">
        <v>4758</v>
      </c>
      <c r="BD87" s="1">
        <v>10302</v>
      </c>
      <c r="BE87" s="1"/>
      <c r="BH87">
        <f>COUNTIF(Dropdowns!$I:$AF,C87)</f>
        <v>0</v>
      </c>
    </row>
    <row r="88" spans="1:60" x14ac:dyDescent="0.25">
      <c r="A88" s="1">
        <v>92</v>
      </c>
      <c r="B88" s="1" t="s">
        <v>3009</v>
      </c>
      <c r="C88" s="241" t="s">
        <v>116</v>
      </c>
      <c r="D88" s="1" t="s">
        <v>3010</v>
      </c>
      <c r="E88" s="1"/>
      <c r="F88" s="1"/>
      <c r="G88" s="1" t="s">
        <v>3011</v>
      </c>
      <c r="H88" s="1" t="s">
        <v>3012</v>
      </c>
      <c r="I88" s="1" t="s">
        <v>3013</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1126</v>
      </c>
      <c r="AK88" s="1" t="s">
        <v>329</v>
      </c>
      <c r="AL88" s="1">
        <v>13</v>
      </c>
      <c r="AM88" s="1" t="s">
        <v>4791</v>
      </c>
      <c r="AN88" s="1" t="s">
        <v>4794</v>
      </c>
      <c r="AO88" s="1" t="s">
        <v>4941</v>
      </c>
      <c r="AP88" s="1">
        <v>0</v>
      </c>
      <c r="AQ88" s="1" t="s">
        <v>1130</v>
      </c>
      <c r="AR88" s="1" t="s">
        <v>1120</v>
      </c>
      <c r="AS88" s="1" t="s">
        <v>1746</v>
      </c>
      <c r="AT88" s="1" t="s">
        <v>329</v>
      </c>
      <c r="AU88" s="1">
        <v>92</v>
      </c>
      <c r="AV88" s="1">
        <v>0</v>
      </c>
      <c r="AW88" s="1" t="s">
        <v>4493</v>
      </c>
      <c r="AX88" s="1" t="s">
        <v>471</v>
      </c>
      <c r="AY88" s="1">
        <v>2</v>
      </c>
      <c r="AZ88" s="1">
        <v>0</v>
      </c>
      <c r="BA88" s="1" t="s">
        <v>329</v>
      </c>
      <c r="BB88" s="1" t="s">
        <v>357</v>
      </c>
      <c r="BC88" s="1" t="s">
        <v>4740</v>
      </c>
      <c r="BD88" s="1">
        <v>10704</v>
      </c>
      <c r="BE88" s="1"/>
      <c r="BH88">
        <f>COUNTIF(Dropdowns!$I:$AF,C88)</f>
        <v>0</v>
      </c>
    </row>
    <row r="89" spans="1:60" x14ac:dyDescent="0.25">
      <c r="A89" s="1">
        <v>93</v>
      </c>
      <c r="B89" s="1" t="s">
        <v>3014</v>
      </c>
      <c r="C89" s="241" t="s">
        <v>117</v>
      </c>
      <c r="D89" s="1" t="s">
        <v>117</v>
      </c>
      <c r="E89" s="1"/>
      <c r="F89" s="1"/>
      <c r="G89" s="1" t="s">
        <v>3015</v>
      </c>
      <c r="H89" s="1" t="s">
        <v>3016</v>
      </c>
      <c r="I89" s="1" t="s">
        <v>3017</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1176</v>
      </c>
      <c r="AK89" s="1" t="s">
        <v>329</v>
      </c>
      <c r="AL89" s="1">
        <v>13</v>
      </c>
      <c r="AM89" s="1" t="s">
        <v>4791</v>
      </c>
      <c r="AN89" s="1" t="s">
        <v>4796</v>
      </c>
      <c r="AO89" s="1" t="s">
        <v>4950</v>
      </c>
      <c r="AP89" s="1">
        <v>0</v>
      </c>
      <c r="AQ89" s="1" t="s">
        <v>1745</v>
      </c>
      <c r="AR89" s="1" t="s">
        <v>1120</v>
      </c>
      <c r="AS89" s="1" t="s">
        <v>1131</v>
      </c>
      <c r="AT89" s="1" t="s">
        <v>329</v>
      </c>
      <c r="AU89" s="1">
        <v>93</v>
      </c>
      <c r="AV89" s="1">
        <v>0</v>
      </c>
      <c r="AW89" s="1" t="s">
        <v>4493</v>
      </c>
      <c r="AX89" s="1" t="s">
        <v>471</v>
      </c>
      <c r="AY89" s="1">
        <v>2</v>
      </c>
      <c r="AZ89" s="1">
        <v>0</v>
      </c>
      <c r="BA89" s="1" t="s">
        <v>4746</v>
      </c>
      <c r="BB89" s="1" t="s">
        <v>4951</v>
      </c>
      <c r="BC89" s="1" t="s">
        <v>329</v>
      </c>
      <c r="BD89" s="1">
        <v>10302</v>
      </c>
      <c r="BE89" s="1"/>
      <c r="BH89">
        <f>COUNTIF(Dropdowns!$I:$AF,C89)</f>
        <v>0</v>
      </c>
    </row>
    <row r="90" spans="1:60" x14ac:dyDescent="0.25">
      <c r="A90" s="1">
        <v>94</v>
      </c>
      <c r="B90" s="1" t="s">
        <v>3018</v>
      </c>
      <c r="C90" s="241" t="s">
        <v>118</v>
      </c>
      <c r="D90" s="1" t="s">
        <v>3019</v>
      </c>
      <c r="E90" s="1"/>
      <c r="F90" s="1"/>
      <c r="G90" s="1" t="s">
        <v>3020</v>
      </c>
      <c r="H90" s="1" t="s">
        <v>3021</v>
      </c>
      <c r="I90" s="1" t="s">
        <v>3022</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1122</v>
      </c>
      <c r="AK90" s="1" t="s">
        <v>329</v>
      </c>
      <c r="AL90" s="1">
        <v>13</v>
      </c>
      <c r="AM90" s="1" t="s">
        <v>4791</v>
      </c>
      <c r="AN90" s="1" t="s">
        <v>4794</v>
      </c>
      <c r="AO90" s="1" t="s">
        <v>4952</v>
      </c>
      <c r="AP90" s="1">
        <v>0</v>
      </c>
      <c r="AQ90" s="1" t="s">
        <v>1745</v>
      </c>
      <c r="AR90" s="1" t="s">
        <v>1120</v>
      </c>
      <c r="AS90" s="1" t="s">
        <v>1746</v>
      </c>
      <c r="AT90" s="1" t="s">
        <v>329</v>
      </c>
      <c r="AU90" s="1">
        <v>94</v>
      </c>
      <c r="AV90" s="1">
        <v>0</v>
      </c>
      <c r="AW90" s="1" t="s">
        <v>4493</v>
      </c>
      <c r="AX90" s="1" t="s">
        <v>471</v>
      </c>
      <c r="AY90" s="1">
        <v>2</v>
      </c>
      <c r="AZ90" s="1">
        <v>0</v>
      </c>
      <c r="BA90" s="1" t="s">
        <v>4746</v>
      </c>
      <c r="BB90" s="1" t="s">
        <v>4953</v>
      </c>
      <c r="BC90" s="1" t="s">
        <v>4784</v>
      </c>
      <c r="BD90" s="1">
        <v>10705</v>
      </c>
      <c r="BE90" s="1"/>
      <c r="BH90">
        <f>COUNTIF(Dropdowns!$I:$AF,C90)</f>
        <v>0</v>
      </c>
    </row>
    <row r="91" spans="1:60" x14ac:dyDescent="0.25">
      <c r="A91" s="1">
        <v>95</v>
      </c>
      <c r="B91" s="1" t="s">
        <v>3023</v>
      </c>
      <c r="C91" s="241" t="s">
        <v>119</v>
      </c>
      <c r="D91" s="1" t="s">
        <v>3024</v>
      </c>
      <c r="E91" s="1"/>
      <c r="F91" s="1"/>
      <c r="G91" s="1" t="s">
        <v>3025</v>
      </c>
      <c r="H91" s="1" t="s">
        <v>3026</v>
      </c>
      <c r="I91" s="1" t="s">
        <v>3027</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1177</v>
      </c>
      <c r="AK91" s="1" t="s">
        <v>329</v>
      </c>
      <c r="AL91" s="1">
        <v>13</v>
      </c>
      <c r="AM91" s="1" t="s">
        <v>4763</v>
      </c>
      <c r="AN91" s="1" t="s">
        <v>476</v>
      </c>
      <c r="AO91" s="1" t="s">
        <v>4827</v>
      </c>
      <c r="AP91" s="1">
        <v>0</v>
      </c>
      <c r="AQ91" s="1" t="s">
        <v>1747</v>
      </c>
      <c r="AR91" s="1" t="s">
        <v>4836</v>
      </c>
      <c r="AS91" s="1" t="s">
        <v>1143</v>
      </c>
      <c r="AT91" s="1" t="s">
        <v>329</v>
      </c>
      <c r="AU91" s="1">
        <v>95</v>
      </c>
      <c r="AV91" s="1">
        <v>0</v>
      </c>
      <c r="AW91" s="1" t="s">
        <v>4493</v>
      </c>
      <c r="AX91" s="1" t="s">
        <v>332</v>
      </c>
      <c r="AY91" s="1">
        <v>3</v>
      </c>
      <c r="AZ91" s="1">
        <v>0</v>
      </c>
      <c r="BA91" s="1" t="s">
        <v>4766</v>
      </c>
      <c r="BB91" s="1" t="s">
        <v>4953</v>
      </c>
      <c r="BC91" s="1" t="s">
        <v>4784</v>
      </c>
      <c r="BD91" s="1">
        <v>10701</v>
      </c>
      <c r="BE91" s="1"/>
      <c r="BH91">
        <f>COUNTIF(Dropdowns!$I:$AF,C91)</f>
        <v>1</v>
      </c>
    </row>
    <row r="92" spans="1:60" x14ac:dyDescent="0.25">
      <c r="A92" s="1">
        <v>96</v>
      </c>
      <c r="B92" s="1" t="s">
        <v>3028</v>
      </c>
      <c r="C92" s="241" t="s">
        <v>120</v>
      </c>
      <c r="D92" s="1" t="s">
        <v>120</v>
      </c>
      <c r="E92" s="1"/>
      <c r="F92" s="1"/>
      <c r="G92" s="1" t="s">
        <v>3029</v>
      </c>
      <c r="H92" s="1" t="s">
        <v>3030</v>
      </c>
      <c r="I92" s="1" t="s">
        <v>3031</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1178</v>
      </c>
      <c r="AL92" s="1">
        <v>13</v>
      </c>
      <c r="AM92" s="1" t="s">
        <v>1807</v>
      </c>
      <c r="AN92" s="1" t="s">
        <v>4954</v>
      </c>
      <c r="AO92" s="1" t="s">
        <v>4955</v>
      </c>
      <c r="AP92" s="1">
        <v>0</v>
      </c>
      <c r="AQ92" s="1" t="s">
        <v>1119</v>
      </c>
      <c r="AR92" s="1" t="s">
        <v>1120</v>
      </c>
      <c r="AS92" s="1" t="s">
        <v>4762</v>
      </c>
      <c r="AT92" s="1" t="s">
        <v>329</v>
      </c>
      <c r="AU92" s="1">
        <v>96</v>
      </c>
      <c r="AV92" s="1">
        <v>0</v>
      </c>
      <c r="AW92" s="1" t="s">
        <v>4493</v>
      </c>
      <c r="AX92" s="1" t="s">
        <v>4763</v>
      </c>
      <c r="AY92" s="1">
        <v>5</v>
      </c>
      <c r="AZ92" s="1">
        <v>0</v>
      </c>
      <c r="BA92" s="1" t="s">
        <v>329</v>
      </c>
      <c r="BB92" s="1" t="s">
        <v>4956</v>
      </c>
      <c r="BC92" s="1" t="s">
        <v>4721</v>
      </c>
      <c r="BD92" s="1">
        <v>10401</v>
      </c>
      <c r="BE92" s="1"/>
      <c r="BH92">
        <f>COUNTIF(Dropdowns!$I:$AF,C92)</f>
        <v>0</v>
      </c>
    </row>
    <row r="93" spans="1:60" x14ac:dyDescent="0.25">
      <c r="A93" s="1">
        <v>97</v>
      </c>
      <c r="B93" s="1" t="s">
        <v>3032</v>
      </c>
      <c r="C93" s="241" t="s">
        <v>121</v>
      </c>
      <c r="D93" s="1" t="s">
        <v>121</v>
      </c>
      <c r="E93" s="1"/>
      <c r="F93" s="1"/>
      <c r="G93" s="1" t="s">
        <v>3033</v>
      </c>
      <c r="H93" s="1" t="s">
        <v>3034</v>
      </c>
      <c r="I93" s="1" t="s">
        <v>3035</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1807</v>
      </c>
      <c r="AN93" s="1" t="s">
        <v>4785</v>
      </c>
      <c r="AO93" s="1" t="s">
        <v>4818</v>
      </c>
      <c r="AP93" s="1">
        <v>0</v>
      </c>
      <c r="AQ93" s="1" t="s">
        <v>4743</v>
      </c>
      <c r="AR93" s="1" t="s">
        <v>1120</v>
      </c>
      <c r="AS93" s="1" t="s">
        <v>1121</v>
      </c>
      <c r="AT93" s="1" t="s">
        <v>329</v>
      </c>
      <c r="AU93" s="1">
        <v>97</v>
      </c>
      <c r="AV93" s="1">
        <v>0</v>
      </c>
      <c r="AW93" s="1" t="s">
        <v>4493</v>
      </c>
      <c r="AX93" s="1" t="s">
        <v>4957</v>
      </c>
      <c r="AY93" s="1">
        <v>5</v>
      </c>
      <c r="AZ93" s="1">
        <v>0</v>
      </c>
      <c r="BA93" s="1" t="s">
        <v>4856</v>
      </c>
      <c r="BB93" s="1" t="s">
        <v>4958</v>
      </c>
      <c r="BC93" s="1" t="s">
        <v>4721</v>
      </c>
      <c r="BD93" s="1">
        <v>10202</v>
      </c>
      <c r="BE93" s="1"/>
      <c r="BH93">
        <f>COUNTIF(Dropdowns!$I:$AF,C93)</f>
        <v>0</v>
      </c>
    </row>
    <row r="94" spans="1:60" x14ac:dyDescent="0.25">
      <c r="A94" s="1">
        <v>98</v>
      </c>
      <c r="B94" s="1" t="s">
        <v>3036</v>
      </c>
      <c r="C94" s="241" t="s">
        <v>1620</v>
      </c>
      <c r="D94" s="1" t="s">
        <v>1620</v>
      </c>
      <c r="E94" s="1"/>
      <c r="F94" s="1"/>
      <c r="G94" s="1" t="s">
        <v>3037</v>
      </c>
      <c r="H94" s="1" t="s">
        <v>3038</v>
      </c>
      <c r="I94" s="1" t="s">
        <v>3039</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1807</v>
      </c>
      <c r="AN94" s="1" t="s">
        <v>4959</v>
      </c>
      <c r="AO94" s="1" t="s">
        <v>4960</v>
      </c>
      <c r="AP94" s="1">
        <v>0</v>
      </c>
      <c r="AQ94" s="1" t="s">
        <v>1119</v>
      </c>
      <c r="AR94" s="1" t="s">
        <v>1120</v>
      </c>
      <c r="AS94" s="1" t="s">
        <v>1121</v>
      </c>
      <c r="AT94" s="1" t="s">
        <v>329</v>
      </c>
      <c r="AU94" s="1">
        <v>98</v>
      </c>
      <c r="AV94" s="1">
        <v>0</v>
      </c>
      <c r="AW94" s="1" t="s">
        <v>4961</v>
      </c>
      <c r="AX94" s="1" t="s">
        <v>1807</v>
      </c>
      <c r="AY94" s="1">
        <v>4</v>
      </c>
      <c r="AZ94" s="1">
        <v>0</v>
      </c>
      <c r="BA94" s="1" t="s">
        <v>329</v>
      </c>
      <c r="BB94" s="1" t="s">
        <v>329</v>
      </c>
      <c r="BC94" s="1" t="s">
        <v>4758</v>
      </c>
      <c r="BD94" s="1">
        <v>10802</v>
      </c>
      <c r="BE94" s="1"/>
      <c r="BH94">
        <f>COUNTIF(Dropdowns!$I:$AF,C94)</f>
        <v>0</v>
      </c>
    </row>
    <row r="95" spans="1:60" x14ac:dyDescent="0.25">
      <c r="A95" s="1">
        <v>99</v>
      </c>
      <c r="B95" s="1" t="s">
        <v>3040</v>
      </c>
      <c r="C95" s="241" t="s">
        <v>1179</v>
      </c>
      <c r="D95" s="1" t="s">
        <v>1179</v>
      </c>
      <c r="E95" s="1"/>
      <c r="F95" s="1"/>
      <c r="G95" s="1" t="s">
        <v>3041</v>
      </c>
      <c r="H95" s="1" t="s">
        <v>3042</v>
      </c>
      <c r="I95" s="1" t="s">
        <v>3043</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1807</v>
      </c>
      <c r="AN95" s="1" t="s">
        <v>4764</v>
      </c>
      <c r="AO95" s="1" t="s">
        <v>4825</v>
      </c>
      <c r="AP95" s="1">
        <v>0</v>
      </c>
      <c r="AQ95" s="1" t="s">
        <v>1119</v>
      </c>
      <c r="AR95" s="1" t="s">
        <v>1120</v>
      </c>
      <c r="AS95" s="1" t="s">
        <v>1121</v>
      </c>
      <c r="AT95" s="1" t="s">
        <v>329</v>
      </c>
      <c r="AU95" s="1">
        <v>99</v>
      </c>
      <c r="AV95" s="1">
        <v>0</v>
      </c>
      <c r="AW95" s="1" t="s">
        <v>4493</v>
      </c>
      <c r="AX95" s="1" t="s">
        <v>471</v>
      </c>
      <c r="AY95" s="1">
        <v>4</v>
      </c>
      <c r="AZ95" s="1">
        <v>0</v>
      </c>
      <c r="BA95" s="1" t="s">
        <v>329</v>
      </c>
      <c r="BB95" s="1" t="s">
        <v>4962</v>
      </c>
      <c r="BC95" s="1" t="s">
        <v>4770</v>
      </c>
      <c r="BD95" s="1">
        <v>10302</v>
      </c>
      <c r="BE95" s="1"/>
      <c r="BH95">
        <f>COUNTIF(Dropdowns!$I:$AF,C95)</f>
        <v>0</v>
      </c>
    </row>
    <row r="96" spans="1:60" x14ac:dyDescent="0.25">
      <c r="A96" s="1">
        <v>100</v>
      </c>
      <c r="B96" s="1" t="s">
        <v>3044</v>
      </c>
      <c r="C96" s="241" t="s">
        <v>122</v>
      </c>
      <c r="D96" s="1" t="s">
        <v>122</v>
      </c>
      <c r="E96" s="1"/>
      <c r="F96" s="1"/>
      <c r="G96" s="1" t="s">
        <v>3045</v>
      </c>
      <c r="H96" s="1" t="s">
        <v>3046</v>
      </c>
      <c r="I96" s="1" t="s">
        <v>3047</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1807</v>
      </c>
      <c r="AN96" s="1" t="s">
        <v>4963</v>
      </c>
      <c r="AO96" s="1" t="s">
        <v>4868</v>
      </c>
      <c r="AP96" s="1">
        <v>0</v>
      </c>
      <c r="AQ96" s="1" t="s">
        <v>1119</v>
      </c>
      <c r="AR96" s="1" t="s">
        <v>1120</v>
      </c>
      <c r="AS96" s="1" t="s">
        <v>1121</v>
      </c>
      <c r="AT96" s="1" t="s">
        <v>329</v>
      </c>
      <c r="AU96" s="1">
        <v>100</v>
      </c>
      <c r="AV96" s="1">
        <v>0</v>
      </c>
      <c r="AW96" s="1" t="s">
        <v>4493</v>
      </c>
      <c r="AX96" s="1" t="s">
        <v>471</v>
      </c>
      <c r="AY96" s="1">
        <v>4</v>
      </c>
      <c r="AZ96" s="1">
        <v>0</v>
      </c>
      <c r="BA96" s="1" t="s">
        <v>329</v>
      </c>
      <c r="BB96" s="1" t="s">
        <v>4964</v>
      </c>
      <c r="BC96" s="1" t="s">
        <v>4770</v>
      </c>
      <c r="BD96" s="1">
        <v>10303</v>
      </c>
      <c r="BE96" s="1"/>
      <c r="BH96">
        <f>COUNTIF(Dropdowns!$I:$AF,C96)</f>
        <v>0</v>
      </c>
    </row>
    <row r="97" spans="1:60" x14ac:dyDescent="0.25">
      <c r="A97" s="1">
        <v>101</v>
      </c>
      <c r="B97" s="1" t="s">
        <v>3048</v>
      </c>
      <c r="C97" s="241" t="s">
        <v>123</v>
      </c>
      <c r="D97" s="1" t="s">
        <v>123</v>
      </c>
      <c r="E97" s="1"/>
      <c r="F97" s="1"/>
      <c r="G97" s="1" t="s">
        <v>3049</v>
      </c>
      <c r="H97" s="1" t="s">
        <v>3050</v>
      </c>
      <c r="I97" s="1" t="s">
        <v>3051</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1180</v>
      </c>
      <c r="AK97" s="1" t="s">
        <v>329</v>
      </c>
      <c r="AL97" s="1">
        <v>13</v>
      </c>
      <c r="AM97" s="1" t="s">
        <v>4791</v>
      </c>
      <c r="AN97" s="1" t="s">
        <v>4796</v>
      </c>
      <c r="AO97" s="1" t="s">
        <v>4965</v>
      </c>
      <c r="AP97" s="1">
        <v>0</v>
      </c>
      <c r="AQ97" s="1" t="s">
        <v>1745</v>
      </c>
      <c r="AR97" s="1" t="s">
        <v>1120</v>
      </c>
      <c r="AS97" s="1" t="s">
        <v>1746</v>
      </c>
      <c r="AT97" s="1" t="s">
        <v>329</v>
      </c>
      <c r="AU97" s="1">
        <v>101</v>
      </c>
      <c r="AV97" s="1">
        <v>0</v>
      </c>
      <c r="AW97" s="1" t="s">
        <v>4493</v>
      </c>
      <c r="AX97" s="1" t="s">
        <v>4798</v>
      </c>
      <c r="AY97" s="1">
        <v>4</v>
      </c>
      <c r="AZ97" s="1">
        <v>0</v>
      </c>
      <c r="BA97" s="1" t="s">
        <v>4744</v>
      </c>
      <c r="BB97" s="1" t="s">
        <v>4966</v>
      </c>
      <c r="BC97" s="1" t="s">
        <v>4890</v>
      </c>
      <c r="BD97" s="1">
        <v>10104</v>
      </c>
      <c r="BE97" s="1"/>
      <c r="BH97">
        <f>COUNTIF(Dropdowns!$I:$AF,C97)</f>
        <v>1</v>
      </c>
    </row>
    <row r="98" spans="1:60" x14ac:dyDescent="0.25">
      <c r="A98" s="1">
        <v>102</v>
      </c>
      <c r="B98" s="1" t="s">
        <v>3052</v>
      </c>
      <c r="C98" s="241" t="s">
        <v>24</v>
      </c>
      <c r="D98" s="1" t="s">
        <v>24</v>
      </c>
      <c r="E98" s="1"/>
      <c r="F98" s="1"/>
      <c r="G98" s="1" t="s">
        <v>3053</v>
      </c>
      <c r="H98" s="1" t="s">
        <v>3054</v>
      </c>
      <c r="I98" s="1" t="s">
        <v>3055</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1181</v>
      </c>
      <c r="AK98" s="1" t="s">
        <v>329</v>
      </c>
      <c r="AL98" s="1">
        <v>13</v>
      </c>
      <c r="AM98" s="1" t="s">
        <v>4720</v>
      </c>
      <c r="AN98" s="1" t="s">
        <v>4748</v>
      </c>
      <c r="AO98" s="1" t="s">
        <v>4967</v>
      </c>
      <c r="AP98" s="1">
        <v>0</v>
      </c>
      <c r="AQ98" s="1" t="s">
        <v>1745</v>
      </c>
      <c r="AR98" s="1" t="s">
        <v>1120</v>
      </c>
      <c r="AS98" s="1" t="s">
        <v>1131</v>
      </c>
      <c r="AT98" s="1" t="s">
        <v>329</v>
      </c>
      <c r="AU98" s="1">
        <v>102</v>
      </c>
      <c r="AV98" s="1">
        <v>0</v>
      </c>
      <c r="AW98" s="1" t="s">
        <v>4968</v>
      </c>
      <c r="AX98" s="1" t="s">
        <v>1807</v>
      </c>
      <c r="AY98" s="1">
        <v>4</v>
      </c>
      <c r="AZ98" s="1">
        <v>0</v>
      </c>
      <c r="BA98" s="1" t="s">
        <v>329</v>
      </c>
      <c r="BB98" s="1" t="s">
        <v>4969</v>
      </c>
      <c r="BC98" s="1" t="s">
        <v>4770</v>
      </c>
      <c r="BD98" s="1">
        <v>0</v>
      </c>
      <c r="BE98" s="1"/>
      <c r="BH98">
        <f>COUNTIF(Dropdowns!$I:$AF,C98)</f>
        <v>1</v>
      </c>
    </row>
    <row r="99" spans="1:60" x14ac:dyDescent="0.25">
      <c r="A99" s="1">
        <v>103</v>
      </c>
      <c r="B99" s="1" t="s">
        <v>3056</v>
      </c>
      <c r="C99" s="241" t="s">
        <v>23</v>
      </c>
      <c r="D99" s="1" t="s">
        <v>23</v>
      </c>
      <c r="E99" s="1"/>
      <c r="F99" s="1"/>
      <c r="G99" s="1" t="s">
        <v>3057</v>
      </c>
      <c r="H99" s="1" t="s">
        <v>3058</v>
      </c>
      <c r="I99" s="1" t="s">
        <v>3059</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1182</v>
      </c>
      <c r="AK99" s="1" t="s">
        <v>329</v>
      </c>
      <c r="AL99" s="1">
        <v>13</v>
      </c>
      <c r="AM99" s="1" t="s">
        <v>4791</v>
      </c>
      <c r="AN99" s="1" t="s">
        <v>4796</v>
      </c>
      <c r="AO99" s="1" t="s">
        <v>4863</v>
      </c>
      <c r="AP99" s="1">
        <v>0</v>
      </c>
      <c r="AQ99" s="1" t="s">
        <v>1745</v>
      </c>
      <c r="AR99" s="1" t="s">
        <v>1120</v>
      </c>
      <c r="AS99" s="1" t="s">
        <v>1746</v>
      </c>
      <c r="AT99" s="1" t="s">
        <v>329</v>
      </c>
      <c r="AU99" s="1">
        <v>103</v>
      </c>
      <c r="AV99" s="1">
        <v>0</v>
      </c>
      <c r="AW99" s="1" t="s">
        <v>4970</v>
      </c>
      <c r="AX99" s="1" t="s">
        <v>4798</v>
      </c>
      <c r="AY99" s="1">
        <v>4</v>
      </c>
      <c r="AZ99" s="1">
        <v>0</v>
      </c>
      <c r="BA99" s="1" t="s">
        <v>4744</v>
      </c>
      <c r="BB99" s="1" t="s">
        <v>4971</v>
      </c>
      <c r="BC99" s="1" t="s">
        <v>4890</v>
      </c>
      <c r="BD99" s="1">
        <v>10104</v>
      </c>
      <c r="BE99" s="1"/>
      <c r="BH99">
        <f>COUNTIF(Dropdowns!$I:$AF,C99)</f>
        <v>1</v>
      </c>
    </row>
    <row r="100" spans="1:60" x14ac:dyDescent="0.25">
      <c r="A100" s="1">
        <v>104</v>
      </c>
      <c r="B100" s="1" t="s">
        <v>3060</v>
      </c>
      <c r="C100" s="241" t="s">
        <v>1603</v>
      </c>
      <c r="D100" s="1" t="s">
        <v>3061</v>
      </c>
      <c r="E100" s="1"/>
      <c r="F100" s="1"/>
      <c r="G100" s="1" t="s">
        <v>3062</v>
      </c>
      <c r="H100" s="1" t="s">
        <v>3063</v>
      </c>
      <c r="I100" s="1" t="s">
        <v>3064</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4791</v>
      </c>
      <c r="AN100" s="1" t="s">
        <v>4796</v>
      </c>
      <c r="AO100" s="1" t="s">
        <v>4918</v>
      </c>
      <c r="AP100" s="1">
        <v>0</v>
      </c>
      <c r="AQ100" s="1" t="s">
        <v>1745</v>
      </c>
      <c r="AR100" s="1" t="s">
        <v>1120</v>
      </c>
      <c r="AS100" s="1" t="s">
        <v>1131</v>
      </c>
      <c r="AT100" s="1" t="s">
        <v>329</v>
      </c>
      <c r="AU100" s="1">
        <v>104</v>
      </c>
      <c r="AV100" s="1">
        <v>0</v>
      </c>
      <c r="AW100" s="1" t="s">
        <v>4972</v>
      </c>
      <c r="AX100" s="1" t="s">
        <v>332</v>
      </c>
      <c r="AY100" s="1">
        <v>5</v>
      </c>
      <c r="AZ100" s="1">
        <v>0</v>
      </c>
      <c r="BA100" s="1" t="s">
        <v>4856</v>
      </c>
      <c r="BB100" s="1" t="s">
        <v>4973</v>
      </c>
      <c r="BC100" s="1" t="s">
        <v>4770</v>
      </c>
      <c r="BD100" s="1">
        <v>10703</v>
      </c>
      <c r="BE100" s="1"/>
      <c r="BH100">
        <f>COUNTIF(Dropdowns!$I:$AF,C100)</f>
        <v>1</v>
      </c>
    </row>
    <row r="101" spans="1:60" x14ac:dyDescent="0.25">
      <c r="A101" s="1">
        <v>105</v>
      </c>
      <c r="B101" s="1" t="s">
        <v>3065</v>
      </c>
      <c r="C101" s="241" t="s">
        <v>727</v>
      </c>
      <c r="D101" s="1" t="s">
        <v>727</v>
      </c>
      <c r="E101" s="1"/>
      <c r="F101" s="1"/>
      <c r="G101" s="1" t="s">
        <v>3066</v>
      </c>
      <c r="H101" s="1" t="s">
        <v>3067</v>
      </c>
      <c r="I101" s="1" t="s">
        <v>3068</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1126</v>
      </c>
      <c r="AK101" s="1" t="s">
        <v>329</v>
      </c>
      <c r="AL101" s="1">
        <v>13</v>
      </c>
      <c r="AM101" s="1" t="s">
        <v>4720</v>
      </c>
      <c r="AN101" s="1" t="s">
        <v>4830</v>
      </c>
      <c r="AO101" s="1" t="s">
        <v>4974</v>
      </c>
      <c r="AP101" s="1">
        <v>0</v>
      </c>
      <c r="AQ101" s="1" t="s">
        <v>1131</v>
      </c>
      <c r="AR101" s="1" t="s">
        <v>4869</v>
      </c>
      <c r="AS101" s="1" t="s">
        <v>1130</v>
      </c>
      <c r="AT101" s="1" t="s">
        <v>329</v>
      </c>
      <c r="AU101" s="1">
        <v>105</v>
      </c>
      <c r="AV101" s="1">
        <v>0</v>
      </c>
      <c r="AW101" s="1" t="s">
        <v>4493</v>
      </c>
      <c r="AX101" s="1" t="s">
        <v>4798</v>
      </c>
      <c r="AY101" s="1">
        <v>3</v>
      </c>
      <c r="AZ101" s="1">
        <v>0</v>
      </c>
      <c r="BA101" s="1" t="s">
        <v>329</v>
      </c>
      <c r="BB101" s="1" t="s">
        <v>329</v>
      </c>
      <c r="BC101" s="1" t="s">
        <v>4758</v>
      </c>
      <c r="BD101" s="1">
        <v>10704</v>
      </c>
      <c r="BE101" s="1"/>
      <c r="BH101">
        <f>COUNTIF(Dropdowns!$I:$AF,C101)</f>
        <v>1</v>
      </c>
    </row>
    <row r="102" spans="1:60" x14ac:dyDescent="0.25">
      <c r="A102" s="1">
        <v>106</v>
      </c>
      <c r="B102" s="1" t="s">
        <v>3069</v>
      </c>
      <c r="C102" s="241" t="s">
        <v>124</v>
      </c>
      <c r="D102" s="1" t="s">
        <v>3070</v>
      </c>
      <c r="E102" s="1"/>
      <c r="F102" s="1"/>
      <c r="G102" s="1" t="s">
        <v>3071</v>
      </c>
      <c r="H102" s="1" t="s">
        <v>3072</v>
      </c>
      <c r="I102" s="1" t="s">
        <v>3073</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4975</v>
      </c>
      <c r="AK102" s="1" t="s">
        <v>1183</v>
      </c>
      <c r="AL102" s="1">
        <v>13</v>
      </c>
      <c r="AM102" s="1" t="s">
        <v>4720</v>
      </c>
      <c r="AN102" s="1" t="s">
        <v>4865</v>
      </c>
      <c r="AO102" s="1" t="s">
        <v>4950</v>
      </c>
      <c r="AP102" s="1">
        <v>0</v>
      </c>
      <c r="AQ102" s="1" t="s">
        <v>1131</v>
      </c>
      <c r="AR102" s="1" t="s">
        <v>1155</v>
      </c>
      <c r="AS102" s="1" t="s">
        <v>1130</v>
      </c>
      <c r="AT102" s="1" t="s">
        <v>329</v>
      </c>
      <c r="AU102" s="1">
        <v>106</v>
      </c>
      <c r="AV102" s="1">
        <v>0</v>
      </c>
      <c r="AW102" s="1" t="s">
        <v>4493</v>
      </c>
      <c r="AX102" s="1" t="s">
        <v>332</v>
      </c>
      <c r="AY102" s="1">
        <v>5</v>
      </c>
      <c r="AZ102" s="1">
        <v>0</v>
      </c>
      <c r="BA102" s="1" t="s">
        <v>329</v>
      </c>
      <c r="BB102" s="1" t="s">
        <v>4976</v>
      </c>
      <c r="BC102" s="1" t="s">
        <v>4854</v>
      </c>
      <c r="BD102" s="1">
        <v>10202</v>
      </c>
      <c r="BE102" s="1"/>
      <c r="BH102">
        <f>COUNTIF(Dropdowns!$I:$AF,C102)</f>
        <v>1</v>
      </c>
    </row>
    <row r="103" spans="1:60" x14ac:dyDescent="0.25">
      <c r="A103" s="1">
        <v>107</v>
      </c>
      <c r="B103" s="1" t="s">
        <v>3074</v>
      </c>
      <c r="C103" s="241" t="s">
        <v>1184</v>
      </c>
      <c r="D103" s="1" t="s">
        <v>1184</v>
      </c>
      <c r="E103" s="1"/>
      <c r="F103" s="1"/>
      <c r="G103" s="1" t="s">
        <v>3075</v>
      </c>
      <c r="H103" s="1" t="s">
        <v>3076</v>
      </c>
      <c r="I103" s="1" t="s">
        <v>3077</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1126</v>
      </c>
      <c r="AK103" s="1" t="s">
        <v>329</v>
      </c>
      <c r="AL103" s="1">
        <v>13</v>
      </c>
      <c r="AM103" s="1" t="s">
        <v>4720</v>
      </c>
      <c r="AN103" s="1" t="s">
        <v>476</v>
      </c>
      <c r="AO103" s="1" t="s">
        <v>4977</v>
      </c>
      <c r="AP103" s="1">
        <v>0</v>
      </c>
      <c r="AQ103" s="1" t="s">
        <v>1746</v>
      </c>
      <c r="AR103" s="1" t="s">
        <v>1155</v>
      </c>
      <c r="AS103" s="1" t="s">
        <v>1130</v>
      </c>
      <c r="AT103" s="1" t="s">
        <v>329</v>
      </c>
      <c r="AU103" s="1">
        <v>107</v>
      </c>
      <c r="AV103" s="1">
        <v>0</v>
      </c>
      <c r="AW103" s="1" t="s">
        <v>4493</v>
      </c>
      <c r="AX103" s="1" t="s">
        <v>471</v>
      </c>
      <c r="AY103" s="1">
        <v>2</v>
      </c>
      <c r="AZ103" s="1">
        <v>0</v>
      </c>
      <c r="BA103" s="1" t="s">
        <v>329</v>
      </c>
      <c r="BB103" s="1" t="s">
        <v>4978</v>
      </c>
      <c r="BC103" s="1" t="s">
        <v>4854</v>
      </c>
      <c r="BD103" s="1">
        <v>10202</v>
      </c>
      <c r="BE103" s="1"/>
      <c r="BH103">
        <f>COUNTIF(Dropdowns!$I:$AF,C103)</f>
        <v>1</v>
      </c>
    </row>
    <row r="104" spans="1:60" x14ac:dyDescent="0.25">
      <c r="A104" s="1">
        <v>108</v>
      </c>
      <c r="B104" s="1" t="s">
        <v>3078</v>
      </c>
      <c r="C104" s="241" t="s">
        <v>1621</v>
      </c>
      <c r="D104" s="1" t="s">
        <v>1621</v>
      </c>
      <c r="E104" s="1"/>
      <c r="F104" s="1"/>
      <c r="G104" s="1" t="s">
        <v>3079</v>
      </c>
      <c r="H104" s="1" t="s">
        <v>3080</v>
      </c>
      <c r="I104" s="1" t="s">
        <v>3081</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1122</v>
      </c>
      <c r="AK104" s="1" t="s">
        <v>329</v>
      </c>
      <c r="AL104" s="1">
        <v>13</v>
      </c>
      <c r="AM104" s="1" t="s">
        <v>4720</v>
      </c>
      <c r="AN104" s="1" t="s">
        <v>4835</v>
      </c>
      <c r="AO104" s="1" t="s">
        <v>4979</v>
      </c>
      <c r="AP104" s="1">
        <v>0</v>
      </c>
      <c r="AQ104" s="1" t="s">
        <v>1131</v>
      </c>
      <c r="AR104" s="1" t="s">
        <v>1155</v>
      </c>
      <c r="AS104" s="1" t="s">
        <v>1130</v>
      </c>
      <c r="AT104" s="1" t="s">
        <v>329</v>
      </c>
      <c r="AU104" s="1">
        <v>108</v>
      </c>
      <c r="AV104" s="1">
        <v>0</v>
      </c>
      <c r="AW104" s="1" t="s">
        <v>4493</v>
      </c>
      <c r="AX104" s="1" t="s">
        <v>4980</v>
      </c>
      <c r="AY104" s="1">
        <v>3</v>
      </c>
      <c r="AZ104" s="1">
        <v>0</v>
      </c>
      <c r="BA104" s="1" t="s">
        <v>329</v>
      </c>
      <c r="BB104" s="1" t="s">
        <v>329</v>
      </c>
      <c r="BC104" s="1" t="s">
        <v>329</v>
      </c>
      <c r="BD104" s="1">
        <v>10704</v>
      </c>
      <c r="BE104" s="1"/>
      <c r="BH104">
        <f>COUNTIF(Dropdowns!$I:$AF,C104)</f>
        <v>1</v>
      </c>
    </row>
    <row r="105" spans="1:60" x14ac:dyDescent="0.25">
      <c r="A105" s="1">
        <v>109</v>
      </c>
      <c r="B105" s="1" t="s">
        <v>3082</v>
      </c>
      <c r="C105" s="241" t="s">
        <v>301</v>
      </c>
      <c r="D105" s="1" t="s">
        <v>301</v>
      </c>
      <c r="E105" s="1"/>
      <c r="F105" s="1"/>
      <c r="G105" s="1" t="s">
        <v>3083</v>
      </c>
      <c r="H105" s="1" t="s">
        <v>3084</v>
      </c>
      <c r="I105" s="1" t="s">
        <v>3085</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1167</v>
      </c>
      <c r="AK105" s="1" t="s">
        <v>329</v>
      </c>
      <c r="AL105" s="1">
        <v>18</v>
      </c>
      <c r="AM105" s="1" t="s">
        <v>4859</v>
      </c>
      <c r="AN105" s="1" t="s">
        <v>4932</v>
      </c>
      <c r="AO105" s="1" t="s">
        <v>4739</v>
      </c>
      <c r="AP105" s="1">
        <v>0</v>
      </c>
      <c r="AQ105" s="1" t="s">
        <v>1168</v>
      </c>
      <c r="AR105" s="1" t="s">
        <v>1169</v>
      </c>
      <c r="AS105" s="1" t="s">
        <v>1170</v>
      </c>
      <c r="AT105" s="1" t="s">
        <v>329</v>
      </c>
      <c r="AU105" s="1">
        <v>109</v>
      </c>
      <c r="AV105" s="1">
        <v>0</v>
      </c>
      <c r="AW105" s="1" t="s">
        <v>4493</v>
      </c>
      <c r="AX105" s="1" t="s">
        <v>4981</v>
      </c>
      <c r="AY105" s="1">
        <v>5</v>
      </c>
      <c r="AZ105" s="1">
        <v>0</v>
      </c>
      <c r="BA105" s="1" t="s">
        <v>329</v>
      </c>
      <c r="BB105" s="1" t="s">
        <v>4982</v>
      </c>
      <c r="BC105" s="1" t="s">
        <v>4770</v>
      </c>
      <c r="BD105" s="1">
        <v>10402</v>
      </c>
      <c r="BE105" s="1"/>
      <c r="BH105">
        <f>COUNTIF(Dropdowns!$I:$AF,C105)</f>
        <v>2</v>
      </c>
    </row>
    <row r="106" spans="1:60" x14ac:dyDescent="0.25">
      <c r="A106" s="1">
        <v>110</v>
      </c>
      <c r="B106" s="1" t="s">
        <v>3086</v>
      </c>
      <c r="C106" s="241" t="s">
        <v>125</v>
      </c>
      <c r="D106" s="1" t="s">
        <v>125</v>
      </c>
      <c r="E106" s="1"/>
      <c r="F106" s="1"/>
      <c r="G106" s="1" t="s">
        <v>3087</v>
      </c>
      <c r="H106" s="1" t="s">
        <v>3088</v>
      </c>
      <c r="I106" s="1" t="s">
        <v>3089</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1171</v>
      </c>
      <c r="AK106" s="1" t="s">
        <v>329</v>
      </c>
      <c r="AL106" s="1">
        <v>18</v>
      </c>
      <c r="AM106" s="1" t="s">
        <v>4859</v>
      </c>
      <c r="AN106" s="1" t="s">
        <v>4932</v>
      </c>
      <c r="AO106" s="1" t="s">
        <v>4983</v>
      </c>
      <c r="AP106" s="1">
        <v>0</v>
      </c>
      <c r="AQ106" s="1" t="s">
        <v>1168</v>
      </c>
      <c r="AR106" s="1" t="s">
        <v>4912</v>
      </c>
      <c r="AS106" s="1" t="s">
        <v>1170</v>
      </c>
      <c r="AT106" s="1" t="s">
        <v>329</v>
      </c>
      <c r="AU106" s="1">
        <v>110</v>
      </c>
      <c r="AV106" s="1">
        <v>0</v>
      </c>
      <c r="AW106" s="1" t="s">
        <v>4493</v>
      </c>
      <c r="AX106" s="1" t="s">
        <v>471</v>
      </c>
      <c r="AY106" s="1">
        <v>2</v>
      </c>
      <c r="AZ106" s="1">
        <v>0</v>
      </c>
      <c r="BA106" s="1" t="s">
        <v>329</v>
      </c>
      <c r="BB106" s="1" t="s">
        <v>354</v>
      </c>
      <c r="BC106" s="1" t="s">
        <v>4770</v>
      </c>
      <c r="BD106" s="1">
        <v>10303</v>
      </c>
      <c r="BE106" s="1"/>
      <c r="BH106">
        <f>COUNTIF(Dropdowns!$I:$AF,C106)</f>
        <v>1</v>
      </c>
    </row>
    <row r="107" spans="1:60" x14ac:dyDescent="0.25">
      <c r="A107" s="1">
        <v>111</v>
      </c>
      <c r="B107" s="1" t="s">
        <v>3090</v>
      </c>
      <c r="C107" s="241" t="s">
        <v>1622</v>
      </c>
      <c r="D107" s="1" t="s">
        <v>1622</v>
      </c>
      <c r="E107" s="1"/>
      <c r="F107" s="1"/>
      <c r="G107" s="1" t="s">
        <v>3091</v>
      </c>
      <c r="H107" s="1" t="s">
        <v>3092</v>
      </c>
      <c r="I107" s="1" t="s">
        <v>3093</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1171</v>
      </c>
      <c r="AK107" s="1" t="s">
        <v>329</v>
      </c>
      <c r="AL107" s="1">
        <v>17</v>
      </c>
      <c r="AM107" s="1" t="s">
        <v>4859</v>
      </c>
      <c r="AN107" s="1" t="s">
        <v>890</v>
      </c>
      <c r="AO107" s="1" t="s">
        <v>4952</v>
      </c>
      <c r="AP107" s="1">
        <v>0</v>
      </c>
      <c r="AQ107" s="1" t="s">
        <v>1168</v>
      </c>
      <c r="AR107" s="1" t="s">
        <v>1169</v>
      </c>
      <c r="AS107" s="1" t="s">
        <v>1170</v>
      </c>
      <c r="AT107" s="1" t="s">
        <v>329</v>
      </c>
      <c r="AU107" s="1">
        <v>111</v>
      </c>
      <c r="AV107" s="1">
        <v>0</v>
      </c>
      <c r="AW107" s="1" t="s">
        <v>4493</v>
      </c>
      <c r="AX107" s="1" t="s">
        <v>471</v>
      </c>
      <c r="AY107" s="1">
        <v>2</v>
      </c>
      <c r="AZ107" s="1">
        <v>0</v>
      </c>
      <c r="BA107" s="1" t="s">
        <v>329</v>
      </c>
      <c r="BB107" s="1" t="s">
        <v>4984</v>
      </c>
      <c r="BC107" s="1" t="s">
        <v>329</v>
      </c>
      <c r="BD107" s="1">
        <v>10704</v>
      </c>
      <c r="BE107" s="1"/>
      <c r="BH107">
        <f>COUNTIF(Dropdowns!$I:$AF,C107)</f>
        <v>1</v>
      </c>
    </row>
    <row r="108" spans="1:60" x14ac:dyDescent="0.25">
      <c r="A108" s="1">
        <v>112</v>
      </c>
      <c r="B108" s="1" t="s">
        <v>3094</v>
      </c>
      <c r="C108" s="241" t="s">
        <v>126</v>
      </c>
      <c r="D108" s="1" t="s">
        <v>3095</v>
      </c>
      <c r="E108" s="1"/>
      <c r="F108" s="1"/>
      <c r="G108" s="1" t="s">
        <v>3096</v>
      </c>
      <c r="H108" s="1" t="s">
        <v>3097</v>
      </c>
      <c r="I108" s="1" t="s">
        <v>3098</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1185</v>
      </c>
      <c r="AK108" s="1" t="s">
        <v>329</v>
      </c>
      <c r="AL108" s="1">
        <v>18</v>
      </c>
      <c r="AM108" s="1" t="s">
        <v>4859</v>
      </c>
      <c r="AN108" s="1" t="s">
        <v>4985</v>
      </c>
      <c r="AO108" s="1" t="s">
        <v>4986</v>
      </c>
      <c r="AP108" s="1">
        <v>0</v>
      </c>
      <c r="AQ108" s="1" t="s">
        <v>1168</v>
      </c>
      <c r="AR108" s="1" t="s">
        <v>1169</v>
      </c>
      <c r="AS108" s="1" t="s">
        <v>1170</v>
      </c>
      <c r="AT108" s="1" t="s">
        <v>329</v>
      </c>
      <c r="AU108" s="1">
        <v>112</v>
      </c>
      <c r="AV108" s="1">
        <v>0</v>
      </c>
      <c r="AW108" s="1" t="s">
        <v>4493</v>
      </c>
      <c r="AX108" s="1" t="s">
        <v>332</v>
      </c>
      <c r="AY108" s="1">
        <v>5</v>
      </c>
      <c r="AZ108" s="1">
        <v>0</v>
      </c>
      <c r="BA108" s="1" t="s">
        <v>329</v>
      </c>
      <c r="BB108" s="1" t="s">
        <v>4987</v>
      </c>
      <c r="BC108" s="1" t="s">
        <v>329</v>
      </c>
      <c r="BD108" s="1">
        <v>10202</v>
      </c>
      <c r="BE108" s="1"/>
      <c r="BH108">
        <f>COUNTIF(Dropdowns!$I:$AF,C108)</f>
        <v>1</v>
      </c>
    </row>
    <row r="109" spans="1:60" x14ac:dyDescent="0.25">
      <c r="A109" s="1">
        <v>113</v>
      </c>
      <c r="B109" s="1" t="s">
        <v>3099</v>
      </c>
      <c r="C109" s="241" t="s">
        <v>750</v>
      </c>
      <c r="D109" s="1" t="s">
        <v>3100</v>
      </c>
      <c r="E109" s="1"/>
      <c r="F109" s="1"/>
      <c r="G109" s="1" t="s">
        <v>3101</v>
      </c>
      <c r="H109" s="1" t="s">
        <v>3102</v>
      </c>
      <c r="I109" s="1" t="s">
        <v>3103</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4988</v>
      </c>
      <c r="AK109" s="1" t="s">
        <v>329</v>
      </c>
      <c r="AL109" s="1">
        <v>13</v>
      </c>
      <c r="AM109" s="1" t="s">
        <v>1807</v>
      </c>
      <c r="AN109" s="1" t="s">
        <v>4755</v>
      </c>
      <c r="AO109" s="1" t="s">
        <v>4904</v>
      </c>
      <c r="AP109" s="1">
        <v>0</v>
      </c>
      <c r="AQ109" s="1" t="s">
        <v>4743</v>
      </c>
      <c r="AR109" s="1" t="s">
        <v>1120</v>
      </c>
      <c r="AS109" s="1" t="s">
        <v>1121</v>
      </c>
      <c r="AT109" s="1" t="s">
        <v>329</v>
      </c>
      <c r="AU109" s="1">
        <v>113</v>
      </c>
      <c r="AV109" s="1">
        <v>0</v>
      </c>
      <c r="AW109" s="1" t="s">
        <v>4989</v>
      </c>
      <c r="AX109" s="1" t="s">
        <v>4935</v>
      </c>
      <c r="AY109" s="1">
        <v>3</v>
      </c>
      <c r="AZ109" s="1">
        <v>0</v>
      </c>
      <c r="BA109" s="1" t="s">
        <v>329</v>
      </c>
      <c r="BB109" s="1" t="s">
        <v>329</v>
      </c>
      <c r="BC109" s="1" t="s">
        <v>4758</v>
      </c>
      <c r="BD109" s="1">
        <v>10801</v>
      </c>
      <c r="BE109" s="1"/>
      <c r="BH109">
        <f>COUNTIF(Dropdowns!$I:$AF,C109)</f>
        <v>0</v>
      </c>
    </row>
    <row r="110" spans="1:60" x14ac:dyDescent="0.25">
      <c r="A110" s="1">
        <v>114</v>
      </c>
      <c r="B110" s="1" t="s">
        <v>3104</v>
      </c>
      <c r="C110" s="241" t="s">
        <v>836</v>
      </c>
      <c r="D110" s="1" t="s">
        <v>3105</v>
      </c>
      <c r="E110" s="1"/>
      <c r="F110" s="1"/>
      <c r="G110" s="1" t="s">
        <v>3106</v>
      </c>
      <c r="H110" s="1" t="s">
        <v>3107</v>
      </c>
      <c r="I110" s="1" t="s">
        <v>3108</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1807</v>
      </c>
      <c r="AN110" s="1" t="s">
        <v>4948</v>
      </c>
      <c r="AO110" s="1" t="s">
        <v>4918</v>
      </c>
      <c r="AP110" s="1">
        <v>0</v>
      </c>
      <c r="AQ110" s="1" t="s">
        <v>1119</v>
      </c>
      <c r="AR110" s="1" t="s">
        <v>1120</v>
      </c>
      <c r="AS110" s="1" t="s">
        <v>4762</v>
      </c>
      <c r="AT110" s="1" t="s">
        <v>329</v>
      </c>
      <c r="AU110" s="1">
        <v>114</v>
      </c>
      <c r="AV110" s="1">
        <v>0</v>
      </c>
      <c r="AW110" s="1" t="s">
        <v>4970</v>
      </c>
      <c r="AX110" s="1" t="s">
        <v>4763</v>
      </c>
      <c r="AY110" s="1">
        <v>5</v>
      </c>
      <c r="AZ110" s="1">
        <v>0</v>
      </c>
      <c r="BA110" s="1" t="s">
        <v>4856</v>
      </c>
      <c r="BB110" s="1" t="s">
        <v>4990</v>
      </c>
      <c r="BC110" s="1" t="s">
        <v>329</v>
      </c>
      <c r="BD110" s="1">
        <v>103</v>
      </c>
      <c r="BE110" s="1"/>
      <c r="BH110">
        <f>COUNTIF(Dropdowns!$I:$AF,C110)</f>
        <v>0</v>
      </c>
    </row>
    <row r="111" spans="1:60" x14ac:dyDescent="0.25">
      <c r="A111" s="1">
        <v>115</v>
      </c>
      <c r="B111" s="1" t="s">
        <v>3109</v>
      </c>
      <c r="C111" s="241" t="s">
        <v>127</v>
      </c>
      <c r="D111" s="1" t="s">
        <v>3110</v>
      </c>
      <c r="E111" s="1"/>
      <c r="F111" s="1"/>
      <c r="G111" s="1" t="s">
        <v>3111</v>
      </c>
      <c r="H111" s="1" t="s">
        <v>3112</v>
      </c>
      <c r="I111" s="1" t="s">
        <v>3113</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4991</v>
      </c>
      <c r="AK111" s="1" t="s">
        <v>329</v>
      </c>
      <c r="AL111" s="1">
        <v>13</v>
      </c>
      <c r="AM111" s="1" t="s">
        <v>4791</v>
      </c>
      <c r="AN111" s="1" t="s">
        <v>389</v>
      </c>
      <c r="AO111" s="1" t="s">
        <v>4992</v>
      </c>
      <c r="AP111" s="1">
        <v>0</v>
      </c>
      <c r="AQ111" s="1" t="s">
        <v>1745</v>
      </c>
      <c r="AR111" s="1" t="s">
        <v>1120</v>
      </c>
      <c r="AS111" s="1" t="s">
        <v>1131</v>
      </c>
      <c r="AT111" s="1" t="s">
        <v>329</v>
      </c>
      <c r="AU111" s="1">
        <v>115</v>
      </c>
      <c r="AV111" s="1">
        <v>0</v>
      </c>
      <c r="AW111" s="1" t="s">
        <v>4970</v>
      </c>
      <c r="AX111" s="1" t="s">
        <v>332</v>
      </c>
      <c r="AY111" s="1">
        <v>5</v>
      </c>
      <c r="AZ111" s="1">
        <v>0</v>
      </c>
      <c r="BA111" s="1" t="s">
        <v>329</v>
      </c>
      <c r="BB111" s="1" t="s">
        <v>4993</v>
      </c>
      <c r="BC111" s="1" t="s">
        <v>329</v>
      </c>
      <c r="BD111" s="1">
        <v>10803</v>
      </c>
      <c r="BE111" s="1"/>
      <c r="BH111">
        <f>COUNTIF(Dropdowns!$I:$AF,C111)</f>
        <v>1</v>
      </c>
    </row>
    <row r="112" spans="1:60" x14ac:dyDescent="0.25">
      <c r="A112" s="1">
        <v>116</v>
      </c>
      <c r="B112" s="1" t="s">
        <v>3114</v>
      </c>
      <c r="C112" s="241" t="s">
        <v>1623</v>
      </c>
      <c r="D112" s="1" t="s">
        <v>1623</v>
      </c>
      <c r="E112" s="1"/>
      <c r="F112" s="1"/>
      <c r="G112" s="1" t="s">
        <v>3115</v>
      </c>
      <c r="H112" s="1" t="s">
        <v>3116</v>
      </c>
      <c r="I112" s="1" t="s">
        <v>3117</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1122</v>
      </c>
      <c r="AK112" s="1" t="s">
        <v>329</v>
      </c>
      <c r="AL112" s="1">
        <v>13</v>
      </c>
      <c r="AM112" s="1" t="s">
        <v>4791</v>
      </c>
      <c r="AN112" s="1" t="s">
        <v>4994</v>
      </c>
      <c r="AO112" s="1" t="s">
        <v>4995</v>
      </c>
      <c r="AP112" s="1">
        <v>0</v>
      </c>
      <c r="AQ112" s="1" t="s">
        <v>1130</v>
      </c>
      <c r="AR112" s="1" t="s">
        <v>1120</v>
      </c>
      <c r="AS112" s="1" t="s">
        <v>1131</v>
      </c>
      <c r="AT112" s="1" t="s">
        <v>329</v>
      </c>
      <c r="AU112" s="1">
        <v>116</v>
      </c>
      <c r="AV112" s="1">
        <v>0</v>
      </c>
      <c r="AW112" s="1" t="s">
        <v>4961</v>
      </c>
      <c r="AX112" s="1" t="s">
        <v>4996</v>
      </c>
      <c r="AY112" s="1">
        <v>3</v>
      </c>
      <c r="AZ112" s="1">
        <v>0</v>
      </c>
      <c r="BA112" s="1" t="s">
        <v>329</v>
      </c>
      <c r="BB112" s="1" t="s">
        <v>4997</v>
      </c>
      <c r="BC112" s="1" t="s">
        <v>329</v>
      </c>
      <c r="BD112" s="1">
        <v>10704</v>
      </c>
      <c r="BE112" s="1"/>
      <c r="BH112">
        <f>COUNTIF(Dropdowns!$I:$AF,C112)</f>
        <v>1</v>
      </c>
    </row>
    <row r="113" spans="1:60" x14ac:dyDescent="0.25">
      <c r="A113" s="1">
        <v>117</v>
      </c>
      <c r="B113" s="1" t="s">
        <v>3118</v>
      </c>
      <c r="C113" s="241" t="s">
        <v>1624</v>
      </c>
      <c r="D113" s="1" t="s">
        <v>1624</v>
      </c>
      <c r="E113" s="1"/>
      <c r="F113" s="1"/>
      <c r="G113" s="1" t="s">
        <v>3119</v>
      </c>
      <c r="H113" s="1" t="s">
        <v>3120</v>
      </c>
      <c r="I113" s="1" t="s">
        <v>3121</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1144</v>
      </c>
      <c r="AK113" s="1" t="s">
        <v>329</v>
      </c>
      <c r="AL113" s="1">
        <v>13</v>
      </c>
      <c r="AM113" s="1" t="s">
        <v>4763</v>
      </c>
      <c r="AN113" s="1" t="s">
        <v>465</v>
      </c>
      <c r="AO113" s="1" t="s">
        <v>4833</v>
      </c>
      <c r="AP113" s="1">
        <v>0</v>
      </c>
      <c r="AQ113" s="1" t="s">
        <v>1141</v>
      </c>
      <c r="AR113" s="1" t="s">
        <v>1142</v>
      </c>
      <c r="AS113" s="1" t="s">
        <v>1143</v>
      </c>
      <c r="AT113" s="1" t="s">
        <v>329</v>
      </c>
      <c r="AU113" s="1">
        <v>117</v>
      </c>
      <c r="AV113" s="1">
        <v>0</v>
      </c>
      <c r="AW113" s="1" t="s">
        <v>4961</v>
      </c>
      <c r="AX113" s="1" t="s">
        <v>4996</v>
      </c>
      <c r="AY113" s="1">
        <v>4</v>
      </c>
      <c r="AZ113" s="1">
        <v>0</v>
      </c>
      <c r="BA113" s="1" t="s">
        <v>329</v>
      </c>
      <c r="BB113" s="1" t="s">
        <v>4760</v>
      </c>
      <c r="BC113" s="1" t="s">
        <v>4770</v>
      </c>
      <c r="BD113" s="1">
        <v>10302</v>
      </c>
      <c r="BE113" s="1"/>
      <c r="BH113">
        <f>COUNTIF(Dropdowns!$I:$AF,C113)</f>
        <v>1</v>
      </c>
    </row>
    <row r="114" spans="1:60" x14ac:dyDescent="0.25">
      <c r="A114" s="1">
        <v>118</v>
      </c>
      <c r="B114" s="1" t="s">
        <v>3122</v>
      </c>
      <c r="C114" s="241" t="s">
        <v>717</v>
      </c>
      <c r="D114" s="1" t="s">
        <v>717</v>
      </c>
      <c r="E114" s="1"/>
      <c r="F114" s="1"/>
      <c r="G114" s="1" t="s">
        <v>3123</v>
      </c>
      <c r="H114" s="1" t="s">
        <v>3124</v>
      </c>
      <c r="I114" s="1" t="s">
        <v>3125</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1186</v>
      </c>
      <c r="AK114" s="1" t="s">
        <v>4998</v>
      </c>
      <c r="AL114" s="1">
        <v>13</v>
      </c>
      <c r="AM114" s="1" t="s">
        <v>4720</v>
      </c>
      <c r="AN114" s="1" t="s">
        <v>4835</v>
      </c>
      <c r="AO114" s="1" t="s">
        <v>4999</v>
      </c>
      <c r="AP114" s="1">
        <v>0</v>
      </c>
      <c r="AQ114" s="1" t="s">
        <v>1746</v>
      </c>
      <c r="AR114" s="1" t="s">
        <v>1155</v>
      </c>
      <c r="AS114" s="1" t="s">
        <v>1745</v>
      </c>
      <c r="AT114" s="1" t="s">
        <v>329</v>
      </c>
      <c r="AU114" s="1">
        <v>118</v>
      </c>
      <c r="AV114" s="1">
        <v>0</v>
      </c>
      <c r="AW114" s="1" t="s">
        <v>4970</v>
      </c>
      <c r="AX114" s="1" t="s">
        <v>4798</v>
      </c>
      <c r="AY114" s="1">
        <v>4</v>
      </c>
      <c r="AZ114" s="1">
        <v>0</v>
      </c>
      <c r="BA114" s="1" t="s">
        <v>329</v>
      </c>
      <c r="BB114" s="1" t="s">
        <v>5000</v>
      </c>
      <c r="BC114" s="1" t="s">
        <v>4758</v>
      </c>
      <c r="BD114" s="1">
        <v>10403</v>
      </c>
      <c r="BE114" s="1"/>
      <c r="BH114">
        <f>COUNTIF(Dropdowns!$I:$AF,C114)</f>
        <v>1</v>
      </c>
    </row>
    <row r="115" spans="1:60" x14ac:dyDescent="0.25">
      <c r="A115" s="1">
        <v>119</v>
      </c>
      <c r="B115" s="1" t="s">
        <v>3126</v>
      </c>
      <c r="C115" s="241" t="s">
        <v>1625</v>
      </c>
      <c r="D115" s="1" t="s">
        <v>1625</v>
      </c>
      <c r="E115" s="1"/>
      <c r="F115" s="1"/>
      <c r="G115" s="1" t="s">
        <v>3127</v>
      </c>
      <c r="H115" s="1" t="s">
        <v>3128</v>
      </c>
      <c r="I115" s="1" t="s">
        <v>3129</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4720</v>
      </c>
      <c r="AN115" s="1" t="s">
        <v>4865</v>
      </c>
      <c r="AO115" s="1" t="s">
        <v>5001</v>
      </c>
      <c r="AP115" s="1">
        <v>0</v>
      </c>
      <c r="AQ115" s="1" t="s">
        <v>1131</v>
      </c>
      <c r="AR115" s="1" t="s">
        <v>1155</v>
      </c>
      <c r="AS115" s="1" t="s">
        <v>1130</v>
      </c>
      <c r="AT115" s="1" t="s">
        <v>329</v>
      </c>
      <c r="AU115" s="1">
        <v>119</v>
      </c>
      <c r="AV115" s="1">
        <v>0</v>
      </c>
      <c r="AW115" s="1" t="s">
        <v>4961</v>
      </c>
      <c r="AX115" s="1" t="s">
        <v>1807</v>
      </c>
      <c r="AY115" s="1">
        <v>5</v>
      </c>
      <c r="AZ115" s="1">
        <v>0</v>
      </c>
      <c r="BA115" s="1" t="s">
        <v>329</v>
      </c>
      <c r="BB115" s="1" t="s">
        <v>5002</v>
      </c>
      <c r="BC115" s="1" t="s">
        <v>4758</v>
      </c>
      <c r="BD115" s="1">
        <v>10202</v>
      </c>
      <c r="BE115" s="1"/>
      <c r="BH115">
        <f>COUNTIF(Dropdowns!$I:$AF,C115)</f>
        <v>1</v>
      </c>
    </row>
    <row r="116" spans="1:60" x14ac:dyDescent="0.25">
      <c r="A116" s="1">
        <v>120</v>
      </c>
      <c r="B116" s="1" t="s">
        <v>3130</v>
      </c>
      <c r="C116" s="241" t="s">
        <v>1626</v>
      </c>
      <c r="D116" s="1" t="s">
        <v>1626</v>
      </c>
      <c r="E116" s="1"/>
      <c r="F116" s="1"/>
      <c r="G116" s="1" t="s">
        <v>3131</v>
      </c>
      <c r="H116" s="1" t="s">
        <v>3132</v>
      </c>
      <c r="I116" s="1" t="s">
        <v>3133</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1122</v>
      </c>
      <c r="AK116" s="1" t="s">
        <v>329</v>
      </c>
      <c r="AL116" s="1">
        <v>13</v>
      </c>
      <c r="AM116" s="1" t="s">
        <v>4720</v>
      </c>
      <c r="AN116" s="1" t="s">
        <v>466</v>
      </c>
      <c r="AO116" s="1" t="s">
        <v>5003</v>
      </c>
      <c r="AP116" s="1">
        <v>0</v>
      </c>
      <c r="AQ116" s="1" t="s">
        <v>1131</v>
      </c>
      <c r="AR116" s="1" t="s">
        <v>1155</v>
      </c>
      <c r="AS116" s="1" t="s">
        <v>1130</v>
      </c>
      <c r="AT116" s="1" t="s">
        <v>329</v>
      </c>
      <c r="AU116" s="1">
        <v>120</v>
      </c>
      <c r="AV116" s="1">
        <v>0</v>
      </c>
      <c r="AW116" s="1" t="s">
        <v>4961</v>
      </c>
      <c r="AX116" s="1" t="s">
        <v>4996</v>
      </c>
      <c r="AY116" s="1">
        <v>3</v>
      </c>
      <c r="AZ116" s="1">
        <v>0</v>
      </c>
      <c r="BA116" s="1" t="s">
        <v>329</v>
      </c>
      <c r="BB116" s="1" t="s">
        <v>4916</v>
      </c>
      <c r="BC116" s="1" t="s">
        <v>4740</v>
      </c>
      <c r="BD116" s="1">
        <v>10403</v>
      </c>
      <c r="BE116" s="1"/>
      <c r="BH116">
        <f>COUNTIF(Dropdowns!$I:$AF,C116)</f>
        <v>1</v>
      </c>
    </row>
    <row r="117" spans="1:60" x14ac:dyDescent="0.25">
      <c r="A117" s="1">
        <v>121</v>
      </c>
      <c r="B117" s="1" t="s">
        <v>3134</v>
      </c>
      <c r="C117" s="241" t="s">
        <v>128</v>
      </c>
      <c r="D117" s="1" t="s">
        <v>128</v>
      </c>
      <c r="E117" s="1"/>
      <c r="F117" s="1"/>
      <c r="G117" s="1" t="s">
        <v>3135</v>
      </c>
      <c r="H117" s="1" t="s">
        <v>3136</v>
      </c>
      <c r="I117" s="1" t="s">
        <v>3137</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1167</v>
      </c>
      <c r="AK117" s="1" t="s">
        <v>329</v>
      </c>
      <c r="AL117" s="1">
        <v>19</v>
      </c>
      <c r="AM117" s="1" t="s">
        <v>4859</v>
      </c>
      <c r="AN117" s="1" t="s">
        <v>4929</v>
      </c>
      <c r="AO117" s="1" t="s">
        <v>5004</v>
      </c>
      <c r="AP117" s="1">
        <v>0</v>
      </c>
      <c r="AQ117" s="1" t="s">
        <v>1168</v>
      </c>
      <c r="AR117" s="1" t="s">
        <v>1169</v>
      </c>
      <c r="AS117" s="1" t="s">
        <v>1170</v>
      </c>
      <c r="AT117" s="1" t="s">
        <v>329</v>
      </c>
      <c r="AU117" s="1">
        <v>121</v>
      </c>
      <c r="AV117" s="1">
        <v>0</v>
      </c>
      <c r="AW117" s="1" t="s">
        <v>4970</v>
      </c>
      <c r="AX117" s="1" t="s">
        <v>332</v>
      </c>
      <c r="AY117" s="1">
        <v>4</v>
      </c>
      <c r="AZ117" s="1">
        <v>0</v>
      </c>
      <c r="BA117" s="1" t="s">
        <v>329</v>
      </c>
      <c r="BB117" s="1" t="s">
        <v>5005</v>
      </c>
      <c r="BC117" s="1" t="s">
        <v>4721</v>
      </c>
      <c r="BD117" s="1">
        <v>10402</v>
      </c>
      <c r="BE117" s="1"/>
      <c r="BH117">
        <f>COUNTIF(Dropdowns!$I:$AF,C117)</f>
        <v>1</v>
      </c>
    </row>
    <row r="118" spans="1:60" x14ac:dyDescent="0.25">
      <c r="A118" s="1">
        <v>122</v>
      </c>
      <c r="B118" s="1" t="s">
        <v>3138</v>
      </c>
      <c r="C118" s="241" t="s">
        <v>1187</v>
      </c>
      <c r="D118" s="1" t="s">
        <v>1187</v>
      </c>
      <c r="E118" s="1"/>
      <c r="F118" s="1"/>
      <c r="G118" s="1" t="s">
        <v>3139</v>
      </c>
      <c r="H118" s="1" t="s">
        <v>3140</v>
      </c>
      <c r="I118" s="1" t="s">
        <v>3141</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1188</v>
      </c>
      <c r="AK118" s="1" t="s">
        <v>329</v>
      </c>
      <c r="AL118" s="1">
        <v>13</v>
      </c>
      <c r="AM118" s="1" t="s">
        <v>4720</v>
      </c>
      <c r="AN118" s="1" t="s">
        <v>476</v>
      </c>
      <c r="AO118" s="1" t="s">
        <v>5006</v>
      </c>
      <c r="AP118" s="1">
        <v>0</v>
      </c>
      <c r="AQ118" s="1" t="s">
        <v>1131</v>
      </c>
      <c r="AR118" s="1" t="s">
        <v>1155</v>
      </c>
      <c r="AS118" s="1" t="s">
        <v>1745</v>
      </c>
      <c r="AT118" s="1" t="s">
        <v>329</v>
      </c>
      <c r="AU118" s="1">
        <v>122</v>
      </c>
      <c r="AV118" s="1">
        <v>0</v>
      </c>
      <c r="AW118" s="1" t="s">
        <v>4961</v>
      </c>
      <c r="AX118" s="1" t="s">
        <v>332</v>
      </c>
      <c r="AY118" s="1">
        <v>5</v>
      </c>
      <c r="AZ118" s="1">
        <v>0</v>
      </c>
      <c r="BA118" s="1" t="s">
        <v>4856</v>
      </c>
      <c r="BB118" s="1" t="s">
        <v>5007</v>
      </c>
      <c r="BC118" s="1" t="s">
        <v>4890</v>
      </c>
      <c r="BD118" s="1">
        <v>10104</v>
      </c>
      <c r="BE118" s="1"/>
      <c r="BH118">
        <f>COUNTIF(Dropdowns!$I:$AF,C118)</f>
        <v>1</v>
      </c>
    </row>
    <row r="119" spans="1:60" x14ac:dyDescent="0.25">
      <c r="A119" s="1">
        <v>123</v>
      </c>
      <c r="B119" s="1" t="s">
        <v>3142</v>
      </c>
      <c r="C119" s="241" t="s">
        <v>129</v>
      </c>
      <c r="D119" s="1" t="s">
        <v>129</v>
      </c>
      <c r="E119" s="1"/>
      <c r="F119" s="1"/>
      <c r="G119" s="1" t="s">
        <v>3143</v>
      </c>
      <c r="H119" s="1" t="s">
        <v>3144</v>
      </c>
      <c r="I119" s="1" t="s">
        <v>3145</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1126</v>
      </c>
      <c r="AK119" s="1" t="s">
        <v>329</v>
      </c>
      <c r="AL119" s="1">
        <v>13</v>
      </c>
      <c r="AM119" s="1" t="s">
        <v>1807</v>
      </c>
      <c r="AN119" s="1" t="s">
        <v>4774</v>
      </c>
      <c r="AO119" s="1" t="s">
        <v>5008</v>
      </c>
      <c r="AP119" s="1">
        <v>0</v>
      </c>
      <c r="AQ119" s="1" t="s">
        <v>1119</v>
      </c>
      <c r="AR119" s="1" t="s">
        <v>1120</v>
      </c>
      <c r="AS119" s="1" t="s">
        <v>1121</v>
      </c>
      <c r="AT119" s="1" t="s">
        <v>329</v>
      </c>
      <c r="AU119" s="1">
        <v>123</v>
      </c>
      <c r="AV119" s="1">
        <v>0</v>
      </c>
      <c r="AW119" s="1" t="s">
        <v>4843</v>
      </c>
      <c r="AX119" s="1" t="s">
        <v>4763</v>
      </c>
      <c r="AY119" s="1">
        <v>3</v>
      </c>
      <c r="AZ119" s="1">
        <v>0</v>
      </c>
      <c r="BA119" s="1" t="s">
        <v>329</v>
      </c>
      <c r="BB119" s="1" t="s">
        <v>5009</v>
      </c>
      <c r="BC119" s="1" t="s">
        <v>4770</v>
      </c>
      <c r="BD119" s="1">
        <v>10704</v>
      </c>
      <c r="BE119" s="1"/>
      <c r="BH119">
        <f>COUNTIF(Dropdowns!$I:$AF,C119)</f>
        <v>0</v>
      </c>
    </row>
    <row r="120" spans="1:60" x14ac:dyDescent="0.25">
      <c r="A120" s="1">
        <v>124</v>
      </c>
      <c r="B120" s="1" t="s">
        <v>3146</v>
      </c>
      <c r="C120" s="241" t="s">
        <v>130</v>
      </c>
      <c r="D120" s="1" t="s">
        <v>3147</v>
      </c>
      <c r="E120" s="1"/>
      <c r="F120" s="1"/>
      <c r="G120" s="1" t="s">
        <v>3148</v>
      </c>
      <c r="H120" s="1" t="s">
        <v>3149</v>
      </c>
      <c r="I120" s="1" t="s">
        <v>3150</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1189</v>
      </c>
      <c r="AK120" s="1" t="s">
        <v>329</v>
      </c>
      <c r="AL120" s="1">
        <v>13</v>
      </c>
      <c r="AM120" s="1" t="s">
        <v>4763</v>
      </c>
      <c r="AN120" s="1" t="s">
        <v>4832</v>
      </c>
      <c r="AO120" s="1" t="s">
        <v>4827</v>
      </c>
      <c r="AP120" s="1">
        <v>0</v>
      </c>
      <c r="AQ120" s="1" t="s">
        <v>1141</v>
      </c>
      <c r="AR120" s="1" t="s">
        <v>4836</v>
      </c>
      <c r="AS120" s="1" t="s">
        <v>1143</v>
      </c>
      <c r="AT120" s="1" t="s">
        <v>329</v>
      </c>
      <c r="AU120" s="1">
        <v>124</v>
      </c>
      <c r="AV120" s="1">
        <v>0</v>
      </c>
      <c r="AW120" s="1" t="s">
        <v>5010</v>
      </c>
      <c r="AX120" s="1" t="s">
        <v>4850</v>
      </c>
      <c r="AY120" s="1">
        <v>3</v>
      </c>
      <c r="AZ120" s="1">
        <v>0</v>
      </c>
      <c r="BA120" s="1" t="s">
        <v>4766</v>
      </c>
      <c r="BB120" s="1" t="s">
        <v>5011</v>
      </c>
      <c r="BC120" s="1" t="s">
        <v>4721</v>
      </c>
      <c r="BD120" s="1">
        <v>10202</v>
      </c>
      <c r="BE120" s="1"/>
      <c r="BH120">
        <f>COUNTIF(Dropdowns!$I:$AF,C120)</f>
        <v>1</v>
      </c>
    </row>
    <row r="121" spans="1:60" x14ac:dyDescent="0.25">
      <c r="A121" s="1">
        <v>125</v>
      </c>
      <c r="B121" s="1" t="s">
        <v>3151</v>
      </c>
      <c r="C121" s="241" t="s">
        <v>300</v>
      </c>
      <c r="D121" s="1" t="s">
        <v>300</v>
      </c>
      <c r="E121" s="1"/>
      <c r="F121" s="1"/>
      <c r="G121" s="1" t="s">
        <v>3152</v>
      </c>
      <c r="H121" s="1" t="s">
        <v>3153</v>
      </c>
      <c r="I121" s="1" t="s">
        <v>3154</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1190</v>
      </c>
      <c r="AK121" s="1" t="s">
        <v>329</v>
      </c>
      <c r="AL121" s="1">
        <v>18</v>
      </c>
      <c r="AM121" s="1" t="s">
        <v>4859</v>
      </c>
      <c r="AN121" s="1" t="s">
        <v>4932</v>
      </c>
      <c r="AO121" s="1" t="s">
        <v>5012</v>
      </c>
      <c r="AP121" s="1">
        <v>0</v>
      </c>
      <c r="AQ121" s="1" t="s">
        <v>5013</v>
      </c>
      <c r="AR121" s="1" t="s">
        <v>4912</v>
      </c>
      <c r="AS121" s="1" t="s">
        <v>1170</v>
      </c>
      <c r="AT121" s="1" t="s">
        <v>329</v>
      </c>
      <c r="AU121" s="1">
        <v>125</v>
      </c>
      <c r="AV121" s="1">
        <v>0</v>
      </c>
      <c r="AW121" s="1" t="s">
        <v>4843</v>
      </c>
      <c r="AX121" s="1" t="s">
        <v>332</v>
      </c>
      <c r="AY121" s="1">
        <v>5</v>
      </c>
      <c r="AZ121" s="1">
        <v>0</v>
      </c>
      <c r="BA121" s="1" t="s">
        <v>4856</v>
      </c>
      <c r="BB121" s="1" t="s">
        <v>329</v>
      </c>
      <c r="BC121" s="1" t="s">
        <v>4770</v>
      </c>
      <c r="BD121" s="1">
        <v>10402</v>
      </c>
      <c r="BE121" s="1"/>
      <c r="BH121">
        <f>COUNTIF(Dropdowns!$I:$AF,C121)</f>
        <v>2</v>
      </c>
    </row>
    <row r="122" spans="1:60" x14ac:dyDescent="0.25">
      <c r="A122" s="1">
        <v>126</v>
      </c>
      <c r="B122" s="1" t="s">
        <v>3155</v>
      </c>
      <c r="C122" s="241" t="s">
        <v>131</v>
      </c>
      <c r="D122" s="1" t="s">
        <v>131</v>
      </c>
      <c r="E122" s="1"/>
      <c r="F122" s="1"/>
      <c r="G122" s="1" t="s">
        <v>3156</v>
      </c>
      <c r="H122" s="1" t="s">
        <v>3157</v>
      </c>
      <c r="I122" s="1" t="s">
        <v>3158</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1807</v>
      </c>
      <c r="AN122" s="1" t="s">
        <v>5014</v>
      </c>
      <c r="AO122" s="1" t="s">
        <v>5015</v>
      </c>
      <c r="AP122" s="1">
        <v>0</v>
      </c>
      <c r="AQ122" s="1" t="s">
        <v>4743</v>
      </c>
      <c r="AR122" s="1" t="s">
        <v>1120</v>
      </c>
      <c r="AS122" s="1" t="s">
        <v>1121</v>
      </c>
      <c r="AT122" s="1" t="s">
        <v>329</v>
      </c>
      <c r="AU122" s="1">
        <v>126</v>
      </c>
      <c r="AV122" s="1">
        <v>0</v>
      </c>
      <c r="AW122" s="1" t="s">
        <v>5016</v>
      </c>
      <c r="AX122" s="1" t="s">
        <v>4763</v>
      </c>
      <c r="AY122" s="1">
        <v>5</v>
      </c>
      <c r="AZ122" s="1">
        <v>0</v>
      </c>
      <c r="BA122" s="1" t="s">
        <v>329</v>
      </c>
      <c r="BB122" s="1" t="s">
        <v>5017</v>
      </c>
      <c r="BC122" s="1" t="s">
        <v>4784</v>
      </c>
      <c r="BD122" s="1">
        <v>10402</v>
      </c>
      <c r="BE122" s="1"/>
      <c r="BH122">
        <f>COUNTIF(Dropdowns!$I:$AF,C122)</f>
        <v>0</v>
      </c>
    </row>
    <row r="123" spans="1:60" x14ac:dyDescent="0.25">
      <c r="A123" s="1">
        <v>127</v>
      </c>
      <c r="B123" s="1" t="s">
        <v>3159</v>
      </c>
      <c r="C123" s="241" t="s">
        <v>224</v>
      </c>
      <c r="D123" s="1" t="s">
        <v>3160</v>
      </c>
      <c r="E123" s="1"/>
      <c r="F123" s="1"/>
      <c r="G123" s="1" t="s">
        <v>3161</v>
      </c>
      <c r="H123" s="1" t="s">
        <v>3162</v>
      </c>
      <c r="I123" s="1" t="s">
        <v>3163</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1191</v>
      </c>
      <c r="AK123" s="1" t="s">
        <v>329</v>
      </c>
      <c r="AL123" s="1">
        <v>13</v>
      </c>
      <c r="AM123" s="1" t="s">
        <v>4791</v>
      </c>
      <c r="AN123" s="1" t="s">
        <v>389</v>
      </c>
      <c r="AO123" s="1" t="s">
        <v>4941</v>
      </c>
      <c r="AP123" s="1">
        <v>0</v>
      </c>
      <c r="AQ123" s="1" t="s">
        <v>1130</v>
      </c>
      <c r="AR123" s="1" t="s">
        <v>1744</v>
      </c>
      <c r="AS123" s="1" t="s">
        <v>1131</v>
      </c>
      <c r="AT123" s="1" t="s">
        <v>329</v>
      </c>
      <c r="AU123" s="1">
        <v>127</v>
      </c>
      <c r="AV123" s="1">
        <v>0</v>
      </c>
      <c r="AW123" s="1" t="s">
        <v>5016</v>
      </c>
      <c r="AX123" s="1" t="s">
        <v>332</v>
      </c>
      <c r="AY123" s="1">
        <v>5</v>
      </c>
      <c r="AZ123" s="1">
        <v>0</v>
      </c>
      <c r="BA123" s="1" t="s">
        <v>329</v>
      </c>
      <c r="BB123" s="1" t="s">
        <v>4953</v>
      </c>
      <c r="BC123" s="1" t="s">
        <v>4784</v>
      </c>
      <c r="BD123" s="1">
        <v>10203</v>
      </c>
      <c r="BE123" s="1"/>
      <c r="BH123">
        <f>COUNTIF(Dropdowns!$I:$AF,C123)</f>
        <v>1</v>
      </c>
    </row>
    <row r="124" spans="1:60" x14ac:dyDescent="0.25">
      <c r="A124" s="1">
        <v>128</v>
      </c>
      <c r="B124" s="1" t="s">
        <v>3164</v>
      </c>
      <c r="C124" s="241" t="s">
        <v>132</v>
      </c>
      <c r="D124" s="1" t="s">
        <v>132</v>
      </c>
      <c r="E124" s="1"/>
      <c r="F124" s="1"/>
      <c r="G124" s="1" t="s">
        <v>3165</v>
      </c>
      <c r="H124" s="1" t="s">
        <v>3166</v>
      </c>
      <c r="I124" s="1" t="s">
        <v>3167</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1147</v>
      </c>
      <c r="AK124" s="1" t="s">
        <v>329</v>
      </c>
      <c r="AL124" s="1">
        <v>13</v>
      </c>
      <c r="AM124" s="1" t="s">
        <v>4763</v>
      </c>
      <c r="AN124" s="1" t="s">
        <v>476</v>
      </c>
      <c r="AO124" s="1" t="s">
        <v>4846</v>
      </c>
      <c r="AP124" s="1">
        <v>0</v>
      </c>
      <c r="AQ124" s="1" t="s">
        <v>1141</v>
      </c>
      <c r="AR124" s="1" t="s">
        <v>1142</v>
      </c>
      <c r="AS124" s="1" t="s">
        <v>1143</v>
      </c>
      <c r="AT124" s="1" t="s">
        <v>329</v>
      </c>
      <c r="AU124" s="1">
        <v>128</v>
      </c>
      <c r="AV124" s="1">
        <v>0</v>
      </c>
      <c r="AW124" s="1" t="s">
        <v>5016</v>
      </c>
      <c r="AX124" s="1" t="s">
        <v>5018</v>
      </c>
      <c r="AY124" s="1">
        <v>5</v>
      </c>
      <c r="AZ124" s="1">
        <v>0</v>
      </c>
      <c r="BA124" s="1" t="s">
        <v>329</v>
      </c>
      <c r="BB124" s="1" t="s">
        <v>5019</v>
      </c>
      <c r="BC124" s="1" t="s">
        <v>4784</v>
      </c>
      <c r="BD124" s="1">
        <v>10203</v>
      </c>
      <c r="BE124" s="1"/>
      <c r="BH124">
        <f>COUNTIF(Dropdowns!$I:$AF,C124)</f>
        <v>1</v>
      </c>
    </row>
    <row r="125" spans="1:60" x14ac:dyDescent="0.25">
      <c r="A125" s="1">
        <v>129</v>
      </c>
      <c r="B125" s="1" t="s">
        <v>3168</v>
      </c>
      <c r="C125" s="241" t="s">
        <v>133</v>
      </c>
      <c r="D125" s="1" t="s">
        <v>3169</v>
      </c>
      <c r="E125" s="1"/>
      <c r="F125" s="1"/>
      <c r="G125" s="1" t="s">
        <v>3170</v>
      </c>
      <c r="H125" s="1" t="s">
        <v>3171</v>
      </c>
      <c r="I125" s="1" t="s">
        <v>3172</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1192</v>
      </c>
      <c r="AK125" s="1" t="s">
        <v>329</v>
      </c>
      <c r="AL125" s="1">
        <v>13</v>
      </c>
      <c r="AM125" s="1" t="s">
        <v>4720</v>
      </c>
      <c r="AN125" s="1" t="s">
        <v>466</v>
      </c>
      <c r="AO125" s="1" t="s">
        <v>5020</v>
      </c>
      <c r="AP125" s="1">
        <v>0</v>
      </c>
      <c r="AQ125" s="1" t="s">
        <v>1746</v>
      </c>
      <c r="AR125" s="1" t="s">
        <v>1155</v>
      </c>
      <c r="AS125" s="1" t="s">
        <v>1130</v>
      </c>
      <c r="AT125" s="1" t="s">
        <v>329</v>
      </c>
      <c r="AU125" s="1">
        <v>129</v>
      </c>
      <c r="AV125" s="1">
        <v>0</v>
      </c>
      <c r="AW125" s="1" t="s">
        <v>5016</v>
      </c>
      <c r="AX125" s="1" t="s">
        <v>332</v>
      </c>
      <c r="AY125" s="1">
        <v>5</v>
      </c>
      <c r="AZ125" s="1">
        <v>0</v>
      </c>
      <c r="BA125" s="1" t="s">
        <v>329</v>
      </c>
      <c r="BB125" s="1" t="s">
        <v>5021</v>
      </c>
      <c r="BC125" s="1" t="s">
        <v>4784</v>
      </c>
      <c r="BD125" s="1">
        <v>10203</v>
      </c>
      <c r="BE125" s="1"/>
      <c r="BH125">
        <f>COUNTIF(Dropdowns!$I:$AF,C125)</f>
        <v>1</v>
      </c>
    </row>
    <row r="126" spans="1:60" x14ac:dyDescent="0.25">
      <c r="A126" s="1">
        <v>130</v>
      </c>
      <c r="B126" s="1" t="s">
        <v>3173</v>
      </c>
      <c r="C126" s="241" t="s">
        <v>134</v>
      </c>
      <c r="D126" s="1" t="s">
        <v>3174</v>
      </c>
      <c r="E126" s="1"/>
      <c r="F126" s="1"/>
      <c r="G126" s="1" t="s">
        <v>3175</v>
      </c>
      <c r="H126" s="1" t="s">
        <v>3176</v>
      </c>
      <c r="I126" s="1" t="s">
        <v>3177</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1192</v>
      </c>
      <c r="AK126" s="1" t="s">
        <v>329</v>
      </c>
      <c r="AL126" s="1">
        <v>13</v>
      </c>
      <c r="AM126" s="1" t="s">
        <v>4720</v>
      </c>
      <c r="AN126" s="1" t="s">
        <v>4832</v>
      </c>
      <c r="AO126" s="1" t="s">
        <v>5022</v>
      </c>
      <c r="AP126" s="1">
        <v>0</v>
      </c>
      <c r="AQ126" s="1" t="s">
        <v>1746</v>
      </c>
      <c r="AR126" s="1" t="s">
        <v>1155</v>
      </c>
      <c r="AS126" s="1" t="s">
        <v>1130</v>
      </c>
      <c r="AT126" s="1" t="s">
        <v>329</v>
      </c>
      <c r="AU126" s="1">
        <v>130</v>
      </c>
      <c r="AV126" s="1">
        <v>0</v>
      </c>
      <c r="AW126" s="1" t="s">
        <v>5016</v>
      </c>
      <c r="AX126" s="1" t="s">
        <v>332</v>
      </c>
      <c r="AY126" s="1">
        <v>5</v>
      </c>
      <c r="AZ126" s="1">
        <v>0</v>
      </c>
      <c r="BA126" s="1" t="s">
        <v>329</v>
      </c>
      <c r="BB126" s="1" t="s">
        <v>5023</v>
      </c>
      <c r="BC126" s="1" t="s">
        <v>4784</v>
      </c>
      <c r="BD126" s="1">
        <v>10203</v>
      </c>
      <c r="BE126" s="1"/>
      <c r="BH126">
        <f>COUNTIF(Dropdowns!$I:$AF,C126)</f>
        <v>1</v>
      </c>
    </row>
    <row r="127" spans="1:60" x14ac:dyDescent="0.25">
      <c r="A127" s="1">
        <v>131</v>
      </c>
      <c r="B127" s="1" t="s">
        <v>3178</v>
      </c>
      <c r="C127" s="241" t="s">
        <v>135</v>
      </c>
      <c r="D127" s="1" t="s">
        <v>3179</v>
      </c>
      <c r="E127" s="1"/>
      <c r="F127" s="1"/>
      <c r="G127" s="1" t="s">
        <v>3180</v>
      </c>
      <c r="H127" s="1" t="s">
        <v>3181</v>
      </c>
      <c r="I127" s="1" t="s">
        <v>3182</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1122</v>
      </c>
      <c r="AK127" s="1" t="s">
        <v>329</v>
      </c>
      <c r="AL127" s="1">
        <v>13</v>
      </c>
      <c r="AM127" s="1" t="s">
        <v>4791</v>
      </c>
      <c r="AN127" s="1" t="s">
        <v>4794</v>
      </c>
      <c r="AO127" s="1" t="s">
        <v>5024</v>
      </c>
      <c r="AP127" s="1">
        <v>0</v>
      </c>
      <c r="AQ127" s="1" t="s">
        <v>1130</v>
      </c>
      <c r="AR127" s="1" t="s">
        <v>1120</v>
      </c>
      <c r="AS127" s="1" t="s">
        <v>1131</v>
      </c>
      <c r="AT127" s="1" t="s">
        <v>329</v>
      </c>
      <c r="AU127" s="1">
        <v>131</v>
      </c>
      <c r="AV127" s="1">
        <v>0</v>
      </c>
      <c r="AW127" s="1" t="s">
        <v>5025</v>
      </c>
      <c r="AX127" s="1" t="s">
        <v>4850</v>
      </c>
      <c r="AY127" s="1">
        <v>3</v>
      </c>
      <c r="AZ127" s="1">
        <v>0</v>
      </c>
      <c r="BA127" s="1" t="s">
        <v>329</v>
      </c>
      <c r="BB127" s="1" t="s">
        <v>329</v>
      </c>
      <c r="BC127" s="1" t="s">
        <v>329</v>
      </c>
      <c r="BD127" s="1">
        <v>10303</v>
      </c>
      <c r="BE127" s="1"/>
      <c r="BH127">
        <f>COUNTIF(Dropdowns!$I:$AF,C127)</f>
        <v>1</v>
      </c>
    </row>
    <row r="128" spans="1:60" x14ac:dyDescent="0.25">
      <c r="A128" s="1">
        <v>132</v>
      </c>
      <c r="B128" s="1" t="s">
        <v>3183</v>
      </c>
      <c r="C128" s="241" t="s">
        <v>225</v>
      </c>
      <c r="D128" s="1" t="s">
        <v>3184</v>
      </c>
      <c r="E128" s="1"/>
      <c r="F128" s="1"/>
      <c r="G128" s="1" t="s">
        <v>3185</v>
      </c>
      <c r="H128" s="1" t="s">
        <v>3186</v>
      </c>
      <c r="I128" s="1" t="s">
        <v>3187</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1126</v>
      </c>
      <c r="AK128" s="1" t="s">
        <v>329</v>
      </c>
      <c r="AL128" s="1">
        <v>13</v>
      </c>
      <c r="AM128" s="1" t="s">
        <v>1807</v>
      </c>
      <c r="AN128" s="1" t="s">
        <v>4862</v>
      </c>
      <c r="AO128" s="1" t="s">
        <v>4810</v>
      </c>
      <c r="AP128" s="1">
        <v>0</v>
      </c>
      <c r="AQ128" s="1" t="s">
        <v>1119</v>
      </c>
      <c r="AR128" s="1" t="s">
        <v>1120</v>
      </c>
      <c r="AS128" s="1" t="s">
        <v>1121</v>
      </c>
      <c r="AT128" s="1" t="s">
        <v>329</v>
      </c>
      <c r="AU128" s="1">
        <v>132</v>
      </c>
      <c r="AV128" s="1">
        <v>0</v>
      </c>
      <c r="AW128" s="1" t="s">
        <v>5026</v>
      </c>
      <c r="AX128" s="1" t="s">
        <v>4850</v>
      </c>
      <c r="AY128" s="1">
        <v>3</v>
      </c>
      <c r="AZ128" s="1">
        <v>0</v>
      </c>
      <c r="BA128" s="1" t="s">
        <v>329</v>
      </c>
      <c r="BB128" s="1" t="s">
        <v>5027</v>
      </c>
      <c r="BC128" s="1" t="s">
        <v>4784</v>
      </c>
      <c r="BD128" s="1">
        <v>10704</v>
      </c>
      <c r="BE128" s="1"/>
      <c r="BH128">
        <f>COUNTIF(Dropdowns!$I:$AF,C128)</f>
        <v>0</v>
      </c>
    </row>
    <row r="129" spans="1:60" x14ac:dyDescent="0.25">
      <c r="A129" s="1">
        <v>133</v>
      </c>
      <c r="B129" s="1" t="s">
        <v>3188</v>
      </c>
      <c r="C129" s="241" t="s">
        <v>136</v>
      </c>
      <c r="D129" s="1" t="s">
        <v>3189</v>
      </c>
      <c r="E129" s="1"/>
      <c r="F129" s="1"/>
      <c r="G129" s="1" t="s">
        <v>3190</v>
      </c>
      <c r="H129" s="1" t="s">
        <v>3191</v>
      </c>
      <c r="I129" s="1" t="s">
        <v>3192</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1126</v>
      </c>
      <c r="AK129" s="1" t="s">
        <v>329</v>
      </c>
      <c r="AL129" s="1">
        <v>13</v>
      </c>
      <c r="AM129" s="1" t="s">
        <v>4720</v>
      </c>
      <c r="AN129" s="1" t="s">
        <v>476</v>
      </c>
      <c r="AO129" s="1" t="s">
        <v>5028</v>
      </c>
      <c r="AP129" s="1">
        <v>0</v>
      </c>
      <c r="AQ129" s="1" t="s">
        <v>1746</v>
      </c>
      <c r="AR129" s="1" t="s">
        <v>1155</v>
      </c>
      <c r="AS129" s="1" t="s">
        <v>1130</v>
      </c>
      <c r="AT129" s="1" t="s">
        <v>329</v>
      </c>
      <c r="AU129" s="1">
        <v>133</v>
      </c>
      <c r="AV129" s="1">
        <v>0</v>
      </c>
      <c r="AW129" s="1" t="s">
        <v>4829</v>
      </c>
      <c r="AX129" s="1" t="s">
        <v>471</v>
      </c>
      <c r="AY129" s="1">
        <v>2</v>
      </c>
      <c r="AZ129" s="1">
        <v>0</v>
      </c>
      <c r="BA129" s="1" t="s">
        <v>329</v>
      </c>
      <c r="BB129" s="1" t="s">
        <v>4953</v>
      </c>
      <c r="BC129" s="1" t="s">
        <v>4784</v>
      </c>
      <c r="BD129" s="1">
        <v>10704</v>
      </c>
      <c r="BE129" s="1"/>
      <c r="BH129">
        <f>COUNTIF(Dropdowns!$I:$AF,C129)</f>
        <v>1</v>
      </c>
    </row>
    <row r="130" spans="1:60" x14ac:dyDescent="0.25">
      <c r="A130" s="1">
        <v>134</v>
      </c>
      <c r="B130" s="1" t="s">
        <v>3193</v>
      </c>
      <c r="C130" s="241" t="s">
        <v>137</v>
      </c>
      <c r="D130" s="1" t="s">
        <v>137</v>
      </c>
      <c r="E130" s="1"/>
      <c r="F130" s="1"/>
      <c r="G130" s="1" t="s">
        <v>3194</v>
      </c>
      <c r="H130" s="1" t="s">
        <v>3195</v>
      </c>
      <c r="I130" s="1" t="s">
        <v>3196</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1122</v>
      </c>
      <c r="AK130" s="1" t="s">
        <v>329</v>
      </c>
      <c r="AL130" s="1">
        <v>13</v>
      </c>
      <c r="AM130" s="1" t="s">
        <v>4720</v>
      </c>
      <c r="AN130" s="1" t="s">
        <v>4832</v>
      </c>
      <c r="AO130" s="1" t="s">
        <v>5029</v>
      </c>
      <c r="AP130" s="1">
        <v>0</v>
      </c>
      <c r="AQ130" s="1" t="s">
        <v>1131</v>
      </c>
      <c r="AR130" s="1" t="s">
        <v>1155</v>
      </c>
      <c r="AS130" s="1" t="s">
        <v>1130</v>
      </c>
      <c r="AT130" s="1" t="s">
        <v>329</v>
      </c>
      <c r="AU130" s="1">
        <v>134</v>
      </c>
      <c r="AV130" s="1">
        <v>0</v>
      </c>
      <c r="AW130" s="1" t="s">
        <v>5030</v>
      </c>
      <c r="AX130" s="1" t="s">
        <v>4850</v>
      </c>
      <c r="AY130" s="1">
        <v>3</v>
      </c>
      <c r="AZ130" s="1">
        <v>0</v>
      </c>
      <c r="BA130" s="1" t="s">
        <v>329</v>
      </c>
      <c r="BB130" s="1" t="s">
        <v>329</v>
      </c>
      <c r="BC130" s="1" t="s">
        <v>4740</v>
      </c>
      <c r="BD130" s="1">
        <v>10302</v>
      </c>
      <c r="BE130" s="1"/>
      <c r="BH130">
        <f>COUNTIF(Dropdowns!$I:$AF,C130)</f>
        <v>1</v>
      </c>
    </row>
    <row r="131" spans="1:60" x14ac:dyDescent="0.25">
      <c r="A131" s="1">
        <v>135</v>
      </c>
      <c r="B131" s="1" t="s">
        <v>3197</v>
      </c>
      <c r="C131" s="241" t="s">
        <v>1627</v>
      </c>
      <c r="D131" s="1" t="s">
        <v>1627</v>
      </c>
      <c r="E131" s="1"/>
      <c r="F131" s="1"/>
      <c r="G131" s="1" t="s">
        <v>3198</v>
      </c>
      <c r="H131" s="1" t="s">
        <v>3199</v>
      </c>
      <c r="I131" s="1" t="s">
        <v>3200</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4791</v>
      </c>
      <c r="AN131" s="1" t="s">
        <v>4796</v>
      </c>
      <c r="AO131" s="1" t="s">
        <v>5031</v>
      </c>
      <c r="AP131" s="1">
        <v>0</v>
      </c>
      <c r="AQ131" s="1" t="s">
        <v>1130</v>
      </c>
      <c r="AR131" s="1" t="s">
        <v>1120</v>
      </c>
      <c r="AS131" s="1" t="s">
        <v>1746</v>
      </c>
      <c r="AT131" s="1" t="s">
        <v>329</v>
      </c>
      <c r="AU131" s="1">
        <v>135</v>
      </c>
      <c r="AV131" s="1">
        <v>0</v>
      </c>
      <c r="AW131" s="1" t="s">
        <v>4809</v>
      </c>
      <c r="AX131" s="1" t="s">
        <v>4492</v>
      </c>
      <c r="AY131" s="1">
        <v>5</v>
      </c>
      <c r="AZ131" s="1">
        <v>0</v>
      </c>
      <c r="BA131" s="1" t="s">
        <v>329</v>
      </c>
      <c r="BB131" s="1" t="s">
        <v>5032</v>
      </c>
      <c r="BC131" s="1" t="s">
        <v>4758</v>
      </c>
      <c r="BD131" s="1">
        <v>10202</v>
      </c>
      <c r="BE131" s="1"/>
      <c r="BH131">
        <f>COUNTIF(Dropdowns!$I:$AF,C131)</f>
        <v>1</v>
      </c>
    </row>
    <row r="132" spans="1:60" x14ac:dyDescent="0.25">
      <c r="A132" s="1">
        <v>136</v>
      </c>
      <c r="B132" s="1" t="s">
        <v>3201</v>
      </c>
      <c r="C132" s="241" t="s">
        <v>1628</v>
      </c>
      <c r="D132" s="1" t="s">
        <v>1628</v>
      </c>
      <c r="E132" s="1"/>
      <c r="F132" s="1"/>
      <c r="G132" s="1" t="s">
        <v>3202</v>
      </c>
      <c r="H132" s="1" t="s">
        <v>3203</v>
      </c>
      <c r="I132" s="1" t="s">
        <v>3204</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1165</v>
      </c>
      <c r="AK132" s="1" t="s">
        <v>329</v>
      </c>
      <c r="AL132" s="1">
        <v>13</v>
      </c>
      <c r="AM132" s="1" t="s">
        <v>4791</v>
      </c>
      <c r="AN132" s="1" t="s">
        <v>4794</v>
      </c>
      <c r="AO132" s="1" t="s">
        <v>5033</v>
      </c>
      <c r="AP132" s="1">
        <v>0</v>
      </c>
      <c r="AQ132" s="1" t="s">
        <v>1130</v>
      </c>
      <c r="AR132" s="1" t="s">
        <v>1120</v>
      </c>
      <c r="AS132" s="1" t="s">
        <v>1746</v>
      </c>
      <c r="AT132" s="1" t="s">
        <v>329</v>
      </c>
      <c r="AU132" s="1">
        <v>136</v>
      </c>
      <c r="AV132" s="1">
        <v>0</v>
      </c>
      <c r="AW132" s="1" t="s">
        <v>4809</v>
      </c>
      <c r="AX132" s="1" t="s">
        <v>1807</v>
      </c>
      <c r="AY132" s="1">
        <v>4</v>
      </c>
      <c r="AZ132" s="1">
        <v>0</v>
      </c>
      <c r="BA132" s="1" t="s">
        <v>4744</v>
      </c>
      <c r="BB132" s="1" t="s">
        <v>4794</v>
      </c>
      <c r="BC132" s="1" t="s">
        <v>4758</v>
      </c>
      <c r="BD132" s="1">
        <v>10203</v>
      </c>
      <c r="BE132" s="1"/>
      <c r="BH132">
        <f>COUNTIF(Dropdowns!$I:$AF,C132)</f>
        <v>1</v>
      </c>
    </row>
    <row r="133" spans="1:60" x14ac:dyDescent="0.25">
      <c r="A133" s="1">
        <v>137</v>
      </c>
      <c r="B133" s="1" t="s">
        <v>3205</v>
      </c>
      <c r="C133" s="241" t="s">
        <v>226</v>
      </c>
      <c r="D133" s="1" t="s">
        <v>226</v>
      </c>
      <c r="E133" s="1"/>
      <c r="F133" s="1"/>
      <c r="G133" s="1" t="s">
        <v>3206</v>
      </c>
      <c r="H133" s="1" t="s">
        <v>3207</v>
      </c>
      <c r="I133" s="1" t="s">
        <v>3208</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4791</v>
      </c>
      <c r="AN133" s="1" t="s">
        <v>389</v>
      </c>
      <c r="AO133" s="1" t="s">
        <v>4965</v>
      </c>
      <c r="AP133" s="1">
        <v>0</v>
      </c>
      <c r="AQ133" s="1" t="s">
        <v>1130</v>
      </c>
      <c r="AR133" s="1" t="s">
        <v>1120</v>
      </c>
      <c r="AS133" s="1" t="s">
        <v>1131</v>
      </c>
      <c r="AT133" s="1" t="s">
        <v>329</v>
      </c>
      <c r="AU133" s="1">
        <v>137</v>
      </c>
      <c r="AV133" s="1">
        <v>0</v>
      </c>
      <c r="AW133" s="1" t="s">
        <v>5034</v>
      </c>
      <c r="AX133" s="1" t="s">
        <v>332</v>
      </c>
      <c r="AY133" s="1">
        <v>4</v>
      </c>
      <c r="AZ133" s="1">
        <v>0</v>
      </c>
      <c r="BA133" s="1" t="s">
        <v>329</v>
      </c>
      <c r="BB133" s="1" t="s">
        <v>507</v>
      </c>
      <c r="BC133" s="1" t="s">
        <v>4758</v>
      </c>
      <c r="BD133" s="1">
        <v>10802</v>
      </c>
      <c r="BE133" s="1"/>
      <c r="BH133">
        <f>COUNTIF(Dropdowns!$I:$AF,C133)</f>
        <v>1</v>
      </c>
    </row>
    <row r="134" spans="1:60" x14ac:dyDescent="0.25">
      <c r="A134" s="1">
        <v>138</v>
      </c>
      <c r="B134" s="1" t="s">
        <v>3209</v>
      </c>
      <c r="C134" s="241" t="s">
        <v>138</v>
      </c>
      <c r="D134" s="1" t="s">
        <v>138</v>
      </c>
      <c r="E134" s="1"/>
      <c r="F134" s="1"/>
      <c r="G134" s="1" t="s">
        <v>3210</v>
      </c>
      <c r="H134" s="1" t="s">
        <v>3211</v>
      </c>
      <c r="I134" s="1" t="s">
        <v>3212</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1126</v>
      </c>
      <c r="AK134" s="1" t="s">
        <v>329</v>
      </c>
      <c r="AL134" s="1">
        <v>13</v>
      </c>
      <c r="AM134" s="1" t="s">
        <v>4720</v>
      </c>
      <c r="AN134" s="1" t="s">
        <v>476</v>
      </c>
      <c r="AO134" s="1" t="s">
        <v>5035</v>
      </c>
      <c r="AP134" s="1">
        <v>0</v>
      </c>
      <c r="AQ134" s="1" t="s">
        <v>1131</v>
      </c>
      <c r="AR134" s="1" t="s">
        <v>1193</v>
      </c>
      <c r="AS134" s="1" t="s">
        <v>1130</v>
      </c>
      <c r="AT134" s="1" t="s">
        <v>329</v>
      </c>
      <c r="AU134" s="1">
        <v>138</v>
      </c>
      <c r="AV134" s="1">
        <v>0</v>
      </c>
      <c r="AW134" s="1" t="s">
        <v>5036</v>
      </c>
      <c r="AX134" s="1" t="s">
        <v>486</v>
      </c>
      <c r="AY134" s="1">
        <v>3</v>
      </c>
      <c r="AZ134" s="1">
        <v>0</v>
      </c>
      <c r="BA134" s="1" t="s">
        <v>329</v>
      </c>
      <c r="BB134" s="1" t="s">
        <v>329</v>
      </c>
      <c r="BC134" s="1" t="s">
        <v>4758</v>
      </c>
      <c r="BD134" s="1">
        <v>10102</v>
      </c>
      <c r="BE134" s="1"/>
      <c r="BH134">
        <f>COUNTIF(Dropdowns!$I:$AF,C134)</f>
        <v>1</v>
      </c>
    </row>
    <row r="135" spans="1:60" x14ac:dyDescent="0.25">
      <c r="A135" s="1">
        <v>139</v>
      </c>
      <c r="B135" s="1" t="s">
        <v>3213</v>
      </c>
      <c r="C135" s="241" t="s">
        <v>139</v>
      </c>
      <c r="D135" s="1" t="s">
        <v>3214</v>
      </c>
      <c r="E135" s="1"/>
      <c r="F135" s="1"/>
      <c r="G135" s="1" t="s">
        <v>3215</v>
      </c>
      <c r="H135" s="1" t="s">
        <v>3216</v>
      </c>
      <c r="I135" s="1" t="s">
        <v>3217</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1126</v>
      </c>
      <c r="AK135" s="1" t="s">
        <v>329</v>
      </c>
      <c r="AL135" s="1">
        <v>13</v>
      </c>
      <c r="AM135" s="1" t="s">
        <v>1807</v>
      </c>
      <c r="AN135" s="1" t="s">
        <v>4741</v>
      </c>
      <c r="AO135" s="1" t="s">
        <v>5037</v>
      </c>
      <c r="AP135" s="1">
        <v>0</v>
      </c>
      <c r="AQ135" s="1" t="s">
        <v>1119</v>
      </c>
      <c r="AR135" s="1" t="s">
        <v>1120</v>
      </c>
      <c r="AS135" s="1" t="s">
        <v>1121</v>
      </c>
      <c r="AT135" s="1" t="s">
        <v>329</v>
      </c>
      <c r="AU135" s="1">
        <v>139</v>
      </c>
      <c r="AV135" s="1">
        <v>0</v>
      </c>
      <c r="AW135" s="1" t="s">
        <v>5038</v>
      </c>
      <c r="AX135" s="1" t="s">
        <v>471</v>
      </c>
      <c r="AY135" s="1">
        <v>2</v>
      </c>
      <c r="AZ135" s="1">
        <v>0</v>
      </c>
      <c r="BA135" s="1" t="s">
        <v>329</v>
      </c>
      <c r="BB135" s="1" t="s">
        <v>329</v>
      </c>
      <c r="BC135" s="1" t="s">
        <v>4721</v>
      </c>
      <c r="BD135" s="1">
        <v>10704</v>
      </c>
      <c r="BE135" s="1"/>
      <c r="BH135">
        <f>COUNTIF(Dropdowns!$I:$AF,C135)</f>
        <v>0</v>
      </c>
    </row>
    <row r="136" spans="1:60" x14ac:dyDescent="0.25">
      <c r="A136" s="1">
        <v>140</v>
      </c>
      <c r="B136" s="1" t="s">
        <v>3218</v>
      </c>
      <c r="C136" s="241" t="s">
        <v>140</v>
      </c>
      <c r="D136" s="1" t="s">
        <v>140</v>
      </c>
      <c r="E136" s="1"/>
      <c r="F136" s="1"/>
      <c r="G136" s="1" t="s">
        <v>3219</v>
      </c>
      <c r="H136" s="1" t="s">
        <v>3220</v>
      </c>
      <c r="I136" s="1" t="s">
        <v>3221</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1126</v>
      </c>
      <c r="AK136" s="1" t="s">
        <v>329</v>
      </c>
      <c r="AL136" s="1">
        <v>13</v>
      </c>
      <c r="AM136" s="1" t="s">
        <v>1807</v>
      </c>
      <c r="AN136" s="1" t="s">
        <v>5039</v>
      </c>
      <c r="AO136" s="1" t="s">
        <v>5040</v>
      </c>
      <c r="AP136" s="1">
        <v>0</v>
      </c>
      <c r="AQ136" s="1" t="s">
        <v>1119</v>
      </c>
      <c r="AR136" s="1" t="s">
        <v>1120</v>
      </c>
      <c r="AS136" s="1" t="s">
        <v>1121</v>
      </c>
      <c r="AT136" s="1" t="s">
        <v>329</v>
      </c>
      <c r="AU136" s="1">
        <v>140</v>
      </c>
      <c r="AV136" s="1">
        <v>0</v>
      </c>
      <c r="AW136" s="1" t="s">
        <v>5038</v>
      </c>
      <c r="AX136" s="1" t="s">
        <v>5041</v>
      </c>
      <c r="AY136" s="1">
        <v>3</v>
      </c>
      <c r="AZ136" s="1">
        <v>0</v>
      </c>
      <c r="BA136" s="1" t="s">
        <v>329</v>
      </c>
      <c r="BB136" s="1" t="s">
        <v>329</v>
      </c>
      <c r="BC136" s="1" t="s">
        <v>4758</v>
      </c>
      <c r="BD136" s="1">
        <v>10704</v>
      </c>
      <c r="BE136" s="1"/>
      <c r="BH136">
        <f>COUNTIF(Dropdowns!$I:$AF,C136)</f>
        <v>0</v>
      </c>
    </row>
    <row r="137" spans="1:60" x14ac:dyDescent="0.25">
      <c r="A137" s="1">
        <v>141</v>
      </c>
      <c r="B137" s="1" t="s">
        <v>3222</v>
      </c>
      <c r="C137" s="241" t="s">
        <v>1194</v>
      </c>
      <c r="D137" s="1" t="s">
        <v>1194</v>
      </c>
      <c r="E137" s="1"/>
      <c r="F137" s="1"/>
      <c r="G137" s="1" t="s">
        <v>3223</v>
      </c>
      <c r="H137" s="1" t="s">
        <v>3224</v>
      </c>
      <c r="I137" s="1" t="s">
        <v>3225</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1126</v>
      </c>
      <c r="AK137" s="1" t="s">
        <v>329</v>
      </c>
      <c r="AL137" s="1">
        <v>13</v>
      </c>
      <c r="AM137" s="1" t="s">
        <v>1807</v>
      </c>
      <c r="AN137" s="1" t="s">
        <v>4777</v>
      </c>
      <c r="AO137" s="1" t="s">
        <v>5042</v>
      </c>
      <c r="AP137" s="1">
        <v>0</v>
      </c>
      <c r="AQ137" s="1" t="s">
        <v>1119</v>
      </c>
      <c r="AR137" s="1" t="s">
        <v>1120</v>
      </c>
      <c r="AS137" s="1" t="s">
        <v>1121</v>
      </c>
      <c r="AT137" s="1" t="s">
        <v>329</v>
      </c>
      <c r="AU137" s="1">
        <v>141</v>
      </c>
      <c r="AV137" s="1">
        <v>0</v>
      </c>
      <c r="AW137" s="1" t="s">
        <v>5038</v>
      </c>
      <c r="AX137" s="1" t="s">
        <v>471</v>
      </c>
      <c r="AY137" s="1">
        <v>2</v>
      </c>
      <c r="AZ137" s="1">
        <v>0</v>
      </c>
      <c r="BA137" s="1" t="s">
        <v>329</v>
      </c>
      <c r="BB137" s="1" t="s">
        <v>329</v>
      </c>
      <c r="BC137" s="1" t="s">
        <v>4770</v>
      </c>
      <c r="BD137" s="1">
        <v>10704</v>
      </c>
      <c r="BE137" s="1"/>
      <c r="BH137">
        <f>COUNTIF(Dropdowns!$I:$AF,C137)</f>
        <v>0</v>
      </c>
    </row>
    <row r="138" spans="1:60" x14ac:dyDescent="0.25">
      <c r="A138" s="1">
        <v>142</v>
      </c>
      <c r="B138" s="1" t="s">
        <v>3226</v>
      </c>
      <c r="C138" s="241" t="s">
        <v>1629</v>
      </c>
      <c r="D138" s="1" t="s">
        <v>3227</v>
      </c>
      <c r="E138" s="1"/>
      <c r="F138" s="1"/>
      <c r="G138" s="1" t="s">
        <v>3228</v>
      </c>
      <c r="H138" s="1" t="s">
        <v>3229</v>
      </c>
      <c r="I138" s="1" t="s">
        <v>3230</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1807</v>
      </c>
      <c r="AN138" s="1" t="s">
        <v>4748</v>
      </c>
      <c r="AO138" s="1" t="s">
        <v>5043</v>
      </c>
      <c r="AP138" s="1">
        <v>0</v>
      </c>
      <c r="AQ138" s="1" t="s">
        <v>1119</v>
      </c>
      <c r="AR138" s="1" t="s">
        <v>1120</v>
      </c>
      <c r="AS138" s="1" t="s">
        <v>1121</v>
      </c>
      <c r="AT138" s="1" t="s">
        <v>329</v>
      </c>
      <c r="AU138" s="1">
        <v>142</v>
      </c>
      <c r="AV138" s="1">
        <v>0</v>
      </c>
      <c r="AW138" s="1" t="s">
        <v>5044</v>
      </c>
      <c r="AX138" s="1" t="s">
        <v>5045</v>
      </c>
      <c r="AY138" s="1">
        <v>5</v>
      </c>
      <c r="AZ138" s="1">
        <v>0</v>
      </c>
      <c r="BA138" s="1" t="s">
        <v>329</v>
      </c>
      <c r="BB138" s="1" t="s">
        <v>5046</v>
      </c>
      <c r="BC138" s="1" t="s">
        <v>4854</v>
      </c>
      <c r="BD138" s="1">
        <v>10202</v>
      </c>
      <c r="BE138" s="1"/>
      <c r="BH138">
        <f>COUNTIF(Dropdowns!$I:$AF,C138)</f>
        <v>0</v>
      </c>
    </row>
    <row r="139" spans="1:60" x14ac:dyDescent="0.25">
      <c r="A139" s="1">
        <v>143</v>
      </c>
      <c r="B139" s="1" t="s">
        <v>3231</v>
      </c>
      <c r="C139" s="241" t="s">
        <v>141</v>
      </c>
      <c r="D139" s="1" t="s">
        <v>141</v>
      </c>
      <c r="E139" s="1"/>
      <c r="F139" s="1"/>
      <c r="G139" s="1" t="s">
        <v>3232</v>
      </c>
      <c r="H139" s="1" t="s">
        <v>3233</v>
      </c>
      <c r="I139" s="1" t="s">
        <v>3234</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1195</v>
      </c>
      <c r="AK139" s="1" t="s">
        <v>329</v>
      </c>
      <c r="AL139" s="1">
        <v>13</v>
      </c>
      <c r="AM139" s="1" t="s">
        <v>4791</v>
      </c>
      <c r="AN139" s="1" t="s">
        <v>4948</v>
      </c>
      <c r="AO139" s="1" t="s">
        <v>5047</v>
      </c>
      <c r="AP139" s="1">
        <v>0</v>
      </c>
      <c r="AQ139" s="1" t="s">
        <v>1745</v>
      </c>
      <c r="AR139" s="1" t="s">
        <v>1120</v>
      </c>
      <c r="AS139" s="1" t="s">
        <v>1131</v>
      </c>
      <c r="AT139" s="1" t="s">
        <v>329</v>
      </c>
      <c r="AU139" s="1">
        <v>143</v>
      </c>
      <c r="AV139" s="1">
        <v>0</v>
      </c>
      <c r="AW139" s="1" t="s">
        <v>5038</v>
      </c>
      <c r="AX139" s="1" t="s">
        <v>4859</v>
      </c>
      <c r="AY139" s="1">
        <v>5</v>
      </c>
      <c r="AZ139" s="1">
        <v>0</v>
      </c>
      <c r="BA139" s="1" t="s">
        <v>4856</v>
      </c>
      <c r="BB139" s="1" t="s">
        <v>5048</v>
      </c>
      <c r="BC139" s="1" t="s">
        <v>4861</v>
      </c>
      <c r="BD139" s="1">
        <v>10601</v>
      </c>
      <c r="BE139" s="1"/>
      <c r="BH139">
        <f>COUNTIF(Dropdowns!$I:$AF,C139)</f>
        <v>1</v>
      </c>
    </row>
    <row r="140" spans="1:60" x14ac:dyDescent="0.25">
      <c r="A140" s="1">
        <v>144</v>
      </c>
      <c r="B140" s="1" t="s">
        <v>3235</v>
      </c>
      <c r="C140" s="241" t="s">
        <v>1630</v>
      </c>
      <c r="D140" s="1" t="s">
        <v>1630</v>
      </c>
      <c r="E140" s="1"/>
      <c r="F140" s="1"/>
      <c r="G140" s="1" t="s">
        <v>3236</v>
      </c>
      <c r="H140" s="1" t="s">
        <v>3237</v>
      </c>
      <c r="I140" s="1" t="s">
        <v>3238</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1122</v>
      </c>
      <c r="AK140" s="1" t="s">
        <v>329</v>
      </c>
      <c r="AL140" s="1">
        <v>13</v>
      </c>
      <c r="AM140" s="1" t="s">
        <v>4791</v>
      </c>
      <c r="AN140" s="1" t="s">
        <v>389</v>
      </c>
      <c r="AO140" s="1" t="s">
        <v>4800</v>
      </c>
      <c r="AP140" s="1">
        <v>0</v>
      </c>
      <c r="AQ140" s="1" t="s">
        <v>1130</v>
      </c>
      <c r="AR140" s="1" t="s">
        <v>1120</v>
      </c>
      <c r="AS140" s="1" t="s">
        <v>1131</v>
      </c>
      <c r="AT140" s="1" t="s">
        <v>329</v>
      </c>
      <c r="AU140" s="1">
        <v>144</v>
      </c>
      <c r="AV140" s="1">
        <v>0</v>
      </c>
      <c r="AW140" s="1" t="s">
        <v>5049</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3239</v>
      </c>
      <c r="C141" s="241" t="s">
        <v>1631</v>
      </c>
      <c r="D141" s="1" t="s">
        <v>3240</v>
      </c>
      <c r="E141" s="1"/>
      <c r="F141" s="1"/>
      <c r="G141" s="1" t="s">
        <v>3241</v>
      </c>
      <c r="H141" s="1" t="s">
        <v>3242</v>
      </c>
      <c r="I141" s="1" t="s">
        <v>3243</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1196</v>
      </c>
      <c r="AK141" s="1" t="s">
        <v>329</v>
      </c>
      <c r="AL141" s="1">
        <v>13</v>
      </c>
      <c r="AM141" s="1" t="s">
        <v>4763</v>
      </c>
      <c r="AN141" s="1" t="s">
        <v>4835</v>
      </c>
      <c r="AO141" s="1" t="s">
        <v>4827</v>
      </c>
      <c r="AP141" s="1">
        <v>0</v>
      </c>
      <c r="AQ141" s="1" t="s">
        <v>1141</v>
      </c>
      <c r="AR141" s="1" t="s">
        <v>4836</v>
      </c>
      <c r="AS141" s="1" t="s">
        <v>1143</v>
      </c>
      <c r="AT141" s="1" t="s">
        <v>329</v>
      </c>
      <c r="AU141" s="1">
        <v>145</v>
      </c>
      <c r="AV141" s="1">
        <v>0</v>
      </c>
      <c r="AW141" s="1" t="s">
        <v>5044</v>
      </c>
      <c r="AX141" s="1" t="s">
        <v>5050</v>
      </c>
      <c r="AY141" s="1">
        <v>3</v>
      </c>
      <c r="AZ141" s="1">
        <v>0</v>
      </c>
      <c r="BA141" s="1" t="s">
        <v>329</v>
      </c>
      <c r="BB141" s="1" t="s">
        <v>329</v>
      </c>
      <c r="BC141" s="1" t="s">
        <v>4758</v>
      </c>
      <c r="BD141" s="1">
        <v>10703</v>
      </c>
      <c r="BE141" s="1"/>
      <c r="BH141">
        <f>COUNTIF(Dropdowns!$I:$AF,C141)</f>
        <v>1</v>
      </c>
    </row>
    <row r="142" spans="1:60" x14ac:dyDescent="0.25">
      <c r="A142" s="1">
        <v>146</v>
      </c>
      <c r="B142" s="1" t="s">
        <v>3244</v>
      </c>
      <c r="C142" s="241" t="s">
        <v>227</v>
      </c>
      <c r="D142" s="1" t="s">
        <v>227</v>
      </c>
      <c r="E142" s="1"/>
      <c r="F142" s="1"/>
      <c r="G142" s="1" t="s">
        <v>3245</v>
      </c>
      <c r="H142" s="1" t="s">
        <v>3246</v>
      </c>
      <c r="I142" s="1" t="s">
        <v>3247</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1197</v>
      </c>
      <c r="AK142" s="1" t="s">
        <v>329</v>
      </c>
      <c r="AL142" s="1">
        <v>13</v>
      </c>
      <c r="AM142" s="1" t="s">
        <v>4763</v>
      </c>
      <c r="AN142" s="1" t="s">
        <v>465</v>
      </c>
      <c r="AO142" s="1" t="s">
        <v>4833</v>
      </c>
      <c r="AP142" s="1">
        <v>0</v>
      </c>
      <c r="AQ142" s="1" t="s">
        <v>1141</v>
      </c>
      <c r="AR142" s="1" t="s">
        <v>1142</v>
      </c>
      <c r="AS142" s="1" t="s">
        <v>1143</v>
      </c>
      <c r="AT142" s="1" t="s">
        <v>329</v>
      </c>
      <c r="AU142" s="1">
        <v>146</v>
      </c>
      <c r="AV142" s="1">
        <v>0</v>
      </c>
      <c r="AW142" s="1" t="s">
        <v>5044</v>
      </c>
      <c r="AX142" s="1" t="s">
        <v>5050</v>
      </c>
      <c r="AY142" s="1">
        <v>4</v>
      </c>
      <c r="AZ142" s="1">
        <v>0</v>
      </c>
      <c r="BA142" s="1" t="s">
        <v>329</v>
      </c>
      <c r="BB142" s="1" t="s">
        <v>5051</v>
      </c>
      <c r="BC142" s="1" t="s">
        <v>4770</v>
      </c>
      <c r="BD142" s="1">
        <v>10701</v>
      </c>
      <c r="BE142" s="1"/>
      <c r="BH142">
        <f>COUNTIF(Dropdowns!$I:$AF,C142)</f>
        <v>1</v>
      </c>
    </row>
    <row r="143" spans="1:60" x14ac:dyDescent="0.25">
      <c r="A143" s="1">
        <v>147</v>
      </c>
      <c r="B143" s="1" t="s">
        <v>3248</v>
      </c>
      <c r="C143" s="241" t="s">
        <v>142</v>
      </c>
      <c r="D143" s="1" t="s">
        <v>3249</v>
      </c>
      <c r="E143" s="1"/>
      <c r="F143" s="1"/>
      <c r="G143" s="1" t="s">
        <v>3250</v>
      </c>
      <c r="H143" s="1" t="s">
        <v>3251</v>
      </c>
      <c r="I143" s="1" t="s">
        <v>3252</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1126</v>
      </c>
      <c r="AK143" s="1" t="s">
        <v>329</v>
      </c>
      <c r="AL143" s="1">
        <v>13</v>
      </c>
      <c r="AM143" s="1" t="s">
        <v>4763</v>
      </c>
      <c r="AN143" s="1" t="s">
        <v>476</v>
      </c>
      <c r="AO143" s="1" t="s">
        <v>4827</v>
      </c>
      <c r="AP143" s="1">
        <v>0</v>
      </c>
      <c r="AQ143" s="1" t="s">
        <v>1141</v>
      </c>
      <c r="AR143" s="1" t="s">
        <v>1142</v>
      </c>
      <c r="AS143" s="1" t="s">
        <v>1143</v>
      </c>
      <c r="AT143" s="1" t="s">
        <v>329</v>
      </c>
      <c r="AU143" s="1">
        <v>147</v>
      </c>
      <c r="AV143" s="1">
        <v>0</v>
      </c>
      <c r="AW143" s="1" t="s">
        <v>5052</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3253</v>
      </c>
      <c r="C144" s="241" t="s">
        <v>143</v>
      </c>
      <c r="D144" s="1" t="s">
        <v>3254</v>
      </c>
      <c r="E144" s="1"/>
      <c r="F144" s="1"/>
      <c r="G144" s="1" t="s">
        <v>3255</v>
      </c>
      <c r="H144" s="1" t="s">
        <v>3256</v>
      </c>
      <c r="I144" s="1" t="s">
        <v>3257</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1198</v>
      </c>
      <c r="AK144" s="1" t="s">
        <v>329</v>
      </c>
      <c r="AL144" s="1">
        <v>13</v>
      </c>
      <c r="AM144" s="1" t="s">
        <v>4763</v>
      </c>
      <c r="AN144" s="1" t="s">
        <v>465</v>
      </c>
      <c r="AO144" s="1" t="s">
        <v>4846</v>
      </c>
      <c r="AP144" s="1">
        <v>0</v>
      </c>
      <c r="AQ144" s="1" t="s">
        <v>1141</v>
      </c>
      <c r="AR144" s="1" t="s">
        <v>1142</v>
      </c>
      <c r="AS144" s="1" t="s">
        <v>1143</v>
      </c>
      <c r="AT144" s="1" t="s">
        <v>329</v>
      </c>
      <c r="AU144" s="1">
        <v>148</v>
      </c>
      <c r="AV144" s="1">
        <v>0</v>
      </c>
      <c r="AW144" s="1" t="s">
        <v>5053</v>
      </c>
      <c r="AX144" s="1" t="s">
        <v>332</v>
      </c>
      <c r="AY144" s="1">
        <v>5</v>
      </c>
      <c r="AZ144" s="1">
        <v>0</v>
      </c>
      <c r="BA144" s="1" t="s">
        <v>329</v>
      </c>
      <c r="BB144" s="1" t="s">
        <v>5054</v>
      </c>
      <c r="BC144" s="1" t="s">
        <v>329</v>
      </c>
      <c r="BD144" s="1">
        <v>10203</v>
      </c>
      <c r="BE144" s="1"/>
      <c r="BH144">
        <f>COUNTIF(Dropdowns!$I:$AF,C144)</f>
        <v>1</v>
      </c>
    </row>
    <row r="145" spans="1:60" x14ac:dyDescent="0.25">
      <c r="A145" s="1">
        <v>149</v>
      </c>
      <c r="B145" s="1" t="s">
        <v>3258</v>
      </c>
      <c r="C145" s="241" t="s">
        <v>1632</v>
      </c>
      <c r="D145" s="1" t="s">
        <v>1632</v>
      </c>
      <c r="E145" s="1"/>
      <c r="F145" s="1"/>
      <c r="G145" s="1" t="s">
        <v>3259</v>
      </c>
      <c r="H145" s="1" t="s">
        <v>3260</v>
      </c>
      <c r="I145" s="1" t="s">
        <v>3261</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1167</v>
      </c>
      <c r="AK145" s="1" t="s">
        <v>329</v>
      </c>
      <c r="AL145" s="1">
        <v>18</v>
      </c>
      <c r="AM145" s="1" t="s">
        <v>4859</v>
      </c>
      <c r="AN145" s="1" t="s">
        <v>4932</v>
      </c>
      <c r="AO145" s="1" t="s">
        <v>5055</v>
      </c>
      <c r="AP145" s="1">
        <v>0</v>
      </c>
      <c r="AQ145" s="1" t="s">
        <v>1168</v>
      </c>
      <c r="AR145" s="1" t="s">
        <v>1169</v>
      </c>
      <c r="AS145" s="1" t="s">
        <v>1170</v>
      </c>
      <c r="AT145" s="1" t="s">
        <v>329</v>
      </c>
      <c r="AU145" s="1">
        <v>149</v>
      </c>
      <c r="AV145" s="1">
        <v>0</v>
      </c>
      <c r="AW145" s="1" t="s">
        <v>5053</v>
      </c>
      <c r="AX145" s="1" t="s">
        <v>332</v>
      </c>
      <c r="AY145" s="1">
        <v>4</v>
      </c>
      <c r="AZ145" s="1">
        <v>0</v>
      </c>
      <c r="BA145" s="1" t="s">
        <v>329</v>
      </c>
      <c r="BB145" s="1" t="s">
        <v>5056</v>
      </c>
      <c r="BC145" s="1" t="s">
        <v>4758</v>
      </c>
      <c r="BD145" s="1">
        <v>10202</v>
      </c>
      <c r="BE145" s="1"/>
      <c r="BH145">
        <f>COUNTIF(Dropdowns!$I:$AF,C145)</f>
        <v>1</v>
      </c>
    </row>
    <row r="146" spans="1:60" x14ac:dyDescent="0.25">
      <c r="A146" s="1">
        <v>150</v>
      </c>
      <c r="B146" s="1" t="s">
        <v>3262</v>
      </c>
      <c r="C146" s="241" t="s">
        <v>144</v>
      </c>
      <c r="D146" s="1" t="s">
        <v>144</v>
      </c>
      <c r="E146" s="1"/>
      <c r="F146" s="1"/>
      <c r="G146" s="1" t="s">
        <v>3263</v>
      </c>
      <c r="H146" s="1" t="s">
        <v>3264</v>
      </c>
      <c r="I146" s="1" t="s">
        <v>3265</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1199</v>
      </c>
      <c r="AK146" s="1" t="s">
        <v>329</v>
      </c>
      <c r="AL146" s="1">
        <v>13</v>
      </c>
      <c r="AM146" s="1" t="s">
        <v>4791</v>
      </c>
      <c r="AN146" s="1" t="s">
        <v>389</v>
      </c>
      <c r="AO146" s="1" t="s">
        <v>5057</v>
      </c>
      <c r="AP146" s="1">
        <v>0</v>
      </c>
      <c r="AQ146" s="1" t="s">
        <v>1130</v>
      </c>
      <c r="AR146" s="1" t="s">
        <v>1120</v>
      </c>
      <c r="AS146" s="1" t="s">
        <v>1131</v>
      </c>
      <c r="AT146" s="1" t="s">
        <v>329</v>
      </c>
      <c r="AU146" s="1">
        <v>150</v>
      </c>
      <c r="AV146" s="1">
        <v>0</v>
      </c>
      <c r="AW146" s="1" t="s">
        <v>5053</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3266</v>
      </c>
      <c r="C147" s="241" t="s">
        <v>145</v>
      </c>
      <c r="D147" s="1" t="s">
        <v>145</v>
      </c>
      <c r="E147" s="1"/>
      <c r="F147" s="1"/>
      <c r="G147" s="1" t="s">
        <v>3267</v>
      </c>
      <c r="H147" s="1" t="s">
        <v>3268</v>
      </c>
      <c r="I147" s="1" t="s">
        <v>3269</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1200</v>
      </c>
      <c r="AK147" s="1" t="s">
        <v>329</v>
      </c>
      <c r="AL147" s="1">
        <v>8</v>
      </c>
      <c r="AM147" s="1" t="s">
        <v>4717</v>
      </c>
      <c r="AN147" s="1" t="s">
        <v>477</v>
      </c>
      <c r="AO147" s="1" t="s">
        <v>5058</v>
      </c>
      <c r="AP147" s="1">
        <v>0</v>
      </c>
      <c r="AQ147" s="1" t="s">
        <v>1201</v>
      </c>
      <c r="AR147" s="1" t="s">
        <v>1202</v>
      </c>
      <c r="AS147" s="1" t="s">
        <v>1203</v>
      </c>
      <c r="AT147" s="1" t="s">
        <v>329</v>
      </c>
      <c r="AU147" s="1">
        <v>151</v>
      </c>
      <c r="AV147" s="1">
        <v>0</v>
      </c>
      <c r="AW147" s="1" t="s">
        <v>5044</v>
      </c>
      <c r="AX147" s="1" t="s">
        <v>5059</v>
      </c>
      <c r="AY147" s="1">
        <v>5</v>
      </c>
      <c r="AZ147" s="1">
        <v>0</v>
      </c>
      <c r="BA147" s="1" t="s">
        <v>329</v>
      </c>
      <c r="BB147" s="1" t="s">
        <v>329</v>
      </c>
      <c r="BC147" s="1" t="s">
        <v>4721</v>
      </c>
      <c r="BD147" s="1">
        <v>10202</v>
      </c>
      <c r="BE147" s="1"/>
      <c r="BH147">
        <f>COUNTIF(Dropdowns!$I:$AF,C147)</f>
        <v>1</v>
      </c>
    </row>
    <row r="148" spans="1:60" x14ac:dyDescent="0.25">
      <c r="A148" s="1">
        <v>152</v>
      </c>
      <c r="B148" s="1" t="s">
        <v>3270</v>
      </c>
      <c r="C148" s="241" t="s">
        <v>146</v>
      </c>
      <c r="D148" s="1" t="s">
        <v>146</v>
      </c>
      <c r="E148" s="1"/>
      <c r="F148" s="1"/>
      <c r="G148" s="1" t="s">
        <v>3271</v>
      </c>
      <c r="H148" s="1" t="s">
        <v>3272</v>
      </c>
      <c r="I148" s="1" t="s">
        <v>3273</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1204</v>
      </c>
      <c r="AK148" s="1" t="s">
        <v>329</v>
      </c>
      <c r="AL148" s="1">
        <v>8</v>
      </c>
      <c r="AM148" s="1" t="s">
        <v>4717</v>
      </c>
      <c r="AN148" s="1" t="s">
        <v>335</v>
      </c>
      <c r="AO148" s="1" t="s">
        <v>5060</v>
      </c>
      <c r="AP148" s="1">
        <v>0</v>
      </c>
      <c r="AQ148" s="1" t="s">
        <v>1201</v>
      </c>
      <c r="AR148" s="1" t="s">
        <v>5061</v>
      </c>
      <c r="AS148" s="1" t="s">
        <v>1203</v>
      </c>
      <c r="AT148" s="1" t="s">
        <v>329</v>
      </c>
      <c r="AU148" s="1">
        <v>152</v>
      </c>
      <c r="AV148" s="1">
        <v>0</v>
      </c>
      <c r="AW148" s="1" t="s">
        <v>5062</v>
      </c>
      <c r="AX148" s="1" t="s">
        <v>4720</v>
      </c>
      <c r="AY148" s="1">
        <v>3</v>
      </c>
      <c r="AZ148" s="1">
        <v>0</v>
      </c>
      <c r="BA148" s="1" t="s">
        <v>4766</v>
      </c>
      <c r="BB148" s="1" t="s">
        <v>329</v>
      </c>
      <c r="BC148" s="1" t="s">
        <v>4721</v>
      </c>
      <c r="BD148" s="1">
        <v>10303</v>
      </c>
      <c r="BE148" s="1"/>
      <c r="BH148">
        <f>COUNTIF(Dropdowns!$I:$AF,C148)</f>
        <v>1</v>
      </c>
    </row>
    <row r="149" spans="1:60" x14ac:dyDescent="0.25">
      <c r="A149" s="1">
        <v>153</v>
      </c>
      <c r="B149" s="1" t="s">
        <v>3274</v>
      </c>
      <c r="C149" s="241" t="s">
        <v>147</v>
      </c>
      <c r="D149" s="1" t="s">
        <v>3275</v>
      </c>
      <c r="E149" s="1"/>
      <c r="F149" s="1"/>
      <c r="G149" s="1" t="s">
        <v>3276</v>
      </c>
      <c r="H149" s="1" t="s">
        <v>3277</v>
      </c>
      <c r="I149" s="1" t="s">
        <v>3278</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1200</v>
      </c>
      <c r="AK149" s="1" t="s">
        <v>329</v>
      </c>
      <c r="AL149" s="1">
        <v>8</v>
      </c>
      <c r="AM149" s="1" t="s">
        <v>4717</v>
      </c>
      <c r="AN149" s="1" t="s">
        <v>399</v>
      </c>
      <c r="AO149" s="1" t="s">
        <v>4825</v>
      </c>
      <c r="AP149" s="1">
        <v>0</v>
      </c>
      <c r="AQ149" s="1" t="s">
        <v>1201</v>
      </c>
      <c r="AR149" s="1" t="s">
        <v>1202</v>
      </c>
      <c r="AS149" s="1" t="s">
        <v>1203</v>
      </c>
      <c r="AT149" s="1" t="s">
        <v>329</v>
      </c>
      <c r="AU149" s="1">
        <v>153</v>
      </c>
      <c r="AV149" s="1">
        <v>0</v>
      </c>
      <c r="AW149" s="1" t="s">
        <v>5038</v>
      </c>
      <c r="AX149" s="1" t="s">
        <v>4720</v>
      </c>
      <c r="AY149" s="1">
        <v>4</v>
      </c>
      <c r="AZ149" s="1">
        <v>0</v>
      </c>
      <c r="BA149" s="1" t="s">
        <v>329</v>
      </c>
      <c r="BB149" s="1" t="s">
        <v>329</v>
      </c>
      <c r="BC149" s="1" t="s">
        <v>4721</v>
      </c>
      <c r="BD149" s="1">
        <v>10702</v>
      </c>
      <c r="BE149" s="1"/>
      <c r="BH149">
        <f>COUNTIF(Dropdowns!$I:$AF,C149)</f>
        <v>1</v>
      </c>
    </row>
    <row r="150" spans="1:60" x14ac:dyDescent="0.25">
      <c r="A150" s="1">
        <v>154</v>
      </c>
      <c r="B150" s="1" t="s">
        <v>3279</v>
      </c>
      <c r="C150" s="241" t="s">
        <v>148</v>
      </c>
      <c r="D150" s="1" t="s">
        <v>148</v>
      </c>
      <c r="E150" s="1"/>
      <c r="F150" s="1"/>
      <c r="G150" s="1" t="s">
        <v>3280</v>
      </c>
      <c r="H150" s="1" t="s">
        <v>3281</v>
      </c>
      <c r="I150" s="1" t="s">
        <v>3282</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1204</v>
      </c>
      <c r="AK150" s="1" t="s">
        <v>329</v>
      </c>
      <c r="AL150" s="1">
        <v>7</v>
      </c>
      <c r="AM150" s="1" t="s">
        <v>4717</v>
      </c>
      <c r="AN150" s="1" t="s">
        <v>471</v>
      </c>
      <c r="AO150" s="1" t="s">
        <v>4825</v>
      </c>
      <c r="AP150" s="1">
        <v>0</v>
      </c>
      <c r="AQ150" s="1" t="s">
        <v>1201</v>
      </c>
      <c r="AR150" s="1" t="s">
        <v>1202</v>
      </c>
      <c r="AS150" s="1" t="s">
        <v>5063</v>
      </c>
      <c r="AT150" s="1" t="s">
        <v>329</v>
      </c>
      <c r="AU150" s="1">
        <v>154</v>
      </c>
      <c r="AV150" s="1">
        <v>0</v>
      </c>
      <c r="AW150" s="1" t="s">
        <v>5038</v>
      </c>
      <c r="AX150" s="1" t="s">
        <v>4720</v>
      </c>
      <c r="AY150" s="1">
        <v>3</v>
      </c>
      <c r="AZ150" s="1">
        <v>0</v>
      </c>
      <c r="BA150" s="1" t="s">
        <v>4766</v>
      </c>
      <c r="BB150" s="1" t="s">
        <v>329</v>
      </c>
      <c r="BC150" s="1" t="s">
        <v>4721</v>
      </c>
      <c r="BD150" s="1">
        <v>10802</v>
      </c>
      <c r="BE150" s="1"/>
      <c r="BH150">
        <f>COUNTIF(Dropdowns!$I:$AF,C150)</f>
        <v>1</v>
      </c>
    </row>
    <row r="151" spans="1:60" x14ac:dyDescent="0.25">
      <c r="A151" s="1">
        <v>155</v>
      </c>
      <c r="B151" s="1" t="s">
        <v>3283</v>
      </c>
      <c r="C151" s="241" t="s">
        <v>149</v>
      </c>
      <c r="D151" s="1" t="s">
        <v>149</v>
      </c>
      <c r="E151" s="1"/>
      <c r="F151" s="1"/>
      <c r="G151" s="1" t="s">
        <v>3284</v>
      </c>
      <c r="H151" s="1" t="s">
        <v>3285</v>
      </c>
      <c r="I151" s="1" t="s">
        <v>3286</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1200</v>
      </c>
      <c r="AK151" s="1" t="s">
        <v>329</v>
      </c>
      <c r="AL151" s="1">
        <v>9</v>
      </c>
      <c r="AM151" s="1" t="s">
        <v>4717</v>
      </c>
      <c r="AN151" s="1" t="s">
        <v>336</v>
      </c>
      <c r="AO151" s="1" t="s">
        <v>5024</v>
      </c>
      <c r="AP151" s="1">
        <v>0</v>
      </c>
      <c r="AQ151" s="1" t="s">
        <v>1201</v>
      </c>
      <c r="AR151" s="1" t="s">
        <v>1202</v>
      </c>
      <c r="AS151" s="1" t="s">
        <v>1203</v>
      </c>
      <c r="AT151" s="1" t="s">
        <v>329</v>
      </c>
      <c r="AU151" s="1">
        <v>155</v>
      </c>
      <c r="AV151" s="1">
        <v>0</v>
      </c>
      <c r="AW151" s="1" t="s">
        <v>5038</v>
      </c>
      <c r="AX151" s="1" t="s">
        <v>4720</v>
      </c>
      <c r="AY151" s="1">
        <v>4</v>
      </c>
      <c r="AZ151" s="1">
        <v>0</v>
      </c>
      <c r="BA151" s="1" t="s">
        <v>329</v>
      </c>
      <c r="BB151" s="1" t="s">
        <v>4760</v>
      </c>
      <c r="BC151" s="1" t="s">
        <v>4721</v>
      </c>
      <c r="BD151" s="1">
        <v>10402</v>
      </c>
      <c r="BE151" s="1"/>
      <c r="BH151">
        <f>COUNTIF(Dropdowns!$I:$AF,C151)</f>
        <v>1</v>
      </c>
    </row>
    <row r="152" spans="1:60" x14ac:dyDescent="0.25">
      <c r="A152" s="1">
        <v>156</v>
      </c>
      <c r="B152" s="1" t="s">
        <v>3287</v>
      </c>
      <c r="C152" s="241" t="s">
        <v>1633</v>
      </c>
      <c r="D152" s="1" t="s">
        <v>1633</v>
      </c>
      <c r="E152" s="1"/>
      <c r="F152" s="1"/>
      <c r="G152" s="1" t="s">
        <v>3288</v>
      </c>
      <c r="H152" s="1" t="s">
        <v>3289</v>
      </c>
      <c r="I152" s="1" t="s">
        <v>3290</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1205</v>
      </c>
      <c r="AK152" s="1" t="s">
        <v>329</v>
      </c>
      <c r="AL152" s="1">
        <v>8</v>
      </c>
      <c r="AM152" s="1" t="s">
        <v>4717</v>
      </c>
      <c r="AN152" s="1" t="s">
        <v>477</v>
      </c>
      <c r="AO152" s="1" t="s">
        <v>5064</v>
      </c>
      <c r="AP152" s="1">
        <v>0</v>
      </c>
      <c r="AQ152" s="1" t="s">
        <v>1201</v>
      </c>
      <c r="AR152" s="1" t="s">
        <v>1202</v>
      </c>
      <c r="AS152" s="1" t="s">
        <v>1203</v>
      </c>
      <c r="AT152" s="1" t="s">
        <v>329</v>
      </c>
      <c r="AU152" s="1">
        <v>156</v>
      </c>
      <c r="AV152" s="1">
        <v>0</v>
      </c>
      <c r="AW152" s="1" t="s">
        <v>5062</v>
      </c>
      <c r="AX152" s="1" t="s">
        <v>4720</v>
      </c>
      <c r="AY152" s="1">
        <v>4</v>
      </c>
      <c r="AZ152" s="1">
        <v>0</v>
      </c>
      <c r="BA152" s="1" t="s">
        <v>329</v>
      </c>
      <c r="BB152" s="1" t="s">
        <v>5065</v>
      </c>
      <c r="BC152" s="1" t="s">
        <v>4721</v>
      </c>
      <c r="BD152" s="1">
        <v>10203</v>
      </c>
      <c r="BE152" s="1"/>
      <c r="BH152">
        <f>COUNTIF(Dropdowns!$I:$AF,C152)</f>
        <v>1</v>
      </c>
    </row>
    <row r="153" spans="1:60" x14ac:dyDescent="0.25">
      <c r="A153" s="1">
        <v>157</v>
      </c>
      <c r="B153" s="1" t="s">
        <v>3291</v>
      </c>
      <c r="C153" s="241" t="s">
        <v>1206</v>
      </c>
      <c r="D153" s="1" t="s">
        <v>1206</v>
      </c>
      <c r="E153" s="1"/>
      <c r="F153" s="1"/>
      <c r="G153" s="1" t="s">
        <v>3292</v>
      </c>
      <c r="H153" s="1" t="s">
        <v>3293</v>
      </c>
      <c r="I153" s="1" t="s">
        <v>3294</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5066</v>
      </c>
      <c r="AK153" s="1" t="s">
        <v>329</v>
      </c>
      <c r="AL153" s="1">
        <v>8</v>
      </c>
      <c r="AM153" s="1" t="s">
        <v>4717</v>
      </c>
      <c r="AN153" s="1" t="s">
        <v>399</v>
      </c>
      <c r="AO153" s="1" t="s">
        <v>4941</v>
      </c>
      <c r="AP153" s="1">
        <v>0</v>
      </c>
      <c r="AQ153" s="1" t="s">
        <v>1201</v>
      </c>
      <c r="AR153" s="1" t="s">
        <v>1202</v>
      </c>
      <c r="AS153" s="1" t="s">
        <v>1203</v>
      </c>
      <c r="AT153" s="1" t="s">
        <v>329</v>
      </c>
      <c r="AU153" s="1">
        <v>157</v>
      </c>
      <c r="AV153" s="1">
        <v>0</v>
      </c>
      <c r="AW153" s="1" t="s">
        <v>5038</v>
      </c>
      <c r="AX153" s="1" t="s">
        <v>4720</v>
      </c>
      <c r="AY153" s="1">
        <v>5</v>
      </c>
      <c r="AZ153" s="1">
        <v>0</v>
      </c>
      <c r="BA153" s="1" t="s">
        <v>329</v>
      </c>
      <c r="BB153" s="1" t="s">
        <v>329</v>
      </c>
      <c r="BC153" s="1" t="s">
        <v>4721</v>
      </c>
      <c r="BD153" s="1">
        <v>10202</v>
      </c>
      <c r="BE153" s="1"/>
      <c r="BH153">
        <f>COUNTIF(Dropdowns!$I:$AF,C153)</f>
        <v>1</v>
      </c>
    </row>
    <row r="154" spans="1:60" x14ac:dyDescent="0.25">
      <c r="A154" s="1">
        <v>158</v>
      </c>
      <c r="B154" s="1" t="s">
        <v>3295</v>
      </c>
      <c r="C154" s="241" t="s">
        <v>723</v>
      </c>
      <c r="D154" s="1" t="s">
        <v>723</v>
      </c>
      <c r="E154" s="1"/>
      <c r="F154" s="1"/>
      <c r="G154" s="1" t="s">
        <v>3296</v>
      </c>
      <c r="H154" s="1" t="s">
        <v>3297</v>
      </c>
      <c r="I154" s="1" t="s">
        <v>3298</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1207</v>
      </c>
      <c r="AK154" s="1" t="s">
        <v>329</v>
      </c>
      <c r="AL154" s="1">
        <v>7</v>
      </c>
      <c r="AM154" s="1" t="s">
        <v>4717</v>
      </c>
      <c r="AN154" s="1" t="s">
        <v>4763</v>
      </c>
      <c r="AO154" s="1" t="s">
        <v>5067</v>
      </c>
      <c r="AP154" s="1">
        <v>0</v>
      </c>
      <c r="AQ154" s="1" t="s">
        <v>1201</v>
      </c>
      <c r="AR154" s="1" t="s">
        <v>5061</v>
      </c>
      <c r="AS154" s="1" t="s">
        <v>1203</v>
      </c>
      <c r="AT154" s="1" t="s">
        <v>329</v>
      </c>
      <c r="AU154" s="1">
        <v>158</v>
      </c>
      <c r="AV154" s="1">
        <v>0</v>
      </c>
      <c r="AW154" s="1" t="s">
        <v>5038</v>
      </c>
      <c r="AX154" s="1" t="s">
        <v>4720</v>
      </c>
      <c r="AY154" s="1">
        <v>3</v>
      </c>
      <c r="AZ154" s="1">
        <v>0</v>
      </c>
      <c r="BA154" s="1" t="s">
        <v>329</v>
      </c>
      <c r="BB154" s="1" t="s">
        <v>329</v>
      </c>
      <c r="BC154" s="1" t="s">
        <v>4758</v>
      </c>
      <c r="BD154" s="1">
        <v>10402</v>
      </c>
      <c r="BE154" s="1"/>
      <c r="BH154">
        <f>COUNTIF(Dropdowns!$I:$AF,C154)</f>
        <v>1</v>
      </c>
    </row>
    <row r="155" spans="1:60" x14ac:dyDescent="0.25">
      <c r="A155" s="1">
        <v>159</v>
      </c>
      <c r="B155" s="1" t="s">
        <v>3299</v>
      </c>
      <c r="C155" s="241" t="s">
        <v>1634</v>
      </c>
      <c r="D155" s="1" t="s">
        <v>1634</v>
      </c>
      <c r="E155" s="1"/>
      <c r="F155" s="1"/>
      <c r="G155" s="1" t="s">
        <v>3300</v>
      </c>
      <c r="H155" s="1" t="s">
        <v>3301</v>
      </c>
      <c r="I155" s="1" t="s">
        <v>3302</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1204</v>
      </c>
      <c r="AK155" s="1" t="s">
        <v>329</v>
      </c>
      <c r="AL155" s="1">
        <v>9</v>
      </c>
      <c r="AM155" s="1" t="s">
        <v>4717</v>
      </c>
      <c r="AN155" s="1" t="s">
        <v>4717</v>
      </c>
      <c r="AO155" s="1" t="s">
        <v>5067</v>
      </c>
      <c r="AP155" s="1">
        <v>0</v>
      </c>
      <c r="AQ155" s="1" t="s">
        <v>5068</v>
      </c>
      <c r="AR155" s="1" t="s">
        <v>1202</v>
      </c>
      <c r="AS155" s="1" t="s">
        <v>1203</v>
      </c>
      <c r="AT155" s="1" t="s">
        <v>329</v>
      </c>
      <c r="AU155" s="1">
        <v>159</v>
      </c>
      <c r="AV155" s="1">
        <v>0</v>
      </c>
      <c r="AW155" s="1" t="s">
        <v>5038</v>
      </c>
      <c r="AX155" s="1" t="s">
        <v>4720</v>
      </c>
      <c r="AY155" s="1">
        <v>3</v>
      </c>
      <c r="AZ155" s="1">
        <v>0</v>
      </c>
      <c r="BA155" s="1" t="s">
        <v>4766</v>
      </c>
      <c r="BB155" s="1" t="s">
        <v>329</v>
      </c>
      <c r="BC155" s="1" t="s">
        <v>4758</v>
      </c>
      <c r="BD155" s="1">
        <v>10704</v>
      </c>
      <c r="BE155" s="1"/>
      <c r="BH155">
        <f>COUNTIF(Dropdowns!$I:$AF,C155)</f>
        <v>1</v>
      </c>
    </row>
    <row r="156" spans="1:60" x14ac:dyDescent="0.25">
      <c r="A156" s="1">
        <v>160</v>
      </c>
      <c r="B156" s="1" t="s">
        <v>3303</v>
      </c>
      <c r="C156" s="241" t="s">
        <v>1635</v>
      </c>
      <c r="D156" s="1" t="s">
        <v>1635</v>
      </c>
      <c r="E156" s="1"/>
      <c r="F156" s="1"/>
      <c r="G156" s="1" t="s">
        <v>3304</v>
      </c>
      <c r="H156" s="1" t="s">
        <v>3305</v>
      </c>
      <c r="I156" s="1" t="s">
        <v>3306</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1200</v>
      </c>
      <c r="AK156" s="1" t="s">
        <v>329</v>
      </c>
      <c r="AL156" s="1">
        <v>8</v>
      </c>
      <c r="AM156" s="1" t="s">
        <v>4717</v>
      </c>
      <c r="AN156" s="1" t="s">
        <v>4729</v>
      </c>
      <c r="AO156" s="1" t="s">
        <v>5069</v>
      </c>
      <c r="AP156" s="1">
        <v>0</v>
      </c>
      <c r="AQ156" s="1" t="s">
        <v>1201</v>
      </c>
      <c r="AR156" s="1" t="s">
        <v>1202</v>
      </c>
      <c r="AS156" s="1" t="s">
        <v>1203</v>
      </c>
      <c r="AT156" s="1" t="s">
        <v>329</v>
      </c>
      <c r="AU156" s="1">
        <v>160</v>
      </c>
      <c r="AV156" s="1">
        <v>0</v>
      </c>
      <c r="AW156" s="1" t="s">
        <v>5062</v>
      </c>
      <c r="AX156" s="1" t="s">
        <v>4720</v>
      </c>
      <c r="AY156" s="1">
        <v>5</v>
      </c>
      <c r="AZ156" s="1">
        <v>0</v>
      </c>
      <c r="BA156" s="1" t="s">
        <v>329</v>
      </c>
      <c r="BB156" s="1" t="s">
        <v>473</v>
      </c>
      <c r="BC156" s="1" t="s">
        <v>4758</v>
      </c>
      <c r="BD156" s="1">
        <v>10802</v>
      </c>
      <c r="BE156" s="1"/>
      <c r="BH156">
        <f>COUNTIF(Dropdowns!$I:$AF,C156)</f>
        <v>1</v>
      </c>
    </row>
    <row r="157" spans="1:60" x14ac:dyDescent="0.25">
      <c r="A157" s="1">
        <v>161</v>
      </c>
      <c r="B157" s="1" t="s">
        <v>3307</v>
      </c>
      <c r="C157" s="241" t="s">
        <v>150</v>
      </c>
      <c r="D157" s="1" t="s">
        <v>3308</v>
      </c>
      <c r="E157" s="1"/>
      <c r="F157" s="1"/>
      <c r="G157" s="1" t="s">
        <v>3309</v>
      </c>
      <c r="H157" s="1" t="s">
        <v>3310</v>
      </c>
      <c r="I157" s="1" t="s">
        <v>3311</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1208</v>
      </c>
      <c r="AK157" s="1" t="s">
        <v>329</v>
      </c>
      <c r="AL157" s="1">
        <v>8</v>
      </c>
      <c r="AM157" s="1" t="s">
        <v>4717</v>
      </c>
      <c r="AN157" s="1" t="s">
        <v>4729</v>
      </c>
      <c r="AO157" s="1" t="s">
        <v>4797</v>
      </c>
      <c r="AP157" s="1">
        <v>0</v>
      </c>
      <c r="AQ157" s="1" t="s">
        <v>5068</v>
      </c>
      <c r="AR157" s="1" t="s">
        <v>1202</v>
      </c>
      <c r="AS157" s="1" t="s">
        <v>1203</v>
      </c>
      <c r="AT157" s="1" t="s">
        <v>329</v>
      </c>
      <c r="AU157" s="1">
        <v>161</v>
      </c>
      <c r="AV157" s="1">
        <v>0</v>
      </c>
      <c r="AW157" s="1" t="s">
        <v>5038</v>
      </c>
      <c r="AX157" s="1" t="s">
        <v>5070</v>
      </c>
      <c r="AY157" s="1">
        <v>4</v>
      </c>
      <c r="AZ157" s="1">
        <v>0</v>
      </c>
      <c r="BA157" s="1" t="s">
        <v>4744</v>
      </c>
      <c r="BB157" s="1" t="s">
        <v>4953</v>
      </c>
      <c r="BC157" s="1" t="s">
        <v>4784</v>
      </c>
      <c r="BD157" s="1">
        <v>10302</v>
      </c>
      <c r="BE157" s="1"/>
      <c r="BH157">
        <f>COUNTIF(Dropdowns!$I:$AF,C157)</f>
        <v>1</v>
      </c>
    </row>
    <row r="158" spans="1:60" x14ac:dyDescent="0.25">
      <c r="A158" s="1">
        <v>162</v>
      </c>
      <c r="B158" s="1" t="s">
        <v>3312</v>
      </c>
      <c r="C158" s="241" t="s">
        <v>1636</v>
      </c>
      <c r="D158" s="1" t="s">
        <v>1636</v>
      </c>
      <c r="E158" s="1"/>
      <c r="F158" s="1"/>
      <c r="G158" s="1" t="s">
        <v>3313</v>
      </c>
      <c r="H158" s="1" t="s">
        <v>3314</v>
      </c>
      <c r="I158" s="1" t="s">
        <v>3315</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5071</v>
      </c>
      <c r="AK158" s="1" t="s">
        <v>329</v>
      </c>
      <c r="AL158" s="1">
        <v>8</v>
      </c>
      <c r="AM158" s="1" t="s">
        <v>4717</v>
      </c>
      <c r="AN158" s="1" t="s">
        <v>355</v>
      </c>
      <c r="AO158" s="1" t="s">
        <v>4941</v>
      </c>
      <c r="AP158" s="1">
        <v>0</v>
      </c>
      <c r="AQ158" s="1" t="s">
        <v>1201</v>
      </c>
      <c r="AR158" s="1" t="s">
        <v>1202</v>
      </c>
      <c r="AS158" s="1" t="s">
        <v>1203</v>
      </c>
      <c r="AT158" s="1" t="s">
        <v>329</v>
      </c>
      <c r="AU158" s="1">
        <v>162</v>
      </c>
      <c r="AV158" s="1">
        <v>0</v>
      </c>
      <c r="AW158" s="1" t="s">
        <v>5062</v>
      </c>
      <c r="AX158" s="1" t="s">
        <v>4720</v>
      </c>
      <c r="AY158" s="1">
        <v>4</v>
      </c>
      <c r="AZ158" s="1">
        <v>0</v>
      </c>
      <c r="BA158" s="1" t="s">
        <v>329</v>
      </c>
      <c r="BB158" s="1" t="s">
        <v>4717</v>
      </c>
      <c r="BC158" s="1" t="s">
        <v>4740</v>
      </c>
      <c r="BD158" s="1">
        <v>10402</v>
      </c>
      <c r="BE158" s="1"/>
      <c r="BH158">
        <f>COUNTIF(Dropdowns!$I:$AF,C158)</f>
        <v>1</v>
      </c>
    </row>
    <row r="159" spans="1:60" x14ac:dyDescent="0.25">
      <c r="A159" s="1">
        <v>163</v>
      </c>
      <c r="B159" s="1" t="s">
        <v>3316</v>
      </c>
      <c r="C159" s="241" t="s">
        <v>724</v>
      </c>
      <c r="D159" s="1" t="s">
        <v>724</v>
      </c>
      <c r="E159" s="1"/>
      <c r="F159" s="1"/>
      <c r="G159" s="1" t="s">
        <v>3317</v>
      </c>
      <c r="H159" s="1" t="s">
        <v>3318</v>
      </c>
      <c r="I159" s="1" t="s">
        <v>3319</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1209</v>
      </c>
      <c r="AK159" s="1" t="s">
        <v>1210</v>
      </c>
      <c r="AL159" s="1">
        <v>8</v>
      </c>
      <c r="AM159" s="1" t="s">
        <v>4717</v>
      </c>
      <c r="AN159" s="1" t="s">
        <v>355</v>
      </c>
      <c r="AO159" s="1" t="s">
        <v>4915</v>
      </c>
      <c r="AP159" s="1">
        <v>0</v>
      </c>
      <c r="AQ159" s="1" t="s">
        <v>1201</v>
      </c>
      <c r="AR159" s="1" t="s">
        <v>5061</v>
      </c>
      <c r="AS159" s="1" t="s">
        <v>1203</v>
      </c>
      <c r="AT159" s="1" t="s">
        <v>329</v>
      </c>
      <c r="AU159" s="1">
        <v>163</v>
      </c>
      <c r="AV159" s="1">
        <v>0</v>
      </c>
      <c r="AW159" s="1" t="s">
        <v>5072</v>
      </c>
      <c r="AX159" s="1" t="s">
        <v>4720</v>
      </c>
      <c r="AY159" s="1">
        <v>5</v>
      </c>
      <c r="AZ159" s="1">
        <v>0</v>
      </c>
      <c r="BA159" s="1" t="s">
        <v>329</v>
      </c>
      <c r="BB159" s="1" t="s">
        <v>5069</v>
      </c>
      <c r="BC159" s="1" t="s">
        <v>4721</v>
      </c>
      <c r="BD159" s="1">
        <v>10402</v>
      </c>
      <c r="BE159" s="1"/>
      <c r="BH159">
        <f>COUNTIF(Dropdowns!$I:$AF,C159)</f>
        <v>1</v>
      </c>
    </row>
    <row r="160" spans="1:60" x14ac:dyDescent="0.25">
      <c r="A160" s="1">
        <v>164</v>
      </c>
      <c r="B160" s="1" t="s">
        <v>3320</v>
      </c>
      <c r="C160" s="241" t="s">
        <v>1637</v>
      </c>
      <c r="D160" s="1" t="s">
        <v>1637</v>
      </c>
      <c r="E160" s="1"/>
      <c r="F160" s="1"/>
      <c r="G160" s="1" t="s">
        <v>3321</v>
      </c>
      <c r="H160" s="1" t="s">
        <v>3322</v>
      </c>
      <c r="I160" s="1" t="s">
        <v>3323</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5073</v>
      </c>
      <c r="AK160" s="1" t="s">
        <v>1211</v>
      </c>
      <c r="AL160" s="1">
        <v>7</v>
      </c>
      <c r="AM160" s="1" t="s">
        <v>4717</v>
      </c>
      <c r="AN160" s="1" t="s">
        <v>5074</v>
      </c>
      <c r="AO160" s="1" t="s">
        <v>5075</v>
      </c>
      <c r="AP160" s="1">
        <v>0</v>
      </c>
      <c r="AQ160" s="1" t="s">
        <v>1201</v>
      </c>
      <c r="AR160" s="1" t="s">
        <v>1202</v>
      </c>
      <c r="AS160" s="1" t="s">
        <v>1203</v>
      </c>
      <c r="AT160" s="1" t="s">
        <v>329</v>
      </c>
      <c r="AU160" s="1">
        <v>164</v>
      </c>
      <c r="AV160" s="1">
        <v>0</v>
      </c>
      <c r="AW160" s="1" t="s">
        <v>5072</v>
      </c>
      <c r="AX160" s="1" t="s">
        <v>4720</v>
      </c>
      <c r="AY160" s="1">
        <v>5</v>
      </c>
      <c r="AZ160" s="1">
        <v>0</v>
      </c>
      <c r="BA160" s="1" t="s">
        <v>329</v>
      </c>
      <c r="BB160" s="1" t="s">
        <v>5076</v>
      </c>
      <c r="BC160" s="1" t="s">
        <v>4740</v>
      </c>
      <c r="BD160" s="1">
        <v>10202</v>
      </c>
      <c r="BE160" s="1"/>
      <c r="BH160">
        <f>COUNTIF(Dropdowns!$I:$AF,C160)</f>
        <v>1</v>
      </c>
    </row>
    <row r="161" spans="1:60" x14ac:dyDescent="0.25">
      <c r="A161" s="1">
        <v>165</v>
      </c>
      <c r="B161" s="1" t="s">
        <v>3324</v>
      </c>
      <c r="C161" s="241" t="s">
        <v>151</v>
      </c>
      <c r="D161" s="1" t="s">
        <v>151</v>
      </c>
      <c r="E161" s="1"/>
      <c r="F161" s="1"/>
      <c r="G161" s="1" t="s">
        <v>3325</v>
      </c>
      <c r="H161" s="1" t="s">
        <v>3326</v>
      </c>
      <c r="I161" s="1" t="s">
        <v>3327</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1200</v>
      </c>
      <c r="AK161" s="1" t="s">
        <v>329</v>
      </c>
      <c r="AL161" s="1">
        <v>9</v>
      </c>
      <c r="AM161" s="1" t="s">
        <v>4717</v>
      </c>
      <c r="AN161" s="1" t="s">
        <v>336</v>
      </c>
      <c r="AO161" s="1" t="s">
        <v>4941</v>
      </c>
      <c r="AP161" s="1">
        <v>0</v>
      </c>
      <c r="AQ161" s="1" t="s">
        <v>1201</v>
      </c>
      <c r="AR161" s="1" t="s">
        <v>1202</v>
      </c>
      <c r="AS161" s="1" t="s">
        <v>1203</v>
      </c>
      <c r="AT161" s="1" t="s">
        <v>329</v>
      </c>
      <c r="AU161" s="1">
        <v>165</v>
      </c>
      <c r="AV161" s="1">
        <v>0</v>
      </c>
      <c r="AW161" s="1" t="s">
        <v>5072</v>
      </c>
      <c r="AX161" s="1" t="s">
        <v>4720</v>
      </c>
      <c r="AY161" s="1">
        <v>4</v>
      </c>
      <c r="AZ161" s="1">
        <v>0</v>
      </c>
      <c r="BA161" s="1" t="s">
        <v>329</v>
      </c>
      <c r="BB161" s="1" t="s">
        <v>5077</v>
      </c>
      <c r="BC161" s="1" t="s">
        <v>4740</v>
      </c>
      <c r="BD161" s="1">
        <v>10704</v>
      </c>
      <c r="BE161" s="1"/>
      <c r="BH161">
        <f>COUNTIF(Dropdowns!$I:$AF,C161)</f>
        <v>1</v>
      </c>
    </row>
    <row r="162" spans="1:60" x14ac:dyDescent="0.25">
      <c r="A162" s="1">
        <v>166</v>
      </c>
      <c r="B162" s="1" t="s">
        <v>3328</v>
      </c>
      <c r="C162" s="241" t="s">
        <v>152</v>
      </c>
      <c r="D162" s="1" t="s">
        <v>152</v>
      </c>
      <c r="E162" s="1"/>
      <c r="F162" s="1"/>
      <c r="G162" s="1" t="s">
        <v>3329</v>
      </c>
      <c r="H162" s="1" t="s">
        <v>3330</v>
      </c>
      <c r="I162" s="1" t="s">
        <v>3331</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1807</v>
      </c>
      <c r="AN162" s="1" t="s">
        <v>4959</v>
      </c>
      <c r="AO162" s="1" t="s">
        <v>5078</v>
      </c>
      <c r="AP162" s="1">
        <v>0</v>
      </c>
      <c r="AQ162" s="1" t="s">
        <v>1119</v>
      </c>
      <c r="AR162" s="1" t="s">
        <v>1120</v>
      </c>
      <c r="AS162" s="1" t="s">
        <v>1121</v>
      </c>
      <c r="AT162" s="1" t="s">
        <v>329</v>
      </c>
      <c r="AU162" s="1">
        <v>166</v>
      </c>
      <c r="AV162" s="1">
        <v>0</v>
      </c>
      <c r="AW162" s="1" t="s">
        <v>5079</v>
      </c>
      <c r="AX162" s="1" t="s">
        <v>5059</v>
      </c>
      <c r="AY162" s="1">
        <v>5</v>
      </c>
      <c r="AZ162" s="1">
        <v>0</v>
      </c>
      <c r="BA162" s="1" t="s">
        <v>329</v>
      </c>
      <c r="BB162" s="1" t="s">
        <v>5080</v>
      </c>
      <c r="BC162" s="1" t="s">
        <v>329</v>
      </c>
      <c r="BD162" s="1">
        <v>10401</v>
      </c>
      <c r="BE162" s="1"/>
      <c r="BH162">
        <f>COUNTIF(Dropdowns!$I:$AF,C162)</f>
        <v>0</v>
      </c>
    </row>
    <row r="163" spans="1:60" x14ac:dyDescent="0.25">
      <c r="A163" s="1">
        <v>167</v>
      </c>
      <c r="B163" s="1" t="s">
        <v>3332</v>
      </c>
      <c r="C163" s="241" t="s">
        <v>228</v>
      </c>
      <c r="D163" s="1" t="s">
        <v>228</v>
      </c>
      <c r="E163" s="1"/>
      <c r="F163" s="1"/>
      <c r="G163" s="1" t="s">
        <v>3333</v>
      </c>
      <c r="H163" s="1" t="s">
        <v>3334</v>
      </c>
      <c r="I163" s="1" t="s">
        <v>3335</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1126</v>
      </c>
      <c r="AK163" s="1" t="s">
        <v>329</v>
      </c>
      <c r="AL163" s="1">
        <v>13</v>
      </c>
      <c r="AM163" s="1" t="s">
        <v>1807</v>
      </c>
      <c r="AN163" s="1" t="s">
        <v>4785</v>
      </c>
      <c r="AO163" s="1" t="s">
        <v>5081</v>
      </c>
      <c r="AP163" s="1">
        <v>0</v>
      </c>
      <c r="AQ163" s="1" t="s">
        <v>1119</v>
      </c>
      <c r="AR163" s="1" t="s">
        <v>1120</v>
      </c>
      <c r="AS163" s="1" t="s">
        <v>1121</v>
      </c>
      <c r="AT163" s="1" t="s">
        <v>329</v>
      </c>
      <c r="AU163" s="1">
        <v>167</v>
      </c>
      <c r="AV163" s="1">
        <v>0</v>
      </c>
      <c r="AW163" s="1" t="s">
        <v>5082</v>
      </c>
      <c r="AX163" s="1" t="s">
        <v>486</v>
      </c>
      <c r="AY163" s="1">
        <v>3</v>
      </c>
      <c r="AZ163" s="1">
        <v>0</v>
      </c>
      <c r="BA163" s="1" t="s">
        <v>329</v>
      </c>
      <c r="BB163" s="1" t="s">
        <v>329</v>
      </c>
      <c r="BC163" s="1" t="s">
        <v>4770</v>
      </c>
      <c r="BD163" s="1">
        <v>10803</v>
      </c>
      <c r="BE163" s="1"/>
      <c r="BH163">
        <f>COUNTIF(Dropdowns!$I:$AF,C163)</f>
        <v>0</v>
      </c>
    </row>
    <row r="164" spans="1:60" x14ac:dyDescent="0.25">
      <c r="A164" s="1">
        <v>168</v>
      </c>
      <c r="B164" s="1" t="s">
        <v>3336</v>
      </c>
      <c r="C164" s="241" t="s">
        <v>153</v>
      </c>
      <c r="D164" s="1" t="s">
        <v>153</v>
      </c>
      <c r="E164" s="1"/>
      <c r="F164" s="1"/>
      <c r="G164" s="1" t="s">
        <v>3337</v>
      </c>
      <c r="H164" s="1" t="s">
        <v>3338</v>
      </c>
      <c r="I164" s="1" t="s">
        <v>3339</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5083</v>
      </c>
      <c r="AK164" s="1" t="s">
        <v>329</v>
      </c>
      <c r="AL164" s="1">
        <v>18</v>
      </c>
      <c r="AM164" s="1" t="s">
        <v>1807</v>
      </c>
      <c r="AN164" s="1" t="s">
        <v>5084</v>
      </c>
      <c r="AO164" s="1" t="s">
        <v>5064</v>
      </c>
      <c r="AP164" s="1">
        <v>0</v>
      </c>
      <c r="AQ164" s="1" t="s">
        <v>1119</v>
      </c>
      <c r="AR164" s="1" t="s">
        <v>1120</v>
      </c>
      <c r="AS164" s="1" t="s">
        <v>1121</v>
      </c>
      <c r="AT164" s="1" t="s">
        <v>329</v>
      </c>
      <c r="AU164" s="1">
        <v>168</v>
      </c>
      <c r="AV164" s="1">
        <v>0</v>
      </c>
      <c r="AW164" s="1" t="s">
        <v>5085</v>
      </c>
      <c r="AX164" s="1" t="s">
        <v>4763</v>
      </c>
      <c r="AY164" s="1">
        <v>4</v>
      </c>
      <c r="AZ164" s="1">
        <v>0</v>
      </c>
      <c r="BA164" s="1" t="s">
        <v>329</v>
      </c>
      <c r="BB164" s="1" t="s">
        <v>5086</v>
      </c>
      <c r="BC164" s="1" t="s">
        <v>329</v>
      </c>
      <c r="BD164" s="1">
        <v>10401</v>
      </c>
      <c r="BE164" s="1"/>
      <c r="BH164">
        <f>COUNTIF(Dropdowns!$I:$AF,C164)</f>
        <v>0</v>
      </c>
    </row>
    <row r="165" spans="1:60" x14ac:dyDescent="0.25">
      <c r="A165" s="1">
        <v>169</v>
      </c>
      <c r="B165" s="1" t="s">
        <v>3340</v>
      </c>
      <c r="C165" s="241" t="s">
        <v>751</v>
      </c>
      <c r="D165" s="1" t="s">
        <v>3341</v>
      </c>
      <c r="E165" s="1"/>
      <c r="F165" s="1"/>
      <c r="G165" s="1" t="s">
        <v>3342</v>
      </c>
      <c r="H165" s="1" t="s">
        <v>3343</v>
      </c>
      <c r="I165" s="1" t="s">
        <v>3344</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1126</v>
      </c>
      <c r="AK165" s="1" t="s">
        <v>329</v>
      </c>
      <c r="AL165" s="1">
        <v>13</v>
      </c>
      <c r="AM165" s="1" t="s">
        <v>4791</v>
      </c>
      <c r="AN165" s="1" t="s">
        <v>4794</v>
      </c>
      <c r="AO165" s="1" t="s">
        <v>5087</v>
      </c>
      <c r="AP165" s="1">
        <v>0</v>
      </c>
      <c r="AQ165" s="1" t="s">
        <v>1130</v>
      </c>
      <c r="AR165" s="1" t="s">
        <v>1120</v>
      </c>
      <c r="AS165" s="1" t="s">
        <v>1746</v>
      </c>
      <c r="AT165" s="1" t="s">
        <v>329</v>
      </c>
      <c r="AU165" s="1">
        <v>169</v>
      </c>
      <c r="AV165" s="1">
        <v>0</v>
      </c>
      <c r="AW165" s="1" t="s">
        <v>5085</v>
      </c>
      <c r="AX165" s="1" t="s">
        <v>4920</v>
      </c>
      <c r="AY165" s="1">
        <v>3</v>
      </c>
      <c r="AZ165" s="1">
        <v>0</v>
      </c>
      <c r="BA165" s="1" t="s">
        <v>329</v>
      </c>
      <c r="BB165" s="1" t="s">
        <v>358</v>
      </c>
      <c r="BC165" s="1" t="s">
        <v>4721</v>
      </c>
      <c r="BD165" s="1">
        <v>10703</v>
      </c>
      <c r="BE165" s="1"/>
      <c r="BH165">
        <f>COUNTIF(Dropdowns!$I:$AF,C165)</f>
        <v>1</v>
      </c>
    </row>
    <row r="166" spans="1:60" x14ac:dyDescent="0.25">
      <c r="A166" s="1">
        <v>170</v>
      </c>
      <c r="B166" s="1" t="s">
        <v>3345</v>
      </c>
      <c r="C166" s="241" t="s">
        <v>5491</v>
      </c>
      <c r="D166" s="1" t="s">
        <v>3346</v>
      </c>
      <c r="E166" s="1"/>
      <c r="F166" s="1"/>
      <c r="G166" s="1" t="s">
        <v>3347</v>
      </c>
      <c r="H166" s="1" t="s">
        <v>3348</v>
      </c>
      <c r="I166" s="1" t="s">
        <v>3349</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1126</v>
      </c>
      <c r="AK166" s="1" t="s">
        <v>329</v>
      </c>
      <c r="AL166" s="1">
        <v>13</v>
      </c>
      <c r="AM166" s="1" t="s">
        <v>4720</v>
      </c>
      <c r="AN166" s="1" t="s">
        <v>4835</v>
      </c>
      <c r="AO166" s="1" t="s">
        <v>5088</v>
      </c>
      <c r="AP166" s="1">
        <v>0</v>
      </c>
      <c r="AQ166" s="1" t="s">
        <v>1131</v>
      </c>
      <c r="AR166" s="1" t="s">
        <v>1155</v>
      </c>
      <c r="AS166" s="1" t="s">
        <v>1130</v>
      </c>
      <c r="AT166" s="1" t="s">
        <v>329</v>
      </c>
      <c r="AU166" s="1">
        <v>170</v>
      </c>
      <c r="AV166" s="1">
        <v>0</v>
      </c>
      <c r="AW166" s="1" t="s">
        <v>5089</v>
      </c>
      <c r="AX166" s="1" t="s">
        <v>486</v>
      </c>
      <c r="AY166" s="1">
        <v>3</v>
      </c>
      <c r="AZ166" s="1">
        <v>0</v>
      </c>
      <c r="BA166" s="1" t="s">
        <v>329</v>
      </c>
      <c r="BB166" s="1" t="s">
        <v>329</v>
      </c>
      <c r="BC166" s="1" t="s">
        <v>4758</v>
      </c>
      <c r="BD166" s="1">
        <v>10402</v>
      </c>
      <c r="BE166" s="1"/>
      <c r="BH166">
        <f>COUNTIF(Dropdowns!$I:$AF,C166)</f>
        <v>1</v>
      </c>
    </row>
    <row r="167" spans="1:60" x14ac:dyDescent="0.25">
      <c r="A167" s="1">
        <v>171</v>
      </c>
      <c r="B167" s="1" t="s">
        <v>3350</v>
      </c>
      <c r="C167" s="241" t="s">
        <v>229</v>
      </c>
      <c r="D167" s="1" t="s">
        <v>3351</v>
      </c>
      <c r="E167" s="1"/>
      <c r="F167" s="1"/>
      <c r="G167" s="1" t="s">
        <v>3352</v>
      </c>
      <c r="H167" s="1" t="s">
        <v>3353</v>
      </c>
      <c r="I167" s="1" t="s">
        <v>3354</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1748</v>
      </c>
      <c r="AK167" s="1" t="s">
        <v>329</v>
      </c>
      <c r="AL167" s="1">
        <v>13</v>
      </c>
      <c r="AM167" s="1" t="s">
        <v>4791</v>
      </c>
      <c r="AN167" s="1" t="s">
        <v>465</v>
      </c>
      <c r="AO167" s="1" t="s">
        <v>4941</v>
      </c>
      <c r="AP167" s="1">
        <v>0</v>
      </c>
      <c r="AQ167" s="1" t="s">
        <v>1746</v>
      </c>
      <c r="AR167" s="1" t="s">
        <v>1155</v>
      </c>
      <c r="AS167" s="1" t="s">
        <v>1130</v>
      </c>
      <c r="AT167" s="1" t="s">
        <v>329</v>
      </c>
      <c r="AU167" s="1">
        <v>171</v>
      </c>
      <c r="AV167" s="1">
        <v>0</v>
      </c>
      <c r="AW167" s="1" t="s">
        <v>5085</v>
      </c>
      <c r="AX167" s="1" t="s">
        <v>332</v>
      </c>
      <c r="AY167" s="1">
        <v>4</v>
      </c>
      <c r="AZ167" s="1">
        <v>0</v>
      </c>
      <c r="BA167" s="1" t="s">
        <v>4744</v>
      </c>
      <c r="BB167" s="1" t="s">
        <v>5090</v>
      </c>
      <c r="BC167" s="1" t="s">
        <v>329</v>
      </c>
      <c r="BD167" s="1">
        <v>10702</v>
      </c>
      <c r="BE167" s="1"/>
      <c r="BH167">
        <f>COUNTIF(Dropdowns!$I:$AF,C167)</f>
        <v>1</v>
      </c>
    </row>
    <row r="168" spans="1:60" x14ac:dyDescent="0.25">
      <c r="A168" s="1">
        <v>172</v>
      </c>
      <c r="B168" s="1" t="s">
        <v>3355</v>
      </c>
      <c r="C168" s="241" t="s">
        <v>230</v>
      </c>
      <c r="D168" s="1" t="s">
        <v>230</v>
      </c>
      <c r="E168" s="1"/>
      <c r="F168" s="1"/>
      <c r="G168" s="1" t="s">
        <v>3356</v>
      </c>
      <c r="H168" s="1" t="s">
        <v>3357</v>
      </c>
      <c r="I168" s="1" t="s">
        <v>3358</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1212</v>
      </c>
      <c r="AK168" s="1" t="s">
        <v>329</v>
      </c>
      <c r="AL168" s="1">
        <v>13</v>
      </c>
      <c r="AM168" s="1" t="s">
        <v>4720</v>
      </c>
      <c r="AN168" s="1" t="s">
        <v>4865</v>
      </c>
      <c r="AO168" s="1" t="s">
        <v>5091</v>
      </c>
      <c r="AP168" s="1">
        <v>0</v>
      </c>
      <c r="AQ168" s="1" t="s">
        <v>1746</v>
      </c>
      <c r="AR168" s="1" t="s">
        <v>1155</v>
      </c>
      <c r="AS168" s="1" t="s">
        <v>1130</v>
      </c>
      <c r="AT168" s="1" t="s">
        <v>329</v>
      </c>
      <c r="AU168" s="1">
        <v>172</v>
      </c>
      <c r="AV168" s="1">
        <v>0</v>
      </c>
      <c r="AW168" s="1" t="s">
        <v>5085</v>
      </c>
      <c r="AX168" s="1" t="s">
        <v>332</v>
      </c>
      <c r="AY168" s="1">
        <v>5</v>
      </c>
      <c r="AZ168" s="1">
        <v>0</v>
      </c>
      <c r="BA168" s="1" t="s">
        <v>329</v>
      </c>
      <c r="BB168" s="1" t="s">
        <v>5092</v>
      </c>
      <c r="BC168" s="1" t="s">
        <v>4721</v>
      </c>
      <c r="BD168" s="1">
        <v>10802</v>
      </c>
      <c r="BE168" s="1"/>
      <c r="BH168">
        <f>COUNTIF(Dropdowns!$I:$AF,C168)</f>
        <v>1</v>
      </c>
    </row>
    <row r="169" spans="1:60" x14ac:dyDescent="0.25">
      <c r="A169" s="1">
        <v>173</v>
      </c>
      <c r="B169" s="1" t="s">
        <v>3359</v>
      </c>
      <c r="C169" s="241" t="s">
        <v>154</v>
      </c>
      <c r="D169" s="1" t="s">
        <v>154</v>
      </c>
      <c r="E169" s="1"/>
      <c r="F169" s="1"/>
      <c r="G169" s="1" t="s">
        <v>3360</v>
      </c>
      <c r="H169" s="1" t="s">
        <v>3361</v>
      </c>
      <c r="I169" s="1" t="s">
        <v>3362</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5093</v>
      </c>
      <c r="AK169" s="1" t="s">
        <v>329</v>
      </c>
      <c r="AL169" s="1">
        <v>17</v>
      </c>
      <c r="AM169" s="1" t="s">
        <v>4859</v>
      </c>
      <c r="AN169" s="1" t="s">
        <v>5094</v>
      </c>
      <c r="AO169" s="1" t="s">
        <v>5095</v>
      </c>
      <c r="AP169" s="1">
        <v>0</v>
      </c>
      <c r="AQ169" s="1" t="s">
        <v>1168</v>
      </c>
      <c r="AR169" s="1" t="s">
        <v>1169</v>
      </c>
      <c r="AS169" s="1" t="s">
        <v>1170</v>
      </c>
      <c r="AT169" s="1" t="s">
        <v>329</v>
      </c>
      <c r="AU169" s="1">
        <v>173</v>
      </c>
      <c r="AV169" s="1">
        <v>0</v>
      </c>
      <c r="AW169" s="1" t="s">
        <v>5085</v>
      </c>
      <c r="AX169" s="1" t="s">
        <v>332</v>
      </c>
      <c r="AY169" s="1">
        <v>5</v>
      </c>
      <c r="AZ169" s="1">
        <v>0</v>
      </c>
      <c r="BA169" s="1" t="s">
        <v>329</v>
      </c>
      <c r="BB169" s="1" t="s">
        <v>5096</v>
      </c>
      <c r="BC169" s="1" t="s">
        <v>4758</v>
      </c>
      <c r="BD169" s="1">
        <v>10402</v>
      </c>
      <c r="BE169" s="1"/>
      <c r="BH169">
        <f>COUNTIF(Dropdowns!$I:$AF,C169)</f>
        <v>1</v>
      </c>
    </row>
    <row r="170" spans="1:60" x14ac:dyDescent="0.25">
      <c r="A170" s="1">
        <v>174</v>
      </c>
      <c r="B170" s="1" t="s">
        <v>3363</v>
      </c>
      <c r="C170" s="241" t="s">
        <v>1604</v>
      </c>
      <c r="D170" s="1" t="s">
        <v>3364</v>
      </c>
      <c r="E170" s="1"/>
      <c r="F170" s="1"/>
      <c r="G170" s="1" t="s">
        <v>3365</v>
      </c>
      <c r="H170" s="1" t="s">
        <v>3366</v>
      </c>
      <c r="I170" s="1" t="s">
        <v>3367</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1126</v>
      </c>
      <c r="AK170" s="1" t="s">
        <v>329</v>
      </c>
      <c r="AL170" s="1">
        <v>13</v>
      </c>
      <c r="AM170" s="1" t="s">
        <v>4763</v>
      </c>
      <c r="AN170" s="1" t="s">
        <v>4832</v>
      </c>
      <c r="AO170" s="1" t="s">
        <v>4827</v>
      </c>
      <c r="AP170" s="1">
        <v>0</v>
      </c>
      <c r="AQ170" s="1" t="s">
        <v>1141</v>
      </c>
      <c r="AR170" s="1" t="s">
        <v>1142</v>
      </c>
      <c r="AS170" s="1" t="s">
        <v>1143</v>
      </c>
      <c r="AT170" s="1" t="s">
        <v>329</v>
      </c>
      <c r="AU170" s="1">
        <v>174</v>
      </c>
      <c r="AV170" s="1">
        <v>0</v>
      </c>
      <c r="AW170" s="1" t="s">
        <v>5097</v>
      </c>
      <c r="AX170" s="1" t="s">
        <v>486</v>
      </c>
      <c r="AY170" s="1">
        <v>3</v>
      </c>
      <c r="AZ170" s="1">
        <v>0</v>
      </c>
      <c r="BA170" s="1" t="s">
        <v>329</v>
      </c>
      <c r="BB170" s="1" t="s">
        <v>4953</v>
      </c>
      <c r="BC170" s="1" t="s">
        <v>4784</v>
      </c>
      <c r="BD170" s="1">
        <v>10701</v>
      </c>
      <c r="BE170" s="1"/>
      <c r="BH170">
        <f>COUNTIF(Dropdowns!$I:$AF,C170)</f>
        <v>1</v>
      </c>
    </row>
    <row r="171" spans="1:60" x14ac:dyDescent="0.25">
      <c r="A171" s="1">
        <v>175</v>
      </c>
      <c r="B171" s="1" t="s">
        <v>3368</v>
      </c>
      <c r="C171" s="241" t="s">
        <v>155</v>
      </c>
      <c r="D171" s="1" t="s">
        <v>155</v>
      </c>
      <c r="E171" s="1"/>
      <c r="F171" s="1"/>
      <c r="G171" s="1" t="s">
        <v>3369</v>
      </c>
      <c r="H171" s="1" t="s">
        <v>3370</v>
      </c>
      <c r="I171" s="1" t="s">
        <v>3371</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4720</v>
      </c>
      <c r="AN171" s="1" t="s">
        <v>4835</v>
      </c>
      <c r="AO171" s="1" t="s">
        <v>4881</v>
      </c>
      <c r="AP171" s="1">
        <v>0</v>
      </c>
      <c r="AQ171" s="1" t="s">
        <v>1131</v>
      </c>
      <c r="AR171" s="1" t="s">
        <v>1155</v>
      </c>
      <c r="AS171" s="1" t="s">
        <v>1130</v>
      </c>
      <c r="AT171" s="1" t="s">
        <v>329</v>
      </c>
      <c r="AU171" s="1">
        <v>175</v>
      </c>
      <c r="AV171" s="1">
        <v>0</v>
      </c>
      <c r="AW171" s="1" t="s">
        <v>5098</v>
      </c>
      <c r="AX171" s="1" t="s">
        <v>5045</v>
      </c>
      <c r="AY171" s="1">
        <v>5</v>
      </c>
      <c r="AZ171" s="1">
        <v>0</v>
      </c>
      <c r="BA171" s="1" t="s">
        <v>329</v>
      </c>
      <c r="BB171" s="1" t="s">
        <v>5099</v>
      </c>
      <c r="BC171" s="1" t="s">
        <v>329</v>
      </c>
      <c r="BD171" s="1">
        <v>10203</v>
      </c>
      <c r="BE171" s="1"/>
      <c r="BH171">
        <f>COUNTIF(Dropdowns!$I:$AF,C171)</f>
        <v>1</v>
      </c>
    </row>
    <row r="172" spans="1:60" x14ac:dyDescent="0.25">
      <c r="A172" s="1">
        <v>176</v>
      </c>
      <c r="B172" s="1" t="s">
        <v>3372</v>
      </c>
      <c r="C172" s="241" t="s">
        <v>156</v>
      </c>
      <c r="D172" s="1" t="s">
        <v>156</v>
      </c>
      <c r="E172" s="1"/>
      <c r="F172" s="1"/>
      <c r="G172" s="1" t="s">
        <v>3373</v>
      </c>
      <c r="H172" s="1" t="s">
        <v>3374</v>
      </c>
      <c r="I172" s="1" t="s">
        <v>3375</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5100</v>
      </c>
      <c r="AK172" s="1" t="s">
        <v>329</v>
      </c>
      <c r="AL172" s="1">
        <v>12</v>
      </c>
      <c r="AM172" s="1" t="s">
        <v>4791</v>
      </c>
      <c r="AN172" s="1" t="s">
        <v>359</v>
      </c>
      <c r="AO172" s="1" t="s">
        <v>5064</v>
      </c>
      <c r="AP172" s="1">
        <v>0</v>
      </c>
      <c r="AQ172" s="1" t="s">
        <v>1130</v>
      </c>
      <c r="AR172" s="1" t="s">
        <v>1120</v>
      </c>
      <c r="AS172" s="1" t="s">
        <v>1131</v>
      </c>
      <c r="AT172" s="1" t="s">
        <v>329</v>
      </c>
      <c r="AU172" s="1">
        <v>176</v>
      </c>
      <c r="AV172" s="1">
        <v>0</v>
      </c>
      <c r="AW172" s="1" t="s">
        <v>5101</v>
      </c>
      <c r="AX172" s="1" t="s">
        <v>5102</v>
      </c>
      <c r="AY172" s="1">
        <v>3</v>
      </c>
      <c r="AZ172" s="1">
        <v>0</v>
      </c>
      <c r="BA172" s="1" t="s">
        <v>329</v>
      </c>
      <c r="BB172" s="1" t="s">
        <v>329</v>
      </c>
      <c r="BC172" s="1" t="s">
        <v>329</v>
      </c>
      <c r="BD172" s="1">
        <v>10202</v>
      </c>
      <c r="BE172" s="1"/>
      <c r="BH172">
        <f>COUNTIF(Dropdowns!$I:$AF,C172)</f>
        <v>1</v>
      </c>
    </row>
    <row r="173" spans="1:60" x14ac:dyDescent="0.25">
      <c r="A173" s="1">
        <v>177</v>
      </c>
      <c r="B173" s="1" t="s">
        <v>3376</v>
      </c>
      <c r="C173" s="241" t="s">
        <v>157</v>
      </c>
      <c r="D173" s="1" t="s">
        <v>157</v>
      </c>
      <c r="E173" s="1"/>
      <c r="F173" s="1"/>
      <c r="G173" s="1" t="s">
        <v>3377</v>
      </c>
      <c r="H173" s="1" t="s">
        <v>3378</v>
      </c>
      <c r="I173" s="1" t="s">
        <v>3379</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1165</v>
      </c>
      <c r="AK173" s="1" t="s">
        <v>329</v>
      </c>
      <c r="AL173" s="1">
        <v>13</v>
      </c>
      <c r="AM173" s="1" t="s">
        <v>4791</v>
      </c>
      <c r="AN173" s="1" t="s">
        <v>4794</v>
      </c>
      <c r="AO173" s="1" t="s">
        <v>4803</v>
      </c>
      <c r="AP173" s="1">
        <v>0</v>
      </c>
      <c r="AQ173" s="1" t="s">
        <v>1130</v>
      </c>
      <c r="AR173" s="1" t="s">
        <v>1120</v>
      </c>
      <c r="AS173" s="1" t="s">
        <v>1131</v>
      </c>
      <c r="AT173" s="1" t="s">
        <v>329</v>
      </c>
      <c r="AU173" s="1">
        <v>177</v>
      </c>
      <c r="AV173" s="1">
        <v>0</v>
      </c>
      <c r="AW173" s="1" t="s">
        <v>4968</v>
      </c>
      <c r="AX173" s="1" t="s">
        <v>1807</v>
      </c>
      <c r="AY173" s="1">
        <v>4</v>
      </c>
      <c r="AZ173" s="1">
        <v>0</v>
      </c>
      <c r="BA173" s="1" t="s">
        <v>329</v>
      </c>
      <c r="BB173" s="1" t="s">
        <v>473</v>
      </c>
      <c r="BC173" s="1" t="s">
        <v>4758</v>
      </c>
      <c r="BD173" s="1">
        <v>10704</v>
      </c>
      <c r="BE173" s="1"/>
      <c r="BH173">
        <f>COUNTIF(Dropdowns!$I:$AF,C173)</f>
        <v>1</v>
      </c>
    </row>
    <row r="174" spans="1:60" x14ac:dyDescent="0.25">
      <c r="A174" s="1">
        <v>178</v>
      </c>
      <c r="B174" s="1" t="s">
        <v>3380</v>
      </c>
      <c r="C174" s="241" t="s">
        <v>158</v>
      </c>
      <c r="D174" s="1" t="s">
        <v>158</v>
      </c>
      <c r="E174" s="1"/>
      <c r="F174" s="1"/>
      <c r="G174" s="1" t="s">
        <v>3381</v>
      </c>
      <c r="H174" s="1" t="s">
        <v>3382</v>
      </c>
      <c r="I174" s="1" t="s">
        <v>3383</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1126</v>
      </c>
      <c r="AK174" s="1" t="s">
        <v>329</v>
      </c>
      <c r="AL174" s="1">
        <v>13</v>
      </c>
      <c r="AM174" s="1" t="s">
        <v>4791</v>
      </c>
      <c r="AN174" s="1" t="s">
        <v>389</v>
      </c>
      <c r="AO174" s="1" t="s">
        <v>5103</v>
      </c>
      <c r="AP174" s="1">
        <v>0</v>
      </c>
      <c r="AQ174" s="1" t="s">
        <v>1745</v>
      </c>
      <c r="AR174" s="1" t="s">
        <v>1120</v>
      </c>
      <c r="AS174" s="1" t="s">
        <v>1131</v>
      </c>
      <c r="AT174" s="1" t="s">
        <v>329</v>
      </c>
      <c r="AU174" s="1">
        <v>178</v>
      </c>
      <c r="AV174" s="1">
        <v>0</v>
      </c>
      <c r="AW174" s="1" t="s">
        <v>4968</v>
      </c>
      <c r="AX174" s="1" t="s">
        <v>5104</v>
      </c>
      <c r="AY174" s="1">
        <v>3</v>
      </c>
      <c r="AZ174" s="1">
        <v>0</v>
      </c>
      <c r="BA174" s="1" t="s">
        <v>4766</v>
      </c>
      <c r="BB174" s="1" t="s">
        <v>5105</v>
      </c>
      <c r="BC174" s="1" t="s">
        <v>329</v>
      </c>
      <c r="BD174" s="1">
        <v>10802</v>
      </c>
      <c r="BE174" s="1"/>
      <c r="BH174">
        <f>COUNTIF(Dropdowns!$I:$AF,C174)</f>
        <v>1</v>
      </c>
    </row>
    <row r="175" spans="1:60" x14ac:dyDescent="0.25">
      <c r="A175" s="1">
        <v>179</v>
      </c>
      <c r="B175" s="1" t="s">
        <v>3384</v>
      </c>
      <c r="C175" s="241" t="s">
        <v>1638</v>
      </c>
      <c r="D175" s="1" t="s">
        <v>1638</v>
      </c>
      <c r="E175" s="1"/>
      <c r="F175" s="1"/>
      <c r="G175" s="1" t="s">
        <v>3385</v>
      </c>
      <c r="H175" s="1" t="s">
        <v>3386</v>
      </c>
      <c r="I175" s="1" t="s">
        <v>3387</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1147</v>
      </c>
      <c r="AK175" s="1" t="s">
        <v>329</v>
      </c>
      <c r="AL175" s="1">
        <v>18</v>
      </c>
      <c r="AM175" s="1" t="s">
        <v>4763</v>
      </c>
      <c r="AN175" s="1" t="s">
        <v>5106</v>
      </c>
      <c r="AO175" s="1" t="s">
        <v>4846</v>
      </c>
      <c r="AP175" s="1">
        <v>0</v>
      </c>
      <c r="AQ175" s="1" t="s">
        <v>1141</v>
      </c>
      <c r="AR175" s="1" t="s">
        <v>1142</v>
      </c>
      <c r="AS175" s="1" t="s">
        <v>1143</v>
      </c>
      <c r="AT175" s="1" t="s">
        <v>329</v>
      </c>
      <c r="AU175" s="1">
        <v>179</v>
      </c>
      <c r="AV175" s="1">
        <v>0</v>
      </c>
      <c r="AW175" s="1" t="s">
        <v>4968</v>
      </c>
      <c r="AX175" s="1" t="s">
        <v>1807</v>
      </c>
      <c r="AY175" s="1">
        <v>5</v>
      </c>
      <c r="AZ175" s="1">
        <v>0</v>
      </c>
      <c r="BA175" s="1" t="s">
        <v>329</v>
      </c>
      <c r="BB175" s="1" t="s">
        <v>5107</v>
      </c>
      <c r="BC175" s="1" t="s">
        <v>4770</v>
      </c>
      <c r="BD175" s="1">
        <v>10701</v>
      </c>
      <c r="BE175" s="1"/>
      <c r="BH175">
        <f>COUNTIF(Dropdowns!$I:$AF,C175)</f>
        <v>1</v>
      </c>
    </row>
    <row r="176" spans="1:60" x14ac:dyDescent="0.25">
      <c r="A176" s="1">
        <v>180</v>
      </c>
      <c r="B176" s="1" t="s">
        <v>3388</v>
      </c>
      <c r="C176" s="241" t="s">
        <v>159</v>
      </c>
      <c r="D176" s="1" t="s">
        <v>159</v>
      </c>
      <c r="E176" s="1"/>
      <c r="F176" s="1"/>
      <c r="G176" s="1" t="s">
        <v>3389</v>
      </c>
      <c r="H176" s="1" t="s">
        <v>3390</v>
      </c>
      <c r="I176" s="1" t="s">
        <v>3391</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1213</v>
      </c>
      <c r="AK176" s="1" t="s">
        <v>329</v>
      </c>
      <c r="AL176" s="1">
        <v>13</v>
      </c>
      <c r="AM176" s="1" t="s">
        <v>4763</v>
      </c>
      <c r="AN176" s="1" t="s">
        <v>465</v>
      </c>
      <c r="AO176" s="1" t="s">
        <v>4833</v>
      </c>
      <c r="AP176" s="1">
        <v>0</v>
      </c>
      <c r="AQ176" s="1" t="s">
        <v>1747</v>
      </c>
      <c r="AR176" s="1" t="s">
        <v>1142</v>
      </c>
      <c r="AS176" s="1" t="s">
        <v>1143</v>
      </c>
      <c r="AT176" s="1" t="s">
        <v>329</v>
      </c>
      <c r="AU176" s="1">
        <v>180</v>
      </c>
      <c r="AV176" s="1">
        <v>0</v>
      </c>
      <c r="AW176" s="1" t="s">
        <v>4968</v>
      </c>
      <c r="AX176" s="1" t="s">
        <v>5104</v>
      </c>
      <c r="AY176" s="1">
        <v>4</v>
      </c>
      <c r="AZ176" s="1">
        <v>0</v>
      </c>
      <c r="BA176" s="1" t="s">
        <v>329</v>
      </c>
      <c r="BB176" s="1" t="s">
        <v>5108</v>
      </c>
      <c r="BC176" s="1" t="s">
        <v>4770</v>
      </c>
      <c r="BD176" s="1">
        <v>10402</v>
      </c>
      <c r="BE176" s="1"/>
      <c r="BH176">
        <f>COUNTIF(Dropdowns!$I:$AF,C176)</f>
        <v>1</v>
      </c>
    </row>
    <row r="177" spans="1:60" x14ac:dyDescent="0.25">
      <c r="A177" s="1">
        <v>181</v>
      </c>
      <c r="B177" s="1" t="s">
        <v>3392</v>
      </c>
      <c r="C177" s="241" t="s">
        <v>160</v>
      </c>
      <c r="D177" s="1" t="s">
        <v>160</v>
      </c>
      <c r="E177" s="1"/>
      <c r="F177" s="1"/>
      <c r="G177" s="1" t="s">
        <v>3393</v>
      </c>
      <c r="H177" s="1" t="s">
        <v>3394</v>
      </c>
      <c r="I177" s="1" t="s">
        <v>3395</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4720</v>
      </c>
      <c r="AN177" s="1" t="s">
        <v>5109</v>
      </c>
      <c r="AO177" s="1" t="s">
        <v>5110</v>
      </c>
      <c r="AP177" s="1">
        <v>0</v>
      </c>
      <c r="AQ177" s="1" t="s">
        <v>1131</v>
      </c>
      <c r="AR177" s="1" t="s">
        <v>1155</v>
      </c>
      <c r="AS177" s="1" t="s">
        <v>1130</v>
      </c>
      <c r="AT177" s="1" t="s">
        <v>329</v>
      </c>
      <c r="AU177" s="1">
        <v>181</v>
      </c>
      <c r="AV177" s="1">
        <v>0</v>
      </c>
      <c r="AW177" s="1" t="s">
        <v>5111</v>
      </c>
      <c r="AX177" s="1" t="s">
        <v>332</v>
      </c>
      <c r="AY177" s="1">
        <v>5</v>
      </c>
      <c r="AZ177" s="1">
        <v>0</v>
      </c>
      <c r="BA177" s="1" t="s">
        <v>329</v>
      </c>
      <c r="BB177" s="1" t="s">
        <v>5112</v>
      </c>
      <c r="BC177" s="1" t="s">
        <v>4784</v>
      </c>
      <c r="BD177" s="1">
        <v>10203</v>
      </c>
      <c r="BE177" s="1"/>
      <c r="BH177">
        <f>COUNTIF(Dropdowns!$I:$AF,C177)</f>
        <v>1</v>
      </c>
    </row>
    <row r="178" spans="1:60" x14ac:dyDescent="0.25">
      <c r="A178" s="1">
        <v>182</v>
      </c>
      <c r="B178" s="1" t="s">
        <v>3396</v>
      </c>
      <c r="C178" s="241" t="s">
        <v>3397</v>
      </c>
      <c r="D178" s="1" t="s">
        <v>3397</v>
      </c>
      <c r="E178" s="1"/>
      <c r="F178" s="1"/>
      <c r="G178" s="1" t="s">
        <v>3398</v>
      </c>
      <c r="H178" s="1" t="s">
        <v>3399</v>
      </c>
      <c r="I178" s="1" t="s">
        <v>3400</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1126</v>
      </c>
      <c r="AK178" s="1" t="s">
        <v>329</v>
      </c>
      <c r="AL178" s="1">
        <v>13</v>
      </c>
      <c r="AM178" s="1" t="s">
        <v>4763</v>
      </c>
      <c r="AN178" s="1" t="s">
        <v>466</v>
      </c>
      <c r="AO178" s="1" t="s">
        <v>4827</v>
      </c>
      <c r="AP178" s="1">
        <v>0</v>
      </c>
      <c r="AQ178" s="1" t="s">
        <v>1141</v>
      </c>
      <c r="AR178" s="1" t="s">
        <v>1142</v>
      </c>
      <c r="AS178" s="1" t="s">
        <v>1143</v>
      </c>
      <c r="AT178" s="1" t="s">
        <v>329</v>
      </c>
      <c r="AU178" s="1">
        <v>182</v>
      </c>
      <c r="AV178" s="1">
        <v>0</v>
      </c>
      <c r="AW178" s="1" t="s">
        <v>5113</v>
      </c>
      <c r="AX178" s="1" t="s">
        <v>5102</v>
      </c>
      <c r="AY178" s="1">
        <v>3</v>
      </c>
      <c r="AZ178" s="1">
        <v>0</v>
      </c>
      <c r="BA178" s="1" t="s">
        <v>329</v>
      </c>
      <c r="BB178" s="1" t="s">
        <v>476</v>
      </c>
      <c r="BC178" s="1" t="s">
        <v>329</v>
      </c>
      <c r="BD178" s="1">
        <v>10704</v>
      </c>
      <c r="BE178" s="1"/>
      <c r="BH178">
        <f>COUNTIF(Dropdowns!$I:$AF,C178)</f>
        <v>1</v>
      </c>
    </row>
    <row r="179" spans="1:60" x14ac:dyDescent="0.25">
      <c r="A179" s="1">
        <v>183</v>
      </c>
      <c r="B179" s="1" t="s">
        <v>3401</v>
      </c>
      <c r="C179" s="241" t="s">
        <v>161</v>
      </c>
      <c r="D179" s="1" t="s">
        <v>161</v>
      </c>
      <c r="E179" s="1"/>
      <c r="F179" s="1"/>
      <c r="G179" s="1" t="s">
        <v>3402</v>
      </c>
      <c r="H179" s="1" t="s">
        <v>3403</v>
      </c>
      <c r="I179" s="1" t="s">
        <v>3404</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1214</v>
      </c>
      <c r="AK179" s="1" t="s">
        <v>1215</v>
      </c>
      <c r="AL179" s="1">
        <v>13</v>
      </c>
      <c r="AM179" s="1" t="s">
        <v>1807</v>
      </c>
      <c r="AN179" s="1" t="s">
        <v>4781</v>
      </c>
      <c r="AO179" s="1" t="s">
        <v>4752</v>
      </c>
      <c r="AP179" s="1">
        <v>0</v>
      </c>
      <c r="AQ179" s="1" t="s">
        <v>1119</v>
      </c>
      <c r="AR179" s="1" t="s">
        <v>1216</v>
      </c>
      <c r="AS179" s="1" t="s">
        <v>1121</v>
      </c>
      <c r="AT179" s="1" t="s">
        <v>329</v>
      </c>
      <c r="AU179" s="1">
        <v>183</v>
      </c>
      <c r="AV179" s="1">
        <v>0</v>
      </c>
      <c r="AW179" s="1" t="s">
        <v>5111</v>
      </c>
      <c r="AX179" s="1" t="s">
        <v>4763</v>
      </c>
      <c r="AY179" s="1">
        <v>5</v>
      </c>
      <c r="AZ179" s="1">
        <v>0</v>
      </c>
      <c r="BA179" s="1" t="s">
        <v>329</v>
      </c>
      <c r="BB179" s="1" t="s">
        <v>329</v>
      </c>
      <c r="BC179" s="1" t="s">
        <v>4721</v>
      </c>
      <c r="BD179" s="1">
        <v>10203</v>
      </c>
      <c r="BE179" s="1"/>
      <c r="BH179">
        <f>COUNTIF(Dropdowns!$I:$AF,C179)</f>
        <v>0</v>
      </c>
    </row>
    <row r="180" spans="1:60" x14ac:dyDescent="0.25">
      <c r="A180" s="1">
        <v>184</v>
      </c>
      <c r="B180" s="1" t="s">
        <v>3405</v>
      </c>
      <c r="C180" s="241" t="s">
        <v>1639</v>
      </c>
      <c r="D180" s="1" t="s">
        <v>1639</v>
      </c>
      <c r="E180" s="1"/>
      <c r="F180" s="1"/>
      <c r="G180" s="1" t="s">
        <v>3406</v>
      </c>
      <c r="H180" s="1" t="s">
        <v>3407</v>
      </c>
      <c r="I180" s="1" t="s">
        <v>3408</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4763</v>
      </c>
      <c r="AN180" s="1" t="s">
        <v>5114</v>
      </c>
      <c r="AO180" s="1" t="s">
        <v>4833</v>
      </c>
      <c r="AP180" s="1">
        <v>0</v>
      </c>
      <c r="AQ180" s="1" t="s">
        <v>1141</v>
      </c>
      <c r="AR180" s="1" t="s">
        <v>1142</v>
      </c>
      <c r="AS180" s="1" t="s">
        <v>1143</v>
      </c>
      <c r="AT180" s="1" t="s">
        <v>329</v>
      </c>
      <c r="AU180" s="1">
        <v>184</v>
      </c>
      <c r="AV180" s="1">
        <v>0</v>
      </c>
      <c r="AW180" s="1" t="s">
        <v>5111</v>
      </c>
      <c r="AX180" s="1" t="s">
        <v>332</v>
      </c>
      <c r="AY180" s="1">
        <v>4</v>
      </c>
      <c r="AZ180" s="1">
        <v>0</v>
      </c>
      <c r="BA180" s="1" t="s">
        <v>329</v>
      </c>
      <c r="BB180" s="1" t="s">
        <v>1726</v>
      </c>
      <c r="BC180" s="1" t="s">
        <v>4758</v>
      </c>
      <c r="BD180" s="1">
        <v>10302</v>
      </c>
      <c r="BE180" s="1"/>
      <c r="BH180">
        <f>COUNTIF(Dropdowns!$I:$AF,C180)</f>
        <v>1</v>
      </c>
    </row>
    <row r="181" spans="1:60" x14ac:dyDescent="0.25">
      <c r="A181" s="1">
        <v>185</v>
      </c>
      <c r="B181" s="1" t="s">
        <v>3409</v>
      </c>
      <c r="C181" s="241" t="s">
        <v>162</v>
      </c>
      <c r="D181" s="1" t="s">
        <v>162</v>
      </c>
      <c r="E181" s="1"/>
      <c r="F181" s="1"/>
      <c r="G181" s="1" t="s">
        <v>3410</v>
      </c>
      <c r="H181" s="1" t="s">
        <v>3411</v>
      </c>
      <c r="I181" s="1" t="s">
        <v>3412</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1217</v>
      </c>
      <c r="AK181" s="1" t="s">
        <v>329</v>
      </c>
      <c r="AL181" s="1">
        <v>18</v>
      </c>
      <c r="AM181" s="1" t="s">
        <v>4859</v>
      </c>
      <c r="AN181" s="1" t="s">
        <v>4985</v>
      </c>
      <c r="AO181" s="1" t="s">
        <v>5115</v>
      </c>
      <c r="AP181" s="1">
        <v>0</v>
      </c>
      <c r="AQ181" s="1" t="s">
        <v>1168</v>
      </c>
      <c r="AR181" s="1" t="s">
        <v>1169</v>
      </c>
      <c r="AS181" s="1" t="s">
        <v>4913</v>
      </c>
      <c r="AT181" s="1" t="s">
        <v>329</v>
      </c>
      <c r="AU181" s="1">
        <v>185</v>
      </c>
      <c r="AV181" s="1">
        <v>0</v>
      </c>
      <c r="AW181" s="1" t="s">
        <v>5111</v>
      </c>
      <c r="AX181" s="1" t="s">
        <v>332</v>
      </c>
      <c r="AY181" s="1">
        <v>4</v>
      </c>
      <c r="AZ181" s="1">
        <v>0</v>
      </c>
      <c r="BA181" s="1" t="s">
        <v>329</v>
      </c>
      <c r="BB181" s="1" t="s">
        <v>4924</v>
      </c>
      <c r="BC181" s="1" t="s">
        <v>329</v>
      </c>
      <c r="BD181" s="1">
        <v>10704</v>
      </c>
      <c r="BE181" s="1"/>
      <c r="BH181">
        <f>COUNTIF(Dropdowns!$I:$AF,C181)</f>
        <v>1</v>
      </c>
    </row>
    <row r="182" spans="1:60" x14ac:dyDescent="0.25">
      <c r="A182" s="1">
        <v>186</v>
      </c>
      <c r="B182" s="1" t="s">
        <v>3413</v>
      </c>
      <c r="C182" s="241" t="s">
        <v>163</v>
      </c>
      <c r="D182" s="1" t="s">
        <v>163</v>
      </c>
      <c r="E182" s="1"/>
      <c r="F182" s="1"/>
      <c r="G182" s="1" t="s">
        <v>3414</v>
      </c>
      <c r="H182" s="1" t="s">
        <v>3415</v>
      </c>
      <c r="I182" s="1" t="s">
        <v>3416</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1126</v>
      </c>
      <c r="AK182" s="1" t="s">
        <v>329</v>
      </c>
      <c r="AL182" s="1">
        <v>13</v>
      </c>
      <c r="AM182" s="1" t="s">
        <v>1807</v>
      </c>
      <c r="AN182" s="1" t="s">
        <v>4774</v>
      </c>
      <c r="AO182" s="1" t="s">
        <v>4810</v>
      </c>
      <c r="AP182" s="1">
        <v>0</v>
      </c>
      <c r="AQ182" s="1" t="s">
        <v>1119</v>
      </c>
      <c r="AR182" s="1" t="s">
        <v>1120</v>
      </c>
      <c r="AS182" s="1" t="s">
        <v>1121</v>
      </c>
      <c r="AT182" s="1" t="s">
        <v>329</v>
      </c>
      <c r="AU182" s="1">
        <v>186</v>
      </c>
      <c r="AV182" s="1">
        <v>0</v>
      </c>
      <c r="AW182" s="1" t="s">
        <v>5116</v>
      </c>
      <c r="AX182" s="1" t="s">
        <v>5117</v>
      </c>
      <c r="AY182" s="1">
        <v>3</v>
      </c>
      <c r="AZ182" s="1">
        <v>0</v>
      </c>
      <c r="BA182" s="1" t="s">
        <v>329</v>
      </c>
      <c r="BB182" s="1" t="s">
        <v>329</v>
      </c>
      <c r="BC182" s="1" t="s">
        <v>4770</v>
      </c>
      <c r="BD182" s="1">
        <v>10703</v>
      </c>
      <c r="BE182" s="1"/>
      <c r="BH182">
        <f>COUNTIF(Dropdowns!$I:$AF,C182)</f>
        <v>0</v>
      </c>
    </row>
    <row r="183" spans="1:60" x14ac:dyDescent="0.25">
      <c r="A183" s="1">
        <v>187</v>
      </c>
      <c r="B183" s="1" t="s">
        <v>3417</v>
      </c>
      <c r="C183" s="241" t="s">
        <v>231</v>
      </c>
      <c r="D183" s="1" t="s">
        <v>231</v>
      </c>
      <c r="E183" s="1"/>
      <c r="F183" s="1"/>
      <c r="G183" s="1" t="s">
        <v>3418</v>
      </c>
      <c r="H183" s="1" t="s">
        <v>3419</v>
      </c>
      <c r="I183" s="1" t="s">
        <v>3420</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5118</v>
      </c>
      <c r="AK183" s="1" t="s">
        <v>329</v>
      </c>
      <c r="AL183" s="1">
        <v>13</v>
      </c>
      <c r="AM183" s="1" t="s">
        <v>4720</v>
      </c>
      <c r="AN183" s="1" t="s">
        <v>4835</v>
      </c>
      <c r="AO183" s="1" t="s">
        <v>5119</v>
      </c>
      <c r="AP183" s="1">
        <v>0</v>
      </c>
      <c r="AQ183" s="1" t="s">
        <v>1131</v>
      </c>
      <c r="AR183" s="1" t="s">
        <v>1155</v>
      </c>
      <c r="AS183" s="1" t="s">
        <v>1130</v>
      </c>
      <c r="AT183" s="1" t="s">
        <v>329</v>
      </c>
      <c r="AU183" s="1">
        <v>187</v>
      </c>
      <c r="AV183" s="1">
        <v>0</v>
      </c>
      <c r="AW183" s="1" t="s">
        <v>5116</v>
      </c>
      <c r="AX183" s="1" t="s">
        <v>5120</v>
      </c>
      <c r="AY183" s="1">
        <v>4</v>
      </c>
      <c r="AZ183" s="1">
        <v>0</v>
      </c>
      <c r="BA183" s="1" t="s">
        <v>329</v>
      </c>
      <c r="BB183" s="1" t="s">
        <v>329</v>
      </c>
      <c r="BC183" s="1" t="s">
        <v>329</v>
      </c>
      <c r="BD183" s="1">
        <v>10303</v>
      </c>
      <c r="BE183" s="1"/>
      <c r="BH183">
        <f>COUNTIF(Dropdowns!$I:$AF,C183)</f>
        <v>1</v>
      </c>
    </row>
    <row r="184" spans="1:60" x14ac:dyDescent="0.25">
      <c r="A184" s="1">
        <v>188</v>
      </c>
      <c r="B184" s="1" t="s">
        <v>3421</v>
      </c>
      <c r="C184" s="241" t="s">
        <v>3422</v>
      </c>
      <c r="D184" s="1" t="s">
        <v>3422</v>
      </c>
      <c r="E184" s="1"/>
      <c r="F184" s="1"/>
      <c r="G184" s="1" t="s">
        <v>3423</v>
      </c>
      <c r="H184" s="1" t="s">
        <v>3424</v>
      </c>
      <c r="I184" s="1" t="s">
        <v>3425</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1200</v>
      </c>
      <c r="AK184" s="1" t="s">
        <v>329</v>
      </c>
      <c r="AL184" s="1">
        <v>8</v>
      </c>
      <c r="AM184" s="1" t="s">
        <v>4717</v>
      </c>
      <c r="AN184" s="1" t="s">
        <v>4729</v>
      </c>
      <c r="AO184" s="1" t="s">
        <v>4943</v>
      </c>
      <c r="AP184" s="1">
        <v>0</v>
      </c>
      <c r="AQ184" s="1" t="s">
        <v>1201</v>
      </c>
      <c r="AR184" s="1" t="s">
        <v>1202</v>
      </c>
      <c r="AS184" s="1" t="s">
        <v>1203</v>
      </c>
      <c r="AT184" s="1" t="s">
        <v>329</v>
      </c>
      <c r="AU184" s="1">
        <v>188</v>
      </c>
      <c r="AV184" s="1">
        <v>0</v>
      </c>
      <c r="AW184" s="1" t="s">
        <v>5116</v>
      </c>
      <c r="AX184" s="1" t="s">
        <v>4720</v>
      </c>
      <c r="AY184" s="1">
        <v>5</v>
      </c>
      <c r="AZ184" s="1">
        <v>0</v>
      </c>
      <c r="BA184" s="1" t="s">
        <v>329</v>
      </c>
      <c r="BB184" s="1" t="s">
        <v>5121</v>
      </c>
      <c r="BC184" s="1" t="s">
        <v>4740</v>
      </c>
      <c r="BD184" s="1">
        <v>10705</v>
      </c>
      <c r="BE184" s="1"/>
      <c r="BH184">
        <f>COUNTIF(Dropdowns!$I:$AF,C184)</f>
        <v>1</v>
      </c>
    </row>
    <row r="185" spans="1:60" x14ac:dyDescent="0.25">
      <c r="A185" s="1">
        <v>189</v>
      </c>
      <c r="B185" s="1" t="s">
        <v>3426</v>
      </c>
      <c r="C185" s="241" t="s">
        <v>1640</v>
      </c>
      <c r="D185" s="1" t="s">
        <v>1640</v>
      </c>
      <c r="E185" s="1"/>
      <c r="F185" s="1"/>
      <c r="G185" s="1" t="s">
        <v>3427</v>
      </c>
      <c r="H185" s="1" t="s">
        <v>3428</v>
      </c>
      <c r="I185" s="1" t="s">
        <v>3429</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1218</v>
      </c>
      <c r="AK185" s="1" t="s">
        <v>329</v>
      </c>
      <c r="AL185" s="1">
        <v>8</v>
      </c>
      <c r="AM185" s="1" t="s">
        <v>4717</v>
      </c>
      <c r="AN185" s="1" t="s">
        <v>4791</v>
      </c>
      <c r="AO185" s="1" t="s">
        <v>5064</v>
      </c>
      <c r="AP185" s="1">
        <v>0</v>
      </c>
      <c r="AQ185" s="1" t="s">
        <v>1201</v>
      </c>
      <c r="AR185" s="1" t="s">
        <v>1202</v>
      </c>
      <c r="AS185" s="1" t="s">
        <v>1203</v>
      </c>
      <c r="AT185" s="1" t="s">
        <v>329</v>
      </c>
      <c r="AU185" s="1">
        <v>189</v>
      </c>
      <c r="AV185" s="1">
        <v>0</v>
      </c>
      <c r="AW185" s="1" t="s">
        <v>5116</v>
      </c>
      <c r="AX185" s="1" t="s">
        <v>4720</v>
      </c>
      <c r="AY185" s="1">
        <v>4</v>
      </c>
      <c r="AZ185" s="1">
        <v>0</v>
      </c>
      <c r="BA185" s="1" t="s">
        <v>329</v>
      </c>
      <c r="BB185" s="1" t="s">
        <v>329</v>
      </c>
      <c r="BC185" s="1" t="s">
        <v>329</v>
      </c>
      <c r="BD185" s="1">
        <v>10704</v>
      </c>
      <c r="BE185" s="1"/>
      <c r="BH185">
        <f>COUNTIF(Dropdowns!$I:$AF,C185)</f>
        <v>1</v>
      </c>
    </row>
    <row r="186" spans="1:60" x14ac:dyDescent="0.25">
      <c r="A186" s="1">
        <v>190</v>
      </c>
      <c r="B186" s="1" t="s">
        <v>3430</v>
      </c>
      <c r="C186" s="241" t="s">
        <v>164</v>
      </c>
      <c r="D186" s="1" t="s">
        <v>164</v>
      </c>
      <c r="E186" s="1"/>
      <c r="F186" s="1"/>
      <c r="G186" s="1" t="s">
        <v>3431</v>
      </c>
      <c r="H186" s="1" t="s">
        <v>3432</v>
      </c>
      <c r="I186" s="1" t="s">
        <v>3433</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5122</v>
      </c>
      <c r="AK186" s="1" t="s">
        <v>329</v>
      </c>
      <c r="AL186" s="1">
        <v>7</v>
      </c>
      <c r="AM186" s="1" t="s">
        <v>4717</v>
      </c>
      <c r="AN186" s="1" t="s">
        <v>471</v>
      </c>
      <c r="AO186" s="1" t="s">
        <v>5069</v>
      </c>
      <c r="AP186" s="1">
        <v>0</v>
      </c>
      <c r="AQ186" s="1" t="s">
        <v>1201</v>
      </c>
      <c r="AR186" s="1" t="s">
        <v>1202</v>
      </c>
      <c r="AS186" s="1" t="s">
        <v>1203</v>
      </c>
      <c r="AT186" s="1" t="s">
        <v>329</v>
      </c>
      <c r="AU186" s="1">
        <v>190</v>
      </c>
      <c r="AV186" s="1">
        <v>0</v>
      </c>
      <c r="AW186" s="1" t="s">
        <v>5116</v>
      </c>
      <c r="AX186" s="1" t="s">
        <v>4720</v>
      </c>
      <c r="AY186" s="1">
        <v>3</v>
      </c>
      <c r="AZ186" s="1">
        <v>0</v>
      </c>
      <c r="BA186" s="1" t="s">
        <v>329</v>
      </c>
      <c r="BB186" s="1" t="s">
        <v>329</v>
      </c>
      <c r="BC186" s="1" t="s">
        <v>329</v>
      </c>
      <c r="BD186" s="1">
        <v>10704</v>
      </c>
      <c r="BE186" s="1"/>
      <c r="BH186">
        <f>COUNTIF(Dropdowns!$I:$AF,C186)</f>
        <v>1</v>
      </c>
    </row>
    <row r="187" spans="1:60" x14ac:dyDescent="0.25">
      <c r="A187" s="1">
        <v>191</v>
      </c>
      <c r="B187" s="1" t="s">
        <v>3434</v>
      </c>
      <c r="C187" s="241" t="s">
        <v>165</v>
      </c>
      <c r="D187" s="1" t="s">
        <v>165</v>
      </c>
      <c r="E187" s="1"/>
      <c r="F187" s="1"/>
      <c r="G187" s="1" t="s">
        <v>3435</v>
      </c>
      <c r="H187" s="1" t="s">
        <v>3436</v>
      </c>
      <c r="I187" s="1" t="s">
        <v>3437</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1122</v>
      </c>
      <c r="AK187" s="1" t="s">
        <v>329</v>
      </c>
      <c r="AL187" s="1">
        <v>13</v>
      </c>
      <c r="AM187" s="1" t="s">
        <v>4791</v>
      </c>
      <c r="AN187" s="1" t="s">
        <v>4796</v>
      </c>
      <c r="AO187" s="1" t="s">
        <v>5123</v>
      </c>
      <c r="AP187" s="1">
        <v>0</v>
      </c>
      <c r="AQ187" s="1" t="s">
        <v>1130</v>
      </c>
      <c r="AR187" s="1" t="s">
        <v>1120</v>
      </c>
      <c r="AS187" s="1" t="s">
        <v>1131</v>
      </c>
      <c r="AT187" s="1" t="s">
        <v>329</v>
      </c>
      <c r="AU187" s="1">
        <v>191</v>
      </c>
      <c r="AV187" s="1">
        <v>0</v>
      </c>
      <c r="AW187" s="1" t="s">
        <v>5124</v>
      </c>
      <c r="AX187" s="1" t="s">
        <v>5125</v>
      </c>
      <c r="AY187" s="1">
        <v>3</v>
      </c>
      <c r="AZ187" s="1">
        <v>0</v>
      </c>
      <c r="BA187" s="1" t="s">
        <v>329</v>
      </c>
      <c r="BB187" s="1" t="s">
        <v>371</v>
      </c>
      <c r="BC187" s="1" t="s">
        <v>4740</v>
      </c>
      <c r="BD187" s="1">
        <v>10704</v>
      </c>
      <c r="BE187" s="1"/>
      <c r="BH187">
        <f>COUNTIF(Dropdowns!$I:$AF,C187)</f>
        <v>1</v>
      </c>
    </row>
    <row r="188" spans="1:60" x14ac:dyDescent="0.25">
      <c r="A188" s="1">
        <v>192</v>
      </c>
      <c r="B188" s="1" t="s">
        <v>3438</v>
      </c>
      <c r="C188" s="241" t="s">
        <v>166</v>
      </c>
      <c r="D188" s="1" t="s">
        <v>3439</v>
      </c>
      <c r="E188" s="1"/>
      <c r="F188" s="1"/>
      <c r="G188" s="1" t="s">
        <v>3440</v>
      </c>
      <c r="H188" s="1" t="s">
        <v>3441</v>
      </c>
      <c r="I188" s="1" t="s">
        <v>3442</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1213</v>
      </c>
      <c r="AK188" s="1" t="s">
        <v>329</v>
      </c>
      <c r="AL188" s="1">
        <v>13</v>
      </c>
      <c r="AM188" s="1" t="s">
        <v>4763</v>
      </c>
      <c r="AN188" s="1" t="s">
        <v>4835</v>
      </c>
      <c r="AO188" s="1" t="s">
        <v>4846</v>
      </c>
      <c r="AP188" s="1">
        <v>0</v>
      </c>
      <c r="AQ188" s="1" t="s">
        <v>1141</v>
      </c>
      <c r="AR188" s="1" t="s">
        <v>1142</v>
      </c>
      <c r="AS188" s="1" t="s">
        <v>1143</v>
      </c>
      <c r="AT188" s="1" t="s">
        <v>329</v>
      </c>
      <c r="AU188" s="1">
        <v>192</v>
      </c>
      <c r="AV188" s="1">
        <v>0</v>
      </c>
      <c r="AW188" s="1" t="s">
        <v>5124</v>
      </c>
      <c r="AX188" s="1" t="s">
        <v>5126</v>
      </c>
      <c r="AY188" s="1">
        <v>5</v>
      </c>
      <c r="AZ188" s="1">
        <v>0</v>
      </c>
      <c r="BA188" s="1" t="s">
        <v>329</v>
      </c>
      <c r="BB188" s="1" t="s">
        <v>5127</v>
      </c>
      <c r="BC188" s="1" t="s">
        <v>4784</v>
      </c>
      <c r="BD188" s="1">
        <v>10403</v>
      </c>
      <c r="BE188" s="1"/>
      <c r="BH188">
        <f>COUNTIF(Dropdowns!$I:$AF,C188)</f>
        <v>1</v>
      </c>
    </row>
    <row r="189" spans="1:60" x14ac:dyDescent="0.25">
      <c r="A189" s="1">
        <v>193</v>
      </c>
      <c r="B189" s="1" t="s">
        <v>3443</v>
      </c>
      <c r="C189" s="241" t="s">
        <v>167</v>
      </c>
      <c r="D189" s="1" t="s">
        <v>167</v>
      </c>
      <c r="E189" s="1"/>
      <c r="F189" s="1"/>
      <c r="G189" s="1" t="s">
        <v>3444</v>
      </c>
      <c r="H189" s="1" t="s">
        <v>3445</v>
      </c>
      <c r="I189" s="1" t="s">
        <v>3446</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1126</v>
      </c>
      <c r="AK189" s="1" t="s">
        <v>329</v>
      </c>
      <c r="AL189" s="1">
        <v>13</v>
      </c>
      <c r="AM189" s="1" t="s">
        <v>4720</v>
      </c>
      <c r="AN189" s="1" t="s">
        <v>4830</v>
      </c>
      <c r="AO189" s="1" t="s">
        <v>4876</v>
      </c>
      <c r="AP189" s="1">
        <v>0</v>
      </c>
      <c r="AQ189" s="1" t="s">
        <v>1131</v>
      </c>
      <c r="AR189" s="1" t="s">
        <v>1155</v>
      </c>
      <c r="AS189" s="1" t="s">
        <v>1130</v>
      </c>
      <c r="AT189" s="1" t="s">
        <v>329</v>
      </c>
      <c r="AU189" s="1">
        <v>193</v>
      </c>
      <c r="AV189" s="1">
        <v>0</v>
      </c>
      <c r="AW189" s="1" t="s">
        <v>5128</v>
      </c>
      <c r="AX189" s="1" t="s">
        <v>5129</v>
      </c>
      <c r="AY189" s="1">
        <v>3</v>
      </c>
      <c r="AZ189" s="1">
        <v>0</v>
      </c>
      <c r="BA189" s="1" t="s">
        <v>329</v>
      </c>
      <c r="BB189" s="1" t="s">
        <v>4953</v>
      </c>
      <c r="BC189" s="1" t="s">
        <v>4784</v>
      </c>
      <c r="BD189" s="1">
        <v>10704</v>
      </c>
      <c r="BE189" s="1"/>
      <c r="BH189">
        <f>COUNTIF(Dropdowns!$I:$AF,C189)</f>
        <v>1</v>
      </c>
    </row>
    <row r="190" spans="1:60" x14ac:dyDescent="0.25">
      <c r="A190" s="1">
        <v>194</v>
      </c>
      <c r="B190" s="1" t="s">
        <v>3447</v>
      </c>
      <c r="C190" s="241" t="s">
        <v>168</v>
      </c>
      <c r="D190" s="1" t="s">
        <v>168</v>
      </c>
      <c r="E190" s="1"/>
      <c r="F190" s="1"/>
      <c r="G190" s="1" t="s">
        <v>3448</v>
      </c>
      <c r="H190" s="1" t="s">
        <v>3449</v>
      </c>
      <c r="I190" s="1" t="s">
        <v>3450</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1219</v>
      </c>
      <c r="AK190" s="1" t="s">
        <v>1220</v>
      </c>
      <c r="AL190" s="1">
        <v>13</v>
      </c>
      <c r="AM190" s="1" t="s">
        <v>4720</v>
      </c>
      <c r="AN190" s="1" t="s">
        <v>4835</v>
      </c>
      <c r="AO190" s="1" t="s">
        <v>5003</v>
      </c>
      <c r="AP190" s="1">
        <v>0</v>
      </c>
      <c r="AQ190" s="1" t="s">
        <v>1131</v>
      </c>
      <c r="AR190" s="1" t="s">
        <v>1155</v>
      </c>
      <c r="AS190" s="1" t="s">
        <v>1130</v>
      </c>
      <c r="AT190" s="1" t="s">
        <v>329</v>
      </c>
      <c r="AU190" s="1">
        <v>194</v>
      </c>
      <c r="AV190" s="1">
        <v>0</v>
      </c>
      <c r="AW190" s="1" t="s">
        <v>5130</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3451</v>
      </c>
      <c r="C191" s="241" t="s">
        <v>232</v>
      </c>
      <c r="D191" s="1" t="s">
        <v>232</v>
      </c>
      <c r="E191" s="1"/>
      <c r="F191" s="1"/>
      <c r="G191" s="1" t="s">
        <v>3452</v>
      </c>
      <c r="H191" s="1" t="s">
        <v>3453</v>
      </c>
      <c r="I191" s="1" t="s">
        <v>3454</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1171</v>
      </c>
      <c r="AK191" s="1" t="s">
        <v>329</v>
      </c>
      <c r="AL191" s="1">
        <v>18</v>
      </c>
      <c r="AM191" s="1" t="s">
        <v>4859</v>
      </c>
      <c r="AN191" s="1" t="s">
        <v>4938</v>
      </c>
      <c r="AO191" s="1" t="s">
        <v>5131</v>
      </c>
      <c r="AP191" s="1">
        <v>0</v>
      </c>
      <c r="AQ191" s="1" t="s">
        <v>1168</v>
      </c>
      <c r="AR191" s="1" t="s">
        <v>1169</v>
      </c>
      <c r="AS191" s="1" t="s">
        <v>1170</v>
      </c>
      <c r="AT191" s="1" t="s">
        <v>329</v>
      </c>
      <c r="AU191" s="1">
        <v>195</v>
      </c>
      <c r="AV191" s="1">
        <v>0</v>
      </c>
      <c r="AW191" s="1" t="s">
        <v>5132</v>
      </c>
      <c r="AX191" s="1" t="s">
        <v>5133</v>
      </c>
      <c r="AY191" s="1">
        <v>3</v>
      </c>
      <c r="AZ191" s="1">
        <v>0</v>
      </c>
      <c r="BA191" s="1" t="s">
        <v>329</v>
      </c>
      <c r="BB191" s="1" t="s">
        <v>4794</v>
      </c>
      <c r="BC191" s="1" t="s">
        <v>4770</v>
      </c>
      <c r="BD191" s="1">
        <v>10704</v>
      </c>
      <c r="BE191" s="1"/>
      <c r="BH191">
        <f>COUNTIF(Dropdowns!$I:$AF,C191)</f>
        <v>1</v>
      </c>
    </row>
    <row r="192" spans="1:60" x14ac:dyDescent="0.25">
      <c r="A192" s="1">
        <v>196</v>
      </c>
      <c r="B192" s="1" t="s">
        <v>3455</v>
      </c>
      <c r="C192" s="241" t="s">
        <v>169</v>
      </c>
      <c r="D192" s="1" t="s">
        <v>3456</v>
      </c>
      <c r="E192" s="1"/>
      <c r="F192" s="1"/>
      <c r="G192" s="1" t="s">
        <v>3457</v>
      </c>
      <c r="H192" s="1" t="s">
        <v>3458</v>
      </c>
      <c r="I192" s="1" t="s">
        <v>3459</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1221</v>
      </c>
      <c r="AK192" s="1" t="s">
        <v>1222</v>
      </c>
      <c r="AL192" s="1">
        <v>13</v>
      </c>
      <c r="AM192" s="1" t="s">
        <v>4720</v>
      </c>
      <c r="AN192" s="1" t="s">
        <v>4835</v>
      </c>
      <c r="AO192" s="1" t="s">
        <v>5134</v>
      </c>
      <c r="AP192" s="1">
        <v>0</v>
      </c>
      <c r="AQ192" s="1" t="s">
        <v>1131</v>
      </c>
      <c r="AR192" s="1" t="s">
        <v>1155</v>
      </c>
      <c r="AS192" s="1" t="s">
        <v>1130</v>
      </c>
      <c r="AT192" s="1" t="s">
        <v>329</v>
      </c>
      <c r="AU192" s="1">
        <v>196</v>
      </c>
      <c r="AV192" s="1">
        <v>0</v>
      </c>
      <c r="AW192" s="1" t="s">
        <v>5034</v>
      </c>
      <c r="AX192" s="1" t="s">
        <v>332</v>
      </c>
      <c r="AY192" s="1">
        <v>5</v>
      </c>
      <c r="AZ192" s="1">
        <v>0</v>
      </c>
      <c r="BA192" s="1" t="s">
        <v>329</v>
      </c>
      <c r="BB192" s="1" t="s">
        <v>4882</v>
      </c>
      <c r="BC192" s="1" t="s">
        <v>329</v>
      </c>
      <c r="BD192" s="1">
        <v>10802</v>
      </c>
      <c r="BE192" s="1"/>
      <c r="BH192">
        <f>COUNTIF(Dropdowns!$I:$AF,C192)</f>
        <v>1</v>
      </c>
    </row>
    <row r="193" spans="1:60" x14ac:dyDescent="0.25">
      <c r="A193" s="1">
        <v>197</v>
      </c>
      <c r="B193" s="1" t="s">
        <v>3460</v>
      </c>
      <c r="C193" s="241" t="s">
        <v>170</v>
      </c>
      <c r="D193" s="1" t="s">
        <v>3461</v>
      </c>
      <c r="E193" s="1"/>
      <c r="F193" s="1"/>
      <c r="G193" s="1" t="s">
        <v>3462</v>
      </c>
      <c r="H193" s="1" t="s">
        <v>3463</v>
      </c>
      <c r="I193" s="1" t="s">
        <v>3464</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1223</v>
      </c>
      <c r="AK193" s="1" t="s">
        <v>1224</v>
      </c>
      <c r="AL193" s="1">
        <v>17</v>
      </c>
      <c r="AM193" s="1" t="s">
        <v>477</v>
      </c>
      <c r="AN193" s="1" t="s">
        <v>5135</v>
      </c>
      <c r="AO193" s="1" t="s">
        <v>339</v>
      </c>
      <c r="AP193" s="1">
        <v>0</v>
      </c>
      <c r="AQ193" s="1" t="s">
        <v>1141</v>
      </c>
      <c r="AR193" s="1" t="s">
        <v>1142</v>
      </c>
      <c r="AS193" s="1" t="s">
        <v>1143</v>
      </c>
      <c r="AT193" s="1" t="s">
        <v>329</v>
      </c>
      <c r="AU193" s="1">
        <v>197</v>
      </c>
      <c r="AV193" s="1">
        <v>0</v>
      </c>
      <c r="AW193" s="1" t="s">
        <v>5034</v>
      </c>
      <c r="AX193" s="1" t="s">
        <v>332</v>
      </c>
      <c r="AY193" s="1">
        <v>5</v>
      </c>
      <c r="AZ193" s="1">
        <v>0</v>
      </c>
      <c r="BA193" s="1" t="s">
        <v>329</v>
      </c>
      <c r="BB193" s="1" t="s">
        <v>329</v>
      </c>
      <c r="BC193" s="1" t="s">
        <v>4740</v>
      </c>
      <c r="BD193" s="1">
        <v>10203</v>
      </c>
      <c r="BE193" s="1"/>
      <c r="BH193">
        <f>COUNTIF(Dropdowns!$I:$AF,C193)</f>
        <v>1</v>
      </c>
    </row>
    <row r="194" spans="1:60" x14ac:dyDescent="0.25">
      <c r="A194" s="1">
        <v>198</v>
      </c>
      <c r="B194" s="1" t="s">
        <v>3465</v>
      </c>
      <c r="C194" s="241" t="s">
        <v>171</v>
      </c>
      <c r="D194" s="1" t="s">
        <v>3466</v>
      </c>
      <c r="E194" s="1"/>
      <c r="F194" s="1"/>
      <c r="G194" s="1" t="s">
        <v>3467</v>
      </c>
      <c r="H194" s="1" t="s">
        <v>3468</v>
      </c>
      <c r="I194" s="1" t="s">
        <v>3469</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1225</v>
      </c>
      <c r="AK194" s="1" t="s">
        <v>1226</v>
      </c>
      <c r="AL194" s="1">
        <v>19</v>
      </c>
      <c r="AM194" s="1" t="s">
        <v>477</v>
      </c>
      <c r="AN194" s="1" t="s">
        <v>4838</v>
      </c>
      <c r="AO194" s="1" t="s">
        <v>339</v>
      </c>
      <c r="AP194" s="1">
        <v>0</v>
      </c>
      <c r="AQ194" s="1" t="s">
        <v>1141</v>
      </c>
      <c r="AR194" s="1" t="s">
        <v>1142</v>
      </c>
      <c r="AS194" s="1" t="s">
        <v>1143</v>
      </c>
      <c r="AT194" s="1" t="s">
        <v>329</v>
      </c>
      <c r="AU194" s="1">
        <v>198</v>
      </c>
      <c r="AV194" s="1">
        <v>0</v>
      </c>
      <c r="AW194" s="1" t="s">
        <v>5034</v>
      </c>
      <c r="AX194" s="1" t="s">
        <v>332</v>
      </c>
      <c r="AY194" s="1">
        <v>5</v>
      </c>
      <c r="AZ194" s="1">
        <v>0</v>
      </c>
      <c r="BA194" s="1" t="s">
        <v>329</v>
      </c>
      <c r="BB194" s="1" t="s">
        <v>5136</v>
      </c>
      <c r="BC194" s="1" t="s">
        <v>4740</v>
      </c>
      <c r="BD194" s="1">
        <v>10203</v>
      </c>
      <c r="BE194" s="1"/>
      <c r="BH194">
        <f>COUNTIF(Dropdowns!$I:$AF,C194)</f>
        <v>1</v>
      </c>
    </row>
    <row r="195" spans="1:60" x14ac:dyDescent="0.25">
      <c r="A195" s="1">
        <v>199</v>
      </c>
      <c r="B195" s="1" t="s">
        <v>3470</v>
      </c>
      <c r="C195" s="241" t="s">
        <v>787</v>
      </c>
      <c r="D195" s="1" t="s">
        <v>3471</v>
      </c>
      <c r="E195" s="1"/>
      <c r="F195" s="1"/>
      <c r="G195" s="1" t="s">
        <v>3472</v>
      </c>
      <c r="H195" s="1" t="s">
        <v>3473</v>
      </c>
      <c r="I195" s="1" t="s">
        <v>3474</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1167</v>
      </c>
      <c r="AK195" s="1" t="s">
        <v>1227</v>
      </c>
      <c r="AL195" s="1">
        <v>19</v>
      </c>
      <c r="AM195" s="1" t="s">
        <v>4859</v>
      </c>
      <c r="AN195" s="1" t="s">
        <v>5137</v>
      </c>
      <c r="AO195" s="1" t="s">
        <v>4943</v>
      </c>
      <c r="AP195" s="1">
        <v>0</v>
      </c>
      <c r="AQ195" s="1" t="s">
        <v>5013</v>
      </c>
      <c r="AR195" s="1" t="s">
        <v>1169</v>
      </c>
      <c r="AS195" s="1" t="s">
        <v>1170</v>
      </c>
      <c r="AT195" s="1" t="s">
        <v>329</v>
      </c>
      <c r="AU195" s="1">
        <v>199</v>
      </c>
      <c r="AV195" s="1">
        <v>0</v>
      </c>
      <c r="AW195" s="1" t="s">
        <v>5034</v>
      </c>
      <c r="AX195" s="1" t="s">
        <v>332</v>
      </c>
      <c r="AY195" s="1">
        <v>4</v>
      </c>
      <c r="AZ195" s="1">
        <v>0</v>
      </c>
      <c r="BA195" s="1" t="s">
        <v>4744</v>
      </c>
      <c r="BB195" s="1" t="s">
        <v>5138</v>
      </c>
      <c r="BC195" s="1" t="s">
        <v>4784</v>
      </c>
      <c r="BD195" s="1">
        <v>10704</v>
      </c>
      <c r="BE195" s="1"/>
      <c r="BH195">
        <f>COUNTIF(Dropdowns!$I:$AF,C195)</f>
        <v>1</v>
      </c>
    </row>
    <row r="196" spans="1:60" x14ac:dyDescent="0.25">
      <c r="A196" s="1">
        <v>200</v>
      </c>
      <c r="B196" s="1" t="s">
        <v>3475</v>
      </c>
      <c r="C196" s="241" t="s">
        <v>172</v>
      </c>
      <c r="D196" s="1" t="s">
        <v>3476</v>
      </c>
      <c r="E196" s="1"/>
      <c r="F196" s="1"/>
      <c r="G196" s="1" t="s">
        <v>3477</v>
      </c>
      <c r="H196" s="1" t="s">
        <v>3478</v>
      </c>
      <c r="I196" s="1" t="s">
        <v>3479</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1228</v>
      </c>
      <c r="AK196" s="1" t="s">
        <v>329</v>
      </c>
      <c r="AL196" s="1">
        <v>13</v>
      </c>
      <c r="AM196" s="1" t="s">
        <v>4763</v>
      </c>
      <c r="AN196" s="1" t="s">
        <v>4830</v>
      </c>
      <c r="AO196" s="1" t="s">
        <v>4833</v>
      </c>
      <c r="AP196" s="1">
        <v>0</v>
      </c>
      <c r="AQ196" s="1" t="s">
        <v>1747</v>
      </c>
      <c r="AR196" s="1" t="s">
        <v>1142</v>
      </c>
      <c r="AS196" s="1" t="s">
        <v>1143</v>
      </c>
      <c r="AT196" s="1" t="s">
        <v>329</v>
      </c>
      <c r="AU196" s="1">
        <v>200</v>
      </c>
      <c r="AV196" s="1">
        <v>0</v>
      </c>
      <c r="AW196" s="1" t="s">
        <v>5132</v>
      </c>
      <c r="AX196" s="1" t="s">
        <v>5139</v>
      </c>
      <c r="AY196" s="1">
        <v>4</v>
      </c>
      <c r="AZ196" s="1">
        <v>0</v>
      </c>
      <c r="BA196" s="1" t="s">
        <v>4744</v>
      </c>
      <c r="BB196" s="1" t="s">
        <v>329</v>
      </c>
      <c r="BC196" s="1" t="s">
        <v>4721</v>
      </c>
      <c r="BD196" s="1">
        <v>10302</v>
      </c>
      <c r="BE196" s="1"/>
      <c r="BH196">
        <f>COUNTIF(Dropdowns!$I:$AF,C196)</f>
        <v>1</v>
      </c>
    </row>
    <row r="197" spans="1:60" x14ac:dyDescent="0.25">
      <c r="A197" s="1">
        <v>201</v>
      </c>
      <c r="B197" s="1" t="s">
        <v>3480</v>
      </c>
      <c r="C197" s="241" t="s">
        <v>173</v>
      </c>
      <c r="D197" s="1" t="s">
        <v>3481</v>
      </c>
      <c r="E197" s="1"/>
      <c r="F197" s="1"/>
      <c r="G197" s="1" t="s">
        <v>3482</v>
      </c>
      <c r="H197" s="1" t="s">
        <v>3483</v>
      </c>
      <c r="I197" s="1" t="s">
        <v>3484</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1196</v>
      </c>
      <c r="AK197" s="1" t="s">
        <v>329</v>
      </c>
      <c r="AL197" s="1">
        <v>13</v>
      </c>
      <c r="AM197" s="1" t="s">
        <v>4763</v>
      </c>
      <c r="AN197" s="1" t="s">
        <v>4885</v>
      </c>
      <c r="AO197" s="1" t="s">
        <v>4827</v>
      </c>
      <c r="AP197" s="1">
        <v>0</v>
      </c>
      <c r="AQ197" s="1" t="s">
        <v>1747</v>
      </c>
      <c r="AR197" s="1" t="s">
        <v>1142</v>
      </c>
      <c r="AS197" s="1" t="s">
        <v>1143</v>
      </c>
      <c r="AT197" s="1" t="s">
        <v>329</v>
      </c>
      <c r="AU197" s="1">
        <v>201</v>
      </c>
      <c r="AV197" s="1">
        <v>0</v>
      </c>
      <c r="AW197" s="1" t="s">
        <v>5140</v>
      </c>
      <c r="AX197" s="1" t="s">
        <v>4754</v>
      </c>
      <c r="AY197" s="1">
        <v>3</v>
      </c>
      <c r="AZ197" s="1">
        <v>0</v>
      </c>
      <c r="BA197" s="1" t="s">
        <v>4766</v>
      </c>
      <c r="BB197" s="1" t="s">
        <v>354</v>
      </c>
      <c r="BC197" s="1" t="s">
        <v>329</v>
      </c>
      <c r="BD197" s="1">
        <v>10701</v>
      </c>
      <c r="BE197" s="1"/>
      <c r="BH197">
        <f>COUNTIF(Dropdowns!$I:$AF,C197)</f>
        <v>1</v>
      </c>
    </row>
    <row r="198" spans="1:60" x14ac:dyDescent="0.25">
      <c r="A198" s="1">
        <v>202</v>
      </c>
      <c r="B198" s="1" t="s">
        <v>3485</v>
      </c>
      <c r="C198" s="241" t="s">
        <v>5493</v>
      </c>
      <c r="D198" s="1" t="s">
        <v>3486</v>
      </c>
      <c r="E198" s="1"/>
      <c r="F198" s="1"/>
      <c r="G198" s="1" t="s">
        <v>3487</v>
      </c>
      <c r="H198" s="1" t="s">
        <v>3488</v>
      </c>
      <c r="I198" s="1" t="s">
        <v>3489</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5141</v>
      </c>
      <c r="AK198" s="1" t="s">
        <v>329</v>
      </c>
      <c r="AL198" s="1">
        <v>13</v>
      </c>
      <c r="AM198" s="1" t="s">
        <v>1807</v>
      </c>
      <c r="AN198" s="1" t="s">
        <v>4777</v>
      </c>
      <c r="AO198" s="1" t="s">
        <v>4825</v>
      </c>
      <c r="AP198" s="1">
        <v>0</v>
      </c>
      <c r="AQ198" s="1" t="s">
        <v>1119</v>
      </c>
      <c r="AR198" s="1" t="s">
        <v>1120</v>
      </c>
      <c r="AS198" s="1" t="s">
        <v>1121</v>
      </c>
      <c r="AT198" s="1" t="s">
        <v>329</v>
      </c>
      <c r="AU198" s="1">
        <v>202</v>
      </c>
      <c r="AV198" s="1">
        <v>0</v>
      </c>
      <c r="AW198" s="1" t="s">
        <v>4819</v>
      </c>
      <c r="AX198" s="1" t="s">
        <v>5102</v>
      </c>
      <c r="AY198" s="1">
        <v>4</v>
      </c>
      <c r="AZ198" s="1">
        <v>0</v>
      </c>
      <c r="BA198" s="1" t="s">
        <v>329</v>
      </c>
      <c r="BB198" s="1" t="s">
        <v>5142</v>
      </c>
      <c r="BC198" s="1" t="s">
        <v>4721</v>
      </c>
      <c r="BD198" s="1">
        <v>10202</v>
      </c>
      <c r="BE198" s="1"/>
      <c r="BH198">
        <f>COUNTIF(Dropdowns!$I:$AF,C198)</f>
        <v>0</v>
      </c>
    </row>
    <row r="199" spans="1:60" x14ac:dyDescent="0.25">
      <c r="A199" s="1">
        <v>203</v>
      </c>
      <c r="B199" s="1" t="s">
        <v>3490</v>
      </c>
      <c r="C199" s="241" t="s">
        <v>1720</v>
      </c>
      <c r="D199" s="1" t="s">
        <v>3491</v>
      </c>
      <c r="E199" s="1"/>
      <c r="F199" s="1"/>
      <c r="G199" s="1" t="s">
        <v>3492</v>
      </c>
      <c r="H199" s="1" t="s">
        <v>3493</v>
      </c>
      <c r="I199" s="1" t="s">
        <v>3494</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5143</v>
      </c>
      <c r="AK199" s="1" t="s">
        <v>5144</v>
      </c>
      <c r="AL199" s="1">
        <v>12</v>
      </c>
      <c r="AM199" s="1" t="s">
        <v>4791</v>
      </c>
      <c r="AN199" s="1" t="s">
        <v>359</v>
      </c>
      <c r="AO199" s="1" t="s">
        <v>5145</v>
      </c>
      <c r="AP199" s="1">
        <v>0</v>
      </c>
      <c r="AQ199" s="1" t="s">
        <v>1745</v>
      </c>
      <c r="AR199" s="1" t="s">
        <v>1120</v>
      </c>
      <c r="AS199" s="1" t="s">
        <v>1131</v>
      </c>
      <c r="AT199" s="1" t="s">
        <v>329</v>
      </c>
      <c r="AU199" s="1">
        <v>203</v>
      </c>
      <c r="AV199" s="1">
        <v>0</v>
      </c>
      <c r="AW199" s="1" t="s">
        <v>4819</v>
      </c>
      <c r="AX199" s="1" t="s">
        <v>5146</v>
      </c>
      <c r="AY199" s="1">
        <v>4</v>
      </c>
      <c r="AZ199" s="1">
        <v>0</v>
      </c>
      <c r="BA199" s="1" t="s">
        <v>329</v>
      </c>
      <c r="BB199" s="1" t="s">
        <v>329</v>
      </c>
      <c r="BC199" s="1" t="s">
        <v>4721</v>
      </c>
      <c r="BD199" s="1">
        <v>10703</v>
      </c>
      <c r="BE199" s="1"/>
      <c r="BH199">
        <f>COUNTIF(Dropdowns!$I:$AF,C199)</f>
        <v>1</v>
      </c>
    </row>
    <row r="200" spans="1:60" x14ac:dyDescent="0.25">
      <c r="A200" s="1">
        <v>204</v>
      </c>
      <c r="B200" s="1" t="s">
        <v>3495</v>
      </c>
      <c r="C200" s="241" t="s">
        <v>174</v>
      </c>
      <c r="D200" s="1" t="s">
        <v>174</v>
      </c>
      <c r="E200" s="1"/>
      <c r="F200" s="1"/>
      <c r="G200" s="1" t="s">
        <v>3496</v>
      </c>
      <c r="H200" s="1" t="s">
        <v>3497</v>
      </c>
      <c r="I200" s="1" t="s">
        <v>3498</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1229</v>
      </c>
      <c r="AK200" s="1" t="s">
        <v>1230</v>
      </c>
      <c r="AL200" s="1">
        <v>13</v>
      </c>
      <c r="AM200" s="1" t="s">
        <v>4763</v>
      </c>
      <c r="AN200" s="1" t="s">
        <v>4835</v>
      </c>
      <c r="AO200" s="1" t="s">
        <v>4846</v>
      </c>
      <c r="AP200" s="1">
        <v>0</v>
      </c>
      <c r="AQ200" s="1" t="s">
        <v>1141</v>
      </c>
      <c r="AR200" s="1" t="s">
        <v>1142</v>
      </c>
      <c r="AS200" s="1" t="s">
        <v>1143</v>
      </c>
      <c r="AT200" s="1" t="s">
        <v>329</v>
      </c>
      <c r="AU200" s="1">
        <v>204</v>
      </c>
      <c r="AV200" s="1">
        <v>0</v>
      </c>
      <c r="AW200" s="1" t="s">
        <v>4819</v>
      </c>
      <c r="AX200" s="1" t="s">
        <v>5147</v>
      </c>
      <c r="AY200" s="1">
        <v>5</v>
      </c>
      <c r="AZ200" s="1">
        <v>0</v>
      </c>
      <c r="BA200" s="1" t="s">
        <v>329</v>
      </c>
      <c r="BB200" s="1" t="s">
        <v>329</v>
      </c>
      <c r="BC200" s="1" t="s">
        <v>4854</v>
      </c>
      <c r="BD200" s="1">
        <v>10202</v>
      </c>
      <c r="BE200" s="1"/>
      <c r="BH200">
        <f>COUNTIF(Dropdowns!$I:$AF,C200)</f>
        <v>1</v>
      </c>
    </row>
    <row r="201" spans="1:60" x14ac:dyDescent="0.25">
      <c r="A201" s="1">
        <v>205</v>
      </c>
      <c r="B201" s="1" t="s">
        <v>3499</v>
      </c>
      <c r="C201" s="241" t="s">
        <v>233</v>
      </c>
      <c r="D201" s="1" t="s">
        <v>233</v>
      </c>
      <c r="E201" s="1"/>
      <c r="F201" s="1"/>
      <c r="G201" s="1" t="s">
        <v>3500</v>
      </c>
      <c r="H201" s="1" t="s">
        <v>3501</v>
      </c>
      <c r="I201" s="1" t="s">
        <v>3502</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1231</v>
      </c>
      <c r="AK201" s="1" t="s">
        <v>329</v>
      </c>
      <c r="AL201" s="1">
        <v>12</v>
      </c>
      <c r="AM201" s="1" t="s">
        <v>4720</v>
      </c>
      <c r="AN201" s="1" t="s">
        <v>5148</v>
      </c>
      <c r="AO201" s="1" t="s">
        <v>5149</v>
      </c>
      <c r="AP201" s="1">
        <v>0</v>
      </c>
      <c r="AQ201" s="1" t="s">
        <v>1131</v>
      </c>
      <c r="AR201" s="1" t="s">
        <v>1155</v>
      </c>
      <c r="AS201" s="1" t="s">
        <v>1130</v>
      </c>
      <c r="AT201" s="1" t="s">
        <v>329</v>
      </c>
      <c r="AU201" s="1">
        <v>205</v>
      </c>
      <c r="AV201" s="1">
        <v>0</v>
      </c>
      <c r="AW201" s="1" t="s">
        <v>4819</v>
      </c>
      <c r="AX201" s="1" t="s">
        <v>332</v>
      </c>
      <c r="AY201" s="1">
        <v>5</v>
      </c>
      <c r="AZ201" s="1">
        <v>0</v>
      </c>
      <c r="BA201" s="1" t="s">
        <v>329</v>
      </c>
      <c r="BB201" s="1" t="s">
        <v>354</v>
      </c>
      <c r="BC201" s="1" t="s">
        <v>5150</v>
      </c>
      <c r="BD201" s="1">
        <v>10104</v>
      </c>
      <c r="BE201" s="1"/>
      <c r="BH201">
        <f>COUNTIF(Dropdowns!$I:$AF,C201)</f>
        <v>1</v>
      </c>
    </row>
    <row r="202" spans="1:60" x14ac:dyDescent="0.25">
      <c r="A202" s="1">
        <v>206</v>
      </c>
      <c r="B202" s="1" t="s">
        <v>3503</v>
      </c>
      <c r="C202" s="241" t="s">
        <v>234</v>
      </c>
      <c r="D202" s="1" t="s">
        <v>234</v>
      </c>
      <c r="E202" s="1"/>
      <c r="F202" s="1"/>
      <c r="G202" s="1" t="s">
        <v>3504</v>
      </c>
      <c r="H202" s="1" t="s">
        <v>3505</v>
      </c>
      <c r="I202" s="1" t="s">
        <v>3506</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5151</v>
      </c>
      <c r="AK202" s="1" t="s">
        <v>329</v>
      </c>
      <c r="AL202" s="1">
        <v>14</v>
      </c>
      <c r="AM202" s="1" t="s">
        <v>4720</v>
      </c>
      <c r="AN202" s="1" t="s">
        <v>5152</v>
      </c>
      <c r="AO202" s="1" t="s">
        <v>5153</v>
      </c>
      <c r="AP202" s="1">
        <v>0</v>
      </c>
      <c r="AQ202" s="1" t="s">
        <v>1131</v>
      </c>
      <c r="AR202" s="1" t="s">
        <v>1155</v>
      </c>
      <c r="AS202" s="1" t="s">
        <v>1130</v>
      </c>
      <c r="AT202" s="1" t="s">
        <v>329</v>
      </c>
      <c r="AU202" s="1">
        <v>206</v>
      </c>
      <c r="AV202" s="1">
        <v>0</v>
      </c>
      <c r="AW202" s="1" t="s">
        <v>4819</v>
      </c>
      <c r="AX202" s="1" t="s">
        <v>332</v>
      </c>
      <c r="AY202" s="1">
        <v>5</v>
      </c>
      <c r="AZ202" s="1">
        <v>0</v>
      </c>
      <c r="BA202" s="1" t="s">
        <v>329</v>
      </c>
      <c r="BB202" s="1" t="s">
        <v>5154</v>
      </c>
      <c r="BC202" s="1" t="s">
        <v>5150</v>
      </c>
      <c r="BD202" s="1">
        <v>10104</v>
      </c>
      <c r="BE202" s="1"/>
      <c r="BH202">
        <f>COUNTIF(Dropdowns!$I:$AF,C202)</f>
        <v>1</v>
      </c>
    </row>
    <row r="203" spans="1:60" x14ac:dyDescent="0.25">
      <c r="A203" s="1">
        <v>207</v>
      </c>
      <c r="B203" s="1" t="s">
        <v>3507</v>
      </c>
      <c r="C203" s="241" t="s">
        <v>175</v>
      </c>
      <c r="D203" s="1" t="s">
        <v>175</v>
      </c>
      <c r="E203" s="1"/>
      <c r="F203" s="1"/>
      <c r="G203" s="1" t="s">
        <v>3508</v>
      </c>
      <c r="H203" s="1" t="s">
        <v>3509</v>
      </c>
      <c r="I203" s="1" t="s">
        <v>3510</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4720</v>
      </c>
      <c r="AN203" s="1" t="s">
        <v>476</v>
      </c>
      <c r="AO203" s="1" t="s">
        <v>4999</v>
      </c>
      <c r="AP203" s="1">
        <v>0</v>
      </c>
      <c r="AQ203" s="1" t="s">
        <v>1131</v>
      </c>
      <c r="AR203" s="1" t="s">
        <v>1155</v>
      </c>
      <c r="AS203" s="1" t="s">
        <v>1130</v>
      </c>
      <c r="AT203" s="1" t="s">
        <v>329</v>
      </c>
      <c r="AU203" s="1">
        <v>207</v>
      </c>
      <c r="AV203" s="1">
        <v>0</v>
      </c>
      <c r="AW203" s="1" t="s">
        <v>4819</v>
      </c>
      <c r="AX203" s="1" t="s">
        <v>5155</v>
      </c>
      <c r="AY203" s="1">
        <v>4</v>
      </c>
      <c r="AZ203" s="1">
        <v>0</v>
      </c>
      <c r="BA203" s="1" t="s">
        <v>329</v>
      </c>
      <c r="BB203" s="1" t="s">
        <v>329</v>
      </c>
      <c r="BC203" s="1" t="s">
        <v>329</v>
      </c>
      <c r="BD203" s="1">
        <v>10703</v>
      </c>
      <c r="BE203" s="1"/>
      <c r="BH203">
        <f>COUNTIF(Dropdowns!$I:$AF,C203)</f>
        <v>1</v>
      </c>
    </row>
    <row r="204" spans="1:60" x14ac:dyDescent="0.25">
      <c r="A204" s="1">
        <v>208</v>
      </c>
      <c r="B204" s="1" t="s">
        <v>3511</v>
      </c>
      <c r="C204" s="241" t="s">
        <v>176</v>
      </c>
      <c r="D204" s="1" t="s">
        <v>176</v>
      </c>
      <c r="E204" s="1"/>
      <c r="F204" s="1"/>
      <c r="G204" s="1" t="s">
        <v>3512</v>
      </c>
      <c r="H204" s="1" t="s">
        <v>3513</v>
      </c>
      <c r="I204" s="1" t="s">
        <v>3514</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1232</v>
      </c>
      <c r="AK204" s="1" t="s">
        <v>329</v>
      </c>
      <c r="AL204" s="1">
        <v>18</v>
      </c>
      <c r="AM204" s="1" t="s">
        <v>4859</v>
      </c>
      <c r="AN204" s="1" t="s">
        <v>4920</v>
      </c>
      <c r="AO204" s="1" t="s">
        <v>5156</v>
      </c>
      <c r="AP204" s="1">
        <v>0</v>
      </c>
      <c r="AQ204" s="1" t="s">
        <v>1168</v>
      </c>
      <c r="AR204" s="1" t="s">
        <v>1169</v>
      </c>
      <c r="AS204" s="1" t="s">
        <v>1170</v>
      </c>
      <c r="AT204" s="1" t="s">
        <v>329</v>
      </c>
      <c r="AU204" s="1">
        <v>208</v>
      </c>
      <c r="AV204" s="1">
        <v>0</v>
      </c>
      <c r="AW204" s="1" t="s">
        <v>4819</v>
      </c>
      <c r="AX204" s="1" t="s">
        <v>5155</v>
      </c>
      <c r="AY204" s="1">
        <v>5</v>
      </c>
      <c r="AZ204" s="1">
        <v>0</v>
      </c>
      <c r="BA204" s="1" t="s">
        <v>329</v>
      </c>
      <c r="BB204" s="1" t="s">
        <v>329</v>
      </c>
      <c r="BC204" s="1" t="s">
        <v>4770</v>
      </c>
      <c r="BD204" s="1">
        <v>10501</v>
      </c>
      <c r="BE204" s="1"/>
      <c r="BH204">
        <f>COUNTIF(Dropdowns!$I:$AF,C204)</f>
        <v>1</v>
      </c>
    </row>
    <row r="205" spans="1:60" x14ac:dyDescent="0.25">
      <c r="A205" s="1">
        <v>209</v>
      </c>
      <c r="B205" s="1" t="s">
        <v>3515</v>
      </c>
      <c r="C205" s="241" t="s">
        <v>1641</v>
      </c>
      <c r="D205" s="1" t="s">
        <v>1641</v>
      </c>
      <c r="E205" s="1"/>
      <c r="F205" s="1"/>
      <c r="G205" s="1" t="s">
        <v>3516</v>
      </c>
      <c r="H205" s="1" t="s">
        <v>3517</v>
      </c>
      <c r="I205" s="1" t="s">
        <v>3518</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5157</v>
      </c>
      <c r="AK205" s="1" t="s">
        <v>329</v>
      </c>
      <c r="AL205" s="1">
        <v>13</v>
      </c>
      <c r="AM205" s="1" t="s">
        <v>4791</v>
      </c>
      <c r="AN205" s="1" t="s">
        <v>4789</v>
      </c>
      <c r="AO205" s="1" t="s">
        <v>5081</v>
      </c>
      <c r="AP205" s="1">
        <v>0</v>
      </c>
      <c r="AQ205" s="1" t="s">
        <v>1130</v>
      </c>
      <c r="AR205" s="1" t="s">
        <v>1120</v>
      </c>
      <c r="AS205" s="1" t="s">
        <v>1131</v>
      </c>
      <c r="AT205" s="1" t="s">
        <v>329</v>
      </c>
      <c r="AU205" s="1">
        <v>209</v>
      </c>
      <c r="AV205" s="1">
        <v>0</v>
      </c>
      <c r="AW205" s="1" t="s">
        <v>5158</v>
      </c>
      <c r="AX205" s="1" t="s">
        <v>4754</v>
      </c>
      <c r="AY205" s="1">
        <v>3</v>
      </c>
      <c r="AZ205" s="1">
        <v>0</v>
      </c>
      <c r="BA205" s="1" t="s">
        <v>329</v>
      </c>
      <c r="BB205" s="1" t="s">
        <v>329</v>
      </c>
      <c r="BC205" s="1" t="s">
        <v>4758</v>
      </c>
      <c r="BD205" s="1">
        <v>10704</v>
      </c>
      <c r="BE205" s="1"/>
      <c r="BH205">
        <f>COUNTIF(Dropdowns!$I:$AF,C205)</f>
        <v>1</v>
      </c>
    </row>
    <row r="206" spans="1:60" x14ac:dyDescent="0.25">
      <c r="A206" s="1">
        <v>210</v>
      </c>
      <c r="B206" s="1" t="s">
        <v>3519</v>
      </c>
      <c r="C206" s="241" t="s">
        <v>177</v>
      </c>
      <c r="D206" s="1" t="s">
        <v>177</v>
      </c>
      <c r="E206" s="1"/>
      <c r="F206" s="1"/>
      <c r="G206" s="1" t="s">
        <v>3520</v>
      </c>
      <c r="H206" s="1" t="s">
        <v>3521</v>
      </c>
      <c r="I206" s="1" t="s">
        <v>3522</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1126</v>
      </c>
      <c r="AK206" s="1" t="s">
        <v>329</v>
      </c>
      <c r="AL206" s="1">
        <v>13</v>
      </c>
      <c r="AM206" s="1" t="s">
        <v>1807</v>
      </c>
      <c r="AN206" s="1" t="s">
        <v>4748</v>
      </c>
      <c r="AO206" s="1" t="s">
        <v>4749</v>
      </c>
      <c r="AP206" s="1">
        <v>0</v>
      </c>
      <c r="AQ206" s="1" t="s">
        <v>1119</v>
      </c>
      <c r="AR206" s="1" t="s">
        <v>1120</v>
      </c>
      <c r="AS206" s="1" t="s">
        <v>1121</v>
      </c>
      <c r="AT206" s="1" t="s">
        <v>329</v>
      </c>
      <c r="AU206" s="1">
        <v>210</v>
      </c>
      <c r="AV206" s="1">
        <v>0</v>
      </c>
      <c r="AW206" s="1" t="s">
        <v>5159</v>
      </c>
      <c r="AX206" s="1" t="s">
        <v>4754</v>
      </c>
      <c r="AY206" s="1">
        <v>3</v>
      </c>
      <c r="AZ206" s="1">
        <v>0</v>
      </c>
      <c r="BA206" s="1" t="s">
        <v>329</v>
      </c>
      <c r="BB206" s="1" t="s">
        <v>476</v>
      </c>
      <c r="BC206" s="1" t="s">
        <v>329</v>
      </c>
      <c r="BD206" s="1">
        <v>10402</v>
      </c>
      <c r="BE206" s="1"/>
      <c r="BH206">
        <f>COUNTIF(Dropdowns!$I:$AF,C206)</f>
        <v>0</v>
      </c>
    </row>
    <row r="207" spans="1:60" x14ac:dyDescent="0.25">
      <c r="A207" s="1">
        <v>211</v>
      </c>
      <c r="B207" s="1" t="s">
        <v>3523</v>
      </c>
      <c r="C207" s="241" t="s">
        <v>235</v>
      </c>
      <c r="D207" s="1" t="s">
        <v>235</v>
      </c>
      <c r="E207" s="1"/>
      <c r="F207" s="1"/>
      <c r="G207" s="1" t="s">
        <v>3524</v>
      </c>
      <c r="H207" s="1" t="s">
        <v>3525</v>
      </c>
      <c r="I207" s="1" t="s">
        <v>3526</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4763</v>
      </c>
      <c r="AN207" s="1" t="s">
        <v>4885</v>
      </c>
      <c r="AO207" s="1" t="s">
        <v>4846</v>
      </c>
      <c r="AP207" s="1">
        <v>0</v>
      </c>
      <c r="AQ207" s="1" t="s">
        <v>1141</v>
      </c>
      <c r="AR207" s="1" t="s">
        <v>1142</v>
      </c>
      <c r="AS207" s="1" t="s">
        <v>1143</v>
      </c>
      <c r="AT207" s="1" t="s">
        <v>329</v>
      </c>
      <c r="AU207" s="1">
        <v>211</v>
      </c>
      <c r="AV207" s="1">
        <v>0</v>
      </c>
      <c r="AW207" s="1" t="s">
        <v>5160</v>
      </c>
      <c r="AX207" s="1" t="s">
        <v>5161</v>
      </c>
      <c r="AY207" s="1">
        <v>5</v>
      </c>
      <c r="AZ207" s="1">
        <v>0</v>
      </c>
      <c r="BA207" s="1" t="s">
        <v>329</v>
      </c>
      <c r="BB207" s="1" t="s">
        <v>4845</v>
      </c>
      <c r="BC207" s="1" t="s">
        <v>4721</v>
      </c>
      <c r="BD207" s="1">
        <v>10303</v>
      </c>
      <c r="BE207" s="1"/>
      <c r="BH207">
        <f>COUNTIF(Dropdowns!$I:$AF,C207)</f>
        <v>1</v>
      </c>
    </row>
    <row r="208" spans="1:60" x14ac:dyDescent="0.25">
      <c r="A208" s="1">
        <v>212</v>
      </c>
      <c r="B208" s="1" t="s">
        <v>3527</v>
      </c>
      <c r="C208" s="241" t="s">
        <v>178</v>
      </c>
      <c r="D208" s="1" t="s">
        <v>178</v>
      </c>
      <c r="E208" s="1"/>
      <c r="F208" s="1"/>
      <c r="G208" s="1" t="s">
        <v>3528</v>
      </c>
      <c r="H208" s="1" t="s">
        <v>3529</v>
      </c>
      <c r="I208" s="1" t="s">
        <v>3530</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1807</v>
      </c>
      <c r="AN208" s="1" t="s">
        <v>5162</v>
      </c>
      <c r="AO208" s="1" t="s">
        <v>5064</v>
      </c>
      <c r="AP208" s="1">
        <v>0</v>
      </c>
      <c r="AQ208" s="1" t="s">
        <v>1119</v>
      </c>
      <c r="AR208" s="1" t="s">
        <v>1120</v>
      </c>
      <c r="AS208" s="1" t="s">
        <v>1121</v>
      </c>
      <c r="AT208" s="1" t="s">
        <v>329</v>
      </c>
      <c r="AU208" s="1">
        <v>212</v>
      </c>
      <c r="AV208" s="1">
        <v>0</v>
      </c>
      <c r="AW208" s="1" t="s">
        <v>5163</v>
      </c>
      <c r="AX208" s="1" t="s">
        <v>4763</v>
      </c>
      <c r="AY208" s="1">
        <v>4</v>
      </c>
      <c r="AZ208" s="1">
        <v>0</v>
      </c>
      <c r="BA208" s="1" t="s">
        <v>329</v>
      </c>
      <c r="BB208" s="1" t="s">
        <v>5164</v>
      </c>
      <c r="BC208" s="1" t="s">
        <v>329</v>
      </c>
      <c r="BD208" s="1">
        <v>10802</v>
      </c>
      <c r="BE208" s="1"/>
      <c r="BH208">
        <f>COUNTIF(Dropdowns!$I:$AF,C208)</f>
        <v>0</v>
      </c>
    </row>
    <row r="209" spans="1:60" x14ac:dyDescent="0.25">
      <c r="A209" s="1">
        <v>213</v>
      </c>
      <c r="B209" s="1" t="s">
        <v>3531</v>
      </c>
      <c r="C209" s="241" t="s">
        <v>1642</v>
      </c>
      <c r="D209" s="1" t="s">
        <v>3532</v>
      </c>
      <c r="E209" s="1"/>
      <c r="F209" s="1"/>
      <c r="G209" s="1" t="s">
        <v>3533</v>
      </c>
      <c r="H209" s="1" t="s">
        <v>3534</v>
      </c>
      <c r="I209" s="1" t="s">
        <v>3535</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1233</v>
      </c>
      <c r="AL209" s="1">
        <v>13</v>
      </c>
      <c r="AM209" s="1" t="s">
        <v>4791</v>
      </c>
      <c r="AN209" s="1" t="s">
        <v>4796</v>
      </c>
      <c r="AO209" s="1" t="s">
        <v>5165</v>
      </c>
      <c r="AP209" s="1">
        <v>0</v>
      </c>
      <c r="AQ209" s="1" t="s">
        <v>1130</v>
      </c>
      <c r="AR209" s="1" t="s">
        <v>1216</v>
      </c>
      <c r="AS209" s="1" t="s">
        <v>1131</v>
      </c>
      <c r="AT209" s="1" t="s">
        <v>329</v>
      </c>
      <c r="AU209" s="1">
        <v>213</v>
      </c>
      <c r="AV209" s="1">
        <v>0</v>
      </c>
      <c r="AW209" s="1" t="s">
        <v>5163</v>
      </c>
      <c r="AX209" s="1" t="s">
        <v>5166</v>
      </c>
      <c r="AY209" s="1">
        <v>5</v>
      </c>
      <c r="AZ209" s="1">
        <v>0</v>
      </c>
      <c r="BA209" s="1" t="s">
        <v>329</v>
      </c>
      <c r="BB209" s="1" t="s">
        <v>5167</v>
      </c>
      <c r="BC209" s="1" t="s">
        <v>329</v>
      </c>
      <c r="BD209" s="1">
        <v>10203</v>
      </c>
      <c r="BE209" s="1"/>
      <c r="BH209">
        <f>COUNTIF(Dropdowns!$I:$AF,C209)</f>
        <v>1</v>
      </c>
    </row>
    <row r="210" spans="1:60" x14ac:dyDescent="0.25">
      <c r="A210" s="1">
        <v>214</v>
      </c>
      <c r="B210" s="1" t="s">
        <v>3536</v>
      </c>
      <c r="C210" s="241" t="s">
        <v>210</v>
      </c>
      <c r="D210" s="1" t="s">
        <v>210</v>
      </c>
      <c r="E210" s="1"/>
      <c r="F210" s="1"/>
      <c r="G210" s="1" t="s">
        <v>3537</v>
      </c>
      <c r="H210" s="1" t="s">
        <v>3538</v>
      </c>
      <c r="I210" s="1" t="s">
        <v>3539</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1234</v>
      </c>
      <c r="AK210" s="1" t="s">
        <v>1235</v>
      </c>
      <c r="AL210" s="1">
        <v>13</v>
      </c>
      <c r="AM210" s="1" t="s">
        <v>4720</v>
      </c>
      <c r="AN210" s="1" t="s">
        <v>4865</v>
      </c>
      <c r="AO210" s="1" t="s">
        <v>5091</v>
      </c>
      <c r="AP210" s="1">
        <v>0</v>
      </c>
      <c r="AQ210" s="1" t="s">
        <v>1131</v>
      </c>
      <c r="AR210" s="1" t="s">
        <v>1155</v>
      </c>
      <c r="AS210" s="1" t="s">
        <v>1130</v>
      </c>
      <c r="AT210" s="1" t="s">
        <v>329</v>
      </c>
      <c r="AU210" s="1">
        <v>215</v>
      </c>
      <c r="AV210" s="1">
        <v>0</v>
      </c>
      <c r="AW210" s="1" t="s">
        <v>5168</v>
      </c>
      <c r="AX210" s="1" t="s">
        <v>332</v>
      </c>
      <c r="AY210" s="1">
        <v>5</v>
      </c>
      <c r="AZ210" s="1">
        <v>0</v>
      </c>
      <c r="BA210" s="1" t="s">
        <v>329</v>
      </c>
      <c r="BB210" s="1" t="s">
        <v>329</v>
      </c>
      <c r="BC210" s="1" t="s">
        <v>4758</v>
      </c>
      <c r="BD210" s="1">
        <v>10802</v>
      </c>
      <c r="BE210" s="1"/>
      <c r="BH210">
        <f>COUNTIF(Dropdowns!$I:$AF,C210)</f>
        <v>1</v>
      </c>
    </row>
    <row r="211" spans="1:60" x14ac:dyDescent="0.25">
      <c r="A211" s="1">
        <v>215</v>
      </c>
      <c r="B211" s="1" t="s">
        <v>3540</v>
      </c>
      <c r="C211" s="241" t="s">
        <v>179</v>
      </c>
      <c r="D211" s="1" t="s">
        <v>179</v>
      </c>
      <c r="E211" s="1"/>
      <c r="F211" s="1"/>
      <c r="G211" s="1" t="s">
        <v>3541</v>
      </c>
      <c r="H211" s="1" t="s">
        <v>3542</v>
      </c>
      <c r="I211" s="1" t="s">
        <v>3543</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1236</v>
      </c>
      <c r="AL211" s="1">
        <v>13</v>
      </c>
      <c r="AM211" s="1" t="s">
        <v>4720</v>
      </c>
      <c r="AN211" s="1" t="s">
        <v>4885</v>
      </c>
      <c r="AO211" s="1" t="s">
        <v>5169</v>
      </c>
      <c r="AP211" s="1">
        <v>0</v>
      </c>
      <c r="AQ211" s="1" t="s">
        <v>1746</v>
      </c>
      <c r="AR211" s="1" t="s">
        <v>1155</v>
      </c>
      <c r="AS211" s="1" t="s">
        <v>1130</v>
      </c>
      <c r="AT211" s="1" t="s">
        <v>329</v>
      </c>
      <c r="AU211" s="1">
        <v>215</v>
      </c>
      <c r="AV211" s="1">
        <v>0</v>
      </c>
      <c r="AW211" s="1" t="s">
        <v>5163</v>
      </c>
      <c r="AX211" s="1" t="s">
        <v>332</v>
      </c>
      <c r="AY211" s="1">
        <v>5</v>
      </c>
      <c r="AZ211" s="1">
        <v>0</v>
      </c>
      <c r="BA211" s="1" t="s">
        <v>329</v>
      </c>
      <c r="BB211" s="1" t="s">
        <v>4916</v>
      </c>
      <c r="BC211" s="1" t="s">
        <v>4721</v>
      </c>
      <c r="BD211" s="1">
        <v>10802</v>
      </c>
      <c r="BE211" s="1"/>
      <c r="BH211">
        <f>COUNTIF(Dropdowns!$I:$AF,C211)</f>
        <v>1</v>
      </c>
    </row>
    <row r="212" spans="1:60" x14ac:dyDescent="0.25">
      <c r="A212" s="1">
        <v>216</v>
      </c>
      <c r="B212" s="1" t="s">
        <v>3544</v>
      </c>
      <c r="C212" s="241" t="s">
        <v>180</v>
      </c>
      <c r="D212" s="1" t="s">
        <v>180</v>
      </c>
      <c r="E212" s="1"/>
      <c r="F212" s="1"/>
      <c r="G212" s="1" t="s">
        <v>3545</v>
      </c>
      <c r="H212" s="1" t="s">
        <v>3546</v>
      </c>
      <c r="I212" s="1" t="s">
        <v>3547</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1165</v>
      </c>
      <c r="AK212" s="1" t="s">
        <v>329</v>
      </c>
      <c r="AL212" s="1">
        <v>13</v>
      </c>
      <c r="AM212" s="1" t="s">
        <v>4720</v>
      </c>
      <c r="AN212" s="1" t="s">
        <v>4832</v>
      </c>
      <c r="AO212" s="1" t="s">
        <v>5170</v>
      </c>
      <c r="AP212" s="1">
        <v>0</v>
      </c>
      <c r="AQ212" s="1" t="s">
        <v>1131</v>
      </c>
      <c r="AR212" s="1" t="s">
        <v>1155</v>
      </c>
      <c r="AS212" s="1" t="s">
        <v>1130</v>
      </c>
      <c r="AT212" s="1" t="s">
        <v>329</v>
      </c>
      <c r="AU212" s="1">
        <v>216</v>
      </c>
      <c r="AV212" s="1">
        <v>0</v>
      </c>
      <c r="AW212" s="1" t="s">
        <v>5163</v>
      </c>
      <c r="AX212" s="1" t="s">
        <v>332</v>
      </c>
      <c r="AY212" s="1">
        <v>4</v>
      </c>
      <c r="AZ212" s="1">
        <v>0</v>
      </c>
      <c r="BA212" s="1" t="s">
        <v>329</v>
      </c>
      <c r="BB212" s="1" t="s">
        <v>5171</v>
      </c>
      <c r="BC212" s="1" t="s">
        <v>4770</v>
      </c>
      <c r="BD212" s="1">
        <v>10802</v>
      </c>
      <c r="BE212" s="1"/>
      <c r="BH212">
        <f>COUNTIF(Dropdowns!$I:$AF,C212)</f>
        <v>1</v>
      </c>
    </row>
    <row r="213" spans="1:60" x14ac:dyDescent="0.25">
      <c r="A213" s="1">
        <v>217</v>
      </c>
      <c r="B213" s="1" t="s">
        <v>3548</v>
      </c>
      <c r="C213" s="241" t="s">
        <v>1643</v>
      </c>
      <c r="D213" s="1" t="s">
        <v>3549</v>
      </c>
      <c r="E213" s="1"/>
      <c r="F213" s="1"/>
      <c r="G213" s="1" t="s">
        <v>3550</v>
      </c>
      <c r="H213" s="1" t="s">
        <v>3551</v>
      </c>
      <c r="I213" s="1" t="s">
        <v>3552</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1126</v>
      </c>
      <c r="AK213" s="1" t="s">
        <v>329</v>
      </c>
      <c r="AL213" s="1">
        <v>13</v>
      </c>
      <c r="AM213" s="1" t="s">
        <v>4763</v>
      </c>
      <c r="AN213" s="1" t="s">
        <v>465</v>
      </c>
      <c r="AO213" s="1" t="s">
        <v>4827</v>
      </c>
      <c r="AP213" s="1">
        <v>0</v>
      </c>
      <c r="AQ213" s="1" t="s">
        <v>1141</v>
      </c>
      <c r="AR213" s="1" t="s">
        <v>1142</v>
      </c>
      <c r="AS213" s="1" t="s">
        <v>1143</v>
      </c>
      <c r="AT213" s="1" t="s">
        <v>329</v>
      </c>
      <c r="AU213" s="1">
        <v>217</v>
      </c>
      <c r="AV213" s="1">
        <v>0</v>
      </c>
      <c r="AW213" s="1" t="s">
        <v>5163</v>
      </c>
      <c r="AX213" s="1" t="s">
        <v>4754</v>
      </c>
      <c r="AY213" s="1">
        <v>3</v>
      </c>
      <c r="AZ213" s="1">
        <v>0</v>
      </c>
      <c r="BA213" s="1" t="s">
        <v>329</v>
      </c>
      <c r="BB213" s="1" t="s">
        <v>329</v>
      </c>
      <c r="BC213" s="1" t="s">
        <v>329</v>
      </c>
      <c r="BD213" s="1">
        <v>10303</v>
      </c>
      <c r="BE213" s="1"/>
      <c r="BH213">
        <f>COUNTIF(Dropdowns!$I:$AF,C213)</f>
        <v>1</v>
      </c>
    </row>
    <row r="214" spans="1:60" x14ac:dyDescent="0.25">
      <c r="A214" s="1">
        <v>218</v>
      </c>
      <c r="B214" s="1" t="s">
        <v>3553</v>
      </c>
      <c r="C214" s="241" t="s">
        <v>181</v>
      </c>
      <c r="D214" s="1" t="s">
        <v>181</v>
      </c>
      <c r="E214" s="1"/>
      <c r="F214" s="1"/>
      <c r="G214" s="1" t="s">
        <v>3554</v>
      </c>
      <c r="H214" s="1" t="s">
        <v>3555</v>
      </c>
      <c r="I214" s="1" t="s">
        <v>3556</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1126</v>
      </c>
      <c r="AK214" s="1" t="s">
        <v>329</v>
      </c>
      <c r="AL214" s="1">
        <v>13</v>
      </c>
      <c r="AM214" s="1" t="s">
        <v>4791</v>
      </c>
      <c r="AN214" s="1" t="s">
        <v>4796</v>
      </c>
      <c r="AO214" s="1" t="s">
        <v>5172</v>
      </c>
      <c r="AP214" s="1">
        <v>0</v>
      </c>
      <c r="AQ214" s="1" t="s">
        <v>1130</v>
      </c>
      <c r="AR214" s="1" t="s">
        <v>1120</v>
      </c>
      <c r="AS214" s="1" t="s">
        <v>1131</v>
      </c>
      <c r="AT214" s="1" t="s">
        <v>329</v>
      </c>
      <c r="AU214" s="1">
        <v>218</v>
      </c>
      <c r="AV214" s="1">
        <v>0</v>
      </c>
      <c r="AW214" s="1" t="s">
        <v>5173</v>
      </c>
      <c r="AX214" s="1" t="s">
        <v>4754</v>
      </c>
      <c r="AY214" s="1">
        <v>3</v>
      </c>
      <c r="AZ214" s="1">
        <v>0</v>
      </c>
      <c r="BA214" s="1" t="s">
        <v>329</v>
      </c>
      <c r="BB214" s="1" t="s">
        <v>5174</v>
      </c>
      <c r="BC214" s="1" t="s">
        <v>4784</v>
      </c>
      <c r="BD214" s="1">
        <v>10703</v>
      </c>
      <c r="BE214" s="1"/>
      <c r="BH214">
        <f>COUNTIF(Dropdowns!$I:$AF,C214)</f>
        <v>1</v>
      </c>
    </row>
    <row r="215" spans="1:60" x14ac:dyDescent="0.25">
      <c r="A215" s="1">
        <v>220</v>
      </c>
      <c r="B215" s="1" t="s">
        <v>3557</v>
      </c>
      <c r="C215" s="241" t="s">
        <v>1644</v>
      </c>
      <c r="D215" s="1" t="s">
        <v>1644</v>
      </c>
      <c r="E215" s="1"/>
      <c r="F215" s="1"/>
      <c r="G215" s="1" t="s">
        <v>3558</v>
      </c>
      <c r="H215" s="1" t="s">
        <v>3559</v>
      </c>
      <c r="I215" s="1" t="s">
        <v>3560</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1126</v>
      </c>
      <c r="AK215" s="1" t="s">
        <v>329</v>
      </c>
      <c r="AL215" s="1">
        <v>13</v>
      </c>
      <c r="AM215" s="1" t="s">
        <v>1807</v>
      </c>
      <c r="AN215" s="1" t="s">
        <v>4862</v>
      </c>
      <c r="AO215" s="1" t="s">
        <v>4749</v>
      </c>
      <c r="AP215" s="1">
        <v>0</v>
      </c>
      <c r="AQ215" s="1" t="s">
        <v>1119</v>
      </c>
      <c r="AR215" s="1" t="s">
        <v>1744</v>
      </c>
      <c r="AS215" s="1" t="s">
        <v>1121</v>
      </c>
      <c r="AT215" s="1" t="s">
        <v>329</v>
      </c>
      <c r="AU215" s="1">
        <v>220</v>
      </c>
      <c r="AV215" s="1">
        <v>0</v>
      </c>
      <c r="AW215" s="1" t="s">
        <v>5175</v>
      </c>
      <c r="AX215" s="1" t="s">
        <v>4754</v>
      </c>
      <c r="AY215" s="1">
        <v>3</v>
      </c>
      <c r="AZ215" s="1">
        <v>0</v>
      </c>
      <c r="BA215" s="1" t="s">
        <v>4766</v>
      </c>
      <c r="BB215" s="1" t="s">
        <v>468</v>
      </c>
      <c r="BC215" s="1" t="s">
        <v>4758</v>
      </c>
      <c r="BD215" s="1">
        <v>10802</v>
      </c>
      <c r="BE215" s="1"/>
      <c r="BH215">
        <f>COUNTIF(Dropdowns!$I:$AF,C215)</f>
        <v>0</v>
      </c>
    </row>
    <row r="216" spans="1:60" x14ac:dyDescent="0.25">
      <c r="A216" s="1">
        <v>221</v>
      </c>
      <c r="B216" s="1" t="s">
        <v>3561</v>
      </c>
      <c r="C216" s="241" t="s">
        <v>1645</v>
      </c>
      <c r="D216" s="1" t="s">
        <v>3562</v>
      </c>
      <c r="E216" s="1"/>
      <c r="F216" s="1"/>
      <c r="G216" s="1" t="s">
        <v>3563</v>
      </c>
      <c r="H216" s="1" t="s">
        <v>3564</v>
      </c>
      <c r="I216" s="1" t="s">
        <v>3565</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1237</v>
      </c>
      <c r="AK216" s="1" t="s">
        <v>329</v>
      </c>
      <c r="AL216" s="1">
        <v>13</v>
      </c>
      <c r="AM216" s="1" t="s">
        <v>1807</v>
      </c>
      <c r="AN216" s="1" t="s">
        <v>5176</v>
      </c>
      <c r="AO216" s="1" t="s">
        <v>4904</v>
      </c>
      <c r="AP216" s="1">
        <v>0</v>
      </c>
      <c r="AQ216" s="1" t="s">
        <v>1119</v>
      </c>
      <c r="AR216" s="1" t="s">
        <v>1744</v>
      </c>
      <c r="AS216" s="1" t="s">
        <v>1121</v>
      </c>
      <c r="AT216" s="1" t="s">
        <v>329</v>
      </c>
      <c r="AU216" s="1">
        <v>221</v>
      </c>
      <c r="AV216" s="1">
        <v>0</v>
      </c>
      <c r="AW216" s="1" t="s">
        <v>5177</v>
      </c>
      <c r="AX216" s="1" t="s">
        <v>2238</v>
      </c>
      <c r="AY216" s="1">
        <v>3</v>
      </c>
      <c r="AZ216" s="1">
        <v>0</v>
      </c>
      <c r="BA216" s="1" t="s">
        <v>4766</v>
      </c>
      <c r="BB216" s="1" t="s">
        <v>5178</v>
      </c>
      <c r="BC216" s="1" t="s">
        <v>4758</v>
      </c>
      <c r="BD216" s="1">
        <v>10802</v>
      </c>
      <c r="BE216" s="1"/>
      <c r="BH216">
        <f>COUNTIF(Dropdowns!$I:$AF,C216)</f>
        <v>0</v>
      </c>
    </row>
    <row r="217" spans="1:60" x14ac:dyDescent="0.25">
      <c r="A217" s="1">
        <v>222</v>
      </c>
      <c r="B217" s="1" t="s">
        <v>3566</v>
      </c>
      <c r="C217" s="241" t="s">
        <v>1238</v>
      </c>
      <c r="D217" s="1" t="s">
        <v>1238</v>
      </c>
      <c r="E217" s="1"/>
      <c r="F217" s="1"/>
      <c r="G217" s="1" t="s">
        <v>3567</v>
      </c>
      <c r="H217" s="1" t="s">
        <v>3568</v>
      </c>
      <c r="I217" s="1" t="s">
        <v>3569</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1239</v>
      </c>
      <c r="AK217" s="1" t="s">
        <v>329</v>
      </c>
      <c r="AL217" s="1">
        <v>13</v>
      </c>
      <c r="AM217" s="1" t="s">
        <v>4763</v>
      </c>
      <c r="AN217" s="1" t="s">
        <v>4885</v>
      </c>
      <c r="AO217" s="1" t="s">
        <v>4846</v>
      </c>
      <c r="AP217" s="1">
        <v>0</v>
      </c>
      <c r="AQ217" s="1" t="s">
        <v>1141</v>
      </c>
      <c r="AR217" s="1" t="s">
        <v>4836</v>
      </c>
      <c r="AS217" s="1" t="s">
        <v>1143</v>
      </c>
      <c r="AT217" s="1" t="s">
        <v>329</v>
      </c>
      <c r="AU217" s="1">
        <v>222</v>
      </c>
      <c r="AV217" s="1">
        <v>0</v>
      </c>
      <c r="AW217" s="1" t="s">
        <v>5179</v>
      </c>
      <c r="AX217" s="1" t="s">
        <v>5180</v>
      </c>
      <c r="AY217" s="1">
        <v>5</v>
      </c>
      <c r="AZ217" s="1">
        <v>0</v>
      </c>
      <c r="BA217" s="1" t="s">
        <v>329</v>
      </c>
      <c r="BB217" s="1" t="s">
        <v>5181</v>
      </c>
      <c r="BC217" s="1" t="s">
        <v>4721</v>
      </c>
      <c r="BD217" s="1">
        <v>10802</v>
      </c>
      <c r="BE217" s="1"/>
      <c r="BH217">
        <f>COUNTIF(Dropdowns!$I:$AF,C217)</f>
        <v>1</v>
      </c>
    </row>
    <row r="218" spans="1:60" x14ac:dyDescent="0.25">
      <c r="A218" s="1">
        <v>223</v>
      </c>
      <c r="B218" s="1" t="s">
        <v>3570</v>
      </c>
      <c r="C218" s="241" t="s">
        <v>182</v>
      </c>
      <c r="D218" s="1" t="s">
        <v>3571</v>
      </c>
      <c r="E218" s="1"/>
      <c r="F218" s="1"/>
      <c r="G218" s="1" t="s">
        <v>3572</v>
      </c>
      <c r="H218" s="1" t="s">
        <v>3573</v>
      </c>
      <c r="I218" s="1" t="s">
        <v>3574</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5182</v>
      </c>
      <c r="AK218" s="1" t="s">
        <v>329</v>
      </c>
      <c r="AL218" s="1">
        <v>13</v>
      </c>
      <c r="AM218" s="1" t="s">
        <v>4720</v>
      </c>
      <c r="AN218" s="1" t="s">
        <v>4885</v>
      </c>
      <c r="AO218" s="1" t="s">
        <v>4876</v>
      </c>
      <c r="AP218" s="1">
        <v>0</v>
      </c>
      <c r="AQ218" s="1" t="s">
        <v>1131</v>
      </c>
      <c r="AR218" s="1" t="s">
        <v>1155</v>
      </c>
      <c r="AS218" s="1" t="s">
        <v>1130</v>
      </c>
      <c r="AT218" s="1" t="s">
        <v>329</v>
      </c>
      <c r="AU218" s="1">
        <v>223</v>
      </c>
      <c r="AV218" s="1">
        <v>0</v>
      </c>
      <c r="AW218" s="1" t="s">
        <v>5183</v>
      </c>
      <c r="AX218" s="1" t="s">
        <v>5184</v>
      </c>
      <c r="AY218" s="1">
        <v>3</v>
      </c>
      <c r="AZ218" s="1">
        <v>0</v>
      </c>
      <c r="BA218" s="1" t="s">
        <v>329</v>
      </c>
      <c r="BB218" s="1" t="s">
        <v>329</v>
      </c>
      <c r="BC218" s="1" t="s">
        <v>329</v>
      </c>
      <c r="BD218" s="1">
        <v>10301</v>
      </c>
      <c r="BE218" s="1"/>
      <c r="BH218">
        <f>COUNTIF(Dropdowns!$I:$AF,C218)</f>
        <v>1</v>
      </c>
    </row>
    <row r="219" spans="1:60" x14ac:dyDescent="0.25">
      <c r="A219" s="1">
        <v>224</v>
      </c>
      <c r="B219" s="1" t="s">
        <v>3575</v>
      </c>
      <c r="C219" s="241" t="s">
        <v>1646</v>
      </c>
      <c r="D219" s="1" t="s">
        <v>1646</v>
      </c>
      <c r="E219" s="1"/>
      <c r="F219" s="1"/>
      <c r="G219" s="1" t="s">
        <v>3576</v>
      </c>
      <c r="H219" s="1" t="s">
        <v>3577</v>
      </c>
      <c r="I219" s="1" t="s">
        <v>3578</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4791</v>
      </c>
      <c r="AN219" s="1" t="s">
        <v>389</v>
      </c>
      <c r="AO219" s="1" t="s">
        <v>5185</v>
      </c>
      <c r="AP219" s="1">
        <v>0</v>
      </c>
      <c r="AQ219" s="1" t="s">
        <v>1130</v>
      </c>
      <c r="AR219" s="1" t="s">
        <v>1120</v>
      </c>
      <c r="AS219" s="1" t="s">
        <v>1131</v>
      </c>
      <c r="AT219" s="1" t="s">
        <v>329</v>
      </c>
      <c r="AU219" s="1">
        <v>224</v>
      </c>
      <c r="AV219" s="1">
        <v>0</v>
      </c>
      <c r="AW219" s="1" t="s">
        <v>5186</v>
      </c>
      <c r="AX219" s="1" t="s">
        <v>5187</v>
      </c>
      <c r="AY219" s="1">
        <v>5</v>
      </c>
      <c r="AZ219" s="1">
        <v>0</v>
      </c>
      <c r="BA219" s="1" t="s">
        <v>329</v>
      </c>
      <c r="BB219" s="1" t="s">
        <v>371</v>
      </c>
      <c r="BC219" s="1" t="s">
        <v>329</v>
      </c>
      <c r="BD219" s="1">
        <v>10403</v>
      </c>
      <c r="BE219" s="1"/>
      <c r="BH219">
        <f>COUNTIF(Dropdowns!$I:$AF,C219)</f>
        <v>1</v>
      </c>
    </row>
    <row r="220" spans="1:60" x14ac:dyDescent="0.25">
      <c r="A220" s="1">
        <v>225</v>
      </c>
      <c r="B220" s="1" t="s">
        <v>3579</v>
      </c>
      <c r="C220" s="241" t="s">
        <v>183</v>
      </c>
      <c r="D220" s="1" t="s">
        <v>3580</v>
      </c>
      <c r="E220" s="1"/>
      <c r="F220" s="1"/>
      <c r="G220" s="1" t="s">
        <v>3581</v>
      </c>
      <c r="H220" s="1" t="s">
        <v>3582</v>
      </c>
      <c r="I220" s="1" t="s">
        <v>3583</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1240</v>
      </c>
      <c r="AK220" s="1" t="s">
        <v>329</v>
      </c>
      <c r="AL220" s="1">
        <v>13</v>
      </c>
      <c r="AM220" s="1" t="s">
        <v>4791</v>
      </c>
      <c r="AN220" s="1" t="s">
        <v>389</v>
      </c>
      <c r="AO220" s="1" t="s">
        <v>5057</v>
      </c>
      <c r="AP220" s="1">
        <v>0</v>
      </c>
      <c r="AQ220" s="1" t="s">
        <v>1130</v>
      </c>
      <c r="AR220" s="1" t="s">
        <v>1120</v>
      </c>
      <c r="AS220" s="1" t="s">
        <v>1131</v>
      </c>
      <c r="AT220" s="1" t="s">
        <v>329</v>
      </c>
      <c r="AU220" s="1">
        <v>225</v>
      </c>
      <c r="AV220" s="1">
        <v>0</v>
      </c>
      <c r="AW220" s="1" t="s">
        <v>5034</v>
      </c>
      <c r="AX220" s="1" t="s">
        <v>5188</v>
      </c>
      <c r="AY220" s="1">
        <v>4</v>
      </c>
      <c r="AZ220" s="1">
        <v>0</v>
      </c>
      <c r="BA220" s="1" t="s">
        <v>329</v>
      </c>
      <c r="BB220" s="1" t="s">
        <v>329</v>
      </c>
      <c r="BC220" s="1" t="s">
        <v>4740</v>
      </c>
      <c r="BD220" s="1">
        <v>10301</v>
      </c>
      <c r="BE220" s="1"/>
      <c r="BH220">
        <f>COUNTIF(Dropdowns!$I:$AF,C220)</f>
        <v>1</v>
      </c>
    </row>
    <row r="221" spans="1:60" x14ac:dyDescent="0.25">
      <c r="A221" s="1">
        <v>226</v>
      </c>
      <c r="B221" s="1" t="s">
        <v>3584</v>
      </c>
      <c r="C221" s="241" t="s">
        <v>788</v>
      </c>
      <c r="D221" s="1" t="s">
        <v>788</v>
      </c>
      <c r="E221" s="1"/>
      <c r="F221" s="1"/>
      <c r="G221" s="1" t="s">
        <v>3585</v>
      </c>
      <c r="H221" s="1" t="s">
        <v>3586</v>
      </c>
      <c r="I221" s="1" t="s">
        <v>3587</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1241</v>
      </c>
      <c r="AK221" s="1" t="s">
        <v>329</v>
      </c>
      <c r="AL221" s="1">
        <v>13</v>
      </c>
      <c r="AM221" s="1" t="s">
        <v>4763</v>
      </c>
      <c r="AN221" s="1" t="s">
        <v>4885</v>
      </c>
      <c r="AO221" s="1" t="s">
        <v>4833</v>
      </c>
      <c r="AP221" s="1">
        <v>0</v>
      </c>
      <c r="AQ221" s="1" t="s">
        <v>1141</v>
      </c>
      <c r="AR221" s="1" t="s">
        <v>1142</v>
      </c>
      <c r="AS221" s="1" t="s">
        <v>1143</v>
      </c>
      <c r="AT221" s="1" t="s">
        <v>329</v>
      </c>
      <c r="AU221" s="1">
        <v>226</v>
      </c>
      <c r="AV221" s="1">
        <v>0</v>
      </c>
      <c r="AW221" s="1" t="s">
        <v>5132</v>
      </c>
      <c r="AX221" s="1" t="s">
        <v>4754</v>
      </c>
      <c r="AY221" s="1">
        <v>4</v>
      </c>
      <c r="AZ221" s="1">
        <v>0</v>
      </c>
      <c r="BA221" s="1" t="s">
        <v>329</v>
      </c>
      <c r="BB221" s="1" t="s">
        <v>329</v>
      </c>
      <c r="BC221" s="1" t="s">
        <v>4721</v>
      </c>
      <c r="BD221" s="1">
        <v>10301</v>
      </c>
      <c r="BE221" s="1"/>
      <c r="BH221">
        <f>COUNTIF(Dropdowns!$I:$AF,C221)</f>
        <v>1</v>
      </c>
    </row>
    <row r="222" spans="1:60" x14ac:dyDescent="0.25">
      <c r="A222" s="1">
        <v>227</v>
      </c>
      <c r="B222" s="1" t="s">
        <v>3588</v>
      </c>
      <c r="C222" s="241" t="s">
        <v>1647</v>
      </c>
      <c r="D222" s="1" t="s">
        <v>1647</v>
      </c>
      <c r="E222" s="1"/>
      <c r="F222" s="1"/>
      <c r="G222" s="1" t="s">
        <v>3589</v>
      </c>
      <c r="H222" s="1" t="s">
        <v>3590</v>
      </c>
      <c r="I222" s="1" t="s">
        <v>3591</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1241</v>
      </c>
      <c r="AK222" s="1" t="s">
        <v>329</v>
      </c>
      <c r="AL222" s="1">
        <v>12</v>
      </c>
      <c r="AM222" s="1" t="s">
        <v>4720</v>
      </c>
      <c r="AN222" s="1" t="s">
        <v>5189</v>
      </c>
      <c r="AO222" s="1" t="s">
        <v>5015</v>
      </c>
      <c r="AP222" s="1">
        <v>0</v>
      </c>
      <c r="AQ222" s="1" t="s">
        <v>1131</v>
      </c>
      <c r="AR222" s="1" t="s">
        <v>1155</v>
      </c>
      <c r="AS222" s="1" t="s">
        <v>1130</v>
      </c>
      <c r="AT222" s="1" t="s">
        <v>329</v>
      </c>
      <c r="AU222" s="1">
        <v>227</v>
      </c>
      <c r="AV222" s="1">
        <v>0</v>
      </c>
      <c r="AW222" s="1" t="s">
        <v>5163</v>
      </c>
      <c r="AX222" s="1" t="s">
        <v>4754</v>
      </c>
      <c r="AY222" s="1">
        <v>4</v>
      </c>
      <c r="AZ222" s="1">
        <v>0</v>
      </c>
      <c r="BA222" s="1" t="s">
        <v>329</v>
      </c>
      <c r="BB222" s="1" t="s">
        <v>473</v>
      </c>
      <c r="BC222" s="1" t="s">
        <v>4758</v>
      </c>
      <c r="BD222" s="1">
        <v>10802</v>
      </c>
      <c r="BE222" s="1"/>
      <c r="BH222">
        <f>COUNTIF(Dropdowns!$I:$AF,C222)</f>
        <v>1</v>
      </c>
    </row>
    <row r="223" spans="1:60" x14ac:dyDescent="0.25">
      <c r="A223" s="1">
        <v>228</v>
      </c>
      <c r="B223" s="1" t="s">
        <v>3592</v>
      </c>
      <c r="C223" s="241" t="s">
        <v>752</v>
      </c>
      <c r="D223" s="1" t="s">
        <v>3593</v>
      </c>
      <c r="E223" s="1"/>
      <c r="F223" s="1"/>
      <c r="G223" s="1" t="s">
        <v>3594</v>
      </c>
      <c r="H223" s="1" t="s">
        <v>3595</v>
      </c>
      <c r="I223" s="1" t="s">
        <v>3596</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1242</v>
      </c>
      <c r="AK223" s="1" t="s">
        <v>1243</v>
      </c>
      <c r="AL223" s="1">
        <v>13</v>
      </c>
      <c r="AM223" s="1" t="s">
        <v>4791</v>
      </c>
      <c r="AN223" s="1" t="s">
        <v>389</v>
      </c>
      <c r="AO223" s="1" t="s">
        <v>5185</v>
      </c>
      <c r="AP223" s="1">
        <v>0</v>
      </c>
      <c r="AQ223" s="1" t="s">
        <v>1130</v>
      </c>
      <c r="AR223" s="1" t="s">
        <v>1120</v>
      </c>
      <c r="AS223" s="1" t="s">
        <v>1746</v>
      </c>
      <c r="AT223" s="1" t="s">
        <v>329</v>
      </c>
      <c r="AU223" s="1">
        <v>228</v>
      </c>
      <c r="AV223" s="1">
        <v>0</v>
      </c>
      <c r="AW223" s="1" t="s">
        <v>5190</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3597</v>
      </c>
      <c r="C224" s="241" t="s">
        <v>5633</v>
      </c>
      <c r="D224" s="1" t="s">
        <v>237</v>
      </c>
      <c r="E224" s="1"/>
      <c r="F224" s="1"/>
      <c r="G224" s="1" t="s">
        <v>3598</v>
      </c>
      <c r="H224" s="1" t="s">
        <v>3599</v>
      </c>
      <c r="I224" s="1" t="s">
        <v>3600</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1244</v>
      </c>
      <c r="AK224" s="1" t="s">
        <v>1245</v>
      </c>
      <c r="AL224" s="1">
        <v>9</v>
      </c>
      <c r="AM224" s="1" t="s">
        <v>4717</v>
      </c>
      <c r="AN224" s="1" t="s">
        <v>355</v>
      </c>
      <c r="AO224" s="1" t="s">
        <v>5191</v>
      </c>
      <c r="AP224" s="1">
        <v>0</v>
      </c>
      <c r="AQ224" s="1" t="s">
        <v>1201</v>
      </c>
      <c r="AR224" s="1" t="s">
        <v>1202</v>
      </c>
      <c r="AS224" s="1" t="s">
        <v>1203</v>
      </c>
      <c r="AT224" s="1" t="s">
        <v>329</v>
      </c>
      <c r="AU224" s="1">
        <v>229</v>
      </c>
      <c r="AV224" s="1">
        <v>0</v>
      </c>
      <c r="AW224" s="1" t="s">
        <v>5072</v>
      </c>
      <c r="AX224" s="1" t="s">
        <v>4754</v>
      </c>
      <c r="AY224" s="1">
        <v>5</v>
      </c>
      <c r="AZ224" s="1">
        <v>0</v>
      </c>
      <c r="BA224" s="1" t="s">
        <v>329</v>
      </c>
      <c r="BB224" s="1" t="s">
        <v>329</v>
      </c>
      <c r="BC224" s="1" t="s">
        <v>4721</v>
      </c>
      <c r="BD224" s="1">
        <v>10402</v>
      </c>
      <c r="BE224" s="1"/>
      <c r="BH224">
        <f>COUNTIF(Dropdowns!$I:$AF,C224)</f>
        <v>1</v>
      </c>
    </row>
    <row r="225" spans="1:60" x14ac:dyDescent="0.25">
      <c r="A225" s="1">
        <v>230</v>
      </c>
      <c r="B225" s="1" t="s">
        <v>3601</v>
      </c>
      <c r="C225" s="241" t="s">
        <v>184</v>
      </c>
      <c r="D225" s="1" t="s">
        <v>184</v>
      </c>
      <c r="E225" s="1"/>
      <c r="F225" s="1"/>
      <c r="G225" s="1" t="s">
        <v>3602</v>
      </c>
      <c r="H225" s="1" t="s">
        <v>3603</v>
      </c>
      <c r="I225" s="1" t="s">
        <v>3604</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1126</v>
      </c>
      <c r="AK225" s="1" t="s">
        <v>329</v>
      </c>
      <c r="AL225" s="1">
        <v>13</v>
      </c>
      <c r="AM225" s="1" t="s">
        <v>4763</v>
      </c>
      <c r="AN225" s="1" t="s">
        <v>4835</v>
      </c>
      <c r="AO225" s="1" t="s">
        <v>4827</v>
      </c>
      <c r="AP225" s="1">
        <v>0</v>
      </c>
      <c r="AQ225" s="1" t="s">
        <v>1141</v>
      </c>
      <c r="AR225" s="1" t="s">
        <v>1142</v>
      </c>
      <c r="AS225" s="1" t="s">
        <v>1143</v>
      </c>
      <c r="AT225" s="1" t="s">
        <v>329</v>
      </c>
      <c r="AU225" s="1">
        <v>230</v>
      </c>
      <c r="AV225" s="1">
        <v>0</v>
      </c>
      <c r="AW225" s="1" t="s">
        <v>5192</v>
      </c>
      <c r="AX225" s="1" t="s">
        <v>5184</v>
      </c>
      <c r="AY225" s="1">
        <v>3</v>
      </c>
      <c r="AZ225" s="1">
        <v>0</v>
      </c>
      <c r="BA225" s="1" t="s">
        <v>329</v>
      </c>
      <c r="BB225" s="1" t="s">
        <v>5193</v>
      </c>
      <c r="BC225" s="1" t="s">
        <v>4721</v>
      </c>
      <c r="BD225" s="1">
        <v>10704</v>
      </c>
      <c r="BE225" s="1"/>
      <c r="BH225">
        <f>COUNTIF(Dropdowns!$I:$AF,C225)</f>
        <v>1</v>
      </c>
    </row>
    <row r="226" spans="1:60" x14ac:dyDescent="0.25">
      <c r="A226" s="1">
        <v>231</v>
      </c>
      <c r="B226" s="1" t="s">
        <v>3605</v>
      </c>
      <c r="C226" s="241" t="s">
        <v>185</v>
      </c>
      <c r="D226" s="1" t="s">
        <v>185</v>
      </c>
      <c r="E226" s="1"/>
      <c r="F226" s="1"/>
      <c r="G226" s="1" t="s">
        <v>3606</v>
      </c>
      <c r="H226" s="1" t="s">
        <v>3607</v>
      </c>
      <c r="I226" s="1" t="s">
        <v>3608</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1246</v>
      </c>
      <c r="AK226" s="1" t="s">
        <v>1247</v>
      </c>
      <c r="AL226" s="1">
        <v>13</v>
      </c>
      <c r="AM226" s="1" t="s">
        <v>4763</v>
      </c>
      <c r="AN226" s="1" t="s">
        <v>4885</v>
      </c>
      <c r="AO226" s="1" t="s">
        <v>4846</v>
      </c>
      <c r="AP226" s="1">
        <v>0</v>
      </c>
      <c r="AQ226" s="1" t="s">
        <v>1141</v>
      </c>
      <c r="AR226" s="1" t="s">
        <v>1142</v>
      </c>
      <c r="AS226" s="1" t="s">
        <v>1143</v>
      </c>
      <c r="AT226" s="1" t="s">
        <v>329</v>
      </c>
      <c r="AU226" s="1">
        <v>231</v>
      </c>
      <c r="AV226" s="1">
        <v>0</v>
      </c>
      <c r="AW226" s="1" t="s">
        <v>5179</v>
      </c>
      <c r="AX226" s="1" t="s">
        <v>5194</v>
      </c>
      <c r="AY226" s="1">
        <v>5</v>
      </c>
      <c r="AZ226" s="1">
        <v>0</v>
      </c>
      <c r="BA226" s="1" t="s">
        <v>329</v>
      </c>
      <c r="BB226" s="1" t="s">
        <v>329</v>
      </c>
      <c r="BC226" s="1" t="s">
        <v>4721</v>
      </c>
      <c r="BD226" s="1">
        <v>10402</v>
      </c>
      <c r="BE226" s="1"/>
      <c r="BH226">
        <f>COUNTIF(Dropdowns!$I:$AF,C226)</f>
        <v>1</v>
      </c>
    </row>
    <row r="227" spans="1:60" x14ac:dyDescent="0.25">
      <c r="A227" s="1">
        <v>232</v>
      </c>
      <c r="B227" s="1" t="s">
        <v>3609</v>
      </c>
      <c r="C227" s="241" t="s">
        <v>1648</v>
      </c>
      <c r="D227" s="1" t="s">
        <v>1648</v>
      </c>
      <c r="E227" s="1"/>
      <c r="F227" s="1"/>
      <c r="G227" s="1" t="s">
        <v>3610</v>
      </c>
      <c r="H227" s="1" t="s">
        <v>3611</v>
      </c>
      <c r="I227" s="1" t="s">
        <v>3612</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5195</v>
      </c>
      <c r="AK227" s="1" t="s">
        <v>329</v>
      </c>
      <c r="AL227" s="1">
        <v>13</v>
      </c>
      <c r="AM227" s="1" t="s">
        <v>1807</v>
      </c>
      <c r="AN227" s="1" t="s">
        <v>5176</v>
      </c>
      <c r="AO227" s="1" t="s">
        <v>5087</v>
      </c>
      <c r="AP227" s="1">
        <v>0</v>
      </c>
      <c r="AQ227" s="1" t="s">
        <v>1119</v>
      </c>
      <c r="AR227" s="1" t="s">
        <v>1120</v>
      </c>
      <c r="AS227" s="1" t="s">
        <v>1121</v>
      </c>
      <c r="AT227" s="1" t="s">
        <v>329</v>
      </c>
      <c r="AU227" s="1">
        <v>232</v>
      </c>
      <c r="AV227" s="1">
        <v>0</v>
      </c>
      <c r="AW227" s="1" t="s">
        <v>5196</v>
      </c>
      <c r="AX227" s="1" t="s">
        <v>5184</v>
      </c>
      <c r="AY227" s="1">
        <v>3</v>
      </c>
      <c r="AZ227" s="1">
        <v>0</v>
      </c>
      <c r="BA227" s="1" t="s">
        <v>329</v>
      </c>
      <c r="BB227" s="1" t="s">
        <v>4845</v>
      </c>
      <c r="BC227" s="1" t="s">
        <v>4758</v>
      </c>
      <c r="BD227" s="1">
        <v>10301</v>
      </c>
      <c r="BE227" s="1"/>
      <c r="BH227">
        <f>COUNTIF(Dropdowns!$I:$AF,C227)</f>
        <v>0</v>
      </c>
    </row>
    <row r="228" spans="1:60" x14ac:dyDescent="0.25">
      <c r="A228" s="1">
        <v>233</v>
      </c>
      <c r="B228" s="1" t="s">
        <v>3613</v>
      </c>
      <c r="C228" s="241" t="s">
        <v>186</v>
      </c>
      <c r="D228" s="1" t="s">
        <v>3614</v>
      </c>
      <c r="E228" s="1"/>
      <c r="F228" s="1"/>
      <c r="G228" s="1" t="s">
        <v>3615</v>
      </c>
      <c r="H228" s="1" t="s">
        <v>3616</v>
      </c>
      <c r="I228" s="1" t="s">
        <v>3617</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1807</v>
      </c>
      <c r="AN228" s="1" t="s">
        <v>5197</v>
      </c>
      <c r="AO228" s="1" t="s">
        <v>5067</v>
      </c>
      <c r="AP228" s="1">
        <v>0</v>
      </c>
      <c r="AQ228" s="1" t="s">
        <v>1119</v>
      </c>
      <c r="AR228" s="1" t="s">
        <v>1120</v>
      </c>
      <c r="AS228" s="1" t="s">
        <v>1121</v>
      </c>
      <c r="AT228" s="1" t="s">
        <v>329</v>
      </c>
      <c r="AU228" s="1">
        <v>233</v>
      </c>
      <c r="AV228" s="1">
        <v>0</v>
      </c>
      <c r="AW228" s="1" t="s">
        <v>5198</v>
      </c>
      <c r="AX228" s="1" t="s">
        <v>4763</v>
      </c>
      <c r="AY228" s="1">
        <v>5</v>
      </c>
      <c r="AZ228" s="1">
        <v>0</v>
      </c>
      <c r="BA228" s="1" t="s">
        <v>329</v>
      </c>
      <c r="BB228" s="1" t="s">
        <v>329</v>
      </c>
      <c r="BC228" s="1" t="s">
        <v>4740</v>
      </c>
      <c r="BD228" s="1">
        <v>10203</v>
      </c>
      <c r="BE228" s="1"/>
      <c r="BH228">
        <f>COUNTIF(Dropdowns!$I:$AF,C228)</f>
        <v>0</v>
      </c>
    </row>
    <row r="229" spans="1:60" x14ac:dyDescent="0.25">
      <c r="A229" s="1">
        <v>234</v>
      </c>
      <c r="B229" s="1" t="s">
        <v>3618</v>
      </c>
      <c r="C229" s="241" t="s">
        <v>238</v>
      </c>
      <c r="D229" s="1" t="s">
        <v>3619</v>
      </c>
      <c r="E229" s="1"/>
      <c r="F229" s="1"/>
      <c r="G229" s="1" t="s">
        <v>3620</v>
      </c>
      <c r="H229" s="1" t="s">
        <v>3621</v>
      </c>
      <c r="I229" s="1" t="s">
        <v>3622</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1248</v>
      </c>
      <c r="AK229" s="1" t="s">
        <v>1249</v>
      </c>
      <c r="AL229" s="1">
        <v>12</v>
      </c>
      <c r="AM229" s="1" t="s">
        <v>4791</v>
      </c>
      <c r="AN229" s="1" t="s">
        <v>5199</v>
      </c>
      <c r="AO229" s="1" t="s">
        <v>5031</v>
      </c>
      <c r="AP229" s="1">
        <v>0</v>
      </c>
      <c r="AQ229" s="1" t="s">
        <v>1130</v>
      </c>
      <c r="AR229" s="1" t="s">
        <v>1120</v>
      </c>
      <c r="AS229" s="1" t="s">
        <v>1131</v>
      </c>
      <c r="AT229" s="1" t="s">
        <v>329</v>
      </c>
      <c r="AU229" s="1">
        <v>234</v>
      </c>
      <c r="AV229" s="1">
        <v>0</v>
      </c>
      <c r="AW229" s="1" t="s">
        <v>5200</v>
      </c>
      <c r="AX229" s="1" t="s">
        <v>5201</v>
      </c>
      <c r="AY229" s="1">
        <v>5</v>
      </c>
      <c r="AZ229" s="1">
        <v>0</v>
      </c>
      <c r="BA229" s="1" t="s">
        <v>329</v>
      </c>
      <c r="BB229" s="1" t="s">
        <v>5202</v>
      </c>
      <c r="BC229" s="1" t="s">
        <v>4784</v>
      </c>
      <c r="BD229" s="1">
        <v>10203</v>
      </c>
      <c r="BE229" s="1"/>
      <c r="BH229">
        <f>COUNTIF(Dropdowns!$I:$AF,C229)</f>
        <v>1</v>
      </c>
    </row>
    <row r="230" spans="1:60" x14ac:dyDescent="0.25">
      <c r="A230" s="1">
        <v>235</v>
      </c>
      <c r="B230" s="1" t="s">
        <v>3623</v>
      </c>
      <c r="C230" s="241" t="s">
        <v>187</v>
      </c>
      <c r="D230" s="1" t="s">
        <v>3624</v>
      </c>
      <c r="E230" s="1"/>
      <c r="F230" s="1"/>
      <c r="G230" s="1" t="s">
        <v>3625</v>
      </c>
      <c r="H230" s="1" t="s">
        <v>3626</v>
      </c>
      <c r="I230" s="1" t="s">
        <v>3627</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1250</v>
      </c>
      <c r="AK230" s="1" t="s">
        <v>1251</v>
      </c>
      <c r="AL230" s="1">
        <v>13</v>
      </c>
      <c r="AM230" s="1" t="s">
        <v>4763</v>
      </c>
      <c r="AN230" s="1" t="s">
        <v>4835</v>
      </c>
      <c r="AO230" s="1" t="s">
        <v>4833</v>
      </c>
      <c r="AP230" s="1">
        <v>0</v>
      </c>
      <c r="AQ230" s="1" t="s">
        <v>1141</v>
      </c>
      <c r="AR230" s="1" t="s">
        <v>1142</v>
      </c>
      <c r="AS230" s="1" t="s">
        <v>1143</v>
      </c>
      <c r="AT230" s="1" t="s">
        <v>329</v>
      </c>
      <c r="AU230" s="1">
        <v>235</v>
      </c>
      <c r="AV230" s="1">
        <v>0</v>
      </c>
      <c r="AW230" s="1" t="s">
        <v>5198</v>
      </c>
      <c r="AX230" s="1" t="s">
        <v>332</v>
      </c>
      <c r="AY230" s="1">
        <v>4</v>
      </c>
      <c r="AZ230" s="1">
        <v>0</v>
      </c>
      <c r="BA230" s="1" t="s">
        <v>329</v>
      </c>
      <c r="BB230" s="1" t="s">
        <v>329</v>
      </c>
      <c r="BC230" s="1" t="s">
        <v>4854</v>
      </c>
      <c r="BD230" s="1">
        <v>10704</v>
      </c>
      <c r="BE230" s="1"/>
      <c r="BH230">
        <f>COUNTIF(Dropdowns!$I:$AF,C230)</f>
        <v>1</v>
      </c>
    </row>
    <row r="231" spans="1:60" x14ac:dyDescent="0.25">
      <c r="A231" s="1">
        <v>236</v>
      </c>
      <c r="B231" s="1" t="s">
        <v>3628</v>
      </c>
      <c r="C231" s="241" t="s">
        <v>188</v>
      </c>
      <c r="D231" s="1" t="s">
        <v>188</v>
      </c>
      <c r="E231" s="1"/>
      <c r="F231" s="1"/>
      <c r="G231" s="1" t="s">
        <v>3629</v>
      </c>
      <c r="H231" s="1" t="s">
        <v>3630</v>
      </c>
      <c r="I231" s="1" t="s">
        <v>3631</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1252</v>
      </c>
      <c r="AK231" s="1" t="s">
        <v>1253</v>
      </c>
      <c r="AL231" s="1">
        <v>13</v>
      </c>
      <c r="AM231" s="1" t="s">
        <v>4720</v>
      </c>
      <c r="AN231" s="1" t="s">
        <v>4865</v>
      </c>
      <c r="AO231" s="1" t="s">
        <v>5170</v>
      </c>
      <c r="AP231" s="1">
        <v>0</v>
      </c>
      <c r="AQ231" s="1" t="s">
        <v>1131</v>
      </c>
      <c r="AR231" s="1" t="s">
        <v>1155</v>
      </c>
      <c r="AS231" s="1" t="s">
        <v>1130</v>
      </c>
      <c r="AT231" s="1" t="s">
        <v>329</v>
      </c>
      <c r="AU231" s="1">
        <v>236</v>
      </c>
      <c r="AV231" s="1">
        <v>0</v>
      </c>
      <c r="AW231" s="1" t="s">
        <v>5198</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3632</v>
      </c>
      <c r="C232" s="241" t="s">
        <v>1649</v>
      </c>
      <c r="D232" s="1" t="s">
        <v>1649</v>
      </c>
      <c r="E232" s="1"/>
      <c r="F232" s="1"/>
      <c r="G232" s="1" t="s">
        <v>3633</v>
      </c>
      <c r="H232" s="1" t="s">
        <v>3634</v>
      </c>
      <c r="I232" s="1" t="s">
        <v>3635</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1254</v>
      </c>
      <c r="AK232" s="1" t="s">
        <v>329</v>
      </c>
      <c r="AL232" s="1">
        <v>13</v>
      </c>
      <c r="AM232" s="1" t="s">
        <v>4720</v>
      </c>
      <c r="AN232" s="1" t="s">
        <v>4865</v>
      </c>
      <c r="AO232" s="1" t="s">
        <v>5203</v>
      </c>
      <c r="AP232" s="1">
        <v>0</v>
      </c>
      <c r="AQ232" s="1" t="s">
        <v>1131</v>
      </c>
      <c r="AR232" s="1" t="s">
        <v>1155</v>
      </c>
      <c r="AS232" s="1" t="s">
        <v>1130</v>
      </c>
      <c r="AT232" s="1" t="s">
        <v>329</v>
      </c>
      <c r="AU232" s="1">
        <v>237</v>
      </c>
      <c r="AV232" s="1">
        <v>0</v>
      </c>
      <c r="AW232" s="1" t="s">
        <v>5198</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3636</v>
      </c>
      <c r="C233" s="241" t="s">
        <v>786</v>
      </c>
      <c r="D233" s="1" t="s">
        <v>119</v>
      </c>
      <c r="E233" s="1"/>
      <c r="F233" s="1"/>
      <c r="G233" s="1" t="s">
        <v>3637</v>
      </c>
      <c r="H233" s="1" t="s">
        <v>3638</v>
      </c>
      <c r="I233" s="1" t="s">
        <v>3639</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5204</v>
      </c>
      <c r="AK233" s="1" t="s">
        <v>1255</v>
      </c>
      <c r="AL233" s="1">
        <v>19</v>
      </c>
      <c r="AM233" s="1" t="s">
        <v>4859</v>
      </c>
      <c r="AN233" s="1" t="s">
        <v>5205</v>
      </c>
      <c r="AO233" s="1" t="s">
        <v>5206</v>
      </c>
      <c r="AP233" s="1">
        <v>0</v>
      </c>
      <c r="AQ233" s="1" t="s">
        <v>1168</v>
      </c>
      <c r="AR233" s="1" t="s">
        <v>1169</v>
      </c>
      <c r="AS233" s="1" t="s">
        <v>1170</v>
      </c>
      <c r="AT233" s="1" t="s">
        <v>329</v>
      </c>
      <c r="AU233" s="1">
        <v>238</v>
      </c>
      <c r="AV233" s="1">
        <v>0</v>
      </c>
      <c r="AW233" s="1" t="s">
        <v>5198</v>
      </c>
      <c r="AX233" s="1" t="s">
        <v>332</v>
      </c>
      <c r="AY233" s="1">
        <v>5</v>
      </c>
      <c r="AZ233" s="1">
        <v>0</v>
      </c>
      <c r="BA233" s="1" t="s">
        <v>329</v>
      </c>
      <c r="BB233" s="1" t="s">
        <v>5207</v>
      </c>
      <c r="BC233" s="1" t="s">
        <v>4784</v>
      </c>
      <c r="BD233" s="1">
        <v>10802</v>
      </c>
      <c r="BE233" s="1"/>
      <c r="BH233">
        <f>COUNTIF(Dropdowns!$I:$AF,C233)</f>
        <v>1</v>
      </c>
    </row>
    <row r="234" spans="1:60" x14ac:dyDescent="0.25">
      <c r="A234" s="1">
        <v>239</v>
      </c>
      <c r="B234" s="1" t="s">
        <v>3640</v>
      </c>
      <c r="C234" s="241" t="s">
        <v>239</v>
      </c>
      <c r="D234" s="1" t="s">
        <v>239</v>
      </c>
      <c r="E234" s="1"/>
      <c r="F234" s="1"/>
      <c r="G234" s="1" t="s">
        <v>3641</v>
      </c>
      <c r="H234" s="1" t="s">
        <v>3642</v>
      </c>
      <c r="I234" s="1" t="s">
        <v>3643</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1126</v>
      </c>
      <c r="AK234" s="1" t="s">
        <v>329</v>
      </c>
      <c r="AL234" s="1">
        <v>13</v>
      </c>
      <c r="AM234" s="1" t="s">
        <v>4720</v>
      </c>
      <c r="AN234" s="1" t="s">
        <v>476</v>
      </c>
      <c r="AO234" s="1" t="s">
        <v>5208</v>
      </c>
      <c r="AP234" s="1">
        <v>0</v>
      </c>
      <c r="AQ234" s="1" t="s">
        <v>1131</v>
      </c>
      <c r="AR234" s="1" t="s">
        <v>1155</v>
      </c>
      <c r="AS234" s="1" t="s">
        <v>1130</v>
      </c>
      <c r="AT234" s="1" t="s">
        <v>329</v>
      </c>
      <c r="AU234" s="1">
        <v>239</v>
      </c>
      <c r="AV234" s="1">
        <v>0</v>
      </c>
      <c r="AW234" s="1" t="s">
        <v>5209</v>
      </c>
      <c r="AX234" s="1" t="s">
        <v>5184</v>
      </c>
      <c r="AY234" s="1">
        <v>3</v>
      </c>
      <c r="AZ234" s="1">
        <v>0</v>
      </c>
      <c r="BA234" s="1" t="s">
        <v>329</v>
      </c>
      <c r="BB234" s="1" t="s">
        <v>4953</v>
      </c>
      <c r="BC234" s="1" t="s">
        <v>4784</v>
      </c>
      <c r="BD234" s="1">
        <v>10704</v>
      </c>
      <c r="BE234" s="1"/>
      <c r="BH234">
        <f>COUNTIF(Dropdowns!$I:$AF,C234)</f>
        <v>1</v>
      </c>
    </row>
    <row r="235" spans="1:60" x14ac:dyDescent="0.25">
      <c r="A235" s="1">
        <v>240</v>
      </c>
      <c r="B235" s="1" t="s">
        <v>3644</v>
      </c>
      <c r="C235" s="241" t="s">
        <v>189</v>
      </c>
      <c r="D235" s="1" t="s">
        <v>189</v>
      </c>
      <c r="E235" s="1"/>
      <c r="F235" s="1"/>
      <c r="G235" s="1" t="s">
        <v>3645</v>
      </c>
      <c r="H235" s="1" t="s">
        <v>3646</v>
      </c>
      <c r="I235" s="1" t="s">
        <v>3647</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1167</v>
      </c>
      <c r="AK235" s="1" t="s">
        <v>329</v>
      </c>
      <c r="AL235" s="1">
        <v>17</v>
      </c>
      <c r="AM235" s="1" t="s">
        <v>4859</v>
      </c>
      <c r="AN235" s="1" t="s">
        <v>4917</v>
      </c>
      <c r="AO235" s="1" t="s">
        <v>5210</v>
      </c>
      <c r="AP235" s="1">
        <v>0</v>
      </c>
      <c r="AQ235" s="1" t="s">
        <v>1168</v>
      </c>
      <c r="AR235" s="1" t="s">
        <v>1169</v>
      </c>
      <c r="AS235" s="1" t="s">
        <v>1170</v>
      </c>
      <c r="AT235" s="1" t="s">
        <v>329</v>
      </c>
      <c r="AU235" s="1">
        <v>240</v>
      </c>
      <c r="AV235" s="1">
        <v>0</v>
      </c>
      <c r="AW235" s="1" t="s">
        <v>4970</v>
      </c>
      <c r="AX235" s="1" t="s">
        <v>5211</v>
      </c>
      <c r="AY235" s="1">
        <v>4</v>
      </c>
      <c r="AZ235" s="1">
        <v>0</v>
      </c>
      <c r="BA235" s="1" t="s">
        <v>329</v>
      </c>
      <c r="BB235" s="1" t="s">
        <v>329</v>
      </c>
      <c r="BC235" s="1" t="s">
        <v>4721</v>
      </c>
      <c r="BD235" s="1">
        <v>10402</v>
      </c>
      <c r="BE235" s="1"/>
      <c r="BH235">
        <f>COUNTIF(Dropdowns!$I:$AF,C235)</f>
        <v>1</v>
      </c>
    </row>
    <row r="236" spans="1:60" x14ac:dyDescent="0.25">
      <c r="A236" s="1">
        <v>241</v>
      </c>
      <c r="B236" s="1" t="s">
        <v>3648</v>
      </c>
      <c r="C236" s="241" t="s">
        <v>1650</v>
      </c>
      <c r="D236" s="1" t="s">
        <v>1650</v>
      </c>
      <c r="E236" s="1"/>
      <c r="F236" s="1"/>
      <c r="G236" s="1" t="s">
        <v>3649</v>
      </c>
      <c r="H236" s="1" t="s">
        <v>3650</v>
      </c>
      <c r="I236" s="1" t="s">
        <v>3651</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1196</v>
      </c>
      <c r="AK236" s="1" t="s">
        <v>329</v>
      </c>
      <c r="AL236" s="1">
        <v>13</v>
      </c>
      <c r="AM236" s="1" t="s">
        <v>4763</v>
      </c>
      <c r="AN236" s="1" t="s">
        <v>4830</v>
      </c>
      <c r="AO236" s="1" t="s">
        <v>4827</v>
      </c>
      <c r="AP236" s="1">
        <v>0</v>
      </c>
      <c r="AQ236" s="1" t="s">
        <v>1141</v>
      </c>
      <c r="AR236" s="1" t="s">
        <v>1142</v>
      </c>
      <c r="AS236" s="1" t="s">
        <v>1143</v>
      </c>
      <c r="AT236" s="1" t="s">
        <v>329</v>
      </c>
      <c r="AU236" s="1">
        <v>241</v>
      </c>
      <c r="AV236" s="1">
        <v>0</v>
      </c>
      <c r="AW236" s="1" t="s">
        <v>5212</v>
      </c>
      <c r="AX236" s="1" t="s">
        <v>5184</v>
      </c>
      <c r="AY236" s="1">
        <v>3</v>
      </c>
      <c r="AZ236" s="1">
        <v>0</v>
      </c>
      <c r="BA236" s="1" t="s">
        <v>329</v>
      </c>
      <c r="BB236" s="1" t="s">
        <v>329</v>
      </c>
      <c r="BC236" s="1" t="s">
        <v>329</v>
      </c>
      <c r="BD236" s="1">
        <v>10802</v>
      </c>
      <c r="BE236" s="1"/>
      <c r="BH236">
        <f>COUNTIF(Dropdowns!$I:$AF,C236)</f>
        <v>1</v>
      </c>
    </row>
    <row r="237" spans="1:60" x14ac:dyDescent="0.25">
      <c r="A237" s="1">
        <v>242</v>
      </c>
      <c r="B237" s="1" t="s">
        <v>3652</v>
      </c>
      <c r="C237" s="241" t="s">
        <v>197</v>
      </c>
      <c r="D237" s="1" t="s">
        <v>197</v>
      </c>
      <c r="E237" s="1"/>
      <c r="F237" s="1"/>
      <c r="G237" s="1" t="s">
        <v>3653</v>
      </c>
      <c r="H237" s="1" t="s">
        <v>3654</v>
      </c>
      <c r="I237" s="1" t="s">
        <v>3655</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1807</v>
      </c>
      <c r="AN237" s="1" t="s">
        <v>5213</v>
      </c>
      <c r="AO237" s="1" t="s">
        <v>4876</v>
      </c>
      <c r="AP237" s="1">
        <v>0</v>
      </c>
      <c r="AQ237" s="1" t="s">
        <v>1119</v>
      </c>
      <c r="AR237" s="1" t="s">
        <v>1120</v>
      </c>
      <c r="AS237" s="1" t="s">
        <v>1121</v>
      </c>
      <c r="AT237" s="1" t="s">
        <v>329</v>
      </c>
      <c r="AU237" s="1">
        <v>96</v>
      </c>
      <c r="AV237" s="1">
        <v>0</v>
      </c>
      <c r="AW237" s="1" t="s">
        <v>5190</v>
      </c>
      <c r="AX237" s="1" t="s">
        <v>5184</v>
      </c>
      <c r="AY237" s="1">
        <v>5</v>
      </c>
      <c r="AZ237" s="1">
        <v>0</v>
      </c>
      <c r="BA237" s="1" t="s">
        <v>329</v>
      </c>
      <c r="BB237" s="1" t="s">
        <v>329</v>
      </c>
      <c r="BC237" s="1" t="s">
        <v>4770</v>
      </c>
      <c r="BD237" s="1">
        <v>10203</v>
      </c>
      <c r="BE237" s="1"/>
      <c r="BH237">
        <f>COUNTIF(Dropdowns!$I:$AF,C237)</f>
        <v>0</v>
      </c>
    </row>
    <row r="238" spans="1:60" x14ac:dyDescent="0.25">
      <c r="A238" s="1">
        <v>243</v>
      </c>
      <c r="B238" s="1" t="s">
        <v>3656</v>
      </c>
      <c r="C238" s="241" t="s">
        <v>838</v>
      </c>
      <c r="D238" s="1" t="s">
        <v>3657</v>
      </c>
      <c r="E238" s="1"/>
      <c r="F238" s="1"/>
      <c r="G238" s="1" t="s">
        <v>3658</v>
      </c>
      <c r="H238" s="1" t="s">
        <v>3659</v>
      </c>
      <c r="I238" s="1" t="s">
        <v>3660</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1256</v>
      </c>
      <c r="AK238" s="1" t="s">
        <v>1257</v>
      </c>
      <c r="AL238" s="1">
        <v>13</v>
      </c>
      <c r="AM238" s="1" t="s">
        <v>4720</v>
      </c>
      <c r="AN238" s="1" t="s">
        <v>4885</v>
      </c>
      <c r="AO238" s="1" t="s">
        <v>5214</v>
      </c>
      <c r="AP238" s="1">
        <v>0</v>
      </c>
      <c r="AQ238" s="1" t="s">
        <v>1131</v>
      </c>
      <c r="AR238" s="1" t="s">
        <v>1155</v>
      </c>
      <c r="AS238" s="1" t="s">
        <v>1130</v>
      </c>
      <c r="AT238" s="1" t="s">
        <v>329</v>
      </c>
      <c r="AU238" s="1">
        <v>215</v>
      </c>
      <c r="AV238" s="1">
        <v>0</v>
      </c>
      <c r="AW238" s="1" t="s">
        <v>5190</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3661</v>
      </c>
      <c r="C239" s="241" t="s">
        <v>1651</v>
      </c>
      <c r="D239" s="1" t="s">
        <v>1651</v>
      </c>
      <c r="E239" s="1"/>
      <c r="F239" s="1"/>
      <c r="G239" s="1" t="s">
        <v>3662</v>
      </c>
      <c r="H239" s="1" t="s">
        <v>3663</v>
      </c>
      <c r="I239" s="1" t="s">
        <v>3664</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1126</v>
      </c>
      <c r="AK239" s="1" t="s">
        <v>329</v>
      </c>
      <c r="AL239" s="1">
        <v>13</v>
      </c>
      <c r="AM239" s="1" t="s">
        <v>1807</v>
      </c>
      <c r="AN239" s="1" t="s">
        <v>5215</v>
      </c>
      <c r="AO239" s="1" t="s">
        <v>4933</v>
      </c>
      <c r="AP239" s="1">
        <v>0</v>
      </c>
      <c r="AQ239" s="1" t="s">
        <v>1119</v>
      </c>
      <c r="AR239" s="1" t="s">
        <v>1120</v>
      </c>
      <c r="AS239" s="1" t="s">
        <v>1121</v>
      </c>
      <c r="AT239" s="1" t="s">
        <v>329</v>
      </c>
      <c r="AU239" s="1">
        <v>220</v>
      </c>
      <c r="AV239" s="1">
        <v>0</v>
      </c>
      <c r="AW239" s="1" t="s">
        <v>5216</v>
      </c>
      <c r="AX239" s="1" t="s">
        <v>5217</v>
      </c>
      <c r="AY239" s="1">
        <v>3</v>
      </c>
      <c r="AZ239" s="1">
        <v>0</v>
      </c>
      <c r="BA239" s="1" t="s">
        <v>329</v>
      </c>
      <c r="BB239" s="1" t="s">
        <v>329</v>
      </c>
      <c r="BC239" s="1" t="s">
        <v>4721</v>
      </c>
      <c r="BD239" s="1">
        <v>10704</v>
      </c>
      <c r="BE239" s="1"/>
      <c r="BH239">
        <f>COUNTIF(Dropdowns!$I:$AF,C239)</f>
        <v>0</v>
      </c>
    </row>
    <row r="240" spans="1:60" x14ac:dyDescent="0.25">
      <c r="A240" s="1">
        <v>245</v>
      </c>
      <c r="B240" s="1" t="s">
        <v>3665</v>
      </c>
      <c r="C240" s="241" t="s">
        <v>190</v>
      </c>
      <c r="D240" s="1" t="s">
        <v>190</v>
      </c>
      <c r="E240" s="1"/>
      <c r="F240" s="1"/>
      <c r="G240" s="1" t="s">
        <v>3666</v>
      </c>
      <c r="H240" s="1" t="s">
        <v>3667</v>
      </c>
      <c r="I240" s="1" t="s">
        <v>3668</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1258</v>
      </c>
      <c r="AK240" s="1" t="s">
        <v>1259</v>
      </c>
      <c r="AL240" s="1">
        <v>13</v>
      </c>
      <c r="AM240" s="1" t="s">
        <v>4791</v>
      </c>
      <c r="AN240" s="1" t="s">
        <v>4796</v>
      </c>
      <c r="AO240" s="1" t="s">
        <v>5067</v>
      </c>
      <c r="AP240" s="1">
        <v>0</v>
      </c>
      <c r="AQ240" s="1" t="s">
        <v>1130</v>
      </c>
      <c r="AR240" s="1" t="s">
        <v>1120</v>
      </c>
      <c r="AS240" s="1" t="s">
        <v>1131</v>
      </c>
      <c r="AT240" s="1" t="s">
        <v>329</v>
      </c>
      <c r="AU240" s="1">
        <v>28</v>
      </c>
      <c r="AV240" s="1">
        <v>0</v>
      </c>
      <c r="AW240" s="1" t="s">
        <v>5190</v>
      </c>
      <c r="AX240" s="1" t="s">
        <v>332</v>
      </c>
      <c r="AY240" s="1">
        <v>5</v>
      </c>
      <c r="AZ240" s="1">
        <v>0</v>
      </c>
      <c r="BA240" s="1" t="s">
        <v>329</v>
      </c>
      <c r="BB240" s="1" t="s">
        <v>5218</v>
      </c>
      <c r="BC240" s="1" t="s">
        <v>4854</v>
      </c>
      <c r="BD240" s="1">
        <v>10802</v>
      </c>
      <c r="BE240" s="1"/>
      <c r="BH240">
        <f>COUNTIF(Dropdowns!$I:$AF,C240)</f>
        <v>1</v>
      </c>
    </row>
    <row r="241" spans="1:60" x14ac:dyDescent="0.25">
      <c r="A241" s="1">
        <v>247</v>
      </c>
      <c r="B241" s="1" t="s">
        <v>3669</v>
      </c>
      <c r="C241" s="241" t="s">
        <v>191</v>
      </c>
      <c r="D241" s="1" t="s">
        <v>191</v>
      </c>
      <c r="E241" s="1"/>
      <c r="F241" s="1"/>
      <c r="G241" s="1" t="s">
        <v>3670</v>
      </c>
      <c r="H241" s="1" t="s">
        <v>3671</v>
      </c>
      <c r="I241" s="1" t="s">
        <v>3672</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1260</v>
      </c>
      <c r="AK241" s="1" t="s">
        <v>329</v>
      </c>
      <c r="AL241" s="1">
        <v>13</v>
      </c>
      <c r="AM241" s="1" t="s">
        <v>4763</v>
      </c>
      <c r="AN241" s="1" t="s">
        <v>4830</v>
      </c>
      <c r="AO241" s="1" t="s">
        <v>4833</v>
      </c>
      <c r="AP241" s="1">
        <v>0</v>
      </c>
      <c r="AQ241" s="1" t="s">
        <v>1141</v>
      </c>
      <c r="AR241" s="1" t="s">
        <v>1142</v>
      </c>
      <c r="AS241" s="1" t="s">
        <v>1143</v>
      </c>
      <c r="AT241" s="1" t="s">
        <v>329</v>
      </c>
      <c r="AU241" s="1">
        <v>200</v>
      </c>
      <c r="AV241" s="1">
        <v>0</v>
      </c>
      <c r="AW241" s="1" t="s">
        <v>5190</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3673</v>
      </c>
      <c r="C242" s="241" t="s">
        <v>192</v>
      </c>
      <c r="D242" s="1" t="s">
        <v>192</v>
      </c>
      <c r="E242" s="1"/>
      <c r="F242" s="1"/>
      <c r="G242" s="1" t="s">
        <v>3674</v>
      </c>
      <c r="H242" s="1" t="s">
        <v>3675</v>
      </c>
      <c r="I242" s="1" t="s">
        <v>3676</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1261</v>
      </c>
      <c r="AK242" s="1" t="s">
        <v>329</v>
      </c>
      <c r="AL242" s="1">
        <v>13</v>
      </c>
      <c r="AM242" s="1" t="s">
        <v>1807</v>
      </c>
      <c r="AN242" s="1" t="s">
        <v>5219</v>
      </c>
      <c r="AO242" s="1" t="s">
        <v>4742</v>
      </c>
      <c r="AP242" s="1">
        <v>0</v>
      </c>
      <c r="AQ242" s="1" t="s">
        <v>4743</v>
      </c>
      <c r="AR242" s="1" t="s">
        <v>1120</v>
      </c>
      <c r="AS242" s="1" t="s">
        <v>1121</v>
      </c>
      <c r="AT242" s="1" t="s">
        <v>329</v>
      </c>
      <c r="AU242" s="1">
        <v>212</v>
      </c>
      <c r="AV242" s="1">
        <v>0</v>
      </c>
      <c r="AW242" s="1" t="s">
        <v>5190</v>
      </c>
      <c r="AX242" s="1" t="s">
        <v>4763</v>
      </c>
      <c r="AY242" s="1">
        <v>4</v>
      </c>
      <c r="AZ242" s="1">
        <v>0</v>
      </c>
      <c r="BA242" s="1" t="s">
        <v>329</v>
      </c>
      <c r="BB242" s="1" t="s">
        <v>4987</v>
      </c>
      <c r="BC242" s="1" t="s">
        <v>329</v>
      </c>
      <c r="BD242" s="1">
        <v>10202</v>
      </c>
      <c r="BE242" s="1"/>
      <c r="BH242">
        <f>COUNTIF(Dropdowns!$I:$AF,C242)</f>
        <v>0</v>
      </c>
    </row>
    <row r="243" spans="1:60" x14ac:dyDescent="0.25">
      <c r="A243" s="1">
        <v>249</v>
      </c>
      <c r="B243" s="1" t="s">
        <v>3677</v>
      </c>
      <c r="C243" s="241" t="s">
        <v>240</v>
      </c>
      <c r="D243" s="1" t="s">
        <v>240</v>
      </c>
      <c r="E243" s="1"/>
      <c r="F243" s="1"/>
      <c r="G243" s="1" t="s">
        <v>3678</v>
      </c>
      <c r="H243" s="1" t="s">
        <v>3679</v>
      </c>
      <c r="I243" s="1" t="s">
        <v>3680</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1171</v>
      </c>
      <c r="AK243" s="1" t="s">
        <v>329</v>
      </c>
      <c r="AL243" s="1">
        <v>19</v>
      </c>
      <c r="AM243" s="1" t="s">
        <v>4859</v>
      </c>
      <c r="AN243" s="1" t="s">
        <v>5137</v>
      </c>
      <c r="AO243" s="1" t="s">
        <v>5220</v>
      </c>
      <c r="AP243" s="1">
        <v>0</v>
      </c>
      <c r="AQ243" s="1" t="s">
        <v>1168</v>
      </c>
      <c r="AR243" s="1" t="s">
        <v>1169</v>
      </c>
      <c r="AS243" s="1" t="s">
        <v>1170</v>
      </c>
      <c r="AT243" s="1" t="s">
        <v>329</v>
      </c>
      <c r="AU243" s="1">
        <v>195</v>
      </c>
      <c r="AV243" s="1">
        <v>0</v>
      </c>
      <c r="AW243" s="1" t="s">
        <v>5221</v>
      </c>
      <c r="AX243" s="1" t="s">
        <v>5184</v>
      </c>
      <c r="AY243" s="1">
        <v>3</v>
      </c>
      <c r="AZ243" s="1">
        <v>0</v>
      </c>
      <c r="BA243" s="1" t="s">
        <v>329</v>
      </c>
      <c r="BB243" s="1" t="s">
        <v>329</v>
      </c>
      <c r="BC243" s="1" t="s">
        <v>329</v>
      </c>
      <c r="BD243" s="1">
        <v>10802</v>
      </c>
      <c r="BE243" s="1"/>
      <c r="BH243">
        <f>COUNTIF(Dropdowns!$I:$AF,C243)</f>
        <v>1</v>
      </c>
    </row>
    <row r="244" spans="1:60" x14ac:dyDescent="0.25">
      <c r="A244" s="1">
        <v>250</v>
      </c>
      <c r="B244" s="1" t="s">
        <v>3681</v>
      </c>
      <c r="C244" s="241" t="s">
        <v>200</v>
      </c>
      <c r="D244" s="1" t="s">
        <v>200</v>
      </c>
      <c r="E244" s="1"/>
      <c r="F244" s="1"/>
      <c r="G244" s="1" t="s">
        <v>3682</v>
      </c>
      <c r="H244" s="1" t="s">
        <v>3683</v>
      </c>
      <c r="I244" s="1" t="s">
        <v>3684</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1807</v>
      </c>
      <c r="AN244" s="1" t="s">
        <v>5222</v>
      </c>
      <c r="AO244" s="1" t="s">
        <v>5057</v>
      </c>
      <c r="AP244" s="1">
        <v>0</v>
      </c>
      <c r="AQ244" s="1" t="s">
        <v>1119</v>
      </c>
      <c r="AR244" s="1" t="s">
        <v>1120</v>
      </c>
      <c r="AS244" s="1" t="s">
        <v>1121</v>
      </c>
      <c r="AT244" s="1" t="s">
        <v>329</v>
      </c>
      <c r="AU244" s="1">
        <v>96</v>
      </c>
      <c r="AV244" s="1">
        <v>0</v>
      </c>
      <c r="AW244" s="1" t="s">
        <v>5190</v>
      </c>
      <c r="AX244" s="1" t="s">
        <v>5223</v>
      </c>
      <c r="AY244" s="1">
        <v>5</v>
      </c>
      <c r="AZ244" s="1">
        <v>0</v>
      </c>
      <c r="BA244" s="1" t="s">
        <v>329</v>
      </c>
      <c r="BB244" s="1" t="s">
        <v>329</v>
      </c>
      <c r="BC244" s="1" t="s">
        <v>329</v>
      </c>
      <c r="BD244" s="1">
        <v>10203</v>
      </c>
      <c r="BE244" s="1"/>
      <c r="BH244">
        <f>COUNTIF(Dropdowns!$I:$AF,C244)</f>
        <v>0</v>
      </c>
    </row>
    <row r="245" spans="1:60" x14ac:dyDescent="0.25">
      <c r="A245" s="1">
        <v>251</v>
      </c>
      <c r="B245" s="1" t="s">
        <v>3685</v>
      </c>
      <c r="C245" s="241" t="s">
        <v>198</v>
      </c>
      <c r="D245" s="1" t="s">
        <v>198</v>
      </c>
      <c r="E245" s="1"/>
      <c r="F245" s="1"/>
      <c r="G245" s="1" t="s">
        <v>3686</v>
      </c>
      <c r="H245" s="1" t="s">
        <v>3687</v>
      </c>
      <c r="I245" s="1" t="s">
        <v>3688</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1262</v>
      </c>
      <c r="AL245" s="1">
        <v>12</v>
      </c>
      <c r="AM245" s="1" t="s">
        <v>4791</v>
      </c>
      <c r="AN245" s="1" t="s">
        <v>5199</v>
      </c>
      <c r="AO245" s="1" t="s">
        <v>4818</v>
      </c>
      <c r="AP245" s="1">
        <v>0</v>
      </c>
      <c r="AQ245" s="1" t="s">
        <v>1130</v>
      </c>
      <c r="AR245" s="1" t="s">
        <v>1120</v>
      </c>
      <c r="AS245" s="1" t="s">
        <v>1131</v>
      </c>
      <c r="AT245" s="1" t="s">
        <v>329</v>
      </c>
      <c r="AU245" s="1">
        <v>28</v>
      </c>
      <c r="AV245" s="1">
        <v>0</v>
      </c>
      <c r="AW245" s="1" t="s">
        <v>5190</v>
      </c>
      <c r="AX245" s="1" t="s">
        <v>5184</v>
      </c>
      <c r="AY245" s="1">
        <v>5</v>
      </c>
      <c r="AZ245" s="1">
        <v>0</v>
      </c>
      <c r="BA245" s="1" t="s">
        <v>329</v>
      </c>
      <c r="BB245" s="1" t="s">
        <v>329</v>
      </c>
      <c r="BC245" s="1" t="s">
        <v>329</v>
      </c>
      <c r="BD245" s="1">
        <v>10203</v>
      </c>
      <c r="BE245" s="1"/>
      <c r="BH245">
        <f>COUNTIF(Dropdowns!$I:$AF,C245)</f>
        <v>1</v>
      </c>
    </row>
    <row r="246" spans="1:60" x14ac:dyDescent="0.25">
      <c r="A246" s="1">
        <v>252</v>
      </c>
      <c r="B246" s="1" t="s">
        <v>3689</v>
      </c>
      <c r="C246" s="241" t="s">
        <v>199</v>
      </c>
      <c r="D246" s="1" t="s">
        <v>199</v>
      </c>
      <c r="E246" s="1"/>
      <c r="F246" s="1"/>
      <c r="G246" s="1" t="s">
        <v>3690</v>
      </c>
      <c r="H246" s="1" t="s">
        <v>3691</v>
      </c>
      <c r="I246" s="1" t="s">
        <v>3692</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1263</v>
      </c>
      <c r="AK246" s="1" t="s">
        <v>329</v>
      </c>
      <c r="AL246" s="1">
        <v>13</v>
      </c>
      <c r="AM246" s="1" t="s">
        <v>4763</v>
      </c>
      <c r="AN246" s="1" t="s">
        <v>4885</v>
      </c>
      <c r="AO246" s="1" t="s">
        <v>4833</v>
      </c>
      <c r="AP246" s="1">
        <v>0</v>
      </c>
      <c r="AQ246" s="1" t="s">
        <v>1747</v>
      </c>
      <c r="AR246" s="1" t="s">
        <v>1142</v>
      </c>
      <c r="AS246" s="1" t="s">
        <v>1143</v>
      </c>
      <c r="AT246" s="1" t="s">
        <v>329</v>
      </c>
      <c r="AU246" s="1">
        <v>184</v>
      </c>
      <c r="AV246" s="1">
        <v>0</v>
      </c>
      <c r="AW246" s="1" t="s">
        <v>5190</v>
      </c>
      <c r="AX246" s="1" t="s">
        <v>5224</v>
      </c>
      <c r="AY246" s="1">
        <v>4</v>
      </c>
      <c r="AZ246" s="1">
        <v>0</v>
      </c>
      <c r="BA246" s="1" t="s">
        <v>4744</v>
      </c>
      <c r="BB246" s="1" t="s">
        <v>329</v>
      </c>
      <c r="BC246" s="1" t="s">
        <v>4758</v>
      </c>
      <c r="BD246" s="1">
        <v>10802</v>
      </c>
      <c r="BE246" s="1"/>
      <c r="BH246">
        <f>COUNTIF(Dropdowns!$I:$AF,C246)</f>
        <v>1</v>
      </c>
    </row>
    <row r="247" spans="1:60" x14ac:dyDescent="0.25">
      <c r="A247" s="1">
        <v>253</v>
      </c>
      <c r="B247" s="1" t="s">
        <v>3693</v>
      </c>
      <c r="C247" s="241" t="s">
        <v>241</v>
      </c>
      <c r="D247" s="1" t="s">
        <v>241</v>
      </c>
      <c r="E247" s="1"/>
      <c r="F247" s="1"/>
      <c r="G247" s="1" t="s">
        <v>3694</v>
      </c>
      <c r="H247" s="1" t="s">
        <v>3695</v>
      </c>
      <c r="I247" s="1" t="s">
        <v>3696</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1264</v>
      </c>
      <c r="AK247" s="1" t="s">
        <v>329</v>
      </c>
      <c r="AL247" s="1">
        <v>18</v>
      </c>
      <c r="AM247" s="1" t="s">
        <v>4859</v>
      </c>
      <c r="AN247" s="1" t="s">
        <v>4985</v>
      </c>
      <c r="AO247" s="1" t="s">
        <v>5206</v>
      </c>
      <c r="AP247" s="1">
        <v>0</v>
      </c>
      <c r="AQ247" s="1" t="s">
        <v>1168</v>
      </c>
      <c r="AR247" s="1" t="s">
        <v>1169</v>
      </c>
      <c r="AS247" s="1" t="s">
        <v>1170</v>
      </c>
      <c r="AT247" s="1" t="s">
        <v>329</v>
      </c>
      <c r="AU247" s="1">
        <v>238</v>
      </c>
      <c r="AV247" s="1">
        <v>0</v>
      </c>
      <c r="AW247" s="1" t="s">
        <v>5190</v>
      </c>
      <c r="AX247" s="1" t="s">
        <v>5224</v>
      </c>
      <c r="AY247" s="1">
        <v>5</v>
      </c>
      <c r="AZ247" s="1">
        <v>0</v>
      </c>
      <c r="BA247" s="1" t="s">
        <v>329</v>
      </c>
      <c r="BB247" s="1" t="s">
        <v>4882</v>
      </c>
      <c r="BC247" s="1" t="s">
        <v>4721</v>
      </c>
      <c r="BD247" s="1">
        <v>10801</v>
      </c>
      <c r="BE247" s="1"/>
      <c r="BH247">
        <f>COUNTIF(Dropdowns!$I:$AF,C247)</f>
        <v>1</v>
      </c>
    </row>
    <row r="248" spans="1:60" x14ac:dyDescent="0.25">
      <c r="A248" s="1">
        <v>254</v>
      </c>
      <c r="B248" s="1" t="s">
        <v>3697</v>
      </c>
      <c r="C248" s="241" t="s">
        <v>1652</v>
      </c>
      <c r="D248" s="1" t="s">
        <v>1652</v>
      </c>
      <c r="E248" s="1"/>
      <c r="F248" s="1"/>
      <c r="G248" s="1" t="s">
        <v>3698</v>
      </c>
      <c r="H248" s="1" t="s">
        <v>3699</v>
      </c>
      <c r="I248" s="1" t="s">
        <v>3700</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1265</v>
      </c>
      <c r="AK248" s="1" t="s">
        <v>1266</v>
      </c>
      <c r="AL248" s="1">
        <v>17</v>
      </c>
      <c r="AM248" s="1" t="s">
        <v>4859</v>
      </c>
      <c r="AN248" s="1" t="s">
        <v>4917</v>
      </c>
      <c r="AO248" s="1" t="s">
        <v>4943</v>
      </c>
      <c r="AP248" s="1">
        <v>0</v>
      </c>
      <c r="AQ248" s="1" t="s">
        <v>1168</v>
      </c>
      <c r="AR248" s="1" t="s">
        <v>1169</v>
      </c>
      <c r="AS248" s="1" t="s">
        <v>1170</v>
      </c>
      <c r="AT248" s="1" t="s">
        <v>329</v>
      </c>
      <c r="AU248" s="1">
        <v>199</v>
      </c>
      <c r="AV248" s="1">
        <v>0</v>
      </c>
      <c r="AW248" s="1" t="s">
        <v>5190</v>
      </c>
      <c r="AX248" s="1" t="s">
        <v>5184</v>
      </c>
      <c r="AY248" s="1">
        <v>4</v>
      </c>
      <c r="AZ248" s="1">
        <v>0</v>
      </c>
      <c r="BA248" s="1" t="s">
        <v>329</v>
      </c>
      <c r="BB248" s="1" t="s">
        <v>329</v>
      </c>
      <c r="BC248" s="1" t="s">
        <v>329</v>
      </c>
      <c r="BD248" s="1">
        <v>10802</v>
      </c>
      <c r="BE248" s="1"/>
      <c r="BH248">
        <f>COUNTIF(Dropdowns!$I:$AF,C248)</f>
        <v>1</v>
      </c>
    </row>
    <row r="249" spans="1:60" x14ac:dyDescent="0.25">
      <c r="A249" s="1">
        <v>255</v>
      </c>
      <c r="B249" s="1" t="s">
        <v>3701</v>
      </c>
      <c r="C249" s="241" t="s">
        <v>242</v>
      </c>
      <c r="D249" s="1" t="s">
        <v>3702</v>
      </c>
      <c r="E249" s="1"/>
      <c r="F249" s="1"/>
      <c r="G249" s="1" t="s">
        <v>3703</v>
      </c>
      <c r="H249" s="1" t="s">
        <v>3704</v>
      </c>
      <c r="I249" s="1" t="s">
        <v>3705</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1126</v>
      </c>
      <c r="AK249" s="1" t="s">
        <v>329</v>
      </c>
      <c r="AL249" s="1">
        <v>13</v>
      </c>
      <c r="AM249" s="1" t="s">
        <v>4763</v>
      </c>
      <c r="AN249" s="1" t="s">
        <v>4830</v>
      </c>
      <c r="AO249" s="1" t="s">
        <v>4827</v>
      </c>
      <c r="AP249" s="1">
        <v>0</v>
      </c>
      <c r="AQ249" s="1" t="s">
        <v>1141</v>
      </c>
      <c r="AR249" s="1" t="s">
        <v>1142</v>
      </c>
      <c r="AS249" s="1" t="s">
        <v>1143</v>
      </c>
      <c r="AT249" s="1" t="s">
        <v>329</v>
      </c>
      <c r="AU249" s="1">
        <v>241</v>
      </c>
      <c r="AV249" s="1">
        <v>0</v>
      </c>
      <c r="AW249" s="1" t="s">
        <v>5225</v>
      </c>
      <c r="AX249" s="1" t="s">
        <v>5217</v>
      </c>
      <c r="AY249" s="1">
        <v>3</v>
      </c>
      <c r="AZ249" s="1">
        <v>0</v>
      </c>
      <c r="BA249" s="1" t="s">
        <v>329</v>
      </c>
      <c r="BB249" s="1" t="s">
        <v>329</v>
      </c>
      <c r="BC249" s="1" t="s">
        <v>329</v>
      </c>
      <c r="BD249" s="1">
        <v>10703</v>
      </c>
      <c r="BE249" s="1"/>
      <c r="BH249">
        <f>COUNTIF(Dropdowns!$I:$AF,C249)</f>
        <v>1</v>
      </c>
    </row>
    <row r="250" spans="1:60" x14ac:dyDescent="0.25">
      <c r="A250" s="1">
        <v>256</v>
      </c>
      <c r="B250" s="1" t="s">
        <v>3706</v>
      </c>
      <c r="C250" s="241" t="s">
        <v>202</v>
      </c>
      <c r="D250" s="1" t="s">
        <v>202</v>
      </c>
      <c r="E250" s="1"/>
      <c r="F250" s="1"/>
      <c r="G250" s="1" t="s">
        <v>3707</v>
      </c>
      <c r="H250" s="1" t="s">
        <v>3708</v>
      </c>
      <c r="I250" s="1" t="s">
        <v>3709</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1267</v>
      </c>
      <c r="AK250" s="1" t="s">
        <v>1268</v>
      </c>
      <c r="AL250" s="1">
        <v>13</v>
      </c>
      <c r="AM250" s="1" t="s">
        <v>4763</v>
      </c>
      <c r="AN250" s="1" t="s">
        <v>4885</v>
      </c>
      <c r="AO250" s="1" t="s">
        <v>4827</v>
      </c>
      <c r="AP250" s="1">
        <v>0</v>
      </c>
      <c r="AQ250" s="1" t="s">
        <v>1141</v>
      </c>
      <c r="AR250" s="1" t="s">
        <v>1142</v>
      </c>
      <c r="AS250" s="1" t="s">
        <v>1143</v>
      </c>
      <c r="AT250" s="1" t="s">
        <v>329</v>
      </c>
      <c r="AU250" s="1">
        <v>241</v>
      </c>
      <c r="AV250" s="1">
        <v>0</v>
      </c>
      <c r="AW250" s="1" t="s">
        <v>5226</v>
      </c>
      <c r="AX250" s="1" t="s">
        <v>5217</v>
      </c>
      <c r="AY250" s="1">
        <v>3</v>
      </c>
      <c r="AZ250" s="1">
        <v>0</v>
      </c>
      <c r="BA250" s="1" t="s">
        <v>329</v>
      </c>
      <c r="BB250" s="1" t="s">
        <v>329</v>
      </c>
      <c r="BC250" s="1" t="s">
        <v>329</v>
      </c>
      <c r="BD250" s="1">
        <v>10703</v>
      </c>
      <c r="BE250" s="1"/>
      <c r="BH250">
        <f>COUNTIF(Dropdowns!$I:$AF,C250)</f>
        <v>1</v>
      </c>
    </row>
    <row r="251" spans="1:60" x14ac:dyDescent="0.25">
      <c r="A251" s="1">
        <v>257</v>
      </c>
      <c r="B251" s="1" t="s">
        <v>3710</v>
      </c>
      <c r="C251" s="241" t="s">
        <v>201</v>
      </c>
      <c r="D251" s="1" t="s">
        <v>201</v>
      </c>
      <c r="E251" s="1"/>
      <c r="F251" s="1"/>
      <c r="G251" s="1" t="s">
        <v>3711</v>
      </c>
      <c r="H251" s="1" t="s">
        <v>3712</v>
      </c>
      <c r="I251" s="1" t="s">
        <v>3713</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1269</v>
      </c>
      <c r="AK251" s="1" t="s">
        <v>1270</v>
      </c>
      <c r="AL251" s="1">
        <v>13</v>
      </c>
      <c r="AM251" s="1" t="s">
        <v>4763</v>
      </c>
      <c r="AN251" s="1" t="s">
        <v>4885</v>
      </c>
      <c r="AO251" s="1" t="s">
        <v>4846</v>
      </c>
      <c r="AP251" s="1">
        <v>0</v>
      </c>
      <c r="AQ251" s="1" t="s">
        <v>1141</v>
      </c>
      <c r="AR251" s="1" t="s">
        <v>1142</v>
      </c>
      <c r="AS251" s="1" t="s">
        <v>1143</v>
      </c>
      <c r="AT251" s="1" t="s">
        <v>329</v>
      </c>
      <c r="AU251" s="1">
        <v>222</v>
      </c>
      <c r="AV251" s="1">
        <v>0</v>
      </c>
      <c r="AW251" s="1" t="s">
        <v>5227</v>
      </c>
      <c r="AX251" s="1" t="s">
        <v>332</v>
      </c>
      <c r="AY251" s="1">
        <v>5</v>
      </c>
      <c r="AZ251" s="1">
        <v>0</v>
      </c>
      <c r="BA251" s="1" t="s">
        <v>329</v>
      </c>
      <c r="BB251" s="1" t="s">
        <v>329</v>
      </c>
      <c r="BC251" s="1" t="s">
        <v>4721</v>
      </c>
      <c r="BD251" s="1">
        <v>10203</v>
      </c>
      <c r="BE251" s="1"/>
      <c r="BH251">
        <f>COUNTIF(Dropdowns!$I:$AF,C251)</f>
        <v>1</v>
      </c>
    </row>
    <row r="252" spans="1:60" x14ac:dyDescent="0.25">
      <c r="A252" s="1">
        <v>258</v>
      </c>
      <c r="B252" s="1" t="s">
        <v>3714</v>
      </c>
      <c r="C252" s="241" t="s">
        <v>203</v>
      </c>
      <c r="D252" s="1" t="s">
        <v>203</v>
      </c>
      <c r="E252" s="1"/>
      <c r="F252" s="1"/>
      <c r="G252" s="1" t="s">
        <v>3715</v>
      </c>
      <c r="H252" s="1" t="s">
        <v>3716</v>
      </c>
      <c r="I252" s="1" t="s">
        <v>3717</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1126</v>
      </c>
      <c r="AK252" s="1" t="s">
        <v>329</v>
      </c>
      <c r="AL252" s="1">
        <v>13</v>
      </c>
      <c r="AM252" s="1" t="s">
        <v>4720</v>
      </c>
      <c r="AN252" s="1" t="s">
        <v>466</v>
      </c>
      <c r="AO252" s="1" t="s">
        <v>4866</v>
      </c>
      <c r="AP252" s="1">
        <v>0</v>
      </c>
      <c r="AQ252" s="1" t="s">
        <v>1131</v>
      </c>
      <c r="AR252" s="1" t="s">
        <v>1155</v>
      </c>
      <c r="AS252" s="1" t="s">
        <v>1130</v>
      </c>
      <c r="AT252" s="1" t="s">
        <v>329</v>
      </c>
      <c r="AU252" s="1">
        <v>239</v>
      </c>
      <c r="AV252" s="1">
        <v>0</v>
      </c>
      <c r="AW252" s="1" t="s">
        <v>5228</v>
      </c>
      <c r="AX252" s="1" t="s">
        <v>5217</v>
      </c>
      <c r="AY252" s="1">
        <v>3</v>
      </c>
      <c r="AZ252" s="1">
        <v>0</v>
      </c>
      <c r="BA252" s="1" t="s">
        <v>329</v>
      </c>
      <c r="BB252" s="1" t="s">
        <v>329</v>
      </c>
      <c r="BC252" s="1" t="s">
        <v>329</v>
      </c>
      <c r="BD252" s="1">
        <v>10402</v>
      </c>
      <c r="BE252" s="1"/>
      <c r="BH252">
        <f>COUNTIF(Dropdowns!$I:$AF,C252)</f>
        <v>1</v>
      </c>
    </row>
    <row r="253" spans="1:60" x14ac:dyDescent="0.25">
      <c r="A253" s="1">
        <v>259</v>
      </c>
      <c r="B253" s="1" t="s">
        <v>3718</v>
      </c>
      <c r="C253" s="241" t="s">
        <v>1653</v>
      </c>
      <c r="D253" s="1" t="s">
        <v>1653</v>
      </c>
      <c r="E253" s="1"/>
      <c r="F253" s="1"/>
      <c r="G253" s="1" t="s">
        <v>3719</v>
      </c>
      <c r="H253" s="1" t="s">
        <v>3720</v>
      </c>
      <c r="I253" s="1" t="s">
        <v>3721</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1271</v>
      </c>
      <c r="AK253" s="1" t="s">
        <v>329</v>
      </c>
      <c r="AL253" s="1">
        <v>12</v>
      </c>
      <c r="AM253" s="1" t="s">
        <v>4791</v>
      </c>
      <c r="AN253" s="1" t="s">
        <v>359</v>
      </c>
      <c r="AO253" s="1" t="s">
        <v>4992</v>
      </c>
      <c r="AP253" s="1">
        <v>0</v>
      </c>
      <c r="AQ253" s="1" t="s">
        <v>1130</v>
      </c>
      <c r="AR253" s="1" t="s">
        <v>1120</v>
      </c>
      <c r="AS253" s="1" t="s">
        <v>1131</v>
      </c>
      <c r="AT253" s="1" t="s">
        <v>329</v>
      </c>
      <c r="AU253" s="1">
        <v>224</v>
      </c>
      <c r="AV253" s="1">
        <v>0</v>
      </c>
      <c r="AW253" s="1" t="s">
        <v>5229</v>
      </c>
      <c r="AX253" s="1" t="s">
        <v>5230</v>
      </c>
      <c r="AY253" s="1">
        <v>5</v>
      </c>
      <c r="AZ253" s="1">
        <v>0</v>
      </c>
      <c r="BA253" s="1" t="s">
        <v>329</v>
      </c>
      <c r="BB253" s="1" t="s">
        <v>329</v>
      </c>
      <c r="BC253" s="1" t="s">
        <v>329</v>
      </c>
      <c r="BD253" s="1">
        <v>10203</v>
      </c>
      <c r="BE253" s="1"/>
      <c r="BH253">
        <f>COUNTIF(Dropdowns!$I:$AF,C253)</f>
        <v>1</v>
      </c>
    </row>
    <row r="254" spans="1:60" x14ac:dyDescent="0.25">
      <c r="A254" s="1">
        <v>260</v>
      </c>
      <c r="B254" s="1" t="s">
        <v>3722</v>
      </c>
      <c r="C254" s="241" t="s">
        <v>1654</v>
      </c>
      <c r="D254" s="1" t="s">
        <v>1654</v>
      </c>
      <c r="E254" s="1"/>
      <c r="F254" s="1"/>
      <c r="G254" s="1" t="s">
        <v>3723</v>
      </c>
      <c r="H254" s="1" t="s">
        <v>3724</v>
      </c>
      <c r="I254" s="1" t="s">
        <v>3725</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5231</v>
      </c>
      <c r="AK254" s="1" t="s">
        <v>329</v>
      </c>
      <c r="AL254" s="1">
        <v>12</v>
      </c>
      <c r="AM254" s="1" t="s">
        <v>1807</v>
      </c>
      <c r="AN254" s="1" t="s">
        <v>5232</v>
      </c>
      <c r="AO254" s="1" t="s">
        <v>4818</v>
      </c>
      <c r="AP254" s="1">
        <v>0</v>
      </c>
      <c r="AQ254" s="1" t="s">
        <v>1119</v>
      </c>
      <c r="AR254" s="1" t="s">
        <v>1120</v>
      </c>
      <c r="AS254" s="1" t="s">
        <v>1121</v>
      </c>
      <c r="AT254" s="1" t="s">
        <v>329</v>
      </c>
      <c r="AU254" s="1">
        <v>96</v>
      </c>
      <c r="AV254" s="1">
        <v>0</v>
      </c>
      <c r="AW254" s="1" t="s">
        <v>5227</v>
      </c>
      <c r="AX254" s="1" t="s">
        <v>4763</v>
      </c>
      <c r="AY254" s="1">
        <v>5</v>
      </c>
      <c r="AZ254" s="1">
        <v>0</v>
      </c>
      <c r="BA254" s="1" t="s">
        <v>329</v>
      </c>
      <c r="BB254" s="1" t="s">
        <v>329</v>
      </c>
      <c r="BC254" s="1" t="s">
        <v>329</v>
      </c>
      <c r="BD254" s="1">
        <v>10402</v>
      </c>
      <c r="BE254" s="1"/>
      <c r="BH254">
        <f>COUNTIF(Dropdowns!$I:$AF,C254)</f>
        <v>0</v>
      </c>
    </row>
    <row r="255" spans="1:60" x14ac:dyDescent="0.25">
      <c r="A255" s="1">
        <v>261</v>
      </c>
      <c r="B255" s="1" t="s">
        <v>3726</v>
      </c>
      <c r="C255" s="241" t="s">
        <v>1655</v>
      </c>
      <c r="D255" s="1" t="s">
        <v>1655</v>
      </c>
      <c r="E255" s="1"/>
      <c r="F255" s="1"/>
      <c r="G255" s="1" t="s">
        <v>3727</v>
      </c>
      <c r="H255" s="1" t="s">
        <v>3728</v>
      </c>
      <c r="I255" s="1" t="s">
        <v>3729</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1272</v>
      </c>
      <c r="AK255" s="1" t="s">
        <v>1273</v>
      </c>
      <c r="AL255" s="1">
        <v>19</v>
      </c>
      <c r="AM255" s="1" t="s">
        <v>4763</v>
      </c>
      <c r="AN255" s="1" t="s">
        <v>5233</v>
      </c>
      <c r="AO255" s="1" t="s">
        <v>4846</v>
      </c>
      <c r="AP255" s="1">
        <v>0</v>
      </c>
      <c r="AQ255" s="1" t="s">
        <v>1141</v>
      </c>
      <c r="AR255" s="1" t="s">
        <v>1142</v>
      </c>
      <c r="AS255" s="1" t="s">
        <v>1143</v>
      </c>
      <c r="AT255" s="1" t="s">
        <v>329</v>
      </c>
      <c r="AU255" s="1">
        <v>222</v>
      </c>
      <c r="AV255" s="1">
        <v>0</v>
      </c>
      <c r="AW255" s="1" t="s">
        <v>5227</v>
      </c>
      <c r="AX255" s="1" t="s">
        <v>5166</v>
      </c>
      <c r="AY255" s="1">
        <v>5</v>
      </c>
      <c r="AZ255" s="1">
        <v>0</v>
      </c>
      <c r="BA255" s="1" t="s">
        <v>329</v>
      </c>
      <c r="BB255" s="1" t="s">
        <v>329</v>
      </c>
      <c r="BC255" s="1" t="s">
        <v>4784</v>
      </c>
      <c r="BD255" s="1">
        <v>10203</v>
      </c>
      <c r="BE255" s="1"/>
      <c r="BH255">
        <f>COUNTIF(Dropdowns!$I:$AF,C255)</f>
        <v>1</v>
      </c>
    </row>
    <row r="256" spans="1:60" x14ac:dyDescent="0.25">
      <c r="A256" s="1">
        <v>262</v>
      </c>
      <c r="B256" s="1" t="s">
        <v>3730</v>
      </c>
      <c r="C256" s="241" t="s">
        <v>1656</v>
      </c>
      <c r="D256" s="1" t="s">
        <v>1656</v>
      </c>
      <c r="E256" s="1"/>
      <c r="F256" s="1"/>
      <c r="G256" s="1" t="s">
        <v>3731</v>
      </c>
      <c r="H256" s="1" t="s">
        <v>3732</v>
      </c>
      <c r="I256" s="1" t="s">
        <v>3733</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1274</v>
      </c>
      <c r="AL256" s="1">
        <v>13</v>
      </c>
      <c r="AM256" s="1" t="s">
        <v>4720</v>
      </c>
      <c r="AN256" s="1" t="s">
        <v>4835</v>
      </c>
      <c r="AO256" s="1" t="s">
        <v>5203</v>
      </c>
      <c r="AP256" s="1">
        <v>0</v>
      </c>
      <c r="AQ256" s="1" t="s">
        <v>1131</v>
      </c>
      <c r="AR256" s="1" t="s">
        <v>1155</v>
      </c>
      <c r="AS256" s="1" t="s">
        <v>1130</v>
      </c>
      <c r="AT256" s="1" t="s">
        <v>329</v>
      </c>
      <c r="AU256" s="1">
        <v>216</v>
      </c>
      <c r="AV256" s="1">
        <v>0</v>
      </c>
      <c r="AW256" s="1" t="s">
        <v>5227</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3734</v>
      </c>
      <c r="C257" s="241" t="s">
        <v>205</v>
      </c>
      <c r="D257" s="1" t="s">
        <v>205</v>
      </c>
      <c r="E257" s="1"/>
      <c r="F257" s="1"/>
      <c r="G257" s="1" t="s">
        <v>3735</v>
      </c>
      <c r="H257" s="1" t="s">
        <v>3736</v>
      </c>
      <c r="I257" s="1" t="s">
        <v>3737</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5234</v>
      </c>
      <c r="AK257" s="1" t="s">
        <v>1275</v>
      </c>
      <c r="AL257" s="1">
        <v>18</v>
      </c>
      <c r="AM257" s="1" t="s">
        <v>973</v>
      </c>
      <c r="AN257" s="1" t="s">
        <v>5235</v>
      </c>
      <c r="AO257" s="1" t="s">
        <v>4943</v>
      </c>
      <c r="AP257" s="1">
        <v>0</v>
      </c>
      <c r="AQ257" s="1" t="s">
        <v>1168</v>
      </c>
      <c r="AR257" s="1" t="s">
        <v>1169</v>
      </c>
      <c r="AS257" s="1" t="s">
        <v>1170</v>
      </c>
      <c r="AT257" s="1" t="s">
        <v>329</v>
      </c>
      <c r="AU257" s="1">
        <v>238</v>
      </c>
      <c r="AV257" s="1">
        <v>0</v>
      </c>
      <c r="AW257" s="1" t="s">
        <v>5227</v>
      </c>
      <c r="AX257" s="1" t="s">
        <v>332</v>
      </c>
      <c r="AY257" s="1">
        <v>5</v>
      </c>
      <c r="AZ257" s="1">
        <v>0</v>
      </c>
      <c r="BA257" s="1" t="s">
        <v>329</v>
      </c>
      <c r="BB257" s="1" t="s">
        <v>4973</v>
      </c>
      <c r="BC257" s="1" t="s">
        <v>4770</v>
      </c>
      <c r="BD257" s="1">
        <v>10802</v>
      </c>
      <c r="BE257" s="1"/>
      <c r="BH257">
        <f>COUNTIF(Dropdowns!$I:$AF,C257)</f>
        <v>1</v>
      </c>
    </row>
    <row r="258" spans="1:60" x14ac:dyDescent="0.25">
      <c r="A258" s="1">
        <v>264</v>
      </c>
      <c r="B258" s="1" t="s">
        <v>3738</v>
      </c>
      <c r="C258" s="241" t="s">
        <v>204</v>
      </c>
      <c r="D258" s="1" t="s">
        <v>3739</v>
      </c>
      <c r="E258" s="1"/>
      <c r="F258" s="1"/>
      <c r="G258" s="1" t="s">
        <v>3740</v>
      </c>
      <c r="H258" s="1" t="s">
        <v>3741</v>
      </c>
      <c r="I258" s="1" t="s">
        <v>3742</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5236</v>
      </c>
      <c r="AK258" s="1" t="s">
        <v>1276</v>
      </c>
      <c r="AL258" s="1">
        <v>17</v>
      </c>
      <c r="AM258" s="1" t="s">
        <v>4859</v>
      </c>
      <c r="AN258" s="1" t="s">
        <v>4920</v>
      </c>
      <c r="AO258" s="1" t="s">
        <v>5237</v>
      </c>
      <c r="AP258" s="1">
        <v>0</v>
      </c>
      <c r="AQ258" s="1" t="s">
        <v>1168</v>
      </c>
      <c r="AR258" s="1" t="s">
        <v>1169</v>
      </c>
      <c r="AS258" s="1" t="s">
        <v>1170</v>
      </c>
      <c r="AT258" s="1" t="s">
        <v>329</v>
      </c>
      <c r="AU258" s="1">
        <v>199</v>
      </c>
      <c r="AV258" s="1">
        <v>0</v>
      </c>
      <c r="AW258" s="1" t="s">
        <v>5227</v>
      </c>
      <c r="AX258" s="1" t="s">
        <v>332</v>
      </c>
      <c r="AY258" s="1">
        <v>4</v>
      </c>
      <c r="AZ258" s="1">
        <v>0</v>
      </c>
      <c r="BA258" s="1" t="s">
        <v>329</v>
      </c>
      <c r="BB258" s="1" t="s">
        <v>5090</v>
      </c>
      <c r="BC258" s="1" t="s">
        <v>329</v>
      </c>
      <c r="BD258" s="1">
        <v>10403</v>
      </c>
      <c r="BE258" s="1"/>
      <c r="BH258">
        <f>COUNTIF(Dropdowns!$I:$AF,C258)</f>
        <v>1</v>
      </c>
    </row>
    <row r="259" spans="1:60" x14ac:dyDescent="0.25">
      <c r="A259" s="1">
        <v>265</v>
      </c>
      <c r="B259" s="1" t="s">
        <v>3743</v>
      </c>
      <c r="C259" s="241" t="s">
        <v>206</v>
      </c>
      <c r="D259" s="1" t="s">
        <v>206</v>
      </c>
      <c r="E259" s="1"/>
      <c r="F259" s="1"/>
      <c r="G259" s="1" t="s">
        <v>3744</v>
      </c>
      <c r="H259" s="1" t="s">
        <v>3745</v>
      </c>
      <c r="I259" s="1" t="s">
        <v>3746</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1126</v>
      </c>
      <c r="AK259" s="1" t="s">
        <v>329</v>
      </c>
      <c r="AL259" s="1">
        <v>13</v>
      </c>
      <c r="AM259" s="1" t="s">
        <v>4720</v>
      </c>
      <c r="AN259" s="1" t="s">
        <v>4835</v>
      </c>
      <c r="AO259" s="1" t="s">
        <v>4749</v>
      </c>
      <c r="AP259" s="1">
        <v>0</v>
      </c>
      <c r="AQ259" s="1" t="s">
        <v>1131</v>
      </c>
      <c r="AR259" s="1" t="s">
        <v>1155</v>
      </c>
      <c r="AS259" s="1" t="s">
        <v>1130</v>
      </c>
      <c r="AT259" s="1" t="s">
        <v>329</v>
      </c>
      <c r="AU259" s="1">
        <v>105</v>
      </c>
      <c r="AV259" s="1">
        <v>0</v>
      </c>
      <c r="AW259" s="1" t="s">
        <v>5238</v>
      </c>
      <c r="AX259" s="1" t="s">
        <v>5217</v>
      </c>
      <c r="AY259" s="1">
        <v>3</v>
      </c>
      <c r="AZ259" s="1">
        <v>0</v>
      </c>
      <c r="BA259" s="1" t="s">
        <v>329</v>
      </c>
      <c r="BB259" s="1" t="s">
        <v>329</v>
      </c>
      <c r="BC259" s="1" t="s">
        <v>4770</v>
      </c>
      <c r="BD259" s="1">
        <v>10403</v>
      </c>
      <c r="BE259" s="1"/>
      <c r="BH259">
        <f>COUNTIF(Dropdowns!$I:$AF,C259)</f>
        <v>1</v>
      </c>
    </row>
    <row r="260" spans="1:60" x14ac:dyDescent="0.25">
      <c r="A260" s="1">
        <v>266</v>
      </c>
      <c r="B260" s="1" t="s">
        <v>3747</v>
      </c>
      <c r="C260" s="241" t="s">
        <v>207</v>
      </c>
      <c r="D260" s="1" t="s">
        <v>207</v>
      </c>
      <c r="E260" s="1"/>
      <c r="F260" s="1"/>
      <c r="G260" s="1" t="s">
        <v>3748</v>
      </c>
      <c r="H260" s="1" t="s">
        <v>3749</v>
      </c>
      <c r="I260" s="1" t="s">
        <v>3750</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1277</v>
      </c>
      <c r="AK260" s="1" t="s">
        <v>1278</v>
      </c>
      <c r="AL260" s="1">
        <v>13</v>
      </c>
      <c r="AM260" s="1" t="s">
        <v>4763</v>
      </c>
      <c r="AN260" s="1" t="s">
        <v>4865</v>
      </c>
      <c r="AO260" s="1" t="s">
        <v>4846</v>
      </c>
      <c r="AP260" s="1">
        <v>0</v>
      </c>
      <c r="AQ260" s="1" t="s">
        <v>1141</v>
      </c>
      <c r="AR260" s="1" t="s">
        <v>1142</v>
      </c>
      <c r="AS260" s="1" t="s">
        <v>1143</v>
      </c>
      <c r="AT260" s="1" t="s">
        <v>329</v>
      </c>
      <c r="AU260" s="1">
        <v>48</v>
      </c>
      <c r="AV260" s="1">
        <v>0</v>
      </c>
      <c r="AW260" s="1" t="s">
        <v>5239</v>
      </c>
      <c r="AX260" s="1" t="s">
        <v>5240</v>
      </c>
      <c r="AY260" s="1">
        <v>5</v>
      </c>
      <c r="AZ260" s="1">
        <v>0</v>
      </c>
      <c r="BA260" s="1" t="s">
        <v>329</v>
      </c>
      <c r="BB260" s="1" t="s">
        <v>329</v>
      </c>
      <c r="BC260" s="1" t="s">
        <v>4770</v>
      </c>
      <c r="BD260" s="1">
        <v>10201</v>
      </c>
      <c r="BE260" s="1"/>
      <c r="BH260">
        <f>COUNTIF(Dropdowns!$I:$AF,C260)</f>
        <v>1</v>
      </c>
    </row>
    <row r="261" spans="1:60" x14ac:dyDescent="0.25">
      <c r="A261" s="1">
        <v>267</v>
      </c>
      <c r="B261" s="1" t="s">
        <v>3751</v>
      </c>
      <c r="C261" s="241" t="s">
        <v>208</v>
      </c>
      <c r="D261" s="1" t="s">
        <v>208</v>
      </c>
      <c r="E261" s="1"/>
      <c r="F261" s="1"/>
      <c r="G261" s="1" t="s">
        <v>3752</v>
      </c>
      <c r="H261" s="1" t="s">
        <v>3753</v>
      </c>
      <c r="I261" s="1" t="s">
        <v>3754</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1126</v>
      </c>
      <c r="AK261" s="1" t="s">
        <v>329</v>
      </c>
      <c r="AL261" s="1">
        <v>13</v>
      </c>
      <c r="AM261" s="1" t="s">
        <v>4791</v>
      </c>
      <c r="AN261" s="1" t="s">
        <v>4994</v>
      </c>
      <c r="AO261" s="1" t="s">
        <v>4995</v>
      </c>
      <c r="AP261" s="1">
        <v>0</v>
      </c>
      <c r="AQ261" s="1" t="s">
        <v>1130</v>
      </c>
      <c r="AR261" s="1" t="s">
        <v>1120</v>
      </c>
      <c r="AS261" s="1" t="s">
        <v>1131</v>
      </c>
      <c r="AT261" s="1" t="s">
        <v>329</v>
      </c>
      <c r="AU261" s="1">
        <v>116</v>
      </c>
      <c r="AV261" s="1">
        <v>0</v>
      </c>
      <c r="AW261" s="1" t="s">
        <v>5241</v>
      </c>
      <c r="AX261" s="1" t="s">
        <v>5217</v>
      </c>
      <c r="AY261" s="1">
        <v>3</v>
      </c>
      <c r="AZ261" s="1">
        <v>0</v>
      </c>
      <c r="BA261" s="1" t="s">
        <v>329</v>
      </c>
      <c r="BB261" s="1" t="s">
        <v>329</v>
      </c>
      <c r="BC261" s="1" t="s">
        <v>4770</v>
      </c>
      <c r="BD261" s="1">
        <v>10704</v>
      </c>
      <c r="BE261" s="1"/>
      <c r="BH261">
        <f>COUNTIF(Dropdowns!$I:$AF,C261)</f>
        <v>1</v>
      </c>
    </row>
    <row r="262" spans="1:60" x14ac:dyDescent="0.25">
      <c r="A262" s="1">
        <v>268</v>
      </c>
      <c r="B262" s="1" t="s">
        <v>3755</v>
      </c>
      <c r="C262" s="241" t="s">
        <v>1657</v>
      </c>
      <c r="D262" s="1" t="s">
        <v>1657</v>
      </c>
      <c r="E262" s="1"/>
      <c r="F262" s="1"/>
      <c r="G262" s="1" t="s">
        <v>3756</v>
      </c>
      <c r="H262" s="1" t="s">
        <v>3757</v>
      </c>
      <c r="I262" s="1" t="s">
        <v>3758</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1126</v>
      </c>
      <c r="AK262" s="1" t="s">
        <v>329</v>
      </c>
      <c r="AL262" s="1">
        <v>13</v>
      </c>
      <c r="AM262" s="1" t="s">
        <v>4763</v>
      </c>
      <c r="AN262" s="1" t="s">
        <v>4835</v>
      </c>
      <c r="AO262" s="1" t="s">
        <v>4827</v>
      </c>
      <c r="AP262" s="1">
        <v>0</v>
      </c>
      <c r="AQ262" s="1" t="s">
        <v>1141</v>
      </c>
      <c r="AR262" s="1" t="s">
        <v>1142</v>
      </c>
      <c r="AS262" s="1" t="s">
        <v>1143</v>
      </c>
      <c r="AT262" s="1" t="s">
        <v>329</v>
      </c>
      <c r="AU262" s="1">
        <v>241</v>
      </c>
      <c r="AV262" s="1">
        <v>0</v>
      </c>
      <c r="AW262" s="1" t="s">
        <v>5242</v>
      </c>
      <c r="AX262" s="1" t="s">
        <v>5243</v>
      </c>
      <c r="AY262" s="1">
        <v>3</v>
      </c>
      <c r="AZ262" s="1">
        <v>0</v>
      </c>
      <c r="BA262" s="1" t="s">
        <v>329</v>
      </c>
      <c r="BB262" s="1" t="s">
        <v>329</v>
      </c>
      <c r="BC262" s="1" t="s">
        <v>329</v>
      </c>
      <c r="BD262" s="1">
        <v>10802</v>
      </c>
      <c r="BE262" s="1"/>
      <c r="BH262">
        <f>COUNTIF(Dropdowns!$I:$AF,C262)</f>
        <v>1</v>
      </c>
    </row>
    <row r="263" spans="1:60" x14ac:dyDescent="0.25">
      <c r="A263" s="1">
        <v>269</v>
      </c>
      <c r="B263" s="1" t="s">
        <v>3759</v>
      </c>
      <c r="C263" s="241" t="s">
        <v>209</v>
      </c>
      <c r="D263" s="1" t="s">
        <v>209</v>
      </c>
      <c r="E263" s="1"/>
      <c r="F263" s="1"/>
      <c r="G263" s="1" t="s">
        <v>3760</v>
      </c>
      <c r="H263" s="1" t="s">
        <v>3761</v>
      </c>
      <c r="I263" s="1" t="s">
        <v>3762</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1279</v>
      </c>
      <c r="AK263" s="1" t="s">
        <v>1280</v>
      </c>
      <c r="AL263" s="1">
        <v>12</v>
      </c>
      <c r="AM263" s="1" t="s">
        <v>1807</v>
      </c>
      <c r="AN263" s="1" t="s">
        <v>5244</v>
      </c>
      <c r="AO263" s="1" t="s">
        <v>5245</v>
      </c>
      <c r="AP263" s="1">
        <v>0</v>
      </c>
      <c r="AQ263" s="1" t="s">
        <v>1119</v>
      </c>
      <c r="AR263" s="1" t="s">
        <v>1120</v>
      </c>
      <c r="AS263" s="1" t="s">
        <v>1121</v>
      </c>
      <c r="AT263" s="1" t="s">
        <v>329</v>
      </c>
      <c r="AU263" s="1">
        <v>212</v>
      </c>
      <c r="AV263" s="1">
        <v>0</v>
      </c>
      <c r="AW263" s="1" t="s">
        <v>5168</v>
      </c>
      <c r="AX263" s="1" t="s">
        <v>4763</v>
      </c>
      <c r="AY263" s="1">
        <v>4</v>
      </c>
      <c r="AZ263" s="1">
        <v>0</v>
      </c>
      <c r="BA263" s="1" t="s">
        <v>329</v>
      </c>
      <c r="BB263" s="1" t="s">
        <v>329</v>
      </c>
      <c r="BC263" s="1" t="s">
        <v>4770</v>
      </c>
      <c r="BD263" s="1">
        <v>10403</v>
      </c>
      <c r="BE263" s="1"/>
      <c r="BH263">
        <f>COUNTIF(Dropdowns!$I:$AF,C263)</f>
        <v>0</v>
      </c>
    </row>
    <row r="264" spans="1:60" x14ac:dyDescent="0.25">
      <c r="A264" s="1">
        <v>270</v>
      </c>
      <c r="B264" s="1" t="s">
        <v>3763</v>
      </c>
      <c r="C264" s="241" t="s">
        <v>243</v>
      </c>
      <c r="D264" s="1" t="s">
        <v>3764</v>
      </c>
      <c r="E264" s="1"/>
      <c r="F264" s="1"/>
      <c r="G264" s="1" t="s">
        <v>3765</v>
      </c>
      <c r="H264" s="1" t="s">
        <v>3766</v>
      </c>
      <c r="I264" s="1" t="s">
        <v>3767</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1281</v>
      </c>
      <c r="AK264" s="1" t="s">
        <v>1282</v>
      </c>
      <c r="AL264" s="1">
        <v>13</v>
      </c>
      <c r="AM264" s="1" t="s">
        <v>4763</v>
      </c>
      <c r="AN264" s="1" t="s">
        <v>5246</v>
      </c>
      <c r="AO264" s="1" t="s">
        <v>4833</v>
      </c>
      <c r="AP264" s="1">
        <v>0</v>
      </c>
      <c r="AQ264" s="1" t="s">
        <v>1747</v>
      </c>
      <c r="AR264" s="1" t="s">
        <v>1142</v>
      </c>
      <c r="AS264" s="1" t="s">
        <v>1143</v>
      </c>
      <c r="AT264" s="1" t="s">
        <v>329</v>
      </c>
      <c r="AU264" s="1">
        <v>200</v>
      </c>
      <c r="AV264" s="1">
        <v>0</v>
      </c>
      <c r="AW264" s="1" t="s">
        <v>5168</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3768</v>
      </c>
      <c r="C265" s="241" t="s">
        <v>211</v>
      </c>
      <c r="D265" s="1" t="s">
        <v>211</v>
      </c>
      <c r="E265" s="1"/>
      <c r="F265" s="1"/>
      <c r="G265" s="1" t="s">
        <v>3769</v>
      </c>
      <c r="H265" s="1" t="s">
        <v>3770</v>
      </c>
      <c r="I265" s="1" t="s">
        <v>3771</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1171</v>
      </c>
      <c r="AK265" s="1" t="s">
        <v>329</v>
      </c>
      <c r="AL265" s="1">
        <v>18</v>
      </c>
      <c r="AM265" s="1" t="s">
        <v>4859</v>
      </c>
      <c r="AN265" s="1" t="s">
        <v>4920</v>
      </c>
      <c r="AO265" s="1" t="s">
        <v>5247</v>
      </c>
      <c r="AP265" s="1">
        <v>0</v>
      </c>
      <c r="AQ265" s="1" t="s">
        <v>1168</v>
      </c>
      <c r="AR265" s="1" t="s">
        <v>1169</v>
      </c>
      <c r="AS265" s="1" t="s">
        <v>1170</v>
      </c>
      <c r="AT265" s="1" t="s">
        <v>329</v>
      </c>
      <c r="AU265" s="1">
        <v>208</v>
      </c>
      <c r="AV265" s="1">
        <v>0</v>
      </c>
      <c r="AW265" s="1" t="s">
        <v>5248</v>
      </c>
      <c r="AX265" s="1" t="s">
        <v>5249</v>
      </c>
      <c r="AY265" s="1">
        <v>3</v>
      </c>
      <c r="AZ265" s="1">
        <v>0</v>
      </c>
      <c r="BA265" s="1" t="s">
        <v>329</v>
      </c>
      <c r="BB265" s="1" t="s">
        <v>329</v>
      </c>
      <c r="BC265" s="1" t="s">
        <v>329</v>
      </c>
      <c r="BD265" s="1">
        <v>10802</v>
      </c>
      <c r="BE265" s="1"/>
      <c r="BH265">
        <f>COUNTIF(Dropdowns!$I:$AF,C265)</f>
        <v>1</v>
      </c>
    </row>
    <row r="266" spans="1:60" x14ac:dyDescent="0.25">
      <c r="A266" s="1">
        <v>272</v>
      </c>
      <c r="B266" s="1" t="s">
        <v>3772</v>
      </c>
      <c r="C266" s="241" t="s">
        <v>1687</v>
      </c>
      <c r="D266" s="1" t="s">
        <v>3773</v>
      </c>
      <c r="E266" s="1"/>
      <c r="F266" s="1"/>
      <c r="G266" s="1" t="s">
        <v>3774</v>
      </c>
      <c r="H266" s="1" t="s">
        <v>3775</v>
      </c>
      <c r="I266" s="1" t="s">
        <v>3776</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1283</v>
      </c>
      <c r="AK266" s="1" t="s">
        <v>1284</v>
      </c>
      <c r="AL266" s="1">
        <v>17</v>
      </c>
      <c r="AM266" s="1" t="s">
        <v>1807</v>
      </c>
      <c r="AN266" s="1" t="s">
        <v>5250</v>
      </c>
      <c r="AO266" s="1" t="s">
        <v>4752</v>
      </c>
      <c r="AP266" s="1">
        <v>0</v>
      </c>
      <c r="AQ266" s="1" t="s">
        <v>1119</v>
      </c>
      <c r="AR266" s="1" t="s">
        <v>1120</v>
      </c>
      <c r="AS266" s="1" t="s">
        <v>1121</v>
      </c>
      <c r="AT266" s="1" t="s">
        <v>329</v>
      </c>
      <c r="AU266" s="1">
        <v>4</v>
      </c>
      <c r="AV266" s="1">
        <v>0</v>
      </c>
      <c r="AW266" s="1" t="s">
        <v>5251</v>
      </c>
      <c r="AX266" s="1" t="s">
        <v>5252</v>
      </c>
      <c r="AY266" s="1">
        <v>5</v>
      </c>
      <c r="AZ266" s="1">
        <v>0</v>
      </c>
      <c r="BA266" s="1" t="s">
        <v>329</v>
      </c>
      <c r="BB266" s="1" t="s">
        <v>329</v>
      </c>
      <c r="BC266" s="1" t="s">
        <v>329</v>
      </c>
      <c r="BD266" s="1">
        <v>10803</v>
      </c>
      <c r="BE266" s="1"/>
      <c r="BH266">
        <f>COUNTIF(Dropdowns!$I:$AF,C266)</f>
        <v>0</v>
      </c>
    </row>
    <row r="267" spans="1:60" x14ac:dyDescent="0.25">
      <c r="A267" s="1">
        <v>273</v>
      </c>
      <c r="B267" s="1" t="s">
        <v>3777</v>
      </c>
      <c r="C267" s="241" t="s">
        <v>244</v>
      </c>
      <c r="D267" s="1" t="s">
        <v>244</v>
      </c>
      <c r="E267" s="1"/>
      <c r="F267" s="1"/>
      <c r="G267" s="1" t="s">
        <v>3778</v>
      </c>
      <c r="H267" s="1" t="s">
        <v>3779</v>
      </c>
      <c r="I267" s="1" t="s">
        <v>3780</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1285</v>
      </c>
      <c r="AK267" s="1" t="s">
        <v>1286</v>
      </c>
      <c r="AL267" s="1">
        <v>13</v>
      </c>
      <c r="AM267" s="1" t="s">
        <v>4763</v>
      </c>
      <c r="AN267" s="1" t="s">
        <v>4830</v>
      </c>
      <c r="AO267" s="1" t="s">
        <v>4833</v>
      </c>
      <c r="AP267" s="1">
        <v>0</v>
      </c>
      <c r="AQ267" s="1" t="s">
        <v>1141</v>
      </c>
      <c r="AR267" s="1" t="s">
        <v>1142</v>
      </c>
      <c r="AS267" s="1" t="s">
        <v>1143</v>
      </c>
      <c r="AT267" s="1" t="s">
        <v>329</v>
      </c>
      <c r="AU267" s="1">
        <v>48</v>
      </c>
      <c r="AV267" s="1">
        <v>0</v>
      </c>
      <c r="AW267" s="1" t="s">
        <v>5251</v>
      </c>
      <c r="AX267" s="1" t="s">
        <v>5217</v>
      </c>
      <c r="AY267" s="1">
        <v>4</v>
      </c>
      <c r="AZ267" s="1">
        <v>0</v>
      </c>
      <c r="BA267" s="1" t="s">
        <v>329</v>
      </c>
      <c r="BB267" s="1" t="s">
        <v>329</v>
      </c>
      <c r="BC267" s="1" t="s">
        <v>4770</v>
      </c>
      <c r="BD267" s="1">
        <v>10402</v>
      </c>
      <c r="BE267" s="1"/>
      <c r="BH267">
        <f>COUNTIF(Dropdowns!$I:$AF,C267)</f>
        <v>1</v>
      </c>
    </row>
    <row r="268" spans="1:60" x14ac:dyDescent="0.25">
      <c r="A268" s="1">
        <v>274</v>
      </c>
      <c r="B268" s="1" t="s">
        <v>3781</v>
      </c>
      <c r="C268" s="241" t="s">
        <v>213</v>
      </c>
      <c r="D268" s="1" t="s">
        <v>213</v>
      </c>
      <c r="E268" s="1"/>
      <c r="F268" s="1"/>
      <c r="G268" s="1" t="s">
        <v>3782</v>
      </c>
      <c r="H268" s="1" t="s">
        <v>3783</v>
      </c>
      <c r="I268" s="1" t="s">
        <v>3784</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1287</v>
      </c>
      <c r="AK268" s="1" t="s">
        <v>1288</v>
      </c>
      <c r="AL268" s="1">
        <v>14</v>
      </c>
      <c r="AM268" s="1" t="s">
        <v>4720</v>
      </c>
      <c r="AN268" s="1" t="s">
        <v>5253</v>
      </c>
      <c r="AO268" s="1" t="s">
        <v>5001</v>
      </c>
      <c r="AP268" s="1">
        <v>0</v>
      </c>
      <c r="AQ268" s="1" t="s">
        <v>1131</v>
      </c>
      <c r="AR268" s="1" t="s">
        <v>1155</v>
      </c>
      <c r="AS268" s="1" t="s">
        <v>1130</v>
      </c>
      <c r="AT268" s="1" t="s">
        <v>329</v>
      </c>
      <c r="AU268" s="1">
        <v>73</v>
      </c>
      <c r="AV268" s="1">
        <v>0</v>
      </c>
      <c r="AW268" s="1" t="s">
        <v>5251</v>
      </c>
      <c r="AX268" s="1" t="s">
        <v>5254</v>
      </c>
      <c r="AY268" s="1">
        <v>5</v>
      </c>
      <c r="AZ268" s="1">
        <v>0</v>
      </c>
      <c r="BA268" s="1" t="s">
        <v>329</v>
      </c>
      <c r="BB268" s="1" t="s">
        <v>4907</v>
      </c>
      <c r="BC268" s="1" t="s">
        <v>4721</v>
      </c>
      <c r="BD268" s="1">
        <v>10402</v>
      </c>
      <c r="BE268" s="1"/>
      <c r="BH268">
        <f>COUNTIF(Dropdowns!$I:$AF,C268)</f>
        <v>1</v>
      </c>
    </row>
    <row r="269" spans="1:60" x14ac:dyDescent="0.25">
      <c r="A269" s="1">
        <v>275</v>
      </c>
      <c r="B269" s="1" t="s">
        <v>3785</v>
      </c>
      <c r="C269" s="241" t="s">
        <v>837</v>
      </c>
      <c r="D269" s="1" t="s">
        <v>3786</v>
      </c>
      <c r="E269" s="1"/>
      <c r="F269" s="1"/>
      <c r="G269" s="1" t="s">
        <v>3787</v>
      </c>
      <c r="H269" s="1" t="s">
        <v>3788</v>
      </c>
      <c r="I269" s="1" t="s">
        <v>3789</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1289</v>
      </c>
      <c r="AK269" s="1" t="s">
        <v>1290</v>
      </c>
      <c r="AL269" s="1">
        <v>18</v>
      </c>
      <c r="AM269" s="1" t="s">
        <v>4859</v>
      </c>
      <c r="AN269" s="1" t="s">
        <v>4920</v>
      </c>
      <c r="AO269" s="1" t="s">
        <v>5255</v>
      </c>
      <c r="AP269" s="1">
        <v>0</v>
      </c>
      <c r="AQ269" s="1" t="s">
        <v>1168</v>
      </c>
      <c r="AR269" s="1" t="s">
        <v>1169</v>
      </c>
      <c r="AS269" s="1" t="s">
        <v>1170</v>
      </c>
      <c r="AT269" s="1" t="s">
        <v>329</v>
      </c>
      <c r="AU269" s="1">
        <v>238</v>
      </c>
      <c r="AV269" s="1">
        <v>0</v>
      </c>
      <c r="AW269" s="1" t="s">
        <v>5251</v>
      </c>
      <c r="AX269" s="1" t="s">
        <v>5256</v>
      </c>
      <c r="AY269" s="1">
        <v>4</v>
      </c>
      <c r="AZ269" s="1">
        <v>0</v>
      </c>
      <c r="BA269" s="1" t="s">
        <v>329</v>
      </c>
      <c r="BB269" s="1" t="s">
        <v>4882</v>
      </c>
      <c r="BC269" s="1" t="s">
        <v>4721</v>
      </c>
      <c r="BD269" s="1">
        <v>10403</v>
      </c>
      <c r="BE269" s="1"/>
      <c r="BH269">
        <f>COUNTIF(Dropdowns!$I:$AF,C269)</f>
        <v>1</v>
      </c>
    </row>
    <row r="270" spans="1:60" x14ac:dyDescent="0.25">
      <c r="A270" s="1">
        <v>276</v>
      </c>
      <c r="B270" s="1" t="s">
        <v>3790</v>
      </c>
      <c r="C270" s="241" t="s">
        <v>212</v>
      </c>
      <c r="D270" s="1" t="s">
        <v>212</v>
      </c>
      <c r="E270" s="1"/>
      <c r="F270" s="1"/>
      <c r="G270" s="1" t="s">
        <v>3791</v>
      </c>
      <c r="H270" s="1" t="s">
        <v>3792</v>
      </c>
      <c r="I270" s="1" t="s">
        <v>3793</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1291</v>
      </c>
      <c r="AK270" s="1" t="s">
        <v>1292</v>
      </c>
      <c r="AL270" s="1">
        <v>18</v>
      </c>
      <c r="AM270" s="1" t="s">
        <v>4859</v>
      </c>
      <c r="AN270" s="1" t="s">
        <v>4938</v>
      </c>
      <c r="AO270" s="1" t="s">
        <v>5156</v>
      </c>
      <c r="AP270" s="1">
        <v>0</v>
      </c>
      <c r="AQ270" s="1" t="s">
        <v>1168</v>
      </c>
      <c r="AR270" s="1" t="s">
        <v>1169</v>
      </c>
      <c r="AS270" s="1" t="s">
        <v>1170</v>
      </c>
      <c r="AT270" s="1" t="s">
        <v>329</v>
      </c>
      <c r="AU270" s="1">
        <v>199</v>
      </c>
      <c r="AV270" s="1">
        <v>0</v>
      </c>
      <c r="AW270" s="1" t="s">
        <v>5251</v>
      </c>
      <c r="AX270" s="1" t="s">
        <v>5217</v>
      </c>
      <c r="AY270" s="1">
        <v>5</v>
      </c>
      <c r="AZ270" s="1">
        <v>0</v>
      </c>
      <c r="BA270" s="1" t="s">
        <v>329</v>
      </c>
      <c r="BB270" s="1" t="s">
        <v>329</v>
      </c>
      <c r="BC270" s="1" t="s">
        <v>4758</v>
      </c>
      <c r="BD270" s="1">
        <v>10402</v>
      </c>
      <c r="BE270" s="1"/>
      <c r="BH270">
        <f>COUNTIF(Dropdowns!$I:$AF,C270)</f>
        <v>1</v>
      </c>
    </row>
    <row r="271" spans="1:60" x14ac:dyDescent="0.25">
      <c r="A271" s="1">
        <v>277</v>
      </c>
      <c r="B271" s="1" t="s">
        <v>3794</v>
      </c>
      <c r="C271" s="241" t="s">
        <v>214</v>
      </c>
      <c r="D271" s="1" t="s">
        <v>214</v>
      </c>
      <c r="E271" s="1"/>
      <c r="F271" s="1"/>
      <c r="G271" s="1" t="s">
        <v>3795</v>
      </c>
      <c r="H271" s="1" t="s">
        <v>3796</v>
      </c>
      <c r="I271" s="1" t="s">
        <v>3797</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1126</v>
      </c>
      <c r="AK271" s="1" t="s">
        <v>329</v>
      </c>
      <c r="AL271" s="1">
        <v>13</v>
      </c>
      <c r="AM271" s="1" t="s">
        <v>1807</v>
      </c>
      <c r="AN271" s="1" t="s">
        <v>4959</v>
      </c>
      <c r="AO271" s="1" t="s">
        <v>4745</v>
      </c>
      <c r="AP271" s="1">
        <v>0</v>
      </c>
      <c r="AQ271" s="1" t="s">
        <v>1119</v>
      </c>
      <c r="AR271" s="1" t="s">
        <v>1120</v>
      </c>
      <c r="AS271" s="1" t="s">
        <v>1121</v>
      </c>
      <c r="AT271" s="1" t="s">
        <v>329</v>
      </c>
      <c r="AU271" s="1">
        <v>15</v>
      </c>
      <c r="AV271" s="1">
        <v>0</v>
      </c>
      <c r="AW271" s="1" t="s">
        <v>5257</v>
      </c>
      <c r="AX271" s="1" t="s">
        <v>5258</v>
      </c>
      <c r="AY271" s="1">
        <v>3</v>
      </c>
      <c r="AZ271" s="1">
        <v>0</v>
      </c>
      <c r="BA271" s="1" t="s">
        <v>329</v>
      </c>
      <c r="BB271" s="1" t="s">
        <v>329</v>
      </c>
      <c r="BC271" s="1" t="s">
        <v>4770</v>
      </c>
      <c r="BD271" s="1">
        <v>10702</v>
      </c>
      <c r="BE271" s="1"/>
      <c r="BH271">
        <f>COUNTIF(Dropdowns!$I:$AF,C271)</f>
        <v>0</v>
      </c>
    </row>
    <row r="272" spans="1:60" x14ac:dyDescent="0.25">
      <c r="A272" s="1">
        <v>278</v>
      </c>
      <c r="B272" s="1" t="s">
        <v>3798</v>
      </c>
      <c r="C272" s="241" t="s">
        <v>215</v>
      </c>
      <c r="D272" s="1" t="s">
        <v>215</v>
      </c>
      <c r="E272" s="1"/>
      <c r="F272" s="1"/>
      <c r="G272" s="1" t="s">
        <v>3799</v>
      </c>
      <c r="H272" s="1" t="s">
        <v>3800</v>
      </c>
      <c r="I272" s="1" t="s">
        <v>3801</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5122</v>
      </c>
      <c r="AK272" s="1" t="s">
        <v>329</v>
      </c>
      <c r="AL272" s="1">
        <v>8</v>
      </c>
      <c r="AM272" s="1" t="s">
        <v>4717</v>
      </c>
      <c r="AN272" s="1" t="s">
        <v>335</v>
      </c>
      <c r="AO272" s="1" t="s">
        <v>5259</v>
      </c>
      <c r="AP272" s="1">
        <v>0</v>
      </c>
      <c r="AQ272" s="1" t="s">
        <v>1201</v>
      </c>
      <c r="AR272" s="1" t="s">
        <v>1202</v>
      </c>
      <c r="AS272" s="1" t="s">
        <v>1203</v>
      </c>
      <c r="AT272" s="1" t="s">
        <v>329</v>
      </c>
      <c r="AU272" s="1">
        <v>190</v>
      </c>
      <c r="AV272" s="1">
        <v>0</v>
      </c>
      <c r="AW272" s="1" t="s">
        <v>5260</v>
      </c>
      <c r="AX272" s="1" t="s">
        <v>5261</v>
      </c>
      <c r="AY272" s="1">
        <v>3</v>
      </c>
      <c r="AZ272" s="1">
        <v>0</v>
      </c>
      <c r="BA272" s="1" t="s">
        <v>329</v>
      </c>
      <c r="BB272" s="1" t="s">
        <v>329</v>
      </c>
      <c r="BC272" s="1" t="s">
        <v>4721</v>
      </c>
      <c r="BD272" s="1">
        <v>10802</v>
      </c>
      <c r="BE272" s="1"/>
      <c r="BH272">
        <f>COUNTIF(Dropdowns!$I:$AF,C272)</f>
        <v>1</v>
      </c>
    </row>
    <row r="273" spans="1:60" x14ac:dyDescent="0.25">
      <c r="A273" s="1">
        <v>279</v>
      </c>
      <c r="B273" s="1" t="s">
        <v>3802</v>
      </c>
      <c r="C273" s="241" t="s">
        <v>216</v>
      </c>
      <c r="D273" s="1" t="s">
        <v>216</v>
      </c>
      <c r="E273" s="1"/>
      <c r="F273" s="1"/>
      <c r="G273" s="1" t="s">
        <v>3803</v>
      </c>
      <c r="H273" s="1" t="s">
        <v>3804</v>
      </c>
      <c r="I273" s="1" t="s">
        <v>3805</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1126</v>
      </c>
      <c r="AK273" s="1" t="s">
        <v>329</v>
      </c>
      <c r="AL273" s="1">
        <v>13</v>
      </c>
      <c r="AM273" s="1" t="s">
        <v>4720</v>
      </c>
      <c r="AN273" s="1" t="s">
        <v>4830</v>
      </c>
      <c r="AO273" s="1" t="s">
        <v>4749</v>
      </c>
      <c r="AP273" s="1">
        <v>0</v>
      </c>
      <c r="AQ273" s="1" t="s">
        <v>1131</v>
      </c>
      <c r="AR273" s="1" t="s">
        <v>1155</v>
      </c>
      <c r="AS273" s="1" t="s">
        <v>1130</v>
      </c>
      <c r="AT273" s="1" t="s">
        <v>329</v>
      </c>
      <c r="AU273" s="1">
        <v>105</v>
      </c>
      <c r="AV273" s="1">
        <v>0</v>
      </c>
      <c r="AW273" s="1" t="s">
        <v>5262</v>
      </c>
      <c r="AX273" s="1" t="s">
        <v>5263</v>
      </c>
      <c r="AY273" s="1">
        <v>3</v>
      </c>
      <c r="AZ273" s="1">
        <v>0</v>
      </c>
      <c r="BA273" s="1" t="s">
        <v>329</v>
      </c>
      <c r="BB273" s="1" t="s">
        <v>329</v>
      </c>
      <c r="BC273" s="1" t="s">
        <v>329</v>
      </c>
      <c r="BD273" s="1">
        <v>10702</v>
      </c>
      <c r="BE273" s="1"/>
      <c r="BH273">
        <f>COUNTIF(Dropdowns!$I:$AF,C273)</f>
        <v>1</v>
      </c>
    </row>
    <row r="274" spans="1:60" x14ac:dyDescent="0.25">
      <c r="A274" s="1">
        <v>280</v>
      </c>
      <c r="B274" s="1" t="s">
        <v>3806</v>
      </c>
      <c r="C274" s="241" t="s">
        <v>1658</v>
      </c>
      <c r="D274" s="1" t="s">
        <v>1658</v>
      </c>
      <c r="E274" s="1"/>
      <c r="F274" s="1"/>
      <c r="G274" s="1" t="s">
        <v>3807</v>
      </c>
      <c r="H274" s="1" t="s">
        <v>3808</v>
      </c>
      <c r="I274" s="1" t="s">
        <v>3809</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1293</v>
      </c>
      <c r="AK274" s="1" t="s">
        <v>1294</v>
      </c>
      <c r="AL274" s="1">
        <v>14</v>
      </c>
      <c r="AM274" s="1" t="s">
        <v>4791</v>
      </c>
      <c r="AN274" s="1" t="s">
        <v>403</v>
      </c>
      <c r="AO274" s="1" t="s">
        <v>5145</v>
      </c>
      <c r="AP274" s="1">
        <v>0</v>
      </c>
      <c r="AQ274" s="1" t="s">
        <v>1130</v>
      </c>
      <c r="AR274" s="1" t="s">
        <v>1120</v>
      </c>
      <c r="AS274" s="1" t="s">
        <v>1131</v>
      </c>
      <c r="AT274" s="1" t="s">
        <v>329</v>
      </c>
      <c r="AU274" s="1">
        <v>225</v>
      </c>
      <c r="AV274" s="1">
        <v>0</v>
      </c>
      <c r="AW274" s="1" t="s">
        <v>5264</v>
      </c>
      <c r="AX274" s="1" t="s">
        <v>5265</v>
      </c>
      <c r="AY274" s="1">
        <v>4</v>
      </c>
      <c r="AZ274" s="1">
        <v>0</v>
      </c>
      <c r="BA274" s="1" t="s">
        <v>329</v>
      </c>
      <c r="BB274" s="1" t="s">
        <v>329</v>
      </c>
      <c r="BC274" s="1" t="s">
        <v>329</v>
      </c>
      <c r="BD274" s="1">
        <v>10302</v>
      </c>
      <c r="BE274" s="1"/>
      <c r="BH274">
        <f>COUNTIF(Dropdowns!$I:$AF,C274)</f>
        <v>1</v>
      </c>
    </row>
    <row r="275" spans="1:60" x14ac:dyDescent="0.25">
      <c r="A275" s="1">
        <v>281</v>
      </c>
      <c r="B275" s="1" t="s">
        <v>3810</v>
      </c>
      <c r="C275" s="241" t="s">
        <v>245</v>
      </c>
      <c r="D275" s="1" t="s">
        <v>3811</v>
      </c>
      <c r="E275" s="1"/>
      <c r="F275" s="1"/>
      <c r="G275" s="1" t="s">
        <v>3812</v>
      </c>
      <c r="H275" s="1" t="s">
        <v>3813</v>
      </c>
      <c r="I275" s="1" t="s">
        <v>3814</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1295</v>
      </c>
      <c r="AK275" s="1" t="s">
        <v>1296</v>
      </c>
      <c r="AL275" s="1">
        <v>8</v>
      </c>
      <c r="AM275" s="1" t="s">
        <v>4717</v>
      </c>
      <c r="AN275" s="1" t="s">
        <v>335</v>
      </c>
      <c r="AO275" s="1" t="s">
        <v>5191</v>
      </c>
      <c r="AP275" s="1">
        <v>0</v>
      </c>
      <c r="AQ275" s="1" t="s">
        <v>1201</v>
      </c>
      <c r="AR275" s="1" t="s">
        <v>1202</v>
      </c>
      <c r="AS275" s="1" t="s">
        <v>1203</v>
      </c>
      <c r="AT275" s="1" t="s">
        <v>329</v>
      </c>
      <c r="AU275" s="1">
        <v>163</v>
      </c>
      <c r="AV275" s="1">
        <v>0</v>
      </c>
      <c r="AW275" s="1" t="s">
        <v>5266</v>
      </c>
      <c r="AX275" s="1" t="s">
        <v>5267</v>
      </c>
      <c r="AY275" s="1">
        <v>5</v>
      </c>
      <c r="AZ275" s="1">
        <v>0</v>
      </c>
      <c r="BA275" s="1" t="s">
        <v>329</v>
      </c>
      <c r="BB275" s="1" t="s">
        <v>329</v>
      </c>
      <c r="BC275" s="1" t="s">
        <v>4770</v>
      </c>
      <c r="BD275" s="1">
        <v>10203</v>
      </c>
      <c r="BE275" s="1"/>
      <c r="BH275">
        <f>COUNTIF(Dropdowns!$I:$AF,C275)</f>
        <v>1</v>
      </c>
    </row>
    <row r="276" spans="1:60" x14ac:dyDescent="0.25">
      <c r="A276" s="1">
        <v>282</v>
      </c>
      <c r="B276" s="1" t="s">
        <v>3815</v>
      </c>
      <c r="C276" s="241" t="s">
        <v>1659</v>
      </c>
      <c r="D276" s="1" t="s">
        <v>1659</v>
      </c>
      <c r="E276" s="1"/>
      <c r="F276" s="1"/>
      <c r="G276" s="1" t="s">
        <v>3816</v>
      </c>
      <c r="H276" s="1" t="s">
        <v>3817</v>
      </c>
      <c r="I276" s="1" t="s">
        <v>3818</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1297</v>
      </c>
      <c r="AK276" s="1" t="s">
        <v>1298</v>
      </c>
      <c r="AL276" s="1">
        <v>8</v>
      </c>
      <c r="AM276" s="1" t="s">
        <v>336</v>
      </c>
      <c r="AN276" s="1" t="s">
        <v>355</v>
      </c>
      <c r="AO276" s="1" t="s">
        <v>5268</v>
      </c>
      <c r="AP276" s="1">
        <v>0</v>
      </c>
      <c r="AQ276" s="1" t="s">
        <v>1201</v>
      </c>
      <c r="AR276" s="1" t="s">
        <v>1202</v>
      </c>
      <c r="AS276" s="1" t="s">
        <v>1203</v>
      </c>
      <c r="AT276" s="1" t="s">
        <v>329</v>
      </c>
      <c r="AU276" s="1">
        <v>164</v>
      </c>
      <c r="AV276" s="1">
        <v>0</v>
      </c>
      <c r="AW276" s="1" t="s">
        <v>5266</v>
      </c>
      <c r="AX276" s="1" t="s">
        <v>5269</v>
      </c>
      <c r="AY276" s="1">
        <v>5</v>
      </c>
      <c r="AZ276" s="1">
        <v>0</v>
      </c>
      <c r="BA276" s="1" t="s">
        <v>329</v>
      </c>
      <c r="BB276" s="1" t="s">
        <v>329</v>
      </c>
      <c r="BC276" s="1" t="s">
        <v>4721</v>
      </c>
      <c r="BD276" s="1">
        <v>10802</v>
      </c>
      <c r="BE276" s="1"/>
      <c r="BH276">
        <f>COUNTIF(Dropdowns!$I:$AF,C276)</f>
        <v>1</v>
      </c>
    </row>
    <row r="277" spans="1:60" x14ac:dyDescent="0.25">
      <c r="A277" s="1">
        <v>283</v>
      </c>
      <c r="B277" s="1" t="s">
        <v>3819</v>
      </c>
      <c r="C277" s="241" t="s">
        <v>217</v>
      </c>
      <c r="D277" s="1" t="s">
        <v>217</v>
      </c>
      <c r="E277" s="1"/>
      <c r="F277" s="1"/>
      <c r="G277" s="1" t="s">
        <v>3820</v>
      </c>
      <c r="H277" s="1" t="s">
        <v>3821</v>
      </c>
      <c r="I277" s="1" t="s">
        <v>3822</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1200</v>
      </c>
      <c r="AK277" s="1" t="s">
        <v>1299</v>
      </c>
      <c r="AL277" s="1">
        <v>7</v>
      </c>
      <c r="AM277" s="1" t="s">
        <v>4717</v>
      </c>
      <c r="AN277" s="1" t="s">
        <v>471</v>
      </c>
      <c r="AO277" s="1" t="s">
        <v>4810</v>
      </c>
      <c r="AP277" s="1">
        <v>0</v>
      </c>
      <c r="AQ277" s="1" t="s">
        <v>1201</v>
      </c>
      <c r="AR277" s="1" t="s">
        <v>1202</v>
      </c>
      <c r="AS277" s="1" t="s">
        <v>1203</v>
      </c>
      <c r="AT277" s="1" t="s">
        <v>329</v>
      </c>
      <c r="AU277" s="1">
        <v>165</v>
      </c>
      <c r="AV277" s="1">
        <v>0</v>
      </c>
      <c r="AW277" s="1" t="s">
        <v>5266</v>
      </c>
      <c r="AX277" s="1" t="s">
        <v>4720</v>
      </c>
      <c r="AY277" s="1">
        <v>4</v>
      </c>
      <c r="AZ277" s="1">
        <v>0</v>
      </c>
      <c r="BA277" s="1" t="s">
        <v>329</v>
      </c>
      <c r="BB277" s="1" t="s">
        <v>329</v>
      </c>
      <c r="BC277" s="1" t="s">
        <v>4721</v>
      </c>
      <c r="BD277" s="1">
        <v>10403</v>
      </c>
      <c r="BE277" s="1"/>
      <c r="BH277">
        <f>COUNTIF(Dropdowns!$I:$AF,C277)</f>
        <v>1</v>
      </c>
    </row>
    <row r="278" spans="1:60" x14ac:dyDescent="0.25">
      <c r="A278" s="1">
        <v>284</v>
      </c>
      <c r="B278" s="1" t="s">
        <v>3823</v>
      </c>
      <c r="C278" s="241" t="s">
        <v>218</v>
      </c>
      <c r="D278" s="1" t="s">
        <v>3824</v>
      </c>
      <c r="E278" s="1"/>
      <c r="F278" s="1"/>
      <c r="G278" s="1" t="s">
        <v>3825</v>
      </c>
      <c r="H278" s="1" t="s">
        <v>3826</v>
      </c>
      <c r="I278" s="1" t="s">
        <v>3827</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5270</v>
      </c>
      <c r="AK278" s="1" t="s">
        <v>329</v>
      </c>
      <c r="AL278" s="1">
        <v>13</v>
      </c>
      <c r="AM278" s="1" t="s">
        <v>4763</v>
      </c>
      <c r="AN278" s="1" t="s">
        <v>4885</v>
      </c>
      <c r="AO278" s="1" t="s">
        <v>4827</v>
      </c>
      <c r="AP278" s="1">
        <v>0</v>
      </c>
      <c r="AQ278" s="1" t="s">
        <v>1141</v>
      </c>
      <c r="AR278" s="1" t="s">
        <v>1142</v>
      </c>
      <c r="AS278" s="1" t="s">
        <v>1143</v>
      </c>
      <c r="AT278" s="1" t="s">
        <v>329</v>
      </c>
      <c r="AU278" s="1">
        <v>241</v>
      </c>
      <c r="AV278" s="1">
        <v>0</v>
      </c>
      <c r="AW278" s="1" t="s">
        <v>5271</v>
      </c>
      <c r="AX278" s="1" t="s">
        <v>5272</v>
      </c>
      <c r="AY278" s="1">
        <v>3</v>
      </c>
      <c r="AZ278" s="1">
        <v>0</v>
      </c>
      <c r="BA278" s="1" t="s">
        <v>329</v>
      </c>
      <c r="BB278" s="1" t="s">
        <v>329</v>
      </c>
      <c r="BC278" s="1" t="s">
        <v>329</v>
      </c>
      <c r="BD278" s="1">
        <v>10403</v>
      </c>
      <c r="BE278" s="1"/>
      <c r="BH278">
        <f>COUNTIF(Dropdowns!$I:$AF,C278)</f>
        <v>1</v>
      </c>
    </row>
    <row r="279" spans="1:60" x14ac:dyDescent="0.25">
      <c r="A279" s="1">
        <v>285</v>
      </c>
      <c r="B279" s="1" t="s">
        <v>3828</v>
      </c>
      <c r="C279" s="241" t="s">
        <v>1660</v>
      </c>
      <c r="D279" s="1" t="s">
        <v>1660</v>
      </c>
      <c r="E279" s="1"/>
      <c r="F279" s="1"/>
      <c r="G279" s="1" t="s">
        <v>3829</v>
      </c>
      <c r="H279" s="1" t="s">
        <v>3830</v>
      </c>
      <c r="I279" s="1" t="s">
        <v>3831</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1300</v>
      </c>
      <c r="AK279" s="1" t="s">
        <v>1301</v>
      </c>
      <c r="AL279" s="1">
        <v>19</v>
      </c>
      <c r="AM279" s="1" t="s">
        <v>1807</v>
      </c>
      <c r="AN279" s="1" t="s">
        <v>5273</v>
      </c>
      <c r="AO279" s="1" t="s">
        <v>5067</v>
      </c>
      <c r="AP279" s="1">
        <v>0</v>
      </c>
      <c r="AQ279" s="1" t="s">
        <v>1119</v>
      </c>
      <c r="AR279" s="1" t="s">
        <v>1120</v>
      </c>
      <c r="AS279" s="1" t="s">
        <v>1121</v>
      </c>
      <c r="AT279" s="1" t="s">
        <v>329</v>
      </c>
      <c r="AU279" s="1">
        <v>96</v>
      </c>
      <c r="AV279" s="1">
        <v>0</v>
      </c>
      <c r="AW279" s="1" t="s">
        <v>5274</v>
      </c>
      <c r="AX279" s="1" t="s">
        <v>4763</v>
      </c>
      <c r="AY279" s="1">
        <v>5</v>
      </c>
      <c r="AZ279" s="1">
        <v>0</v>
      </c>
      <c r="BA279" s="1" t="s">
        <v>329</v>
      </c>
      <c r="BB279" s="1" t="s">
        <v>329</v>
      </c>
      <c r="BC279" s="1" t="s">
        <v>4770</v>
      </c>
      <c r="BD279" s="1">
        <v>10802</v>
      </c>
      <c r="BE279" s="1"/>
      <c r="BH279">
        <f>COUNTIF(Dropdowns!$I:$AF,C279)</f>
        <v>0</v>
      </c>
    </row>
    <row r="280" spans="1:60" x14ac:dyDescent="0.25">
      <c r="A280" s="1">
        <v>286</v>
      </c>
      <c r="B280" s="1" t="s">
        <v>3832</v>
      </c>
      <c r="C280" s="241" t="s">
        <v>1661</v>
      </c>
      <c r="D280" s="1" t="s">
        <v>3833</v>
      </c>
      <c r="E280" s="1"/>
      <c r="F280" s="1"/>
      <c r="G280" s="1" t="s">
        <v>3834</v>
      </c>
      <c r="H280" s="1" t="s">
        <v>3835</v>
      </c>
      <c r="I280" s="1" t="s">
        <v>3836</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5275</v>
      </c>
      <c r="AK280" s="1" t="s">
        <v>329</v>
      </c>
      <c r="AL280" s="1">
        <v>13</v>
      </c>
      <c r="AM280" s="1" t="s">
        <v>4791</v>
      </c>
      <c r="AN280" s="1" t="s">
        <v>4789</v>
      </c>
      <c r="AO280" s="1" t="s">
        <v>5119</v>
      </c>
      <c r="AP280" s="1">
        <v>0</v>
      </c>
      <c r="AQ280" s="1" t="s">
        <v>1130</v>
      </c>
      <c r="AR280" s="1" t="s">
        <v>1120</v>
      </c>
      <c r="AS280" s="1" t="s">
        <v>1131</v>
      </c>
      <c r="AT280" s="1" t="s">
        <v>329</v>
      </c>
      <c r="AU280" s="1">
        <v>150</v>
      </c>
      <c r="AV280" s="1">
        <v>0</v>
      </c>
      <c r="AW280" s="1" t="s">
        <v>5274</v>
      </c>
      <c r="AX280" s="1" t="s">
        <v>332</v>
      </c>
      <c r="AY280" s="1">
        <v>4</v>
      </c>
      <c r="AZ280" s="1">
        <v>0</v>
      </c>
      <c r="BA280" s="1" t="s">
        <v>329</v>
      </c>
      <c r="BB280" s="1" t="s">
        <v>329</v>
      </c>
      <c r="BC280" s="1" t="s">
        <v>4721</v>
      </c>
      <c r="BD280" s="1">
        <v>10302</v>
      </c>
      <c r="BE280" s="1"/>
      <c r="BH280">
        <f>COUNTIF(Dropdowns!$I:$AF,C280)</f>
        <v>1</v>
      </c>
    </row>
    <row r="281" spans="1:60" x14ac:dyDescent="0.25">
      <c r="A281" s="1">
        <v>287</v>
      </c>
      <c r="B281" s="1" t="s">
        <v>3837</v>
      </c>
      <c r="C281" s="241" t="s">
        <v>246</v>
      </c>
      <c r="D281" s="1" t="s">
        <v>246</v>
      </c>
      <c r="E281" s="1"/>
      <c r="F281" s="1"/>
      <c r="G281" s="1" t="s">
        <v>3838</v>
      </c>
      <c r="H281" s="1" t="s">
        <v>3839</v>
      </c>
      <c r="I281" s="1" t="s">
        <v>3840</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1302</v>
      </c>
      <c r="AK281" s="1" t="s">
        <v>1303</v>
      </c>
      <c r="AL281" s="1">
        <v>13</v>
      </c>
      <c r="AM281" s="1" t="s">
        <v>4720</v>
      </c>
      <c r="AN281" s="1" t="s">
        <v>4830</v>
      </c>
      <c r="AO281" s="1" t="s">
        <v>5134</v>
      </c>
      <c r="AP281" s="1">
        <v>0</v>
      </c>
      <c r="AQ281" s="1" t="s">
        <v>1131</v>
      </c>
      <c r="AR281" s="1" t="s">
        <v>1155</v>
      </c>
      <c r="AS281" s="1" t="s">
        <v>1130</v>
      </c>
      <c r="AT281" s="1" t="s">
        <v>329</v>
      </c>
      <c r="AU281" s="1">
        <v>73</v>
      </c>
      <c r="AV281" s="1">
        <v>0</v>
      </c>
      <c r="AW281" s="1" t="s">
        <v>5274</v>
      </c>
      <c r="AX281" s="1" t="s">
        <v>5018</v>
      </c>
      <c r="AY281" s="1">
        <v>5</v>
      </c>
      <c r="AZ281" s="1">
        <v>0</v>
      </c>
      <c r="BA281" s="1" t="s">
        <v>329</v>
      </c>
      <c r="BB281" s="1" t="s">
        <v>329</v>
      </c>
      <c r="BC281" s="1" t="s">
        <v>329</v>
      </c>
      <c r="BD281" s="1">
        <v>10403</v>
      </c>
      <c r="BE281" s="1"/>
      <c r="BH281">
        <f>COUNTIF(Dropdowns!$I:$AF,C281)</f>
        <v>1</v>
      </c>
    </row>
    <row r="282" spans="1:60" x14ac:dyDescent="0.25">
      <c r="A282" s="1">
        <v>288</v>
      </c>
      <c r="B282" s="1" t="s">
        <v>3841</v>
      </c>
      <c r="C282" s="241" t="s">
        <v>1662</v>
      </c>
      <c r="D282" s="1" t="s">
        <v>1662</v>
      </c>
      <c r="E282" s="1"/>
      <c r="F282" s="1"/>
      <c r="G282" s="1" t="s">
        <v>3842</v>
      </c>
      <c r="H282" s="1" t="s">
        <v>3843</v>
      </c>
      <c r="I282" s="1" t="s">
        <v>3844</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1304</v>
      </c>
      <c r="AK282" s="1" t="s">
        <v>329</v>
      </c>
      <c r="AL282" s="1">
        <v>13</v>
      </c>
      <c r="AM282" s="1" t="s">
        <v>4720</v>
      </c>
      <c r="AN282" s="1" t="s">
        <v>4830</v>
      </c>
      <c r="AO282" s="1" t="s">
        <v>4866</v>
      </c>
      <c r="AP282" s="1">
        <v>0</v>
      </c>
      <c r="AQ282" s="1" t="s">
        <v>1131</v>
      </c>
      <c r="AR282" s="1" t="s">
        <v>1155</v>
      </c>
      <c r="AS282" s="1" t="s">
        <v>1130</v>
      </c>
      <c r="AT282" s="1" t="s">
        <v>329</v>
      </c>
      <c r="AU282" s="1">
        <v>48</v>
      </c>
      <c r="AV282" s="1">
        <v>0</v>
      </c>
      <c r="AW282" s="1" t="s">
        <v>5274</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3845</v>
      </c>
      <c r="C283" s="241" t="s">
        <v>791</v>
      </c>
      <c r="D283" s="1" t="s">
        <v>3846</v>
      </c>
      <c r="E283" s="1"/>
      <c r="F283" s="1"/>
      <c r="G283" s="1" t="s">
        <v>3847</v>
      </c>
      <c r="H283" s="1" t="s">
        <v>3848</v>
      </c>
      <c r="I283" s="1" t="s">
        <v>3849</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1236</v>
      </c>
      <c r="AL283" s="1">
        <v>13</v>
      </c>
      <c r="AM283" s="1" t="s">
        <v>4720</v>
      </c>
      <c r="AN283" s="1" t="s">
        <v>4835</v>
      </c>
      <c r="AO283" s="1" t="s">
        <v>5134</v>
      </c>
      <c r="AP283" s="1">
        <v>0</v>
      </c>
      <c r="AQ283" s="1" t="s">
        <v>1131</v>
      </c>
      <c r="AR283" s="1" t="s">
        <v>1155</v>
      </c>
      <c r="AS283" s="1" t="s">
        <v>1130</v>
      </c>
      <c r="AT283" s="1" t="s">
        <v>329</v>
      </c>
      <c r="AU283" s="1">
        <v>215</v>
      </c>
      <c r="AV283" s="1">
        <v>0</v>
      </c>
      <c r="AW283" s="1" t="s">
        <v>5276</v>
      </c>
      <c r="AX283" s="1" t="s">
        <v>5277</v>
      </c>
      <c r="AY283" s="1">
        <v>5</v>
      </c>
      <c r="AZ283" s="1">
        <v>0</v>
      </c>
      <c r="BA283" s="1" t="s">
        <v>329</v>
      </c>
      <c r="BB283" s="1" t="s">
        <v>329</v>
      </c>
      <c r="BC283" s="1" t="s">
        <v>4721</v>
      </c>
      <c r="BD283" s="1">
        <v>10803</v>
      </c>
      <c r="BE283" s="1"/>
      <c r="BH283">
        <f>COUNTIF(Dropdowns!$I:$AF,C283)</f>
        <v>1</v>
      </c>
    </row>
    <row r="284" spans="1:60" x14ac:dyDescent="0.25">
      <c r="A284" s="1">
        <v>290</v>
      </c>
      <c r="B284" s="1" t="s">
        <v>3850</v>
      </c>
      <c r="C284" s="241" t="s">
        <v>792</v>
      </c>
      <c r="D284" s="1" t="s">
        <v>3851</v>
      </c>
      <c r="E284" s="1"/>
      <c r="F284" s="1"/>
      <c r="G284" s="1" t="s">
        <v>3852</v>
      </c>
      <c r="H284" s="1" t="s">
        <v>3853</v>
      </c>
      <c r="I284" s="1" t="s">
        <v>3854</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1305</v>
      </c>
      <c r="AK284" s="1" t="s">
        <v>1306</v>
      </c>
      <c r="AL284" s="1">
        <v>13</v>
      </c>
      <c r="AM284" s="1" t="s">
        <v>4720</v>
      </c>
      <c r="AN284" s="1" t="s">
        <v>4865</v>
      </c>
      <c r="AO284" s="1" t="s">
        <v>5170</v>
      </c>
      <c r="AP284" s="1">
        <v>0</v>
      </c>
      <c r="AQ284" s="1" t="s">
        <v>1131</v>
      </c>
      <c r="AR284" s="1" t="s">
        <v>1155</v>
      </c>
      <c r="AS284" s="1" t="s">
        <v>1130</v>
      </c>
      <c r="AT284" s="1" t="s">
        <v>329</v>
      </c>
      <c r="AU284" s="1">
        <v>215</v>
      </c>
      <c r="AV284" s="1">
        <v>0</v>
      </c>
      <c r="AW284" s="1" t="s">
        <v>5278</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3855</v>
      </c>
      <c r="C285" s="241" t="s">
        <v>1688</v>
      </c>
      <c r="D285" s="1" t="s">
        <v>3856</v>
      </c>
      <c r="E285" s="1"/>
      <c r="F285" s="1"/>
      <c r="G285" s="1" t="s">
        <v>3857</v>
      </c>
      <c r="H285" s="1" t="s">
        <v>3858</v>
      </c>
      <c r="I285" s="1" t="s">
        <v>3859</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1126</v>
      </c>
      <c r="AK285" s="1" t="s">
        <v>329</v>
      </c>
      <c r="AL285" s="1">
        <v>13</v>
      </c>
      <c r="AM285" s="1" t="s">
        <v>4791</v>
      </c>
      <c r="AN285" s="1" t="s">
        <v>389</v>
      </c>
      <c r="AO285" s="1" t="s">
        <v>4995</v>
      </c>
      <c r="AP285" s="1">
        <v>0</v>
      </c>
      <c r="AQ285" s="1" t="s">
        <v>1130</v>
      </c>
      <c r="AR285" s="1" t="s">
        <v>1120</v>
      </c>
      <c r="AS285" s="1" t="s">
        <v>1131</v>
      </c>
      <c r="AT285" s="1" t="s">
        <v>329</v>
      </c>
      <c r="AU285" s="1">
        <v>116</v>
      </c>
      <c r="AV285" s="1">
        <v>0</v>
      </c>
      <c r="AW285" s="1" t="s">
        <v>5279</v>
      </c>
      <c r="AX285" s="1" t="s">
        <v>5280</v>
      </c>
      <c r="AY285" s="1">
        <v>3</v>
      </c>
      <c r="AZ285" s="1">
        <v>0</v>
      </c>
      <c r="BA285" s="1" t="s">
        <v>329</v>
      </c>
      <c r="BB285" s="1" t="s">
        <v>329</v>
      </c>
      <c r="BC285" s="1" t="s">
        <v>329</v>
      </c>
      <c r="BD285" s="1">
        <v>10704</v>
      </c>
      <c r="BE285" s="1"/>
      <c r="BH285">
        <f>COUNTIF(Dropdowns!$I:$AF,C285)</f>
        <v>1</v>
      </c>
    </row>
    <row r="286" spans="1:60" x14ac:dyDescent="0.25">
      <c r="A286" s="1">
        <v>292</v>
      </c>
      <c r="B286" s="1" t="s">
        <v>3860</v>
      </c>
      <c r="C286" s="241" t="s">
        <v>1663</v>
      </c>
      <c r="D286" s="1" t="s">
        <v>1663</v>
      </c>
      <c r="E286" s="1"/>
      <c r="F286" s="1"/>
      <c r="G286" s="1" t="s">
        <v>3861</v>
      </c>
      <c r="H286" s="1" t="s">
        <v>3862</v>
      </c>
      <c r="I286" s="1" t="s">
        <v>3863</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1307</v>
      </c>
      <c r="AK286" s="1" t="s">
        <v>1308</v>
      </c>
      <c r="AL286" s="1">
        <v>17</v>
      </c>
      <c r="AM286" s="1" t="s">
        <v>973</v>
      </c>
      <c r="AN286" s="1" t="s">
        <v>5281</v>
      </c>
      <c r="AO286" s="1" t="s">
        <v>5282</v>
      </c>
      <c r="AP286" s="1">
        <v>0</v>
      </c>
      <c r="AQ286" s="1" t="s">
        <v>1168</v>
      </c>
      <c r="AR286" s="1" t="s">
        <v>1169</v>
      </c>
      <c r="AS286" s="1" t="s">
        <v>1170</v>
      </c>
      <c r="AT286" s="1" t="s">
        <v>329</v>
      </c>
      <c r="AU286" s="1">
        <v>238</v>
      </c>
      <c r="AV286" s="1">
        <v>0</v>
      </c>
      <c r="AW286" s="1" t="s">
        <v>5283</v>
      </c>
      <c r="AX286" s="1" t="s">
        <v>5166</v>
      </c>
      <c r="AY286" s="1">
        <v>5</v>
      </c>
      <c r="AZ286" s="1">
        <v>0</v>
      </c>
      <c r="BA286" s="1" t="s">
        <v>329</v>
      </c>
      <c r="BB286" s="1" t="s">
        <v>4973</v>
      </c>
      <c r="BC286" s="1" t="s">
        <v>5150</v>
      </c>
      <c r="BD286" s="1">
        <v>10104</v>
      </c>
      <c r="BE286" s="1"/>
      <c r="BH286">
        <f>COUNTIF(Dropdowns!$I:$AF,C286)</f>
        <v>1</v>
      </c>
    </row>
    <row r="287" spans="1:60" x14ac:dyDescent="0.25">
      <c r="A287" s="1">
        <v>293</v>
      </c>
      <c r="B287" s="1" t="s">
        <v>3864</v>
      </c>
      <c r="C287" s="241" t="s">
        <v>1664</v>
      </c>
      <c r="D287" s="1" t="s">
        <v>1664</v>
      </c>
      <c r="E287" s="1"/>
      <c r="F287" s="1"/>
      <c r="G287" s="1" t="s">
        <v>3865</v>
      </c>
      <c r="H287" s="1" t="s">
        <v>3866</v>
      </c>
      <c r="I287" s="1" t="s">
        <v>3867</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5284</v>
      </c>
      <c r="AK287" s="1" t="s">
        <v>1309</v>
      </c>
      <c r="AL287" s="1">
        <v>13</v>
      </c>
      <c r="AM287" s="1" t="s">
        <v>4720</v>
      </c>
      <c r="AN287" s="1" t="s">
        <v>4865</v>
      </c>
      <c r="AO287" s="1" t="s">
        <v>5169</v>
      </c>
      <c r="AP287" s="1">
        <v>0</v>
      </c>
      <c r="AQ287" s="1" t="s">
        <v>1131</v>
      </c>
      <c r="AR287" s="1" t="s">
        <v>1155</v>
      </c>
      <c r="AS287" s="1" t="s">
        <v>1130</v>
      </c>
      <c r="AT287" s="1" t="s">
        <v>329</v>
      </c>
      <c r="AU287" s="1">
        <v>215</v>
      </c>
      <c r="AV287" s="1">
        <v>0</v>
      </c>
      <c r="AW287" s="1" t="s">
        <v>5283</v>
      </c>
      <c r="AX287" s="1" t="s">
        <v>5166</v>
      </c>
      <c r="AY287" s="1">
        <v>5</v>
      </c>
      <c r="AZ287" s="1">
        <v>0</v>
      </c>
      <c r="BA287" s="1" t="s">
        <v>329</v>
      </c>
      <c r="BB287" s="1" t="s">
        <v>329</v>
      </c>
      <c r="BC287" s="1" t="s">
        <v>5150</v>
      </c>
      <c r="BD287" s="1">
        <v>10104</v>
      </c>
      <c r="BE287" s="1"/>
      <c r="BH287">
        <f>COUNTIF(Dropdowns!$I:$AF,C287)</f>
        <v>1</v>
      </c>
    </row>
    <row r="288" spans="1:60" x14ac:dyDescent="0.25">
      <c r="A288" s="1">
        <v>294</v>
      </c>
      <c r="B288" s="1" t="s">
        <v>3868</v>
      </c>
      <c r="C288" s="241" t="s">
        <v>793</v>
      </c>
      <c r="D288" s="1" t="s">
        <v>793</v>
      </c>
      <c r="E288" s="1"/>
      <c r="F288" s="1"/>
      <c r="G288" s="1" t="s">
        <v>3869</v>
      </c>
      <c r="H288" s="1" t="s">
        <v>3870</v>
      </c>
      <c r="I288" s="1" t="s">
        <v>3871</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1310</v>
      </c>
      <c r="AK288" s="1" t="s">
        <v>1311</v>
      </c>
      <c r="AL288" s="1">
        <v>14</v>
      </c>
      <c r="AM288" s="1" t="s">
        <v>1807</v>
      </c>
      <c r="AN288" s="1" t="s">
        <v>5285</v>
      </c>
      <c r="AO288" s="1" t="s">
        <v>5078</v>
      </c>
      <c r="AP288" s="1">
        <v>0</v>
      </c>
      <c r="AQ288" s="1" t="s">
        <v>1119</v>
      </c>
      <c r="AR288" s="1" t="s">
        <v>1120</v>
      </c>
      <c r="AS288" s="1" t="s">
        <v>1121</v>
      </c>
      <c r="AT288" s="1" t="s">
        <v>329</v>
      </c>
      <c r="AU288" s="1">
        <v>96</v>
      </c>
      <c r="AV288" s="1">
        <v>0</v>
      </c>
      <c r="AW288" s="1" t="s">
        <v>5283</v>
      </c>
      <c r="AX288" s="1" t="s">
        <v>5286</v>
      </c>
      <c r="AY288" s="1">
        <v>5</v>
      </c>
      <c r="AZ288" s="1">
        <v>0</v>
      </c>
      <c r="BA288" s="1" t="s">
        <v>329</v>
      </c>
      <c r="BB288" s="1" t="s">
        <v>329</v>
      </c>
      <c r="BC288" s="1" t="s">
        <v>329</v>
      </c>
      <c r="BD288" s="1">
        <v>10201</v>
      </c>
      <c r="BE288" s="1"/>
      <c r="BH288">
        <f>COUNTIF(Dropdowns!$I:$AF,C288)</f>
        <v>0</v>
      </c>
    </row>
    <row r="289" spans="1:60" x14ac:dyDescent="0.25">
      <c r="A289" s="1">
        <v>295</v>
      </c>
      <c r="B289" s="1" t="s">
        <v>3872</v>
      </c>
      <c r="C289" s="241" t="s">
        <v>794</v>
      </c>
      <c r="D289" s="1" t="s">
        <v>3873</v>
      </c>
      <c r="E289" s="1"/>
      <c r="F289" s="1"/>
      <c r="G289" s="1" t="s">
        <v>3874</v>
      </c>
      <c r="H289" s="1" t="s">
        <v>3875</v>
      </c>
      <c r="I289" s="1" t="s">
        <v>3876</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1312</v>
      </c>
      <c r="AK289" s="1" t="s">
        <v>329</v>
      </c>
      <c r="AL289" s="1">
        <v>12</v>
      </c>
      <c r="AM289" s="1" t="s">
        <v>4791</v>
      </c>
      <c r="AN289" s="1" t="s">
        <v>5199</v>
      </c>
      <c r="AO289" s="1" t="s">
        <v>5287</v>
      </c>
      <c r="AP289" s="1">
        <v>0</v>
      </c>
      <c r="AQ289" s="1" t="s">
        <v>1130</v>
      </c>
      <c r="AR289" s="1" t="s">
        <v>1120</v>
      </c>
      <c r="AS289" s="1" t="s">
        <v>1131</v>
      </c>
      <c r="AT289" s="1" t="s">
        <v>329</v>
      </c>
      <c r="AU289" s="1">
        <v>150</v>
      </c>
      <c r="AV289" s="1">
        <v>0</v>
      </c>
      <c r="AW289" s="1" t="s">
        <v>5283</v>
      </c>
      <c r="AX289" s="1" t="s">
        <v>481</v>
      </c>
      <c r="AY289" s="1">
        <v>4</v>
      </c>
      <c r="AZ289" s="1">
        <v>0</v>
      </c>
      <c r="BA289" s="1" t="s">
        <v>329</v>
      </c>
      <c r="BB289" s="1" t="s">
        <v>329</v>
      </c>
      <c r="BC289" s="1" t="s">
        <v>4784</v>
      </c>
      <c r="BD289" s="1">
        <v>10802</v>
      </c>
      <c r="BE289" s="1"/>
      <c r="BH289">
        <f>COUNTIF(Dropdowns!$I:$AF,C289)</f>
        <v>1</v>
      </c>
    </row>
    <row r="290" spans="1:60" x14ac:dyDescent="0.25">
      <c r="A290" s="1">
        <v>296</v>
      </c>
      <c r="B290" s="1" t="s">
        <v>3877</v>
      </c>
      <c r="C290" s="241" t="s">
        <v>795</v>
      </c>
      <c r="D290" s="1" t="s">
        <v>795</v>
      </c>
      <c r="E290" s="1"/>
      <c r="F290" s="1"/>
      <c r="G290" s="1" t="s">
        <v>3878</v>
      </c>
      <c r="H290" s="1" t="s">
        <v>3879</v>
      </c>
      <c r="I290" s="1" t="s">
        <v>3880</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1313</v>
      </c>
      <c r="AK290" s="1" t="s">
        <v>1314</v>
      </c>
      <c r="AL290" s="1">
        <v>19</v>
      </c>
      <c r="AM290" s="1" t="s">
        <v>1807</v>
      </c>
      <c r="AN290" s="1" t="s">
        <v>5288</v>
      </c>
      <c r="AO290" s="1" t="s">
        <v>5020</v>
      </c>
      <c r="AP290" s="1">
        <v>0</v>
      </c>
      <c r="AQ290" s="1" t="s">
        <v>1141</v>
      </c>
      <c r="AR290" s="1" t="s">
        <v>1142</v>
      </c>
      <c r="AS290" s="1" t="s">
        <v>1143</v>
      </c>
      <c r="AT290" s="1" t="s">
        <v>329</v>
      </c>
      <c r="AU290" s="1">
        <v>222</v>
      </c>
      <c r="AV290" s="1">
        <v>0</v>
      </c>
      <c r="AW290" s="1" t="s">
        <v>5283</v>
      </c>
      <c r="AX290" s="1" t="s">
        <v>5289</v>
      </c>
      <c r="AY290" s="1">
        <v>5</v>
      </c>
      <c r="AZ290" s="1">
        <v>0</v>
      </c>
      <c r="BA290" s="1" t="s">
        <v>329</v>
      </c>
      <c r="BB290" s="1" t="s">
        <v>329</v>
      </c>
      <c r="BC290" s="1" t="s">
        <v>4770</v>
      </c>
      <c r="BD290" s="1">
        <v>10401</v>
      </c>
      <c r="BE290" s="1"/>
      <c r="BH290">
        <f>COUNTIF(Dropdowns!$I:$AF,C290)</f>
        <v>1</v>
      </c>
    </row>
    <row r="291" spans="1:60" x14ac:dyDescent="0.25">
      <c r="A291" s="1">
        <v>297</v>
      </c>
      <c r="B291" s="1" t="s">
        <v>3881</v>
      </c>
      <c r="C291" s="241" t="s">
        <v>796</v>
      </c>
      <c r="D291" s="1" t="s">
        <v>796</v>
      </c>
      <c r="E291" s="1"/>
      <c r="F291" s="1"/>
      <c r="G291" s="1" t="s">
        <v>3882</v>
      </c>
      <c r="H291" s="1" t="s">
        <v>3883</v>
      </c>
      <c r="I291" s="1" t="s">
        <v>3884</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1161</v>
      </c>
      <c r="AK291" s="1" t="s">
        <v>329</v>
      </c>
      <c r="AL291" s="1">
        <v>13</v>
      </c>
      <c r="AM291" s="1" t="s">
        <v>4720</v>
      </c>
      <c r="AN291" s="1" t="s">
        <v>4830</v>
      </c>
      <c r="AO291" s="1" t="s">
        <v>4866</v>
      </c>
      <c r="AP291" s="1">
        <v>0</v>
      </c>
      <c r="AQ291" s="1" t="s">
        <v>1131</v>
      </c>
      <c r="AR291" s="1" t="s">
        <v>1155</v>
      </c>
      <c r="AS291" s="1" t="s">
        <v>1130</v>
      </c>
      <c r="AT291" s="1" t="s">
        <v>329</v>
      </c>
      <c r="AU291" s="1">
        <v>48</v>
      </c>
      <c r="AV291" s="1">
        <v>0</v>
      </c>
      <c r="AW291" s="1" t="s">
        <v>5283</v>
      </c>
      <c r="AX291" s="1" t="s">
        <v>5290</v>
      </c>
      <c r="AY291" s="1">
        <v>4</v>
      </c>
      <c r="AZ291" s="1">
        <v>0</v>
      </c>
      <c r="BA291" s="1" t="s">
        <v>329</v>
      </c>
      <c r="BB291" s="1" t="s">
        <v>329</v>
      </c>
      <c r="BC291" s="1" t="s">
        <v>329</v>
      </c>
      <c r="BD291" s="1">
        <v>10403</v>
      </c>
      <c r="BE291" s="1"/>
      <c r="BH291">
        <f>COUNTIF(Dropdowns!$I:$AF,C291)</f>
        <v>1</v>
      </c>
    </row>
    <row r="292" spans="1:60" x14ac:dyDescent="0.25">
      <c r="A292" s="1">
        <v>298</v>
      </c>
      <c r="B292" s="1" t="s">
        <v>3885</v>
      </c>
      <c r="C292" s="241" t="s">
        <v>797</v>
      </c>
      <c r="D292" s="1" t="s">
        <v>3886</v>
      </c>
      <c r="E292" s="1"/>
      <c r="F292" s="1"/>
      <c r="G292" s="1" t="s">
        <v>3887</v>
      </c>
      <c r="H292" s="1" t="s">
        <v>3888</v>
      </c>
      <c r="I292" s="1" t="s">
        <v>3889</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4897</v>
      </c>
      <c r="AK292" s="1" t="s">
        <v>329</v>
      </c>
      <c r="AL292" s="1">
        <v>13</v>
      </c>
      <c r="AM292" s="1" t="s">
        <v>4791</v>
      </c>
      <c r="AN292" s="1" t="s">
        <v>465</v>
      </c>
      <c r="AO292" s="1" t="s">
        <v>5081</v>
      </c>
      <c r="AP292" s="1">
        <v>0</v>
      </c>
      <c r="AQ292" s="1" t="s">
        <v>1131</v>
      </c>
      <c r="AR292" s="1" t="s">
        <v>1155</v>
      </c>
      <c r="AS292" s="1" t="s">
        <v>1130</v>
      </c>
      <c r="AT292" s="1" t="s">
        <v>329</v>
      </c>
      <c r="AU292" s="1">
        <v>171</v>
      </c>
      <c r="AV292" s="1">
        <v>0</v>
      </c>
      <c r="AW292" s="1" t="s">
        <v>5291</v>
      </c>
      <c r="AX292" s="1" t="s">
        <v>5292</v>
      </c>
      <c r="AY292" s="1">
        <v>3</v>
      </c>
      <c r="AZ292" s="1">
        <v>0</v>
      </c>
      <c r="BA292" s="1" t="s">
        <v>329</v>
      </c>
      <c r="BB292" s="1" t="s">
        <v>329</v>
      </c>
      <c r="BC292" s="1" t="s">
        <v>329</v>
      </c>
      <c r="BD292" s="1">
        <v>10802</v>
      </c>
      <c r="BE292" s="1"/>
      <c r="BH292">
        <f>COUNTIF(Dropdowns!$I:$AF,C292)</f>
        <v>1</v>
      </c>
    </row>
    <row r="293" spans="1:60" x14ac:dyDescent="0.25">
      <c r="A293" s="1">
        <v>299</v>
      </c>
      <c r="B293" s="1" t="s">
        <v>3890</v>
      </c>
      <c r="C293" s="241" t="s">
        <v>247</v>
      </c>
      <c r="D293" s="1" t="s">
        <v>247</v>
      </c>
      <c r="E293" s="1"/>
      <c r="F293" s="1"/>
      <c r="G293" s="1" t="s">
        <v>3891</v>
      </c>
      <c r="H293" s="1" t="s">
        <v>3892</v>
      </c>
      <c r="I293" s="1" t="s">
        <v>3893</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5293</v>
      </c>
      <c r="AK293" s="1" t="s">
        <v>329</v>
      </c>
      <c r="AL293" s="1">
        <v>8</v>
      </c>
      <c r="AM293" s="1" t="s">
        <v>4717</v>
      </c>
      <c r="AN293" s="1" t="s">
        <v>399</v>
      </c>
      <c r="AO293" s="1" t="s">
        <v>5069</v>
      </c>
      <c r="AP293" s="1">
        <v>0</v>
      </c>
      <c r="AQ293" s="1" t="s">
        <v>1201</v>
      </c>
      <c r="AR293" s="1" t="s">
        <v>1202</v>
      </c>
      <c r="AS293" s="1" t="s">
        <v>1203</v>
      </c>
      <c r="AT293" s="1" t="s">
        <v>329</v>
      </c>
      <c r="AU293" s="1">
        <v>190</v>
      </c>
      <c r="AV293" s="1">
        <v>0</v>
      </c>
      <c r="AW293" s="1" t="s">
        <v>5294</v>
      </c>
      <c r="AX293" s="1" t="s">
        <v>5295</v>
      </c>
      <c r="AY293" s="1">
        <v>3</v>
      </c>
      <c r="AZ293" s="1">
        <v>0</v>
      </c>
      <c r="BA293" s="1" t="s">
        <v>329</v>
      </c>
      <c r="BB293" s="1" t="s">
        <v>329</v>
      </c>
      <c r="BC293" s="1" t="s">
        <v>4721</v>
      </c>
      <c r="BD293" s="1">
        <v>10402</v>
      </c>
      <c r="BE293" s="1"/>
      <c r="BH293">
        <f>COUNTIF(Dropdowns!$I:$AF,C293)</f>
        <v>1</v>
      </c>
    </row>
    <row r="294" spans="1:60" x14ac:dyDescent="0.25">
      <c r="A294" s="1">
        <v>300</v>
      </c>
      <c r="B294" s="1" t="s">
        <v>3894</v>
      </c>
      <c r="C294" s="241" t="s">
        <v>798</v>
      </c>
      <c r="D294" s="1" t="s">
        <v>798</v>
      </c>
      <c r="E294" s="1"/>
      <c r="F294" s="1"/>
      <c r="G294" s="1" t="s">
        <v>3895</v>
      </c>
      <c r="H294" s="1" t="s">
        <v>3896</v>
      </c>
      <c r="I294" s="1" t="s">
        <v>3897</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4923</v>
      </c>
      <c r="AK294" s="1" t="s">
        <v>329</v>
      </c>
      <c r="AL294" s="1">
        <v>18</v>
      </c>
      <c r="AM294" s="1" t="s">
        <v>4859</v>
      </c>
      <c r="AN294" s="1" t="s">
        <v>4932</v>
      </c>
      <c r="AO294" s="1" t="s">
        <v>4945</v>
      </c>
      <c r="AP294" s="1">
        <v>0</v>
      </c>
      <c r="AQ294" s="1" t="s">
        <v>1168</v>
      </c>
      <c r="AR294" s="1" t="s">
        <v>1169</v>
      </c>
      <c r="AS294" s="1" t="s">
        <v>1170</v>
      </c>
      <c r="AT294" s="1" t="s">
        <v>329</v>
      </c>
      <c r="AU294" s="1">
        <v>208</v>
      </c>
      <c r="AV294" s="1">
        <v>0</v>
      </c>
      <c r="AW294" s="1" t="s">
        <v>5296</v>
      </c>
      <c r="AX294" s="1" t="s">
        <v>5297</v>
      </c>
      <c r="AY294" s="1">
        <v>3</v>
      </c>
      <c r="AZ294" s="1">
        <v>0</v>
      </c>
      <c r="BA294" s="1" t="s">
        <v>329</v>
      </c>
      <c r="BB294" s="1" t="s">
        <v>329</v>
      </c>
      <c r="BC294" s="1" t="s">
        <v>329</v>
      </c>
      <c r="BD294" s="1">
        <v>10702</v>
      </c>
      <c r="BE294" s="1"/>
      <c r="BH294">
        <f>COUNTIF(Dropdowns!$I:$AF,C294)</f>
        <v>1</v>
      </c>
    </row>
    <row r="295" spans="1:60" x14ac:dyDescent="0.25">
      <c r="A295" s="1">
        <v>301</v>
      </c>
      <c r="B295" s="1" t="s">
        <v>3898</v>
      </c>
      <c r="C295" s="241" t="s">
        <v>1665</v>
      </c>
      <c r="D295" s="1" t="s">
        <v>1665</v>
      </c>
      <c r="E295" s="1"/>
      <c r="F295" s="1"/>
      <c r="G295" s="1" t="s">
        <v>3899</v>
      </c>
      <c r="H295" s="1" t="s">
        <v>3900</v>
      </c>
      <c r="I295" s="1" t="s">
        <v>3901</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1126</v>
      </c>
      <c r="AK295" s="1" t="s">
        <v>329</v>
      </c>
      <c r="AL295" s="1">
        <v>14</v>
      </c>
      <c r="AM295" s="1" t="s">
        <v>4791</v>
      </c>
      <c r="AN295" s="1" t="s">
        <v>403</v>
      </c>
      <c r="AO295" s="1" t="s">
        <v>5298</v>
      </c>
      <c r="AP295" s="1">
        <v>0</v>
      </c>
      <c r="AQ295" s="1" t="s">
        <v>1130</v>
      </c>
      <c r="AR295" s="1" t="s">
        <v>1120</v>
      </c>
      <c r="AS295" s="1" t="s">
        <v>1131</v>
      </c>
      <c r="AT295" s="1" t="s">
        <v>329</v>
      </c>
      <c r="AU295" s="1">
        <v>116</v>
      </c>
      <c r="AV295" s="1">
        <v>0</v>
      </c>
      <c r="AW295" s="1" t="s">
        <v>5299</v>
      </c>
      <c r="AX295" s="1" t="s">
        <v>5300</v>
      </c>
      <c r="AY295" s="1">
        <v>3</v>
      </c>
      <c r="AZ295" s="1">
        <v>0</v>
      </c>
      <c r="BA295" s="1" t="s">
        <v>329</v>
      </c>
      <c r="BB295" s="1" t="s">
        <v>329</v>
      </c>
      <c r="BC295" s="1" t="s">
        <v>329</v>
      </c>
      <c r="BD295" s="1">
        <v>10704</v>
      </c>
      <c r="BE295" s="1"/>
      <c r="BH295">
        <f>COUNTIF(Dropdowns!$I:$AF,C295)</f>
        <v>1</v>
      </c>
    </row>
    <row r="296" spans="1:60" x14ac:dyDescent="0.25">
      <c r="A296" s="1">
        <v>302</v>
      </c>
      <c r="B296" s="1" t="s">
        <v>3902</v>
      </c>
      <c r="C296" s="241" t="s">
        <v>1605</v>
      </c>
      <c r="D296" s="1" t="s">
        <v>3903</v>
      </c>
      <c r="E296" s="1"/>
      <c r="F296" s="1"/>
      <c r="G296" s="1" t="s">
        <v>3904</v>
      </c>
      <c r="H296" s="1" t="s">
        <v>3905</v>
      </c>
      <c r="I296" s="1" t="s">
        <v>3906</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1315</v>
      </c>
      <c r="AK296" s="1" t="s">
        <v>1316</v>
      </c>
      <c r="AL296" s="1">
        <v>8</v>
      </c>
      <c r="AM296" s="1" t="s">
        <v>388</v>
      </c>
      <c r="AN296" s="1" t="s">
        <v>5301</v>
      </c>
      <c r="AO296" s="1" t="s">
        <v>4739</v>
      </c>
      <c r="AP296" s="1">
        <v>0</v>
      </c>
      <c r="AQ296" s="1" t="s">
        <v>1201</v>
      </c>
      <c r="AR296" s="1" t="s">
        <v>5061</v>
      </c>
      <c r="AS296" s="1" t="s">
        <v>1203</v>
      </c>
      <c r="AT296" s="1" t="s">
        <v>329</v>
      </c>
      <c r="AU296" s="1">
        <v>165</v>
      </c>
      <c r="AV296" s="1">
        <v>0</v>
      </c>
      <c r="AW296" s="1" t="s">
        <v>5302</v>
      </c>
      <c r="AX296" s="1" t="s">
        <v>5303</v>
      </c>
      <c r="AY296" s="1">
        <v>4</v>
      </c>
      <c r="AZ296" s="1">
        <v>0</v>
      </c>
      <c r="BA296" s="1" t="s">
        <v>329</v>
      </c>
      <c r="BB296" s="1" t="s">
        <v>329</v>
      </c>
      <c r="BC296" s="1" t="s">
        <v>4721</v>
      </c>
      <c r="BD296" s="1">
        <v>10403</v>
      </c>
      <c r="BE296" s="1"/>
      <c r="BH296">
        <f>COUNTIF(Dropdowns!$I:$AF,C296)</f>
        <v>1</v>
      </c>
    </row>
    <row r="297" spans="1:60" x14ac:dyDescent="0.25">
      <c r="A297" s="1">
        <v>303</v>
      </c>
      <c r="B297" s="1" t="s">
        <v>3907</v>
      </c>
      <c r="C297" s="241" t="s">
        <v>1666</v>
      </c>
      <c r="D297" s="1" t="s">
        <v>3908</v>
      </c>
      <c r="E297" s="1"/>
      <c r="F297" s="1"/>
      <c r="G297" s="1" t="s">
        <v>3909</v>
      </c>
      <c r="H297" s="1" t="s">
        <v>3910</v>
      </c>
      <c r="I297" s="1" t="s">
        <v>3911</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1317</v>
      </c>
      <c r="AL297" s="1">
        <v>14</v>
      </c>
      <c r="AM297" s="1" t="s">
        <v>1807</v>
      </c>
      <c r="AN297" s="1" t="s">
        <v>5304</v>
      </c>
      <c r="AO297" s="1" t="s">
        <v>4955</v>
      </c>
      <c r="AP297" s="1">
        <v>0</v>
      </c>
      <c r="AQ297" s="1" t="s">
        <v>1119</v>
      </c>
      <c r="AR297" s="1" t="s">
        <v>1120</v>
      </c>
      <c r="AS297" s="1" t="s">
        <v>1121</v>
      </c>
      <c r="AT297" s="1" t="s">
        <v>329</v>
      </c>
      <c r="AU297" s="1">
        <v>96</v>
      </c>
      <c r="AV297" s="1">
        <v>0</v>
      </c>
      <c r="AW297" s="1" t="s">
        <v>5305</v>
      </c>
      <c r="AX297" s="1" t="s">
        <v>4763</v>
      </c>
      <c r="AY297" s="1">
        <v>5</v>
      </c>
      <c r="AZ297" s="1">
        <v>0</v>
      </c>
      <c r="BA297" s="1" t="s">
        <v>329</v>
      </c>
      <c r="BB297" s="1" t="s">
        <v>329</v>
      </c>
      <c r="BC297" s="1" t="s">
        <v>4721</v>
      </c>
      <c r="BD297" s="1">
        <v>10402</v>
      </c>
      <c r="BE297" s="1"/>
      <c r="BH297">
        <f>COUNTIF(Dropdowns!$I:$AF,C297)</f>
        <v>0</v>
      </c>
    </row>
    <row r="298" spans="1:60" x14ac:dyDescent="0.25">
      <c r="A298" s="1">
        <v>304</v>
      </c>
      <c r="B298" s="1" t="s">
        <v>3912</v>
      </c>
      <c r="C298" s="241" t="s">
        <v>799</v>
      </c>
      <c r="D298" s="1" t="s">
        <v>799</v>
      </c>
      <c r="E298" s="1"/>
      <c r="F298" s="1"/>
      <c r="G298" s="1" t="s">
        <v>3913</v>
      </c>
      <c r="H298" s="1" t="s">
        <v>3914</v>
      </c>
      <c r="I298" s="1" t="s">
        <v>3915</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1318</v>
      </c>
      <c r="AK298" s="1" t="s">
        <v>1319</v>
      </c>
      <c r="AL298" s="1">
        <v>12</v>
      </c>
      <c r="AM298" s="1" t="s">
        <v>4791</v>
      </c>
      <c r="AN298" s="1" t="s">
        <v>5306</v>
      </c>
      <c r="AO298" s="1" t="s">
        <v>4915</v>
      </c>
      <c r="AP298" s="1">
        <v>0</v>
      </c>
      <c r="AQ298" s="1" t="s">
        <v>1130</v>
      </c>
      <c r="AR298" s="1" t="s">
        <v>1120</v>
      </c>
      <c r="AS298" s="1" t="s">
        <v>1131</v>
      </c>
      <c r="AT298" s="1" t="s">
        <v>329</v>
      </c>
      <c r="AU298" s="1">
        <v>150</v>
      </c>
      <c r="AV298" s="1">
        <v>0</v>
      </c>
      <c r="AW298" s="1" t="s">
        <v>5305</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3916</v>
      </c>
      <c r="C299" s="241" t="s">
        <v>800</v>
      </c>
      <c r="D299" s="1" t="s">
        <v>800</v>
      </c>
      <c r="E299" s="1"/>
      <c r="F299" s="1"/>
      <c r="G299" s="1" t="s">
        <v>3917</v>
      </c>
      <c r="H299" s="1" t="s">
        <v>3918</v>
      </c>
      <c r="I299" s="1" t="s">
        <v>3919</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4763</v>
      </c>
      <c r="AN299" s="1" t="s">
        <v>465</v>
      </c>
      <c r="AO299" s="1" t="s">
        <v>4833</v>
      </c>
      <c r="AP299" s="1">
        <v>0</v>
      </c>
      <c r="AQ299" s="1" t="s">
        <v>1141</v>
      </c>
      <c r="AR299" s="1" t="s">
        <v>1142</v>
      </c>
      <c r="AS299" s="1" t="s">
        <v>1143</v>
      </c>
      <c r="AT299" s="1" t="s">
        <v>329</v>
      </c>
      <c r="AU299" s="1">
        <v>200</v>
      </c>
      <c r="AV299" s="1">
        <v>0</v>
      </c>
      <c r="AW299" s="1" t="s">
        <v>5305</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3920</v>
      </c>
      <c r="C300" s="241" t="s">
        <v>1667</v>
      </c>
      <c r="D300" s="1" t="s">
        <v>1667</v>
      </c>
      <c r="E300" s="1"/>
      <c r="F300" s="1"/>
      <c r="G300" s="1" t="s">
        <v>3921</v>
      </c>
      <c r="H300" s="1" t="s">
        <v>3922</v>
      </c>
      <c r="I300" s="1" t="s">
        <v>3923</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5307</v>
      </c>
      <c r="AK300" s="1" t="s">
        <v>1320</v>
      </c>
      <c r="AL300" s="1">
        <v>18</v>
      </c>
      <c r="AM300" s="1" t="s">
        <v>399</v>
      </c>
      <c r="AN300" s="1" t="s">
        <v>5308</v>
      </c>
      <c r="AO300" s="1" t="s">
        <v>5170</v>
      </c>
      <c r="AP300" s="1">
        <v>0</v>
      </c>
      <c r="AQ300" s="1" t="s">
        <v>1131</v>
      </c>
      <c r="AR300" s="1" t="s">
        <v>1155</v>
      </c>
      <c r="AS300" s="1" t="s">
        <v>1130</v>
      </c>
      <c r="AT300" s="1" t="s">
        <v>329</v>
      </c>
      <c r="AU300" s="1">
        <v>215</v>
      </c>
      <c r="AV300" s="1">
        <v>0</v>
      </c>
      <c r="AW300" s="1" t="s">
        <v>5305</v>
      </c>
      <c r="AX300" s="1" t="s">
        <v>332</v>
      </c>
      <c r="AY300" s="1">
        <v>5</v>
      </c>
      <c r="AZ300" s="1">
        <v>0</v>
      </c>
      <c r="BA300" s="1" t="s">
        <v>329</v>
      </c>
      <c r="BB300" s="1" t="s">
        <v>329</v>
      </c>
      <c r="BC300" s="1" t="s">
        <v>4721</v>
      </c>
      <c r="BD300" s="1">
        <v>10402</v>
      </c>
      <c r="BE300" s="1"/>
      <c r="BH300">
        <f>COUNTIF(Dropdowns!$I:$AF,C300)</f>
        <v>1</v>
      </c>
    </row>
    <row r="301" spans="1:60" x14ac:dyDescent="0.25">
      <c r="A301" s="1">
        <v>307</v>
      </c>
      <c r="B301" s="1" t="s">
        <v>3924</v>
      </c>
      <c r="C301" s="241" t="s">
        <v>1668</v>
      </c>
      <c r="D301" s="1" t="s">
        <v>1668</v>
      </c>
      <c r="E301" s="1"/>
      <c r="F301" s="1"/>
      <c r="G301" s="1" t="s">
        <v>3925</v>
      </c>
      <c r="H301" s="1" t="s">
        <v>3926</v>
      </c>
      <c r="I301" s="1" t="s">
        <v>3927</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1321</v>
      </c>
      <c r="AK301" s="1" t="s">
        <v>1322</v>
      </c>
      <c r="AL301" s="1">
        <v>18</v>
      </c>
      <c r="AM301" s="1" t="s">
        <v>4859</v>
      </c>
      <c r="AN301" s="1" t="s">
        <v>5235</v>
      </c>
      <c r="AO301" s="1" t="s">
        <v>5309</v>
      </c>
      <c r="AP301" s="1">
        <v>0</v>
      </c>
      <c r="AQ301" s="1" t="s">
        <v>1168</v>
      </c>
      <c r="AR301" s="1" t="s">
        <v>1169</v>
      </c>
      <c r="AS301" s="1" t="s">
        <v>1170</v>
      </c>
      <c r="AT301" s="1" t="s">
        <v>329</v>
      </c>
      <c r="AU301" s="1">
        <v>238</v>
      </c>
      <c r="AV301" s="1">
        <v>0</v>
      </c>
      <c r="AW301" s="1" t="s">
        <v>5305</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3928</v>
      </c>
      <c r="C302" s="241" t="s">
        <v>801</v>
      </c>
      <c r="D302" s="1" t="s">
        <v>801</v>
      </c>
      <c r="E302" s="1"/>
      <c r="F302" s="1"/>
      <c r="G302" s="1" t="s">
        <v>3929</v>
      </c>
      <c r="H302" s="1" t="s">
        <v>3930</v>
      </c>
      <c r="I302" s="1" t="s">
        <v>3931</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1126</v>
      </c>
      <c r="AK302" s="1" t="s">
        <v>329</v>
      </c>
      <c r="AL302" s="1">
        <v>13</v>
      </c>
      <c r="AM302" s="1" t="s">
        <v>4763</v>
      </c>
      <c r="AN302" s="1" t="s">
        <v>4885</v>
      </c>
      <c r="AO302" s="1" t="s">
        <v>4827</v>
      </c>
      <c r="AP302" s="1">
        <v>0</v>
      </c>
      <c r="AQ302" s="1" t="s">
        <v>1141</v>
      </c>
      <c r="AR302" s="1" t="s">
        <v>1142</v>
      </c>
      <c r="AS302" s="1" t="s">
        <v>1143</v>
      </c>
      <c r="AT302" s="1" t="s">
        <v>329</v>
      </c>
      <c r="AU302" s="1">
        <v>241</v>
      </c>
      <c r="AV302" s="1">
        <v>0</v>
      </c>
      <c r="AW302" s="1" t="s">
        <v>5310</v>
      </c>
      <c r="AX302" s="1" t="s">
        <v>5311</v>
      </c>
      <c r="AY302" s="1">
        <v>3</v>
      </c>
      <c r="AZ302" s="1">
        <v>0</v>
      </c>
      <c r="BA302" s="1" t="s">
        <v>329</v>
      </c>
      <c r="BB302" s="1" t="s">
        <v>329</v>
      </c>
      <c r="BC302" s="1" t="s">
        <v>329</v>
      </c>
      <c r="BD302" s="1">
        <v>10303</v>
      </c>
      <c r="BE302" s="1"/>
      <c r="BH302">
        <f>COUNTIF(Dropdowns!$I:$AF,C302)</f>
        <v>1</v>
      </c>
    </row>
    <row r="303" spans="1:60" x14ac:dyDescent="0.25">
      <c r="A303" s="1">
        <v>309</v>
      </c>
      <c r="B303" s="1" t="s">
        <v>3932</v>
      </c>
      <c r="C303" s="241" t="s">
        <v>802</v>
      </c>
      <c r="D303" s="1" t="s">
        <v>3933</v>
      </c>
      <c r="E303" s="1"/>
      <c r="F303" s="1"/>
      <c r="G303" s="1" t="s">
        <v>3934</v>
      </c>
      <c r="H303" s="1" t="s">
        <v>3935</v>
      </c>
      <c r="I303" s="1" t="s">
        <v>3936</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1323</v>
      </c>
      <c r="AK303" s="1" t="s">
        <v>1324</v>
      </c>
      <c r="AL303" s="1">
        <v>14</v>
      </c>
      <c r="AM303" s="1" t="s">
        <v>1807</v>
      </c>
      <c r="AN303" s="1" t="s">
        <v>5312</v>
      </c>
      <c r="AO303" s="1" t="s">
        <v>4810</v>
      </c>
      <c r="AP303" s="1">
        <v>0</v>
      </c>
      <c r="AQ303" s="1" t="s">
        <v>1119</v>
      </c>
      <c r="AR303" s="1" t="s">
        <v>1120</v>
      </c>
      <c r="AS303" s="1" t="s">
        <v>1121</v>
      </c>
      <c r="AT303" s="1" t="s">
        <v>329</v>
      </c>
      <c r="AU303" s="1">
        <v>15</v>
      </c>
      <c r="AV303" s="1">
        <v>0</v>
      </c>
      <c r="AW303" s="1" t="s">
        <v>5313</v>
      </c>
      <c r="AX303" s="1" t="s">
        <v>5314</v>
      </c>
      <c r="AY303" s="1">
        <v>3</v>
      </c>
      <c r="AZ303" s="1">
        <v>0</v>
      </c>
      <c r="BA303" s="1" t="s">
        <v>329</v>
      </c>
      <c r="BB303" s="1" t="s">
        <v>329</v>
      </c>
      <c r="BC303" s="1" t="s">
        <v>4770</v>
      </c>
      <c r="BD303" s="1">
        <v>10303</v>
      </c>
      <c r="BE303" s="1"/>
      <c r="BH303">
        <f>COUNTIF(Dropdowns!$I:$AF,C303)</f>
        <v>0</v>
      </c>
    </row>
    <row r="304" spans="1:60" x14ac:dyDescent="0.25">
      <c r="A304" s="1">
        <v>310</v>
      </c>
      <c r="B304" s="1" t="s">
        <v>3937</v>
      </c>
      <c r="C304" s="241" t="s">
        <v>803</v>
      </c>
      <c r="D304" s="1" t="s">
        <v>3938</v>
      </c>
      <c r="E304" s="1"/>
      <c r="F304" s="1"/>
      <c r="G304" s="1" t="s">
        <v>3939</v>
      </c>
      <c r="H304" s="1" t="s">
        <v>3940</v>
      </c>
      <c r="I304" s="1" t="s">
        <v>3941</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1807</v>
      </c>
      <c r="AN304" s="1" t="s">
        <v>5315</v>
      </c>
      <c r="AO304" s="1" t="s">
        <v>4742</v>
      </c>
      <c r="AP304" s="1">
        <v>0</v>
      </c>
      <c r="AQ304" s="1" t="s">
        <v>1119</v>
      </c>
      <c r="AR304" s="1" t="s">
        <v>1120</v>
      </c>
      <c r="AS304" s="1" t="s">
        <v>1121</v>
      </c>
      <c r="AT304" s="1" t="s">
        <v>329</v>
      </c>
      <c r="AU304" s="1">
        <v>212</v>
      </c>
      <c r="AV304" s="1">
        <v>0</v>
      </c>
      <c r="AW304" s="1" t="s">
        <v>5316</v>
      </c>
      <c r="AX304" s="1" t="s">
        <v>4763</v>
      </c>
      <c r="AY304" s="1">
        <v>4</v>
      </c>
      <c r="AZ304" s="1">
        <v>0</v>
      </c>
      <c r="BA304" s="1" t="s">
        <v>329</v>
      </c>
      <c r="BB304" s="1" t="s">
        <v>329</v>
      </c>
      <c r="BC304" s="1" t="s">
        <v>329</v>
      </c>
      <c r="BD304" s="1">
        <v>10703</v>
      </c>
      <c r="BE304" s="1"/>
      <c r="BH304">
        <f>COUNTIF(Dropdowns!$I:$AF,C304)</f>
        <v>0</v>
      </c>
    </row>
    <row r="305" spans="1:60" x14ac:dyDescent="0.25">
      <c r="A305" s="1">
        <v>311</v>
      </c>
      <c r="B305" s="1" t="s">
        <v>3942</v>
      </c>
      <c r="C305" s="241" t="s">
        <v>804</v>
      </c>
      <c r="D305" s="1" t="s">
        <v>804</v>
      </c>
      <c r="E305" s="1"/>
      <c r="F305" s="1"/>
      <c r="G305" s="1" t="s">
        <v>3943</v>
      </c>
      <c r="H305" s="1" t="s">
        <v>3944</v>
      </c>
      <c r="I305" s="1" t="s">
        <v>3945</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1325</v>
      </c>
      <c r="AK305" s="1" t="s">
        <v>1326</v>
      </c>
      <c r="AL305" s="1">
        <v>12</v>
      </c>
      <c r="AM305" s="1" t="s">
        <v>355</v>
      </c>
      <c r="AN305" s="1" t="s">
        <v>5199</v>
      </c>
      <c r="AO305" s="1" t="s">
        <v>5317</v>
      </c>
      <c r="AP305" s="1">
        <v>0</v>
      </c>
      <c r="AQ305" s="1" t="s">
        <v>1130</v>
      </c>
      <c r="AR305" s="1" t="s">
        <v>1120</v>
      </c>
      <c r="AS305" s="1" t="s">
        <v>1131</v>
      </c>
      <c r="AT305" s="1" t="s">
        <v>329</v>
      </c>
      <c r="AU305" s="1">
        <v>224</v>
      </c>
      <c r="AV305" s="1">
        <v>0</v>
      </c>
      <c r="AW305" s="1" t="s">
        <v>5318</v>
      </c>
      <c r="AX305" s="1" t="s">
        <v>5319</v>
      </c>
      <c r="AY305" s="1">
        <v>5</v>
      </c>
      <c r="AZ305" s="1">
        <v>0</v>
      </c>
      <c r="BA305" s="1" t="s">
        <v>329</v>
      </c>
      <c r="BB305" s="1" t="s">
        <v>329</v>
      </c>
      <c r="BC305" s="1" t="s">
        <v>329</v>
      </c>
      <c r="BD305" s="1">
        <v>10802</v>
      </c>
      <c r="BE305" s="1"/>
      <c r="BH305">
        <f>COUNTIF(Dropdowns!$I:$AF,C305)</f>
        <v>1</v>
      </c>
    </row>
    <row r="306" spans="1:60" x14ac:dyDescent="0.25">
      <c r="A306" s="1">
        <v>312</v>
      </c>
      <c r="B306" s="1" t="s">
        <v>3946</v>
      </c>
      <c r="C306" s="241" t="s">
        <v>1669</v>
      </c>
      <c r="D306" s="1" t="s">
        <v>3947</v>
      </c>
      <c r="E306" s="1"/>
      <c r="F306" s="1"/>
      <c r="G306" s="1" t="s">
        <v>3948</v>
      </c>
      <c r="H306" s="1" t="s">
        <v>3949</v>
      </c>
      <c r="I306" s="1" t="s">
        <v>3950</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1327</v>
      </c>
      <c r="AK306" s="1" t="s">
        <v>329</v>
      </c>
      <c r="AL306" s="1">
        <v>13</v>
      </c>
      <c r="AM306" s="1" t="s">
        <v>4763</v>
      </c>
      <c r="AN306" s="1" t="s">
        <v>5114</v>
      </c>
      <c r="AO306" s="1" t="s">
        <v>4846</v>
      </c>
      <c r="AP306" s="1">
        <v>0</v>
      </c>
      <c r="AQ306" s="1" t="s">
        <v>1141</v>
      </c>
      <c r="AR306" s="1" t="s">
        <v>1142</v>
      </c>
      <c r="AS306" s="1" t="s">
        <v>1143</v>
      </c>
      <c r="AT306" s="1" t="s">
        <v>329</v>
      </c>
      <c r="AU306" s="1">
        <v>222</v>
      </c>
      <c r="AV306" s="1">
        <v>0</v>
      </c>
      <c r="AW306" s="1" t="s">
        <v>5316</v>
      </c>
      <c r="AX306" s="1" t="s">
        <v>332</v>
      </c>
      <c r="AY306" s="1">
        <v>5</v>
      </c>
      <c r="AZ306" s="1">
        <v>0</v>
      </c>
      <c r="BA306" s="1" t="s">
        <v>329</v>
      </c>
      <c r="BB306" s="1" t="s">
        <v>329</v>
      </c>
      <c r="BC306" s="1" t="s">
        <v>4758</v>
      </c>
      <c r="BD306" s="1">
        <v>10402</v>
      </c>
      <c r="BE306" s="1"/>
      <c r="BH306">
        <f>COUNTIF(Dropdowns!$I:$AF,C306)</f>
        <v>1</v>
      </c>
    </row>
    <row r="307" spans="1:60" x14ac:dyDescent="0.25">
      <c r="A307" s="1">
        <v>313</v>
      </c>
      <c r="B307" s="1" t="s">
        <v>3951</v>
      </c>
      <c r="C307" s="241" t="s">
        <v>1670</v>
      </c>
      <c r="D307" s="1" t="s">
        <v>1670</v>
      </c>
      <c r="E307" s="1"/>
      <c r="F307" s="1"/>
      <c r="G307" s="1" t="s">
        <v>3952</v>
      </c>
      <c r="H307" s="1" t="s">
        <v>3953</v>
      </c>
      <c r="I307" s="1" t="s">
        <v>3954</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1328</v>
      </c>
      <c r="AK307" s="1" t="s">
        <v>1329</v>
      </c>
      <c r="AL307" s="1">
        <v>14</v>
      </c>
      <c r="AM307" s="1" t="s">
        <v>4720</v>
      </c>
      <c r="AN307" s="1" t="s">
        <v>5253</v>
      </c>
      <c r="AO307" s="1" t="s">
        <v>5170</v>
      </c>
      <c r="AP307" s="1">
        <v>0</v>
      </c>
      <c r="AQ307" s="1" t="s">
        <v>1131</v>
      </c>
      <c r="AR307" s="1" t="s">
        <v>1155</v>
      </c>
      <c r="AS307" s="1" t="s">
        <v>1130</v>
      </c>
      <c r="AT307" s="1" t="s">
        <v>329</v>
      </c>
      <c r="AU307" s="1">
        <v>73</v>
      </c>
      <c r="AV307" s="1">
        <v>0</v>
      </c>
      <c r="AW307" s="1" t="s">
        <v>5316</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3955</v>
      </c>
      <c r="C308" s="241" t="s">
        <v>1671</v>
      </c>
      <c r="D308" s="1" t="s">
        <v>3956</v>
      </c>
      <c r="E308" s="1"/>
      <c r="F308" s="1"/>
      <c r="G308" s="1" t="s">
        <v>3957</v>
      </c>
      <c r="H308" s="1" t="s">
        <v>3958</v>
      </c>
      <c r="I308" s="1" t="s">
        <v>3959</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1126</v>
      </c>
      <c r="AK308" s="1" t="s">
        <v>329</v>
      </c>
      <c r="AL308" s="1">
        <v>13</v>
      </c>
      <c r="AM308" s="1" t="s">
        <v>4720</v>
      </c>
      <c r="AN308" s="1" t="s">
        <v>4835</v>
      </c>
      <c r="AO308" s="1" t="s">
        <v>5320</v>
      </c>
      <c r="AP308" s="1">
        <v>0</v>
      </c>
      <c r="AQ308" s="1" t="s">
        <v>1131</v>
      </c>
      <c r="AR308" s="1" t="s">
        <v>1155</v>
      </c>
      <c r="AS308" s="1" t="s">
        <v>1130</v>
      </c>
      <c r="AT308" s="1" t="s">
        <v>329</v>
      </c>
      <c r="AU308" s="1">
        <v>171</v>
      </c>
      <c r="AV308" s="1">
        <v>0</v>
      </c>
      <c r="AW308" s="1" t="s">
        <v>5321</v>
      </c>
      <c r="AX308" s="1" t="s">
        <v>5322</v>
      </c>
      <c r="AY308" s="1">
        <v>3</v>
      </c>
      <c r="AZ308" s="1">
        <v>0</v>
      </c>
      <c r="BA308" s="1" t="s">
        <v>329</v>
      </c>
      <c r="BB308" s="1" t="s">
        <v>329</v>
      </c>
      <c r="BC308" s="1" t="s">
        <v>4770</v>
      </c>
      <c r="BD308" s="1">
        <v>10702</v>
      </c>
      <c r="BE308" s="1"/>
      <c r="BH308">
        <f>COUNTIF(Dropdowns!$I:$AF,C308)</f>
        <v>1</v>
      </c>
    </row>
    <row r="309" spans="1:60" x14ac:dyDescent="0.25">
      <c r="A309" s="1">
        <v>315</v>
      </c>
      <c r="B309" s="1" t="s">
        <v>3960</v>
      </c>
      <c r="C309" s="241" t="s">
        <v>841</v>
      </c>
      <c r="D309" s="1" t="s">
        <v>3961</v>
      </c>
      <c r="E309" s="1"/>
      <c r="F309" s="1"/>
      <c r="G309" s="1" t="s">
        <v>3962</v>
      </c>
      <c r="H309" s="1" t="s">
        <v>3963</v>
      </c>
      <c r="I309" s="1" t="s">
        <v>3964</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5323</v>
      </c>
      <c r="AK309" s="1" t="s">
        <v>1330</v>
      </c>
      <c r="AL309" s="1">
        <v>13</v>
      </c>
      <c r="AM309" s="1" t="s">
        <v>4791</v>
      </c>
      <c r="AN309" s="1" t="s">
        <v>4796</v>
      </c>
      <c r="AO309" s="1" t="s">
        <v>4876</v>
      </c>
      <c r="AP309" s="1">
        <v>0</v>
      </c>
      <c r="AQ309" s="1" t="s">
        <v>1130</v>
      </c>
      <c r="AR309" s="1" t="s">
        <v>1120</v>
      </c>
      <c r="AS309" s="1" t="s">
        <v>1131</v>
      </c>
      <c r="AT309" s="1" t="s">
        <v>329</v>
      </c>
      <c r="AU309" s="1">
        <v>224</v>
      </c>
      <c r="AV309" s="1">
        <v>0</v>
      </c>
      <c r="AW309" s="1" t="s">
        <v>5324</v>
      </c>
      <c r="AX309" s="1" t="s">
        <v>5325</v>
      </c>
      <c r="AY309" s="1">
        <v>5</v>
      </c>
      <c r="AZ309" s="1">
        <v>0</v>
      </c>
      <c r="BA309" s="1" t="s">
        <v>329</v>
      </c>
      <c r="BB309" s="1" t="s">
        <v>329</v>
      </c>
      <c r="BC309" s="1" t="s">
        <v>329</v>
      </c>
      <c r="BD309" s="1">
        <v>10303</v>
      </c>
      <c r="BE309" s="1"/>
      <c r="BH309">
        <f>COUNTIF(Dropdowns!$I:$AF,C309)</f>
        <v>1</v>
      </c>
    </row>
    <row r="310" spans="1:60" x14ac:dyDescent="0.25">
      <c r="A310" s="1">
        <v>316</v>
      </c>
      <c r="B310" s="1" t="s">
        <v>3965</v>
      </c>
      <c r="C310" s="241" t="s">
        <v>805</v>
      </c>
      <c r="D310" s="1" t="s">
        <v>805</v>
      </c>
      <c r="E310" s="1"/>
      <c r="F310" s="1"/>
      <c r="G310" s="1" t="s">
        <v>3966</v>
      </c>
      <c r="H310" s="1" t="s">
        <v>3967</v>
      </c>
      <c r="I310" s="1" t="s">
        <v>3968</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1331</v>
      </c>
      <c r="AK310" s="1" t="s">
        <v>1332</v>
      </c>
      <c r="AL310" s="1">
        <v>13</v>
      </c>
      <c r="AM310" s="1" t="s">
        <v>4763</v>
      </c>
      <c r="AN310" s="1" t="s">
        <v>4774</v>
      </c>
      <c r="AO310" s="1" t="s">
        <v>4846</v>
      </c>
      <c r="AP310" s="1">
        <v>0</v>
      </c>
      <c r="AQ310" s="1" t="s">
        <v>1141</v>
      </c>
      <c r="AR310" s="1" t="s">
        <v>1142</v>
      </c>
      <c r="AS310" s="1" t="s">
        <v>1143</v>
      </c>
      <c r="AT310" s="1" t="s">
        <v>329</v>
      </c>
      <c r="AU310" s="1">
        <v>222</v>
      </c>
      <c r="AV310" s="1">
        <v>0</v>
      </c>
      <c r="AW310" s="1" t="s">
        <v>5324</v>
      </c>
      <c r="AX310" s="1" t="s">
        <v>5045</v>
      </c>
      <c r="AY310" s="1">
        <v>5</v>
      </c>
      <c r="AZ310" s="1">
        <v>0</v>
      </c>
      <c r="BA310" s="1" t="s">
        <v>329</v>
      </c>
      <c r="BB310" s="1" t="s">
        <v>329</v>
      </c>
      <c r="BC310" s="1" t="s">
        <v>4784</v>
      </c>
      <c r="BD310" s="1">
        <v>10203</v>
      </c>
      <c r="BE310" s="1"/>
      <c r="BH310">
        <f>COUNTIF(Dropdowns!$I:$AF,C310)</f>
        <v>1</v>
      </c>
    </row>
    <row r="311" spans="1:60" x14ac:dyDescent="0.25">
      <c r="A311" s="1">
        <v>317</v>
      </c>
      <c r="B311" s="1" t="s">
        <v>3969</v>
      </c>
      <c r="C311" s="241" t="s">
        <v>806</v>
      </c>
      <c r="D311" s="1" t="s">
        <v>806</v>
      </c>
      <c r="E311" s="1"/>
      <c r="F311" s="1"/>
      <c r="G311" s="1" t="s">
        <v>3970</v>
      </c>
      <c r="H311" s="1" t="s">
        <v>3971</v>
      </c>
      <c r="I311" s="1" t="s">
        <v>3972</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5326</v>
      </c>
      <c r="AK311" s="1" t="s">
        <v>1333</v>
      </c>
      <c r="AL311" s="1">
        <v>13</v>
      </c>
      <c r="AM311" s="1" t="s">
        <v>477</v>
      </c>
      <c r="AN311" s="1" t="s">
        <v>465</v>
      </c>
      <c r="AO311" s="1" t="s">
        <v>4825</v>
      </c>
      <c r="AP311" s="1">
        <v>0</v>
      </c>
      <c r="AQ311" s="1" t="s">
        <v>1141</v>
      </c>
      <c r="AR311" s="1" t="s">
        <v>1142</v>
      </c>
      <c r="AS311" s="1" t="s">
        <v>4840</v>
      </c>
      <c r="AT311" s="1" t="s">
        <v>329</v>
      </c>
      <c r="AU311" s="1">
        <v>200</v>
      </c>
      <c r="AV311" s="1">
        <v>0</v>
      </c>
      <c r="AW311" s="1" t="s">
        <v>5324</v>
      </c>
      <c r="AX311" s="1" t="s">
        <v>5045</v>
      </c>
      <c r="AY311" s="1">
        <v>4</v>
      </c>
      <c r="AZ311" s="1">
        <v>0</v>
      </c>
      <c r="BA311" s="1" t="s">
        <v>329</v>
      </c>
      <c r="BB311" s="1" t="s">
        <v>329</v>
      </c>
      <c r="BC311" s="1" t="s">
        <v>329</v>
      </c>
      <c r="BD311" s="1">
        <v>10202</v>
      </c>
      <c r="BE311" s="1"/>
      <c r="BH311">
        <f>COUNTIF(Dropdowns!$I:$AF,C311)</f>
        <v>1</v>
      </c>
    </row>
    <row r="312" spans="1:60" x14ac:dyDescent="0.25">
      <c r="A312" s="1">
        <v>318</v>
      </c>
      <c r="B312" s="1" t="s">
        <v>3973</v>
      </c>
      <c r="C312" s="241" t="s">
        <v>807</v>
      </c>
      <c r="D312" s="1" t="s">
        <v>807</v>
      </c>
      <c r="E312" s="1"/>
      <c r="F312" s="1"/>
      <c r="G312" s="1" t="s">
        <v>3974</v>
      </c>
      <c r="H312" s="1" t="s">
        <v>3975</v>
      </c>
      <c r="I312" s="1" t="s">
        <v>3976</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1334</v>
      </c>
      <c r="AK312" s="1" t="s">
        <v>1335</v>
      </c>
      <c r="AL312" s="1">
        <v>13</v>
      </c>
      <c r="AM312" s="1" t="s">
        <v>4720</v>
      </c>
      <c r="AN312" s="1" t="s">
        <v>4865</v>
      </c>
      <c r="AO312" s="1" t="s">
        <v>5091</v>
      </c>
      <c r="AP312" s="1">
        <v>0</v>
      </c>
      <c r="AQ312" s="1" t="s">
        <v>1131</v>
      </c>
      <c r="AR312" s="1" t="s">
        <v>1155</v>
      </c>
      <c r="AS312" s="1" t="s">
        <v>1130</v>
      </c>
      <c r="AT312" s="1" t="s">
        <v>329</v>
      </c>
      <c r="AU312" s="1">
        <v>73</v>
      </c>
      <c r="AV312" s="1">
        <v>0</v>
      </c>
      <c r="AW312" s="1" t="s">
        <v>5324</v>
      </c>
      <c r="AX312" s="1" t="s">
        <v>5327</v>
      </c>
      <c r="AY312" s="1">
        <v>5</v>
      </c>
      <c r="AZ312" s="1">
        <v>0</v>
      </c>
      <c r="BA312" s="1" t="s">
        <v>329</v>
      </c>
      <c r="BB312" s="1" t="s">
        <v>329</v>
      </c>
      <c r="BC312" s="1" t="s">
        <v>329</v>
      </c>
      <c r="BD312" s="1">
        <v>10403</v>
      </c>
      <c r="BE312" s="1"/>
      <c r="BH312">
        <f>COUNTIF(Dropdowns!$I:$AF,C312)</f>
        <v>1</v>
      </c>
    </row>
    <row r="313" spans="1:60" x14ac:dyDescent="0.25">
      <c r="A313" s="1">
        <v>319</v>
      </c>
      <c r="B313" s="1" t="s">
        <v>3977</v>
      </c>
      <c r="C313" s="241" t="s">
        <v>808</v>
      </c>
      <c r="D313" s="1" t="s">
        <v>808</v>
      </c>
      <c r="E313" s="1"/>
      <c r="F313" s="1"/>
      <c r="G313" s="1" t="s">
        <v>3978</v>
      </c>
      <c r="H313" s="1" t="s">
        <v>3979</v>
      </c>
      <c r="I313" s="1" t="s">
        <v>3980</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5328</v>
      </c>
      <c r="AK313" s="1" t="s">
        <v>1336</v>
      </c>
      <c r="AL313" s="1">
        <v>17</v>
      </c>
      <c r="AM313" s="1" t="s">
        <v>4859</v>
      </c>
      <c r="AN313" s="1" t="s">
        <v>5329</v>
      </c>
      <c r="AO313" s="1" t="s">
        <v>5115</v>
      </c>
      <c r="AP313" s="1">
        <v>0</v>
      </c>
      <c r="AQ313" s="1" t="s">
        <v>1168</v>
      </c>
      <c r="AR313" s="1" t="s">
        <v>1169</v>
      </c>
      <c r="AS313" s="1" t="s">
        <v>1170</v>
      </c>
      <c r="AT313" s="1" t="s">
        <v>329</v>
      </c>
      <c r="AU313" s="1">
        <v>238</v>
      </c>
      <c r="AV313" s="1">
        <v>0</v>
      </c>
      <c r="AW313" s="1" t="s">
        <v>5324</v>
      </c>
      <c r="AX313" s="1" t="s">
        <v>5327</v>
      </c>
      <c r="AY313" s="1">
        <v>4</v>
      </c>
      <c r="AZ313" s="1">
        <v>0</v>
      </c>
      <c r="BA313" s="1" t="s">
        <v>329</v>
      </c>
      <c r="BB313" s="1" t="s">
        <v>329</v>
      </c>
      <c r="BC313" s="1" t="s">
        <v>4758</v>
      </c>
      <c r="BD313" s="1">
        <v>10402</v>
      </c>
      <c r="BE313" s="1"/>
      <c r="BH313">
        <f>COUNTIF(Dropdowns!$I:$AF,C313)</f>
        <v>1</v>
      </c>
    </row>
    <row r="314" spans="1:60" x14ac:dyDescent="0.25">
      <c r="A314" s="1">
        <v>320</v>
      </c>
      <c r="B314" s="1" t="s">
        <v>3981</v>
      </c>
      <c r="C314" s="241" t="s">
        <v>809</v>
      </c>
      <c r="D314" s="1" t="s">
        <v>3982</v>
      </c>
      <c r="E314" s="1"/>
      <c r="F314" s="1"/>
      <c r="G314" s="1" t="s">
        <v>3983</v>
      </c>
      <c r="H314" s="1" t="s">
        <v>3984</v>
      </c>
      <c r="I314" s="1" t="s">
        <v>3985</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1337</v>
      </c>
      <c r="AK314" s="1" t="s">
        <v>329</v>
      </c>
      <c r="AL314" s="1">
        <v>13</v>
      </c>
      <c r="AM314" s="1" t="s">
        <v>4763</v>
      </c>
      <c r="AN314" s="1" t="s">
        <v>4830</v>
      </c>
      <c r="AO314" s="1" t="s">
        <v>4827</v>
      </c>
      <c r="AP314" s="1">
        <v>0</v>
      </c>
      <c r="AQ314" s="1" t="s">
        <v>1141</v>
      </c>
      <c r="AR314" s="1" t="s">
        <v>1142</v>
      </c>
      <c r="AS314" s="1" t="s">
        <v>1143</v>
      </c>
      <c r="AT314" s="1" t="s">
        <v>329</v>
      </c>
      <c r="AU314" s="1">
        <v>241</v>
      </c>
      <c r="AV314" s="1">
        <v>0</v>
      </c>
      <c r="AW314" s="1" t="s">
        <v>5330</v>
      </c>
      <c r="AX314" s="1" t="s">
        <v>5331</v>
      </c>
      <c r="AY314" s="1">
        <v>3</v>
      </c>
      <c r="AZ314" s="1">
        <v>0</v>
      </c>
      <c r="BA314" s="1" t="s">
        <v>329</v>
      </c>
      <c r="BB314" s="1" t="s">
        <v>329</v>
      </c>
      <c r="BC314" s="1" t="s">
        <v>329</v>
      </c>
      <c r="BD314" s="1">
        <v>10402</v>
      </c>
      <c r="BE314" s="1"/>
      <c r="BH314">
        <f>COUNTIF(Dropdowns!$I:$AF,C314)</f>
        <v>1</v>
      </c>
    </row>
    <row r="315" spans="1:60" x14ac:dyDescent="0.25">
      <c r="A315" s="1">
        <v>321</v>
      </c>
      <c r="B315" s="1" t="s">
        <v>3986</v>
      </c>
      <c r="C315" s="241" t="s">
        <v>810</v>
      </c>
      <c r="D315" s="1" t="s">
        <v>3987</v>
      </c>
      <c r="E315" s="1"/>
      <c r="F315" s="1"/>
      <c r="G315" s="1" t="s">
        <v>3988</v>
      </c>
      <c r="H315" s="1" t="s">
        <v>3989</v>
      </c>
      <c r="I315" s="1" t="s">
        <v>3990</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1338</v>
      </c>
      <c r="AK315" s="1" t="s">
        <v>1339</v>
      </c>
      <c r="AL315" s="1">
        <v>8</v>
      </c>
      <c r="AM315" s="1" t="s">
        <v>4717</v>
      </c>
      <c r="AN315" s="1" t="s">
        <v>335</v>
      </c>
      <c r="AO315" s="1" t="s">
        <v>5069</v>
      </c>
      <c r="AP315" s="1">
        <v>0</v>
      </c>
      <c r="AQ315" s="1" t="s">
        <v>1201</v>
      </c>
      <c r="AR315" s="1" t="s">
        <v>1202</v>
      </c>
      <c r="AS315" s="1" t="s">
        <v>1203</v>
      </c>
      <c r="AT315" s="1" t="s">
        <v>329</v>
      </c>
      <c r="AU315" s="1">
        <v>190</v>
      </c>
      <c r="AV315" s="1">
        <v>0</v>
      </c>
      <c r="AW315" s="1" t="s">
        <v>5332</v>
      </c>
      <c r="AX315" s="1" t="s">
        <v>5333</v>
      </c>
      <c r="AY315" s="1">
        <v>3</v>
      </c>
      <c r="AZ315" s="1">
        <v>0</v>
      </c>
      <c r="BA315" s="1" t="s">
        <v>329</v>
      </c>
      <c r="BB315" s="1" t="s">
        <v>329</v>
      </c>
      <c r="BC315" s="1" t="s">
        <v>329</v>
      </c>
      <c r="BD315" s="1">
        <v>10202</v>
      </c>
      <c r="BE315" s="1"/>
      <c r="BH315">
        <f>COUNTIF(Dropdowns!$I:$AF,C315)</f>
        <v>1</v>
      </c>
    </row>
    <row r="316" spans="1:60" x14ac:dyDescent="0.25">
      <c r="A316" s="1">
        <v>322</v>
      </c>
      <c r="B316" s="1" t="s">
        <v>3991</v>
      </c>
      <c r="C316" s="241" t="s">
        <v>1672</v>
      </c>
      <c r="D316" s="1" t="s">
        <v>1672</v>
      </c>
      <c r="E316" s="1"/>
      <c r="F316" s="1"/>
      <c r="G316" s="1" t="s">
        <v>3992</v>
      </c>
      <c r="H316" s="1" t="s">
        <v>3993</v>
      </c>
      <c r="I316" s="1" t="s">
        <v>3994</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1340</v>
      </c>
      <c r="AK316" s="1" t="s">
        <v>1341</v>
      </c>
      <c r="AL316" s="1">
        <v>13</v>
      </c>
      <c r="AM316" s="1" t="s">
        <v>1807</v>
      </c>
      <c r="AN316" s="1" t="s">
        <v>4948</v>
      </c>
      <c r="AO316" s="1" t="s">
        <v>5081</v>
      </c>
      <c r="AP316" s="1">
        <v>0</v>
      </c>
      <c r="AQ316" s="1" t="s">
        <v>1119</v>
      </c>
      <c r="AR316" s="1" t="s">
        <v>1120</v>
      </c>
      <c r="AS316" s="1" t="s">
        <v>1121</v>
      </c>
      <c r="AT316" s="1" t="s">
        <v>329</v>
      </c>
      <c r="AU316" s="1">
        <v>220</v>
      </c>
      <c r="AV316" s="1">
        <v>0</v>
      </c>
      <c r="AW316" s="1" t="s">
        <v>5334</v>
      </c>
      <c r="AX316" s="1" t="s">
        <v>5335</v>
      </c>
      <c r="AY316" s="1">
        <v>3</v>
      </c>
      <c r="AZ316" s="1">
        <v>0</v>
      </c>
      <c r="BA316" s="1" t="s">
        <v>329</v>
      </c>
      <c r="BB316" s="1" t="s">
        <v>329</v>
      </c>
      <c r="BC316" s="1" t="s">
        <v>4784</v>
      </c>
      <c r="BD316" s="1">
        <v>10705</v>
      </c>
      <c r="BE316" s="1"/>
      <c r="BH316">
        <f>COUNTIF(Dropdowns!$I:$AF,C316)</f>
        <v>0</v>
      </c>
    </row>
    <row r="317" spans="1:60" x14ac:dyDescent="0.25">
      <c r="A317" s="1">
        <v>323</v>
      </c>
      <c r="B317" s="1" t="s">
        <v>3995</v>
      </c>
      <c r="C317" s="241" t="s">
        <v>811</v>
      </c>
      <c r="D317" s="1" t="s">
        <v>811</v>
      </c>
      <c r="E317" s="1"/>
      <c r="F317" s="1"/>
      <c r="G317" s="1" t="s">
        <v>3996</v>
      </c>
      <c r="H317" s="1" t="s">
        <v>3997</v>
      </c>
      <c r="I317" s="1" t="s">
        <v>3998</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1200</v>
      </c>
      <c r="AK317" s="1" t="s">
        <v>1342</v>
      </c>
      <c r="AL317" s="1">
        <v>8</v>
      </c>
      <c r="AM317" s="1" t="s">
        <v>4717</v>
      </c>
      <c r="AN317" s="1" t="s">
        <v>5336</v>
      </c>
      <c r="AO317" s="1" t="s">
        <v>4943</v>
      </c>
      <c r="AP317" s="1">
        <v>0</v>
      </c>
      <c r="AQ317" s="1" t="s">
        <v>1201</v>
      </c>
      <c r="AR317" s="1" t="s">
        <v>1202</v>
      </c>
      <c r="AS317" s="1" t="s">
        <v>1203</v>
      </c>
      <c r="AT317" s="1" t="s">
        <v>329</v>
      </c>
      <c r="AU317" s="1">
        <v>164</v>
      </c>
      <c r="AV317" s="1">
        <v>0</v>
      </c>
      <c r="AW317" s="1" t="s">
        <v>5337</v>
      </c>
      <c r="AX317" s="1" t="s">
        <v>4720</v>
      </c>
      <c r="AY317" s="1">
        <v>5</v>
      </c>
      <c r="AZ317" s="1">
        <v>0</v>
      </c>
      <c r="BA317" s="1" t="s">
        <v>329</v>
      </c>
      <c r="BB317" s="1" t="s">
        <v>329</v>
      </c>
      <c r="BC317" s="1" t="s">
        <v>4740</v>
      </c>
      <c r="BD317" s="1">
        <v>10302</v>
      </c>
      <c r="BE317" s="1"/>
      <c r="BH317">
        <f>COUNTIF(Dropdowns!$I:$AF,C317)</f>
        <v>1</v>
      </c>
    </row>
    <row r="318" spans="1:60" x14ac:dyDescent="0.25">
      <c r="A318" s="1">
        <v>324</v>
      </c>
      <c r="B318" s="1" t="s">
        <v>3999</v>
      </c>
      <c r="C318" s="241" t="s">
        <v>812</v>
      </c>
      <c r="D318" s="1" t="s">
        <v>4000</v>
      </c>
      <c r="E318" s="1"/>
      <c r="F318" s="1"/>
      <c r="G318" s="1" t="s">
        <v>4001</v>
      </c>
      <c r="H318" s="1" t="s">
        <v>4002</v>
      </c>
      <c r="I318" s="1" t="s">
        <v>4003</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5338</v>
      </c>
      <c r="AK318" s="1" t="s">
        <v>1343</v>
      </c>
      <c r="AL318" s="1">
        <v>9</v>
      </c>
      <c r="AM318" s="1" t="s">
        <v>4717</v>
      </c>
      <c r="AN318" s="1" t="s">
        <v>5339</v>
      </c>
      <c r="AO318" s="1" t="s">
        <v>5191</v>
      </c>
      <c r="AP318" s="1">
        <v>0</v>
      </c>
      <c r="AQ318" s="1" t="s">
        <v>1201</v>
      </c>
      <c r="AR318" s="1" t="s">
        <v>1202</v>
      </c>
      <c r="AS318" s="1" t="s">
        <v>1203</v>
      </c>
      <c r="AT318" s="1" t="s">
        <v>329</v>
      </c>
      <c r="AU318" s="1">
        <v>164</v>
      </c>
      <c r="AV318" s="1">
        <v>0</v>
      </c>
      <c r="AW318" s="1" t="s">
        <v>5337</v>
      </c>
      <c r="AX318" s="1" t="s">
        <v>4720</v>
      </c>
      <c r="AY318" s="1">
        <v>5</v>
      </c>
      <c r="AZ318" s="1">
        <v>0</v>
      </c>
      <c r="BA318" s="1" t="s">
        <v>329</v>
      </c>
      <c r="BB318" s="1" t="s">
        <v>329</v>
      </c>
      <c r="BC318" s="1" t="s">
        <v>4721</v>
      </c>
      <c r="BD318" s="1">
        <v>10202</v>
      </c>
      <c r="BE318" s="1"/>
      <c r="BH318">
        <f>COUNTIF(Dropdowns!$I:$AF,C318)</f>
        <v>1</v>
      </c>
    </row>
    <row r="319" spans="1:60" x14ac:dyDescent="0.25">
      <c r="A319" s="1">
        <v>325</v>
      </c>
      <c r="B319" s="1" t="s">
        <v>4004</v>
      </c>
      <c r="C319" s="241" t="s">
        <v>1673</v>
      </c>
      <c r="D319" s="1" t="s">
        <v>1673</v>
      </c>
      <c r="E319" s="1"/>
      <c r="F319" s="1"/>
      <c r="G319" s="1" t="s">
        <v>4005</v>
      </c>
      <c r="H319" s="1" t="s">
        <v>4006</v>
      </c>
      <c r="I319" s="1" t="s">
        <v>4007</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5340</v>
      </c>
      <c r="AK319" s="1" t="s">
        <v>329</v>
      </c>
      <c r="AL319" s="1">
        <v>8</v>
      </c>
      <c r="AM319" s="1" t="s">
        <v>4717</v>
      </c>
      <c r="AN319" s="1" t="s">
        <v>5341</v>
      </c>
      <c r="AO319" s="1" t="s">
        <v>4825</v>
      </c>
      <c r="AP319" s="1">
        <v>0</v>
      </c>
      <c r="AQ319" s="1" t="s">
        <v>1201</v>
      </c>
      <c r="AR319" s="1" t="s">
        <v>1202</v>
      </c>
      <c r="AS319" s="1" t="s">
        <v>1203</v>
      </c>
      <c r="AT319" s="1" t="s">
        <v>329</v>
      </c>
      <c r="AU319" s="1">
        <v>165</v>
      </c>
      <c r="AV319" s="1">
        <v>0</v>
      </c>
      <c r="AW319" s="1" t="s">
        <v>5337</v>
      </c>
      <c r="AX319" s="1" t="s">
        <v>4720</v>
      </c>
      <c r="AY319" s="1">
        <v>4</v>
      </c>
      <c r="AZ319" s="1">
        <v>0</v>
      </c>
      <c r="BA319" s="1" t="s">
        <v>329</v>
      </c>
      <c r="BB319" s="1" t="s">
        <v>329</v>
      </c>
      <c r="BC319" s="1" t="s">
        <v>4740</v>
      </c>
      <c r="BD319" s="1">
        <v>10701</v>
      </c>
      <c r="BE319" s="1"/>
      <c r="BH319">
        <f>COUNTIF(Dropdowns!$I:$AF,C319)</f>
        <v>1</v>
      </c>
    </row>
    <row r="320" spans="1:60" x14ac:dyDescent="0.25">
      <c r="A320" s="1">
        <v>326</v>
      </c>
      <c r="B320" s="1" t="s">
        <v>4008</v>
      </c>
      <c r="C320" s="241" t="s">
        <v>813</v>
      </c>
      <c r="D320" s="1" t="s">
        <v>813</v>
      </c>
      <c r="E320" s="1"/>
      <c r="F320" s="1"/>
      <c r="G320" s="1" t="s">
        <v>4009</v>
      </c>
      <c r="H320" s="1" t="s">
        <v>4010</v>
      </c>
      <c r="I320" s="1" t="s">
        <v>4011</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5342</v>
      </c>
      <c r="AK320" s="1" t="s">
        <v>1344</v>
      </c>
      <c r="AL320" s="1">
        <v>8</v>
      </c>
      <c r="AM320" s="1" t="s">
        <v>388</v>
      </c>
      <c r="AN320" s="1" t="s">
        <v>5343</v>
      </c>
      <c r="AO320" s="1" t="s">
        <v>4739</v>
      </c>
      <c r="AP320" s="1">
        <v>0</v>
      </c>
      <c r="AQ320" s="1" t="s">
        <v>1201</v>
      </c>
      <c r="AR320" s="1" t="s">
        <v>1202</v>
      </c>
      <c r="AS320" s="1" t="s">
        <v>1203</v>
      </c>
      <c r="AT320" s="1" t="s">
        <v>329</v>
      </c>
      <c r="AU320" s="1">
        <v>165</v>
      </c>
      <c r="AV320" s="1">
        <v>0</v>
      </c>
      <c r="AW320" s="1" t="s">
        <v>5337</v>
      </c>
      <c r="AX320" s="1" t="s">
        <v>4720</v>
      </c>
      <c r="AY320" s="1">
        <v>4</v>
      </c>
      <c r="AZ320" s="1">
        <v>0</v>
      </c>
      <c r="BA320" s="1" t="s">
        <v>329</v>
      </c>
      <c r="BB320" s="1" t="s">
        <v>329</v>
      </c>
      <c r="BC320" s="1" t="s">
        <v>4770</v>
      </c>
      <c r="BD320" s="1">
        <v>10403</v>
      </c>
      <c r="BE320" s="1"/>
      <c r="BH320">
        <f>COUNTIF(Dropdowns!$I:$AF,C320)</f>
        <v>1</v>
      </c>
    </row>
    <row r="321" spans="1:60" x14ac:dyDescent="0.25">
      <c r="A321" s="1">
        <v>327</v>
      </c>
      <c r="B321" s="1" t="s">
        <v>4012</v>
      </c>
      <c r="C321" s="241" t="s">
        <v>1674</v>
      </c>
      <c r="D321" s="1" t="s">
        <v>1674</v>
      </c>
      <c r="E321" s="1"/>
      <c r="F321" s="1"/>
      <c r="G321" s="1" t="s">
        <v>4013</v>
      </c>
      <c r="H321" s="1" t="s">
        <v>4014</v>
      </c>
      <c r="I321" s="1" t="s">
        <v>4015</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5344</v>
      </c>
      <c r="AK321" s="1" t="s">
        <v>329</v>
      </c>
      <c r="AL321" s="1">
        <v>12</v>
      </c>
      <c r="AM321" s="1" t="s">
        <v>1807</v>
      </c>
      <c r="AN321" s="1" t="s">
        <v>5345</v>
      </c>
      <c r="AO321" s="1" t="s">
        <v>5346</v>
      </c>
      <c r="AP321" s="1">
        <v>0</v>
      </c>
      <c r="AQ321" s="1" t="s">
        <v>1130</v>
      </c>
      <c r="AR321" s="1" t="s">
        <v>1120</v>
      </c>
      <c r="AS321" s="1" t="s">
        <v>1131</v>
      </c>
      <c r="AT321" s="1" t="s">
        <v>329</v>
      </c>
      <c r="AU321" s="1">
        <v>116</v>
      </c>
      <c r="AV321" s="1">
        <v>0</v>
      </c>
      <c r="AW321" s="1" t="s">
        <v>5347</v>
      </c>
      <c r="AX321" s="1" t="s">
        <v>5348</v>
      </c>
      <c r="AY321" s="1">
        <v>3</v>
      </c>
      <c r="AZ321" s="1">
        <v>0</v>
      </c>
      <c r="BA321" s="1" t="s">
        <v>329</v>
      </c>
      <c r="BB321" s="1" t="s">
        <v>329</v>
      </c>
      <c r="BC321" s="1" t="s">
        <v>4721</v>
      </c>
      <c r="BD321" s="1">
        <v>10802</v>
      </c>
      <c r="BE321" s="1"/>
      <c r="BH321">
        <f>COUNTIF(Dropdowns!$I:$AF,C321)</f>
        <v>1</v>
      </c>
    </row>
    <row r="322" spans="1:60" x14ac:dyDescent="0.25">
      <c r="A322" s="1">
        <v>328</v>
      </c>
      <c r="B322" s="1" t="s">
        <v>4016</v>
      </c>
      <c r="C322" s="241" t="s">
        <v>1675</v>
      </c>
      <c r="D322" s="1" t="s">
        <v>1675</v>
      </c>
      <c r="E322" s="1"/>
      <c r="F322" s="1"/>
      <c r="G322" s="1" t="s">
        <v>4017</v>
      </c>
      <c r="H322" s="1" t="s">
        <v>4018</v>
      </c>
      <c r="I322" s="1" t="s">
        <v>4019</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5349</v>
      </c>
      <c r="AK322" s="1" t="s">
        <v>1345</v>
      </c>
      <c r="AL322" s="1">
        <v>13</v>
      </c>
      <c r="AM322" s="1" t="s">
        <v>399</v>
      </c>
      <c r="AN322" s="1" t="s">
        <v>5350</v>
      </c>
      <c r="AO322" s="1" t="s">
        <v>5170</v>
      </c>
      <c r="AP322" s="1">
        <v>0</v>
      </c>
      <c r="AQ322" s="1" t="s">
        <v>1130</v>
      </c>
      <c r="AR322" s="1" t="s">
        <v>1120</v>
      </c>
      <c r="AS322" s="1" t="s">
        <v>1131</v>
      </c>
      <c r="AT322" s="1" t="s">
        <v>329</v>
      </c>
      <c r="AU322" s="1">
        <v>150</v>
      </c>
      <c r="AV322" s="1">
        <v>0</v>
      </c>
      <c r="AW322" s="1" t="s">
        <v>5351</v>
      </c>
      <c r="AX322" s="1" t="s">
        <v>332</v>
      </c>
      <c r="AY322" s="1">
        <v>4</v>
      </c>
      <c r="AZ322" s="1">
        <v>0</v>
      </c>
      <c r="BA322" s="1" t="s">
        <v>329</v>
      </c>
      <c r="BB322" s="1" t="s">
        <v>329</v>
      </c>
      <c r="BC322" s="1" t="s">
        <v>4721</v>
      </c>
      <c r="BD322" s="1">
        <v>10202</v>
      </c>
      <c r="BE322" s="1"/>
      <c r="BH322">
        <f>COUNTIF(Dropdowns!$I:$AF,C322)</f>
        <v>1</v>
      </c>
    </row>
    <row r="323" spans="1:60" x14ac:dyDescent="0.25">
      <c r="A323" s="1">
        <v>329</v>
      </c>
      <c r="B323" s="1" t="s">
        <v>4020</v>
      </c>
      <c r="C323" s="241" t="s">
        <v>814</v>
      </c>
      <c r="D323" s="1" t="s">
        <v>814</v>
      </c>
      <c r="E323" s="1"/>
      <c r="F323" s="1"/>
      <c r="G323" s="1" t="s">
        <v>4021</v>
      </c>
      <c r="H323" s="1" t="s">
        <v>4022</v>
      </c>
      <c r="I323" s="1" t="s">
        <v>4023</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5352</v>
      </c>
      <c r="AK323" s="1" t="s">
        <v>1346</v>
      </c>
      <c r="AL323" s="1">
        <v>14</v>
      </c>
      <c r="AM323" s="1" t="s">
        <v>4763</v>
      </c>
      <c r="AN323" s="1" t="s">
        <v>5253</v>
      </c>
      <c r="AO323" s="1" t="s">
        <v>4846</v>
      </c>
      <c r="AP323" s="1">
        <v>0</v>
      </c>
      <c r="AQ323" s="1" t="s">
        <v>1141</v>
      </c>
      <c r="AR323" s="1" t="s">
        <v>1142</v>
      </c>
      <c r="AS323" s="1" t="s">
        <v>1143</v>
      </c>
      <c r="AT323" s="1" t="s">
        <v>329</v>
      </c>
      <c r="AU323" s="1">
        <v>241</v>
      </c>
      <c r="AV323" s="1">
        <v>0</v>
      </c>
      <c r="AW323" s="1" t="s">
        <v>5351</v>
      </c>
      <c r="AX323" s="1" t="s">
        <v>332</v>
      </c>
      <c r="AY323" s="1">
        <v>5</v>
      </c>
      <c r="AZ323" s="1">
        <v>0</v>
      </c>
      <c r="BA323" s="1" t="s">
        <v>329</v>
      </c>
      <c r="BB323" s="1" t="s">
        <v>329</v>
      </c>
      <c r="BC323" s="1" t="s">
        <v>4758</v>
      </c>
      <c r="BD323" s="1">
        <v>10203</v>
      </c>
      <c r="BE323" s="1"/>
      <c r="BH323">
        <f>COUNTIF(Dropdowns!$I:$AF,C323)</f>
        <v>1</v>
      </c>
    </row>
    <row r="324" spans="1:60" x14ac:dyDescent="0.25">
      <c r="A324" s="1">
        <v>330</v>
      </c>
      <c r="B324" s="1" t="s">
        <v>4024</v>
      </c>
      <c r="C324" s="241" t="s">
        <v>1676</v>
      </c>
      <c r="D324" s="1" t="s">
        <v>1676</v>
      </c>
      <c r="E324" s="1"/>
      <c r="F324" s="1"/>
      <c r="G324" s="1" t="s">
        <v>4025</v>
      </c>
      <c r="H324" s="1" t="s">
        <v>4026</v>
      </c>
      <c r="I324" s="1" t="s">
        <v>4027</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5353</v>
      </c>
      <c r="AK324" s="1" t="s">
        <v>1347</v>
      </c>
      <c r="AL324" s="1">
        <v>13</v>
      </c>
      <c r="AM324" s="1" t="s">
        <v>4720</v>
      </c>
      <c r="AN324" s="1" t="s">
        <v>4885</v>
      </c>
      <c r="AO324" s="1" t="s">
        <v>4886</v>
      </c>
      <c r="AP324" s="1">
        <v>0</v>
      </c>
      <c r="AQ324" s="1" t="s">
        <v>1131</v>
      </c>
      <c r="AR324" s="1" t="s">
        <v>1155</v>
      </c>
      <c r="AS324" s="1" t="s">
        <v>1130</v>
      </c>
      <c r="AT324" s="1" t="s">
        <v>329</v>
      </c>
      <c r="AU324" s="1">
        <v>48</v>
      </c>
      <c r="AV324" s="1">
        <v>0</v>
      </c>
      <c r="AW324" s="1" t="s">
        <v>5351</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4028</v>
      </c>
      <c r="C325" s="241" t="s">
        <v>815</v>
      </c>
      <c r="D325" s="1" t="s">
        <v>815</v>
      </c>
      <c r="E325" s="1"/>
      <c r="F325" s="1"/>
      <c r="G325" s="1" t="s">
        <v>4029</v>
      </c>
      <c r="H325" s="1" t="s">
        <v>4030</v>
      </c>
      <c r="I325" s="1" t="s">
        <v>4031</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1348</v>
      </c>
      <c r="AK325" s="1" t="s">
        <v>329</v>
      </c>
      <c r="AL325" s="1">
        <v>14</v>
      </c>
      <c r="AM325" s="1" t="s">
        <v>1807</v>
      </c>
      <c r="AN325" s="1" t="s">
        <v>5354</v>
      </c>
      <c r="AO325" s="1" t="s">
        <v>5355</v>
      </c>
      <c r="AP325" s="1">
        <v>0</v>
      </c>
      <c r="AQ325" s="1" t="s">
        <v>1119</v>
      </c>
      <c r="AR325" s="1" t="s">
        <v>1120</v>
      </c>
      <c r="AS325" s="1" t="s">
        <v>1121</v>
      </c>
      <c r="AT325" s="1" t="s">
        <v>329</v>
      </c>
      <c r="AU325" s="1">
        <v>96</v>
      </c>
      <c r="AV325" s="1">
        <v>0</v>
      </c>
      <c r="AW325" s="1" t="s">
        <v>5356</v>
      </c>
      <c r="AX325" s="1" t="s">
        <v>5357</v>
      </c>
      <c r="AY325" s="1">
        <v>5</v>
      </c>
      <c r="AZ325" s="1">
        <v>0</v>
      </c>
      <c r="BA325" s="1" t="s">
        <v>329</v>
      </c>
      <c r="BB325" s="1" t="s">
        <v>329</v>
      </c>
      <c r="BC325" s="1" t="s">
        <v>329</v>
      </c>
      <c r="BD325" s="1">
        <v>10401</v>
      </c>
      <c r="BE325" s="1"/>
      <c r="BH325">
        <f>COUNTIF(Dropdowns!$I:$AF,C325)</f>
        <v>0</v>
      </c>
    </row>
    <row r="326" spans="1:60" x14ac:dyDescent="0.25">
      <c r="A326" s="1">
        <v>332</v>
      </c>
      <c r="B326" s="1" t="s">
        <v>4032</v>
      </c>
      <c r="C326" s="241" t="s">
        <v>816</v>
      </c>
      <c r="D326" s="1" t="s">
        <v>816</v>
      </c>
      <c r="E326" s="1"/>
      <c r="F326" s="1"/>
      <c r="G326" s="1" t="s">
        <v>4033</v>
      </c>
      <c r="H326" s="1" t="s">
        <v>4034</v>
      </c>
      <c r="I326" s="1" t="s">
        <v>4035</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1349</v>
      </c>
      <c r="AL326" s="1">
        <v>17</v>
      </c>
      <c r="AM326" s="1" t="s">
        <v>1807</v>
      </c>
      <c r="AN326" s="1" t="s">
        <v>5358</v>
      </c>
      <c r="AO326" s="1" t="s">
        <v>4995</v>
      </c>
      <c r="AP326" s="1">
        <v>0</v>
      </c>
      <c r="AQ326" s="1" t="s">
        <v>1119</v>
      </c>
      <c r="AR326" s="1" t="s">
        <v>1120</v>
      </c>
      <c r="AS326" s="1" t="s">
        <v>1121</v>
      </c>
      <c r="AT326" s="1" t="s">
        <v>329</v>
      </c>
      <c r="AU326" s="1">
        <v>212</v>
      </c>
      <c r="AV326" s="1">
        <v>0</v>
      </c>
      <c r="AW326" s="1" t="s">
        <v>5356</v>
      </c>
      <c r="AX326" s="1" t="s">
        <v>5059</v>
      </c>
      <c r="AY326" s="1">
        <v>4</v>
      </c>
      <c r="AZ326" s="1">
        <v>0</v>
      </c>
      <c r="BA326" s="1" t="s">
        <v>329</v>
      </c>
      <c r="BB326" s="1" t="s">
        <v>329</v>
      </c>
      <c r="BC326" s="1" t="s">
        <v>4721</v>
      </c>
      <c r="BD326" s="1">
        <v>10704</v>
      </c>
      <c r="BE326" s="1"/>
      <c r="BH326">
        <f>COUNTIF(Dropdowns!$I:$AF,C326)</f>
        <v>0</v>
      </c>
    </row>
    <row r="327" spans="1:60" x14ac:dyDescent="0.25">
      <c r="A327" s="1">
        <v>333</v>
      </c>
      <c r="B327" s="1" t="s">
        <v>4036</v>
      </c>
      <c r="C327" s="241" t="s">
        <v>817</v>
      </c>
      <c r="D327" s="1" t="s">
        <v>817</v>
      </c>
      <c r="E327" s="1"/>
      <c r="F327" s="1"/>
      <c r="G327" s="1" t="s">
        <v>4037</v>
      </c>
      <c r="H327" s="1" t="s">
        <v>4038</v>
      </c>
      <c r="I327" s="1" t="s">
        <v>4039</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1350</v>
      </c>
      <c r="AK327" s="1" t="s">
        <v>1351</v>
      </c>
      <c r="AL327" s="1">
        <v>13</v>
      </c>
      <c r="AM327" s="1" t="s">
        <v>4791</v>
      </c>
      <c r="AN327" s="1" t="s">
        <v>4794</v>
      </c>
      <c r="AO327" s="1" t="s">
        <v>5359</v>
      </c>
      <c r="AP327" s="1">
        <v>0</v>
      </c>
      <c r="AQ327" s="1" t="s">
        <v>1130</v>
      </c>
      <c r="AR327" s="1" t="s">
        <v>1120</v>
      </c>
      <c r="AS327" s="1" t="s">
        <v>1131</v>
      </c>
      <c r="AT327" s="1" t="s">
        <v>329</v>
      </c>
      <c r="AU327" s="1">
        <v>224</v>
      </c>
      <c r="AV327" s="1">
        <v>0</v>
      </c>
      <c r="AW327" s="1" t="s">
        <v>5356</v>
      </c>
      <c r="AX327" s="1" t="s">
        <v>5360</v>
      </c>
      <c r="AY327" s="1">
        <v>5</v>
      </c>
      <c r="AZ327" s="1">
        <v>0</v>
      </c>
      <c r="BA327" s="1" t="s">
        <v>329</v>
      </c>
      <c r="BB327" s="1" t="s">
        <v>329</v>
      </c>
      <c r="BC327" s="1" t="s">
        <v>4740</v>
      </c>
      <c r="BD327" s="1">
        <v>10201</v>
      </c>
      <c r="BE327" s="1"/>
      <c r="BH327">
        <f>COUNTIF(Dropdowns!$I:$AF,C327)</f>
        <v>1</v>
      </c>
    </row>
    <row r="328" spans="1:60" x14ac:dyDescent="0.25">
      <c r="A328" s="1">
        <v>334</v>
      </c>
      <c r="B328" s="1" t="s">
        <v>4040</v>
      </c>
      <c r="C328" s="241" t="s">
        <v>818</v>
      </c>
      <c r="D328" s="1" t="s">
        <v>4041</v>
      </c>
      <c r="E328" s="1"/>
      <c r="F328" s="1"/>
      <c r="G328" s="1" t="s">
        <v>4042</v>
      </c>
      <c r="H328" s="1" t="s">
        <v>4043</v>
      </c>
      <c r="I328" s="1" t="s">
        <v>4044</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1352</v>
      </c>
      <c r="AK328" s="1" t="s">
        <v>1353</v>
      </c>
      <c r="AL328" s="1">
        <v>19</v>
      </c>
      <c r="AM328" s="1" t="s">
        <v>4763</v>
      </c>
      <c r="AN328" s="1" t="s">
        <v>5361</v>
      </c>
      <c r="AO328" s="1" t="s">
        <v>4846</v>
      </c>
      <c r="AP328" s="1">
        <v>0</v>
      </c>
      <c r="AQ328" s="1" t="s">
        <v>1141</v>
      </c>
      <c r="AR328" s="1" t="s">
        <v>1142</v>
      </c>
      <c r="AS328" s="1" t="s">
        <v>1143</v>
      </c>
      <c r="AT328" s="1" t="s">
        <v>329</v>
      </c>
      <c r="AU328" s="1">
        <v>222</v>
      </c>
      <c r="AV328" s="1">
        <v>0</v>
      </c>
      <c r="AW328" s="1" t="s">
        <v>5356</v>
      </c>
      <c r="AX328" s="1" t="s">
        <v>5059</v>
      </c>
      <c r="AY328" s="1">
        <v>5</v>
      </c>
      <c r="AZ328" s="1">
        <v>0</v>
      </c>
      <c r="BA328" s="1" t="s">
        <v>329</v>
      </c>
      <c r="BB328" s="1" t="s">
        <v>329</v>
      </c>
      <c r="BC328" s="1" t="s">
        <v>4721</v>
      </c>
      <c r="BD328" s="1">
        <v>10302</v>
      </c>
      <c r="BE328" s="1"/>
      <c r="BH328">
        <f>COUNTIF(Dropdowns!$I:$AF,C328)</f>
        <v>1</v>
      </c>
    </row>
    <row r="329" spans="1:60" x14ac:dyDescent="0.25">
      <c r="A329" s="1">
        <v>335</v>
      </c>
      <c r="B329" s="1" t="s">
        <v>4045</v>
      </c>
      <c r="C329" s="241" t="s">
        <v>819</v>
      </c>
      <c r="D329" s="1" t="s">
        <v>819</v>
      </c>
      <c r="E329" s="1"/>
      <c r="F329" s="1"/>
      <c r="G329" s="1" t="s">
        <v>4046</v>
      </c>
      <c r="H329" s="1" t="s">
        <v>4047</v>
      </c>
      <c r="I329" s="1" t="s">
        <v>4048</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5362</v>
      </c>
      <c r="AK329" s="1" t="s">
        <v>1354</v>
      </c>
      <c r="AL329" s="1">
        <v>13</v>
      </c>
      <c r="AM329" s="1" t="s">
        <v>332</v>
      </c>
      <c r="AN329" s="1" t="s">
        <v>4865</v>
      </c>
      <c r="AO329" s="1" t="s">
        <v>5103</v>
      </c>
      <c r="AP329" s="1">
        <v>0</v>
      </c>
      <c r="AQ329" s="1" t="s">
        <v>1131</v>
      </c>
      <c r="AR329" s="1" t="s">
        <v>1155</v>
      </c>
      <c r="AS329" s="1" t="s">
        <v>1130</v>
      </c>
      <c r="AT329" s="1" t="s">
        <v>329</v>
      </c>
      <c r="AU329" s="1">
        <v>48</v>
      </c>
      <c r="AV329" s="1">
        <v>0</v>
      </c>
      <c r="AW329" s="1" t="s">
        <v>5356</v>
      </c>
      <c r="AX329" s="1" t="s">
        <v>5357</v>
      </c>
      <c r="AY329" s="1">
        <v>4</v>
      </c>
      <c r="AZ329" s="1">
        <v>0</v>
      </c>
      <c r="BA329" s="1" t="s">
        <v>329</v>
      </c>
      <c r="BB329" s="1" t="s">
        <v>329</v>
      </c>
      <c r="BC329" s="1" t="s">
        <v>4758</v>
      </c>
      <c r="BD329" s="1">
        <v>10202</v>
      </c>
      <c r="BE329" s="1"/>
      <c r="BH329">
        <f>COUNTIF(Dropdowns!$I:$AF,C329)</f>
        <v>1</v>
      </c>
    </row>
    <row r="330" spans="1:60" x14ac:dyDescent="0.25">
      <c r="A330" s="1">
        <v>336</v>
      </c>
      <c r="B330" s="1" t="s">
        <v>4049</v>
      </c>
      <c r="C330" s="241" t="s">
        <v>1677</v>
      </c>
      <c r="D330" s="1" t="s">
        <v>1677</v>
      </c>
      <c r="E330" s="1"/>
      <c r="F330" s="1"/>
      <c r="G330" s="1" t="s">
        <v>4050</v>
      </c>
      <c r="H330" s="1" t="s">
        <v>4051</v>
      </c>
      <c r="I330" s="1" t="s">
        <v>4052</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5363</v>
      </c>
      <c r="AK330" s="1" t="s">
        <v>1355</v>
      </c>
      <c r="AL330" s="1">
        <v>12</v>
      </c>
      <c r="AM330" s="1" t="s">
        <v>4791</v>
      </c>
      <c r="AN330" s="1" t="s">
        <v>5199</v>
      </c>
      <c r="AO330" s="1" t="s">
        <v>4904</v>
      </c>
      <c r="AP330" s="1">
        <v>0</v>
      </c>
      <c r="AQ330" s="1" t="s">
        <v>1130</v>
      </c>
      <c r="AR330" s="1" t="s">
        <v>1120</v>
      </c>
      <c r="AS330" s="1" t="s">
        <v>1131</v>
      </c>
      <c r="AT330" s="1" t="s">
        <v>329</v>
      </c>
      <c r="AU330" s="1">
        <v>150</v>
      </c>
      <c r="AV330" s="1">
        <v>0</v>
      </c>
      <c r="AW330" s="1" t="s">
        <v>5364</v>
      </c>
      <c r="AX330" s="1" t="s">
        <v>332</v>
      </c>
      <c r="AY330" s="1">
        <v>4</v>
      </c>
      <c r="AZ330" s="1">
        <v>0</v>
      </c>
      <c r="BA330" s="1" t="s">
        <v>329</v>
      </c>
      <c r="BB330" s="1" t="s">
        <v>329</v>
      </c>
      <c r="BC330" s="1" t="s">
        <v>4758</v>
      </c>
      <c r="BD330" s="1">
        <v>10301</v>
      </c>
      <c r="BE330" s="1"/>
      <c r="BH330">
        <f>COUNTIF(Dropdowns!$I:$AF,C330)</f>
        <v>1</v>
      </c>
    </row>
    <row r="331" spans="1:60" x14ac:dyDescent="0.25">
      <c r="A331" s="1">
        <v>337</v>
      </c>
      <c r="B331" s="1" t="s">
        <v>4053</v>
      </c>
      <c r="C331" s="241" t="s">
        <v>892</v>
      </c>
      <c r="D331" s="1" t="s">
        <v>4054</v>
      </c>
      <c r="E331" s="1"/>
      <c r="F331" s="1"/>
      <c r="G331" s="1" t="s">
        <v>4055</v>
      </c>
      <c r="H331" s="1" t="s">
        <v>4056</v>
      </c>
      <c r="I331" s="1" t="s">
        <v>4057</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1356</v>
      </c>
      <c r="AL331" s="1">
        <v>14</v>
      </c>
      <c r="AM331" s="1" t="s">
        <v>471</v>
      </c>
      <c r="AN331" s="1" t="s">
        <v>5365</v>
      </c>
      <c r="AO331" s="1" t="s">
        <v>4833</v>
      </c>
      <c r="AP331" s="1">
        <v>0</v>
      </c>
      <c r="AQ331" s="1" t="s">
        <v>1141</v>
      </c>
      <c r="AR331" s="1" t="s">
        <v>1142</v>
      </c>
      <c r="AS331" s="1" t="s">
        <v>1143</v>
      </c>
      <c r="AT331" s="1" t="s">
        <v>329</v>
      </c>
      <c r="AU331" s="1">
        <v>241</v>
      </c>
      <c r="AV331" s="1">
        <v>0</v>
      </c>
      <c r="AW331" s="1" t="s">
        <v>5364</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4058</v>
      </c>
      <c r="C332" s="241" t="s">
        <v>891</v>
      </c>
      <c r="D332" s="1" t="s">
        <v>4059</v>
      </c>
      <c r="E332" s="1"/>
      <c r="F332" s="1"/>
      <c r="G332" s="1" t="s">
        <v>4060</v>
      </c>
      <c r="H332" s="1" t="s">
        <v>4061</v>
      </c>
      <c r="I332" s="1" t="s">
        <v>4062</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5366</v>
      </c>
      <c r="AK332" s="1" t="s">
        <v>1357</v>
      </c>
      <c r="AL332" s="1">
        <v>13</v>
      </c>
      <c r="AM332" s="1" t="s">
        <v>4720</v>
      </c>
      <c r="AN332" s="1" t="s">
        <v>5367</v>
      </c>
      <c r="AO332" s="1" t="s">
        <v>5214</v>
      </c>
      <c r="AP332" s="1">
        <v>0</v>
      </c>
      <c r="AQ332" s="1" t="s">
        <v>1131</v>
      </c>
      <c r="AR332" s="1" t="s">
        <v>1155</v>
      </c>
      <c r="AS332" s="1" t="s">
        <v>1130</v>
      </c>
      <c r="AT332" s="1" t="s">
        <v>329</v>
      </c>
      <c r="AU332" s="1">
        <v>48</v>
      </c>
      <c r="AV332" s="1">
        <v>0</v>
      </c>
      <c r="AW332" s="1" t="s">
        <v>5364</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4063</v>
      </c>
      <c r="C333" s="241" t="s">
        <v>1678</v>
      </c>
      <c r="D333" s="1" t="s">
        <v>1678</v>
      </c>
      <c r="E333" s="1"/>
      <c r="F333" s="1"/>
      <c r="G333" s="1" t="s">
        <v>4064</v>
      </c>
      <c r="H333" s="1" t="s">
        <v>4065</v>
      </c>
      <c r="I333" s="1" t="s">
        <v>4066</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1358</v>
      </c>
      <c r="AK333" s="1" t="s">
        <v>1359</v>
      </c>
      <c r="AL333" s="1">
        <v>18</v>
      </c>
      <c r="AM333" s="1" t="s">
        <v>4859</v>
      </c>
      <c r="AN333" s="1" t="s">
        <v>5368</v>
      </c>
      <c r="AO333" s="1" t="s">
        <v>5369</v>
      </c>
      <c r="AP333" s="1">
        <v>0</v>
      </c>
      <c r="AQ333" s="1" t="s">
        <v>1168</v>
      </c>
      <c r="AR333" s="1" t="s">
        <v>1169</v>
      </c>
      <c r="AS333" s="1" t="s">
        <v>1170</v>
      </c>
      <c r="AT333" s="1" t="s">
        <v>329</v>
      </c>
      <c r="AU333" s="1">
        <v>238</v>
      </c>
      <c r="AV333" s="1">
        <v>0</v>
      </c>
      <c r="AW333" s="1" t="s">
        <v>5364</v>
      </c>
      <c r="AX333" s="1" t="s">
        <v>332</v>
      </c>
      <c r="AY333" s="1">
        <v>5</v>
      </c>
      <c r="AZ333" s="1">
        <v>0</v>
      </c>
      <c r="BA333" s="1" t="s">
        <v>329</v>
      </c>
      <c r="BB333" s="1" t="s">
        <v>329</v>
      </c>
      <c r="BC333" s="1" t="s">
        <v>4758</v>
      </c>
      <c r="BD333" s="1">
        <v>10203</v>
      </c>
      <c r="BE333" s="1"/>
      <c r="BH333">
        <f>COUNTIF(Dropdowns!$I:$AF,C333)</f>
        <v>1</v>
      </c>
    </row>
    <row r="334" spans="1:60" x14ac:dyDescent="0.25">
      <c r="A334" s="1">
        <v>340</v>
      </c>
      <c r="B334" s="1" t="s">
        <v>4067</v>
      </c>
      <c r="C334" s="241" t="s">
        <v>1679</v>
      </c>
      <c r="D334" s="1" t="s">
        <v>1679</v>
      </c>
      <c r="E334" s="1"/>
      <c r="F334" s="1"/>
      <c r="G334" s="1" t="s">
        <v>4068</v>
      </c>
      <c r="H334" s="1" t="s">
        <v>4069</v>
      </c>
      <c r="I334" s="1" t="s">
        <v>4070</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1360</v>
      </c>
      <c r="AK334" s="1" t="s">
        <v>1361</v>
      </c>
      <c r="AL334" s="1">
        <v>13</v>
      </c>
      <c r="AM334" s="1" t="s">
        <v>4720</v>
      </c>
      <c r="AN334" s="1" t="s">
        <v>4835</v>
      </c>
      <c r="AO334" s="1" t="s">
        <v>5003</v>
      </c>
      <c r="AP334" s="1">
        <v>0</v>
      </c>
      <c r="AQ334" s="1" t="s">
        <v>1131</v>
      </c>
      <c r="AR334" s="1" t="s">
        <v>1155</v>
      </c>
      <c r="AS334" s="1" t="s">
        <v>1130</v>
      </c>
      <c r="AT334" s="1" t="s">
        <v>329</v>
      </c>
      <c r="AU334" s="1">
        <v>48</v>
      </c>
      <c r="AV334" s="1">
        <v>0</v>
      </c>
      <c r="AW334" s="1" t="s">
        <v>5370</v>
      </c>
      <c r="AX334" s="1" t="s">
        <v>5371</v>
      </c>
      <c r="AY334" s="1">
        <v>5</v>
      </c>
      <c r="AZ334" s="1">
        <v>0</v>
      </c>
      <c r="BA334" s="1" t="s">
        <v>329</v>
      </c>
      <c r="BB334" s="1" t="s">
        <v>329</v>
      </c>
      <c r="BC334" s="1" t="s">
        <v>4758</v>
      </c>
      <c r="BD334" s="1">
        <v>10402</v>
      </c>
      <c r="BE334" s="1"/>
      <c r="BH334">
        <f>COUNTIF(Dropdowns!$I:$AF,C334)</f>
        <v>1</v>
      </c>
    </row>
    <row r="335" spans="1:60" x14ac:dyDescent="0.25">
      <c r="A335" s="1">
        <v>341</v>
      </c>
      <c r="B335" s="1" t="s">
        <v>4071</v>
      </c>
      <c r="C335" s="241" t="s">
        <v>1703</v>
      </c>
      <c r="D335" s="1" t="s">
        <v>1703</v>
      </c>
      <c r="E335" s="1"/>
      <c r="F335" s="1"/>
      <c r="G335" s="1" t="s">
        <v>4072</v>
      </c>
      <c r="H335" s="1" t="s">
        <v>4073</v>
      </c>
      <c r="I335" s="1" t="s">
        <v>4074</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1704</v>
      </c>
      <c r="AK335" s="1" t="s">
        <v>1705</v>
      </c>
      <c r="AL335" s="1">
        <v>14</v>
      </c>
      <c r="AM335" s="1" t="s">
        <v>399</v>
      </c>
      <c r="AN335" s="1" t="s">
        <v>5372</v>
      </c>
      <c r="AO335" s="1" t="s">
        <v>5373</v>
      </c>
      <c r="AP335" s="1">
        <v>0</v>
      </c>
      <c r="AQ335" s="1" t="s">
        <v>1130</v>
      </c>
      <c r="AR335" s="1" t="s">
        <v>1120</v>
      </c>
      <c r="AS335" s="1" t="s">
        <v>1131</v>
      </c>
      <c r="AT335" s="1" t="s">
        <v>329</v>
      </c>
      <c r="AU335" s="1">
        <v>150</v>
      </c>
      <c r="AV335" s="1">
        <v>0</v>
      </c>
      <c r="AW335" s="1" t="s">
        <v>5374</v>
      </c>
      <c r="AX335" s="1" t="s">
        <v>5375</v>
      </c>
      <c r="AY335" s="1">
        <v>5</v>
      </c>
      <c r="AZ335" s="1">
        <v>0</v>
      </c>
      <c r="BA335" s="1" t="s">
        <v>329</v>
      </c>
      <c r="BB335" s="1" t="s">
        <v>329</v>
      </c>
      <c r="BC335" s="1" t="s">
        <v>329</v>
      </c>
      <c r="BD335" s="1">
        <v>10202</v>
      </c>
      <c r="BE335" s="1"/>
      <c r="BH335">
        <f>COUNTIF(Dropdowns!$I:$AF,C335)</f>
        <v>1</v>
      </c>
    </row>
    <row r="336" spans="1:60" x14ac:dyDescent="0.25">
      <c r="A336" s="1">
        <v>342</v>
      </c>
      <c r="B336" s="1" t="s">
        <v>4075</v>
      </c>
      <c r="C336" s="241" t="s">
        <v>1706</v>
      </c>
      <c r="D336" s="1" t="s">
        <v>1706</v>
      </c>
      <c r="E336" s="1"/>
      <c r="F336" s="1"/>
      <c r="G336" s="1" t="s">
        <v>4076</v>
      </c>
      <c r="H336" s="1" t="s">
        <v>4077</v>
      </c>
      <c r="I336" s="1" t="s">
        <v>4078</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1707</v>
      </c>
      <c r="AK336" s="1" t="s">
        <v>1708</v>
      </c>
      <c r="AL336" s="1">
        <v>13</v>
      </c>
      <c r="AM336" s="1" t="s">
        <v>4720</v>
      </c>
      <c r="AN336" s="1" t="s">
        <v>4865</v>
      </c>
      <c r="AO336" s="1" t="s">
        <v>5376</v>
      </c>
      <c r="AP336" s="1">
        <v>0</v>
      </c>
      <c r="AQ336" s="1" t="s">
        <v>1131</v>
      </c>
      <c r="AR336" s="1" t="s">
        <v>1155</v>
      </c>
      <c r="AS336" s="1" t="s">
        <v>1130</v>
      </c>
      <c r="AT336" s="1" t="s">
        <v>329</v>
      </c>
      <c r="AU336" s="1">
        <v>48</v>
      </c>
      <c r="AV336" s="1">
        <v>0</v>
      </c>
      <c r="AW336" s="1" t="s">
        <v>5374</v>
      </c>
      <c r="AX336" s="1" t="s">
        <v>5377</v>
      </c>
      <c r="AY336" s="1">
        <v>5</v>
      </c>
      <c r="AZ336" s="1">
        <v>0</v>
      </c>
      <c r="BA336" s="1" t="s">
        <v>329</v>
      </c>
      <c r="BB336" s="1" t="s">
        <v>329</v>
      </c>
      <c r="BC336" s="1" t="s">
        <v>329</v>
      </c>
      <c r="BD336" s="1">
        <v>10201</v>
      </c>
      <c r="BE336" s="1"/>
      <c r="BH336">
        <f>COUNTIF(Dropdowns!$I:$AF,C336)</f>
        <v>1</v>
      </c>
    </row>
    <row r="337" spans="1:60" x14ac:dyDescent="0.25">
      <c r="A337" s="1">
        <v>343</v>
      </c>
      <c r="B337" s="1" t="s">
        <v>4079</v>
      </c>
      <c r="C337" s="241" t="s">
        <v>1709</v>
      </c>
      <c r="D337" s="1" t="s">
        <v>1709</v>
      </c>
      <c r="E337" s="1"/>
      <c r="F337" s="1"/>
      <c r="G337" s="1" t="s">
        <v>4080</v>
      </c>
      <c r="H337" s="1" t="s">
        <v>4081</v>
      </c>
      <c r="I337" s="1" t="s">
        <v>4082</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1710</v>
      </c>
      <c r="AK337" s="1" t="s">
        <v>1711</v>
      </c>
      <c r="AL337" s="1">
        <v>14</v>
      </c>
      <c r="AM337" s="1" t="s">
        <v>4720</v>
      </c>
      <c r="AN337" s="1" t="s">
        <v>5253</v>
      </c>
      <c r="AO337" s="1" t="s">
        <v>5015</v>
      </c>
      <c r="AP337" s="1">
        <v>0</v>
      </c>
      <c r="AQ337" s="1" t="s">
        <v>1131</v>
      </c>
      <c r="AR337" s="1" t="s">
        <v>1155</v>
      </c>
      <c r="AS337" s="1" t="s">
        <v>1130</v>
      </c>
      <c r="AT337" s="1" t="s">
        <v>329</v>
      </c>
      <c r="AU337" s="1">
        <v>48</v>
      </c>
      <c r="AV337" s="1">
        <v>0</v>
      </c>
      <c r="AW337" s="1" t="s">
        <v>5374</v>
      </c>
      <c r="AX337" s="1" t="s">
        <v>5378</v>
      </c>
      <c r="AY337" s="1">
        <v>4</v>
      </c>
      <c r="AZ337" s="1">
        <v>0</v>
      </c>
      <c r="BA337" s="1" t="s">
        <v>329</v>
      </c>
      <c r="BB337" s="1" t="s">
        <v>329</v>
      </c>
      <c r="BC337" s="1" t="s">
        <v>329</v>
      </c>
      <c r="BD337" s="1">
        <v>10402</v>
      </c>
      <c r="BE337" s="1"/>
      <c r="BH337">
        <f>COUNTIF(Dropdowns!$I:$AF,C337)</f>
        <v>1</v>
      </c>
    </row>
    <row r="338" spans="1:60" x14ac:dyDescent="0.25">
      <c r="A338" s="1">
        <v>344</v>
      </c>
      <c r="B338" s="1" t="s">
        <v>4083</v>
      </c>
      <c r="C338" s="241" t="s">
        <v>1712</v>
      </c>
      <c r="D338" s="1" t="s">
        <v>1717</v>
      </c>
      <c r="E338" s="1"/>
      <c r="F338" s="1"/>
      <c r="G338" s="1" t="s">
        <v>4084</v>
      </c>
      <c r="H338" s="1" t="s">
        <v>4085</v>
      </c>
      <c r="I338" s="1" t="s">
        <v>4086</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1713</v>
      </c>
      <c r="AK338" s="1" t="s">
        <v>1714</v>
      </c>
      <c r="AL338" s="1">
        <v>12</v>
      </c>
      <c r="AM338" s="1" t="s">
        <v>4720</v>
      </c>
      <c r="AN338" s="1" t="s">
        <v>5189</v>
      </c>
      <c r="AO338" s="1" t="s">
        <v>5015</v>
      </c>
      <c r="AP338" s="1">
        <v>0</v>
      </c>
      <c r="AQ338" s="1" t="s">
        <v>1131</v>
      </c>
      <c r="AR338" s="1" t="s">
        <v>1155</v>
      </c>
      <c r="AS338" s="1" t="s">
        <v>1130</v>
      </c>
      <c r="AT338" s="1" t="s">
        <v>329</v>
      </c>
      <c r="AU338" s="1">
        <v>48</v>
      </c>
      <c r="AV338" s="1">
        <v>0</v>
      </c>
      <c r="AW338" s="1" t="s">
        <v>5374</v>
      </c>
      <c r="AX338" s="1" t="s">
        <v>5377</v>
      </c>
      <c r="AY338" s="1">
        <v>4</v>
      </c>
      <c r="AZ338" s="1">
        <v>0</v>
      </c>
      <c r="BA338" s="1" t="s">
        <v>329</v>
      </c>
      <c r="BB338" s="1" t="s">
        <v>329</v>
      </c>
      <c r="BC338" s="1" t="s">
        <v>329</v>
      </c>
      <c r="BD338" s="1">
        <v>10403</v>
      </c>
      <c r="BE338" s="1"/>
      <c r="BH338">
        <f>COUNTIF(Dropdowns!$I:$AF,C338)</f>
        <v>1</v>
      </c>
    </row>
    <row r="339" spans="1:60" x14ac:dyDescent="0.25">
      <c r="A339" s="1">
        <v>345</v>
      </c>
      <c r="B339" s="1" t="s">
        <v>4087</v>
      </c>
      <c r="C339" s="241" t="s">
        <v>1715</v>
      </c>
      <c r="D339" s="1" t="s">
        <v>1715</v>
      </c>
      <c r="E339" s="1"/>
      <c r="F339" s="1"/>
      <c r="G339" s="1" t="s">
        <v>4088</v>
      </c>
      <c r="H339" s="1" t="s">
        <v>4089</v>
      </c>
      <c r="I339" s="1" t="s">
        <v>4090</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1716</v>
      </c>
      <c r="AK339" s="1" t="s">
        <v>329</v>
      </c>
      <c r="AL339" s="1">
        <v>18</v>
      </c>
      <c r="AM339" s="1" t="s">
        <v>4859</v>
      </c>
      <c r="AN339" s="1" t="s">
        <v>5379</v>
      </c>
      <c r="AO339" s="1" t="s">
        <v>5156</v>
      </c>
      <c r="AP339" s="1">
        <v>0</v>
      </c>
      <c r="AQ339" s="1" t="s">
        <v>1168</v>
      </c>
      <c r="AR339" s="1" t="s">
        <v>1169</v>
      </c>
      <c r="AS339" s="1" t="s">
        <v>1170</v>
      </c>
      <c r="AT339" s="1" t="s">
        <v>329</v>
      </c>
      <c r="AU339" s="1">
        <v>238</v>
      </c>
      <c r="AV339" s="1">
        <v>0</v>
      </c>
      <c r="AW339" s="1" t="s">
        <v>5374</v>
      </c>
      <c r="AX339" s="1" t="s">
        <v>5378</v>
      </c>
      <c r="AY339" s="1">
        <v>5</v>
      </c>
      <c r="AZ339" s="1">
        <v>0</v>
      </c>
      <c r="BA339" s="1" t="s">
        <v>329</v>
      </c>
      <c r="BB339" s="1" t="s">
        <v>329</v>
      </c>
      <c r="BC339" s="1" t="s">
        <v>329</v>
      </c>
      <c r="BD339" s="1">
        <v>10202</v>
      </c>
      <c r="BE339" s="1"/>
      <c r="BH339">
        <f>COUNTIF(Dropdowns!$I:$AF,C339)</f>
        <v>1</v>
      </c>
    </row>
    <row r="340" spans="1:60" x14ac:dyDescent="0.25">
      <c r="A340" s="1">
        <v>346</v>
      </c>
      <c r="B340" s="1" t="s">
        <v>4091</v>
      </c>
      <c r="C340" s="241" t="s">
        <v>1727</v>
      </c>
      <c r="D340" s="1" t="s">
        <v>1727</v>
      </c>
      <c r="E340" s="1"/>
      <c r="F340" s="1"/>
      <c r="G340" s="1" t="s">
        <v>4092</v>
      </c>
      <c r="H340" s="1" t="s">
        <v>4093</v>
      </c>
      <c r="I340" s="1" t="s">
        <v>4094</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1728</v>
      </c>
      <c r="AL340" s="1">
        <v>13</v>
      </c>
      <c r="AM340" s="1" t="s">
        <v>1807</v>
      </c>
      <c r="AN340" s="1" t="s">
        <v>5380</v>
      </c>
      <c r="AO340" s="1" t="s">
        <v>4742</v>
      </c>
      <c r="AP340" s="1">
        <v>0</v>
      </c>
      <c r="AQ340" s="1" t="s">
        <v>1119</v>
      </c>
      <c r="AR340" s="1" t="s">
        <v>1120</v>
      </c>
      <c r="AS340" s="1" t="s">
        <v>1121</v>
      </c>
      <c r="AT340" s="1" t="s">
        <v>329</v>
      </c>
      <c r="AU340" s="1">
        <v>212</v>
      </c>
      <c r="AV340" s="1">
        <v>0</v>
      </c>
      <c r="AW340" s="1" t="s">
        <v>5381</v>
      </c>
      <c r="AX340" s="1" t="s">
        <v>4763</v>
      </c>
      <c r="AY340" s="1">
        <v>4</v>
      </c>
      <c r="AZ340" s="1">
        <v>0</v>
      </c>
      <c r="BA340" s="1" t="s">
        <v>329</v>
      </c>
      <c r="BB340" s="1" t="s">
        <v>329</v>
      </c>
      <c r="BC340" s="1" t="s">
        <v>329</v>
      </c>
      <c r="BD340" s="1">
        <v>10303</v>
      </c>
      <c r="BE340" s="1"/>
      <c r="BH340">
        <f>COUNTIF(Dropdowns!$I:$AF,C340)</f>
        <v>0</v>
      </c>
    </row>
    <row r="341" spans="1:60" x14ac:dyDescent="0.25">
      <c r="A341" s="1">
        <v>347</v>
      </c>
      <c r="B341" s="1" t="s">
        <v>4095</v>
      </c>
      <c r="C341" s="241" t="s">
        <v>1729</v>
      </c>
      <c r="D341" s="1" t="s">
        <v>1729</v>
      </c>
      <c r="E341" s="1"/>
      <c r="F341" s="1"/>
      <c r="G341" s="1" t="s">
        <v>4096</v>
      </c>
      <c r="H341" s="1" t="s">
        <v>4097</v>
      </c>
      <c r="I341" s="1" t="s">
        <v>4098</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1730</v>
      </c>
      <c r="AK341" s="1" t="s">
        <v>1731</v>
      </c>
      <c r="AL341" s="1">
        <v>12</v>
      </c>
      <c r="AM341" s="1" t="s">
        <v>399</v>
      </c>
      <c r="AN341" s="1" t="s">
        <v>5382</v>
      </c>
      <c r="AO341" s="1" t="s">
        <v>5383</v>
      </c>
      <c r="AP341" s="1">
        <v>0</v>
      </c>
      <c r="AQ341" s="1" t="s">
        <v>1130</v>
      </c>
      <c r="AR341" s="1" t="s">
        <v>1216</v>
      </c>
      <c r="AS341" s="1" t="s">
        <v>1131</v>
      </c>
      <c r="AT341" s="1" t="s">
        <v>329</v>
      </c>
      <c r="AU341" s="1">
        <v>150</v>
      </c>
      <c r="AV341" s="1">
        <v>0</v>
      </c>
      <c r="AW341" s="1" t="s">
        <v>5381</v>
      </c>
      <c r="AX341" s="1" t="s">
        <v>332</v>
      </c>
      <c r="AY341" s="1">
        <v>5</v>
      </c>
      <c r="AZ341" s="1">
        <v>0</v>
      </c>
      <c r="BA341" s="1" t="s">
        <v>329</v>
      </c>
      <c r="BB341" s="1" t="s">
        <v>329</v>
      </c>
      <c r="BC341" s="1" t="s">
        <v>4758</v>
      </c>
      <c r="BD341" s="1">
        <v>10202</v>
      </c>
      <c r="BE341" s="1"/>
      <c r="BH341">
        <f>COUNTIF(Dropdowns!$I:$AF,C341)</f>
        <v>1</v>
      </c>
    </row>
    <row r="342" spans="1:60" x14ac:dyDescent="0.25">
      <c r="A342" s="1">
        <v>348</v>
      </c>
      <c r="B342" s="1" t="s">
        <v>4099</v>
      </c>
      <c r="C342" s="241" t="s">
        <v>1732</v>
      </c>
      <c r="D342" s="1" t="s">
        <v>1732</v>
      </c>
      <c r="E342" s="1"/>
      <c r="F342" s="1"/>
      <c r="G342" s="1" t="s">
        <v>4100</v>
      </c>
      <c r="H342" s="1" t="s">
        <v>4101</v>
      </c>
      <c r="I342" s="1" t="s">
        <v>4102</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1733</v>
      </c>
      <c r="AK342" s="1" t="s">
        <v>1734</v>
      </c>
      <c r="AL342" s="1">
        <v>12</v>
      </c>
      <c r="AM342" s="1" t="s">
        <v>4763</v>
      </c>
      <c r="AN342" s="1" t="s">
        <v>5384</v>
      </c>
      <c r="AO342" s="1" t="s">
        <v>4846</v>
      </c>
      <c r="AP342" s="1">
        <v>0</v>
      </c>
      <c r="AQ342" s="1" t="s">
        <v>1141</v>
      </c>
      <c r="AR342" s="1" t="s">
        <v>1142</v>
      </c>
      <c r="AS342" s="1" t="s">
        <v>1143</v>
      </c>
      <c r="AT342" s="1" t="s">
        <v>329</v>
      </c>
      <c r="AU342" s="1">
        <v>241</v>
      </c>
      <c r="AV342" s="1">
        <v>0</v>
      </c>
      <c r="AW342" s="1" t="s">
        <v>5381</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4103</v>
      </c>
      <c r="C343" s="241" t="s">
        <v>1735</v>
      </c>
      <c r="D343" s="1" t="s">
        <v>1735</v>
      </c>
      <c r="E343" s="1"/>
      <c r="F343" s="1"/>
      <c r="G343" s="1" t="s">
        <v>4104</v>
      </c>
      <c r="H343" s="1" t="s">
        <v>4105</v>
      </c>
      <c r="I343" s="1" t="s">
        <v>4106</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1736</v>
      </c>
      <c r="AK343" s="1" t="s">
        <v>329</v>
      </c>
      <c r="AL343" s="1">
        <v>13</v>
      </c>
      <c r="AM343" s="1" t="s">
        <v>399</v>
      </c>
      <c r="AN343" s="1" t="s">
        <v>5385</v>
      </c>
      <c r="AO343" s="1" t="s">
        <v>5145</v>
      </c>
      <c r="AP343" s="1">
        <v>0</v>
      </c>
      <c r="AQ343" s="1" t="s">
        <v>1131</v>
      </c>
      <c r="AR343" s="1" t="s">
        <v>1155</v>
      </c>
      <c r="AS343" s="1" t="s">
        <v>1130</v>
      </c>
      <c r="AT343" s="1" t="s">
        <v>329</v>
      </c>
      <c r="AU343" s="1">
        <v>48</v>
      </c>
      <c r="AV343" s="1">
        <v>0</v>
      </c>
      <c r="AW343" s="1" t="s">
        <v>5381</v>
      </c>
      <c r="AX343" s="1" t="s">
        <v>332</v>
      </c>
      <c r="AY343" s="1">
        <v>4</v>
      </c>
      <c r="AZ343" s="1">
        <v>0</v>
      </c>
      <c r="BA343" s="1" t="s">
        <v>329</v>
      </c>
      <c r="BB343" s="1" t="s">
        <v>329</v>
      </c>
      <c r="BC343" s="1" t="s">
        <v>4758</v>
      </c>
      <c r="BD343" s="1">
        <v>10402</v>
      </c>
      <c r="BE343" s="1"/>
      <c r="BH343">
        <f>COUNTIF(Dropdowns!$I:$AF,C343)</f>
        <v>1</v>
      </c>
    </row>
    <row r="344" spans="1:60" x14ac:dyDescent="0.25">
      <c r="A344" s="1">
        <v>350</v>
      </c>
      <c r="B344" s="1" t="s">
        <v>4710</v>
      </c>
      <c r="C344" s="241" t="s">
        <v>4711</v>
      </c>
      <c r="D344" s="1" t="s">
        <v>4711</v>
      </c>
      <c r="E344" s="1"/>
      <c r="F344" s="1"/>
      <c r="G344" s="1" t="s">
        <v>4712</v>
      </c>
      <c r="H344" s="1" t="s">
        <v>4713</v>
      </c>
      <c r="I344" s="1" t="s">
        <v>4714</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4715</v>
      </c>
      <c r="AK344" s="1" t="s">
        <v>4716</v>
      </c>
      <c r="AL344" s="1">
        <v>7</v>
      </c>
      <c r="AM344" s="1" t="s">
        <v>4717</v>
      </c>
      <c r="AN344" s="1" t="s">
        <v>4492</v>
      </c>
      <c r="AO344" s="1" t="s">
        <v>4718</v>
      </c>
      <c r="AP344" s="1">
        <v>0</v>
      </c>
      <c r="AQ344" s="1" t="s">
        <v>1201</v>
      </c>
      <c r="AR344" s="1" t="s">
        <v>1202</v>
      </c>
      <c r="AS344" s="1" t="s">
        <v>1203</v>
      </c>
      <c r="AT344" s="1" t="s">
        <v>329</v>
      </c>
      <c r="AU344" s="1">
        <v>164</v>
      </c>
      <c r="AV344" s="1">
        <v>0</v>
      </c>
      <c r="AW344" s="1" t="s">
        <v>4719</v>
      </c>
      <c r="AX344" s="1" t="s">
        <v>4720</v>
      </c>
      <c r="AY344" s="1">
        <v>5</v>
      </c>
      <c r="AZ344" s="1">
        <v>0</v>
      </c>
      <c r="BA344" s="1" t="s">
        <v>329</v>
      </c>
      <c r="BB344" s="1" t="s">
        <v>329</v>
      </c>
      <c r="BC344" s="1" t="s">
        <v>4721</v>
      </c>
      <c r="BD344" s="1">
        <v>10402</v>
      </c>
      <c r="BE344" s="1"/>
      <c r="BH344">
        <f>COUNTIF(Dropdowns!$I:$AF,C344)</f>
        <v>1</v>
      </c>
    </row>
    <row r="345" spans="1:60" x14ac:dyDescent="0.25">
      <c r="A345" s="1">
        <v>351</v>
      </c>
      <c r="B345" s="1" t="s">
        <v>4722</v>
      </c>
      <c r="C345" s="241" t="s">
        <v>4723</v>
      </c>
      <c r="D345" s="1" t="s">
        <v>4724</v>
      </c>
      <c r="E345" s="1"/>
      <c r="F345" s="1"/>
      <c r="G345" s="1" t="s">
        <v>4725</v>
      </c>
      <c r="H345" s="1" t="s">
        <v>4726</v>
      </c>
      <c r="I345" s="1" t="s">
        <v>4727</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4728</v>
      </c>
      <c r="AK345" s="1" t="s">
        <v>329</v>
      </c>
      <c r="AL345" s="1">
        <v>8</v>
      </c>
      <c r="AM345" s="1" t="s">
        <v>4717</v>
      </c>
      <c r="AN345" s="1" t="s">
        <v>4729</v>
      </c>
      <c r="AO345" s="1" t="s">
        <v>4730</v>
      </c>
      <c r="AP345" s="1">
        <v>0</v>
      </c>
      <c r="AQ345" s="1" t="s">
        <v>1201</v>
      </c>
      <c r="AR345" s="1" t="s">
        <v>1202</v>
      </c>
      <c r="AS345" s="1" t="s">
        <v>1203</v>
      </c>
      <c r="AT345" s="1" t="s">
        <v>329</v>
      </c>
      <c r="AU345" s="1">
        <v>164</v>
      </c>
      <c r="AV345" s="1">
        <v>0</v>
      </c>
      <c r="AW345" s="1" t="s">
        <v>4719</v>
      </c>
      <c r="AX345" s="1" t="s">
        <v>4720</v>
      </c>
      <c r="AY345" s="1">
        <v>5</v>
      </c>
      <c r="AZ345" s="1">
        <v>0</v>
      </c>
      <c r="BA345" s="1" t="s">
        <v>329</v>
      </c>
      <c r="BB345" s="1" t="s">
        <v>329</v>
      </c>
      <c r="BC345" s="1" t="s">
        <v>4721</v>
      </c>
      <c r="BD345" s="1">
        <v>10705</v>
      </c>
      <c r="BE345" s="1"/>
      <c r="BH345">
        <f>COUNTIF(Dropdowns!$I:$AF,C345)</f>
        <v>1</v>
      </c>
    </row>
    <row r="346" spans="1:60" x14ac:dyDescent="0.25">
      <c r="A346" s="1">
        <v>352</v>
      </c>
      <c r="B346" s="1" t="s">
        <v>4731</v>
      </c>
      <c r="C346" s="241" t="s">
        <v>4732</v>
      </c>
      <c r="D346" s="1" t="s">
        <v>4732</v>
      </c>
      <c r="E346" s="1"/>
      <c r="F346" s="1"/>
      <c r="G346" s="1" t="s">
        <v>4733</v>
      </c>
      <c r="H346" s="1" t="s">
        <v>4734</v>
      </c>
      <c r="I346" s="1" t="s">
        <v>4735</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4736</v>
      </c>
      <c r="AK346" s="1" t="s">
        <v>4737</v>
      </c>
      <c r="AL346" s="1">
        <v>13</v>
      </c>
      <c r="AM346" s="1" t="s">
        <v>388</v>
      </c>
      <c r="AN346" s="1" t="s">
        <v>4738</v>
      </c>
      <c r="AO346" s="1" t="s">
        <v>4739</v>
      </c>
      <c r="AP346" s="1">
        <v>0</v>
      </c>
      <c r="AQ346" s="1" t="s">
        <v>1201</v>
      </c>
      <c r="AR346" s="1" t="s">
        <v>1202</v>
      </c>
      <c r="AS346" s="1" t="s">
        <v>1203</v>
      </c>
      <c r="AT346" s="1" t="s">
        <v>329</v>
      </c>
      <c r="AU346" s="1">
        <v>165</v>
      </c>
      <c r="AV346" s="1">
        <v>0</v>
      </c>
      <c r="AW346" s="1" t="s">
        <v>4719</v>
      </c>
      <c r="AX346" s="1" t="s">
        <v>4720</v>
      </c>
      <c r="AY346" s="1">
        <v>4</v>
      </c>
      <c r="AZ346" s="1">
        <v>0</v>
      </c>
      <c r="BA346" s="1" t="s">
        <v>329</v>
      </c>
      <c r="BB346" s="1" t="s">
        <v>329</v>
      </c>
      <c r="BC346" s="1" t="s">
        <v>4740</v>
      </c>
      <c r="BD346" s="1">
        <v>10403</v>
      </c>
      <c r="BE346" s="1"/>
      <c r="BH346">
        <f>COUNTIF(Dropdowns!$I:$AF,C346)</f>
        <v>1</v>
      </c>
    </row>
    <row r="347" spans="1:60" x14ac:dyDescent="0.25">
      <c r="A347" s="1">
        <v>353</v>
      </c>
      <c r="B347" s="1" t="s">
        <v>5461</v>
      </c>
      <c r="C347" s="241" t="s">
        <v>5462</v>
      </c>
      <c r="D347" s="1" t="s">
        <v>5462</v>
      </c>
      <c r="E347" s="1" t="s">
        <v>329</v>
      </c>
      <c r="F347" s="1" t="s">
        <v>329</v>
      </c>
      <c r="G347" s="1" t="s">
        <v>5463</v>
      </c>
      <c r="H347" s="1" t="s">
        <v>5464</v>
      </c>
      <c r="I347" s="1" t="s">
        <v>5465</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5466</v>
      </c>
      <c r="AK347" s="1" t="s">
        <v>5467</v>
      </c>
      <c r="AL347" s="1">
        <v>9</v>
      </c>
      <c r="AM347" s="1" t="s">
        <v>4717</v>
      </c>
      <c r="AN347" s="1" t="s">
        <v>5468</v>
      </c>
      <c r="AO347" s="1" t="s">
        <v>5210</v>
      </c>
      <c r="AP347" s="1">
        <v>0</v>
      </c>
      <c r="AQ347" s="1" t="s">
        <v>1201</v>
      </c>
      <c r="AR347" s="1" t="s">
        <v>1202</v>
      </c>
      <c r="AS347" s="1" t="s">
        <v>1203</v>
      </c>
      <c r="AT347" s="1" t="s">
        <v>329</v>
      </c>
      <c r="AU347" s="1">
        <v>165</v>
      </c>
      <c r="AV347" s="1">
        <v>0</v>
      </c>
      <c r="AW347" s="1" t="s">
        <v>4719</v>
      </c>
      <c r="AX347" s="1" t="s">
        <v>4720</v>
      </c>
      <c r="AY347" s="1">
        <v>4</v>
      </c>
      <c r="AZ347" s="1">
        <v>0</v>
      </c>
      <c r="BA347" s="1" t="s">
        <v>329</v>
      </c>
      <c r="BB347" s="1" t="s">
        <v>329</v>
      </c>
      <c r="BC347" s="1" t="s">
        <v>329</v>
      </c>
      <c r="BD347" s="1">
        <v>10802</v>
      </c>
      <c r="BE347" s="1"/>
      <c r="BH347">
        <f>COUNTIF(Dropdowns!$I:$AF,C347)</f>
        <v>1</v>
      </c>
    </row>
    <row r="348" spans="1:60" x14ac:dyDescent="0.25">
      <c r="A348" s="1">
        <v>354</v>
      </c>
      <c r="B348" s="1" t="s">
        <v>5469</v>
      </c>
      <c r="C348" s="241" t="s">
        <v>5492</v>
      </c>
      <c r="D348" s="1" t="s">
        <v>5470</v>
      </c>
      <c r="E348" s="1" t="s">
        <v>329</v>
      </c>
      <c r="F348" s="1" t="s">
        <v>329</v>
      </c>
      <c r="G348" s="1" t="s">
        <v>5471</v>
      </c>
      <c r="H348" s="1" t="s">
        <v>5472</v>
      </c>
      <c r="I348" s="1" t="s">
        <v>5473</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5474</v>
      </c>
      <c r="AK348" s="1" t="s">
        <v>5475</v>
      </c>
      <c r="AL348" s="1">
        <v>12</v>
      </c>
      <c r="AM348" s="1" t="s">
        <v>1807</v>
      </c>
      <c r="AN348" s="1" t="s">
        <v>5476</v>
      </c>
      <c r="AO348" s="1" t="s">
        <v>4810</v>
      </c>
      <c r="AP348" s="1">
        <v>0</v>
      </c>
      <c r="AQ348" s="1" t="s">
        <v>1119</v>
      </c>
      <c r="AR348" s="1" t="s">
        <v>1120</v>
      </c>
      <c r="AS348" s="1" t="s">
        <v>1121</v>
      </c>
      <c r="AT348" s="1" t="s">
        <v>329</v>
      </c>
      <c r="AU348" s="1">
        <v>212</v>
      </c>
      <c r="AV348" s="1">
        <v>0</v>
      </c>
      <c r="AW348" s="1" t="s">
        <v>5477</v>
      </c>
      <c r="AX348" s="1" t="s">
        <v>4763</v>
      </c>
      <c r="AY348" s="1">
        <v>4</v>
      </c>
      <c r="AZ348" s="1">
        <v>0</v>
      </c>
      <c r="BA348" s="1" t="s">
        <v>329</v>
      </c>
      <c r="BB348" s="1" t="s">
        <v>329</v>
      </c>
      <c r="BC348" s="1" t="s">
        <v>4721</v>
      </c>
      <c r="BD348" s="1">
        <v>10302</v>
      </c>
      <c r="BE348" s="1"/>
      <c r="BH348">
        <f>COUNTIF(Dropdowns!$I:$AF,C348)</f>
        <v>0</v>
      </c>
    </row>
    <row r="349" spans="1:60" x14ac:dyDescent="0.25">
      <c r="A349" s="1">
        <v>355</v>
      </c>
      <c r="B349" s="1" t="s">
        <v>5478</v>
      </c>
      <c r="C349" s="241" t="s">
        <v>5479</v>
      </c>
      <c r="D349" s="1" t="s">
        <v>5479</v>
      </c>
      <c r="E349" s="1" t="s">
        <v>329</v>
      </c>
      <c r="F349" s="1" t="s">
        <v>329</v>
      </c>
      <c r="G349" s="1" t="s">
        <v>5480</v>
      </c>
      <c r="H349" s="1" t="s">
        <v>5481</v>
      </c>
      <c r="I349" s="1" t="s">
        <v>5482</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5483</v>
      </c>
      <c r="AK349" s="1" t="s">
        <v>329</v>
      </c>
      <c r="AL349" s="1">
        <v>12</v>
      </c>
      <c r="AM349" s="1" t="s">
        <v>4791</v>
      </c>
      <c r="AN349" s="1" t="s">
        <v>359</v>
      </c>
      <c r="AO349" s="1" t="s">
        <v>5145</v>
      </c>
      <c r="AP349" s="1">
        <v>0</v>
      </c>
      <c r="AQ349" s="1" t="s">
        <v>1130</v>
      </c>
      <c r="AR349" s="1" t="s">
        <v>1120</v>
      </c>
      <c r="AS349" s="1" t="s">
        <v>1131</v>
      </c>
      <c r="AT349" s="1" t="s">
        <v>329</v>
      </c>
      <c r="AU349" s="1">
        <v>150</v>
      </c>
      <c r="AV349" s="1">
        <v>0</v>
      </c>
      <c r="AW349" s="1" t="s">
        <v>5477</v>
      </c>
      <c r="AX349" s="1" t="s">
        <v>332</v>
      </c>
      <c r="AY349" s="1">
        <v>4</v>
      </c>
      <c r="AZ349" s="1">
        <v>0</v>
      </c>
      <c r="BA349" s="1" t="s">
        <v>329</v>
      </c>
      <c r="BB349" s="1" t="s">
        <v>329</v>
      </c>
      <c r="BC349" s="1" t="s">
        <v>4854</v>
      </c>
      <c r="BD349" s="1">
        <v>10704</v>
      </c>
      <c r="BE349" s="1"/>
      <c r="BH349">
        <f>COUNTIF(Dropdowns!$I:$AF,C349)</f>
        <v>1</v>
      </c>
    </row>
    <row r="350" spans="1:60" x14ac:dyDescent="0.25">
      <c r="A350" s="1">
        <v>356</v>
      </c>
      <c r="B350" s="1" t="s">
        <v>5484</v>
      </c>
      <c r="C350" s="241" t="s">
        <v>5485</v>
      </c>
      <c r="D350" s="1" t="s">
        <v>5485</v>
      </c>
      <c r="E350" s="1" t="s">
        <v>329</v>
      </c>
      <c r="F350" s="1" t="s">
        <v>329</v>
      </c>
      <c r="G350" s="1" t="s">
        <v>5486</v>
      </c>
      <c r="H350" s="1" t="s">
        <v>5487</v>
      </c>
      <c r="I350" s="1" t="s">
        <v>5488</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5489</v>
      </c>
      <c r="AK350" s="1" t="s">
        <v>5490</v>
      </c>
      <c r="AL350" s="1">
        <v>14</v>
      </c>
      <c r="AM350" s="1" t="s">
        <v>4720</v>
      </c>
      <c r="AN350" s="1" t="s">
        <v>5152</v>
      </c>
      <c r="AO350" s="1" t="s">
        <v>5153</v>
      </c>
      <c r="AP350" s="1">
        <v>0</v>
      </c>
      <c r="AQ350" s="1" t="s">
        <v>1131</v>
      </c>
      <c r="AR350" s="1" t="s">
        <v>1155</v>
      </c>
      <c r="AS350" s="1" t="s">
        <v>1130</v>
      </c>
      <c r="AT350" s="1" t="s">
        <v>329</v>
      </c>
      <c r="AU350" s="1">
        <v>48</v>
      </c>
      <c r="AV350" s="1">
        <v>0</v>
      </c>
      <c r="AW350" s="1" t="s">
        <v>5477</v>
      </c>
      <c r="AX350" s="1" t="s">
        <v>332</v>
      </c>
      <c r="AY350" s="1">
        <v>5</v>
      </c>
      <c r="AZ350" s="1">
        <v>0</v>
      </c>
      <c r="BA350" s="1" t="s">
        <v>329</v>
      </c>
      <c r="BB350" s="1" t="s">
        <v>329</v>
      </c>
      <c r="BC350" s="1" t="s">
        <v>4758</v>
      </c>
      <c r="BD350" s="1">
        <v>10202</v>
      </c>
      <c r="BE350" s="1"/>
      <c r="BH350">
        <f>COUNTIF(Dropdowns!$I:$AF,C350)</f>
        <v>1</v>
      </c>
    </row>
    <row r="351" spans="1:60" x14ac:dyDescent="0.25">
      <c r="A351" s="1">
        <v>357</v>
      </c>
      <c r="B351" s="1" t="s">
        <v>5673</v>
      </c>
      <c r="C351" s="241" t="s">
        <v>5674</v>
      </c>
      <c r="D351" s="1" t="s">
        <v>5674</v>
      </c>
      <c r="E351" s="1" t="s">
        <v>329</v>
      </c>
      <c r="F351" s="1" t="s">
        <v>329</v>
      </c>
      <c r="G351" s="1" t="s">
        <v>5675</v>
      </c>
      <c r="H351" s="1" t="s">
        <v>5676</v>
      </c>
      <c r="I351" s="1" t="s">
        <v>5677</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5678</v>
      </c>
      <c r="AK351" s="1" t="s">
        <v>5679</v>
      </c>
      <c r="AL351" s="1">
        <v>13</v>
      </c>
      <c r="AM351" s="1" t="s">
        <v>1807</v>
      </c>
      <c r="AN351" s="1" t="s">
        <v>5680</v>
      </c>
      <c r="AO351" s="1" t="s">
        <v>4752</v>
      </c>
      <c r="AP351" s="1">
        <v>0</v>
      </c>
      <c r="AQ351" s="1" t="s">
        <v>1119</v>
      </c>
      <c r="AR351" s="1" t="s">
        <v>1120</v>
      </c>
      <c r="AS351" s="1" t="s">
        <v>1121</v>
      </c>
      <c r="AT351" s="1" t="s">
        <v>329</v>
      </c>
      <c r="AU351" s="1">
        <v>4</v>
      </c>
      <c r="AV351" s="1">
        <v>0</v>
      </c>
      <c r="AW351" s="1" t="s">
        <v>5681</v>
      </c>
      <c r="AX351" s="1" t="s">
        <v>5682</v>
      </c>
      <c r="AY351" s="1">
        <v>5</v>
      </c>
      <c r="AZ351" s="1">
        <v>0</v>
      </c>
      <c r="BA351" s="1" t="s">
        <v>329</v>
      </c>
      <c r="BB351" s="1" t="s">
        <v>329</v>
      </c>
      <c r="BC351" s="1" t="s">
        <v>4740</v>
      </c>
      <c r="BD351" s="1">
        <v>10203</v>
      </c>
      <c r="BE351" s="1"/>
      <c r="BH351">
        <f>COUNTIF(Dropdowns!$I:$AF,C351)</f>
        <v>0</v>
      </c>
    </row>
    <row r="352" spans="1:60" x14ac:dyDescent="0.25">
      <c r="A352" s="1">
        <v>358</v>
      </c>
      <c r="B352" s="1" t="s">
        <v>5683</v>
      </c>
      <c r="C352" s="241" t="s">
        <v>5684</v>
      </c>
      <c r="D352" s="1" t="s">
        <v>5684</v>
      </c>
      <c r="E352" s="1" t="s">
        <v>329</v>
      </c>
      <c r="F352" s="1" t="s">
        <v>329</v>
      </c>
      <c r="G352" s="1" t="s">
        <v>5685</v>
      </c>
      <c r="H352" s="1" t="s">
        <v>5686</v>
      </c>
      <c r="I352" s="1" t="s">
        <v>5687</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5688</v>
      </c>
      <c r="AL352" s="1">
        <v>13</v>
      </c>
      <c r="AM352" s="1" t="s">
        <v>1807</v>
      </c>
      <c r="AN352" s="1" t="s">
        <v>5689</v>
      </c>
      <c r="AO352" s="1" t="s">
        <v>5064</v>
      </c>
      <c r="AP352" s="1">
        <v>0</v>
      </c>
      <c r="AQ352" s="1" t="s">
        <v>1119</v>
      </c>
      <c r="AR352" s="1" t="s">
        <v>1120</v>
      </c>
      <c r="AS352" s="1" t="s">
        <v>1121</v>
      </c>
      <c r="AT352" s="1" t="s">
        <v>329</v>
      </c>
      <c r="AU352" s="1">
        <v>212</v>
      </c>
      <c r="AV352" s="1">
        <v>0</v>
      </c>
      <c r="AW352" s="1" t="s">
        <v>5681</v>
      </c>
      <c r="AX352" s="1" t="s">
        <v>1594</v>
      </c>
      <c r="AY352" s="1">
        <v>4</v>
      </c>
      <c r="AZ352" s="1">
        <v>0</v>
      </c>
      <c r="BA352" s="1" t="s">
        <v>329</v>
      </c>
      <c r="BB352" s="1" t="s">
        <v>329</v>
      </c>
      <c r="BC352" s="1" t="s">
        <v>4770</v>
      </c>
      <c r="BD352" s="1">
        <v>10202</v>
      </c>
      <c r="BE352" s="1"/>
      <c r="BH352">
        <f>COUNTIF(Dropdowns!$I:$AF,C352)</f>
        <v>0</v>
      </c>
    </row>
    <row r="353" spans="1:60" x14ac:dyDescent="0.25">
      <c r="A353" s="1">
        <v>359</v>
      </c>
      <c r="B353" s="1" t="s">
        <v>5690</v>
      </c>
      <c r="C353" s="241" t="s">
        <v>5691</v>
      </c>
      <c r="D353" s="1" t="s">
        <v>5691</v>
      </c>
      <c r="E353" s="1" t="s">
        <v>329</v>
      </c>
      <c r="F353" s="1" t="s">
        <v>329</v>
      </c>
      <c r="G353" s="1" t="s">
        <v>5692</v>
      </c>
      <c r="H353" s="1" t="s">
        <v>5693</v>
      </c>
      <c r="I353" s="1" t="s">
        <v>5694</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5695</v>
      </c>
      <c r="AK353" s="1" t="s">
        <v>5696</v>
      </c>
      <c r="AL353" s="1">
        <v>13</v>
      </c>
      <c r="AM353" s="1" t="s">
        <v>399</v>
      </c>
      <c r="AN353" s="1" t="s">
        <v>5697</v>
      </c>
      <c r="AO353" s="1" t="s">
        <v>5006</v>
      </c>
      <c r="AP353" s="1">
        <v>0</v>
      </c>
      <c r="AQ353" s="1" t="s">
        <v>1130</v>
      </c>
      <c r="AR353" s="1" t="s">
        <v>1120</v>
      </c>
      <c r="AS353" s="1" t="s">
        <v>1131</v>
      </c>
      <c r="AT353" s="1" t="s">
        <v>329</v>
      </c>
      <c r="AU353" s="1">
        <v>150</v>
      </c>
      <c r="AV353" s="1">
        <v>0</v>
      </c>
      <c r="AW353" s="1" t="s">
        <v>5681</v>
      </c>
      <c r="AX353" s="1" t="s">
        <v>1594</v>
      </c>
      <c r="AY353" s="1">
        <v>5</v>
      </c>
      <c r="AZ353" s="1">
        <v>0</v>
      </c>
      <c r="BA353" s="1" t="s">
        <v>329</v>
      </c>
      <c r="BB353" s="1" t="s">
        <v>329</v>
      </c>
      <c r="BC353" s="1" t="s">
        <v>329</v>
      </c>
      <c r="BD353" s="1">
        <v>10402</v>
      </c>
      <c r="BE353" s="1"/>
      <c r="BH353">
        <f>COUNTIF(Dropdowns!$I:$AF,C353)</f>
        <v>1</v>
      </c>
    </row>
    <row r="354" spans="1:60" x14ac:dyDescent="0.25">
      <c r="A354" s="1">
        <v>360</v>
      </c>
      <c r="B354" s="1" t="s">
        <v>5698</v>
      </c>
      <c r="C354" s="241" t="s">
        <v>5699</v>
      </c>
      <c r="D354" s="1" t="s">
        <v>5699</v>
      </c>
      <c r="E354" s="1" t="s">
        <v>329</v>
      </c>
      <c r="F354" s="1" t="s">
        <v>329</v>
      </c>
      <c r="G354" s="1" t="s">
        <v>5700</v>
      </c>
      <c r="H354" s="1" t="s">
        <v>5701</v>
      </c>
      <c r="I354" s="1" t="s">
        <v>5702</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5703</v>
      </c>
      <c r="AK354" s="1" t="s">
        <v>5704</v>
      </c>
      <c r="AL354" s="1">
        <v>13</v>
      </c>
      <c r="AM354" s="1" t="s">
        <v>4763</v>
      </c>
      <c r="AN354" s="1" t="s">
        <v>5705</v>
      </c>
      <c r="AO354" s="1" t="s">
        <v>4833</v>
      </c>
      <c r="AP354" s="1">
        <v>0</v>
      </c>
      <c r="AQ354" s="1" t="s">
        <v>1141</v>
      </c>
      <c r="AR354" s="1" t="s">
        <v>1142</v>
      </c>
      <c r="AS354" s="1" t="s">
        <v>1143</v>
      </c>
      <c r="AT354" s="1" t="s">
        <v>329</v>
      </c>
      <c r="AU354" s="1">
        <v>241</v>
      </c>
      <c r="AV354" s="1">
        <v>0</v>
      </c>
      <c r="AW354" s="1" t="s">
        <v>5681</v>
      </c>
      <c r="AX354" s="1" t="s">
        <v>5706</v>
      </c>
      <c r="AY354" s="1">
        <v>4</v>
      </c>
      <c r="AZ354" s="1">
        <v>0</v>
      </c>
      <c r="BA354" s="1" t="s">
        <v>329</v>
      </c>
      <c r="BB354" s="1" t="s">
        <v>329</v>
      </c>
      <c r="BC354" s="1" t="s">
        <v>4721</v>
      </c>
      <c r="BD354" s="1">
        <v>10802</v>
      </c>
      <c r="BE354" s="1"/>
      <c r="BH354">
        <f>COUNTIF(Dropdowns!$I:$AF,C354)</f>
        <v>1</v>
      </c>
    </row>
    <row r="355" spans="1:60" x14ac:dyDescent="0.25">
      <c r="A355" s="1">
        <v>361</v>
      </c>
      <c r="B355" s="1" t="s">
        <v>5707</v>
      </c>
      <c r="C355" s="241" t="s">
        <v>5708</v>
      </c>
      <c r="D355" s="1" t="s">
        <v>5708</v>
      </c>
      <c r="E355" s="1" t="s">
        <v>329</v>
      </c>
      <c r="F355" s="1" t="s">
        <v>329</v>
      </c>
      <c r="G355" s="1" t="s">
        <v>5709</v>
      </c>
      <c r="H355" s="1" t="s">
        <v>5710</v>
      </c>
      <c r="I355" s="1" t="s">
        <v>5711</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5712</v>
      </c>
      <c r="AL355" s="1">
        <v>13</v>
      </c>
      <c r="AM355" s="1" t="s">
        <v>4720</v>
      </c>
      <c r="AN355" s="1" t="s">
        <v>4865</v>
      </c>
      <c r="AO355" s="1" t="s">
        <v>5713</v>
      </c>
      <c r="AP355" s="1">
        <v>0</v>
      </c>
      <c r="AQ355" s="1" t="s">
        <v>1131</v>
      </c>
      <c r="AR355" s="1" t="s">
        <v>1155</v>
      </c>
      <c r="AS355" s="1" t="s">
        <v>1130</v>
      </c>
      <c r="AT355" s="1" t="s">
        <v>329</v>
      </c>
      <c r="AU355" s="1">
        <v>48</v>
      </c>
      <c r="AV355" s="1">
        <v>0</v>
      </c>
      <c r="AW355" s="1" t="s">
        <v>5681</v>
      </c>
      <c r="AX355" s="1" t="s">
        <v>5706</v>
      </c>
      <c r="AY355" s="1">
        <v>5</v>
      </c>
      <c r="AZ355" s="1">
        <v>0</v>
      </c>
      <c r="BA355" s="1" t="s">
        <v>329</v>
      </c>
      <c r="BB355" s="1" t="s">
        <v>329</v>
      </c>
      <c r="BC355" s="1" t="s">
        <v>4784</v>
      </c>
      <c r="BD355" s="1">
        <v>10402</v>
      </c>
      <c r="BE355" s="1"/>
      <c r="BH355">
        <f>COUNTIF(Dropdowns!$I:$AF,C355)</f>
        <v>1</v>
      </c>
    </row>
    <row r="356" spans="1:60" x14ac:dyDescent="0.25">
      <c r="A356" s="1">
        <v>362</v>
      </c>
      <c r="B356" s="1" t="s">
        <v>5714</v>
      </c>
      <c r="C356" s="241" t="s">
        <v>5715</v>
      </c>
      <c r="D356" s="1" t="s">
        <v>5715</v>
      </c>
      <c r="E356" s="1" t="s">
        <v>329</v>
      </c>
      <c r="F356" s="1" t="s">
        <v>329</v>
      </c>
      <c r="G356" s="1" t="s">
        <v>5716</v>
      </c>
      <c r="H356" s="1" t="s">
        <v>5717</v>
      </c>
      <c r="I356" s="1" t="s">
        <v>5718</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5719</v>
      </c>
      <c r="AK356" s="1" t="s">
        <v>5720</v>
      </c>
      <c r="AL356" s="1">
        <v>18</v>
      </c>
      <c r="AM356" s="1" t="s">
        <v>4859</v>
      </c>
      <c r="AN356" s="1" t="s">
        <v>4938</v>
      </c>
      <c r="AO356" s="1" t="s">
        <v>5012</v>
      </c>
      <c r="AP356" s="1">
        <v>0</v>
      </c>
      <c r="AQ356" s="1" t="s">
        <v>1168</v>
      </c>
      <c r="AR356" s="1" t="s">
        <v>1169</v>
      </c>
      <c r="AS356" s="1" t="s">
        <v>1170</v>
      </c>
      <c r="AT356" s="1" t="s">
        <v>329</v>
      </c>
      <c r="AU356" s="1">
        <v>238</v>
      </c>
      <c r="AV356" s="1">
        <v>0</v>
      </c>
      <c r="AW356" s="1" t="s">
        <v>5681</v>
      </c>
      <c r="AX356" s="1" t="s">
        <v>1594</v>
      </c>
      <c r="AY356" s="1">
        <v>4</v>
      </c>
      <c r="AZ356" s="1">
        <v>0</v>
      </c>
      <c r="BA356" s="1" t="s">
        <v>329</v>
      </c>
      <c r="BB356" s="1" t="s">
        <v>329</v>
      </c>
      <c r="BC356" s="1" t="s">
        <v>329</v>
      </c>
      <c r="BD356" s="1">
        <v>10403</v>
      </c>
      <c r="BE356" s="1"/>
      <c r="BH356">
        <f>COUNTIF(Dropdowns!$I:$AF,C356)</f>
        <v>1</v>
      </c>
    </row>
    <row r="357" spans="1:60" x14ac:dyDescent="0.25">
      <c r="A357" s="1">
        <v>363</v>
      </c>
      <c r="B357" s="1" t="s">
        <v>6383</v>
      </c>
      <c r="C357" s="241" t="s">
        <v>2136</v>
      </c>
      <c r="D357" s="1" t="s">
        <v>2136</v>
      </c>
      <c r="E357" s="1" t="s">
        <v>329</v>
      </c>
      <c r="F357" s="1" t="s">
        <v>329</v>
      </c>
      <c r="G357" s="1" t="s">
        <v>6384</v>
      </c>
      <c r="H357" s="1" t="s">
        <v>6385</v>
      </c>
      <c r="I357" s="1" t="s">
        <v>6386</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6387</v>
      </c>
      <c r="AK357" s="1" t="s">
        <v>6388</v>
      </c>
      <c r="AL357" s="1">
        <v>13</v>
      </c>
      <c r="AM357" s="1" t="s">
        <v>399</v>
      </c>
      <c r="AN357" s="1" t="s">
        <v>6389</v>
      </c>
      <c r="AO357" s="1" t="s">
        <v>5170</v>
      </c>
      <c r="AP357" s="1">
        <v>0</v>
      </c>
      <c r="AQ357" s="1" t="s">
        <v>1130</v>
      </c>
      <c r="AR357" s="1" t="s">
        <v>1120</v>
      </c>
      <c r="AS357" s="1" t="s">
        <v>1131</v>
      </c>
      <c r="AT357" s="1" t="s">
        <v>329</v>
      </c>
      <c r="AU357" s="1">
        <v>150</v>
      </c>
      <c r="AV357" s="1">
        <v>0</v>
      </c>
      <c r="AW357" s="1" t="s">
        <v>6390</v>
      </c>
      <c r="AX357" s="1" t="s">
        <v>332</v>
      </c>
      <c r="AY357" s="1">
        <v>4</v>
      </c>
      <c r="AZ357" s="1">
        <v>0</v>
      </c>
      <c r="BA357" s="1" t="s">
        <v>329</v>
      </c>
      <c r="BB357" s="1" t="s">
        <v>329</v>
      </c>
      <c r="BC357" s="1" t="s">
        <v>4770</v>
      </c>
      <c r="BD357" s="1">
        <v>10301</v>
      </c>
      <c r="BE357" s="1"/>
      <c r="BH357">
        <f>COUNTIF(Dropdowns!$I:$AF,C357)</f>
        <v>1</v>
      </c>
    </row>
    <row r="358" spans="1:60" x14ac:dyDescent="0.25">
      <c r="A358" s="1">
        <v>364</v>
      </c>
      <c r="B358" s="1" t="s">
        <v>6391</v>
      </c>
      <c r="C358" s="241" t="s">
        <v>6392</v>
      </c>
      <c r="D358" s="1" t="s">
        <v>6392</v>
      </c>
      <c r="E358" s="1" t="s">
        <v>329</v>
      </c>
      <c r="F358" s="1" t="s">
        <v>329</v>
      </c>
      <c r="G358" s="1" t="s">
        <v>6393</v>
      </c>
      <c r="H358" s="1" t="s">
        <v>6394</v>
      </c>
      <c r="I358" s="1" t="s">
        <v>6395</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6396</v>
      </c>
      <c r="AK358" s="1" t="s">
        <v>6397</v>
      </c>
      <c r="AL358" s="1">
        <v>8</v>
      </c>
      <c r="AM358" s="1" t="s">
        <v>399</v>
      </c>
      <c r="AN358" s="1" t="s">
        <v>6398</v>
      </c>
      <c r="AO358" s="1" t="s">
        <v>5170</v>
      </c>
      <c r="AP358" s="1">
        <v>0</v>
      </c>
      <c r="AQ358" s="1" t="s">
        <v>1130</v>
      </c>
      <c r="AR358" s="1" t="s">
        <v>1120</v>
      </c>
      <c r="AS358" s="1" t="s">
        <v>1131</v>
      </c>
      <c r="AT358" s="1" t="s">
        <v>329</v>
      </c>
      <c r="AU358" s="1">
        <v>150</v>
      </c>
      <c r="AV358" s="1">
        <v>0</v>
      </c>
      <c r="AW358" s="1" t="s">
        <v>6390</v>
      </c>
      <c r="AX358" s="1" t="s">
        <v>332</v>
      </c>
      <c r="AY358" s="1">
        <v>4</v>
      </c>
      <c r="AZ358" s="1">
        <v>0</v>
      </c>
      <c r="BA358" s="1" t="s">
        <v>329</v>
      </c>
      <c r="BB358" s="1" t="s">
        <v>329</v>
      </c>
      <c r="BC358" s="1" t="s">
        <v>4770</v>
      </c>
      <c r="BD358" s="1">
        <v>10302</v>
      </c>
      <c r="BE358" s="1"/>
      <c r="BH358">
        <f>COUNTIF(Dropdowns!$I:$AF,C358)</f>
        <v>1</v>
      </c>
    </row>
    <row r="359" spans="1:60" x14ac:dyDescent="0.25">
      <c r="A359" s="1">
        <v>365</v>
      </c>
      <c r="B359" s="1" t="s">
        <v>6399</v>
      </c>
      <c r="C359" s="241" t="s">
        <v>6400</v>
      </c>
      <c r="D359" s="1" t="s">
        <v>6400</v>
      </c>
      <c r="E359" s="1" t="s">
        <v>329</v>
      </c>
      <c r="F359" s="1" t="s">
        <v>329</v>
      </c>
      <c r="G359" s="1" t="s">
        <v>6401</v>
      </c>
      <c r="H359" s="1" t="s">
        <v>6402</v>
      </c>
      <c r="I359" s="1" t="s">
        <v>6403</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6404</v>
      </c>
      <c r="AK359" s="1" t="s">
        <v>329</v>
      </c>
      <c r="AL359" s="1">
        <v>13</v>
      </c>
      <c r="AM359" s="1" t="s">
        <v>4720</v>
      </c>
      <c r="AN359" s="1" t="s">
        <v>4830</v>
      </c>
      <c r="AO359" s="1" t="s">
        <v>6405</v>
      </c>
      <c r="AP359" s="1">
        <v>0</v>
      </c>
      <c r="AQ359" s="1" t="s">
        <v>1131</v>
      </c>
      <c r="AR359" s="1" t="s">
        <v>1155</v>
      </c>
      <c r="AS359" s="1" t="s">
        <v>1130</v>
      </c>
      <c r="AT359" s="1" t="s">
        <v>329</v>
      </c>
      <c r="AU359" s="1">
        <v>48</v>
      </c>
      <c r="AV359" s="1">
        <v>0</v>
      </c>
      <c r="AW359" s="1" t="s">
        <v>6390</v>
      </c>
      <c r="AX359" s="1" t="s">
        <v>332</v>
      </c>
      <c r="AY359" s="1">
        <v>5</v>
      </c>
      <c r="AZ359" s="1">
        <v>0</v>
      </c>
      <c r="BA359" s="1" t="s">
        <v>329</v>
      </c>
      <c r="BB359" s="1" t="s">
        <v>329</v>
      </c>
      <c r="BC359" s="1" t="s">
        <v>4721</v>
      </c>
      <c r="BD359" s="1">
        <v>10704</v>
      </c>
      <c r="BE359" s="1"/>
      <c r="BH359">
        <f>COUNTIF(Dropdowns!$I:$AF,C359)</f>
        <v>1</v>
      </c>
    </row>
    <row r="360" spans="1:60" x14ac:dyDescent="0.25">
      <c r="A360">
        <v>366</v>
      </c>
      <c r="B360" t="s">
        <v>6565</v>
      </c>
      <c r="C360" s="242" t="s">
        <v>6566</v>
      </c>
      <c r="D360" t="s">
        <v>6566</v>
      </c>
      <c r="E360" t="s">
        <v>329</v>
      </c>
      <c r="F360" t="s">
        <v>329</v>
      </c>
      <c r="G360" t="s">
        <v>6567</v>
      </c>
      <c r="H360" t="s">
        <v>6568</v>
      </c>
      <c r="I360" t="s">
        <v>6569</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6570</v>
      </c>
      <c r="AK360" t="s">
        <v>6571</v>
      </c>
      <c r="AL360">
        <v>8</v>
      </c>
      <c r="AM360" t="s">
        <v>388</v>
      </c>
      <c r="AN360" t="s">
        <v>6572</v>
      </c>
      <c r="AO360" t="s">
        <v>6573</v>
      </c>
      <c r="AP360">
        <v>0</v>
      </c>
      <c r="AQ360" t="s">
        <v>1201</v>
      </c>
      <c r="AR360" t="s">
        <v>1202</v>
      </c>
      <c r="AS360" t="s">
        <v>1203</v>
      </c>
      <c r="AT360" t="s">
        <v>329</v>
      </c>
      <c r="AU360">
        <v>164</v>
      </c>
      <c r="AV360">
        <v>0</v>
      </c>
      <c r="AW360" t="s">
        <v>6574</v>
      </c>
      <c r="AX360" t="s">
        <v>4720</v>
      </c>
      <c r="AY360">
        <v>5</v>
      </c>
      <c r="AZ360">
        <v>0</v>
      </c>
      <c r="BA360" t="s">
        <v>329</v>
      </c>
      <c r="BB360" t="s">
        <v>329</v>
      </c>
      <c r="BC360" t="s">
        <v>4740</v>
      </c>
      <c r="BD360">
        <v>10704</v>
      </c>
      <c r="BE360" s="1"/>
      <c r="BH360">
        <f>COUNTIF(Dropdowns!$I:$AF,C360)</f>
        <v>1</v>
      </c>
    </row>
    <row r="361" spans="1:60" x14ac:dyDescent="0.25">
      <c r="A361">
        <v>367</v>
      </c>
      <c r="B361" t="s">
        <v>6575</v>
      </c>
      <c r="C361" s="242" t="s">
        <v>6576</v>
      </c>
      <c r="D361" t="s">
        <v>6576</v>
      </c>
      <c r="E361" t="s">
        <v>329</v>
      </c>
      <c r="F361" t="s">
        <v>329</v>
      </c>
      <c r="G361" t="s">
        <v>6577</v>
      </c>
      <c r="H361" t="s">
        <v>6578</v>
      </c>
      <c r="I361" t="s">
        <v>6579</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6580</v>
      </c>
      <c r="AK361" t="s">
        <v>6581</v>
      </c>
      <c r="AL361">
        <v>9</v>
      </c>
      <c r="AM361" t="s">
        <v>4717</v>
      </c>
      <c r="AN361" t="s">
        <v>6582</v>
      </c>
      <c r="AO361" t="s">
        <v>6583</v>
      </c>
      <c r="AP361">
        <v>0</v>
      </c>
      <c r="AQ361" t="s">
        <v>1201</v>
      </c>
      <c r="AR361" t="s">
        <v>1202</v>
      </c>
      <c r="AS361" t="s">
        <v>1203</v>
      </c>
      <c r="AT361" t="s">
        <v>329</v>
      </c>
      <c r="AU361">
        <v>164</v>
      </c>
      <c r="AV361">
        <v>0</v>
      </c>
      <c r="AW361" t="s">
        <v>6574</v>
      </c>
      <c r="AX361" t="s">
        <v>4720</v>
      </c>
      <c r="AY361">
        <v>5</v>
      </c>
      <c r="AZ361">
        <v>0</v>
      </c>
      <c r="BA361" t="s">
        <v>329</v>
      </c>
      <c r="BB361" t="s">
        <v>329</v>
      </c>
      <c r="BC361" t="s">
        <v>4721</v>
      </c>
      <c r="BD361">
        <v>10704</v>
      </c>
      <c r="BE361" s="1"/>
      <c r="BH361">
        <f>COUNTIF(Dropdowns!$I:$AF,C361)</f>
        <v>1</v>
      </c>
    </row>
    <row r="362" spans="1:60" x14ac:dyDescent="0.25">
      <c r="A362">
        <v>368</v>
      </c>
      <c r="B362" t="s">
        <v>6584</v>
      </c>
      <c r="C362" s="242" t="s">
        <v>6585</v>
      </c>
      <c r="D362" t="s">
        <v>6585</v>
      </c>
      <c r="E362" t="s">
        <v>329</v>
      </c>
      <c r="F362" t="s">
        <v>329</v>
      </c>
      <c r="G362" t="s">
        <v>6586</v>
      </c>
      <c r="H362" t="s">
        <v>6587</v>
      </c>
      <c r="I362" t="s">
        <v>6588</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1200</v>
      </c>
      <c r="AK362" t="s">
        <v>6589</v>
      </c>
      <c r="AL362">
        <v>7</v>
      </c>
      <c r="AM362" t="s">
        <v>4717</v>
      </c>
      <c r="AN362" t="s">
        <v>335</v>
      </c>
      <c r="AO362" t="s">
        <v>5069</v>
      </c>
      <c r="AP362">
        <v>0</v>
      </c>
      <c r="AQ362" t="s">
        <v>1201</v>
      </c>
      <c r="AR362" t="s">
        <v>1202</v>
      </c>
      <c r="AS362" t="s">
        <v>1203</v>
      </c>
      <c r="AT362" t="s">
        <v>329</v>
      </c>
      <c r="AU362">
        <v>165</v>
      </c>
      <c r="AV362">
        <v>0</v>
      </c>
      <c r="AW362" t="s">
        <v>6574</v>
      </c>
      <c r="AX362" t="s">
        <v>4720</v>
      </c>
      <c r="AY362">
        <v>4</v>
      </c>
      <c r="AZ362">
        <v>0</v>
      </c>
      <c r="BA362" t="s">
        <v>329</v>
      </c>
      <c r="BB362" t="s">
        <v>329</v>
      </c>
      <c r="BC362" t="s">
        <v>329</v>
      </c>
      <c r="BD362">
        <v>10803</v>
      </c>
      <c r="BE362" s="1"/>
      <c r="BH362">
        <f>COUNTIF(Dropdowns!$I:$AF,C362)</f>
        <v>1</v>
      </c>
    </row>
    <row r="363" spans="1:60" x14ac:dyDescent="0.25">
      <c r="A363" s="1">
        <v>1001</v>
      </c>
      <c r="B363" s="1" t="s">
        <v>4107</v>
      </c>
      <c r="C363" s="241" t="s">
        <v>193</v>
      </c>
      <c r="D363" s="1" t="s">
        <v>4108</v>
      </c>
      <c r="E363" s="1"/>
      <c r="F363" s="1"/>
      <c r="G363" s="1" t="s">
        <v>4109</v>
      </c>
      <c r="H363" s="1" t="s">
        <v>4110</v>
      </c>
      <c r="I363" s="1" t="s">
        <v>4111</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1807</v>
      </c>
      <c r="AN363" s="1" t="s">
        <v>4963</v>
      </c>
      <c r="AO363" s="1" t="s">
        <v>5057</v>
      </c>
      <c r="AP363" s="1">
        <v>0</v>
      </c>
      <c r="AQ363" s="1" t="s">
        <v>1119</v>
      </c>
      <c r="AR363" s="1" t="s">
        <v>1120</v>
      </c>
      <c r="AS363" s="1" t="s">
        <v>1121</v>
      </c>
      <c r="AT363" s="1" t="s">
        <v>329</v>
      </c>
      <c r="AU363" s="1">
        <v>1001</v>
      </c>
      <c r="AV363" s="1">
        <v>1</v>
      </c>
      <c r="AW363" s="1" t="s">
        <v>5386</v>
      </c>
      <c r="AX363" s="1" t="s">
        <v>1807</v>
      </c>
      <c r="AY363" s="1">
        <v>7</v>
      </c>
      <c r="AZ363" s="1">
        <v>0</v>
      </c>
      <c r="BA363" s="1" t="s">
        <v>329</v>
      </c>
      <c r="BB363" s="1" t="s">
        <v>329</v>
      </c>
      <c r="BC363" s="1" t="s">
        <v>5387</v>
      </c>
      <c r="BD363" s="1">
        <v>0</v>
      </c>
      <c r="BE363" s="1"/>
      <c r="BH363">
        <f>COUNTIF(Dropdowns!$I:$AF,C363)</f>
        <v>0</v>
      </c>
    </row>
    <row r="364" spans="1:60" x14ac:dyDescent="0.25">
      <c r="A364" s="1">
        <v>1002</v>
      </c>
      <c r="B364" s="1" t="s">
        <v>4112</v>
      </c>
      <c r="C364" s="241" t="s">
        <v>194</v>
      </c>
      <c r="D364" s="1" t="s">
        <v>4113</v>
      </c>
      <c r="E364" s="1"/>
      <c r="F364" s="1"/>
      <c r="G364" s="1" t="s">
        <v>4114</v>
      </c>
      <c r="H364" s="1" t="s">
        <v>4115</v>
      </c>
      <c r="I364" s="1" t="s">
        <v>4116</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1200</v>
      </c>
      <c r="AK364" s="1" t="s">
        <v>329</v>
      </c>
      <c r="AL364" s="1">
        <v>8</v>
      </c>
      <c r="AM364" s="1" t="s">
        <v>4717</v>
      </c>
      <c r="AN364" s="1" t="s">
        <v>399</v>
      </c>
      <c r="AO364" s="1" t="s">
        <v>5268</v>
      </c>
      <c r="AP364" s="1">
        <v>0</v>
      </c>
      <c r="AQ364" s="1" t="s">
        <v>1201</v>
      </c>
      <c r="AR364" s="1" t="s">
        <v>1202</v>
      </c>
      <c r="AS364" s="1" t="s">
        <v>1203</v>
      </c>
      <c r="AT364" s="1" t="s">
        <v>329</v>
      </c>
      <c r="AU364" s="1">
        <v>1002</v>
      </c>
      <c r="AV364" s="1">
        <v>1</v>
      </c>
      <c r="AW364" s="1" t="s">
        <v>5386</v>
      </c>
      <c r="AX364" s="1" t="s">
        <v>1807</v>
      </c>
      <c r="AY364" s="1">
        <v>7</v>
      </c>
      <c r="AZ364" s="1">
        <v>0</v>
      </c>
      <c r="BA364" s="1" t="s">
        <v>329</v>
      </c>
      <c r="BB364" s="1" t="s">
        <v>329</v>
      </c>
      <c r="BC364" s="1" t="s">
        <v>5387</v>
      </c>
      <c r="BD364" s="1">
        <v>0</v>
      </c>
      <c r="BE364" s="1"/>
      <c r="BH364">
        <f>COUNTIF(Dropdowns!$I:$AF,C364)</f>
        <v>1</v>
      </c>
    </row>
    <row r="365" spans="1:60" x14ac:dyDescent="0.25">
      <c r="A365" s="1">
        <v>1003</v>
      </c>
      <c r="B365" s="1" t="s">
        <v>4117</v>
      </c>
      <c r="C365" s="241" t="s">
        <v>820</v>
      </c>
      <c r="D365" s="1" t="s">
        <v>820</v>
      </c>
      <c r="E365" s="1"/>
      <c r="F365" s="1"/>
      <c r="G365" s="1" t="s">
        <v>4118</v>
      </c>
      <c r="H365" s="1" t="s">
        <v>4119</v>
      </c>
      <c r="I365" s="1" t="s">
        <v>4120</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1362</v>
      </c>
      <c r="AK365" s="1" t="s">
        <v>329</v>
      </c>
      <c r="AL365" s="1">
        <v>13</v>
      </c>
      <c r="AM365" s="1" t="s">
        <v>1807</v>
      </c>
      <c r="AN365" s="1" t="s">
        <v>4748</v>
      </c>
      <c r="AO365" s="1" t="s">
        <v>5015</v>
      </c>
      <c r="AP365" s="1">
        <v>0</v>
      </c>
      <c r="AQ365" s="1" t="s">
        <v>1119</v>
      </c>
      <c r="AR365" s="1" t="s">
        <v>1120</v>
      </c>
      <c r="AS365" s="1" t="s">
        <v>1121</v>
      </c>
      <c r="AT365" s="1" t="s">
        <v>329</v>
      </c>
      <c r="AU365" s="1">
        <v>1003</v>
      </c>
      <c r="AV365" s="1">
        <v>1</v>
      </c>
      <c r="AW365" s="1" t="s">
        <v>5388</v>
      </c>
      <c r="AX365" s="1" t="s">
        <v>5389</v>
      </c>
      <c r="AY365" s="1">
        <v>7</v>
      </c>
      <c r="AZ365" s="1">
        <v>0</v>
      </c>
      <c r="BA365" s="1" t="s">
        <v>329</v>
      </c>
      <c r="BB365" s="1" t="s">
        <v>329</v>
      </c>
      <c r="BC365" s="1" t="s">
        <v>5387</v>
      </c>
      <c r="BD365" s="1">
        <v>0</v>
      </c>
      <c r="BE365" s="1"/>
      <c r="BH365">
        <f>COUNTIF(Dropdowns!$I:$AF,C365)</f>
        <v>0</v>
      </c>
    </row>
    <row r="366" spans="1:60" x14ac:dyDescent="0.25">
      <c r="A366" s="1">
        <v>1004</v>
      </c>
      <c r="B366" s="1" t="s">
        <v>4121</v>
      </c>
      <c r="C366" s="241" t="s">
        <v>821</v>
      </c>
      <c r="D366" s="1" t="s">
        <v>4122</v>
      </c>
      <c r="E366" s="1"/>
      <c r="F366" s="1"/>
      <c r="G366" s="1" t="s">
        <v>4123</v>
      </c>
      <c r="H366" s="1" t="s">
        <v>4124</v>
      </c>
      <c r="I366" s="1" t="s">
        <v>4125</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1362</v>
      </c>
      <c r="AK366" s="1" t="s">
        <v>329</v>
      </c>
      <c r="AL366" s="1">
        <v>13</v>
      </c>
      <c r="AM366" s="1" t="s">
        <v>4763</v>
      </c>
      <c r="AN366" s="1" t="s">
        <v>5390</v>
      </c>
      <c r="AO366" s="1" t="s">
        <v>4846</v>
      </c>
      <c r="AP366" s="1">
        <v>0</v>
      </c>
      <c r="AQ366" s="1" t="s">
        <v>1141</v>
      </c>
      <c r="AR366" s="1" t="s">
        <v>1142</v>
      </c>
      <c r="AS366" s="1" t="s">
        <v>1143</v>
      </c>
      <c r="AT366" s="1" t="s">
        <v>329</v>
      </c>
      <c r="AU366" s="1">
        <v>1004</v>
      </c>
      <c r="AV366" s="1">
        <v>1</v>
      </c>
      <c r="AW366" s="1" t="s">
        <v>5388</v>
      </c>
      <c r="AX366" s="1" t="s">
        <v>5391</v>
      </c>
      <c r="AY366" s="1">
        <v>7</v>
      </c>
      <c r="AZ366" s="1">
        <v>0</v>
      </c>
      <c r="BA366" s="1" t="s">
        <v>329</v>
      </c>
      <c r="BB366" s="1" t="s">
        <v>329</v>
      </c>
      <c r="BC366" s="1" t="s">
        <v>5387</v>
      </c>
      <c r="BD366" s="1">
        <v>0</v>
      </c>
      <c r="BE366" s="1"/>
      <c r="BH366">
        <f>COUNTIF(Dropdowns!$I:$AF,C366)</f>
        <v>1</v>
      </c>
    </row>
    <row r="367" spans="1:60" x14ac:dyDescent="0.25">
      <c r="A367" s="1">
        <v>1005</v>
      </c>
      <c r="B367" s="1" t="s">
        <v>4126</v>
      </c>
      <c r="C367" s="241" t="s">
        <v>822</v>
      </c>
      <c r="D367" s="1" t="s">
        <v>822</v>
      </c>
      <c r="E367" s="1"/>
      <c r="F367" s="1"/>
      <c r="G367" s="1" t="s">
        <v>4127</v>
      </c>
      <c r="H367" s="1" t="s">
        <v>4128</v>
      </c>
      <c r="I367" s="1" t="s">
        <v>4129</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1362</v>
      </c>
      <c r="AK367" s="1" t="s">
        <v>329</v>
      </c>
      <c r="AL367" s="1">
        <v>13</v>
      </c>
      <c r="AM367" s="1" t="s">
        <v>4763</v>
      </c>
      <c r="AN367" s="1" t="s">
        <v>5114</v>
      </c>
      <c r="AO367" s="1" t="s">
        <v>4846</v>
      </c>
      <c r="AP367" s="1">
        <v>0</v>
      </c>
      <c r="AQ367" s="1" t="s">
        <v>1141</v>
      </c>
      <c r="AR367" s="1" t="s">
        <v>1142</v>
      </c>
      <c r="AS367" s="1" t="s">
        <v>1143</v>
      </c>
      <c r="AT367" s="1" t="s">
        <v>329</v>
      </c>
      <c r="AU367" s="1">
        <v>1005</v>
      </c>
      <c r="AV367" s="1">
        <v>1</v>
      </c>
      <c r="AW367" s="1" t="s">
        <v>5388</v>
      </c>
      <c r="AX367" s="1" t="s">
        <v>5391</v>
      </c>
      <c r="AY367" s="1">
        <v>7</v>
      </c>
      <c r="AZ367" s="1">
        <v>0</v>
      </c>
      <c r="BA367" s="1" t="s">
        <v>329</v>
      </c>
      <c r="BB367" s="1" t="s">
        <v>329</v>
      </c>
      <c r="BC367" s="1" t="s">
        <v>5387</v>
      </c>
      <c r="BD367" s="1">
        <v>0</v>
      </c>
      <c r="BE367" s="1"/>
      <c r="BH367">
        <f>COUNTIF(Dropdowns!$I:$AF,C367)</f>
        <v>1</v>
      </c>
    </row>
    <row r="368" spans="1:60" x14ac:dyDescent="0.25">
      <c r="A368" s="1">
        <v>1006</v>
      </c>
      <c r="B368" s="1" t="s">
        <v>4130</v>
      </c>
      <c r="C368" s="241" t="s">
        <v>823</v>
      </c>
      <c r="D368" s="1" t="s">
        <v>823</v>
      </c>
      <c r="E368" s="1"/>
      <c r="F368" s="1"/>
      <c r="G368" s="1" t="s">
        <v>4131</v>
      </c>
      <c r="H368" s="1" t="s">
        <v>4132</v>
      </c>
      <c r="I368" s="1" t="s">
        <v>4133</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1133</v>
      </c>
      <c r="AK368" s="1" t="s">
        <v>1363</v>
      </c>
      <c r="AL368" s="1">
        <v>13</v>
      </c>
      <c r="AM368" s="1" t="s">
        <v>1807</v>
      </c>
      <c r="AN368" s="1" t="s">
        <v>4959</v>
      </c>
      <c r="AO368" s="1" t="s">
        <v>4818</v>
      </c>
      <c r="AP368" s="1">
        <v>0</v>
      </c>
      <c r="AQ368" s="1" t="s">
        <v>1119</v>
      </c>
      <c r="AR368" s="1" t="s">
        <v>1120</v>
      </c>
      <c r="AS368" s="1" t="s">
        <v>1121</v>
      </c>
      <c r="AT368" s="1" t="s">
        <v>329</v>
      </c>
      <c r="AU368" s="1">
        <v>1006</v>
      </c>
      <c r="AV368" s="1">
        <v>1</v>
      </c>
      <c r="AW368" s="1" t="s">
        <v>5388</v>
      </c>
      <c r="AX368" s="1" t="s">
        <v>5392</v>
      </c>
      <c r="AY368" s="1">
        <v>7</v>
      </c>
      <c r="AZ368" s="1">
        <v>0</v>
      </c>
      <c r="BA368" s="1" t="s">
        <v>329</v>
      </c>
      <c r="BB368" s="1" t="s">
        <v>329</v>
      </c>
      <c r="BC368" s="1" t="s">
        <v>5387</v>
      </c>
      <c r="BD368" s="1">
        <v>0</v>
      </c>
      <c r="BE368" s="1"/>
      <c r="BH368">
        <f>COUNTIF(Dropdowns!$I:$AF,C368)</f>
        <v>0</v>
      </c>
    </row>
    <row r="369" spans="1:60" x14ac:dyDescent="0.25">
      <c r="A369" s="1">
        <v>1007</v>
      </c>
      <c r="B369" s="1" t="s">
        <v>4134</v>
      </c>
      <c r="C369" s="241" t="s">
        <v>824</v>
      </c>
      <c r="D369" s="1" t="s">
        <v>824</v>
      </c>
      <c r="E369" s="1"/>
      <c r="F369" s="1"/>
      <c r="G369" s="1" t="s">
        <v>4135</v>
      </c>
      <c r="H369" s="1" t="s">
        <v>4136</v>
      </c>
      <c r="I369" s="1" t="s">
        <v>4137</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1362</v>
      </c>
      <c r="AK369" s="1" t="s">
        <v>1364</v>
      </c>
      <c r="AL369" s="1">
        <v>13</v>
      </c>
      <c r="AM369" s="1" t="s">
        <v>4720</v>
      </c>
      <c r="AN369" s="1" t="s">
        <v>476</v>
      </c>
      <c r="AO369" s="1" t="s">
        <v>5393</v>
      </c>
      <c r="AP369" s="1">
        <v>0</v>
      </c>
      <c r="AQ369" s="1" t="s">
        <v>1131</v>
      </c>
      <c r="AR369" s="1" t="s">
        <v>1155</v>
      </c>
      <c r="AS369" s="1" t="s">
        <v>1130</v>
      </c>
      <c r="AT369" s="1" t="s">
        <v>329</v>
      </c>
      <c r="AU369" s="1">
        <v>1007</v>
      </c>
      <c r="AV369" s="1">
        <v>1</v>
      </c>
      <c r="AW369" s="1" t="s">
        <v>5388</v>
      </c>
      <c r="AX369" s="1" t="s">
        <v>5394</v>
      </c>
      <c r="AY369" s="1">
        <v>7</v>
      </c>
      <c r="AZ369" s="1">
        <v>0</v>
      </c>
      <c r="BA369" s="1" t="s">
        <v>329</v>
      </c>
      <c r="BB369" s="1" t="s">
        <v>329</v>
      </c>
      <c r="BC369" s="1" t="s">
        <v>5387</v>
      </c>
      <c r="BD369" s="1">
        <v>0</v>
      </c>
      <c r="BE369" s="1"/>
      <c r="BH369">
        <f>COUNTIF(Dropdowns!$I:$AF,C369)</f>
        <v>1</v>
      </c>
    </row>
    <row r="370" spans="1:60" x14ac:dyDescent="0.25">
      <c r="A370" s="1">
        <v>1008</v>
      </c>
      <c r="B370" s="1" t="s">
        <v>4138</v>
      </c>
      <c r="C370" s="241" t="s">
        <v>825</v>
      </c>
      <c r="D370" s="1" t="s">
        <v>825</v>
      </c>
      <c r="E370" s="1"/>
      <c r="F370" s="1"/>
      <c r="G370" s="1" t="s">
        <v>4139</v>
      </c>
      <c r="H370" s="1" t="s">
        <v>4140</v>
      </c>
      <c r="I370" s="1" t="s">
        <v>4141</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1365</v>
      </c>
      <c r="AK370" s="1" t="s">
        <v>329</v>
      </c>
      <c r="AL370" s="1">
        <v>8</v>
      </c>
      <c r="AM370" s="1" t="s">
        <v>4717</v>
      </c>
      <c r="AN370" s="1" t="s">
        <v>399</v>
      </c>
      <c r="AO370" s="1" t="s">
        <v>5395</v>
      </c>
      <c r="AP370" s="1">
        <v>0</v>
      </c>
      <c r="AQ370" s="1" t="s">
        <v>1201</v>
      </c>
      <c r="AR370" s="1" t="s">
        <v>1202</v>
      </c>
      <c r="AS370" s="1" t="s">
        <v>1203</v>
      </c>
      <c r="AT370" s="1" t="s">
        <v>329</v>
      </c>
      <c r="AU370" s="1">
        <v>1008</v>
      </c>
      <c r="AV370" s="1">
        <v>1</v>
      </c>
      <c r="AW370" s="1" t="s">
        <v>5388</v>
      </c>
      <c r="AX370" s="1" t="s">
        <v>5392</v>
      </c>
      <c r="AY370" s="1">
        <v>7</v>
      </c>
      <c r="AZ370" s="1">
        <v>0</v>
      </c>
      <c r="BA370" s="1" t="s">
        <v>329</v>
      </c>
      <c r="BB370" s="1" t="s">
        <v>329</v>
      </c>
      <c r="BC370" s="1" t="s">
        <v>5387</v>
      </c>
      <c r="BD370" s="1">
        <v>0</v>
      </c>
      <c r="BE370" s="1"/>
      <c r="BH370">
        <f>COUNTIF(Dropdowns!$I:$AF,C370)</f>
        <v>1</v>
      </c>
    </row>
    <row r="371" spans="1:60" x14ac:dyDescent="0.25">
      <c r="A371" s="1">
        <v>1009</v>
      </c>
      <c r="B371" s="1" t="s">
        <v>4142</v>
      </c>
      <c r="C371" s="241" t="s">
        <v>195</v>
      </c>
      <c r="D371" s="1" t="s">
        <v>195</v>
      </c>
      <c r="E371" s="1"/>
      <c r="F371" s="1"/>
      <c r="G371" s="1" t="s">
        <v>4143</v>
      </c>
      <c r="H371" s="1" t="s">
        <v>4144</v>
      </c>
      <c r="I371" s="1" t="s">
        <v>4145</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1366</v>
      </c>
      <c r="AK371" s="1" t="s">
        <v>1367</v>
      </c>
      <c r="AL371" s="1">
        <v>13</v>
      </c>
      <c r="AM371" s="1" t="s">
        <v>1807</v>
      </c>
      <c r="AN371" s="1" t="s">
        <v>4948</v>
      </c>
      <c r="AO371" s="1" t="s">
        <v>4818</v>
      </c>
      <c r="AP371" s="1">
        <v>0</v>
      </c>
      <c r="AQ371" s="1" t="s">
        <v>4743</v>
      </c>
      <c r="AR371" s="1" t="s">
        <v>1120</v>
      </c>
      <c r="AS371" s="1" t="s">
        <v>1121</v>
      </c>
      <c r="AT371" s="1" t="s">
        <v>329</v>
      </c>
      <c r="AU371" s="1">
        <v>1009</v>
      </c>
      <c r="AV371" s="1">
        <v>1</v>
      </c>
      <c r="AW371" s="1" t="s">
        <v>5163</v>
      </c>
      <c r="AX371" s="1" t="s">
        <v>5396</v>
      </c>
      <c r="AY371" s="1">
        <v>7</v>
      </c>
      <c r="AZ371" s="1">
        <v>0</v>
      </c>
      <c r="BA371" s="1" t="s">
        <v>329</v>
      </c>
      <c r="BB371" s="1" t="s">
        <v>329</v>
      </c>
      <c r="BC371" s="1" t="s">
        <v>5387</v>
      </c>
      <c r="BD371" s="1">
        <v>0</v>
      </c>
      <c r="BE371" s="1"/>
      <c r="BH371">
        <f>COUNTIF(Dropdowns!$I:$AF,C371)</f>
        <v>0</v>
      </c>
    </row>
    <row r="372" spans="1:60" x14ac:dyDescent="0.25">
      <c r="A372" s="1">
        <v>1010</v>
      </c>
      <c r="B372" s="1" t="s">
        <v>4146</v>
      </c>
      <c r="C372" s="241" t="s">
        <v>196</v>
      </c>
      <c r="D372" s="1" t="s">
        <v>196</v>
      </c>
      <c r="E372" s="1"/>
      <c r="F372" s="1"/>
      <c r="G372" s="1" t="s">
        <v>4147</v>
      </c>
      <c r="H372" s="1" t="s">
        <v>4148</v>
      </c>
      <c r="I372" s="1" t="s">
        <v>4149</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1368</v>
      </c>
      <c r="AL372" s="1">
        <v>13</v>
      </c>
      <c r="AM372" s="1" t="s">
        <v>1807</v>
      </c>
      <c r="AN372" s="1" t="s">
        <v>4862</v>
      </c>
      <c r="AO372" s="1" t="s">
        <v>4876</v>
      </c>
      <c r="AP372" s="1">
        <v>0</v>
      </c>
      <c r="AQ372" s="1" t="s">
        <v>4743</v>
      </c>
      <c r="AR372" s="1" t="s">
        <v>1120</v>
      </c>
      <c r="AS372" s="1" t="s">
        <v>1121</v>
      </c>
      <c r="AT372" s="1" t="s">
        <v>329</v>
      </c>
      <c r="AU372" s="1">
        <v>1010</v>
      </c>
      <c r="AV372" s="1">
        <v>1</v>
      </c>
      <c r="AW372" s="1" t="s">
        <v>5163</v>
      </c>
      <c r="AX372" s="1" t="s">
        <v>5392</v>
      </c>
      <c r="AY372" s="1">
        <v>7</v>
      </c>
      <c r="AZ372" s="1">
        <v>0</v>
      </c>
      <c r="BA372" s="1" t="s">
        <v>329</v>
      </c>
      <c r="BB372" s="1" t="s">
        <v>329</v>
      </c>
      <c r="BC372" s="1" t="s">
        <v>5387</v>
      </c>
      <c r="BD372" s="1">
        <v>0</v>
      </c>
      <c r="BE372" s="1"/>
      <c r="BH372">
        <f>COUNTIF(Dropdowns!$I:$AF,C372)</f>
        <v>0</v>
      </c>
    </row>
    <row r="373" spans="1:60" x14ac:dyDescent="0.25">
      <c r="A373" s="1">
        <v>1017</v>
      </c>
      <c r="B373" s="1" t="s">
        <v>4150</v>
      </c>
      <c r="C373" s="241" t="s">
        <v>1693</v>
      </c>
      <c r="D373" s="1" t="s">
        <v>1693</v>
      </c>
      <c r="E373" s="1"/>
      <c r="F373" s="1"/>
      <c r="G373" s="1" t="s">
        <v>4151</v>
      </c>
      <c r="H373" s="1" t="s">
        <v>4152</v>
      </c>
      <c r="I373" s="1" t="s">
        <v>4153</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1369</v>
      </c>
      <c r="AK373" s="1" t="s">
        <v>1370</v>
      </c>
      <c r="AL373" s="1">
        <v>13</v>
      </c>
      <c r="AM373" s="1" t="s">
        <v>1807</v>
      </c>
      <c r="AN373" s="1" t="s">
        <v>4738</v>
      </c>
      <c r="AO373" s="1" t="s">
        <v>5058</v>
      </c>
      <c r="AP373" s="1">
        <v>0</v>
      </c>
      <c r="AQ373" s="1" t="s">
        <v>4743</v>
      </c>
      <c r="AR373" s="1" t="s">
        <v>1744</v>
      </c>
      <c r="AS373" s="1" t="s">
        <v>4762</v>
      </c>
      <c r="AT373" s="1" t="s">
        <v>329</v>
      </c>
      <c r="AU373" s="1">
        <v>1003</v>
      </c>
      <c r="AV373" s="1">
        <v>1</v>
      </c>
      <c r="AW373" s="1" t="s">
        <v>5397</v>
      </c>
      <c r="AX373" s="1" t="s">
        <v>5398</v>
      </c>
      <c r="AY373" s="1">
        <v>7</v>
      </c>
      <c r="AZ373" s="1">
        <v>0</v>
      </c>
      <c r="BA373" s="1" t="s">
        <v>329</v>
      </c>
      <c r="BB373" s="1" t="s">
        <v>329</v>
      </c>
      <c r="BC373" s="1" t="s">
        <v>5387</v>
      </c>
      <c r="BD373" s="1">
        <v>0</v>
      </c>
      <c r="BE373" s="1"/>
      <c r="BH373">
        <f>COUNTIF(Dropdowns!$I:$AF,C373)</f>
        <v>0</v>
      </c>
    </row>
    <row r="374" spans="1:60" x14ac:dyDescent="0.25">
      <c r="A374" s="1">
        <v>1018</v>
      </c>
      <c r="B374" s="1" t="s">
        <v>4154</v>
      </c>
      <c r="C374" s="241" t="s">
        <v>732</v>
      </c>
      <c r="D374" s="1" t="s">
        <v>4155</v>
      </c>
      <c r="E374" s="1"/>
      <c r="F374" s="1"/>
      <c r="G374" s="1" t="s">
        <v>4156</v>
      </c>
      <c r="H374" s="1" t="s">
        <v>4157</v>
      </c>
      <c r="I374" s="1" t="s">
        <v>4158</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1371</v>
      </c>
      <c r="AK374" s="1" t="s">
        <v>1372</v>
      </c>
      <c r="AL374" s="1">
        <v>13</v>
      </c>
      <c r="AM374" s="1" t="s">
        <v>1807</v>
      </c>
      <c r="AN374" s="1" t="s">
        <v>5399</v>
      </c>
      <c r="AO374" s="1" t="s">
        <v>4955</v>
      </c>
      <c r="AP374" s="1">
        <v>0</v>
      </c>
      <c r="AQ374" s="1" t="s">
        <v>1119</v>
      </c>
      <c r="AR374" s="1" t="s">
        <v>1120</v>
      </c>
      <c r="AS374" s="1" t="s">
        <v>4762</v>
      </c>
      <c r="AT374" s="1" t="s">
        <v>329</v>
      </c>
      <c r="AU374" s="1">
        <v>1006</v>
      </c>
      <c r="AV374" s="1">
        <v>1</v>
      </c>
      <c r="AW374" s="1" t="s">
        <v>5397</v>
      </c>
      <c r="AX374" s="1" t="s">
        <v>1373</v>
      </c>
      <c r="AY374" s="1">
        <v>7</v>
      </c>
      <c r="AZ374" s="1">
        <v>0</v>
      </c>
      <c r="BA374" s="1" t="s">
        <v>329</v>
      </c>
      <c r="BB374" s="1" t="s">
        <v>329</v>
      </c>
      <c r="BC374" s="1" t="s">
        <v>5387</v>
      </c>
      <c r="BD374" s="1">
        <v>0</v>
      </c>
      <c r="BE374" s="1"/>
      <c r="BH374">
        <f>COUNTIF(Dropdowns!$I:$AF,C374)</f>
        <v>0</v>
      </c>
    </row>
    <row r="375" spans="1:60" x14ac:dyDescent="0.25">
      <c r="A375" s="1">
        <v>1019</v>
      </c>
      <c r="B375" s="1" t="s">
        <v>4159</v>
      </c>
      <c r="C375" s="241" t="s">
        <v>722</v>
      </c>
      <c r="D375" s="1" t="s">
        <v>722</v>
      </c>
      <c r="E375" s="1"/>
      <c r="F375" s="1"/>
      <c r="G375" s="1" t="s">
        <v>4160</v>
      </c>
      <c r="H375" s="1" t="s">
        <v>4161</v>
      </c>
      <c r="I375" s="1" t="s">
        <v>4162</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1374</v>
      </c>
      <c r="AK375" s="1" t="s">
        <v>1375</v>
      </c>
      <c r="AL375" s="1">
        <v>13</v>
      </c>
      <c r="AM375" s="1" t="s">
        <v>355</v>
      </c>
      <c r="AN375" s="1" t="s">
        <v>389</v>
      </c>
      <c r="AO375" s="1" t="s">
        <v>4876</v>
      </c>
      <c r="AP375" s="1">
        <v>0</v>
      </c>
      <c r="AQ375" s="1" t="s">
        <v>1130</v>
      </c>
      <c r="AR375" s="1" t="s">
        <v>1744</v>
      </c>
      <c r="AS375" s="1" t="s">
        <v>1131</v>
      </c>
      <c r="AT375" s="1" t="s">
        <v>329</v>
      </c>
      <c r="AU375" s="1">
        <v>224</v>
      </c>
      <c r="AV375" s="1">
        <v>1</v>
      </c>
      <c r="AW375" s="1" t="s">
        <v>5397</v>
      </c>
      <c r="AX375" s="1" t="s">
        <v>5400</v>
      </c>
      <c r="AY375" s="1">
        <v>7</v>
      </c>
      <c r="AZ375" s="1">
        <v>0</v>
      </c>
      <c r="BA375" s="1" t="s">
        <v>329</v>
      </c>
      <c r="BB375" s="1" t="s">
        <v>329</v>
      </c>
      <c r="BC375" s="1" t="s">
        <v>5387</v>
      </c>
      <c r="BD375" s="1">
        <v>0</v>
      </c>
      <c r="BE375" s="1"/>
      <c r="BH375">
        <f>COUNTIF(Dropdowns!$I:$AF,C375)</f>
        <v>1</v>
      </c>
    </row>
    <row r="376" spans="1:60" x14ac:dyDescent="0.25">
      <c r="A376" s="1">
        <v>1020</v>
      </c>
      <c r="B376" s="1" t="s">
        <v>4163</v>
      </c>
      <c r="C376" s="241" t="s">
        <v>737</v>
      </c>
      <c r="D376" s="1" t="s">
        <v>737</v>
      </c>
      <c r="E376" s="1"/>
      <c r="F376" s="1"/>
      <c r="G376" s="1" t="s">
        <v>4164</v>
      </c>
      <c r="H376" s="1" t="s">
        <v>4165</v>
      </c>
      <c r="I376" s="1" t="s">
        <v>4166</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1376</v>
      </c>
      <c r="AK376" s="1" t="s">
        <v>1377</v>
      </c>
      <c r="AL376" s="1">
        <v>13</v>
      </c>
      <c r="AM376" s="1" t="s">
        <v>4763</v>
      </c>
      <c r="AN376" s="1" t="s">
        <v>4835</v>
      </c>
      <c r="AO376" s="1" t="s">
        <v>4846</v>
      </c>
      <c r="AP376" s="1">
        <v>0</v>
      </c>
      <c r="AQ376" s="1" t="s">
        <v>1141</v>
      </c>
      <c r="AR376" s="1" t="s">
        <v>1142</v>
      </c>
      <c r="AS376" s="1" t="s">
        <v>4840</v>
      </c>
      <c r="AT376" s="1" t="s">
        <v>329</v>
      </c>
      <c r="AU376" s="1">
        <v>1005</v>
      </c>
      <c r="AV376" s="1">
        <v>1</v>
      </c>
      <c r="AW376" s="1" t="s">
        <v>5397</v>
      </c>
      <c r="AX376" s="1" t="s">
        <v>1373</v>
      </c>
      <c r="AY376" s="1">
        <v>7</v>
      </c>
      <c r="AZ376" s="1">
        <v>0</v>
      </c>
      <c r="BA376" s="1" t="s">
        <v>329</v>
      </c>
      <c r="BB376" s="1" t="s">
        <v>329</v>
      </c>
      <c r="BC376" s="1" t="s">
        <v>5387</v>
      </c>
      <c r="BD376" s="1">
        <v>0</v>
      </c>
      <c r="BE376" s="1"/>
      <c r="BH376">
        <f>COUNTIF(Dropdowns!$I:$AF,C376)</f>
        <v>1</v>
      </c>
    </row>
    <row r="377" spans="1:60" x14ac:dyDescent="0.25">
      <c r="A377" s="1">
        <v>1021</v>
      </c>
      <c r="B377" s="1" t="s">
        <v>4167</v>
      </c>
      <c r="C377" s="241" t="s">
        <v>738</v>
      </c>
      <c r="D377" s="1" t="s">
        <v>738</v>
      </c>
      <c r="E377" s="1"/>
      <c r="F377" s="1"/>
      <c r="G377" s="1" t="s">
        <v>4168</v>
      </c>
      <c r="H377" s="1" t="s">
        <v>4169</v>
      </c>
      <c r="I377" s="1" t="s">
        <v>4170</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1378</v>
      </c>
      <c r="AK377" s="1" t="s">
        <v>1379</v>
      </c>
      <c r="AL377" s="1">
        <v>18</v>
      </c>
      <c r="AM377" s="1" t="s">
        <v>4859</v>
      </c>
      <c r="AN377" s="1" t="s">
        <v>4938</v>
      </c>
      <c r="AO377" s="1" t="s">
        <v>5156</v>
      </c>
      <c r="AP377" s="1">
        <v>0</v>
      </c>
      <c r="AQ377" s="1" t="s">
        <v>1168</v>
      </c>
      <c r="AR377" s="1" t="s">
        <v>1169</v>
      </c>
      <c r="AS377" s="1" t="s">
        <v>4913</v>
      </c>
      <c r="AT377" s="1" t="s">
        <v>329</v>
      </c>
      <c r="AU377" s="1">
        <v>238</v>
      </c>
      <c r="AV377" s="1">
        <v>1</v>
      </c>
      <c r="AW377" s="1" t="s">
        <v>5397</v>
      </c>
      <c r="AX377" s="1" t="s">
        <v>5400</v>
      </c>
      <c r="AY377" s="1">
        <v>7</v>
      </c>
      <c r="AZ377" s="1">
        <v>0</v>
      </c>
      <c r="BA377" s="1" t="s">
        <v>329</v>
      </c>
      <c r="BB377" s="1" t="s">
        <v>329</v>
      </c>
      <c r="BC377" s="1" t="s">
        <v>5387</v>
      </c>
      <c r="BD377" s="1">
        <v>0</v>
      </c>
      <c r="BE377" s="1"/>
      <c r="BH377">
        <f>COUNTIF(Dropdowns!$I:$AF,C377)</f>
        <v>1</v>
      </c>
    </row>
    <row r="378" spans="1:60" x14ac:dyDescent="0.25">
      <c r="A378" s="1">
        <v>1022</v>
      </c>
      <c r="B378" s="1" t="s">
        <v>4171</v>
      </c>
      <c r="C378" s="241" t="s">
        <v>736</v>
      </c>
      <c r="D378" s="1" t="s">
        <v>736</v>
      </c>
      <c r="E378" s="1"/>
      <c r="F378" s="1"/>
      <c r="G378" s="1" t="s">
        <v>4172</v>
      </c>
      <c r="H378" s="1" t="s">
        <v>4173</v>
      </c>
      <c r="I378" s="1" t="s">
        <v>4174</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1380</v>
      </c>
      <c r="AK378" s="1" t="s">
        <v>1381</v>
      </c>
      <c r="AL378" s="1">
        <v>8</v>
      </c>
      <c r="AM378" s="1" t="s">
        <v>4717</v>
      </c>
      <c r="AN378" s="1" t="s">
        <v>4729</v>
      </c>
      <c r="AO378" s="1" t="s">
        <v>5268</v>
      </c>
      <c r="AP378" s="1">
        <v>0</v>
      </c>
      <c r="AQ378" s="1" t="s">
        <v>5068</v>
      </c>
      <c r="AR378" s="1" t="s">
        <v>1202</v>
      </c>
      <c r="AS378" s="1" t="s">
        <v>1203</v>
      </c>
      <c r="AT378" s="1" t="s">
        <v>329</v>
      </c>
      <c r="AU378" s="1">
        <v>1008</v>
      </c>
      <c r="AV378" s="1">
        <v>1</v>
      </c>
      <c r="AW378" s="1" t="s">
        <v>5397</v>
      </c>
      <c r="AX378" s="1" t="s">
        <v>5401</v>
      </c>
      <c r="AY378" s="1">
        <v>7</v>
      </c>
      <c r="AZ378" s="1">
        <v>0</v>
      </c>
      <c r="BA378" s="1" t="s">
        <v>329</v>
      </c>
      <c r="BB378" s="1" t="s">
        <v>329</v>
      </c>
      <c r="BC378" s="1" t="s">
        <v>5387</v>
      </c>
      <c r="BD378" s="1">
        <v>0</v>
      </c>
      <c r="BE378" s="1"/>
      <c r="BH378">
        <f>COUNTIF(Dropdowns!$I:$AF,C378)</f>
        <v>1</v>
      </c>
    </row>
    <row r="379" spans="1:60" x14ac:dyDescent="0.25">
      <c r="A379" s="1">
        <v>1023</v>
      </c>
      <c r="B379" s="1" t="s">
        <v>4175</v>
      </c>
      <c r="C379" s="241" t="s">
        <v>248</v>
      </c>
      <c r="D379" s="1" t="s">
        <v>248</v>
      </c>
      <c r="E379" s="1"/>
      <c r="F379" s="1"/>
      <c r="G379" s="1" t="s">
        <v>4176</v>
      </c>
      <c r="H379" s="1" t="s">
        <v>4177</v>
      </c>
      <c r="I379" s="1" t="s">
        <v>4178</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1382</v>
      </c>
      <c r="AK379" s="1" t="s">
        <v>1383</v>
      </c>
      <c r="AL379" s="1">
        <v>14</v>
      </c>
      <c r="AM379" s="1" t="s">
        <v>399</v>
      </c>
      <c r="AN379" s="1" t="s">
        <v>5402</v>
      </c>
      <c r="AO379" s="1" t="s">
        <v>4904</v>
      </c>
      <c r="AP379" s="1">
        <v>0</v>
      </c>
      <c r="AQ379" s="1" t="s">
        <v>1130</v>
      </c>
      <c r="AR379" s="1" t="s">
        <v>1120</v>
      </c>
      <c r="AS379" s="1" t="s">
        <v>1746</v>
      </c>
      <c r="AT379" s="1" t="s">
        <v>329</v>
      </c>
      <c r="AU379" s="1">
        <v>1027</v>
      </c>
      <c r="AV379" s="1">
        <v>1</v>
      </c>
      <c r="AW379" s="1" t="s">
        <v>5403</v>
      </c>
      <c r="AX379" s="1" t="s">
        <v>5404</v>
      </c>
      <c r="AY379" s="1">
        <v>7</v>
      </c>
      <c r="AZ379" s="1">
        <v>0</v>
      </c>
      <c r="BA379" s="1" t="s">
        <v>329</v>
      </c>
      <c r="BB379" s="1" t="s">
        <v>329</v>
      </c>
      <c r="BC379" s="1" t="s">
        <v>5387</v>
      </c>
      <c r="BD379" s="1">
        <v>0</v>
      </c>
      <c r="BE379" s="1"/>
      <c r="BH379">
        <f>COUNTIF(Dropdowns!$I:$AF,C379)</f>
        <v>1</v>
      </c>
    </row>
    <row r="380" spans="1:60" x14ac:dyDescent="0.25">
      <c r="A380" s="1">
        <v>1024</v>
      </c>
      <c r="B380" s="1" t="s">
        <v>4179</v>
      </c>
      <c r="C380" s="241" t="s">
        <v>249</v>
      </c>
      <c r="D380" s="1" t="s">
        <v>249</v>
      </c>
      <c r="E380" s="1"/>
      <c r="F380" s="1"/>
      <c r="G380" s="1" t="s">
        <v>4180</v>
      </c>
      <c r="H380" s="1" t="s">
        <v>4181</v>
      </c>
      <c r="I380" s="1" t="s">
        <v>4182</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1384</v>
      </c>
      <c r="AL380" s="1">
        <v>17</v>
      </c>
      <c r="AM380" s="1" t="s">
        <v>4763</v>
      </c>
      <c r="AN380" s="1" t="s">
        <v>5405</v>
      </c>
      <c r="AO380" s="1" t="s">
        <v>4846</v>
      </c>
      <c r="AP380" s="1">
        <v>0</v>
      </c>
      <c r="AQ380" s="1" t="s">
        <v>1141</v>
      </c>
      <c r="AR380" s="1" t="s">
        <v>1142</v>
      </c>
      <c r="AS380" s="1" t="s">
        <v>4840</v>
      </c>
      <c r="AT380" s="1" t="s">
        <v>329</v>
      </c>
      <c r="AU380" s="1">
        <v>1005</v>
      </c>
      <c r="AV380" s="1">
        <v>1</v>
      </c>
      <c r="AW380" s="1" t="s">
        <v>5403</v>
      </c>
      <c r="AX380" s="1" t="s">
        <v>5406</v>
      </c>
      <c r="AY380" s="1">
        <v>7</v>
      </c>
      <c r="AZ380" s="1">
        <v>0</v>
      </c>
      <c r="BA380" s="1" t="s">
        <v>329</v>
      </c>
      <c r="BB380" s="1" t="s">
        <v>329</v>
      </c>
      <c r="BC380" s="1" t="s">
        <v>5387</v>
      </c>
      <c r="BD380" s="1">
        <v>0</v>
      </c>
      <c r="BE380" s="1"/>
      <c r="BH380">
        <f>COUNTIF(Dropdowns!$I:$AF,C380)</f>
        <v>1</v>
      </c>
    </row>
    <row r="381" spans="1:60" x14ac:dyDescent="0.25">
      <c r="A381" s="1">
        <v>1025</v>
      </c>
      <c r="B381" s="1" t="s">
        <v>4183</v>
      </c>
      <c r="C381" s="241" t="s">
        <v>250</v>
      </c>
      <c r="D381" s="1" t="s">
        <v>250</v>
      </c>
      <c r="E381" s="1"/>
      <c r="F381" s="1"/>
      <c r="G381" s="1" t="s">
        <v>4184</v>
      </c>
      <c r="H381" s="1" t="s">
        <v>4185</v>
      </c>
      <c r="I381" s="1" t="s">
        <v>4186</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1385</v>
      </c>
      <c r="AK381" s="1" t="s">
        <v>1386</v>
      </c>
      <c r="AL381" s="1">
        <v>8</v>
      </c>
      <c r="AM381" s="1" t="s">
        <v>4717</v>
      </c>
      <c r="AN381" s="1" t="s">
        <v>5407</v>
      </c>
      <c r="AO381" s="1" t="s">
        <v>4943</v>
      </c>
      <c r="AP381" s="1">
        <v>0</v>
      </c>
      <c r="AQ381" s="1" t="s">
        <v>1201</v>
      </c>
      <c r="AR381" s="1" t="s">
        <v>5061</v>
      </c>
      <c r="AS381" s="1" t="s">
        <v>1203</v>
      </c>
      <c r="AT381" s="1" t="s">
        <v>329</v>
      </c>
      <c r="AU381" s="1">
        <v>1008</v>
      </c>
      <c r="AV381" s="1">
        <v>1</v>
      </c>
      <c r="AW381" s="1" t="s">
        <v>5403</v>
      </c>
      <c r="AX381" s="1" t="s">
        <v>5406</v>
      </c>
      <c r="AY381" s="1">
        <v>7</v>
      </c>
      <c r="AZ381" s="1">
        <v>0</v>
      </c>
      <c r="BA381" s="1" t="s">
        <v>329</v>
      </c>
      <c r="BB381" s="1" t="s">
        <v>329</v>
      </c>
      <c r="BC381" s="1" t="s">
        <v>5387</v>
      </c>
      <c r="BD381" s="1">
        <v>0</v>
      </c>
      <c r="BE381" s="1"/>
      <c r="BH381">
        <f>COUNTIF(Dropdowns!$I:$AF,C381)</f>
        <v>1</v>
      </c>
    </row>
    <row r="382" spans="1:60" x14ac:dyDescent="0.25">
      <c r="A382" s="1">
        <v>1026</v>
      </c>
      <c r="B382" s="1" t="s">
        <v>4187</v>
      </c>
      <c r="C382" s="241" t="s">
        <v>251</v>
      </c>
      <c r="D382" s="1" t="s">
        <v>251</v>
      </c>
      <c r="E382" s="1"/>
      <c r="F382" s="1"/>
      <c r="G382" s="1" t="s">
        <v>4188</v>
      </c>
      <c r="H382" s="1" t="s">
        <v>4189</v>
      </c>
      <c r="I382" s="1" t="s">
        <v>4190</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1387</v>
      </c>
      <c r="AK382" s="1" t="s">
        <v>1388</v>
      </c>
      <c r="AL382" s="1">
        <v>18</v>
      </c>
      <c r="AM382" s="1" t="s">
        <v>4859</v>
      </c>
      <c r="AN382" s="1" t="s">
        <v>4938</v>
      </c>
      <c r="AO382" s="1" t="s">
        <v>5156</v>
      </c>
      <c r="AP382" s="1">
        <v>0</v>
      </c>
      <c r="AQ382" s="1" t="s">
        <v>1168</v>
      </c>
      <c r="AR382" s="1" t="s">
        <v>4912</v>
      </c>
      <c r="AS382" s="1" t="s">
        <v>1170</v>
      </c>
      <c r="AT382" s="1" t="s">
        <v>329</v>
      </c>
      <c r="AU382" s="1">
        <v>1026</v>
      </c>
      <c r="AV382" s="1">
        <v>1</v>
      </c>
      <c r="AW382" s="1" t="s">
        <v>5403</v>
      </c>
      <c r="AX382" s="1" t="s">
        <v>5408</v>
      </c>
      <c r="AY382" s="1">
        <v>7</v>
      </c>
      <c r="AZ382" s="1">
        <v>0</v>
      </c>
      <c r="BA382" s="1" t="s">
        <v>329</v>
      </c>
      <c r="BB382" s="1" t="s">
        <v>329</v>
      </c>
      <c r="BC382" s="1" t="s">
        <v>5387</v>
      </c>
      <c r="BD382" s="1">
        <v>0</v>
      </c>
      <c r="BE382" s="1"/>
      <c r="BH382">
        <f>COUNTIF(Dropdowns!$I:$AF,C382)</f>
        <v>1</v>
      </c>
    </row>
    <row r="383" spans="1:60" x14ac:dyDescent="0.25">
      <c r="A383" s="1">
        <v>1027</v>
      </c>
      <c r="B383" s="1" t="s">
        <v>4191</v>
      </c>
      <c r="C383" s="241" t="s">
        <v>252</v>
      </c>
      <c r="D383" s="1" t="s">
        <v>252</v>
      </c>
      <c r="E383" s="1"/>
      <c r="F383" s="1"/>
      <c r="G383" s="1" t="s">
        <v>4192</v>
      </c>
      <c r="H383" s="1" t="s">
        <v>4193</v>
      </c>
      <c r="I383" s="1" t="s">
        <v>4194</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1389</v>
      </c>
      <c r="AK383" s="1" t="s">
        <v>1390</v>
      </c>
      <c r="AL383" s="1">
        <v>13</v>
      </c>
      <c r="AM383" s="1" t="s">
        <v>399</v>
      </c>
      <c r="AN383" s="1" t="s">
        <v>5385</v>
      </c>
      <c r="AO383" s="1" t="s">
        <v>5259</v>
      </c>
      <c r="AP383" s="1">
        <v>0</v>
      </c>
      <c r="AQ383" s="1" t="s">
        <v>1131</v>
      </c>
      <c r="AR383" s="1" t="s">
        <v>1155</v>
      </c>
      <c r="AS383" s="1" t="s">
        <v>1745</v>
      </c>
      <c r="AT383" s="1" t="s">
        <v>329</v>
      </c>
      <c r="AU383" s="1">
        <v>1007</v>
      </c>
      <c r="AV383" s="1">
        <v>1</v>
      </c>
      <c r="AW383" s="1" t="s">
        <v>5403</v>
      </c>
      <c r="AX383" s="1" t="s">
        <v>5408</v>
      </c>
      <c r="AY383" s="1">
        <v>7</v>
      </c>
      <c r="AZ383" s="1">
        <v>0</v>
      </c>
      <c r="BA383" s="1" t="s">
        <v>329</v>
      </c>
      <c r="BB383" s="1" t="s">
        <v>329</v>
      </c>
      <c r="BC383" s="1" t="s">
        <v>5387</v>
      </c>
      <c r="BD383" s="1">
        <v>0</v>
      </c>
      <c r="BE383" s="1"/>
      <c r="BH383">
        <f>COUNTIF(Dropdowns!$I:$AF,C383)</f>
        <v>1</v>
      </c>
    </row>
    <row r="384" spans="1:60" x14ac:dyDescent="0.25">
      <c r="A384" s="1">
        <v>1028</v>
      </c>
      <c r="B384" s="1" t="s">
        <v>4195</v>
      </c>
      <c r="C384" s="241" t="s">
        <v>1689</v>
      </c>
      <c r="D384" s="1" t="s">
        <v>4196</v>
      </c>
      <c r="E384" s="1"/>
      <c r="F384" s="1"/>
      <c r="G384" s="1" t="s">
        <v>4197</v>
      </c>
      <c r="H384" s="1" t="s">
        <v>4198</v>
      </c>
      <c r="I384" s="1" t="s">
        <v>4199</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1391</v>
      </c>
      <c r="AL384" s="1">
        <v>13</v>
      </c>
      <c r="AM384" s="1" t="s">
        <v>4791</v>
      </c>
      <c r="AN384" s="1" t="s">
        <v>4994</v>
      </c>
      <c r="AO384" s="1" t="s">
        <v>5185</v>
      </c>
      <c r="AP384" s="1">
        <v>0</v>
      </c>
      <c r="AQ384" s="1" t="s">
        <v>1745</v>
      </c>
      <c r="AR384" s="1" t="s">
        <v>1744</v>
      </c>
      <c r="AS384" s="1" t="s">
        <v>1746</v>
      </c>
      <c r="AT384" s="1" t="s">
        <v>329</v>
      </c>
      <c r="AU384" s="1">
        <v>1028</v>
      </c>
      <c r="AV384" s="1">
        <v>1</v>
      </c>
      <c r="AW384" s="1" t="s">
        <v>5409</v>
      </c>
      <c r="AX384" s="1" t="s">
        <v>5410</v>
      </c>
      <c r="AY384" s="1">
        <v>7</v>
      </c>
      <c r="AZ384" s="1">
        <v>0</v>
      </c>
      <c r="BA384" s="1" t="s">
        <v>329</v>
      </c>
      <c r="BB384" s="1" t="s">
        <v>329</v>
      </c>
      <c r="BC384" s="1" t="s">
        <v>5387</v>
      </c>
      <c r="BD384" s="1">
        <v>0</v>
      </c>
      <c r="BE384" s="1"/>
      <c r="BH384">
        <f>COUNTIF(Dropdowns!$I:$AF,C384)</f>
        <v>1</v>
      </c>
    </row>
    <row r="385" spans="1:60" x14ac:dyDescent="0.25">
      <c r="A385" s="1">
        <v>1029</v>
      </c>
      <c r="B385" s="1" t="s">
        <v>4200</v>
      </c>
      <c r="C385" s="241" t="s">
        <v>1690</v>
      </c>
      <c r="D385" s="1" t="s">
        <v>4201</v>
      </c>
      <c r="E385" s="1"/>
      <c r="F385" s="1"/>
      <c r="G385" s="1" t="s">
        <v>4202</v>
      </c>
      <c r="H385" s="1" t="s">
        <v>4203</v>
      </c>
      <c r="I385" s="1" t="s">
        <v>4204</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1392</v>
      </c>
      <c r="AL385" s="1">
        <v>13</v>
      </c>
      <c r="AM385" s="1" t="s">
        <v>4720</v>
      </c>
      <c r="AN385" s="1" t="s">
        <v>4830</v>
      </c>
      <c r="AO385" s="1" t="s">
        <v>5170</v>
      </c>
      <c r="AP385" s="1">
        <v>0</v>
      </c>
      <c r="AQ385" s="1" t="s">
        <v>1746</v>
      </c>
      <c r="AR385" s="1" t="s">
        <v>4869</v>
      </c>
      <c r="AS385" s="1" t="s">
        <v>1745</v>
      </c>
      <c r="AT385" s="1" t="s">
        <v>329</v>
      </c>
      <c r="AU385" s="1">
        <v>1029</v>
      </c>
      <c r="AV385" s="1">
        <v>1</v>
      </c>
      <c r="AW385" s="1" t="s">
        <v>5409</v>
      </c>
      <c r="AX385" s="1" t="s">
        <v>5411</v>
      </c>
      <c r="AY385" s="1">
        <v>7</v>
      </c>
      <c r="AZ385" s="1">
        <v>0</v>
      </c>
      <c r="BA385" s="1" t="s">
        <v>329</v>
      </c>
      <c r="BB385" s="1" t="s">
        <v>329</v>
      </c>
      <c r="BC385" s="1" t="s">
        <v>5387</v>
      </c>
      <c r="BD385" s="1">
        <v>0</v>
      </c>
      <c r="BE385" s="1"/>
      <c r="BH385">
        <f>COUNTIF(Dropdowns!$I:$AF,C385)</f>
        <v>1</v>
      </c>
    </row>
    <row r="386" spans="1:60" x14ac:dyDescent="0.25">
      <c r="A386" s="1">
        <v>1030</v>
      </c>
      <c r="B386" s="1" t="s">
        <v>4205</v>
      </c>
      <c r="C386" s="241" t="s">
        <v>1692</v>
      </c>
      <c r="D386" s="1" t="s">
        <v>4206</v>
      </c>
      <c r="E386" s="1"/>
      <c r="F386" s="1"/>
      <c r="G386" s="1" t="s">
        <v>4207</v>
      </c>
      <c r="H386" s="1" t="s">
        <v>4208</v>
      </c>
      <c r="I386" s="1" t="s">
        <v>4209</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1393</v>
      </c>
      <c r="AK386" s="1" t="s">
        <v>329</v>
      </c>
      <c r="AL386" s="1">
        <v>13</v>
      </c>
      <c r="AM386" s="1" t="s">
        <v>399</v>
      </c>
      <c r="AN386" s="1" t="s">
        <v>4796</v>
      </c>
      <c r="AO386" s="1" t="s">
        <v>5412</v>
      </c>
      <c r="AP386" s="1">
        <v>0</v>
      </c>
      <c r="AQ386" s="1" t="s">
        <v>1745</v>
      </c>
      <c r="AR386" s="1" t="s">
        <v>1120</v>
      </c>
      <c r="AS386" s="1" t="s">
        <v>1131</v>
      </c>
      <c r="AT386" s="1" t="s">
        <v>329</v>
      </c>
      <c r="AU386" s="1">
        <v>48</v>
      </c>
      <c r="AV386" s="1">
        <v>1</v>
      </c>
      <c r="AW386" s="1" t="s">
        <v>5413</v>
      </c>
      <c r="AX386" s="1" t="s">
        <v>5414</v>
      </c>
      <c r="AY386" s="1">
        <v>7</v>
      </c>
      <c r="AZ386" s="1">
        <v>0</v>
      </c>
      <c r="BA386" s="1" t="s">
        <v>329</v>
      </c>
      <c r="BB386" s="1" t="s">
        <v>329</v>
      </c>
      <c r="BC386" s="1" t="s">
        <v>5387</v>
      </c>
      <c r="BD386" s="1">
        <v>0</v>
      </c>
      <c r="BE386" s="1"/>
      <c r="BH386">
        <f>COUNTIF(Dropdowns!$I:$AF,C386)</f>
        <v>1</v>
      </c>
    </row>
    <row r="387" spans="1:60" x14ac:dyDescent="0.25">
      <c r="A387" s="1">
        <v>1031</v>
      </c>
      <c r="B387" s="1" t="s">
        <v>4210</v>
      </c>
      <c r="C387" s="241" t="s">
        <v>1394</v>
      </c>
      <c r="D387" s="1" t="s">
        <v>4211</v>
      </c>
      <c r="E387" s="1"/>
      <c r="F387" s="1"/>
      <c r="G387" s="1" t="s">
        <v>4212</v>
      </c>
      <c r="H387" s="1" t="s">
        <v>4213</v>
      </c>
      <c r="I387" s="1" t="s">
        <v>4214</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1395</v>
      </c>
      <c r="AK387" s="1" t="s">
        <v>1396</v>
      </c>
      <c r="AL387" s="1">
        <v>13</v>
      </c>
      <c r="AM387" s="1" t="s">
        <v>4763</v>
      </c>
      <c r="AN387" s="1" t="s">
        <v>4835</v>
      </c>
      <c r="AO387" s="1" t="s">
        <v>4846</v>
      </c>
      <c r="AP387" s="1">
        <v>0</v>
      </c>
      <c r="AQ387" s="1" t="s">
        <v>1141</v>
      </c>
      <c r="AR387" s="1" t="s">
        <v>1142</v>
      </c>
      <c r="AS387" s="1" t="s">
        <v>4840</v>
      </c>
      <c r="AT387" s="1" t="s">
        <v>329</v>
      </c>
      <c r="AU387" s="1">
        <v>150</v>
      </c>
      <c r="AV387" s="1">
        <v>1</v>
      </c>
      <c r="AW387" s="1" t="s">
        <v>5413</v>
      </c>
      <c r="AX387" s="1" t="s">
        <v>5415</v>
      </c>
      <c r="AY387" s="1">
        <v>7</v>
      </c>
      <c r="AZ387" s="1">
        <v>0</v>
      </c>
      <c r="BA387" s="1" t="s">
        <v>329</v>
      </c>
      <c r="BB387" s="1" t="s">
        <v>329</v>
      </c>
      <c r="BC387" s="1" t="s">
        <v>5387</v>
      </c>
      <c r="BD387" s="1">
        <v>0</v>
      </c>
      <c r="BE387" s="1"/>
      <c r="BH387">
        <f>COUNTIF(Dropdowns!$I:$AF,C387)</f>
        <v>1</v>
      </c>
    </row>
    <row r="388" spans="1:60" x14ac:dyDescent="0.25">
      <c r="A388" s="1">
        <v>1032</v>
      </c>
      <c r="B388" s="1" t="s">
        <v>4215</v>
      </c>
      <c r="C388" s="241" t="s">
        <v>1397</v>
      </c>
      <c r="D388" s="1" t="s">
        <v>1397</v>
      </c>
      <c r="E388" s="1"/>
      <c r="F388" s="1"/>
      <c r="G388" s="1" t="s">
        <v>4216</v>
      </c>
      <c r="H388" s="1" t="s">
        <v>4217</v>
      </c>
      <c r="I388" s="1" t="s">
        <v>4218</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1398</v>
      </c>
      <c r="AL388" s="1">
        <v>13</v>
      </c>
      <c r="AM388" s="1" t="s">
        <v>399</v>
      </c>
      <c r="AN388" s="1" t="s">
        <v>5385</v>
      </c>
      <c r="AO388" s="1" t="s">
        <v>5259</v>
      </c>
      <c r="AP388" s="1">
        <v>0</v>
      </c>
      <c r="AQ388" s="1" t="s">
        <v>1131</v>
      </c>
      <c r="AR388" s="1" t="s">
        <v>1155</v>
      </c>
      <c r="AS388" s="1" t="s">
        <v>1745</v>
      </c>
      <c r="AT388" s="1" t="s">
        <v>329</v>
      </c>
      <c r="AU388" s="1">
        <v>241</v>
      </c>
      <c r="AV388" s="1">
        <v>1</v>
      </c>
      <c r="AW388" s="1" t="s">
        <v>5413</v>
      </c>
      <c r="AX388" s="1" t="s">
        <v>5416</v>
      </c>
      <c r="AY388" s="1">
        <v>7</v>
      </c>
      <c r="AZ388" s="1">
        <v>0</v>
      </c>
      <c r="BA388" s="1" t="s">
        <v>329</v>
      </c>
      <c r="BB388" s="1" t="s">
        <v>329</v>
      </c>
      <c r="BC388" s="1" t="s">
        <v>5387</v>
      </c>
      <c r="BD388" s="1">
        <v>0</v>
      </c>
      <c r="BE388" s="1"/>
      <c r="BH388">
        <f>COUNTIF(Dropdowns!$I:$AF,C388)</f>
        <v>1</v>
      </c>
    </row>
    <row r="389" spans="1:60" x14ac:dyDescent="0.25">
      <c r="A389" s="1">
        <v>1033</v>
      </c>
      <c r="B389" s="1" t="s">
        <v>4219</v>
      </c>
      <c r="C389" s="241" t="s">
        <v>1691</v>
      </c>
      <c r="D389" s="1" t="s">
        <v>1691</v>
      </c>
      <c r="E389" s="1"/>
      <c r="F389" s="1"/>
      <c r="G389" s="1" t="s">
        <v>4220</v>
      </c>
      <c r="H389" s="1" t="s">
        <v>4221</v>
      </c>
      <c r="I389" s="1" t="s">
        <v>4222</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1399</v>
      </c>
      <c r="AK389" s="1" t="s">
        <v>1400</v>
      </c>
      <c r="AL389" s="1">
        <v>18</v>
      </c>
      <c r="AM389" s="1" t="s">
        <v>4859</v>
      </c>
      <c r="AN389" s="1" t="s">
        <v>4938</v>
      </c>
      <c r="AO389" s="1" t="s">
        <v>5156</v>
      </c>
      <c r="AP389" s="1">
        <v>0</v>
      </c>
      <c r="AQ389" s="1" t="s">
        <v>1168</v>
      </c>
      <c r="AR389" s="1" t="s">
        <v>4912</v>
      </c>
      <c r="AS389" s="1" t="s">
        <v>1170</v>
      </c>
      <c r="AT389" s="1" t="s">
        <v>329</v>
      </c>
      <c r="AU389" s="1">
        <v>48</v>
      </c>
      <c r="AV389" s="1">
        <v>1</v>
      </c>
      <c r="AW389" s="1" t="s">
        <v>5413</v>
      </c>
      <c r="AX389" s="1" t="s">
        <v>5414</v>
      </c>
      <c r="AY389" s="1">
        <v>7</v>
      </c>
      <c r="AZ389" s="1">
        <v>0</v>
      </c>
      <c r="BA389" s="1" t="s">
        <v>329</v>
      </c>
      <c r="BB389" s="1" t="s">
        <v>329</v>
      </c>
      <c r="BC389" s="1" t="s">
        <v>5387</v>
      </c>
      <c r="BD389" s="1">
        <v>0</v>
      </c>
      <c r="BE389" s="1"/>
      <c r="BH389">
        <f>COUNTIF(Dropdowns!$I:$AF,C389)</f>
        <v>1</v>
      </c>
    </row>
    <row r="390" spans="1:60" x14ac:dyDescent="0.25">
      <c r="A390" s="1">
        <v>1034</v>
      </c>
      <c r="B390" s="1" t="s">
        <v>4223</v>
      </c>
      <c r="C390" s="241" t="s">
        <v>1401</v>
      </c>
      <c r="D390" s="1" t="s">
        <v>4224</v>
      </c>
      <c r="E390" s="1"/>
      <c r="F390" s="1"/>
      <c r="G390" s="1" t="s">
        <v>4225</v>
      </c>
      <c r="H390" s="1" t="s">
        <v>4226</v>
      </c>
      <c r="I390" s="1" t="s">
        <v>4227</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1402</v>
      </c>
      <c r="AK390" s="1" t="s">
        <v>1403</v>
      </c>
      <c r="AL390" s="1">
        <v>8</v>
      </c>
      <c r="AM390" s="1" t="s">
        <v>4717</v>
      </c>
      <c r="AN390" s="1" t="s">
        <v>4729</v>
      </c>
      <c r="AO390" s="1" t="s">
        <v>5268</v>
      </c>
      <c r="AP390" s="1">
        <v>0</v>
      </c>
      <c r="AQ390" s="1" t="s">
        <v>1201</v>
      </c>
      <c r="AR390" s="1" t="s">
        <v>1202</v>
      </c>
      <c r="AS390" s="1" t="s">
        <v>5063</v>
      </c>
      <c r="AT390" s="1" t="s">
        <v>329</v>
      </c>
      <c r="AU390" s="1">
        <v>238</v>
      </c>
      <c r="AV390" s="1">
        <v>1</v>
      </c>
      <c r="AW390" s="1" t="s">
        <v>5413</v>
      </c>
      <c r="AX390" s="1" t="s">
        <v>5416</v>
      </c>
      <c r="AY390" s="1">
        <v>7</v>
      </c>
      <c r="AZ390" s="1">
        <v>0</v>
      </c>
      <c r="BA390" s="1" t="s">
        <v>329</v>
      </c>
      <c r="BB390" s="1" t="s">
        <v>329</v>
      </c>
      <c r="BC390" s="1" t="s">
        <v>5387</v>
      </c>
      <c r="BD390" s="1">
        <v>0</v>
      </c>
      <c r="BE390" s="1"/>
      <c r="BH390">
        <f>COUNTIF(Dropdowns!$I:$AF,C390)</f>
        <v>1</v>
      </c>
    </row>
    <row r="391" spans="1:60" x14ac:dyDescent="0.25">
      <c r="A391" s="1">
        <v>9001</v>
      </c>
      <c r="B391" s="1" t="s">
        <v>5784</v>
      </c>
      <c r="C391" s="241" t="s">
        <v>5785</v>
      </c>
      <c r="D391" s="1" t="s">
        <v>5786</v>
      </c>
      <c r="E391" s="1"/>
      <c r="F391" s="1"/>
      <c r="G391" s="1" t="s">
        <v>5787</v>
      </c>
      <c r="H391" s="1" t="s">
        <v>5788</v>
      </c>
      <c r="I391" s="1" t="s">
        <v>5789</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5790</v>
      </c>
      <c r="AK391" s="1" t="s">
        <v>329</v>
      </c>
      <c r="AL391" s="1">
        <v>19</v>
      </c>
      <c r="AM391" s="1" t="s">
        <v>4763</v>
      </c>
      <c r="AN391" s="1" t="s">
        <v>329</v>
      </c>
      <c r="AO391" s="1" t="s">
        <v>329</v>
      </c>
      <c r="AP391" s="1">
        <v>0</v>
      </c>
      <c r="AQ391" s="1" t="s">
        <v>1141</v>
      </c>
      <c r="AR391" s="1" t="s">
        <v>5791</v>
      </c>
      <c r="AS391" s="1" t="s">
        <v>5792</v>
      </c>
      <c r="AT391" s="1" t="s">
        <v>329</v>
      </c>
      <c r="AU391" s="1">
        <v>10</v>
      </c>
      <c r="AV391" s="1">
        <v>1</v>
      </c>
      <c r="AW391" s="1" t="s">
        <v>5793</v>
      </c>
      <c r="AX391" s="1" t="s">
        <v>1807</v>
      </c>
      <c r="AY391" s="1">
        <v>5</v>
      </c>
      <c r="AZ391" s="1">
        <v>0</v>
      </c>
      <c r="BA391" s="1" t="s">
        <v>329</v>
      </c>
      <c r="BB391" s="1" t="s">
        <v>329</v>
      </c>
      <c r="BC391" s="1" t="s">
        <v>329</v>
      </c>
      <c r="BD391" s="1">
        <v>0</v>
      </c>
      <c r="BE391" s="1"/>
      <c r="BH391">
        <f>COUNTIF(Dropdowns!$I:$AF,C391)</f>
        <v>0</v>
      </c>
    </row>
    <row r="392" spans="1:60" x14ac:dyDescent="0.25">
      <c r="A392" s="1">
        <v>9002</v>
      </c>
      <c r="B392" s="1" t="s">
        <v>5794</v>
      </c>
      <c r="C392" s="241" t="s">
        <v>5795</v>
      </c>
      <c r="D392" s="1" t="s">
        <v>5796</v>
      </c>
      <c r="E392" s="1"/>
      <c r="F392" s="1"/>
      <c r="G392" s="1" t="s">
        <v>5797</v>
      </c>
      <c r="H392" s="1" t="s">
        <v>5798</v>
      </c>
      <c r="I392" s="1" t="s">
        <v>5799</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5790</v>
      </c>
      <c r="AK392" s="1" t="s">
        <v>329</v>
      </c>
      <c r="AL392" s="1">
        <v>19</v>
      </c>
      <c r="AM392" s="1" t="s">
        <v>4763</v>
      </c>
      <c r="AN392" s="1" t="s">
        <v>329</v>
      </c>
      <c r="AO392" s="1" t="s">
        <v>329</v>
      </c>
      <c r="AP392" s="1">
        <v>0</v>
      </c>
      <c r="AQ392" s="1" t="s">
        <v>1141</v>
      </c>
      <c r="AR392" s="1" t="s">
        <v>5791</v>
      </c>
      <c r="AS392" s="1" t="s">
        <v>5792</v>
      </c>
      <c r="AT392" s="1" t="s">
        <v>329</v>
      </c>
      <c r="AU392" s="1">
        <v>10</v>
      </c>
      <c r="AV392" s="1">
        <v>1</v>
      </c>
      <c r="AW392" s="1" t="s">
        <v>5793</v>
      </c>
      <c r="AX392" s="1" t="s">
        <v>1807</v>
      </c>
      <c r="AY392" s="1">
        <v>5</v>
      </c>
      <c r="AZ392" s="1">
        <v>0</v>
      </c>
      <c r="BA392" s="1" t="s">
        <v>329</v>
      </c>
      <c r="BB392" s="1" t="s">
        <v>329</v>
      </c>
      <c r="BC392" s="1" t="s">
        <v>329</v>
      </c>
      <c r="BD392" s="1">
        <v>0</v>
      </c>
      <c r="BE392" s="1"/>
      <c r="BH392">
        <f>COUNTIF(Dropdowns!$I:$AF,C392)</f>
        <v>0</v>
      </c>
    </row>
    <row r="393" spans="1:60" x14ac:dyDescent="0.25">
      <c r="A393" s="1">
        <v>9003</v>
      </c>
      <c r="B393" s="1" t="s">
        <v>5800</v>
      </c>
      <c r="C393" s="241" t="s">
        <v>5801</v>
      </c>
      <c r="D393" s="1" t="s">
        <v>5802</v>
      </c>
      <c r="E393" s="1"/>
      <c r="F393" s="1"/>
      <c r="G393" s="1" t="s">
        <v>5803</v>
      </c>
      <c r="H393" s="1" t="s">
        <v>5804</v>
      </c>
      <c r="I393" s="1" t="s">
        <v>5805</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4763</v>
      </c>
      <c r="AN393" s="1" t="s">
        <v>329</v>
      </c>
      <c r="AO393" s="1" t="s">
        <v>329</v>
      </c>
      <c r="AP393" s="1">
        <v>0</v>
      </c>
      <c r="AQ393" s="1" t="s">
        <v>1141</v>
      </c>
      <c r="AR393" s="1" t="s">
        <v>5791</v>
      </c>
      <c r="AS393" s="1" t="s">
        <v>5792</v>
      </c>
      <c r="AT393" s="1" t="s">
        <v>329</v>
      </c>
      <c r="AU393" s="1">
        <v>10</v>
      </c>
      <c r="AV393" s="1">
        <v>1</v>
      </c>
      <c r="AW393" s="1" t="s">
        <v>5793</v>
      </c>
      <c r="AX393" s="1" t="s">
        <v>1807</v>
      </c>
      <c r="AY393" s="1">
        <v>5</v>
      </c>
      <c r="AZ393" s="1">
        <v>0</v>
      </c>
      <c r="BA393" s="1" t="s">
        <v>329</v>
      </c>
      <c r="BB393" s="1" t="s">
        <v>329</v>
      </c>
      <c r="BC393" s="1" t="s">
        <v>329</v>
      </c>
      <c r="BD393" s="1">
        <v>0</v>
      </c>
      <c r="BE393" s="1"/>
      <c r="BH393">
        <f>COUNTIF(Dropdowns!$I:$AF,C393)</f>
        <v>0</v>
      </c>
    </row>
    <row r="394" spans="1:60" x14ac:dyDescent="0.25">
      <c r="A394" s="1">
        <v>9004</v>
      </c>
      <c r="B394" s="1" t="s">
        <v>5806</v>
      </c>
      <c r="C394" s="241" t="s">
        <v>5807</v>
      </c>
      <c r="D394" s="1" t="s">
        <v>5808</v>
      </c>
      <c r="E394" s="1"/>
      <c r="F394" s="1"/>
      <c r="G394" s="1" t="s">
        <v>5809</v>
      </c>
      <c r="H394" s="1" t="s">
        <v>5810</v>
      </c>
      <c r="I394" s="1" t="s">
        <v>5811</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5812</v>
      </c>
      <c r="AK394" s="1" t="s">
        <v>329</v>
      </c>
      <c r="AL394" s="1">
        <v>19</v>
      </c>
      <c r="AM394" s="1" t="s">
        <v>4763</v>
      </c>
      <c r="AN394" s="1" t="s">
        <v>329</v>
      </c>
      <c r="AO394" s="1" t="s">
        <v>329</v>
      </c>
      <c r="AP394" s="1">
        <v>0</v>
      </c>
      <c r="AQ394" s="1" t="s">
        <v>1141</v>
      </c>
      <c r="AR394" s="1" t="s">
        <v>5791</v>
      </c>
      <c r="AS394" s="1" t="s">
        <v>5792</v>
      </c>
      <c r="AT394" s="1" t="s">
        <v>329</v>
      </c>
      <c r="AU394" s="1">
        <v>10</v>
      </c>
      <c r="AV394" s="1">
        <v>1</v>
      </c>
      <c r="AW394" s="1" t="s">
        <v>5793</v>
      </c>
      <c r="AX394" s="1" t="s">
        <v>1807</v>
      </c>
      <c r="AY394" s="1">
        <v>5</v>
      </c>
      <c r="AZ394" s="1">
        <v>0</v>
      </c>
      <c r="BA394" s="1" t="s">
        <v>329</v>
      </c>
      <c r="BB394" s="1" t="s">
        <v>329</v>
      </c>
      <c r="BC394" s="1" t="s">
        <v>329</v>
      </c>
      <c r="BD394" s="1">
        <v>0</v>
      </c>
      <c r="BE394" s="1"/>
      <c r="BH394">
        <f>COUNTIF(Dropdowns!$I:$AF,C394)</f>
        <v>0</v>
      </c>
    </row>
    <row r="395" spans="1:60" x14ac:dyDescent="0.25">
      <c r="A395" s="1">
        <v>9005</v>
      </c>
      <c r="B395" s="1" t="s">
        <v>5813</v>
      </c>
      <c r="C395" s="241" t="s">
        <v>5814</v>
      </c>
      <c r="D395" s="1" t="s">
        <v>5815</v>
      </c>
      <c r="E395" s="1"/>
      <c r="F395" s="1"/>
      <c r="G395" s="1" t="s">
        <v>5816</v>
      </c>
      <c r="H395" s="1" t="s">
        <v>5817</v>
      </c>
      <c r="I395" s="1" t="s">
        <v>5818</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4763</v>
      </c>
      <c r="AN395" s="1" t="s">
        <v>329</v>
      </c>
      <c r="AO395" s="1" t="s">
        <v>329</v>
      </c>
      <c r="AP395" s="1">
        <v>0</v>
      </c>
      <c r="AQ395" s="1" t="s">
        <v>1141</v>
      </c>
      <c r="AR395" s="1" t="s">
        <v>5791</v>
      </c>
      <c r="AS395" s="1" t="s">
        <v>5792</v>
      </c>
      <c r="AT395" s="1" t="s">
        <v>329</v>
      </c>
      <c r="AU395" s="1">
        <v>10</v>
      </c>
      <c r="AV395" s="1">
        <v>1</v>
      </c>
      <c r="AW395" s="1" t="s">
        <v>5793</v>
      </c>
      <c r="AX395" s="1" t="s">
        <v>1807</v>
      </c>
      <c r="AY395" s="1">
        <v>5</v>
      </c>
      <c r="AZ395" s="1">
        <v>0</v>
      </c>
      <c r="BA395" s="1" t="s">
        <v>329</v>
      </c>
      <c r="BB395" s="1" t="s">
        <v>329</v>
      </c>
      <c r="BC395" s="1" t="s">
        <v>329</v>
      </c>
      <c r="BD395" s="1">
        <v>0</v>
      </c>
      <c r="BE395" s="1"/>
      <c r="BH395">
        <f>COUNTIF(Dropdowns!$I:$AF,C395)</f>
        <v>0</v>
      </c>
    </row>
    <row r="396" spans="1:60" x14ac:dyDescent="0.25">
      <c r="A396" s="1">
        <v>9006</v>
      </c>
      <c r="B396" s="1" t="s">
        <v>5819</v>
      </c>
      <c r="C396" s="241" t="s">
        <v>5785</v>
      </c>
      <c r="D396" s="1" t="s">
        <v>5786</v>
      </c>
      <c r="E396" s="1"/>
      <c r="F396" s="1"/>
      <c r="G396" s="1" t="s">
        <v>5820</v>
      </c>
      <c r="H396" s="1" t="s">
        <v>5821</v>
      </c>
      <c r="I396" s="1" t="s">
        <v>5822</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5790</v>
      </c>
      <c r="AK396" s="1" t="s">
        <v>329</v>
      </c>
      <c r="AL396" s="1">
        <v>19</v>
      </c>
      <c r="AM396" s="1" t="s">
        <v>4763</v>
      </c>
      <c r="AN396" s="1" t="s">
        <v>329</v>
      </c>
      <c r="AO396" s="1" t="s">
        <v>329</v>
      </c>
      <c r="AP396" s="1">
        <v>0</v>
      </c>
      <c r="AQ396" s="1" t="s">
        <v>1141</v>
      </c>
      <c r="AR396" s="1" t="s">
        <v>5791</v>
      </c>
      <c r="AS396" s="1" t="s">
        <v>5792</v>
      </c>
      <c r="AT396" s="1" t="s">
        <v>329</v>
      </c>
      <c r="AU396" s="1">
        <v>10</v>
      </c>
      <c r="AV396" s="1">
        <v>1</v>
      </c>
      <c r="AW396" s="1" t="s">
        <v>5793</v>
      </c>
      <c r="AX396" s="1" t="s">
        <v>1807</v>
      </c>
      <c r="AY396" s="1">
        <v>5</v>
      </c>
      <c r="AZ396" s="1">
        <v>0</v>
      </c>
      <c r="BA396" s="1" t="s">
        <v>329</v>
      </c>
      <c r="BB396" s="1" t="s">
        <v>329</v>
      </c>
      <c r="BC396" s="1" t="s">
        <v>329</v>
      </c>
      <c r="BD396" s="1">
        <v>0</v>
      </c>
      <c r="BE396" s="1"/>
      <c r="BH396">
        <f>COUNTIF(Dropdowns!$I:$AF,C396)</f>
        <v>0</v>
      </c>
    </row>
    <row r="397" spans="1:60" x14ac:dyDescent="0.25">
      <c r="A397" s="1">
        <v>9007</v>
      </c>
      <c r="B397" s="1" t="s">
        <v>5823</v>
      </c>
      <c r="C397" s="241" t="s">
        <v>5785</v>
      </c>
      <c r="D397" s="1" t="s">
        <v>5786</v>
      </c>
      <c r="E397" s="1"/>
      <c r="F397" s="1"/>
      <c r="G397" s="1" t="s">
        <v>5824</v>
      </c>
      <c r="H397" s="1" t="s">
        <v>5825</v>
      </c>
      <c r="I397" s="1" t="s">
        <v>5826</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5790</v>
      </c>
      <c r="AK397" s="1" t="s">
        <v>329</v>
      </c>
      <c r="AL397" s="1">
        <v>19</v>
      </c>
      <c r="AM397" s="1" t="s">
        <v>4763</v>
      </c>
      <c r="AN397" s="1" t="s">
        <v>329</v>
      </c>
      <c r="AO397" s="1" t="s">
        <v>329</v>
      </c>
      <c r="AP397" s="1">
        <v>0</v>
      </c>
      <c r="AQ397" s="1" t="s">
        <v>1141</v>
      </c>
      <c r="AR397" s="1" t="s">
        <v>5791</v>
      </c>
      <c r="AS397" s="1" t="s">
        <v>5792</v>
      </c>
      <c r="AT397" s="1" t="s">
        <v>329</v>
      </c>
      <c r="AU397" s="1">
        <v>10</v>
      </c>
      <c r="AV397" s="1">
        <v>1</v>
      </c>
      <c r="AW397" s="1" t="s">
        <v>5793</v>
      </c>
      <c r="AX397" s="1" t="s">
        <v>1807</v>
      </c>
      <c r="AY397" s="1">
        <v>5</v>
      </c>
      <c r="AZ397" s="1">
        <v>0</v>
      </c>
      <c r="BA397" s="1" t="s">
        <v>329</v>
      </c>
      <c r="BB397" s="1" t="s">
        <v>329</v>
      </c>
      <c r="BC397" s="1" t="s">
        <v>329</v>
      </c>
      <c r="BD397" s="1">
        <v>0</v>
      </c>
      <c r="BE397" s="1"/>
      <c r="BH397">
        <f>COUNTIF(Dropdowns!$I:$AF,C397)</f>
        <v>0</v>
      </c>
    </row>
    <row r="398" spans="1:60" x14ac:dyDescent="0.25">
      <c r="A398" s="1">
        <v>9008</v>
      </c>
      <c r="B398" s="1" t="s">
        <v>5827</v>
      </c>
      <c r="C398" s="241" t="s">
        <v>5795</v>
      </c>
      <c r="D398" s="1" t="s">
        <v>5796</v>
      </c>
      <c r="E398" s="1"/>
      <c r="F398" s="1"/>
      <c r="G398" s="1" t="s">
        <v>5828</v>
      </c>
      <c r="H398" s="1" t="s">
        <v>5829</v>
      </c>
      <c r="I398" s="1" t="s">
        <v>5830</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5790</v>
      </c>
      <c r="AK398" s="1" t="s">
        <v>329</v>
      </c>
      <c r="AL398" s="1">
        <v>19</v>
      </c>
      <c r="AM398" s="1" t="s">
        <v>4763</v>
      </c>
      <c r="AN398" s="1" t="s">
        <v>329</v>
      </c>
      <c r="AO398" s="1" t="s">
        <v>329</v>
      </c>
      <c r="AP398" s="1">
        <v>0</v>
      </c>
      <c r="AQ398" s="1" t="s">
        <v>1141</v>
      </c>
      <c r="AR398" s="1" t="s">
        <v>5791</v>
      </c>
      <c r="AS398" s="1" t="s">
        <v>5792</v>
      </c>
      <c r="AT398" s="1" t="s">
        <v>329</v>
      </c>
      <c r="AU398" s="1">
        <v>10</v>
      </c>
      <c r="AV398" s="1">
        <v>1</v>
      </c>
      <c r="AW398" s="1" t="s">
        <v>5793</v>
      </c>
      <c r="AX398" s="1" t="s">
        <v>1807</v>
      </c>
      <c r="AY398" s="1">
        <v>5</v>
      </c>
      <c r="AZ398" s="1">
        <v>0</v>
      </c>
      <c r="BA398" s="1" t="s">
        <v>329</v>
      </c>
      <c r="BB398" s="1" t="s">
        <v>329</v>
      </c>
      <c r="BC398" s="1" t="s">
        <v>329</v>
      </c>
      <c r="BD398" s="1">
        <v>0</v>
      </c>
      <c r="BE398" s="1"/>
      <c r="BH398">
        <f>COUNTIF(Dropdowns!$I:$AF,C398)</f>
        <v>0</v>
      </c>
    </row>
    <row r="399" spans="1:60" x14ac:dyDescent="0.25">
      <c r="A399" s="1">
        <v>9009</v>
      </c>
      <c r="B399" s="1" t="s">
        <v>5831</v>
      </c>
      <c r="C399" s="241" t="s">
        <v>5795</v>
      </c>
      <c r="D399" s="1" t="s">
        <v>5796</v>
      </c>
      <c r="E399" s="1"/>
      <c r="F399" s="1"/>
      <c r="G399" s="1" t="s">
        <v>5832</v>
      </c>
      <c r="H399" s="1" t="s">
        <v>5833</v>
      </c>
      <c r="I399" s="1" t="s">
        <v>5834</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5790</v>
      </c>
      <c r="AK399" s="1" t="s">
        <v>329</v>
      </c>
      <c r="AL399" s="1">
        <v>19</v>
      </c>
      <c r="AM399" s="1" t="s">
        <v>4763</v>
      </c>
      <c r="AN399" s="1" t="s">
        <v>329</v>
      </c>
      <c r="AO399" s="1" t="s">
        <v>329</v>
      </c>
      <c r="AP399" s="1">
        <v>0</v>
      </c>
      <c r="AQ399" s="1" t="s">
        <v>1141</v>
      </c>
      <c r="AR399" s="1" t="s">
        <v>5791</v>
      </c>
      <c r="AS399" s="1" t="s">
        <v>5792</v>
      </c>
      <c r="AT399" s="1" t="s">
        <v>329</v>
      </c>
      <c r="AU399" s="1">
        <v>10</v>
      </c>
      <c r="AV399" s="1">
        <v>1</v>
      </c>
      <c r="AW399" s="1" t="s">
        <v>5793</v>
      </c>
      <c r="AX399" s="1" t="s">
        <v>1807</v>
      </c>
      <c r="AY399" s="1">
        <v>5</v>
      </c>
      <c r="AZ399" s="1">
        <v>0</v>
      </c>
      <c r="BA399" s="1" t="s">
        <v>329</v>
      </c>
      <c r="BB399" s="1" t="s">
        <v>329</v>
      </c>
      <c r="BC399" s="1" t="s">
        <v>329</v>
      </c>
      <c r="BD399" s="1">
        <v>0</v>
      </c>
      <c r="BE399" s="1"/>
      <c r="BH399">
        <f>COUNTIF(Dropdowns!$I:$AF,C399)</f>
        <v>0</v>
      </c>
    </row>
    <row r="400" spans="1:60" x14ac:dyDescent="0.25">
      <c r="A400" s="1">
        <v>9010</v>
      </c>
      <c r="B400" s="1" t="s">
        <v>5835</v>
      </c>
      <c r="C400" s="241" t="s">
        <v>5807</v>
      </c>
      <c r="D400" s="1" t="s">
        <v>5808</v>
      </c>
      <c r="E400" s="1"/>
      <c r="F400" s="1"/>
      <c r="G400" s="1" t="s">
        <v>5836</v>
      </c>
      <c r="H400" s="1" t="s">
        <v>5837</v>
      </c>
      <c r="I400" s="1" t="s">
        <v>5838</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5812</v>
      </c>
      <c r="AK400" s="1" t="s">
        <v>329</v>
      </c>
      <c r="AL400" s="1">
        <v>19</v>
      </c>
      <c r="AM400" s="1" t="s">
        <v>4763</v>
      </c>
      <c r="AN400" s="1" t="s">
        <v>329</v>
      </c>
      <c r="AO400" s="1" t="s">
        <v>329</v>
      </c>
      <c r="AP400" s="1">
        <v>0</v>
      </c>
      <c r="AQ400" s="1" t="s">
        <v>1141</v>
      </c>
      <c r="AR400" s="1" t="s">
        <v>5791</v>
      </c>
      <c r="AS400" s="1" t="s">
        <v>5792</v>
      </c>
      <c r="AT400" s="1" t="s">
        <v>329</v>
      </c>
      <c r="AU400" s="1">
        <v>10</v>
      </c>
      <c r="AV400" s="1">
        <v>1</v>
      </c>
      <c r="AW400" s="1" t="s">
        <v>5793</v>
      </c>
      <c r="AX400" s="1" t="s">
        <v>1807</v>
      </c>
      <c r="AY400" s="1">
        <v>5</v>
      </c>
      <c r="AZ400" s="1">
        <v>0</v>
      </c>
      <c r="BA400" s="1" t="s">
        <v>329</v>
      </c>
      <c r="BB400" s="1" t="s">
        <v>329</v>
      </c>
      <c r="BC400" s="1" t="s">
        <v>329</v>
      </c>
      <c r="BD400" s="1">
        <v>0</v>
      </c>
      <c r="BE400" s="1"/>
      <c r="BH400">
        <f>COUNTIF(Dropdowns!$I:$AF,C400)</f>
        <v>0</v>
      </c>
    </row>
    <row r="401" spans="1:60" x14ac:dyDescent="0.25">
      <c r="A401" s="1">
        <v>9011</v>
      </c>
      <c r="B401" s="1" t="s">
        <v>5839</v>
      </c>
      <c r="C401" s="241" t="s">
        <v>5807</v>
      </c>
      <c r="D401" s="1" t="s">
        <v>5808</v>
      </c>
      <c r="E401" s="1"/>
      <c r="F401" s="1"/>
      <c r="G401" s="1" t="s">
        <v>5840</v>
      </c>
      <c r="H401" s="1" t="s">
        <v>5841</v>
      </c>
      <c r="I401" s="1" t="s">
        <v>5842</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5812</v>
      </c>
      <c r="AK401" s="1" t="s">
        <v>329</v>
      </c>
      <c r="AL401" s="1">
        <v>19</v>
      </c>
      <c r="AM401" s="1" t="s">
        <v>4763</v>
      </c>
      <c r="AN401" s="1" t="s">
        <v>329</v>
      </c>
      <c r="AO401" s="1" t="s">
        <v>329</v>
      </c>
      <c r="AP401" s="1">
        <v>0</v>
      </c>
      <c r="AQ401" s="1" t="s">
        <v>1141</v>
      </c>
      <c r="AR401" s="1" t="s">
        <v>5791</v>
      </c>
      <c r="AS401" s="1" t="s">
        <v>5792</v>
      </c>
      <c r="AT401" s="1" t="s">
        <v>329</v>
      </c>
      <c r="AU401" s="1">
        <v>10</v>
      </c>
      <c r="AV401" s="1">
        <v>1</v>
      </c>
      <c r="AW401" s="1" t="s">
        <v>5793</v>
      </c>
      <c r="AX401" s="1" t="s">
        <v>1807</v>
      </c>
      <c r="AY401" s="1">
        <v>5</v>
      </c>
      <c r="AZ401" s="1">
        <v>0</v>
      </c>
      <c r="BA401" s="1" t="s">
        <v>329</v>
      </c>
      <c r="BB401" s="1" t="s">
        <v>329</v>
      </c>
      <c r="BC401" s="1" t="s">
        <v>329</v>
      </c>
      <c r="BD401" s="1">
        <v>0</v>
      </c>
      <c r="BE401" s="1"/>
      <c r="BH401">
        <f>COUNTIF(Dropdowns!$I:$AF,C401)</f>
        <v>0</v>
      </c>
    </row>
    <row r="402" spans="1:60" x14ac:dyDescent="0.25">
      <c r="A402" s="1">
        <v>9012</v>
      </c>
      <c r="B402" s="1" t="s">
        <v>5843</v>
      </c>
      <c r="C402" s="241" t="s">
        <v>22</v>
      </c>
      <c r="D402" s="1" t="s">
        <v>256</v>
      </c>
      <c r="E402" s="1"/>
      <c r="F402" s="1"/>
      <c r="G402" s="1" t="s">
        <v>5844</v>
      </c>
      <c r="H402" s="1" t="s">
        <v>5845</v>
      </c>
      <c r="I402" s="1" t="s">
        <v>5846</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5847</v>
      </c>
      <c r="AL402" s="1">
        <v>13</v>
      </c>
      <c r="AM402" s="1" t="s">
        <v>4791</v>
      </c>
      <c r="AN402" s="1" t="s">
        <v>4862</v>
      </c>
      <c r="AO402" s="1" t="s">
        <v>5848</v>
      </c>
      <c r="AP402" s="1">
        <v>0</v>
      </c>
      <c r="AQ402" s="1" t="s">
        <v>1131</v>
      </c>
      <c r="AR402" s="1" t="s">
        <v>1155</v>
      </c>
      <c r="AS402" s="1" t="s">
        <v>5849</v>
      </c>
      <c r="AT402" s="1" t="s">
        <v>329</v>
      </c>
      <c r="AU402" s="1">
        <v>55</v>
      </c>
      <c r="AV402" s="1">
        <v>0</v>
      </c>
      <c r="AW402" s="1" t="s">
        <v>5793</v>
      </c>
      <c r="AX402" s="1" t="s">
        <v>1807</v>
      </c>
      <c r="AY402" s="1">
        <v>5</v>
      </c>
      <c r="AZ402" s="1">
        <v>0</v>
      </c>
      <c r="BA402" s="1" t="s">
        <v>329</v>
      </c>
      <c r="BB402" s="1" t="s">
        <v>329</v>
      </c>
      <c r="BC402" s="1" t="s">
        <v>329</v>
      </c>
      <c r="BD402" s="1">
        <v>0</v>
      </c>
      <c r="BE402" s="1"/>
      <c r="BH402">
        <f>COUNTIF(Dropdowns!$I:$AF,C402)</f>
        <v>1</v>
      </c>
    </row>
    <row r="403" spans="1:60" x14ac:dyDescent="0.25">
      <c r="A403" s="1">
        <v>9013</v>
      </c>
      <c r="B403" s="1" t="s">
        <v>5850</v>
      </c>
      <c r="C403" s="241" t="s">
        <v>121</v>
      </c>
      <c r="D403" s="1" t="s">
        <v>121</v>
      </c>
      <c r="E403" s="1"/>
      <c r="F403" s="1"/>
      <c r="G403" s="1" t="s">
        <v>5851</v>
      </c>
      <c r="H403" s="1" t="s">
        <v>5852</v>
      </c>
      <c r="I403" s="1" t="s">
        <v>5853</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5854</v>
      </c>
      <c r="AK403" s="1" t="s">
        <v>329</v>
      </c>
      <c r="AL403" s="1">
        <v>13</v>
      </c>
      <c r="AM403" s="1" t="s">
        <v>1807</v>
      </c>
      <c r="AN403" s="1" t="s">
        <v>4785</v>
      </c>
      <c r="AO403" s="1" t="s">
        <v>4818</v>
      </c>
      <c r="AP403" s="1">
        <v>0</v>
      </c>
      <c r="AQ403" s="1" t="s">
        <v>5855</v>
      </c>
      <c r="AR403" s="1" t="s">
        <v>1120</v>
      </c>
      <c r="AS403" s="1" t="s">
        <v>1130</v>
      </c>
      <c r="AT403" s="1" t="s">
        <v>329</v>
      </c>
      <c r="AU403" s="1">
        <v>97</v>
      </c>
      <c r="AV403" s="1">
        <v>0</v>
      </c>
      <c r="AW403" s="1" t="s">
        <v>5793</v>
      </c>
      <c r="AX403" s="1" t="s">
        <v>4763</v>
      </c>
      <c r="AY403" s="1">
        <v>5</v>
      </c>
      <c r="AZ403" s="1">
        <v>0</v>
      </c>
      <c r="BA403" s="1" t="s">
        <v>329</v>
      </c>
      <c r="BB403" s="1" t="s">
        <v>329</v>
      </c>
      <c r="BC403" s="1" t="s">
        <v>329</v>
      </c>
      <c r="BD403" s="1">
        <v>0</v>
      </c>
      <c r="BE403" s="1"/>
      <c r="BH403">
        <f>COUNTIF(Dropdowns!$I:$AF,C403)</f>
        <v>0</v>
      </c>
    </row>
    <row r="404" spans="1:60" x14ac:dyDescent="0.25">
      <c r="A404" s="1">
        <v>9014</v>
      </c>
      <c r="B404" s="1" t="s">
        <v>5856</v>
      </c>
      <c r="C404" s="241" t="s">
        <v>5857</v>
      </c>
      <c r="D404" s="1" t="s">
        <v>3486</v>
      </c>
      <c r="E404" s="1"/>
      <c r="F404" s="1"/>
      <c r="G404" s="1" t="s">
        <v>5858</v>
      </c>
      <c r="H404" s="1" t="s">
        <v>5859</v>
      </c>
      <c r="I404" s="1" t="s">
        <v>5860</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5861</v>
      </c>
      <c r="AK404" s="1" t="s">
        <v>329</v>
      </c>
      <c r="AL404" s="1">
        <v>13</v>
      </c>
      <c r="AM404" s="1" t="s">
        <v>1807</v>
      </c>
      <c r="AN404" s="1" t="s">
        <v>4777</v>
      </c>
      <c r="AO404" s="1" t="s">
        <v>4825</v>
      </c>
      <c r="AP404" s="1">
        <v>0</v>
      </c>
      <c r="AQ404" s="1" t="s">
        <v>5855</v>
      </c>
      <c r="AR404" s="1" t="s">
        <v>1120</v>
      </c>
      <c r="AS404" s="1" t="s">
        <v>1130</v>
      </c>
      <c r="AT404" s="1" t="s">
        <v>329</v>
      </c>
      <c r="AU404" s="1">
        <v>202</v>
      </c>
      <c r="AV404" s="1">
        <v>0</v>
      </c>
      <c r="AW404" s="1" t="s">
        <v>5793</v>
      </c>
      <c r="AX404" s="1" t="s">
        <v>1724</v>
      </c>
      <c r="AY404" s="1">
        <v>4</v>
      </c>
      <c r="AZ404" s="1">
        <v>0</v>
      </c>
      <c r="BA404" s="1" t="s">
        <v>329</v>
      </c>
      <c r="BB404" s="1" t="s">
        <v>329</v>
      </c>
      <c r="BC404" s="1" t="s">
        <v>329</v>
      </c>
      <c r="BD404" s="1">
        <v>0</v>
      </c>
      <c r="BE404" s="1"/>
      <c r="BH404">
        <f>COUNTIF(Dropdowns!$I:$AF,C404)</f>
        <v>0</v>
      </c>
    </row>
    <row r="405" spans="1:60" x14ac:dyDescent="0.25">
      <c r="A405" s="1">
        <v>9015</v>
      </c>
      <c r="B405" s="1" t="s">
        <v>5862</v>
      </c>
      <c r="C405" s="241" t="s">
        <v>1632</v>
      </c>
      <c r="D405" s="1" t="s">
        <v>1632</v>
      </c>
      <c r="E405" s="1"/>
      <c r="F405" s="1"/>
      <c r="G405" s="1" t="s">
        <v>5863</v>
      </c>
      <c r="H405" s="1" t="s">
        <v>5864</v>
      </c>
      <c r="I405" s="1" t="s">
        <v>5865</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5866</v>
      </c>
      <c r="AK405" s="1" t="s">
        <v>329</v>
      </c>
      <c r="AL405" s="1">
        <v>18</v>
      </c>
      <c r="AM405" s="1" t="s">
        <v>4859</v>
      </c>
      <c r="AN405" s="1" t="s">
        <v>4932</v>
      </c>
      <c r="AO405" s="1" t="s">
        <v>5055</v>
      </c>
      <c r="AP405" s="1">
        <v>0</v>
      </c>
      <c r="AQ405" s="1" t="s">
        <v>1141</v>
      </c>
      <c r="AR405" s="1" t="s">
        <v>5867</v>
      </c>
      <c r="AS405" s="1" t="s">
        <v>5792</v>
      </c>
      <c r="AT405" s="1" t="s">
        <v>329</v>
      </c>
      <c r="AU405" s="1">
        <v>149</v>
      </c>
      <c r="AV405" s="1">
        <v>0</v>
      </c>
      <c r="AW405" s="1" t="s">
        <v>5793</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5868</v>
      </c>
      <c r="C406" s="241" t="s">
        <v>156</v>
      </c>
      <c r="D406" s="1" t="s">
        <v>156</v>
      </c>
      <c r="E406" s="1"/>
      <c r="F406" s="1"/>
      <c r="G406" s="1" t="s">
        <v>5869</v>
      </c>
      <c r="H406" s="1" t="s">
        <v>5870</v>
      </c>
      <c r="I406" s="1" t="s">
        <v>5871</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5872</v>
      </c>
      <c r="AK406" s="1" t="s">
        <v>329</v>
      </c>
      <c r="AL406" s="1">
        <v>12</v>
      </c>
      <c r="AM406" s="1" t="s">
        <v>4791</v>
      </c>
      <c r="AN406" s="1" t="s">
        <v>359</v>
      </c>
      <c r="AO406" s="1" t="s">
        <v>5064</v>
      </c>
      <c r="AP406" s="1">
        <v>0</v>
      </c>
      <c r="AQ406" s="1" t="s">
        <v>1130</v>
      </c>
      <c r="AR406" s="1" t="s">
        <v>1120</v>
      </c>
      <c r="AS406" s="1" t="s">
        <v>1131</v>
      </c>
      <c r="AT406" s="1" t="s">
        <v>329</v>
      </c>
      <c r="AU406" s="1">
        <v>176</v>
      </c>
      <c r="AV406" s="1">
        <v>0</v>
      </c>
      <c r="AW406" s="1" t="s">
        <v>5793</v>
      </c>
      <c r="AX406" s="1" t="s">
        <v>1807</v>
      </c>
      <c r="AY406" s="1">
        <v>3</v>
      </c>
      <c r="AZ406" s="1">
        <v>0</v>
      </c>
      <c r="BA406" s="1" t="s">
        <v>329</v>
      </c>
      <c r="BB406" s="1" t="s">
        <v>329</v>
      </c>
      <c r="BC406" s="1" t="s">
        <v>329</v>
      </c>
      <c r="BD406" s="1">
        <v>0</v>
      </c>
      <c r="BE406" s="1"/>
      <c r="BH406">
        <f>COUNTIF(Dropdowns!$I:$AF,C406)</f>
        <v>1</v>
      </c>
    </row>
    <row r="407" spans="1:60" x14ac:dyDescent="0.25">
      <c r="A407" s="1">
        <v>9017</v>
      </c>
      <c r="B407" s="1" t="s">
        <v>5873</v>
      </c>
      <c r="C407" s="241" t="s">
        <v>168</v>
      </c>
      <c r="D407" s="1" t="s">
        <v>168</v>
      </c>
      <c r="E407" s="1"/>
      <c r="F407" s="1"/>
      <c r="G407" s="1" t="s">
        <v>5874</v>
      </c>
      <c r="H407" s="1" t="s">
        <v>5875</v>
      </c>
      <c r="I407" s="1" t="s">
        <v>5876</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5854</v>
      </c>
      <c r="AK407" s="1" t="s">
        <v>329</v>
      </c>
      <c r="AL407" s="1">
        <v>13</v>
      </c>
      <c r="AM407" s="1" t="s">
        <v>4720</v>
      </c>
      <c r="AN407" s="1" t="s">
        <v>4835</v>
      </c>
      <c r="AO407" s="1" t="s">
        <v>5003</v>
      </c>
      <c r="AP407" s="1">
        <v>0</v>
      </c>
      <c r="AQ407" s="1" t="s">
        <v>1131</v>
      </c>
      <c r="AR407" s="1" t="s">
        <v>1155</v>
      </c>
      <c r="AS407" s="1" t="s">
        <v>1130</v>
      </c>
      <c r="AT407" s="1" t="s">
        <v>329</v>
      </c>
      <c r="AU407" s="1">
        <v>194</v>
      </c>
      <c r="AV407" s="1">
        <v>0</v>
      </c>
      <c r="AW407" s="1" t="s">
        <v>5793</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5877</v>
      </c>
      <c r="C408" s="241" t="s">
        <v>5857</v>
      </c>
      <c r="D408" s="1" t="s">
        <v>3486</v>
      </c>
      <c r="E408" s="1"/>
      <c r="F408" s="1"/>
      <c r="G408" s="1" t="s">
        <v>5878</v>
      </c>
      <c r="H408" s="1" t="s">
        <v>5879</v>
      </c>
      <c r="I408" s="1" t="s">
        <v>5880</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5861</v>
      </c>
      <c r="AK408" s="1" t="s">
        <v>329</v>
      </c>
      <c r="AL408" s="1">
        <v>13</v>
      </c>
      <c r="AM408" s="1" t="s">
        <v>1807</v>
      </c>
      <c r="AN408" s="1" t="s">
        <v>4777</v>
      </c>
      <c r="AO408" s="1" t="s">
        <v>4825</v>
      </c>
      <c r="AP408" s="1">
        <v>0</v>
      </c>
      <c r="AQ408" s="1" t="s">
        <v>5855</v>
      </c>
      <c r="AR408" s="1" t="s">
        <v>1120</v>
      </c>
      <c r="AS408" s="1" t="s">
        <v>1130</v>
      </c>
      <c r="AT408" s="1" t="s">
        <v>329</v>
      </c>
      <c r="AU408" s="1">
        <v>202</v>
      </c>
      <c r="AV408" s="1">
        <v>0</v>
      </c>
      <c r="AW408" s="1" t="s">
        <v>5793</v>
      </c>
      <c r="AX408" s="1" t="s">
        <v>1724</v>
      </c>
      <c r="AY408" s="1">
        <v>4</v>
      </c>
      <c r="AZ408" s="1">
        <v>0</v>
      </c>
      <c r="BA408" s="1" t="s">
        <v>329</v>
      </c>
      <c r="BB408" s="1" t="s">
        <v>329</v>
      </c>
      <c r="BC408" s="1" t="s">
        <v>329</v>
      </c>
      <c r="BD408" s="1">
        <v>0</v>
      </c>
      <c r="BE408" s="1"/>
      <c r="BH408">
        <f>COUNTIF(Dropdowns!$I:$AF,C408)</f>
        <v>0</v>
      </c>
    </row>
    <row r="409" spans="1:60" x14ac:dyDescent="0.25">
      <c r="A409" s="1">
        <v>9019</v>
      </c>
      <c r="B409" s="1" t="s">
        <v>5881</v>
      </c>
      <c r="C409" s="241" t="s">
        <v>1632</v>
      </c>
      <c r="D409" s="1" t="s">
        <v>1632</v>
      </c>
      <c r="E409" s="1"/>
      <c r="F409" s="1"/>
      <c r="G409" s="1" t="s">
        <v>5882</v>
      </c>
      <c r="H409" s="1" t="s">
        <v>5883</v>
      </c>
      <c r="I409" s="1" t="s">
        <v>5884</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5866</v>
      </c>
      <c r="AK409" s="1" t="s">
        <v>329</v>
      </c>
      <c r="AL409" s="1">
        <v>18</v>
      </c>
      <c r="AM409" s="1" t="s">
        <v>4859</v>
      </c>
      <c r="AN409" s="1" t="s">
        <v>4932</v>
      </c>
      <c r="AO409" s="1" t="s">
        <v>5055</v>
      </c>
      <c r="AP409" s="1">
        <v>0</v>
      </c>
      <c r="AQ409" s="1" t="s">
        <v>1141</v>
      </c>
      <c r="AR409" s="1" t="s">
        <v>5867</v>
      </c>
      <c r="AS409" s="1" t="s">
        <v>5792</v>
      </c>
      <c r="AT409" s="1" t="s">
        <v>329</v>
      </c>
      <c r="AU409" s="1">
        <v>149</v>
      </c>
      <c r="AV409" s="1">
        <v>0</v>
      </c>
      <c r="AW409" s="1" t="s">
        <v>5793</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5885</v>
      </c>
      <c r="C410" s="241" t="s">
        <v>156</v>
      </c>
      <c r="D410" s="1" t="s">
        <v>156</v>
      </c>
      <c r="E410" s="1"/>
      <c r="F410" s="1"/>
      <c r="G410" s="1" t="s">
        <v>5886</v>
      </c>
      <c r="H410" s="1" t="s">
        <v>5887</v>
      </c>
      <c r="I410" s="1" t="s">
        <v>5888</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5872</v>
      </c>
      <c r="AK410" s="1" t="s">
        <v>329</v>
      </c>
      <c r="AL410" s="1">
        <v>12</v>
      </c>
      <c r="AM410" s="1" t="s">
        <v>4791</v>
      </c>
      <c r="AN410" s="1" t="s">
        <v>359</v>
      </c>
      <c r="AO410" s="1" t="s">
        <v>5064</v>
      </c>
      <c r="AP410" s="1">
        <v>0</v>
      </c>
      <c r="AQ410" s="1" t="s">
        <v>1130</v>
      </c>
      <c r="AR410" s="1" t="s">
        <v>1120</v>
      </c>
      <c r="AS410" s="1" t="s">
        <v>1131</v>
      </c>
      <c r="AT410" s="1" t="s">
        <v>329</v>
      </c>
      <c r="AU410" s="1">
        <v>176</v>
      </c>
      <c r="AV410" s="1">
        <v>0</v>
      </c>
      <c r="AW410" s="1" t="s">
        <v>5793</v>
      </c>
      <c r="AX410" s="1" t="s">
        <v>1807</v>
      </c>
      <c r="AY410" s="1">
        <v>3</v>
      </c>
      <c r="AZ410" s="1">
        <v>0</v>
      </c>
      <c r="BA410" s="1" t="s">
        <v>329</v>
      </c>
      <c r="BB410" s="1" t="s">
        <v>329</v>
      </c>
      <c r="BC410" s="1" t="s">
        <v>329</v>
      </c>
      <c r="BD410" s="1">
        <v>0</v>
      </c>
      <c r="BE410" s="1"/>
      <c r="BH410">
        <f>COUNTIF(Dropdowns!$I:$AF,C410)</f>
        <v>1</v>
      </c>
    </row>
    <row r="411" spans="1:60" x14ac:dyDescent="0.25">
      <c r="A411" s="1">
        <v>9021</v>
      </c>
      <c r="B411" s="1" t="s">
        <v>5889</v>
      </c>
      <c r="C411" s="241" t="s">
        <v>168</v>
      </c>
      <c r="D411" s="1" t="s">
        <v>168</v>
      </c>
      <c r="E411" s="1"/>
      <c r="F411" s="1"/>
      <c r="G411" s="1" t="s">
        <v>5890</v>
      </c>
      <c r="H411" s="1" t="s">
        <v>5891</v>
      </c>
      <c r="I411" s="1" t="s">
        <v>5892</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5854</v>
      </c>
      <c r="AK411" s="1" t="s">
        <v>329</v>
      </c>
      <c r="AL411" s="1">
        <v>13</v>
      </c>
      <c r="AM411" s="1" t="s">
        <v>4720</v>
      </c>
      <c r="AN411" s="1" t="s">
        <v>4835</v>
      </c>
      <c r="AO411" s="1" t="s">
        <v>5003</v>
      </c>
      <c r="AP411" s="1">
        <v>0</v>
      </c>
      <c r="AQ411" s="1" t="s">
        <v>1131</v>
      </c>
      <c r="AR411" s="1" t="s">
        <v>1155</v>
      </c>
      <c r="AS411" s="1" t="s">
        <v>1130</v>
      </c>
      <c r="AT411" s="1" t="s">
        <v>329</v>
      </c>
      <c r="AU411" s="1">
        <v>194</v>
      </c>
      <c r="AV411" s="1">
        <v>0</v>
      </c>
      <c r="AW411" s="1" t="s">
        <v>5793</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5893</v>
      </c>
      <c r="C412" s="241" t="s">
        <v>121</v>
      </c>
      <c r="D412" s="1" t="s">
        <v>121</v>
      </c>
      <c r="E412" s="1"/>
      <c r="F412" s="1"/>
      <c r="G412" s="1" t="s">
        <v>5894</v>
      </c>
      <c r="H412" s="1" t="s">
        <v>5895</v>
      </c>
      <c r="I412" s="1" t="s">
        <v>5896</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5861</v>
      </c>
      <c r="AK412" s="1" t="s">
        <v>329</v>
      </c>
      <c r="AL412" s="1">
        <v>13</v>
      </c>
      <c r="AM412" s="1" t="s">
        <v>1807</v>
      </c>
      <c r="AN412" s="1" t="s">
        <v>4785</v>
      </c>
      <c r="AO412" s="1" t="s">
        <v>4818</v>
      </c>
      <c r="AP412" s="1">
        <v>0</v>
      </c>
      <c r="AQ412" s="1" t="s">
        <v>5855</v>
      </c>
      <c r="AR412" s="1" t="s">
        <v>1120</v>
      </c>
      <c r="AS412" s="1" t="s">
        <v>1130</v>
      </c>
      <c r="AT412" s="1" t="s">
        <v>329</v>
      </c>
      <c r="AU412" s="1">
        <v>97</v>
      </c>
      <c r="AV412" s="1">
        <v>0</v>
      </c>
      <c r="AW412" s="1" t="s">
        <v>5793</v>
      </c>
      <c r="AX412" s="1" t="s">
        <v>4763</v>
      </c>
      <c r="AY412" s="1">
        <v>5</v>
      </c>
      <c r="AZ412" s="1">
        <v>0</v>
      </c>
      <c r="BA412" s="1" t="s">
        <v>329</v>
      </c>
      <c r="BB412" s="1" t="s">
        <v>329</v>
      </c>
      <c r="BC412" s="1" t="s">
        <v>329</v>
      </c>
      <c r="BD412" s="1">
        <v>0</v>
      </c>
      <c r="BE412" s="1"/>
      <c r="BH412">
        <f>COUNTIF(Dropdowns!$I:$AF,C412)</f>
        <v>0</v>
      </c>
    </row>
    <row r="413" spans="1:60" x14ac:dyDescent="0.25">
      <c r="A413" s="1">
        <v>9023</v>
      </c>
      <c r="B413" s="1" t="s">
        <v>5897</v>
      </c>
      <c r="C413" s="241" t="s">
        <v>5857</v>
      </c>
      <c r="D413" s="1" t="s">
        <v>3486</v>
      </c>
      <c r="E413" s="1"/>
      <c r="F413" s="1"/>
      <c r="G413" s="1" t="s">
        <v>5898</v>
      </c>
      <c r="H413" s="1" t="s">
        <v>5899</v>
      </c>
      <c r="I413" s="1" t="s">
        <v>5900</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5866</v>
      </c>
      <c r="AK413" s="1" t="s">
        <v>329</v>
      </c>
      <c r="AL413" s="1">
        <v>13</v>
      </c>
      <c r="AM413" s="1" t="s">
        <v>1807</v>
      </c>
      <c r="AN413" s="1" t="s">
        <v>4777</v>
      </c>
      <c r="AO413" s="1" t="s">
        <v>4825</v>
      </c>
      <c r="AP413" s="1">
        <v>0</v>
      </c>
      <c r="AQ413" s="1" t="s">
        <v>5855</v>
      </c>
      <c r="AR413" s="1" t="s">
        <v>1120</v>
      </c>
      <c r="AS413" s="1" t="s">
        <v>1130</v>
      </c>
      <c r="AT413" s="1" t="s">
        <v>329</v>
      </c>
      <c r="AU413" s="1">
        <v>202</v>
      </c>
      <c r="AV413" s="1">
        <v>0</v>
      </c>
      <c r="AW413" s="1" t="s">
        <v>5793</v>
      </c>
      <c r="AX413" s="1" t="s">
        <v>1724</v>
      </c>
      <c r="AY413" s="1">
        <v>4</v>
      </c>
      <c r="AZ413" s="1">
        <v>0</v>
      </c>
      <c r="BA413" s="1" t="s">
        <v>329</v>
      </c>
      <c r="BB413" s="1" t="s">
        <v>329</v>
      </c>
      <c r="BC413" s="1" t="s">
        <v>329</v>
      </c>
      <c r="BD413" s="1">
        <v>0</v>
      </c>
      <c r="BE413" s="1"/>
      <c r="BH413">
        <f>COUNTIF(Dropdowns!$I:$AF,C413)</f>
        <v>0</v>
      </c>
    </row>
    <row r="414" spans="1:60" x14ac:dyDescent="0.25">
      <c r="A414" s="1">
        <v>9024</v>
      </c>
      <c r="B414" s="1" t="s">
        <v>5901</v>
      </c>
      <c r="C414" s="241" t="s">
        <v>1632</v>
      </c>
      <c r="D414" s="1" t="s">
        <v>1632</v>
      </c>
      <c r="E414" s="1"/>
      <c r="F414" s="1"/>
      <c r="G414" s="1" t="s">
        <v>5902</v>
      </c>
      <c r="H414" s="1" t="s">
        <v>5903</v>
      </c>
      <c r="I414" s="1" t="s">
        <v>5904</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5872</v>
      </c>
      <c r="AK414" s="1" t="s">
        <v>329</v>
      </c>
      <c r="AL414" s="1">
        <v>18</v>
      </c>
      <c r="AM414" s="1" t="s">
        <v>4859</v>
      </c>
      <c r="AN414" s="1" t="s">
        <v>4932</v>
      </c>
      <c r="AO414" s="1" t="s">
        <v>5055</v>
      </c>
      <c r="AP414" s="1">
        <v>0</v>
      </c>
      <c r="AQ414" s="1" t="s">
        <v>1141</v>
      </c>
      <c r="AR414" s="1" t="s">
        <v>5867</v>
      </c>
      <c r="AS414" s="1" t="s">
        <v>5792</v>
      </c>
      <c r="AT414" s="1" t="s">
        <v>329</v>
      </c>
      <c r="AU414" s="1">
        <v>149</v>
      </c>
      <c r="AV414" s="1">
        <v>0</v>
      </c>
      <c r="AW414" s="1" t="s">
        <v>5793</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5905</v>
      </c>
      <c r="C415" s="241" t="s">
        <v>168</v>
      </c>
      <c r="D415" s="1" t="s">
        <v>168</v>
      </c>
      <c r="E415" s="1"/>
      <c r="F415" s="1"/>
      <c r="G415" s="1" t="s">
        <v>5906</v>
      </c>
      <c r="H415" s="1" t="s">
        <v>5907</v>
      </c>
      <c r="I415" s="1" t="s">
        <v>5908</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5854</v>
      </c>
      <c r="AK415" s="1" t="s">
        <v>329</v>
      </c>
      <c r="AL415" s="1">
        <v>13</v>
      </c>
      <c r="AM415" s="1" t="s">
        <v>4720</v>
      </c>
      <c r="AN415" s="1" t="s">
        <v>4835</v>
      </c>
      <c r="AO415" s="1" t="s">
        <v>5003</v>
      </c>
      <c r="AP415" s="1">
        <v>0</v>
      </c>
      <c r="AQ415" s="1" t="s">
        <v>1131</v>
      </c>
      <c r="AR415" s="1" t="s">
        <v>1155</v>
      </c>
      <c r="AS415" s="1" t="s">
        <v>1130</v>
      </c>
      <c r="AT415" s="1" t="s">
        <v>329</v>
      </c>
      <c r="AU415" s="1">
        <v>194</v>
      </c>
      <c r="AV415" s="1">
        <v>0</v>
      </c>
      <c r="AW415" s="1" t="s">
        <v>5793</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5909</v>
      </c>
      <c r="C416" s="241" t="s">
        <v>121</v>
      </c>
      <c r="D416" s="1" t="s">
        <v>121</v>
      </c>
      <c r="E416" s="1"/>
      <c r="F416" s="1"/>
      <c r="G416" s="1" t="s">
        <v>5910</v>
      </c>
      <c r="H416" s="1" t="s">
        <v>5911</v>
      </c>
      <c r="I416" s="1" t="s">
        <v>5912</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5861</v>
      </c>
      <c r="AK416" s="1" t="s">
        <v>329</v>
      </c>
      <c r="AL416" s="1">
        <v>13</v>
      </c>
      <c r="AM416" s="1" t="s">
        <v>1807</v>
      </c>
      <c r="AN416" s="1" t="s">
        <v>4785</v>
      </c>
      <c r="AO416" s="1" t="s">
        <v>4818</v>
      </c>
      <c r="AP416" s="1">
        <v>0</v>
      </c>
      <c r="AQ416" s="1" t="s">
        <v>5855</v>
      </c>
      <c r="AR416" s="1" t="s">
        <v>1120</v>
      </c>
      <c r="AS416" s="1" t="s">
        <v>1130</v>
      </c>
      <c r="AT416" s="1" t="s">
        <v>329</v>
      </c>
      <c r="AU416" s="1">
        <v>97</v>
      </c>
      <c r="AV416" s="1">
        <v>0</v>
      </c>
      <c r="AW416" s="1" t="s">
        <v>5793</v>
      </c>
      <c r="AX416" s="1" t="s">
        <v>4763</v>
      </c>
      <c r="AY416" s="1">
        <v>5</v>
      </c>
      <c r="AZ416" s="1">
        <v>0</v>
      </c>
      <c r="BA416" s="1" t="s">
        <v>329</v>
      </c>
      <c r="BB416" s="1" t="s">
        <v>329</v>
      </c>
      <c r="BC416" s="1" t="s">
        <v>329</v>
      </c>
      <c r="BD416" s="1">
        <v>0</v>
      </c>
      <c r="BE416" s="1"/>
      <c r="BH416">
        <f>COUNTIF(Dropdowns!$I:$AF,C416)</f>
        <v>0</v>
      </c>
    </row>
    <row r="417" spans="1:60" x14ac:dyDescent="0.25">
      <c r="A417" s="1">
        <v>9027</v>
      </c>
      <c r="B417" s="1" t="s">
        <v>5913</v>
      </c>
      <c r="C417" s="241" t="s">
        <v>5857</v>
      </c>
      <c r="D417" s="1" t="s">
        <v>3486</v>
      </c>
      <c r="E417" s="1"/>
      <c r="F417" s="1"/>
      <c r="G417" s="1" t="s">
        <v>5914</v>
      </c>
      <c r="H417" s="1" t="s">
        <v>5915</v>
      </c>
      <c r="I417" s="1" t="s">
        <v>5916</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5866</v>
      </c>
      <c r="AK417" s="1" t="s">
        <v>329</v>
      </c>
      <c r="AL417" s="1">
        <v>13</v>
      </c>
      <c r="AM417" s="1" t="s">
        <v>1807</v>
      </c>
      <c r="AN417" s="1" t="s">
        <v>4777</v>
      </c>
      <c r="AO417" s="1" t="s">
        <v>4825</v>
      </c>
      <c r="AP417" s="1">
        <v>0</v>
      </c>
      <c r="AQ417" s="1" t="s">
        <v>5855</v>
      </c>
      <c r="AR417" s="1" t="s">
        <v>1120</v>
      </c>
      <c r="AS417" s="1" t="s">
        <v>1130</v>
      </c>
      <c r="AT417" s="1" t="s">
        <v>329</v>
      </c>
      <c r="AU417" s="1">
        <v>202</v>
      </c>
      <c r="AV417" s="1">
        <v>0</v>
      </c>
      <c r="AW417" s="1" t="s">
        <v>5793</v>
      </c>
      <c r="AX417" s="1" t="s">
        <v>1724</v>
      </c>
      <c r="AY417" s="1">
        <v>4</v>
      </c>
      <c r="AZ417" s="1">
        <v>0</v>
      </c>
      <c r="BA417" s="1" t="s">
        <v>329</v>
      </c>
      <c r="BB417" s="1" t="s">
        <v>329</v>
      </c>
      <c r="BC417" s="1" t="s">
        <v>329</v>
      </c>
      <c r="BD417" s="1">
        <v>0</v>
      </c>
      <c r="BE417" s="1"/>
      <c r="BH417">
        <f>COUNTIF(Dropdowns!$I:$AF,C417)</f>
        <v>0</v>
      </c>
    </row>
    <row r="418" spans="1:60" x14ac:dyDescent="0.25">
      <c r="A418" s="1">
        <v>9028</v>
      </c>
      <c r="B418" s="1" t="s">
        <v>5917</v>
      </c>
      <c r="C418" s="241" t="s">
        <v>156</v>
      </c>
      <c r="D418" s="1" t="s">
        <v>156</v>
      </c>
      <c r="E418" s="1"/>
      <c r="F418" s="1"/>
      <c r="G418" s="1" t="s">
        <v>5918</v>
      </c>
      <c r="H418" s="1" t="s">
        <v>5919</v>
      </c>
      <c r="I418" s="1" t="s">
        <v>5920</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5872</v>
      </c>
      <c r="AK418" s="1" t="s">
        <v>329</v>
      </c>
      <c r="AL418" s="1">
        <v>12</v>
      </c>
      <c r="AM418" s="1" t="s">
        <v>4791</v>
      </c>
      <c r="AN418" s="1" t="s">
        <v>359</v>
      </c>
      <c r="AO418" s="1" t="s">
        <v>5064</v>
      </c>
      <c r="AP418" s="1">
        <v>0</v>
      </c>
      <c r="AQ418" s="1" t="s">
        <v>1130</v>
      </c>
      <c r="AR418" s="1" t="s">
        <v>1120</v>
      </c>
      <c r="AS418" s="1" t="s">
        <v>1131</v>
      </c>
      <c r="AT418" s="1" t="s">
        <v>329</v>
      </c>
      <c r="AU418" s="1">
        <v>176</v>
      </c>
      <c r="AV418" s="1">
        <v>0</v>
      </c>
      <c r="AW418" s="1" t="s">
        <v>5793</v>
      </c>
      <c r="AX418" s="1" t="s">
        <v>1807</v>
      </c>
      <c r="AY418" s="1">
        <v>3</v>
      </c>
      <c r="AZ418" s="1">
        <v>0</v>
      </c>
      <c r="BA418" s="1" t="s">
        <v>329</v>
      </c>
      <c r="BB418" s="1" t="s">
        <v>329</v>
      </c>
      <c r="BC418" s="1" t="s">
        <v>329</v>
      </c>
      <c r="BD418" s="1">
        <v>0</v>
      </c>
      <c r="BE418" s="1"/>
      <c r="BH418">
        <f>COUNTIF(Dropdowns!$I:$AF,C418)</f>
        <v>1</v>
      </c>
    </row>
    <row r="419" spans="1:60" x14ac:dyDescent="0.25">
      <c r="A419" s="1">
        <v>9029</v>
      </c>
      <c r="B419" s="1" t="s">
        <v>5921</v>
      </c>
      <c r="C419" s="241" t="s">
        <v>168</v>
      </c>
      <c r="D419" s="1" t="s">
        <v>168</v>
      </c>
      <c r="E419" s="1"/>
      <c r="F419" s="1"/>
      <c r="G419" s="1" t="s">
        <v>5922</v>
      </c>
      <c r="H419" s="1" t="s">
        <v>5923</v>
      </c>
      <c r="I419" s="1" t="s">
        <v>5924</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5854</v>
      </c>
      <c r="AK419" s="1" t="s">
        <v>329</v>
      </c>
      <c r="AL419" s="1">
        <v>13</v>
      </c>
      <c r="AM419" s="1" t="s">
        <v>4720</v>
      </c>
      <c r="AN419" s="1" t="s">
        <v>4835</v>
      </c>
      <c r="AO419" s="1" t="s">
        <v>5003</v>
      </c>
      <c r="AP419" s="1">
        <v>0</v>
      </c>
      <c r="AQ419" s="1" t="s">
        <v>1131</v>
      </c>
      <c r="AR419" s="1" t="s">
        <v>1155</v>
      </c>
      <c r="AS419" s="1" t="s">
        <v>1130</v>
      </c>
      <c r="AT419" s="1" t="s">
        <v>329</v>
      </c>
      <c r="AU419" s="1">
        <v>194</v>
      </c>
      <c r="AV419" s="1">
        <v>0</v>
      </c>
      <c r="AW419" s="1" t="s">
        <v>5793</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5925</v>
      </c>
      <c r="C420" s="241" t="s">
        <v>121</v>
      </c>
      <c r="D420" s="1" t="s">
        <v>121</v>
      </c>
      <c r="E420" s="1"/>
      <c r="F420" s="1"/>
      <c r="G420" s="1" t="s">
        <v>5926</v>
      </c>
      <c r="H420" s="1" t="s">
        <v>5927</v>
      </c>
      <c r="I420" s="1" t="s">
        <v>5928</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5861</v>
      </c>
      <c r="AK420" s="1" t="s">
        <v>329</v>
      </c>
      <c r="AL420" s="1">
        <v>13</v>
      </c>
      <c r="AM420" s="1" t="s">
        <v>1807</v>
      </c>
      <c r="AN420" s="1" t="s">
        <v>4785</v>
      </c>
      <c r="AO420" s="1" t="s">
        <v>4818</v>
      </c>
      <c r="AP420" s="1">
        <v>0</v>
      </c>
      <c r="AQ420" s="1" t="s">
        <v>5855</v>
      </c>
      <c r="AR420" s="1" t="s">
        <v>1120</v>
      </c>
      <c r="AS420" s="1" t="s">
        <v>1130</v>
      </c>
      <c r="AT420" s="1" t="s">
        <v>329</v>
      </c>
      <c r="AU420" s="1">
        <v>97</v>
      </c>
      <c r="AV420" s="1">
        <v>0</v>
      </c>
      <c r="AW420" s="1" t="s">
        <v>5793</v>
      </c>
      <c r="AX420" s="1" t="s">
        <v>4763</v>
      </c>
      <c r="AY420" s="1">
        <v>5</v>
      </c>
      <c r="AZ420" s="1">
        <v>0</v>
      </c>
      <c r="BA420" s="1" t="s">
        <v>329</v>
      </c>
      <c r="BB420" s="1" t="s">
        <v>329</v>
      </c>
      <c r="BC420" s="1" t="s">
        <v>329</v>
      </c>
      <c r="BD420" s="1">
        <v>0</v>
      </c>
      <c r="BE420" s="1"/>
      <c r="BH420">
        <f>COUNTIF(Dropdowns!$I:$AF,C420)</f>
        <v>0</v>
      </c>
    </row>
    <row r="421" spans="1:60" x14ac:dyDescent="0.25">
      <c r="A421" s="1">
        <v>9031</v>
      </c>
      <c r="B421" s="1" t="s">
        <v>5929</v>
      </c>
      <c r="C421" s="241" t="s">
        <v>1632</v>
      </c>
      <c r="D421" s="1" t="s">
        <v>1632</v>
      </c>
      <c r="E421" s="1"/>
      <c r="F421" s="1"/>
      <c r="G421" s="1" t="s">
        <v>5930</v>
      </c>
      <c r="H421" s="1" t="s">
        <v>5931</v>
      </c>
      <c r="I421" s="1" t="s">
        <v>5932</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5866</v>
      </c>
      <c r="AK421" s="1" t="s">
        <v>329</v>
      </c>
      <c r="AL421" s="1">
        <v>18</v>
      </c>
      <c r="AM421" s="1" t="s">
        <v>4859</v>
      </c>
      <c r="AN421" s="1" t="s">
        <v>4932</v>
      </c>
      <c r="AO421" s="1" t="s">
        <v>5055</v>
      </c>
      <c r="AP421" s="1">
        <v>0</v>
      </c>
      <c r="AQ421" s="1" t="s">
        <v>1141</v>
      </c>
      <c r="AR421" s="1" t="s">
        <v>5867</v>
      </c>
      <c r="AS421" s="1" t="s">
        <v>5792</v>
      </c>
      <c r="AT421" s="1" t="s">
        <v>329</v>
      </c>
      <c r="AU421" s="1">
        <v>149</v>
      </c>
      <c r="AV421" s="1">
        <v>0</v>
      </c>
      <c r="AW421" s="1" t="s">
        <v>5793</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5933</v>
      </c>
      <c r="C422" s="241" t="s">
        <v>156</v>
      </c>
      <c r="D422" s="1" t="s">
        <v>156</v>
      </c>
      <c r="E422" s="1"/>
      <c r="F422" s="1"/>
      <c r="G422" s="1" t="s">
        <v>5934</v>
      </c>
      <c r="H422" s="1" t="s">
        <v>5935</v>
      </c>
      <c r="I422" s="1" t="s">
        <v>5936</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5872</v>
      </c>
      <c r="AK422" s="1" t="s">
        <v>329</v>
      </c>
      <c r="AL422" s="1">
        <v>12</v>
      </c>
      <c r="AM422" s="1" t="s">
        <v>4791</v>
      </c>
      <c r="AN422" s="1" t="s">
        <v>359</v>
      </c>
      <c r="AO422" s="1" t="s">
        <v>5064</v>
      </c>
      <c r="AP422" s="1">
        <v>0</v>
      </c>
      <c r="AQ422" s="1" t="s">
        <v>1130</v>
      </c>
      <c r="AR422" s="1" t="s">
        <v>1120</v>
      </c>
      <c r="AS422" s="1" t="s">
        <v>1131</v>
      </c>
      <c r="AT422" s="1" t="s">
        <v>329</v>
      </c>
      <c r="AU422" s="1">
        <v>176</v>
      </c>
      <c r="AV422" s="1">
        <v>0</v>
      </c>
      <c r="AW422" s="1" t="s">
        <v>5793</v>
      </c>
      <c r="AX422" s="1" t="s">
        <v>1807</v>
      </c>
      <c r="AY422" s="1">
        <v>3</v>
      </c>
      <c r="AZ422" s="1">
        <v>0</v>
      </c>
      <c r="BA422" s="1" t="s">
        <v>329</v>
      </c>
      <c r="BB422" s="1" t="s">
        <v>329</v>
      </c>
      <c r="BC422" s="1" t="s">
        <v>329</v>
      </c>
      <c r="BD422" s="1">
        <v>0</v>
      </c>
      <c r="BE422" s="1"/>
      <c r="BH422">
        <f>COUNTIF(Dropdowns!$I:$AF,C422)</f>
        <v>1</v>
      </c>
    </row>
    <row r="423" spans="1:60" x14ac:dyDescent="0.25">
      <c r="A423" s="1">
        <v>9034</v>
      </c>
      <c r="B423" s="1" t="s">
        <v>5937</v>
      </c>
      <c r="C423" s="241" t="s">
        <v>234</v>
      </c>
      <c r="D423" s="1" t="s">
        <v>234</v>
      </c>
      <c r="E423" s="1"/>
      <c r="F423" s="1"/>
      <c r="G423" s="1" t="s">
        <v>5938</v>
      </c>
      <c r="H423" s="1" t="s">
        <v>5939</v>
      </c>
      <c r="I423" s="1" t="s">
        <v>5940</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5941</v>
      </c>
      <c r="AK423" s="1" t="s">
        <v>329</v>
      </c>
      <c r="AL423" s="1">
        <v>14</v>
      </c>
      <c r="AM423" s="1" t="s">
        <v>4720</v>
      </c>
      <c r="AN423" s="1" t="s">
        <v>5152</v>
      </c>
      <c r="AO423" s="1" t="s">
        <v>5153</v>
      </c>
      <c r="AP423" s="1">
        <v>0</v>
      </c>
      <c r="AQ423" s="1" t="s">
        <v>1131</v>
      </c>
      <c r="AR423" s="1" t="s">
        <v>1155</v>
      </c>
      <c r="AS423" s="1" t="s">
        <v>1130</v>
      </c>
      <c r="AT423" s="1" t="s">
        <v>329</v>
      </c>
      <c r="AU423" s="1">
        <v>206</v>
      </c>
      <c r="AV423" s="1">
        <v>0</v>
      </c>
      <c r="AW423" s="1" t="s">
        <v>5793</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5942</v>
      </c>
      <c r="C424" s="241" t="s">
        <v>233</v>
      </c>
      <c r="D424" s="1" t="s">
        <v>233</v>
      </c>
      <c r="E424" s="1"/>
      <c r="F424" s="1"/>
      <c r="G424" s="1" t="s">
        <v>5943</v>
      </c>
      <c r="H424" s="1" t="s">
        <v>5944</v>
      </c>
      <c r="I424" s="1" t="s">
        <v>5945</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5946</v>
      </c>
      <c r="AK424" s="1" t="s">
        <v>329</v>
      </c>
      <c r="AL424" s="1">
        <v>12</v>
      </c>
      <c r="AM424" s="1" t="s">
        <v>4720</v>
      </c>
      <c r="AN424" s="1" t="s">
        <v>5148</v>
      </c>
      <c r="AO424" s="1" t="s">
        <v>5149</v>
      </c>
      <c r="AP424" s="1">
        <v>0</v>
      </c>
      <c r="AQ424" s="1" t="s">
        <v>1131</v>
      </c>
      <c r="AR424" s="1" t="s">
        <v>1155</v>
      </c>
      <c r="AS424" s="1" t="s">
        <v>1130</v>
      </c>
      <c r="AT424" s="1" t="s">
        <v>329</v>
      </c>
      <c r="AU424" s="1">
        <v>205</v>
      </c>
      <c r="AV424" s="1">
        <v>0</v>
      </c>
      <c r="AW424" s="1" t="s">
        <v>5793</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5947</v>
      </c>
      <c r="C425" s="241" t="s">
        <v>5948</v>
      </c>
      <c r="D425" s="1" t="s">
        <v>5948</v>
      </c>
      <c r="E425" s="1"/>
      <c r="F425" s="1"/>
      <c r="G425" s="1" t="s">
        <v>5949</v>
      </c>
      <c r="H425" s="1" t="s">
        <v>5950</v>
      </c>
      <c r="I425" s="1" t="s">
        <v>5951</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5952</v>
      </c>
      <c r="AK425" s="1" t="s">
        <v>329</v>
      </c>
      <c r="AL425" s="1">
        <v>13</v>
      </c>
      <c r="AM425" s="1" t="s">
        <v>4791</v>
      </c>
      <c r="AN425" s="1" t="s">
        <v>4862</v>
      </c>
      <c r="AO425" s="1" t="s">
        <v>4863</v>
      </c>
      <c r="AP425" s="1">
        <v>0</v>
      </c>
      <c r="AQ425" s="1" t="s">
        <v>1131</v>
      </c>
      <c r="AR425" s="1" t="s">
        <v>1155</v>
      </c>
      <c r="AS425" s="1" t="s">
        <v>5849</v>
      </c>
      <c r="AT425" s="1" t="s">
        <v>329</v>
      </c>
      <c r="AU425" s="1">
        <v>55</v>
      </c>
      <c r="AV425" s="1">
        <v>0</v>
      </c>
      <c r="AW425" s="1" t="s">
        <v>5793</v>
      </c>
      <c r="AX425" s="1" t="s">
        <v>4859</v>
      </c>
      <c r="AY425" s="1">
        <v>4</v>
      </c>
      <c r="AZ425" s="1">
        <v>0</v>
      </c>
      <c r="BA425" s="1" t="s">
        <v>329</v>
      </c>
      <c r="BB425" s="1" t="s">
        <v>329</v>
      </c>
      <c r="BC425" s="1" t="s">
        <v>329</v>
      </c>
      <c r="BD425" s="1">
        <v>0</v>
      </c>
      <c r="BE425" s="1"/>
      <c r="BH425">
        <f>COUNTIF(Dropdowns!$I:$AF,C425)</f>
        <v>0</v>
      </c>
    </row>
    <row r="426" spans="1:60" x14ac:dyDescent="0.25">
      <c r="A426" s="1">
        <v>9037</v>
      </c>
      <c r="B426" s="1" t="s">
        <v>5953</v>
      </c>
      <c r="C426" s="241" t="s">
        <v>5954</v>
      </c>
      <c r="D426" s="1" t="s">
        <v>5954</v>
      </c>
      <c r="E426" s="1"/>
      <c r="F426" s="1"/>
      <c r="G426" s="1" t="s">
        <v>5955</v>
      </c>
      <c r="H426" s="1" t="s">
        <v>5956</v>
      </c>
      <c r="I426" s="1" t="s">
        <v>5957</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5958</v>
      </c>
      <c r="AK426" s="1" t="s">
        <v>329</v>
      </c>
      <c r="AL426" s="1">
        <v>13</v>
      </c>
      <c r="AM426" s="1" t="s">
        <v>4720</v>
      </c>
      <c r="AN426" s="1" t="s">
        <v>4865</v>
      </c>
      <c r="AO426" s="1" t="s">
        <v>4868</v>
      </c>
      <c r="AP426" s="1">
        <v>0</v>
      </c>
      <c r="AQ426" s="1" t="s">
        <v>5959</v>
      </c>
      <c r="AR426" s="1" t="s">
        <v>5959</v>
      </c>
      <c r="AS426" s="1" t="s">
        <v>1155</v>
      </c>
      <c r="AT426" s="1" t="s">
        <v>329</v>
      </c>
      <c r="AU426" s="1">
        <v>57</v>
      </c>
      <c r="AV426" s="1">
        <v>0</v>
      </c>
      <c r="AW426" s="1" t="s">
        <v>5793</v>
      </c>
      <c r="AX426" s="1" t="s">
        <v>4859</v>
      </c>
      <c r="AY426" s="1">
        <v>4</v>
      </c>
      <c r="AZ426" s="1">
        <v>0</v>
      </c>
      <c r="BA426" s="1" t="s">
        <v>329</v>
      </c>
      <c r="BB426" s="1" t="s">
        <v>329</v>
      </c>
      <c r="BC426" s="1" t="s">
        <v>329</v>
      </c>
      <c r="BD426" s="1">
        <v>0</v>
      </c>
      <c r="BE426" s="1"/>
      <c r="BH426">
        <f>COUNTIF(Dropdowns!$I:$AF,C426)</f>
        <v>0</v>
      </c>
    </row>
    <row r="427" spans="1:60" x14ac:dyDescent="0.25">
      <c r="A427" s="1">
        <v>9038</v>
      </c>
      <c r="B427" s="1" t="s">
        <v>5960</v>
      </c>
      <c r="C427" s="241" t="s">
        <v>5961</v>
      </c>
      <c r="D427" s="1" t="s">
        <v>5961</v>
      </c>
      <c r="E427" s="1"/>
      <c r="F427" s="1"/>
      <c r="G427" s="1" t="s">
        <v>5962</v>
      </c>
      <c r="H427" s="1" t="s">
        <v>5963</v>
      </c>
      <c r="I427" s="1" t="s">
        <v>5964</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5965</v>
      </c>
      <c r="AK427" s="1" t="s">
        <v>329</v>
      </c>
      <c r="AL427" s="1">
        <v>14</v>
      </c>
      <c r="AM427" s="1" t="s">
        <v>4720</v>
      </c>
      <c r="AN427" s="1" t="s">
        <v>5152</v>
      </c>
      <c r="AO427" s="1" t="s">
        <v>5153</v>
      </c>
      <c r="AP427" s="1">
        <v>0</v>
      </c>
      <c r="AQ427" s="1" t="s">
        <v>1131</v>
      </c>
      <c r="AR427" s="1" t="s">
        <v>1155</v>
      </c>
      <c r="AS427" s="1" t="s">
        <v>1130</v>
      </c>
      <c r="AT427" s="1" t="s">
        <v>329</v>
      </c>
      <c r="AU427" s="1">
        <v>206</v>
      </c>
      <c r="AV427" s="1">
        <v>0</v>
      </c>
      <c r="AW427" s="1" t="s">
        <v>5793</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5966</v>
      </c>
      <c r="C428" s="241" t="s">
        <v>5967</v>
      </c>
      <c r="D428" s="1" t="s">
        <v>5967</v>
      </c>
      <c r="E428" s="1"/>
      <c r="F428" s="1"/>
      <c r="G428" s="1" t="s">
        <v>5968</v>
      </c>
      <c r="H428" s="1" t="s">
        <v>5969</v>
      </c>
      <c r="I428" s="1" t="s">
        <v>5970</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5971</v>
      </c>
      <c r="AK428" s="1" t="s">
        <v>329</v>
      </c>
      <c r="AL428" s="1">
        <v>12</v>
      </c>
      <c r="AM428" s="1" t="s">
        <v>4720</v>
      </c>
      <c r="AN428" s="1" t="s">
        <v>5148</v>
      </c>
      <c r="AO428" s="1" t="s">
        <v>5149</v>
      </c>
      <c r="AP428" s="1">
        <v>0</v>
      </c>
      <c r="AQ428" s="1" t="s">
        <v>1131</v>
      </c>
      <c r="AR428" s="1" t="s">
        <v>1155</v>
      </c>
      <c r="AS428" s="1" t="s">
        <v>1130</v>
      </c>
      <c r="AT428" s="1" t="s">
        <v>329</v>
      </c>
      <c r="AU428" s="1">
        <v>205</v>
      </c>
      <c r="AV428" s="1">
        <v>0</v>
      </c>
      <c r="AW428" s="1" t="s">
        <v>5793</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5972</v>
      </c>
      <c r="C429" s="241" t="s">
        <v>22</v>
      </c>
      <c r="D429" s="1" t="s">
        <v>5948</v>
      </c>
      <c r="E429" s="1"/>
      <c r="F429" s="1"/>
      <c r="G429" s="1" t="s">
        <v>5973</v>
      </c>
      <c r="H429" s="1" t="s">
        <v>5974</v>
      </c>
      <c r="I429" s="1" t="s">
        <v>5975</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5976</v>
      </c>
      <c r="AK429" s="1" t="s">
        <v>329</v>
      </c>
      <c r="AL429" s="1">
        <v>13</v>
      </c>
      <c r="AM429" s="1" t="s">
        <v>4791</v>
      </c>
      <c r="AN429" s="1" t="s">
        <v>4948</v>
      </c>
      <c r="AO429" s="1" t="s">
        <v>5047</v>
      </c>
      <c r="AP429" s="1">
        <v>0</v>
      </c>
      <c r="AQ429" s="1" t="s">
        <v>1130</v>
      </c>
      <c r="AR429" s="1" t="s">
        <v>1120</v>
      </c>
      <c r="AS429" s="1" t="s">
        <v>1131</v>
      </c>
      <c r="AT429" s="1" t="s">
        <v>329</v>
      </c>
      <c r="AU429" s="1">
        <v>143</v>
      </c>
      <c r="AV429" s="1">
        <v>0</v>
      </c>
      <c r="AW429" s="1" t="s">
        <v>5793</v>
      </c>
      <c r="AX429" s="1" t="s">
        <v>4859</v>
      </c>
      <c r="AY429" s="1">
        <v>4</v>
      </c>
      <c r="AZ429" s="1">
        <v>0</v>
      </c>
      <c r="BA429" s="1" t="s">
        <v>329</v>
      </c>
      <c r="BB429" s="1" t="s">
        <v>329</v>
      </c>
      <c r="BC429" s="1" t="s">
        <v>329</v>
      </c>
      <c r="BD429" s="1">
        <v>0</v>
      </c>
      <c r="BE429" s="1"/>
      <c r="BH429">
        <f>COUNTIF(Dropdowns!$I:$AF,C429)</f>
        <v>1</v>
      </c>
    </row>
    <row r="430" spans="1:60" x14ac:dyDescent="0.25">
      <c r="A430" s="1">
        <v>9041</v>
      </c>
      <c r="B430" s="1" t="s">
        <v>5977</v>
      </c>
      <c r="C430" s="241" t="s">
        <v>22</v>
      </c>
      <c r="D430" s="1" t="s">
        <v>5948</v>
      </c>
      <c r="E430" s="1"/>
      <c r="F430" s="1"/>
      <c r="G430" s="1" t="s">
        <v>5978</v>
      </c>
      <c r="H430" s="1" t="s">
        <v>5979</v>
      </c>
      <c r="I430" s="1" t="s">
        <v>5980</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5981</v>
      </c>
      <c r="AK430" s="1" t="s">
        <v>329</v>
      </c>
      <c r="AL430" s="1">
        <v>13</v>
      </c>
      <c r="AM430" s="1" t="s">
        <v>4791</v>
      </c>
      <c r="AN430" s="1" t="s">
        <v>4948</v>
      </c>
      <c r="AO430" s="1" t="s">
        <v>5047</v>
      </c>
      <c r="AP430" s="1">
        <v>0</v>
      </c>
      <c r="AQ430" s="1" t="s">
        <v>1130</v>
      </c>
      <c r="AR430" s="1" t="s">
        <v>1120</v>
      </c>
      <c r="AS430" s="1" t="s">
        <v>1131</v>
      </c>
      <c r="AT430" s="1" t="s">
        <v>329</v>
      </c>
      <c r="AU430" s="1">
        <v>143</v>
      </c>
      <c r="AV430" s="1">
        <v>0</v>
      </c>
      <c r="AW430" s="1" t="s">
        <v>5793</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5982</v>
      </c>
      <c r="C431" s="241" t="s">
        <v>22</v>
      </c>
      <c r="D431" s="1" t="s">
        <v>5948</v>
      </c>
      <c r="E431" s="1"/>
      <c r="F431" s="1"/>
      <c r="G431" s="1" t="s">
        <v>5983</v>
      </c>
      <c r="H431" s="1" t="s">
        <v>5984</v>
      </c>
      <c r="I431" s="1" t="s">
        <v>5985</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5981</v>
      </c>
      <c r="AK431" s="1" t="s">
        <v>329</v>
      </c>
      <c r="AL431" s="1">
        <v>13</v>
      </c>
      <c r="AM431" s="1" t="s">
        <v>4791</v>
      </c>
      <c r="AN431" s="1" t="s">
        <v>4948</v>
      </c>
      <c r="AO431" s="1" t="s">
        <v>5047</v>
      </c>
      <c r="AP431" s="1">
        <v>0</v>
      </c>
      <c r="AQ431" s="1" t="s">
        <v>1130</v>
      </c>
      <c r="AR431" s="1" t="s">
        <v>1120</v>
      </c>
      <c r="AS431" s="1" t="s">
        <v>1131</v>
      </c>
      <c r="AT431" s="1" t="s">
        <v>329</v>
      </c>
      <c r="AU431" s="1">
        <v>143</v>
      </c>
      <c r="AV431" s="1">
        <v>0</v>
      </c>
      <c r="AW431" s="1" t="s">
        <v>5793</v>
      </c>
      <c r="AX431" s="1" t="s">
        <v>4859</v>
      </c>
      <c r="AY431" s="1">
        <v>4</v>
      </c>
      <c r="AZ431" s="1">
        <v>0</v>
      </c>
      <c r="BA431" s="1" t="s">
        <v>329</v>
      </c>
      <c r="BB431" s="1" t="s">
        <v>329</v>
      </c>
      <c r="BC431" s="1" t="s">
        <v>329</v>
      </c>
      <c r="BD431" s="1">
        <v>0</v>
      </c>
      <c r="BE431" s="1"/>
      <c r="BH431">
        <f>COUNTIF(Dropdowns!$I:$AF,C431)</f>
        <v>1</v>
      </c>
    </row>
    <row r="432" spans="1:60" x14ac:dyDescent="0.25">
      <c r="A432" s="1">
        <v>9043</v>
      </c>
      <c r="B432" s="1" t="s">
        <v>5986</v>
      </c>
      <c r="C432" s="241" t="s">
        <v>22</v>
      </c>
      <c r="D432" s="1" t="s">
        <v>5948</v>
      </c>
      <c r="E432" s="1"/>
      <c r="F432" s="1"/>
      <c r="G432" s="1" t="s">
        <v>5987</v>
      </c>
      <c r="H432" s="1" t="s">
        <v>5988</v>
      </c>
      <c r="I432" s="1" t="s">
        <v>5989</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5981</v>
      </c>
      <c r="AK432" s="1" t="s">
        <v>329</v>
      </c>
      <c r="AL432" s="1">
        <v>13</v>
      </c>
      <c r="AM432" s="1" t="s">
        <v>4791</v>
      </c>
      <c r="AN432" s="1" t="s">
        <v>4948</v>
      </c>
      <c r="AO432" s="1" t="s">
        <v>5047</v>
      </c>
      <c r="AP432" s="1">
        <v>0</v>
      </c>
      <c r="AQ432" s="1" t="s">
        <v>1130</v>
      </c>
      <c r="AR432" s="1" t="s">
        <v>1120</v>
      </c>
      <c r="AS432" s="1" t="s">
        <v>1131</v>
      </c>
      <c r="AT432" s="1" t="s">
        <v>329</v>
      </c>
      <c r="AU432" s="1">
        <v>143</v>
      </c>
      <c r="AV432" s="1">
        <v>0</v>
      </c>
      <c r="AW432" s="1" t="s">
        <v>5793</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5990</v>
      </c>
      <c r="C433" s="241" t="s">
        <v>98</v>
      </c>
      <c r="D433" s="1" t="s">
        <v>5991</v>
      </c>
      <c r="E433" s="1"/>
      <c r="F433" s="1"/>
      <c r="G433" s="1" t="s">
        <v>5992</v>
      </c>
      <c r="H433" s="1" t="s">
        <v>5993</v>
      </c>
      <c r="I433" s="1" t="s">
        <v>5994</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5995</v>
      </c>
      <c r="AK433" s="1" t="s">
        <v>329</v>
      </c>
      <c r="AL433" s="1">
        <v>13</v>
      </c>
      <c r="AM433" s="1" t="s">
        <v>4720</v>
      </c>
      <c r="AN433" s="1" t="s">
        <v>4748</v>
      </c>
      <c r="AO433" s="1" t="s">
        <v>4800</v>
      </c>
      <c r="AP433" s="1">
        <v>0</v>
      </c>
      <c r="AQ433" s="1" t="s">
        <v>1155</v>
      </c>
      <c r="AR433" s="1" t="s">
        <v>5996</v>
      </c>
      <c r="AS433" s="1" t="s">
        <v>5996</v>
      </c>
      <c r="AT433" s="1" t="s">
        <v>329</v>
      </c>
      <c r="AU433" s="1">
        <v>54</v>
      </c>
      <c r="AV433" s="1">
        <v>0</v>
      </c>
      <c r="AW433" s="1" t="s">
        <v>5793</v>
      </c>
      <c r="AX433" s="1" t="s">
        <v>1807</v>
      </c>
      <c r="AY433" s="1">
        <v>5</v>
      </c>
      <c r="AZ433" s="1">
        <v>0</v>
      </c>
      <c r="BA433" s="1" t="s">
        <v>329</v>
      </c>
      <c r="BB433" s="1" t="s">
        <v>329</v>
      </c>
      <c r="BC433" s="1" t="s">
        <v>329</v>
      </c>
      <c r="BD433" s="1">
        <v>0</v>
      </c>
      <c r="BE433" s="1"/>
      <c r="BH433">
        <f>COUNTIF(Dropdowns!$I:$AF,C433)</f>
        <v>1</v>
      </c>
    </row>
    <row r="434" spans="1:60" x14ac:dyDescent="0.25">
      <c r="A434" s="1">
        <v>9045</v>
      </c>
      <c r="B434" s="1" t="s">
        <v>5997</v>
      </c>
      <c r="C434" s="241" t="s">
        <v>5998</v>
      </c>
      <c r="D434" s="1" t="s">
        <v>5999</v>
      </c>
      <c r="E434" s="1"/>
      <c r="F434" s="1"/>
      <c r="G434" s="1" t="s">
        <v>6000</v>
      </c>
      <c r="H434" s="1" t="s">
        <v>6001</v>
      </c>
      <c r="I434" s="1" t="s">
        <v>6002</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5995</v>
      </c>
      <c r="AK434" s="1" t="s">
        <v>329</v>
      </c>
      <c r="AL434" s="1">
        <v>13</v>
      </c>
      <c r="AM434" s="1" t="s">
        <v>4720</v>
      </c>
      <c r="AN434" s="1" t="s">
        <v>4748</v>
      </c>
      <c r="AO434" s="1" t="s">
        <v>4800</v>
      </c>
      <c r="AP434" s="1">
        <v>0</v>
      </c>
      <c r="AQ434" s="1" t="s">
        <v>1155</v>
      </c>
      <c r="AR434" s="1" t="s">
        <v>5996</v>
      </c>
      <c r="AS434" s="1" t="s">
        <v>5996</v>
      </c>
      <c r="AT434" s="1" t="s">
        <v>329</v>
      </c>
      <c r="AU434" s="1">
        <v>54</v>
      </c>
      <c r="AV434" s="1">
        <v>0</v>
      </c>
      <c r="AW434" s="1" t="s">
        <v>5793</v>
      </c>
      <c r="AX434" s="1" t="s">
        <v>1807</v>
      </c>
      <c r="AY434" s="1">
        <v>5</v>
      </c>
      <c r="AZ434" s="1">
        <v>0</v>
      </c>
      <c r="BA434" s="1" t="s">
        <v>329</v>
      </c>
      <c r="BB434" s="1" t="s">
        <v>329</v>
      </c>
      <c r="BC434" s="1" t="s">
        <v>329</v>
      </c>
      <c r="BD434" s="1">
        <v>0</v>
      </c>
      <c r="BE434" s="1"/>
      <c r="BH434">
        <f>COUNTIF(Dropdowns!$I:$AF,C434)</f>
        <v>0</v>
      </c>
    </row>
    <row r="435" spans="1:60" x14ac:dyDescent="0.25">
      <c r="A435" s="1">
        <v>9046</v>
      </c>
      <c r="B435" s="1" t="s">
        <v>6003</v>
      </c>
      <c r="C435" s="241" t="s">
        <v>6004</v>
      </c>
      <c r="D435" s="1" t="s">
        <v>6005</v>
      </c>
      <c r="E435" s="1"/>
      <c r="F435" s="1"/>
      <c r="G435" s="1" t="s">
        <v>6006</v>
      </c>
      <c r="H435" s="1" t="s">
        <v>6007</v>
      </c>
      <c r="I435" s="1" t="s">
        <v>6008</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5995</v>
      </c>
      <c r="AK435" s="1" t="s">
        <v>329</v>
      </c>
      <c r="AL435" s="1">
        <v>13</v>
      </c>
      <c r="AM435" s="1" t="s">
        <v>4720</v>
      </c>
      <c r="AN435" s="1" t="s">
        <v>4748</v>
      </c>
      <c r="AO435" s="1" t="s">
        <v>4800</v>
      </c>
      <c r="AP435" s="1">
        <v>0</v>
      </c>
      <c r="AQ435" s="1" t="s">
        <v>1155</v>
      </c>
      <c r="AR435" s="1" t="s">
        <v>5996</v>
      </c>
      <c r="AS435" s="1" t="s">
        <v>5996</v>
      </c>
      <c r="AT435" s="1" t="s">
        <v>329</v>
      </c>
      <c r="AU435" s="1">
        <v>54</v>
      </c>
      <c r="AV435" s="1">
        <v>0</v>
      </c>
      <c r="AW435" s="1" t="s">
        <v>5793</v>
      </c>
      <c r="AX435" s="1" t="s">
        <v>1807</v>
      </c>
      <c r="AY435" s="1">
        <v>5</v>
      </c>
      <c r="AZ435" s="1">
        <v>0</v>
      </c>
      <c r="BA435" s="1" t="s">
        <v>329</v>
      </c>
      <c r="BB435" s="1" t="s">
        <v>329</v>
      </c>
      <c r="BC435" s="1" t="s">
        <v>329</v>
      </c>
      <c r="BD435" s="1">
        <v>0</v>
      </c>
      <c r="BE435" s="1"/>
      <c r="BH435">
        <f>COUNTIF(Dropdowns!$I:$AF,C435)</f>
        <v>0</v>
      </c>
    </row>
    <row r="436" spans="1:60" x14ac:dyDescent="0.25">
      <c r="A436" s="1">
        <v>9047</v>
      </c>
      <c r="B436" s="1" t="s">
        <v>6009</v>
      </c>
      <c r="C436" s="241" t="s">
        <v>6010</v>
      </c>
      <c r="D436" s="1" t="s">
        <v>6011</v>
      </c>
      <c r="E436" s="1"/>
      <c r="F436" s="1"/>
      <c r="G436" s="1" t="s">
        <v>6012</v>
      </c>
      <c r="H436" s="1" t="s">
        <v>6013</v>
      </c>
      <c r="I436" s="1" t="s">
        <v>6014</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5995</v>
      </c>
      <c r="AK436" s="1" t="s">
        <v>329</v>
      </c>
      <c r="AL436" s="1">
        <v>13</v>
      </c>
      <c r="AM436" s="1" t="s">
        <v>4720</v>
      </c>
      <c r="AN436" s="1" t="s">
        <v>4748</v>
      </c>
      <c r="AO436" s="1" t="s">
        <v>4800</v>
      </c>
      <c r="AP436" s="1">
        <v>0</v>
      </c>
      <c r="AQ436" s="1" t="s">
        <v>1155</v>
      </c>
      <c r="AR436" s="1" t="s">
        <v>5996</v>
      </c>
      <c r="AS436" s="1" t="s">
        <v>5996</v>
      </c>
      <c r="AT436" s="1" t="s">
        <v>329</v>
      </c>
      <c r="AU436" s="1">
        <v>54</v>
      </c>
      <c r="AV436" s="1">
        <v>0</v>
      </c>
      <c r="AW436" s="1" t="s">
        <v>5793</v>
      </c>
      <c r="AX436" s="1" t="s">
        <v>1807</v>
      </c>
      <c r="AY436" s="1">
        <v>5</v>
      </c>
      <c r="AZ436" s="1">
        <v>0</v>
      </c>
      <c r="BA436" s="1" t="s">
        <v>329</v>
      </c>
      <c r="BB436" s="1" t="s">
        <v>329</v>
      </c>
      <c r="BC436" s="1" t="s">
        <v>329</v>
      </c>
      <c r="BD436" s="1">
        <v>0</v>
      </c>
      <c r="BE436" s="1"/>
      <c r="BH436">
        <f>COUNTIF(Dropdowns!$I:$AF,C436)</f>
        <v>0</v>
      </c>
    </row>
    <row r="437" spans="1:60" x14ac:dyDescent="0.25">
      <c r="A437" s="1">
        <v>9048</v>
      </c>
      <c r="B437" s="1" t="s">
        <v>6015</v>
      </c>
      <c r="C437" s="241" t="s">
        <v>22</v>
      </c>
      <c r="D437" s="1" t="s">
        <v>6016</v>
      </c>
      <c r="E437" s="1"/>
      <c r="F437" s="1"/>
      <c r="G437" s="1" t="s">
        <v>6017</v>
      </c>
      <c r="H437" s="1" t="s">
        <v>6018</v>
      </c>
      <c r="I437" s="1" t="s">
        <v>6019</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6020</v>
      </c>
      <c r="AK437" s="1" t="s">
        <v>329</v>
      </c>
      <c r="AL437" s="1">
        <v>13</v>
      </c>
      <c r="AM437" s="1" t="s">
        <v>4791</v>
      </c>
      <c r="AN437" s="1" t="s">
        <v>4862</v>
      </c>
      <c r="AO437" s="1" t="s">
        <v>4863</v>
      </c>
      <c r="AP437" s="1">
        <v>0</v>
      </c>
      <c r="AQ437" s="1" t="s">
        <v>1131</v>
      </c>
      <c r="AR437" s="1" t="s">
        <v>1155</v>
      </c>
      <c r="AS437" s="1" t="s">
        <v>5849</v>
      </c>
      <c r="AT437" s="1" t="s">
        <v>329</v>
      </c>
      <c r="AU437" s="1">
        <v>55</v>
      </c>
      <c r="AV437" s="1">
        <v>0</v>
      </c>
      <c r="AW437" s="1" t="s">
        <v>5793</v>
      </c>
      <c r="AX437" s="1" t="s">
        <v>1807</v>
      </c>
      <c r="AY437" s="1">
        <v>5</v>
      </c>
      <c r="AZ437" s="1">
        <v>0</v>
      </c>
      <c r="BA437" s="1" t="s">
        <v>329</v>
      </c>
      <c r="BB437" s="1" t="s">
        <v>329</v>
      </c>
      <c r="BC437" s="1" t="s">
        <v>329</v>
      </c>
      <c r="BD437" s="1">
        <v>0</v>
      </c>
      <c r="BE437" s="1"/>
      <c r="BH437">
        <f>COUNTIF(Dropdowns!$I:$AF,C437)</f>
        <v>1</v>
      </c>
    </row>
    <row r="438" spans="1:60" x14ac:dyDescent="0.25">
      <c r="A438" s="1">
        <v>9049</v>
      </c>
      <c r="B438" s="1" t="s">
        <v>6021</v>
      </c>
      <c r="C438" s="241" t="s">
        <v>6022</v>
      </c>
      <c r="D438" s="1" t="s">
        <v>6022</v>
      </c>
      <c r="E438" s="1"/>
      <c r="F438" s="1"/>
      <c r="G438" s="1" t="s">
        <v>6023</v>
      </c>
      <c r="H438" s="1" t="s">
        <v>6024</v>
      </c>
      <c r="I438" s="1" t="s">
        <v>6025</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6026</v>
      </c>
      <c r="AK438" s="1" t="s">
        <v>329</v>
      </c>
      <c r="AL438" s="1">
        <v>13</v>
      </c>
      <c r="AM438" s="1" t="s">
        <v>4720</v>
      </c>
      <c r="AN438" s="1" t="s">
        <v>4748</v>
      </c>
      <c r="AO438" s="1" t="s">
        <v>4800</v>
      </c>
      <c r="AP438" s="1">
        <v>0</v>
      </c>
      <c r="AQ438" s="1" t="s">
        <v>1155</v>
      </c>
      <c r="AR438" s="1" t="s">
        <v>5996</v>
      </c>
      <c r="AS438" s="1" t="s">
        <v>5996</v>
      </c>
      <c r="AT438" s="1" t="s">
        <v>329</v>
      </c>
      <c r="AU438" s="1">
        <v>54</v>
      </c>
      <c r="AV438" s="1">
        <v>0</v>
      </c>
      <c r="AW438" s="1" t="s">
        <v>5793</v>
      </c>
      <c r="AX438" s="1" t="s">
        <v>1807</v>
      </c>
      <c r="AY438" s="1">
        <v>5</v>
      </c>
      <c r="AZ438" s="1">
        <v>0</v>
      </c>
      <c r="BA438" s="1" t="s">
        <v>329</v>
      </c>
      <c r="BB438" s="1" t="s">
        <v>329</v>
      </c>
      <c r="BC438" s="1" t="s">
        <v>329</v>
      </c>
      <c r="BD438" s="1">
        <v>0</v>
      </c>
      <c r="BE438" s="1"/>
      <c r="BH438">
        <f>COUNTIF(Dropdowns!$I:$AF,C438)</f>
        <v>0</v>
      </c>
    </row>
    <row r="439" spans="1:60" x14ac:dyDescent="0.25">
      <c r="A439" s="1">
        <v>9050</v>
      </c>
      <c r="B439" s="1" t="s">
        <v>6027</v>
      </c>
      <c r="C439" s="241" t="s">
        <v>6028</v>
      </c>
      <c r="D439" s="1" t="s">
        <v>6028</v>
      </c>
      <c r="E439" s="1"/>
      <c r="F439" s="1"/>
      <c r="G439" s="1" t="s">
        <v>6029</v>
      </c>
      <c r="H439" s="1" t="s">
        <v>6030</v>
      </c>
      <c r="I439" s="1" t="s">
        <v>6031</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4720</v>
      </c>
      <c r="AN439" s="1" t="s">
        <v>4748</v>
      </c>
      <c r="AO439" s="1" t="s">
        <v>4800</v>
      </c>
      <c r="AP439" s="1">
        <v>0</v>
      </c>
      <c r="AQ439" s="1" t="s">
        <v>1155</v>
      </c>
      <c r="AR439" s="1" t="s">
        <v>5996</v>
      </c>
      <c r="AS439" s="1" t="s">
        <v>5996</v>
      </c>
      <c r="AT439" s="1" t="s">
        <v>329</v>
      </c>
      <c r="AU439" s="1">
        <v>54</v>
      </c>
      <c r="AV439" s="1">
        <v>0</v>
      </c>
      <c r="AW439" s="1" t="s">
        <v>5793</v>
      </c>
      <c r="AX439" s="1" t="s">
        <v>1807</v>
      </c>
      <c r="AY439" s="1">
        <v>5</v>
      </c>
      <c r="AZ439" s="1">
        <v>0</v>
      </c>
      <c r="BA439" s="1" t="s">
        <v>329</v>
      </c>
      <c r="BB439" s="1" t="s">
        <v>329</v>
      </c>
      <c r="BC439" s="1" t="s">
        <v>329</v>
      </c>
      <c r="BD439" s="1">
        <v>0</v>
      </c>
      <c r="BE439" s="1"/>
      <c r="BH439">
        <f>COUNTIF(Dropdowns!$I:$AF,C439)</f>
        <v>0</v>
      </c>
    </row>
    <row r="440" spans="1:60" x14ac:dyDescent="0.25">
      <c r="A440" s="1">
        <v>9051</v>
      </c>
      <c r="B440" s="1" t="s">
        <v>6032</v>
      </c>
      <c r="C440" s="241" t="s">
        <v>6033</v>
      </c>
      <c r="D440" s="1" t="s">
        <v>6033</v>
      </c>
      <c r="E440" s="1"/>
      <c r="F440" s="1"/>
      <c r="G440" s="1" t="s">
        <v>6034</v>
      </c>
      <c r="H440" s="1" t="s">
        <v>6035</v>
      </c>
      <c r="I440" s="1" t="s">
        <v>6036</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4720</v>
      </c>
      <c r="AN440" s="1" t="s">
        <v>4748</v>
      </c>
      <c r="AO440" s="1" t="s">
        <v>4800</v>
      </c>
      <c r="AP440" s="1">
        <v>0</v>
      </c>
      <c r="AQ440" s="1" t="s">
        <v>1155</v>
      </c>
      <c r="AR440" s="1" t="s">
        <v>5996</v>
      </c>
      <c r="AS440" s="1" t="s">
        <v>5996</v>
      </c>
      <c r="AT440" s="1" t="s">
        <v>329</v>
      </c>
      <c r="AU440" s="1">
        <v>54</v>
      </c>
      <c r="AV440" s="1">
        <v>0</v>
      </c>
      <c r="AW440" s="1" t="s">
        <v>5793</v>
      </c>
      <c r="AX440" s="1" t="s">
        <v>1807</v>
      </c>
      <c r="AY440" s="1">
        <v>5</v>
      </c>
      <c r="AZ440" s="1">
        <v>0</v>
      </c>
      <c r="BA440" s="1" t="s">
        <v>329</v>
      </c>
      <c r="BB440" s="1" t="s">
        <v>329</v>
      </c>
      <c r="BC440" s="1" t="s">
        <v>329</v>
      </c>
      <c r="BD440" s="1">
        <v>0</v>
      </c>
      <c r="BE440" s="1"/>
      <c r="BH440">
        <f>COUNTIF(Dropdowns!$I:$AF,C440)</f>
        <v>0</v>
      </c>
    </row>
    <row r="441" spans="1:60" x14ac:dyDescent="0.25">
      <c r="A441" s="1">
        <v>9052</v>
      </c>
      <c r="B441" s="1" t="s">
        <v>6037</v>
      </c>
      <c r="C441" s="241" t="s">
        <v>6038</v>
      </c>
      <c r="D441" s="1" t="s">
        <v>6038</v>
      </c>
      <c r="E441" s="1"/>
      <c r="F441" s="1"/>
      <c r="G441" s="1" t="s">
        <v>6039</v>
      </c>
      <c r="H441" s="1" t="s">
        <v>6040</v>
      </c>
      <c r="I441" s="1" t="s">
        <v>6041</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4720</v>
      </c>
      <c r="AN441" s="1" t="s">
        <v>4748</v>
      </c>
      <c r="AO441" s="1" t="s">
        <v>4800</v>
      </c>
      <c r="AP441" s="1">
        <v>0</v>
      </c>
      <c r="AQ441" s="1" t="s">
        <v>1155</v>
      </c>
      <c r="AR441" s="1" t="s">
        <v>5996</v>
      </c>
      <c r="AS441" s="1" t="s">
        <v>5996</v>
      </c>
      <c r="AT441" s="1" t="s">
        <v>329</v>
      </c>
      <c r="AU441" s="1">
        <v>54</v>
      </c>
      <c r="AV441" s="1">
        <v>0</v>
      </c>
      <c r="AW441" s="1" t="s">
        <v>5793</v>
      </c>
      <c r="AX441" s="1" t="s">
        <v>1807</v>
      </c>
      <c r="AY441" s="1">
        <v>5</v>
      </c>
      <c r="AZ441" s="1">
        <v>0</v>
      </c>
      <c r="BA441" s="1" t="s">
        <v>329</v>
      </c>
      <c r="BB441" s="1" t="s">
        <v>329</v>
      </c>
      <c r="BC441" s="1" t="s">
        <v>329</v>
      </c>
      <c r="BD441" s="1">
        <v>0</v>
      </c>
      <c r="BE441" s="1"/>
      <c r="BH441">
        <f>COUNTIF(Dropdowns!$I:$AF,C441)</f>
        <v>0</v>
      </c>
    </row>
    <row r="442" spans="1:60" x14ac:dyDescent="0.25">
      <c r="A442" s="1">
        <v>9053</v>
      </c>
      <c r="B442" s="1" t="s">
        <v>6042</v>
      </c>
      <c r="C442" s="241" t="s">
        <v>22</v>
      </c>
      <c r="D442" s="1" t="s">
        <v>6016</v>
      </c>
      <c r="E442" s="1"/>
      <c r="F442" s="1"/>
      <c r="G442" s="1" t="s">
        <v>6043</v>
      </c>
      <c r="H442" s="1" t="s">
        <v>6044</v>
      </c>
      <c r="I442" s="1" t="s">
        <v>6045</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6046</v>
      </c>
      <c r="AK442" s="1" t="s">
        <v>1404</v>
      </c>
      <c r="AL442" s="1">
        <v>13</v>
      </c>
      <c r="AM442" s="1" t="s">
        <v>4791</v>
      </c>
      <c r="AN442" s="1" t="s">
        <v>4862</v>
      </c>
      <c r="AO442" s="1" t="s">
        <v>5429</v>
      </c>
      <c r="AP442" s="1">
        <v>0</v>
      </c>
      <c r="AQ442" s="1" t="s">
        <v>1131</v>
      </c>
      <c r="AR442" s="1" t="s">
        <v>1155</v>
      </c>
      <c r="AS442" s="1" t="s">
        <v>5849</v>
      </c>
      <c r="AT442" s="1" t="s">
        <v>329</v>
      </c>
      <c r="AU442" s="1">
        <v>55</v>
      </c>
      <c r="AV442" s="1">
        <v>0</v>
      </c>
      <c r="AW442" s="1" t="s">
        <v>5793</v>
      </c>
      <c r="AX442" s="1" t="s">
        <v>1807</v>
      </c>
      <c r="AY442" s="1">
        <v>5</v>
      </c>
      <c r="AZ442" s="1">
        <v>0</v>
      </c>
      <c r="BA442" s="1" t="s">
        <v>329</v>
      </c>
      <c r="BB442" s="1" t="s">
        <v>329</v>
      </c>
      <c r="BC442" s="1" t="s">
        <v>329</v>
      </c>
      <c r="BD442" s="1">
        <v>0</v>
      </c>
      <c r="BE442" s="1"/>
      <c r="BH442">
        <f>COUNTIF(Dropdowns!$I:$AF,C442)</f>
        <v>1</v>
      </c>
    </row>
    <row r="443" spans="1:60" x14ac:dyDescent="0.25">
      <c r="A443" s="1">
        <v>9054</v>
      </c>
      <c r="B443" s="1" t="s">
        <v>6047</v>
      </c>
      <c r="C443" s="241" t="s">
        <v>6048</v>
      </c>
      <c r="D443" s="1" t="s">
        <v>6048</v>
      </c>
      <c r="E443" s="1"/>
      <c r="F443" s="1"/>
      <c r="G443" s="1" t="s">
        <v>6049</v>
      </c>
      <c r="H443" s="1" t="s">
        <v>6050</v>
      </c>
      <c r="I443" s="1" t="s">
        <v>6051</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6026</v>
      </c>
      <c r="AK443" s="1" t="s">
        <v>329</v>
      </c>
      <c r="AL443" s="1">
        <v>13</v>
      </c>
      <c r="AM443" s="1" t="s">
        <v>4720</v>
      </c>
      <c r="AN443" s="1" t="s">
        <v>4748</v>
      </c>
      <c r="AO443" s="1" t="s">
        <v>4800</v>
      </c>
      <c r="AP443" s="1">
        <v>0</v>
      </c>
      <c r="AQ443" s="1" t="s">
        <v>1155</v>
      </c>
      <c r="AR443" s="1" t="s">
        <v>5996</v>
      </c>
      <c r="AS443" s="1" t="s">
        <v>5996</v>
      </c>
      <c r="AT443" s="1" t="s">
        <v>329</v>
      </c>
      <c r="AU443" s="1">
        <v>54</v>
      </c>
      <c r="AV443" s="1">
        <v>0</v>
      </c>
      <c r="AW443" s="1" t="s">
        <v>5793</v>
      </c>
      <c r="AX443" s="1" t="s">
        <v>1807</v>
      </c>
      <c r="AY443" s="1">
        <v>5</v>
      </c>
      <c r="AZ443" s="1">
        <v>0</v>
      </c>
      <c r="BA443" s="1" t="s">
        <v>329</v>
      </c>
      <c r="BB443" s="1" t="s">
        <v>329</v>
      </c>
      <c r="BC443" s="1" t="s">
        <v>329</v>
      </c>
      <c r="BD443" s="1">
        <v>0</v>
      </c>
      <c r="BE443" s="1"/>
      <c r="BH443">
        <f>COUNTIF(Dropdowns!$I:$AF,C443)</f>
        <v>0</v>
      </c>
    </row>
    <row r="444" spans="1:60" x14ac:dyDescent="0.25">
      <c r="A444" s="1">
        <v>9055</v>
      </c>
      <c r="B444" s="1" t="s">
        <v>6052</v>
      </c>
      <c r="C444" s="241" t="s">
        <v>6053</v>
      </c>
      <c r="D444" s="1" t="s">
        <v>6053</v>
      </c>
      <c r="E444" s="1"/>
      <c r="F444" s="1"/>
      <c r="G444" s="1" t="s">
        <v>6054</v>
      </c>
      <c r="H444" s="1" t="s">
        <v>6055</v>
      </c>
      <c r="I444" s="1" t="s">
        <v>6056</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1807</v>
      </c>
      <c r="AN444" s="1" t="s">
        <v>4748</v>
      </c>
      <c r="AO444" s="1" t="s">
        <v>4745</v>
      </c>
      <c r="AP444" s="1">
        <v>0</v>
      </c>
      <c r="AQ444" s="1" t="s">
        <v>5855</v>
      </c>
      <c r="AR444" s="1" t="s">
        <v>1120</v>
      </c>
      <c r="AS444" s="1" t="s">
        <v>1130</v>
      </c>
      <c r="AT444" s="1" t="s">
        <v>329</v>
      </c>
      <c r="AU444" s="1">
        <v>6</v>
      </c>
      <c r="AV444" s="1">
        <v>0</v>
      </c>
      <c r="AW444" s="1" t="s">
        <v>5793</v>
      </c>
      <c r="AX444" s="1" t="s">
        <v>1807</v>
      </c>
      <c r="AY444" s="1">
        <v>3</v>
      </c>
      <c r="AZ444" s="1">
        <v>0</v>
      </c>
      <c r="BA444" s="1" t="s">
        <v>329</v>
      </c>
      <c r="BB444" s="1" t="s">
        <v>329</v>
      </c>
      <c r="BC444" s="1" t="s">
        <v>329</v>
      </c>
      <c r="BD444" s="1">
        <v>0</v>
      </c>
      <c r="BE444" s="1"/>
      <c r="BH444">
        <f>COUNTIF(Dropdowns!$I:$AF,C444)</f>
        <v>0</v>
      </c>
    </row>
    <row r="445" spans="1:60" x14ac:dyDescent="0.25">
      <c r="A445" s="1">
        <v>9056</v>
      </c>
      <c r="B445" s="1" t="s">
        <v>6057</v>
      </c>
      <c r="C445" s="241" t="s">
        <v>249</v>
      </c>
      <c r="D445" s="1" t="s">
        <v>249</v>
      </c>
      <c r="E445" s="1"/>
      <c r="F445" s="1"/>
      <c r="G445" s="1" t="s">
        <v>6058</v>
      </c>
      <c r="H445" s="1" t="s">
        <v>6059</v>
      </c>
      <c r="I445" s="1" t="s">
        <v>6060</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6061</v>
      </c>
      <c r="AK445" s="1" t="s">
        <v>329</v>
      </c>
      <c r="AL445" s="1">
        <v>17</v>
      </c>
      <c r="AM445" s="1" t="s">
        <v>4763</v>
      </c>
      <c r="AN445" s="1" t="s">
        <v>5405</v>
      </c>
      <c r="AO445" s="1" t="s">
        <v>4846</v>
      </c>
      <c r="AP445" s="1">
        <v>0</v>
      </c>
      <c r="AQ445" s="1" t="s">
        <v>1141</v>
      </c>
      <c r="AR445" s="1" t="s">
        <v>1142</v>
      </c>
      <c r="AS445" s="1" t="s">
        <v>6062</v>
      </c>
      <c r="AT445" s="1" t="s">
        <v>329</v>
      </c>
      <c r="AU445" s="1">
        <v>1005</v>
      </c>
      <c r="AV445" s="1">
        <v>1</v>
      </c>
      <c r="AW445" s="1" t="s">
        <v>5793</v>
      </c>
      <c r="AX445" s="1" t="s">
        <v>1373</v>
      </c>
      <c r="AY445" s="1">
        <v>7</v>
      </c>
      <c r="AZ445" s="1">
        <v>0</v>
      </c>
      <c r="BA445" s="1" t="s">
        <v>329</v>
      </c>
      <c r="BB445" s="1" t="s">
        <v>329</v>
      </c>
      <c r="BC445" s="1" t="s">
        <v>5387</v>
      </c>
      <c r="BD445" s="1">
        <v>0</v>
      </c>
      <c r="BE445" s="1"/>
      <c r="BH445">
        <f>COUNTIF(Dropdowns!$I:$AF,C445)</f>
        <v>1</v>
      </c>
    </row>
    <row r="446" spans="1:60" x14ac:dyDescent="0.25">
      <c r="A446" s="1">
        <v>9057</v>
      </c>
      <c r="B446" s="1" t="s">
        <v>6063</v>
      </c>
      <c r="C446" s="241" t="s">
        <v>249</v>
      </c>
      <c r="D446" s="1" t="s">
        <v>249</v>
      </c>
      <c r="E446" s="1"/>
      <c r="F446" s="1"/>
      <c r="G446" s="1" t="s">
        <v>6064</v>
      </c>
      <c r="H446" s="1" t="s">
        <v>6065</v>
      </c>
      <c r="I446" s="1" t="s">
        <v>6066</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6067</v>
      </c>
      <c r="AK446" s="1" t="s">
        <v>329</v>
      </c>
      <c r="AL446" s="1">
        <v>17</v>
      </c>
      <c r="AM446" s="1" t="s">
        <v>4763</v>
      </c>
      <c r="AN446" s="1" t="s">
        <v>5405</v>
      </c>
      <c r="AO446" s="1" t="s">
        <v>4846</v>
      </c>
      <c r="AP446" s="1">
        <v>0</v>
      </c>
      <c r="AQ446" s="1" t="s">
        <v>1141</v>
      </c>
      <c r="AR446" s="1" t="s">
        <v>1142</v>
      </c>
      <c r="AS446" s="1" t="s">
        <v>6062</v>
      </c>
      <c r="AT446" s="1" t="s">
        <v>329</v>
      </c>
      <c r="AU446" s="1">
        <v>1005</v>
      </c>
      <c r="AV446" s="1">
        <v>1</v>
      </c>
      <c r="AW446" s="1" t="s">
        <v>5793</v>
      </c>
      <c r="AX446" s="1" t="s">
        <v>1373</v>
      </c>
      <c r="AY446" s="1">
        <v>7</v>
      </c>
      <c r="AZ446" s="1">
        <v>0</v>
      </c>
      <c r="BA446" s="1" t="s">
        <v>329</v>
      </c>
      <c r="BB446" s="1" t="s">
        <v>329</v>
      </c>
      <c r="BC446" s="1" t="s">
        <v>5387</v>
      </c>
      <c r="BD446" s="1">
        <v>0</v>
      </c>
      <c r="BE446" s="1"/>
      <c r="BH446">
        <f>COUNTIF(Dropdowns!$I:$AF,C446)</f>
        <v>1</v>
      </c>
    </row>
    <row r="447" spans="1:60" x14ac:dyDescent="0.25">
      <c r="A447" s="1">
        <v>9058</v>
      </c>
      <c r="B447" s="1" t="s">
        <v>6068</v>
      </c>
      <c r="C447" s="241" t="s">
        <v>5807</v>
      </c>
      <c r="D447" s="1" t="s">
        <v>5808</v>
      </c>
      <c r="E447" s="1"/>
      <c r="F447" s="1"/>
      <c r="G447" s="1" t="s">
        <v>6069</v>
      </c>
      <c r="H447" s="1" t="s">
        <v>6070</v>
      </c>
      <c r="I447" s="1" t="s">
        <v>6071</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5812</v>
      </c>
      <c r="AK447" s="1" t="s">
        <v>329</v>
      </c>
      <c r="AL447" s="1">
        <v>19</v>
      </c>
      <c r="AM447" s="1" t="s">
        <v>4763</v>
      </c>
      <c r="AN447" s="1" t="s">
        <v>329</v>
      </c>
      <c r="AO447" s="1" t="s">
        <v>329</v>
      </c>
      <c r="AP447" s="1">
        <v>0</v>
      </c>
      <c r="AQ447" s="1" t="s">
        <v>1141</v>
      </c>
      <c r="AR447" s="1" t="s">
        <v>5791</v>
      </c>
      <c r="AS447" s="1" t="s">
        <v>5792</v>
      </c>
      <c r="AT447" s="1" t="s">
        <v>329</v>
      </c>
      <c r="AU447" s="1">
        <v>10</v>
      </c>
      <c r="AV447" s="1">
        <v>1</v>
      </c>
      <c r="AW447" s="1" t="s">
        <v>5793</v>
      </c>
      <c r="AX447" s="1" t="s">
        <v>1807</v>
      </c>
      <c r="AY447" s="1">
        <v>5</v>
      </c>
      <c r="AZ447" s="1">
        <v>0</v>
      </c>
      <c r="BA447" s="1" t="s">
        <v>329</v>
      </c>
      <c r="BB447" s="1" t="s">
        <v>329</v>
      </c>
      <c r="BC447" s="1" t="s">
        <v>329</v>
      </c>
      <c r="BD447" s="1">
        <v>0</v>
      </c>
      <c r="BE447" s="1"/>
      <c r="BH447">
        <f>COUNTIF(Dropdowns!$I:$AF,C447)</f>
        <v>0</v>
      </c>
    </row>
    <row r="448" spans="1:60" x14ac:dyDescent="0.25">
      <c r="A448" s="1">
        <v>9059</v>
      </c>
      <c r="B448" s="1" t="s">
        <v>6072</v>
      </c>
      <c r="C448" s="241" t="s">
        <v>5807</v>
      </c>
      <c r="D448" s="1" t="s">
        <v>5808</v>
      </c>
      <c r="E448" s="1"/>
      <c r="F448" s="1"/>
      <c r="G448" s="1" t="s">
        <v>6073</v>
      </c>
      <c r="H448" s="1" t="s">
        <v>6074</v>
      </c>
      <c r="I448" s="1" t="s">
        <v>6075</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5812</v>
      </c>
      <c r="AK448" s="1" t="s">
        <v>329</v>
      </c>
      <c r="AL448" s="1">
        <v>19</v>
      </c>
      <c r="AM448" s="1" t="s">
        <v>4763</v>
      </c>
      <c r="AN448" s="1" t="s">
        <v>329</v>
      </c>
      <c r="AO448" s="1" t="s">
        <v>329</v>
      </c>
      <c r="AP448" s="1">
        <v>0</v>
      </c>
      <c r="AQ448" s="1" t="s">
        <v>1141</v>
      </c>
      <c r="AR448" s="1" t="s">
        <v>5791</v>
      </c>
      <c r="AS448" s="1" t="s">
        <v>5792</v>
      </c>
      <c r="AT448" s="1" t="s">
        <v>329</v>
      </c>
      <c r="AU448" s="1">
        <v>10</v>
      </c>
      <c r="AV448" s="1">
        <v>1</v>
      </c>
      <c r="AW448" s="1" t="s">
        <v>5793</v>
      </c>
      <c r="AX448" s="1" t="s">
        <v>1807</v>
      </c>
      <c r="AY448" s="1">
        <v>5</v>
      </c>
      <c r="AZ448" s="1">
        <v>0</v>
      </c>
      <c r="BA448" s="1" t="s">
        <v>329</v>
      </c>
      <c r="BB448" s="1" t="s">
        <v>329</v>
      </c>
      <c r="BC448" s="1" t="s">
        <v>329</v>
      </c>
      <c r="BD448" s="1">
        <v>0</v>
      </c>
      <c r="BE448" s="1"/>
      <c r="BH448">
        <f>COUNTIF(Dropdowns!$I:$AF,C448)</f>
        <v>0</v>
      </c>
    </row>
    <row r="449" spans="1:60" x14ac:dyDescent="0.25">
      <c r="A449" s="1">
        <v>9060</v>
      </c>
      <c r="B449" s="1" t="s">
        <v>6076</v>
      </c>
      <c r="C449" s="241" t="s">
        <v>6077</v>
      </c>
      <c r="D449" s="1" t="s">
        <v>6077</v>
      </c>
      <c r="E449" s="1"/>
      <c r="F449" s="1"/>
      <c r="G449" s="1" t="s">
        <v>6078</v>
      </c>
      <c r="H449" s="1" t="s">
        <v>6079</v>
      </c>
      <c r="I449" s="1" t="s">
        <v>6080</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6081</v>
      </c>
      <c r="AK449" s="1" t="s">
        <v>329</v>
      </c>
      <c r="AL449" s="1">
        <v>13</v>
      </c>
      <c r="AM449" s="1" t="s">
        <v>4791</v>
      </c>
      <c r="AN449" s="1" t="s">
        <v>4862</v>
      </c>
      <c r="AO449" s="1" t="s">
        <v>5429</v>
      </c>
      <c r="AP449" s="1">
        <v>0</v>
      </c>
      <c r="AQ449" s="1" t="s">
        <v>1131</v>
      </c>
      <c r="AR449" s="1" t="s">
        <v>1155</v>
      </c>
      <c r="AS449" s="1" t="s">
        <v>5849</v>
      </c>
      <c r="AT449" s="1" t="s">
        <v>329</v>
      </c>
      <c r="AU449" s="1">
        <v>55</v>
      </c>
      <c r="AV449" s="1">
        <v>0</v>
      </c>
      <c r="AW449" s="1" t="s">
        <v>5793</v>
      </c>
      <c r="AX449" s="1" t="s">
        <v>1807</v>
      </c>
      <c r="AY449" s="1">
        <v>5</v>
      </c>
      <c r="AZ449" s="1">
        <v>0</v>
      </c>
      <c r="BA449" s="1" t="s">
        <v>329</v>
      </c>
      <c r="BB449" s="1" t="s">
        <v>329</v>
      </c>
      <c r="BC449" s="1" t="s">
        <v>329</v>
      </c>
      <c r="BD449" s="1">
        <v>0</v>
      </c>
      <c r="BE449" s="1"/>
      <c r="BH449">
        <f>COUNTIF(Dropdowns!$I:$AF,C449)</f>
        <v>0</v>
      </c>
    </row>
    <row r="450" spans="1:60" x14ac:dyDescent="0.25">
      <c r="A450" s="1">
        <v>9061</v>
      </c>
      <c r="B450" s="1" t="s">
        <v>6082</v>
      </c>
      <c r="C450" s="241" t="s">
        <v>6083</v>
      </c>
      <c r="D450" s="1" t="s">
        <v>6083</v>
      </c>
      <c r="E450" s="1"/>
      <c r="F450" s="1"/>
      <c r="G450" s="1" t="s">
        <v>6084</v>
      </c>
      <c r="H450" s="1" t="s">
        <v>6085</v>
      </c>
      <c r="I450" s="1" t="s">
        <v>6086</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1807</v>
      </c>
      <c r="AN450" s="1" t="s">
        <v>4741</v>
      </c>
      <c r="AO450" s="1" t="s">
        <v>4742</v>
      </c>
      <c r="AP450" s="1">
        <v>0</v>
      </c>
      <c r="AQ450" s="1" t="s">
        <v>1141</v>
      </c>
      <c r="AR450" s="1" t="s">
        <v>5791</v>
      </c>
      <c r="AS450" s="1" t="s">
        <v>5792</v>
      </c>
      <c r="AT450" s="1" t="s">
        <v>329</v>
      </c>
      <c r="AU450" s="1">
        <v>1</v>
      </c>
      <c r="AV450" s="1">
        <v>0</v>
      </c>
      <c r="AW450" s="1" t="s">
        <v>5793</v>
      </c>
      <c r="AX450" s="1" t="s">
        <v>1807</v>
      </c>
      <c r="AY450" s="1">
        <v>4</v>
      </c>
      <c r="AZ450" s="1">
        <v>0</v>
      </c>
      <c r="BA450" s="1" t="s">
        <v>329</v>
      </c>
      <c r="BB450" s="1" t="s">
        <v>329</v>
      </c>
      <c r="BC450" s="1" t="s">
        <v>329</v>
      </c>
      <c r="BD450" s="1">
        <v>0</v>
      </c>
      <c r="BE450" s="1"/>
      <c r="BH450">
        <f>COUNTIF(Dropdowns!$I:$AF,C450)</f>
        <v>0</v>
      </c>
    </row>
    <row r="451" spans="1:60" x14ac:dyDescent="0.25">
      <c r="A451" s="1">
        <v>9062</v>
      </c>
      <c r="B451" s="1" t="s">
        <v>6087</v>
      </c>
      <c r="C451" s="241" t="s">
        <v>6088</v>
      </c>
      <c r="D451" s="1" t="s">
        <v>6088</v>
      </c>
      <c r="E451" s="1"/>
      <c r="F451" s="1"/>
      <c r="G451" s="1" t="s">
        <v>6089</v>
      </c>
      <c r="H451" s="1" t="s">
        <v>6090</v>
      </c>
      <c r="I451" s="1" t="s">
        <v>6091</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1807</v>
      </c>
      <c r="AN451" s="1" t="s">
        <v>4741</v>
      </c>
      <c r="AO451" s="1" t="s">
        <v>4742</v>
      </c>
      <c r="AP451" s="1">
        <v>0</v>
      </c>
      <c r="AQ451" s="1" t="s">
        <v>1141</v>
      </c>
      <c r="AR451" s="1" t="s">
        <v>5791</v>
      </c>
      <c r="AS451" s="1" t="s">
        <v>5792</v>
      </c>
      <c r="AT451" s="1" t="s">
        <v>329</v>
      </c>
      <c r="AU451" s="1">
        <v>1</v>
      </c>
      <c r="AV451" s="1">
        <v>0</v>
      </c>
      <c r="AW451" s="1" t="s">
        <v>5793</v>
      </c>
      <c r="AX451" s="1" t="s">
        <v>1807</v>
      </c>
      <c r="AY451" s="1">
        <v>4</v>
      </c>
      <c r="AZ451" s="1">
        <v>0</v>
      </c>
      <c r="BA451" s="1" t="s">
        <v>329</v>
      </c>
      <c r="BB451" s="1" t="s">
        <v>329</v>
      </c>
      <c r="BC451" s="1" t="s">
        <v>329</v>
      </c>
      <c r="BD451" s="1">
        <v>0</v>
      </c>
      <c r="BE451" s="1"/>
      <c r="BH451">
        <f>COUNTIF(Dropdowns!$I:$AF,C451)</f>
        <v>0</v>
      </c>
    </row>
    <row r="452" spans="1:60" x14ac:dyDescent="0.25">
      <c r="A452" s="1">
        <v>9063</v>
      </c>
      <c r="B452" s="1" t="s">
        <v>6092</v>
      </c>
      <c r="C452" s="241" t="s">
        <v>6093</v>
      </c>
      <c r="D452" s="1" t="s">
        <v>6093</v>
      </c>
      <c r="E452" s="1"/>
      <c r="F452" s="1"/>
      <c r="G452" s="1" t="s">
        <v>6094</v>
      </c>
      <c r="H452" s="1" t="s">
        <v>6095</v>
      </c>
      <c r="I452" s="1" t="s">
        <v>6096</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6097</v>
      </c>
      <c r="AK452" s="1" t="s">
        <v>329</v>
      </c>
      <c r="AL452" s="1">
        <v>13</v>
      </c>
      <c r="AM452" s="1" t="s">
        <v>4791</v>
      </c>
      <c r="AN452" s="1" t="s">
        <v>4862</v>
      </c>
      <c r="AO452" s="1" t="s">
        <v>5429</v>
      </c>
      <c r="AP452" s="1">
        <v>0</v>
      </c>
      <c r="AQ452" s="1" t="s">
        <v>1131</v>
      </c>
      <c r="AR452" s="1" t="s">
        <v>1155</v>
      </c>
      <c r="AS452" s="1" t="s">
        <v>5849</v>
      </c>
      <c r="AT452" s="1" t="s">
        <v>329</v>
      </c>
      <c r="AU452" s="1">
        <v>55</v>
      </c>
      <c r="AV452" s="1">
        <v>0</v>
      </c>
      <c r="AW452" s="1" t="s">
        <v>5793</v>
      </c>
      <c r="AX452" s="1" t="s">
        <v>1807</v>
      </c>
      <c r="AY452" s="1">
        <v>5</v>
      </c>
      <c r="AZ452" s="1">
        <v>0</v>
      </c>
      <c r="BA452" s="1" t="s">
        <v>329</v>
      </c>
      <c r="BB452" s="1" t="s">
        <v>329</v>
      </c>
      <c r="BC452" s="1" t="s">
        <v>329</v>
      </c>
      <c r="BD452" s="1">
        <v>0</v>
      </c>
      <c r="BE452" s="1"/>
      <c r="BH452">
        <f>COUNTIF(Dropdowns!$I:$AF,C452)</f>
        <v>0</v>
      </c>
    </row>
    <row r="453" spans="1:60" x14ac:dyDescent="0.25">
      <c r="A453" s="1">
        <v>9064</v>
      </c>
      <c r="B453" s="1" t="s">
        <v>6098</v>
      </c>
      <c r="C453" s="241" t="s">
        <v>223</v>
      </c>
      <c r="D453" s="1" t="s">
        <v>4201</v>
      </c>
      <c r="E453" s="1"/>
      <c r="F453" s="1"/>
      <c r="G453" s="1" t="s">
        <v>6099</v>
      </c>
      <c r="H453" s="1" t="s">
        <v>6100</v>
      </c>
      <c r="I453" s="1" t="s">
        <v>6101</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6102</v>
      </c>
      <c r="AK453" s="1" t="s">
        <v>329</v>
      </c>
      <c r="AL453" s="1">
        <v>13</v>
      </c>
      <c r="AM453" s="1" t="s">
        <v>4720</v>
      </c>
      <c r="AN453" s="1" t="s">
        <v>476</v>
      </c>
      <c r="AO453" s="1" t="s">
        <v>4888</v>
      </c>
      <c r="AP453" s="1">
        <v>0</v>
      </c>
      <c r="AQ453" s="1" t="s">
        <v>1131</v>
      </c>
      <c r="AR453" s="1" t="s">
        <v>1155</v>
      </c>
      <c r="AS453" s="1" t="s">
        <v>5849</v>
      </c>
      <c r="AT453" s="1" t="s">
        <v>329</v>
      </c>
      <c r="AU453" s="1">
        <v>65</v>
      </c>
      <c r="AV453" s="1">
        <v>0</v>
      </c>
      <c r="AW453" s="1" t="s">
        <v>5793</v>
      </c>
      <c r="AX453" s="1" t="s">
        <v>1807</v>
      </c>
      <c r="AY453" s="1">
        <v>5</v>
      </c>
      <c r="AZ453" s="1">
        <v>0</v>
      </c>
      <c r="BA453" s="1" t="s">
        <v>329</v>
      </c>
      <c r="BB453" s="1" t="s">
        <v>329</v>
      </c>
      <c r="BC453" s="1" t="s">
        <v>329</v>
      </c>
      <c r="BD453" s="1">
        <v>0</v>
      </c>
      <c r="BE453" s="1"/>
      <c r="BH453">
        <f>COUNTIF(Dropdowns!$I:$AF,C453)</f>
        <v>1</v>
      </c>
    </row>
    <row r="454" spans="1:60" x14ac:dyDescent="0.25">
      <c r="A454" s="1">
        <v>9065</v>
      </c>
      <c r="B454" s="1" t="s">
        <v>6103</v>
      </c>
      <c r="C454" s="241" t="s">
        <v>79</v>
      </c>
      <c r="D454" s="1" t="s">
        <v>4196</v>
      </c>
      <c r="E454" s="1"/>
      <c r="F454" s="1"/>
      <c r="G454" s="1" t="s">
        <v>6104</v>
      </c>
      <c r="H454" s="1" t="s">
        <v>6105</v>
      </c>
      <c r="I454" s="1" t="s">
        <v>6106</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6107</v>
      </c>
      <c r="AK454" s="1" t="s">
        <v>329</v>
      </c>
      <c r="AL454" s="1">
        <v>13</v>
      </c>
      <c r="AM454" s="1" t="s">
        <v>4791</v>
      </c>
      <c r="AN454" s="1" t="s">
        <v>4794</v>
      </c>
      <c r="AO454" s="1" t="s">
        <v>4803</v>
      </c>
      <c r="AP454" s="1">
        <v>0</v>
      </c>
      <c r="AQ454" s="1" t="s">
        <v>1130</v>
      </c>
      <c r="AR454" s="1" t="s">
        <v>1120</v>
      </c>
      <c r="AS454" s="1" t="s">
        <v>1131</v>
      </c>
      <c r="AT454" s="1" t="s">
        <v>329</v>
      </c>
      <c r="AU454" s="1">
        <v>20</v>
      </c>
      <c r="AV454" s="1">
        <v>0</v>
      </c>
      <c r="AW454" s="1" t="s">
        <v>5793</v>
      </c>
      <c r="AX454" s="1" t="s">
        <v>1807</v>
      </c>
      <c r="AY454" s="1">
        <v>5</v>
      </c>
      <c r="AZ454" s="1">
        <v>0</v>
      </c>
      <c r="BA454" s="1" t="s">
        <v>329</v>
      </c>
      <c r="BB454" s="1" t="s">
        <v>329</v>
      </c>
      <c r="BC454" s="1" t="s">
        <v>329</v>
      </c>
      <c r="BD454" s="1">
        <v>0</v>
      </c>
      <c r="BE454" s="1"/>
      <c r="BH454">
        <f>COUNTIF(Dropdowns!$I:$AF,C454)</f>
        <v>1</v>
      </c>
    </row>
    <row r="455" spans="1:60" x14ac:dyDescent="0.25">
      <c r="A455" s="1">
        <v>9066</v>
      </c>
      <c r="B455" s="1" t="s">
        <v>6108</v>
      </c>
      <c r="C455" s="241" t="s">
        <v>6109</v>
      </c>
      <c r="D455" s="1" t="s">
        <v>6109</v>
      </c>
      <c r="E455" s="1"/>
      <c r="F455" s="1"/>
      <c r="G455" s="1" t="s">
        <v>6110</v>
      </c>
      <c r="H455" s="1" t="s">
        <v>6111</v>
      </c>
      <c r="I455" s="1" t="s">
        <v>6112</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6102</v>
      </c>
      <c r="AK455" s="1" t="s">
        <v>329</v>
      </c>
      <c r="AL455" s="1">
        <v>13</v>
      </c>
      <c r="AM455" s="1" t="s">
        <v>4720</v>
      </c>
      <c r="AN455" s="1" t="s">
        <v>476</v>
      </c>
      <c r="AO455" s="1" t="s">
        <v>4888</v>
      </c>
      <c r="AP455" s="1">
        <v>0</v>
      </c>
      <c r="AQ455" s="1" t="s">
        <v>1131</v>
      </c>
      <c r="AR455" s="1" t="s">
        <v>1155</v>
      </c>
      <c r="AS455" s="1" t="s">
        <v>5849</v>
      </c>
      <c r="AT455" s="1" t="s">
        <v>329</v>
      </c>
      <c r="AU455" s="1">
        <v>65</v>
      </c>
      <c r="AV455" s="1">
        <v>0</v>
      </c>
      <c r="AW455" s="1" t="s">
        <v>5793</v>
      </c>
      <c r="AX455" s="1" t="s">
        <v>1807</v>
      </c>
      <c r="AY455" s="1">
        <v>5</v>
      </c>
      <c r="AZ455" s="1">
        <v>0</v>
      </c>
      <c r="BA455" s="1" t="s">
        <v>329</v>
      </c>
      <c r="BB455" s="1" t="s">
        <v>329</v>
      </c>
      <c r="BC455" s="1" t="s">
        <v>329</v>
      </c>
      <c r="BD455" s="1">
        <v>0</v>
      </c>
      <c r="BE455" s="1"/>
      <c r="BH455">
        <f>COUNTIF(Dropdowns!$I:$AF,C455)</f>
        <v>0</v>
      </c>
    </row>
    <row r="456" spans="1:60" x14ac:dyDescent="0.25">
      <c r="A456" s="1">
        <v>9067</v>
      </c>
      <c r="B456" s="1" t="s">
        <v>6113</v>
      </c>
      <c r="C456" s="241" t="s">
        <v>6114</v>
      </c>
      <c r="D456" s="1" t="s">
        <v>6114</v>
      </c>
      <c r="E456" s="1"/>
      <c r="F456" s="1"/>
      <c r="G456" s="1" t="s">
        <v>6115</v>
      </c>
      <c r="H456" s="1" t="s">
        <v>6116</v>
      </c>
      <c r="I456" s="1" t="s">
        <v>6117</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6107</v>
      </c>
      <c r="AK456" s="1" t="s">
        <v>329</v>
      </c>
      <c r="AL456" s="1">
        <v>13</v>
      </c>
      <c r="AM456" s="1" t="s">
        <v>4791</v>
      </c>
      <c r="AN456" s="1" t="s">
        <v>4794</v>
      </c>
      <c r="AO456" s="1" t="s">
        <v>4803</v>
      </c>
      <c r="AP456" s="1">
        <v>0</v>
      </c>
      <c r="AQ456" s="1" t="s">
        <v>1130</v>
      </c>
      <c r="AR456" s="1" t="s">
        <v>1120</v>
      </c>
      <c r="AS456" s="1" t="s">
        <v>1131</v>
      </c>
      <c r="AT456" s="1" t="s">
        <v>329</v>
      </c>
      <c r="AU456" s="1">
        <v>20</v>
      </c>
      <c r="AV456" s="1">
        <v>0</v>
      </c>
      <c r="AW456" s="1" t="s">
        <v>5793</v>
      </c>
      <c r="AX456" s="1" t="s">
        <v>1807</v>
      </c>
      <c r="AY456" s="1">
        <v>5</v>
      </c>
      <c r="AZ456" s="1">
        <v>0</v>
      </c>
      <c r="BA456" s="1" t="s">
        <v>329</v>
      </c>
      <c r="BB456" s="1" t="s">
        <v>329</v>
      </c>
      <c r="BC456" s="1" t="s">
        <v>329</v>
      </c>
      <c r="BD456" s="1">
        <v>0</v>
      </c>
      <c r="BE456" s="1"/>
      <c r="BH456">
        <f>COUNTIF(Dropdowns!$I:$AF,C456)</f>
        <v>0</v>
      </c>
    </row>
    <row r="457" spans="1:60" x14ac:dyDescent="0.25">
      <c r="A457" s="1">
        <v>9068</v>
      </c>
      <c r="B457" s="1" t="s">
        <v>6118</v>
      </c>
      <c r="C457" s="241" t="s">
        <v>6114</v>
      </c>
      <c r="D457" s="1" t="s">
        <v>6114</v>
      </c>
      <c r="E457" s="1"/>
      <c r="F457" s="1"/>
      <c r="G457" s="1" t="s">
        <v>6119</v>
      </c>
      <c r="H457" s="1" t="s">
        <v>6120</v>
      </c>
      <c r="I457" s="1" t="s">
        <v>6121</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6122</v>
      </c>
      <c r="AK457" s="1" t="s">
        <v>329</v>
      </c>
      <c r="AL457" s="1">
        <v>13</v>
      </c>
      <c r="AM457" s="1" t="s">
        <v>4791</v>
      </c>
      <c r="AN457" s="1" t="s">
        <v>4794</v>
      </c>
      <c r="AO457" s="1" t="s">
        <v>4803</v>
      </c>
      <c r="AP457" s="1">
        <v>0</v>
      </c>
      <c r="AQ457" s="1" t="s">
        <v>1130</v>
      </c>
      <c r="AR457" s="1" t="s">
        <v>1120</v>
      </c>
      <c r="AS457" s="1" t="s">
        <v>1131</v>
      </c>
      <c r="AT457" s="1" t="s">
        <v>329</v>
      </c>
      <c r="AU457" s="1">
        <v>20</v>
      </c>
      <c r="AV457" s="1">
        <v>0</v>
      </c>
      <c r="AW457" s="1" t="s">
        <v>5793</v>
      </c>
      <c r="AX457" s="1" t="s">
        <v>1807</v>
      </c>
      <c r="AY457" s="1">
        <v>5</v>
      </c>
      <c r="AZ457" s="1">
        <v>0</v>
      </c>
      <c r="BA457" s="1" t="s">
        <v>329</v>
      </c>
      <c r="BB457" s="1" t="s">
        <v>329</v>
      </c>
      <c r="BC457" s="1" t="s">
        <v>329</v>
      </c>
      <c r="BD457" s="1">
        <v>0</v>
      </c>
      <c r="BE457" s="1"/>
      <c r="BH457">
        <f>COUNTIF(Dropdowns!$I:$AF,C457)</f>
        <v>0</v>
      </c>
    </row>
    <row r="458" spans="1:60" x14ac:dyDescent="0.25">
      <c r="A458" s="1">
        <v>9069</v>
      </c>
      <c r="B458" s="1" t="s">
        <v>6123</v>
      </c>
      <c r="C458" s="241" t="s">
        <v>6124</v>
      </c>
      <c r="D458" s="1" t="s">
        <v>6124</v>
      </c>
      <c r="E458" s="1"/>
      <c r="F458" s="1"/>
      <c r="G458" s="1" t="s">
        <v>6125</v>
      </c>
      <c r="H458" s="1" t="s">
        <v>6126</v>
      </c>
      <c r="I458" s="1" t="s">
        <v>6127</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1807</v>
      </c>
      <c r="AN458" s="1" t="s">
        <v>4748</v>
      </c>
      <c r="AO458" s="1" t="s">
        <v>4745</v>
      </c>
      <c r="AP458" s="1">
        <v>0</v>
      </c>
      <c r="AQ458" s="1" t="s">
        <v>5855</v>
      </c>
      <c r="AR458" s="1" t="s">
        <v>1120</v>
      </c>
      <c r="AS458" s="1" t="s">
        <v>1130</v>
      </c>
      <c r="AT458" s="1" t="s">
        <v>329</v>
      </c>
      <c r="AU458" s="1">
        <v>6</v>
      </c>
      <c r="AV458" s="1">
        <v>0</v>
      </c>
      <c r="AW458" s="1" t="s">
        <v>5793</v>
      </c>
      <c r="AX458" s="1" t="s">
        <v>1807</v>
      </c>
      <c r="AY458" s="1">
        <v>5</v>
      </c>
      <c r="AZ458" s="1">
        <v>0</v>
      </c>
      <c r="BA458" s="1" t="s">
        <v>329</v>
      </c>
      <c r="BB458" s="1" t="s">
        <v>329</v>
      </c>
      <c r="BC458" s="1" t="s">
        <v>329</v>
      </c>
      <c r="BD458" s="1">
        <v>0</v>
      </c>
      <c r="BE458" s="1"/>
      <c r="BH458">
        <f>COUNTIF(Dropdowns!$I:$AF,C458)</f>
        <v>0</v>
      </c>
    </row>
    <row r="459" spans="1:60" x14ac:dyDescent="0.25">
      <c r="A459" s="1">
        <v>9070</v>
      </c>
      <c r="B459" s="1" t="s">
        <v>6128</v>
      </c>
      <c r="C459" s="241" t="s">
        <v>5783</v>
      </c>
      <c r="D459" s="1" t="s">
        <v>4206</v>
      </c>
      <c r="E459" s="1"/>
      <c r="F459" s="1"/>
      <c r="G459" s="1" t="s">
        <v>6129</v>
      </c>
      <c r="H459" s="1" t="s">
        <v>6130</v>
      </c>
      <c r="I459" s="1" t="s">
        <v>6131</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6132</v>
      </c>
      <c r="AK459" s="1" t="s">
        <v>329</v>
      </c>
      <c r="AL459" s="1">
        <v>13</v>
      </c>
      <c r="AM459" s="1" t="s">
        <v>399</v>
      </c>
      <c r="AN459" s="1" t="s">
        <v>4796</v>
      </c>
      <c r="AO459" s="1" t="s">
        <v>5412</v>
      </c>
      <c r="AP459" s="1">
        <v>0</v>
      </c>
      <c r="AQ459" s="1" t="s">
        <v>1130</v>
      </c>
      <c r="AR459" s="1" t="s">
        <v>1120</v>
      </c>
      <c r="AS459" s="1" t="s">
        <v>1131</v>
      </c>
      <c r="AT459" s="1" t="s">
        <v>329</v>
      </c>
      <c r="AU459" s="1">
        <v>48</v>
      </c>
      <c r="AV459" s="1">
        <v>0</v>
      </c>
      <c r="AW459" s="1" t="s">
        <v>5793</v>
      </c>
      <c r="AX459" s="1" t="s">
        <v>1807</v>
      </c>
      <c r="AY459" s="1">
        <v>5</v>
      </c>
      <c r="AZ459" s="1">
        <v>0</v>
      </c>
      <c r="BA459" s="1" t="s">
        <v>329</v>
      </c>
      <c r="BB459" s="1" t="s">
        <v>329</v>
      </c>
      <c r="BC459" s="1" t="s">
        <v>5387</v>
      </c>
      <c r="BD459" s="1">
        <v>0</v>
      </c>
      <c r="BE459" s="1"/>
      <c r="BH459">
        <f>COUNTIF(Dropdowns!$I:$AF,C459)</f>
        <v>0</v>
      </c>
    </row>
    <row r="460" spans="1:60" x14ac:dyDescent="0.25">
      <c r="A460" s="1">
        <v>9071</v>
      </c>
      <c r="B460" s="1" t="s">
        <v>6133</v>
      </c>
      <c r="C460" s="241" t="s">
        <v>6134</v>
      </c>
      <c r="D460" s="1" t="s">
        <v>6134</v>
      </c>
      <c r="E460" s="1"/>
      <c r="F460" s="1"/>
      <c r="G460" s="1" t="s">
        <v>6135</v>
      </c>
      <c r="H460" s="1" t="s">
        <v>6136</v>
      </c>
      <c r="I460" s="1" t="s">
        <v>6137</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4791</v>
      </c>
      <c r="AN460" s="1" t="s">
        <v>4862</v>
      </c>
      <c r="AO460" s="1" t="s">
        <v>5429</v>
      </c>
      <c r="AP460" s="1">
        <v>0</v>
      </c>
      <c r="AQ460" s="1" t="s">
        <v>1131</v>
      </c>
      <c r="AR460" s="1" t="s">
        <v>1155</v>
      </c>
      <c r="AS460" s="1" t="s">
        <v>5849</v>
      </c>
      <c r="AT460" s="1" t="s">
        <v>329</v>
      </c>
      <c r="AU460" s="1">
        <v>55</v>
      </c>
      <c r="AV460" s="1">
        <v>0</v>
      </c>
      <c r="AW460" s="1" t="s">
        <v>5793</v>
      </c>
      <c r="AX460" s="1" t="s">
        <v>1807</v>
      </c>
      <c r="AY460" s="1">
        <v>5</v>
      </c>
      <c r="AZ460" s="1">
        <v>0</v>
      </c>
      <c r="BA460" s="1" t="s">
        <v>329</v>
      </c>
      <c r="BB460" s="1" t="s">
        <v>329</v>
      </c>
      <c r="BC460" s="1" t="s">
        <v>329</v>
      </c>
      <c r="BD460" s="1">
        <v>0</v>
      </c>
      <c r="BE460" s="1"/>
      <c r="BH460">
        <f>COUNTIF(Dropdowns!$I:$AF,C460)</f>
        <v>0</v>
      </c>
    </row>
    <row r="461" spans="1:60" x14ac:dyDescent="0.25">
      <c r="A461" s="1">
        <v>9072</v>
      </c>
      <c r="B461" s="1" t="s">
        <v>6138</v>
      </c>
      <c r="C461" s="241" t="s">
        <v>6139</v>
      </c>
      <c r="D461" s="1" t="s">
        <v>6139</v>
      </c>
      <c r="E461" s="1"/>
      <c r="F461" s="1"/>
      <c r="G461" s="1" t="s">
        <v>6140</v>
      </c>
      <c r="H461" s="1" t="s">
        <v>6141</v>
      </c>
      <c r="I461" s="1" t="s">
        <v>6142</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4791</v>
      </c>
      <c r="AN461" s="1" t="s">
        <v>4862</v>
      </c>
      <c r="AO461" s="1" t="s">
        <v>5429</v>
      </c>
      <c r="AP461" s="1">
        <v>0</v>
      </c>
      <c r="AQ461" s="1" t="s">
        <v>1131</v>
      </c>
      <c r="AR461" s="1" t="s">
        <v>1155</v>
      </c>
      <c r="AS461" s="1" t="s">
        <v>5849</v>
      </c>
      <c r="AT461" s="1" t="s">
        <v>329</v>
      </c>
      <c r="AU461" s="1">
        <v>55</v>
      </c>
      <c r="AV461" s="1">
        <v>0</v>
      </c>
      <c r="AW461" s="1" t="s">
        <v>5793</v>
      </c>
      <c r="AX461" s="1" t="s">
        <v>1807</v>
      </c>
      <c r="AY461" s="1">
        <v>5</v>
      </c>
      <c r="AZ461" s="1">
        <v>0</v>
      </c>
      <c r="BA461" s="1" t="s">
        <v>329</v>
      </c>
      <c r="BB461" s="1" t="s">
        <v>329</v>
      </c>
      <c r="BC461" s="1" t="s">
        <v>329</v>
      </c>
      <c r="BD461" s="1">
        <v>0</v>
      </c>
      <c r="BE461" s="1"/>
      <c r="BH461">
        <f>COUNTIF(Dropdowns!$I:$AF,C461)</f>
        <v>0</v>
      </c>
    </row>
    <row r="462" spans="1:60" x14ac:dyDescent="0.25">
      <c r="A462" s="1">
        <v>9073</v>
      </c>
      <c r="B462" s="1" t="s">
        <v>6143</v>
      </c>
      <c r="C462" s="241" t="s">
        <v>6144</v>
      </c>
      <c r="D462" s="1" t="s">
        <v>6144</v>
      </c>
      <c r="E462" s="1"/>
      <c r="F462" s="1"/>
      <c r="G462" s="1" t="s">
        <v>6145</v>
      </c>
      <c r="H462" s="1" t="s">
        <v>6146</v>
      </c>
      <c r="I462" s="1" t="s">
        <v>6147</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4763</v>
      </c>
      <c r="AN462" s="1" t="s">
        <v>329</v>
      </c>
      <c r="AO462" s="1" t="s">
        <v>329</v>
      </c>
      <c r="AP462" s="1">
        <v>0</v>
      </c>
      <c r="AQ462" s="1" t="s">
        <v>1141</v>
      </c>
      <c r="AR462" s="1" t="s">
        <v>5791</v>
      </c>
      <c r="AS462" s="1" t="s">
        <v>5792</v>
      </c>
      <c r="AT462" s="1" t="s">
        <v>329</v>
      </c>
      <c r="AU462" s="1">
        <v>10</v>
      </c>
      <c r="AV462" s="1">
        <v>1</v>
      </c>
      <c r="AW462" s="1" t="s">
        <v>5793</v>
      </c>
      <c r="AX462" s="1" t="s">
        <v>1807</v>
      </c>
      <c r="AY462" s="1">
        <v>5</v>
      </c>
      <c r="AZ462" s="1">
        <v>0</v>
      </c>
      <c r="BA462" s="1" t="s">
        <v>329</v>
      </c>
      <c r="BB462" s="1" t="s">
        <v>329</v>
      </c>
      <c r="BC462" s="1" t="s">
        <v>329</v>
      </c>
      <c r="BD462" s="1">
        <v>0</v>
      </c>
      <c r="BE462" s="1"/>
      <c r="BH462">
        <f>COUNTIF(Dropdowns!$I:$AF,C462)</f>
        <v>0</v>
      </c>
    </row>
    <row r="463" spans="1:60" x14ac:dyDescent="0.25">
      <c r="A463" s="1">
        <v>9074</v>
      </c>
      <c r="B463" s="1" t="s">
        <v>6148</v>
      </c>
      <c r="C463" s="241" t="s">
        <v>6149</v>
      </c>
      <c r="D463" s="1" t="s">
        <v>6149</v>
      </c>
      <c r="E463" s="1"/>
      <c r="F463" s="1"/>
      <c r="G463" s="1" t="s">
        <v>6150</v>
      </c>
      <c r="H463" s="1" t="s">
        <v>6151</v>
      </c>
      <c r="I463" s="1" t="s">
        <v>6152</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1200</v>
      </c>
      <c r="AK463" s="1" t="s">
        <v>329</v>
      </c>
      <c r="AL463" s="1">
        <v>19</v>
      </c>
      <c r="AM463" s="1" t="s">
        <v>4763</v>
      </c>
      <c r="AN463" s="1" t="s">
        <v>329</v>
      </c>
      <c r="AO463" s="1" t="s">
        <v>329</v>
      </c>
      <c r="AP463" s="1">
        <v>0</v>
      </c>
      <c r="AQ463" s="1" t="s">
        <v>1141</v>
      </c>
      <c r="AR463" s="1" t="s">
        <v>5791</v>
      </c>
      <c r="AS463" s="1" t="s">
        <v>5792</v>
      </c>
      <c r="AT463" s="1" t="s">
        <v>329</v>
      </c>
      <c r="AU463" s="1">
        <v>10</v>
      </c>
      <c r="AV463" s="1">
        <v>1</v>
      </c>
      <c r="AW463" s="1" t="s">
        <v>5793</v>
      </c>
      <c r="AX463" s="1" t="s">
        <v>1807</v>
      </c>
      <c r="AY463" s="1">
        <v>5</v>
      </c>
      <c r="AZ463" s="1">
        <v>0</v>
      </c>
      <c r="BA463" s="1" t="s">
        <v>329</v>
      </c>
      <c r="BB463" s="1" t="s">
        <v>329</v>
      </c>
      <c r="BC463" s="1" t="s">
        <v>329</v>
      </c>
      <c r="BD463" s="1">
        <v>0</v>
      </c>
      <c r="BE463" s="1"/>
      <c r="BH463">
        <f>COUNTIF(Dropdowns!$I:$AF,C463)</f>
        <v>0</v>
      </c>
    </row>
    <row r="464" spans="1:60" x14ac:dyDescent="0.25">
      <c r="A464" s="1">
        <v>9075</v>
      </c>
      <c r="B464" s="1" t="s">
        <v>6153</v>
      </c>
      <c r="C464" s="241" t="s">
        <v>6154</v>
      </c>
      <c r="D464" s="1" t="s">
        <v>6154</v>
      </c>
      <c r="E464" s="1"/>
      <c r="F464" s="1"/>
      <c r="G464" s="1" t="s">
        <v>6155</v>
      </c>
      <c r="H464" s="1" t="s">
        <v>6156</v>
      </c>
      <c r="I464" s="1" t="s">
        <v>6157</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4791</v>
      </c>
      <c r="AN464" s="1" t="s">
        <v>4794</v>
      </c>
      <c r="AO464" s="1" t="s">
        <v>4803</v>
      </c>
      <c r="AP464" s="1">
        <v>0</v>
      </c>
      <c r="AQ464" s="1" t="s">
        <v>1130</v>
      </c>
      <c r="AR464" s="1" t="s">
        <v>1120</v>
      </c>
      <c r="AS464" s="1" t="s">
        <v>1131</v>
      </c>
      <c r="AT464" s="1" t="s">
        <v>329</v>
      </c>
      <c r="AU464" s="1">
        <v>20</v>
      </c>
      <c r="AV464" s="1">
        <v>0</v>
      </c>
      <c r="AW464" s="1" t="s">
        <v>5793</v>
      </c>
      <c r="AX464" s="1" t="s">
        <v>1807</v>
      </c>
      <c r="AY464" s="1">
        <v>5</v>
      </c>
      <c r="AZ464" s="1">
        <v>0</v>
      </c>
      <c r="BA464" s="1" t="s">
        <v>329</v>
      </c>
      <c r="BB464" s="1" t="s">
        <v>329</v>
      </c>
      <c r="BC464" s="1" t="s">
        <v>329</v>
      </c>
      <c r="BD464" s="1">
        <v>0</v>
      </c>
      <c r="BE464" s="1"/>
      <c r="BH464">
        <f>COUNTIF(Dropdowns!$I:$AF,C464)</f>
        <v>0</v>
      </c>
    </row>
    <row r="465" spans="1:60" x14ac:dyDescent="0.25">
      <c r="A465" s="1">
        <v>9076</v>
      </c>
      <c r="B465" s="1" t="s">
        <v>6158</v>
      </c>
      <c r="C465" s="241" t="s">
        <v>6159</v>
      </c>
      <c r="D465" s="1" t="s">
        <v>6159</v>
      </c>
      <c r="E465" s="1"/>
      <c r="F465" s="1"/>
      <c r="G465" s="1" t="s">
        <v>6160</v>
      </c>
      <c r="H465" s="1" t="s">
        <v>6161</v>
      </c>
      <c r="I465" s="1" t="s">
        <v>6162</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4791</v>
      </c>
      <c r="AN465" s="1" t="s">
        <v>4794</v>
      </c>
      <c r="AO465" s="1" t="s">
        <v>4803</v>
      </c>
      <c r="AP465" s="1">
        <v>0</v>
      </c>
      <c r="AQ465" s="1" t="s">
        <v>1130</v>
      </c>
      <c r="AR465" s="1" t="s">
        <v>1120</v>
      </c>
      <c r="AS465" s="1" t="s">
        <v>1131</v>
      </c>
      <c r="AT465" s="1" t="s">
        <v>329</v>
      </c>
      <c r="AU465" s="1">
        <v>20</v>
      </c>
      <c r="AV465" s="1">
        <v>0</v>
      </c>
      <c r="AW465" s="1" t="s">
        <v>5793</v>
      </c>
      <c r="AX465" s="1" t="s">
        <v>1807</v>
      </c>
      <c r="AY465" s="1">
        <v>5</v>
      </c>
      <c r="AZ465" s="1">
        <v>0</v>
      </c>
      <c r="BA465" s="1" t="s">
        <v>329</v>
      </c>
      <c r="BB465" s="1" t="s">
        <v>329</v>
      </c>
      <c r="BC465" s="1" t="s">
        <v>329</v>
      </c>
      <c r="BD465" s="1">
        <v>0</v>
      </c>
      <c r="BE465" s="1"/>
      <c r="BH465">
        <f>COUNTIF(Dropdowns!$I:$AF,C465)</f>
        <v>0</v>
      </c>
    </row>
    <row r="466" spans="1:60" x14ac:dyDescent="0.25">
      <c r="A466" s="1">
        <v>9077</v>
      </c>
      <c r="B466" s="1" t="s">
        <v>6163</v>
      </c>
      <c r="C466" s="241" t="s">
        <v>6164</v>
      </c>
      <c r="D466" s="1" t="s">
        <v>6164</v>
      </c>
      <c r="E466" s="1"/>
      <c r="F466" s="1"/>
      <c r="G466" s="1" t="s">
        <v>6165</v>
      </c>
      <c r="H466" s="1" t="s">
        <v>6166</v>
      </c>
      <c r="I466" s="1" t="s">
        <v>6167</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4791</v>
      </c>
      <c r="AN466" s="1" t="s">
        <v>4794</v>
      </c>
      <c r="AO466" s="1" t="s">
        <v>4803</v>
      </c>
      <c r="AP466" s="1">
        <v>0</v>
      </c>
      <c r="AQ466" s="1" t="s">
        <v>1130</v>
      </c>
      <c r="AR466" s="1" t="s">
        <v>1120</v>
      </c>
      <c r="AS466" s="1" t="s">
        <v>1131</v>
      </c>
      <c r="AT466" s="1" t="s">
        <v>329</v>
      </c>
      <c r="AU466" s="1">
        <v>20</v>
      </c>
      <c r="AV466" s="1">
        <v>0</v>
      </c>
      <c r="AW466" s="1" t="s">
        <v>5793</v>
      </c>
      <c r="AX466" s="1" t="s">
        <v>1807</v>
      </c>
      <c r="AY466" s="1">
        <v>5</v>
      </c>
      <c r="AZ466" s="1">
        <v>0</v>
      </c>
      <c r="BA466" s="1" t="s">
        <v>329</v>
      </c>
      <c r="BB466" s="1" t="s">
        <v>329</v>
      </c>
      <c r="BC466" s="1" t="s">
        <v>329</v>
      </c>
      <c r="BD466" s="1">
        <v>0</v>
      </c>
      <c r="BE466" s="1"/>
      <c r="BH466">
        <f>COUNTIF(Dropdowns!$I:$AF,C466)</f>
        <v>0</v>
      </c>
    </row>
    <row r="467" spans="1:60" x14ac:dyDescent="0.25">
      <c r="A467" s="1">
        <v>9078</v>
      </c>
      <c r="B467" s="1" t="s">
        <v>6168</v>
      </c>
      <c r="C467" s="241" t="s">
        <v>6169</v>
      </c>
      <c r="D467" s="1" t="s">
        <v>6169</v>
      </c>
      <c r="E467" s="1"/>
      <c r="F467" s="1"/>
      <c r="G467" s="1" t="s">
        <v>6170</v>
      </c>
      <c r="H467" s="1" t="s">
        <v>6171</v>
      </c>
      <c r="I467" s="1" t="s">
        <v>6172</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6097</v>
      </c>
      <c r="AK467" s="1" t="s">
        <v>329</v>
      </c>
      <c r="AL467" s="1">
        <v>13</v>
      </c>
      <c r="AM467" s="1" t="s">
        <v>4791</v>
      </c>
      <c r="AN467" s="1" t="s">
        <v>4862</v>
      </c>
      <c r="AO467" s="1" t="s">
        <v>5429</v>
      </c>
      <c r="AP467" s="1">
        <v>0</v>
      </c>
      <c r="AQ467" s="1" t="s">
        <v>1131</v>
      </c>
      <c r="AR467" s="1" t="s">
        <v>1155</v>
      </c>
      <c r="AS467" s="1" t="s">
        <v>5849</v>
      </c>
      <c r="AT467" s="1" t="s">
        <v>329</v>
      </c>
      <c r="AU467" s="1">
        <v>55</v>
      </c>
      <c r="AV467" s="1">
        <v>0</v>
      </c>
      <c r="AW467" s="1" t="s">
        <v>5793</v>
      </c>
      <c r="AX467" s="1" t="s">
        <v>1807</v>
      </c>
      <c r="AY467" s="1">
        <v>5</v>
      </c>
      <c r="AZ467" s="1">
        <v>0</v>
      </c>
      <c r="BA467" s="1" t="s">
        <v>329</v>
      </c>
      <c r="BB467" s="1" t="s">
        <v>329</v>
      </c>
      <c r="BC467" s="1" t="s">
        <v>329</v>
      </c>
      <c r="BD467" s="1">
        <v>0</v>
      </c>
      <c r="BE467" s="1"/>
      <c r="BH467">
        <f>COUNTIF(Dropdowns!$I:$AF,C467)</f>
        <v>0</v>
      </c>
    </row>
    <row r="468" spans="1:60" x14ac:dyDescent="0.25">
      <c r="A468" s="1">
        <v>9079</v>
      </c>
      <c r="B468" s="1" t="s">
        <v>6173</v>
      </c>
      <c r="C468" s="241" t="s">
        <v>6174</v>
      </c>
      <c r="D468" s="1" t="s">
        <v>6174</v>
      </c>
      <c r="E468" s="1"/>
      <c r="F468" s="1"/>
      <c r="G468" s="1" t="s">
        <v>6175</v>
      </c>
      <c r="H468" s="1" t="s">
        <v>6176</v>
      </c>
      <c r="I468" s="1" t="s">
        <v>6177</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6178</v>
      </c>
      <c r="AK468" s="1" t="s">
        <v>329</v>
      </c>
      <c r="AL468" s="1">
        <v>13</v>
      </c>
      <c r="AM468" s="1" t="s">
        <v>1807</v>
      </c>
      <c r="AN468" s="1" t="s">
        <v>4748</v>
      </c>
      <c r="AO468" s="1" t="s">
        <v>4745</v>
      </c>
      <c r="AP468" s="1">
        <v>0</v>
      </c>
      <c r="AQ468" s="1" t="s">
        <v>5855</v>
      </c>
      <c r="AR468" s="1" t="s">
        <v>1120</v>
      </c>
      <c r="AS468" s="1" t="s">
        <v>1130</v>
      </c>
      <c r="AT468" s="1" t="s">
        <v>329</v>
      </c>
      <c r="AU468" s="1">
        <v>6</v>
      </c>
      <c r="AV468" s="1">
        <v>0</v>
      </c>
      <c r="AW468" s="1" t="s">
        <v>5793</v>
      </c>
      <c r="AX468" s="1" t="s">
        <v>1807</v>
      </c>
      <c r="AY468" s="1">
        <v>5</v>
      </c>
      <c r="AZ468" s="1">
        <v>0</v>
      </c>
      <c r="BA468" s="1" t="s">
        <v>329</v>
      </c>
      <c r="BB468" s="1" t="s">
        <v>329</v>
      </c>
      <c r="BC468" s="1" t="s">
        <v>329</v>
      </c>
      <c r="BD468" s="1">
        <v>0</v>
      </c>
      <c r="BE468" s="1"/>
      <c r="BH468">
        <f>COUNTIF(Dropdowns!$I:$AF,C468)</f>
        <v>0</v>
      </c>
    </row>
    <row r="469" spans="1:60" x14ac:dyDescent="0.25">
      <c r="A469" s="1">
        <v>9080</v>
      </c>
      <c r="B469" s="1" t="s">
        <v>6179</v>
      </c>
      <c r="C469" s="241" t="s">
        <v>6174</v>
      </c>
      <c r="D469" s="1" t="s">
        <v>6174</v>
      </c>
      <c r="E469" s="1"/>
      <c r="F469" s="1"/>
      <c r="G469" s="1" t="s">
        <v>6180</v>
      </c>
      <c r="H469" s="1" t="s">
        <v>6181</v>
      </c>
      <c r="I469" s="1" t="s">
        <v>6182</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1807</v>
      </c>
      <c r="AN469" s="1" t="s">
        <v>4748</v>
      </c>
      <c r="AO469" s="1" t="s">
        <v>4745</v>
      </c>
      <c r="AP469" s="1">
        <v>0</v>
      </c>
      <c r="AQ469" s="1" t="s">
        <v>5855</v>
      </c>
      <c r="AR469" s="1" t="s">
        <v>1120</v>
      </c>
      <c r="AS469" s="1" t="s">
        <v>1130</v>
      </c>
      <c r="AT469" s="1" t="s">
        <v>329</v>
      </c>
      <c r="AU469" s="1">
        <v>6</v>
      </c>
      <c r="AV469" s="1">
        <v>0</v>
      </c>
      <c r="AW469" s="1" t="s">
        <v>5793</v>
      </c>
      <c r="AX469" s="1" t="s">
        <v>1807</v>
      </c>
      <c r="AY469" s="1">
        <v>5</v>
      </c>
      <c r="AZ469" s="1">
        <v>0</v>
      </c>
      <c r="BA469" s="1" t="s">
        <v>329</v>
      </c>
      <c r="BB469" s="1" t="s">
        <v>329</v>
      </c>
      <c r="BC469" s="1" t="s">
        <v>329</v>
      </c>
      <c r="BD469" s="1">
        <v>0</v>
      </c>
      <c r="BE469" s="1"/>
      <c r="BH469">
        <f>COUNTIF(Dropdowns!$I:$AF,C469)</f>
        <v>0</v>
      </c>
    </row>
    <row r="470" spans="1:60" x14ac:dyDescent="0.25">
      <c r="A470" s="1">
        <v>9081</v>
      </c>
      <c r="B470" s="1" t="s">
        <v>6183</v>
      </c>
      <c r="C470" s="241" t="s">
        <v>6184</v>
      </c>
      <c r="D470" s="1" t="s">
        <v>6184</v>
      </c>
      <c r="E470" s="1"/>
      <c r="F470" s="1"/>
      <c r="G470" s="1" t="s">
        <v>6185</v>
      </c>
      <c r="H470" s="1" t="s">
        <v>6186</v>
      </c>
      <c r="I470" s="1" t="s">
        <v>6187</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6188</v>
      </c>
      <c r="AK470" s="1" t="s">
        <v>329</v>
      </c>
      <c r="AL470" s="1">
        <v>13</v>
      </c>
      <c r="AM470" s="1" t="s">
        <v>4791</v>
      </c>
      <c r="AN470" s="1" t="s">
        <v>4948</v>
      </c>
      <c r="AO470" s="1" t="s">
        <v>5047</v>
      </c>
      <c r="AP470" s="1">
        <v>0</v>
      </c>
      <c r="AQ470" s="1" t="s">
        <v>1130</v>
      </c>
      <c r="AR470" s="1" t="s">
        <v>1120</v>
      </c>
      <c r="AS470" s="1" t="s">
        <v>1131</v>
      </c>
      <c r="AT470" s="1" t="s">
        <v>329</v>
      </c>
      <c r="AU470" s="1">
        <v>143</v>
      </c>
      <c r="AV470" s="1">
        <v>0</v>
      </c>
      <c r="AW470" s="1" t="s">
        <v>5793</v>
      </c>
      <c r="AX470" s="1" t="s">
        <v>1807</v>
      </c>
      <c r="AY470" s="1">
        <v>4</v>
      </c>
      <c r="AZ470" s="1">
        <v>0</v>
      </c>
      <c r="BA470" s="1" t="s">
        <v>329</v>
      </c>
      <c r="BB470" s="1" t="s">
        <v>329</v>
      </c>
      <c r="BC470" s="1" t="s">
        <v>329</v>
      </c>
      <c r="BD470" s="1">
        <v>0</v>
      </c>
      <c r="BE470" s="1"/>
      <c r="BH470">
        <f>COUNTIF(Dropdowns!$I:$AF,C470)</f>
        <v>0</v>
      </c>
    </row>
    <row r="471" spans="1:60" x14ac:dyDescent="0.25">
      <c r="A471" s="1">
        <v>9082</v>
      </c>
      <c r="B471" s="1" t="s">
        <v>6189</v>
      </c>
      <c r="C471" s="241" t="s">
        <v>6184</v>
      </c>
      <c r="D471" s="1" t="s">
        <v>6184</v>
      </c>
      <c r="E471" s="1"/>
      <c r="F471" s="1"/>
      <c r="G471" s="1" t="s">
        <v>6190</v>
      </c>
      <c r="H471" s="1" t="s">
        <v>6191</v>
      </c>
      <c r="I471" s="1" t="s">
        <v>6192</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5981</v>
      </c>
      <c r="AK471" s="1" t="s">
        <v>329</v>
      </c>
      <c r="AL471" s="1">
        <v>13</v>
      </c>
      <c r="AM471" s="1" t="s">
        <v>4791</v>
      </c>
      <c r="AN471" s="1" t="s">
        <v>4948</v>
      </c>
      <c r="AO471" s="1" t="s">
        <v>5047</v>
      </c>
      <c r="AP471" s="1">
        <v>0</v>
      </c>
      <c r="AQ471" s="1" t="s">
        <v>1130</v>
      </c>
      <c r="AR471" s="1" t="s">
        <v>1120</v>
      </c>
      <c r="AS471" s="1" t="s">
        <v>1131</v>
      </c>
      <c r="AT471" s="1" t="s">
        <v>329</v>
      </c>
      <c r="AU471" s="1">
        <v>143</v>
      </c>
      <c r="AV471" s="1">
        <v>0</v>
      </c>
      <c r="AW471" s="1" t="s">
        <v>5793</v>
      </c>
      <c r="AX471" s="1" t="s">
        <v>1807</v>
      </c>
      <c r="AY471" s="1">
        <v>5</v>
      </c>
      <c r="AZ471" s="1">
        <v>0</v>
      </c>
      <c r="BA471" s="1" t="s">
        <v>329</v>
      </c>
      <c r="BB471" s="1" t="s">
        <v>329</v>
      </c>
      <c r="BC471" s="1" t="s">
        <v>329</v>
      </c>
      <c r="BD471" s="1">
        <v>0</v>
      </c>
      <c r="BE471" s="1"/>
      <c r="BH471">
        <f>COUNTIF(Dropdowns!$I:$AF,C471)</f>
        <v>0</v>
      </c>
    </row>
    <row r="472" spans="1:60" x14ac:dyDescent="0.25">
      <c r="A472" s="1">
        <v>9083</v>
      </c>
      <c r="B472" s="1" t="s">
        <v>6193</v>
      </c>
      <c r="C472" s="241" t="s">
        <v>6184</v>
      </c>
      <c r="D472" s="1" t="s">
        <v>6184</v>
      </c>
      <c r="E472" s="1"/>
      <c r="F472" s="1"/>
      <c r="G472" s="1" t="s">
        <v>6194</v>
      </c>
      <c r="H472" s="1" t="s">
        <v>6195</v>
      </c>
      <c r="I472" s="1" t="s">
        <v>6196</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5981</v>
      </c>
      <c r="AK472" s="1" t="s">
        <v>329</v>
      </c>
      <c r="AL472" s="1">
        <v>13</v>
      </c>
      <c r="AM472" s="1" t="s">
        <v>4791</v>
      </c>
      <c r="AN472" s="1" t="s">
        <v>4948</v>
      </c>
      <c r="AO472" s="1" t="s">
        <v>5047</v>
      </c>
      <c r="AP472" s="1">
        <v>0</v>
      </c>
      <c r="AQ472" s="1" t="s">
        <v>1130</v>
      </c>
      <c r="AR472" s="1" t="s">
        <v>1120</v>
      </c>
      <c r="AS472" s="1" t="s">
        <v>1131</v>
      </c>
      <c r="AT472" s="1" t="s">
        <v>329</v>
      </c>
      <c r="AU472" s="1">
        <v>143</v>
      </c>
      <c r="AV472" s="1">
        <v>0</v>
      </c>
      <c r="AW472" s="1" t="s">
        <v>5793</v>
      </c>
      <c r="AX472" s="1" t="s">
        <v>1807</v>
      </c>
      <c r="AY472" s="1">
        <v>4</v>
      </c>
      <c r="AZ472" s="1">
        <v>0</v>
      </c>
      <c r="BA472" s="1" t="s">
        <v>329</v>
      </c>
      <c r="BB472" s="1" t="s">
        <v>329</v>
      </c>
      <c r="BC472" s="1" t="s">
        <v>329</v>
      </c>
      <c r="BD472" s="1">
        <v>0</v>
      </c>
      <c r="BE472" s="1"/>
      <c r="BH472">
        <f>COUNTIF(Dropdowns!$I:$AF,C472)</f>
        <v>0</v>
      </c>
    </row>
    <row r="473" spans="1:60" x14ac:dyDescent="0.25">
      <c r="A473" s="1">
        <v>9084</v>
      </c>
      <c r="B473" s="1" t="s">
        <v>6197</v>
      </c>
      <c r="C473" s="241" t="s">
        <v>6184</v>
      </c>
      <c r="D473" s="1" t="s">
        <v>6184</v>
      </c>
      <c r="E473" s="1"/>
      <c r="F473" s="1"/>
      <c r="G473" s="1" t="s">
        <v>6198</v>
      </c>
      <c r="H473" s="1" t="s">
        <v>6199</v>
      </c>
      <c r="I473" s="1" t="s">
        <v>6200</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5981</v>
      </c>
      <c r="AK473" s="1" t="s">
        <v>329</v>
      </c>
      <c r="AL473" s="1">
        <v>13</v>
      </c>
      <c r="AM473" s="1" t="s">
        <v>4791</v>
      </c>
      <c r="AN473" s="1" t="s">
        <v>4948</v>
      </c>
      <c r="AO473" s="1" t="s">
        <v>5047</v>
      </c>
      <c r="AP473" s="1">
        <v>0</v>
      </c>
      <c r="AQ473" s="1" t="s">
        <v>1130</v>
      </c>
      <c r="AR473" s="1" t="s">
        <v>1120</v>
      </c>
      <c r="AS473" s="1" t="s">
        <v>1131</v>
      </c>
      <c r="AT473" s="1" t="s">
        <v>329</v>
      </c>
      <c r="AU473" s="1">
        <v>143</v>
      </c>
      <c r="AV473" s="1">
        <v>0</v>
      </c>
      <c r="AW473" s="1" t="s">
        <v>5793</v>
      </c>
      <c r="AX473" s="1" t="s">
        <v>1807</v>
      </c>
      <c r="AY473" s="1">
        <v>5</v>
      </c>
      <c r="AZ473" s="1">
        <v>0</v>
      </c>
      <c r="BA473" s="1" t="s">
        <v>329</v>
      </c>
      <c r="BB473" s="1" t="s">
        <v>329</v>
      </c>
      <c r="BC473" s="1" t="s">
        <v>329</v>
      </c>
      <c r="BD473" s="1">
        <v>0</v>
      </c>
      <c r="BE473" s="1"/>
      <c r="BH473">
        <f>COUNTIF(Dropdowns!$I:$AF,C473)</f>
        <v>0</v>
      </c>
    </row>
    <row r="474" spans="1:60" x14ac:dyDescent="0.25">
      <c r="A474" s="1">
        <v>9085</v>
      </c>
      <c r="B474" s="1" t="s">
        <v>6201</v>
      </c>
      <c r="C474" s="241" t="s">
        <v>6164</v>
      </c>
      <c r="D474" s="1" t="s">
        <v>6164</v>
      </c>
      <c r="E474" s="1"/>
      <c r="F474" s="1"/>
      <c r="G474" s="1" t="s">
        <v>6202</v>
      </c>
      <c r="H474" s="1" t="s">
        <v>6203</v>
      </c>
      <c r="I474" s="1" t="s">
        <v>6204</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4791</v>
      </c>
      <c r="AN474" s="1" t="s">
        <v>4794</v>
      </c>
      <c r="AO474" s="1" t="s">
        <v>4803</v>
      </c>
      <c r="AP474" s="1">
        <v>0</v>
      </c>
      <c r="AQ474" s="1" t="s">
        <v>1130</v>
      </c>
      <c r="AR474" s="1" t="s">
        <v>1120</v>
      </c>
      <c r="AS474" s="1" t="s">
        <v>1131</v>
      </c>
      <c r="AT474" s="1" t="s">
        <v>329</v>
      </c>
      <c r="AU474" s="1">
        <v>20</v>
      </c>
      <c r="AV474" s="1">
        <v>0</v>
      </c>
      <c r="AW474" s="1" t="s">
        <v>5793</v>
      </c>
      <c r="AX474" s="1" t="s">
        <v>1807</v>
      </c>
      <c r="AY474" s="1">
        <v>5</v>
      </c>
      <c r="AZ474" s="1">
        <v>0</v>
      </c>
      <c r="BA474" s="1" t="s">
        <v>329</v>
      </c>
      <c r="BB474" s="1" t="s">
        <v>329</v>
      </c>
      <c r="BC474" s="1" t="s">
        <v>329</v>
      </c>
      <c r="BD474" s="1">
        <v>0</v>
      </c>
      <c r="BE474" s="1"/>
      <c r="BH474">
        <f>COUNTIF(Dropdowns!$I:$AF,C474)</f>
        <v>0</v>
      </c>
    </row>
    <row r="475" spans="1:60" x14ac:dyDescent="0.25">
      <c r="A475" s="1">
        <v>9086</v>
      </c>
      <c r="B475" s="1" t="s">
        <v>6205</v>
      </c>
      <c r="C475" s="241" t="s">
        <v>857</v>
      </c>
      <c r="D475" s="1" t="s">
        <v>6206</v>
      </c>
      <c r="E475" s="1"/>
      <c r="F475" s="1"/>
      <c r="G475" s="1" t="s">
        <v>6207</v>
      </c>
      <c r="H475" s="1" t="s">
        <v>6208</v>
      </c>
      <c r="I475" s="1" t="s">
        <v>6209</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5995</v>
      </c>
      <c r="AK475" s="1" t="s">
        <v>329</v>
      </c>
      <c r="AL475" s="1">
        <v>13</v>
      </c>
      <c r="AM475" s="1" t="s">
        <v>4720</v>
      </c>
      <c r="AN475" s="1" t="s">
        <v>4748</v>
      </c>
      <c r="AO475" s="1" t="s">
        <v>4800</v>
      </c>
      <c r="AP475" s="1">
        <v>0</v>
      </c>
      <c r="AQ475" s="1" t="s">
        <v>1155</v>
      </c>
      <c r="AR475" s="1" t="s">
        <v>5996</v>
      </c>
      <c r="AS475" s="1" t="s">
        <v>5996</v>
      </c>
      <c r="AT475" s="1" t="s">
        <v>329</v>
      </c>
      <c r="AU475" s="1">
        <v>54</v>
      </c>
      <c r="AV475" s="1">
        <v>0</v>
      </c>
      <c r="AW475" s="1" t="s">
        <v>5793</v>
      </c>
      <c r="AX475" s="1" t="s">
        <v>1807</v>
      </c>
      <c r="AY475" s="1">
        <v>5</v>
      </c>
      <c r="AZ475" s="1">
        <v>0</v>
      </c>
      <c r="BA475" s="1" t="s">
        <v>329</v>
      </c>
      <c r="BB475" s="1" t="s">
        <v>329</v>
      </c>
      <c r="BC475" s="1" t="s">
        <v>329</v>
      </c>
      <c r="BD475" s="1">
        <v>0</v>
      </c>
      <c r="BE475" s="1"/>
      <c r="BH475">
        <f>COUNTIF(Dropdowns!$I:$AF,C475)</f>
        <v>0</v>
      </c>
    </row>
    <row r="476" spans="1:60" x14ac:dyDescent="0.25">
      <c r="A476" s="1">
        <v>9087</v>
      </c>
      <c r="B476" s="1" t="s">
        <v>6210</v>
      </c>
      <c r="C476" s="241" t="s">
        <v>1742</v>
      </c>
      <c r="D476" s="1" t="s">
        <v>6211</v>
      </c>
      <c r="E476" s="1"/>
      <c r="F476" s="1"/>
      <c r="G476" s="1" t="s">
        <v>6212</v>
      </c>
      <c r="H476" s="1" t="s">
        <v>6213</v>
      </c>
      <c r="I476" s="1" t="s">
        <v>6214</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5995</v>
      </c>
      <c r="AK476" s="1" t="s">
        <v>329</v>
      </c>
      <c r="AL476" s="1">
        <v>13</v>
      </c>
      <c r="AM476" s="1" t="s">
        <v>4720</v>
      </c>
      <c r="AN476" s="1" t="s">
        <v>4748</v>
      </c>
      <c r="AO476" s="1" t="s">
        <v>4800</v>
      </c>
      <c r="AP476" s="1">
        <v>0</v>
      </c>
      <c r="AQ476" s="1" t="s">
        <v>1155</v>
      </c>
      <c r="AR476" s="1" t="s">
        <v>5996</v>
      </c>
      <c r="AS476" s="1" t="s">
        <v>5996</v>
      </c>
      <c r="AT476" s="1" t="s">
        <v>329</v>
      </c>
      <c r="AU476" s="1">
        <v>54</v>
      </c>
      <c r="AV476" s="1">
        <v>0</v>
      </c>
      <c r="AW476" s="1" t="s">
        <v>5793</v>
      </c>
      <c r="AX476" s="1" t="s">
        <v>1807</v>
      </c>
      <c r="AY476" s="1">
        <v>5</v>
      </c>
      <c r="AZ476" s="1">
        <v>0</v>
      </c>
      <c r="BA476" s="1" t="s">
        <v>329</v>
      </c>
      <c r="BB476" s="1" t="s">
        <v>329</v>
      </c>
      <c r="BC476" s="1" t="s">
        <v>329</v>
      </c>
      <c r="BD476" s="1">
        <v>0</v>
      </c>
      <c r="BE476" s="1"/>
      <c r="BH476">
        <f>COUNTIF(Dropdowns!$I:$AF,C476)</f>
        <v>0</v>
      </c>
    </row>
    <row r="477" spans="1:60" x14ac:dyDescent="0.25">
      <c r="A477" s="1">
        <v>9088</v>
      </c>
      <c r="B477" s="1" t="s">
        <v>6215</v>
      </c>
      <c r="C477" s="241" t="s">
        <v>862</v>
      </c>
      <c r="D477" s="1" t="s">
        <v>6216</v>
      </c>
      <c r="E477" s="1"/>
      <c r="F477" s="1"/>
      <c r="G477" s="1" t="s">
        <v>6217</v>
      </c>
      <c r="H477" s="1" t="s">
        <v>6218</v>
      </c>
      <c r="I477" s="1" t="s">
        <v>6219</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5995</v>
      </c>
      <c r="AK477" s="1" t="s">
        <v>329</v>
      </c>
      <c r="AL477" s="1">
        <v>13</v>
      </c>
      <c r="AM477" s="1" t="s">
        <v>4720</v>
      </c>
      <c r="AN477" s="1" t="s">
        <v>4748</v>
      </c>
      <c r="AO477" s="1" t="s">
        <v>4800</v>
      </c>
      <c r="AP477" s="1">
        <v>0</v>
      </c>
      <c r="AQ477" s="1" t="s">
        <v>1155</v>
      </c>
      <c r="AR477" s="1" t="s">
        <v>5996</v>
      </c>
      <c r="AS477" s="1" t="s">
        <v>5996</v>
      </c>
      <c r="AT477" s="1" t="s">
        <v>329</v>
      </c>
      <c r="AU477" s="1">
        <v>54</v>
      </c>
      <c r="AV477" s="1">
        <v>0</v>
      </c>
      <c r="AW477" s="1" t="s">
        <v>5793</v>
      </c>
      <c r="AX477" s="1" t="s">
        <v>1807</v>
      </c>
      <c r="AY477" s="1">
        <v>5</v>
      </c>
      <c r="AZ477" s="1">
        <v>0</v>
      </c>
      <c r="BA477" s="1" t="s">
        <v>329</v>
      </c>
      <c r="BB477" s="1" t="s">
        <v>329</v>
      </c>
      <c r="BC477" s="1" t="s">
        <v>329</v>
      </c>
      <c r="BD477" s="1">
        <v>0</v>
      </c>
      <c r="BE477" s="1"/>
      <c r="BH477">
        <f>COUNTIF(Dropdowns!$I:$AF,C477)</f>
        <v>0</v>
      </c>
    </row>
    <row r="478" spans="1:60" x14ac:dyDescent="0.25">
      <c r="A478" s="1">
        <v>9089</v>
      </c>
      <c r="B478" s="1" t="s">
        <v>6220</v>
      </c>
      <c r="C478" s="241" t="s">
        <v>6053</v>
      </c>
      <c r="D478" s="1" t="s">
        <v>6221</v>
      </c>
      <c r="E478" s="1"/>
      <c r="F478" s="1"/>
      <c r="G478" s="1" t="s">
        <v>6222</v>
      </c>
      <c r="H478" s="1" t="s">
        <v>6223</v>
      </c>
      <c r="I478" s="1" t="s">
        <v>6224</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6225</v>
      </c>
      <c r="AK478" s="1" t="s">
        <v>329</v>
      </c>
      <c r="AL478" s="1">
        <v>13</v>
      </c>
      <c r="AM478" s="1" t="s">
        <v>1807</v>
      </c>
      <c r="AN478" s="1" t="s">
        <v>4748</v>
      </c>
      <c r="AO478" s="1" t="s">
        <v>4745</v>
      </c>
      <c r="AP478" s="1">
        <v>0</v>
      </c>
      <c r="AQ478" s="1" t="s">
        <v>5855</v>
      </c>
      <c r="AR478" s="1" t="s">
        <v>1120</v>
      </c>
      <c r="AS478" s="1" t="s">
        <v>1130</v>
      </c>
      <c r="AT478" s="1" t="s">
        <v>329</v>
      </c>
      <c r="AU478" s="1">
        <v>6</v>
      </c>
      <c r="AV478" s="1">
        <v>0</v>
      </c>
      <c r="AW478" s="1" t="s">
        <v>5793</v>
      </c>
      <c r="AX478" s="1" t="s">
        <v>1807</v>
      </c>
      <c r="AY478" s="1">
        <v>3</v>
      </c>
      <c r="AZ478" s="1">
        <v>0</v>
      </c>
      <c r="BA478" s="1" t="s">
        <v>329</v>
      </c>
      <c r="BB478" s="1" t="s">
        <v>329</v>
      </c>
      <c r="BC478" s="1" t="s">
        <v>329</v>
      </c>
      <c r="BD478" s="1">
        <v>0</v>
      </c>
      <c r="BE478" s="1"/>
      <c r="BH478">
        <f>COUNTIF(Dropdowns!$I:$AF,C478)</f>
        <v>0</v>
      </c>
    </row>
    <row r="479" spans="1:60" x14ac:dyDescent="0.25">
      <c r="A479" s="1">
        <v>9090</v>
      </c>
      <c r="B479" s="1" t="s">
        <v>6226</v>
      </c>
      <c r="C479" s="241" t="s">
        <v>4059</v>
      </c>
      <c r="D479" s="1" t="s">
        <v>4059</v>
      </c>
      <c r="E479" s="1"/>
      <c r="F479" s="1"/>
      <c r="G479" s="1" t="s">
        <v>6227</v>
      </c>
      <c r="H479" s="1" t="s">
        <v>6228</v>
      </c>
      <c r="I479" s="1" t="s">
        <v>6229</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6230</v>
      </c>
      <c r="AK479" s="1" t="s">
        <v>329</v>
      </c>
      <c r="AL479" s="1">
        <v>13</v>
      </c>
      <c r="AM479" s="1" t="s">
        <v>4720</v>
      </c>
      <c r="AN479" s="1" t="s">
        <v>4830</v>
      </c>
      <c r="AO479" s="1" t="s">
        <v>6231</v>
      </c>
      <c r="AP479" s="1">
        <v>0</v>
      </c>
      <c r="AQ479" s="1" t="s">
        <v>1746</v>
      </c>
      <c r="AR479" s="1" t="s">
        <v>4869</v>
      </c>
      <c r="AS479" s="1" t="s">
        <v>1745</v>
      </c>
      <c r="AT479" s="1" t="s">
        <v>329</v>
      </c>
      <c r="AU479" s="1">
        <v>1029</v>
      </c>
      <c r="AV479" s="1">
        <v>0</v>
      </c>
      <c r="AW479" s="1" t="s">
        <v>5793</v>
      </c>
      <c r="AX479" s="1" t="s">
        <v>1807</v>
      </c>
      <c r="AY479" s="1">
        <v>5</v>
      </c>
      <c r="AZ479" s="1">
        <v>0</v>
      </c>
      <c r="BA479" s="1" t="s">
        <v>329</v>
      </c>
      <c r="BB479" s="1" t="s">
        <v>329</v>
      </c>
      <c r="BC479" s="1" t="s">
        <v>5387</v>
      </c>
      <c r="BD479" s="1">
        <v>0</v>
      </c>
      <c r="BE479" s="1"/>
      <c r="BH479">
        <f>COUNTIF(Dropdowns!$I:$AF,C479)</f>
        <v>0</v>
      </c>
    </row>
    <row r="480" spans="1:60" x14ac:dyDescent="0.25">
      <c r="A480" s="1">
        <v>9091</v>
      </c>
      <c r="B480" s="1" t="s">
        <v>6232</v>
      </c>
      <c r="C480" s="241" t="s">
        <v>5782</v>
      </c>
      <c r="D480" s="1" t="s">
        <v>3947</v>
      </c>
      <c r="E480" s="1"/>
      <c r="F480" s="1"/>
      <c r="G480" s="1" t="s">
        <v>6233</v>
      </c>
      <c r="H480" s="1" t="s">
        <v>6234</v>
      </c>
      <c r="I480" s="1" t="s">
        <v>6235</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6236</v>
      </c>
      <c r="AK480" s="1" t="s">
        <v>329</v>
      </c>
      <c r="AL480" s="1">
        <v>13</v>
      </c>
      <c r="AM480" s="1" t="s">
        <v>4763</v>
      </c>
      <c r="AN480" s="1" t="s">
        <v>5114</v>
      </c>
      <c r="AO480" s="1" t="s">
        <v>6237</v>
      </c>
      <c r="AP480" s="1">
        <v>0</v>
      </c>
      <c r="AQ480" s="1" t="s">
        <v>1141</v>
      </c>
      <c r="AR480" s="1" t="s">
        <v>1142</v>
      </c>
      <c r="AS480" s="1" t="s">
        <v>1143</v>
      </c>
      <c r="AT480" s="1" t="s">
        <v>329</v>
      </c>
      <c r="AU480" s="1">
        <v>222</v>
      </c>
      <c r="AV480" s="1">
        <v>0</v>
      </c>
      <c r="AW480" s="1" t="s">
        <v>5793</v>
      </c>
      <c r="AX480" s="1" t="s">
        <v>1807</v>
      </c>
      <c r="AY480" s="1">
        <v>5</v>
      </c>
      <c r="AZ480" s="1">
        <v>0</v>
      </c>
      <c r="BA480" s="1" t="s">
        <v>329</v>
      </c>
      <c r="BB480" s="1" t="s">
        <v>329</v>
      </c>
      <c r="BC480" s="1" t="s">
        <v>4758</v>
      </c>
      <c r="BD480" s="1">
        <v>0</v>
      </c>
      <c r="BE480" s="1"/>
      <c r="BH480">
        <f>COUNTIF(Dropdowns!$I:$AF,C480)</f>
        <v>0</v>
      </c>
    </row>
    <row r="481" spans="1:60" x14ac:dyDescent="0.25">
      <c r="A481" s="1">
        <v>9092</v>
      </c>
      <c r="B481" s="1" t="s">
        <v>6238</v>
      </c>
      <c r="C481" s="241" t="s">
        <v>190</v>
      </c>
      <c r="D481" s="1" t="s">
        <v>190</v>
      </c>
      <c r="E481" s="1"/>
      <c r="F481" s="1"/>
      <c r="G481" s="1" t="s">
        <v>6239</v>
      </c>
      <c r="H481" s="1" t="s">
        <v>6240</v>
      </c>
      <c r="I481" s="1" t="s">
        <v>6241</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6242</v>
      </c>
      <c r="AK481" s="1" t="s">
        <v>329</v>
      </c>
      <c r="AL481" s="1">
        <v>13</v>
      </c>
      <c r="AM481" s="1" t="s">
        <v>4791</v>
      </c>
      <c r="AN481" s="1" t="s">
        <v>4796</v>
      </c>
      <c r="AO481" s="1" t="s">
        <v>6243</v>
      </c>
      <c r="AP481" s="1">
        <v>0</v>
      </c>
      <c r="AQ481" s="1" t="s">
        <v>1130</v>
      </c>
      <c r="AR481" s="1" t="s">
        <v>1120</v>
      </c>
      <c r="AS481" s="1" t="s">
        <v>1131</v>
      </c>
      <c r="AT481" s="1" t="s">
        <v>329</v>
      </c>
      <c r="AU481" s="1">
        <v>28</v>
      </c>
      <c r="AV481" s="1">
        <v>0</v>
      </c>
      <c r="AW481" s="1" t="s">
        <v>5793</v>
      </c>
      <c r="AX481" s="1" t="s">
        <v>1807</v>
      </c>
      <c r="AY481" s="1">
        <v>5</v>
      </c>
      <c r="AZ481" s="1">
        <v>0</v>
      </c>
      <c r="BA481" s="1" t="s">
        <v>329</v>
      </c>
      <c r="BB481" s="1" t="s">
        <v>5218</v>
      </c>
      <c r="BC481" s="1" t="s">
        <v>4854</v>
      </c>
      <c r="BD481" s="1">
        <v>0</v>
      </c>
      <c r="BE481" s="1"/>
      <c r="BH481">
        <f>COUNTIF(Dropdowns!$I:$AF,C481)</f>
        <v>1</v>
      </c>
    </row>
    <row r="482" spans="1:60" x14ac:dyDescent="0.25">
      <c r="A482" s="1">
        <v>9093</v>
      </c>
      <c r="B482" s="1" t="s">
        <v>6244</v>
      </c>
      <c r="C482" s="241" t="s">
        <v>3773</v>
      </c>
      <c r="D482" s="1" t="s">
        <v>6245</v>
      </c>
      <c r="E482" s="1"/>
      <c r="F482" s="1"/>
      <c r="G482" s="1" t="s">
        <v>6246</v>
      </c>
      <c r="H482" s="1" t="s">
        <v>6247</v>
      </c>
      <c r="I482" s="1" t="s">
        <v>6248</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6249</v>
      </c>
      <c r="AK482" s="1" t="s">
        <v>329</v>
      </c>
      <c r="AL482" s="1">
        <v>17</v>
      </c>
      <c r="AM482" s="1" t="s">
        <v>1807</v>
      </c>
      <c r="AN482" s="1" t="s">
        <v>5250</v>
      </c>
      <c r="AO482" s="1" t="s">
        <v>6250</v>
      </c>
      <c r="AP482" s="1">
        <v>0</v>
      </c>
      <c r="AQ482" s="1" t="s">
        <v>1119</v>
      </c>
      <c r="AR482" s="1" t="s">
        <v>1120</v>
      </c>
      <c r="AS482" s="1" t="s">
        <v>1121</v>
      </c>
      <c r="AT482" s="1" t="s">
        <v>329</v>
      </c>
      <c r="AU482" s="1">
        <v>4</v>
      </c>
      <c r="AV482" s="1">
        <v>0</v>
      </c>
      <c r="AW482" s="1" t="s">
        <v>5793</v>
      </c>
      <c r="AX482" s="1" t="s">
        <v>1807</v>
      </c>
      <c r="AY482" s="1">
        <v>5</v>
      </c>
      <c r="AZ482" s="1">
        <v>0</v>
      </c>
      <c r="BA482" s="1" t="s">
        <v>329</v>
      </c>
      <c r="BB482" s="1" t="s">
        <v>329</v>
      </c>
      <c r="BC482" s="1" t="s">
        <v>329</v>
      </c>
      <c r="BD482" s="1">
        <v>0</v>
      </c>
      <c r="BE482" s="1"/>
      <c r="BH482">
        <f>COUNTIF(Dropdowns!$I:$AF,C482)</f>
        <v>0</v>
      </c>
    </row>
    <row r="483" spans="1:60" x14ac:dyDescent="0.25">
      <c r="A483" s="1">
        <v>9094</v>
      </c>
      <c r="B483" s="1" t="s">
        <v>6251</v>
      </c>
      <c r="C483" s="241" t="s">
        <v>300</v>
      </c>
      <c r="D483" s="1" t="s">
        <v>300</v>
      </c>
      <c r="E483" s="1"/>
      <c r="F483" s="1"/>
      <c r="G483" s="1" t="s">
        <v>6252</v>
      </c>
      <c r="H483" s="1" t="s">
        <v>6253</v>
      </c>
      <c r="I483" s="1" t="s">
        <v>6254</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6255</v>
      </c>
      <c r="AK483" s="1" t="s">
        <v>329</v>
      </c>
      <c r="AL483" s="1">
        <v>18</v>
      </c>
      <c r="AM483" s="1" t="s">
        <v>4859</v>
      </c>
      <c r="AN483" s="1" t="s">
        <v>4932</v>
      </c>
      <c r="AO483" s="1" t="s">
        <v>6256</v>
      </c>
      <c r="AP483" s="1">
        <v>0</v>
      </c>
      <c r="AQ483" s="1" t="s">
        <v>5013</v>
      </c>
      <c r="AR483" s="1" t="s">
        <v>4912</v>
      </c>
      <c r="AS483" s="1" t="s">
        <v>1170</v>
      </c>
      <c r="AT483" s="1" t="s">
        <v>329</v>
      </c>
      <c r="AU483" s="1">
        <v>125</v>
      </c>
      <c r="AV483" s="1">
        <v>0</v>
      </c>
      <c r="AW483" s="1" t="s">
        <v>5793</v>
      </c>
      <c r="AX483" s="1" t="s">
        <v>1807</v>
      </c>
      <c r="AY483" s="1">
        <v>5</v>
      </c>
      <c r="AZ483" s="1">
        <v>0</v>
      </c>
      <c r="BA483" s="1" t="s">
        <v>329</v>
      </c>
      <c r="BB483" s="1" t="s">
        <v>329</v>
      </c>
      <c r="BC483" s="1" t="s">
        <v>329</v>
      </c>
      <c r="BD483" s="1">
        <v>0</v>
      </c>
      <c r="BE483" s="1"/>
      <c r="BH483">
        <f>COUNTIF(Dropdowns!$I:$AF,C483)</f>
        <v>2</v>
      </c>
    </row>
    <row r="484" spans="1:60" x14ac:dyDescent="0.25">
      <c r="A484" s="1">
        <v>9095</v>
      </c>
      <c r="B484" s="1" t="s">
        <v>6257</v>
      </c>
      <c r="C484" s="241" t="s">
        <v>6053</v>
      </c>
      <c r="D484" s="1" t="s">
        <v>6221</v>
      </c>
      <c r="E484" s="1"/>
      <c r="F484" s="1"/>
      <c r="G484" s="1" t="s">
        <v>6258</v>
      </c>
      <c r="H484" s="1" t="s">
        <v>6259</v>
      </c>
      <c r="I484" s="1" t="s">
        <v>6260</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6261</v>
      </c>
      <c r="AK484" s="1" t="s">
        <v>329</v>
      </c>
      <c r="AL484" s="1">
        <v>13</v>
      </c>
      <c r="AM484" s="1" t="s">
        <v>1807</v>
      </c>
      <c r="AN484" s="1" t="s">
        <v>4748</v>
      </c>
      <c r="AO484" s="1" t="s">
        <v>4745</v>
      </c>
      <c r="AP484" s="1">
        <v>0</v>
      </c>
      <c r="AQ484" s="1" t="s">
        <v>5855</v>
      </c>
      <c r="AR484" s="1" t="s">
        <v>1120</v>
      </c>
      <c r="AS484" s="1" t="s">
        <v>1130</v>
      </c>
      <c r="AT484" s="1" t="s">
        <v>329</v>
      </c>
      <c r="AU484" s="1">
        <v>6</v>
      </c>
      <c r="AV484" s="1">
        <v>0</v>
      </c>
      <c r="AW484" s="1" t="s">
        <v>5793</v>
      </c>
      <c r="AX484" s="1" t="s">
        <v>1807</v>
      </c>
      <c r="AY484" s="1">
        <v>3</v>
      </c>
      <c r="AZ484" s="1">
        <v>0</v>
      </c>
      <c r="BA484" s="1" t="s">
        <v>329</v>
      </c>
      <c r="BB484" s="1" t="s">
        <v>329</v>
      </c>
      <c r="BC484" s="1" t="s">
        <v>329</v>
      </c>
      <c r="BD484" s="1">
        <v>0</v>
      </c>
      <c r="BE484" s="1"/>
      <c r="BH484">
        <f>COUNTIF(Dropdowns!$I:$AF,C484)</f>
        <v>0</v>
      </c>
    </row>
    <row r="485" spans="1:60" x14ac:dyDescent="0.25">
      <c r="A485" s="1">
        <v>9096</v>
      </c>
      <c r="B485" s="1" t="s">
        <v>6262</v>
      </c>
      <c r="C485" s="241" t="s">
        <v>6053</v>
      </c>
      <c r="D485" s="1" t="s">
        <v>6221</v>
      </c>
      <c r="E485" s="1"/>
      <c r="F485" s="1"/>
      <c r="G485" s="1" t="s">
        <v>6263</v>
      </c>
      <c r="H485" s="1" t="s">
        <v>6264</v>
      </c>
      <c r="I485" s="1" t="s">
        <v>6265</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6266</v>
      </c>
      <c r="AK485" s="1" t="s">
        <v>329</v>
      </c>
      <c r="AL485" s="1">
        <v>13</v>
      </c>
      <c r="AM485" s="1" t="s">
        <v>1807</v>
      </c>
      <c r="AN485" s="1" t="s">
        <v>4748</v>
      </c>
      <c r="AO485" s="1" t="s">
        <v>4745</v>
      </c>
      <c r="AP485" s="1">
        <v>0</v>
      </c>
      <c r="AQ485" s="1" t="s">
        <v>5855</v>
      </c>
      <c r="AR485" s="1" t="s">
        <v>1120</v>
      </c>
      <c r="AS485" s="1" t="s">
        <v>1130</v>
      </c>
      <c r="AT485" s="1" t="s">
        <v>329</v>
      </c>
      <c r="AU485" s="1">
        <v>6</v>
      </c>
      <c r="AV485" s="1">
        <v>0</v>
      </c>
      <c r="AW485" s="1" t="s">
        <v>5793</v>
      </c>
      <c r="AX485" s="1" t="s">
        <v>1807</v>
      </c>
      <c r="AY485" s="1">
        <v>3</v>
      </c>
      <c r="AZ485" s="1">
        <v>0</v>
      </c>
      <c r="BA485" s="1" t="s">
        <v>329</v>
      </c>
      <c r="BB485" s="1" t="s">
        <v>329</v>
      </c>
      <c r="BC485" s="1" t="s">
        <v>329</v>
      </c>
      <c r="BD485" s="1">
        <v>0</v>
      </c>
      <c r="BE485" s="1"/>
      <c r="BH485">
        <f>COUNTIF(Dropdowns!$I:$AF,C485)</f>
        <v>0</v>
      </c>
    </row>
    <row r="486" spans="1:60" x14ac:dyDescent="0.25">
      <c r="A486" s="1">
        <v>9097</v>
      </c>
      <c r="B486" s="1" t="s">
        <v>6267</v>
      </c>
      <c r="C486" s="241" t="s">
        <v>6053</v>
      </c>
      <c r="D486" s="1" t="s">
        <v>6221</v>
      </c>
      <c r="E486" s="1"/>
      <c r="F486" s="1"/>
      <c r="G486" s="1" t="s">
        <v>6268</v>
      </c>
      <c r="H486" s="1" t="s">
        <v>6269</v>
      </c>
      <c r="I486" s="1" t="s">
        <v>6270</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6271</v>
      </c>
      <c r="AK486" s="1" t="s">
        <v>329</v>
      </c>
      <c r="AL486" s="1">
        <v>13</v>
      </c>
      <c r="AM486" s="1" t="s">
        <v>1807</v>
      </c>
      <c r="AN486" s="1" t="s">
        <v>4748</v>
      </c>
      <c r="AO486" s="1" t="s">
        <v>4745</v>
      </c>
      <c r="AP486" s="1">
        <v>0</v>
      </c>
      <c r="AQ486" s="1" t="s">
        <v>5855</v>
      </c>
      <c r="AR486" s="1" t="s">
        <v>1120</v>
      </c>
      <c r="AS486" s="1" t="s">
        <v>1130</v>
      </c>
      <c r="AT486" s="1" t="s">
        <v>329</v>
      </c>
      <c r="AU486" s="1">
        <v>6</v>
      </c>
      <c r="AV486" s="1">
        <v>0</v>
      </c>
      <c r="AW486" s="1" t="s">
        <v>5793</v>
      </c>
      <c r="AX486" s="1" t="s">
        <v>1807</v>
      </c>
      <c r="AY486" s="1">
        <v>3</v>
      </c>
      <c r="AZ486" s="1">
        <v>0</v>
      </c>
      <c r="BA486" s="1" t="s">
        <v>329</v>
      </c>
      <c r="BB486" s="1" t="s">
        <v>329</v>
      </c>
      <c r="BC486" s="1" t="s">
        <v>329</v>
      </c>
      <c r="BD486" s="1">
        <v>0</v>
      </c>
      <c r="BE486" s="1"/>
      <c r="BH486">
        <f>COUNTIF(Dropdowns!$I:$AF,C486)</f>
        <v>0</v>
      </c>
    </row>
    <row r="487" spans="1:60" x14ac:dyDescent="0.25">
      <c r="A487" s="1">
        <v>9098</v>
      </c>
      <c r="B487" s="1" t="s">
        <v>6272</v>
      </c>
      <c r="C487" s="241" t="s">
        <v>98</v>
      </c>
      <c r="D487" s="1" t="s">
        <v>5991</v>
      </c>
      <c r="E487" s="1"/>
      <c r="F487" s="1"/>
      <c r="G487" s="1" t="s">
        <v>6273</v>
      </c>
      <c r="H487" s="1" t="s">
        <v>6274</v>
      </c>
      <c r="I487" s="1" t="s">
        <v>6275</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6276</v>
      </c>
      <c r="AK487" s="1" t="s">
        <v>329</v>
      </c>
      <c r="AL487" s="1">
        <v>13</v>
      </c>
      <c r="AM487" s="1" t="s">
        <v>4720</v>
      </c>
      <c r="AN487" s="1" t="s">
        <v>4748</v>
      </c>
      <c r="AO487" s="1" t="s">
        <v>4800</v>
      </c>
      <c r="AP487" s="1">
        <v>0</v>
      </c>
      <c r="AQ487" s="1" t="s">
        <v>1155</v>
      </c>
      <c r="AR487" s="1" t="s">
        <v>5996</v>
      </c>
      <c r="AS487" s="1" t="s">
        <v>5996</v>
      </c>
      <c r="AT487" s="1" t="s">
        <v>329</v>
      </c>
      <c r="AU487" s="1">
        <v>54</v>
      </c>
      <c r="AV487" s="1">
        <v>0</v>
      </c>
      <c r="AW487" s="1" t="s">
        <v>5793</v>
      </c>
      <c r="AX487" s="1" t="s">
        <v>1807</v>
      </c>
      <c r="AY487" s="1">
        <v>5</v>
      </c>
      <c r="AZ487" s="1">
        <v>0</v>
      </c>
      <c r="BA487" s="1" t="s">
        <v>329</v>
      </c>
      <c r="BB487" s="1" t="s">
        <v>329</v>
      </c>
      <c r="BC487" s="1" t="s">
        <v>329</v>
      </c>
      <c r="BD487" s="1">
        <v>0</v>
      </c>
      <c r="BE487" s="1"/>
      <c r="BH487">
        <f>COUNTIF(Dropdowns!$I:$AF,C487)</f>
        <v>1</v>
      </c>
    </row>
    <row r="488" spans="1:60" x14ac:dyDescent="0.25">
      <c r="A488" s="1">
        <v>9099</v>
      </c>
      <c r="B488" s="1" t="s">
        <v>6277</v>
      </c>
      <c r="C488" s="241" t="s">
        <v>6278</v>
      </c>
      <c r="D488" s="1" t="s">
        <v>6278</v>
      </c>
      <c r="E488" s="1"/>
      <c r="F488" s="1"/>
      <c r="G488" s="1" t="s">
        <v>6279</v>
      </c>
      <c r="H488" s="1" t="s">
        <v>6280</v>
      </c>
      <c r="I488" s="1" t="s">
        <v>6281</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1200</v>
      </c>
      <c r="AK488" s="1" t="s">
        <v>329</v>
      </c>
      <c r="AL488" s="1">
        <v>13</v>
      </c>
      <c r="AM488" s="1" t="s">
        <v>4720</v>
      </c>
      <c r="AN488" s="1" t="s">
        <v>4748</v>
      </c>
      <c r="AO488" s="1" t="s">
        <v>4800</v>
      </c>
      <c r="AP488" s="1">
        <v>0</v>
      </c>
      <c r="AQ488" s="1" t="s">
        <v>1155</v>
      </c>
      <c r="AR488" s="1" t="s">
        <v>5996</v>
      </c>
      <c r="AS488" s="1" t="s">
        <v>5996</v>
      </c>
      <c r="AT488" s="1" t="s">
        <v>329</v>
      </c>
      <c r="AU488" s="1">
        <v>54</v>
      </c>
      <c r="AV488" s="1">
        <v>0</v>
      </c>
      <c r="AW488" s="1" t="s">
        <v>5793</v>
      </c>
      <c r="AX488" s="1" t="s">
        <v>1807</v>
      </c>
      <c r="AY488" s="1">
        <v>5</v>
      </c>
      <c r="AZ488" s="1">
        <v>0</v>
      </c>
      <c r="BA488" s="1" t="s">
        <v>329</v>
      </c>
      <c r="BB488" s="1" t="s">
        <v>329</v>
      </c>
      <c r="BC488" s="1" t="s">
        <v>329</v>
      </c>
      <c r="BD488" s="1">
        <v>0</v>
      </c>
      <c r="BE488" s="1"/>
      <c r="BH488">
        <f>COUNTIF(Dropdowns!$I:$AF,C488)</f>
        <v>0</v>
      </c>
    </row>
    <row r="489" spans="1:60" x14ac:dyDescent="0.25">
      <c r="A489" s="1">
        <v>9100</v>
      </c>
      <c r="B489" s="1" t="s">
        <v>6282</v>
      </c>
      <c r="C489" s="241" t="s">
        <v>6283</v>
      </c>
      <c r="D489" s="1" t="s">
        <v>6283</v>
      </c>
      <c r="E489" s="1"/>
      <c r="F489" s="1"/>
      <c r="G489" s="1" t="s">
        <v>6284</v>
      </c>
      <c r="H489" s="1" t="s">
        <v>6285</v>
      </c>
      <c r="I489" s="1" t="s">
        <v>6286</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4791</v>
      </c>
      <c r="AN489" s="1" t="s">
        <v>4794</v>
      </c>
      <c r="AO489" s="1" t="s">
        <v>4803</v>
      </c>
      <c r="AP489" s="1">
        <v>0</v>
      </c>
      <c r="AQ489" s="1" t="s">
        <v>1130</v>
      </c>
      <c r="AR489" s="1" t="s">
        <v>1120</v>
      </c>
      <c r="AS489" s="1" t="s">
        <v>1131</v>
      </c>
      <c r="AT489" s="1" t="s">
        <v>329</v>
      </c>
      <c r="AU489" s="1">
        <v>20</v>
      </c>
      <c r="AV489" s="1">
        <v>0</v>
      </c>
      <c r="AW489" s="1" t="s">
        <v>5793</v>
      </c>
      <c r="AX489" s="1" t="s">
        <v>1807</v>
      </c>
      <c r="AY489" s="1">
        <v>5</v>
      </c>
      <c r="AZ489" s="1">
        <v>0</v>
      </c>
      <c r="BA489" s="1" t="s">
        <v>329</v>
      </c>
      <c r="BB489" s="1" t="s">
        <v>329</v>
      </c>
      <c r="BC489" s="1" t="s">
        <v>329</v>
      </c>
      <c r="BD489" s="1">
        <v>0</v>
      </c>
      <c r="BE489" s="1"/>
      <c r="BH489">
        <f>COUNTIF(Dropdowns!$I:$AF,C489)</f>
        <v>0</v>
      </c>
    </row>
    <row r="490" spans="1:60" x14ac:dyDescent="0.25">
      <c r="A490">
        <v>9101</v>
      </c>
      <c r="B490" t="s">
        <v>6608</v>
      </c>
      <c r="C490" s="242" t="s">
        <v>6609</v>
      </c>
      <c r="D490" t="s">
        <v>6609</v>
      </c>
      <c r="E490" t="s">
        <v>329</v>
      </c>
      <c r="F490" t="s">
        <v>329</v>
      </c>
      <c r="G490" t="s">
        <v>6610</v>
      </c>
      <c r="H490" t="s">
        <v>6611</v>
      </c>
      <c r="I490" t="s">
        <v>6612</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6613</v>
      </c>
      <c r="AK490" t="s">
        <v>329</v>
      </c>
      <c r="AL490">
        <v>13</v>
      </c>
      <c r="AM490" t="s">
        <v>1807</v>
      </c>
      <c r="AN490" t="s">
        <v>4748</v>
      </c>
      <c r="AO490" t="s">
        <v>4745</v>
      </c>
      <c r="AP490">
        <v>0</v>
      </c>
      <c r="AQ490" t="s">
        <v>5855</v>
      </c>
      <c r="AR490" t="s">
        <v>1120</v>
      </c>
      <c r="AS490" t="s">
        <v>1130</v>
      </c>
      <c r="AT490" t="s">
        <v>329</v>
      </c>
      <c r="AU490">
        <v>6</v>
      </c>
      <c r="AV490">
        <v>0</v>
      </c>
      <c r="AW490" t="s">
        <v>5793</v>
      </c>
      <c r="AX490" t="s">
        <v>1807</v>
      </c>
      <c r="AY490">
        <v>3</v>
      </c>
      <c r="AZ490">
        <v>0</v>
      </c>
      <c r="BA490" t="s">
        <v>329</v>
      </c>
      <c r="BB490" t="s">
        <v>329</v>
      </c>
      <c r="BC490" t="s">
        <v>329</v>
      </c>
      <c r="BD490">
        <v>0</v>
      </c>
      <c r="BE490" s="1"/>
      <c r="BH490">
        <f>COUNTIF(Dropdowns!$I:$AF,C490)</f>
        <v>0</v>
      </c>
    </row>
    <row r="491" spans="1:60" x14ac:dyDescent="0.25">
      <c r="A491" s="1">
        <v>20001</v>
      </c>
      <c r="B491" s="1" t="s">
        <v>4228</v>
      </c>
      <c r="C491" s="241" t="s">
        <v>267</v>
      </c>
      <c r="D491" s="1" t="s">
        <v>4229</v>
      </c>
      <c r="E491" s="1"/>
      <c r="F491" s="1"/>
      <c r="G491" s="1" t="s">
        <v>4230</v>
      </c>
      <c r="H491" s="1" t="s">
        <v>4231</v>
      </c>
      <c r="I491" s="1" t="s">
        <v>4232</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1807</v>
      </c>
      <c r="AN491" s="1" t="s">
        <v>4741</v>
      </c>
      <c r="AO491" s="1" t="s">
        <v>5067</v>
      </c>
      <c r="AP491" s="1">
        <v>0</v>
      </c>
      <c r="AQ491" s="1" t="s">
        <v>4743</v>
      </c>
      <c r="AR491" s="1" t="s">
        <v>1120</v>
      </c>
      <c r="AS491" s="1" t="s">
        <v>1121</v>
      </c>
      <c r="AT491" s="1" t="s">
        <v>329</v>
      </c>
      <c r="AU491" s="1">
        <v>1</v>
      </c>
      <c r="AV491" s="1">
        <v>0</v>
      </c>
      <c r="AW491" s="1" t="s">
        <v>4493</v>
      </c>
      <c r="AX491" s="1" t="s">
        <v>5417</v>
      </c>
      <c r="AY491" s="1">
        <v>5</v>
      </c>
      <c r="AZ491" s="1">
        <v>3001</v>
      </c>
      <c r="BA491" s="1" t="s">
        <v>329</v>
      </c>
      <c r="BB491" s="1" t="s">
        <v>371</v>
      </c>
      <c r="BC491" s="1" t="s">
        <v>4721</v>
      </c>
      <c r="BD491" s="1">
        <v>0</v>
      </c>
      <c r="BE491" s="1"/>
      <c r="BH491">
        <f>COUNTIF(Dropdowns!$I:$AF,C491)</f>
        <v>0</v>
      </c>
    </row>
    <row r="492" spans="1:60" x14ac:dyDescent="0.25">
      <c r="A492" s="1">
        <v>20002</v>
      </c>
      <c r="B492" s="1" t="s">
        <v>4233</v>
      </c>
      <c r="C492" s="241" t="s">
        <v>253</v>
      </c>
      <c r="D492" s="1" t="s">
        <v>253</v>
      </c>
      <c r="E492" s="1"/>
      <c r="F492" s="1"/>
      <c r="G492" s="1" t="s">
        <v>4234</v>
      </c>
      <c r="H492" s="1" t="s">
        <v>4235</v>
      </c>
      <c r="I492" s="1" t="s">
        <v>4236</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1165</v>
      </c>
      <c r="AK492" s="1" t="s">
        <v>1405</v>
      </c>
      <c r="AL492" s="1">
        <v>13</v>
      </c>
      <c r="AM492" s="1" t="s">
        <v>1807</v>
      </c>
      <c r="AN492" s="1" t="s">
        <v>4741</v>
      </c>
      <c r="AO492" s="1" t="s">
        <v>5418</v>
      </c>
      <c r="AP492" s="1">
        <v>0</v>
      </c>
      <c r="AQ492" s="1" t="s">
        <v>1119</v>
      </c>
      <c r="AR492" s="1" t="s">
        <v>1744</v>
      </c>
      <c r="AS492" s="1" t="s">
        <v>1121</v>
      </c>
      <c r="AT492" s="1" t="s">
        <v>329</v>
      </c>
      <c r="AU492" s="1">
        <v>2</v>
      </c>
      <c r="AV492" s="1">
        <v>0</v>
      </c>
      <c r="AW492" s="1" t="s">
        <v>4493</v>
      </c>
      <c r="AX492" s="1" t="s">
        <v>5417</v>
      </c>
      <c r="AY492" s="1">
        <v>4</v>
      </c>
      <c r="AZ492" s="1">
        <v>3002</v>
      </c>
      <c r="BA492" s="1" t="s">
        <v>329</v>
      </c>
      <c r="BB492" s="1" t="s">
        <v>4747</v>
      </c>
      <c r="BC492" s="1" t="s">
        <v>4721</v>
      </c>
      <c r="BD492" s="1">
        <v>0</v>
      </c>
      <c r="BE492" s="1"/>
      <c r="BH492">
        <f>COUNTIF(Dropdowns!$I:$AF,C492)</f>
        <v>0</v>
      </c>
    </row>
    <row r="493" spans="1:60" x14ac:dyDescent="0.25">
      <c r="A493" s="1">
        <v>20005</v>
      </c>
      <c r="B493" s="1" t="s">
        <v>4237</v>
      </c>
      <c r="C493" s="241" t="s">
        <v>785</v>
      </c>
      <c r="D493" s="1" t="s">
        <v>785</v>
      </c>
      <c r="E493" s="1"/>
      <c r="F493" s="1"/>
      <c r="G493" s="1" t="s">
        <v>4238</v>
      </c>
      <c r="H493" s="1" t="s">
        <v>4239</v>
      </c>
      <c r="I493" s="1" t="s">
        <v>4240</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1406</v>
      </c>
      <c r="AK493" s="1" t="s">
        <v>329</v>
      </c>
      <c r="AL493" s="1">
        <v>13</v>
      </c>
      <c r="AM493" s="1" t="s">
        <v>1807</v>
      </c>
      <c r="AN493" s="1" t="s">
        <v>4755</v>
      </c>
      <c r="AO493" s="1" t="s">
        <v>5419</v>
      </c>
      <c r="AP493" s="1">
        <v>0</v>
      </c>
      <c r="AQ493" s="1" t="s">
        <v>4743</v>
      </c>
      <c r="AR493" s="1" t="s">
        <v>1120</v>
      </c>
      <c r="AS493" s="1" t="s">
        <v>1121</v>
      </c>
      <c r="AT493" s="1" t="s">
        <v>329</v>
      </c>
      <c r="AU493" s="1">
        <v>5</v>
      </c>
      <c r="AV493" s="1">
        <v>0</v>
      </c>
      <c r="AW493" s="1" t="s">
        <v>4493</v>
      </c>
      <c r="AX493" s="1" t="s">
        <v>5417</v>
      </c>
      <c r="AY493" s="1">
        <v>4</v>
      </c>
      <c r="AZ493" s="1">
        <v>3005</v>
      </c>
      <c r="BA493" s="1" t="s">
        <v>329</v>
      </c>
      <c r="BB493" s="1" t="s">
        <v>4757</v>
      </c>
      <c r="BC493" s="1" t="s">
        <v>4758</v>
      </c>
      <c r="BD493" s="1">
        <v>0</v>
      </c>
      <c r="BE493" s="1"/>
      <c r="BH493">
        <f>COUNTIF(Dropdowns!$I:$AF,C493)</f>
        <v>0</v>
      </c>
    </row>
    <row r="494" spans="1:60" x14ac:dyDescent="0.25">
      <c r="A494" s="1">
        <v>20007</v>
      </c>
      <c r="B494" s="1" t="s">
        <v>4241</v>
      </c>
      <c r="C494" s="241" t="s">
        <v>740</v>
      </c>
      <c r="D494" s="1" t="s">
        <v>4242</v>
      </c>
      <c r="E494" s="1"/>
      <c r="F494" s="1"/>
      <c r="G494" s="1" t="s">
        <v>4243</v>
      </c>
      <c r="H494" s="1" t="s">
        <v>4244</v>
      </c>
      <c r="I494" s="1" t="s">
        <v>4245</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1407</v>
      </c>
      <c r="AL494" s="1">
        <v>13</v>
      </c>
      <c r="AM494" s="1" t="s">
        <v>1807</v>
      </c>
      <c r="AN494" s="1" t="s">
        <v>4748</v>
      </c>
      <c r="AO494" s="1" t="s">
        <v>5420</v>
      </c>
      <c r="AP494" s="1">
        <v>0</v>
      </c>
      <c r="AQ494" s="1" t="s">
        <v>4743</v>
      </c>
      <c r="AR494" s="1" t="s">
        <v>1120</v>
      </c>
      <c r="AS494" s="1" t="s">
        <v>4762</v>
      </c>
      <c r="AT494" s="1" t="s">
        <v>329</v>
      </c>
      <c r="AU494" s="1">
        <v>7</v>
      </c>
      <c r="AV494" s="1">
        <v>0</v>
      </c>
      <c r="AW494" s="1" t="s">
        <v>4493</v>
      </c>
      <c r="AX494" s="1" t="s">
        <v>5417</v>
      </c>
      <c r="AY494" s="1">
        <v>5</v>
      </c>
      <c r="AZ494" s="1">
        <v>3007</v>
      </c>
      <c r="BA494" s="1" t="s">
        <v>329</v>
      </c>
      <c r="BB494" s="1" t="s">
        <v>485</v>
      </c>
      <c r="BC494" s="1" t="s">
        <v>4758</v>
      </c>
      <c r="BD494" s="1">
        <v>0</v>
      </c>
      <c r="BE494" s="1"/>
      <c r="BH494">
        <f>COUNTIF(Dropdowns!$I:$AF,C494)</f>
        <v>0</v>
      </c>
    </row>
    <row r="495" spans="1:60" x14ac:dyDescent="0.25">
      <c r="A495" s="1">
        <v>20008</v>
      </c>
      <c r="B495" s="1" t="s">
        <v>4246</v>
      </c>
      <c r="C495" s="241" t="s">
        <v>938</v>
      </c>
      <c r="D495" s="1" t="s">
        <v>4247</v>
      </c>
      <c r="E495" s="1"/>
      <c r="F495" s="1"/>
      <c r="G495" s="1" t="s">
        <v>4248</v>
      </c>
      <c r="H495" s="1" t="s">
        <v>4249</v>
      </c>
      <c r="I495" s="1" t="s">
        <v>4250</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1408</v>
      </c>
      <c r="AK495" s="1" t="s">
        <v>1409</v>
      </c>
      <c r="AL495" s="1">
        <v>13</v>
      </c>
      <c r="AM495" s="1" t="s">
        <v>1807</v>
      </c>
      <c r="AN495" s="1" t="s">
        <v>5421</v>
      </c>
      <c r="AO495" s="1" t="s">
        <v>5422</v>
      </c>
      <c r="AP495" s="1">
        <v>0</v>
      </c>
      <c r="AQ495" s="1" t="s">
        <v>4743</v>
      </c>
      <c r="AR495" s="1" t="s">
        <v>1744</v>
      </c>
      <c r="AS495" s="1" t="s">
        <v>1121</v>
      </c>
      <c r="AT495" s="1" t="s">
        <v>329</v>
      </c>
      <c r="AU495" s="1">
        <v>8</v>
      </c>
      <c r="AV495" s="1">
        <v>0</v>
      </c>
      <c r="AW495" s="1" t="s">
        <v>4493</v>
      </c>
      <c r="AX495" s="1" t="s">
        <v>5417</v>
      </c>
      <c r="AY495" s="1">
        <v>4</v>
      </c>
      <c r="AZ495" s="1">
        <v>3008</v>
      </c>
      <c r="BA495" s="1" t="s">
        <v>329</v>
      </c>
      <c r="BB495" s="1" t="s">
        <v>4767</v>
      </c>
      <c r="BC495" s="1" t="s">
        <v>4758</v>
      </c>
      <c r="BD495" s="1">
        <v>0</v>
      </c>
      <c r="BE495" s="1"/>
      <c r="BH495">
        <f>COUNTIF(Dropdowns!$I:$AF,C495)</f>
        <v>0</v>
      </c>
    </row>
    <row r="496" spans="1:60" x14ac:dyDescent="0.25">
      <c r="A496" s="1">
        <v>20010</v>
      </c>
      <c r="B496" s="1" t="s">
        <v>6466</v>
      </c>
      <c r="C496" s="241" t="s">
        <v>6467</v>
      </c>
      <c r="D496" s="1" t="s">
        <v>6467</v>
      </c>
      <c r="E496" s="1"/>
      <c r="F496" s="1"/>
      <c r="G496" s="1" t="s">
        <v>6468</v>
      </c>
      <c r="H496" s="1" t="s">
        <v>6469</v>
      </c>
      <c r="I496" s="1" t="s">
        <v>6470</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6471</v>
      </c>
      <c r="AL496" s="1">
        <v>13</v>
      </c>
      <c r="AM496" s="1" t="s">
        <v>1807</v>
      </c>
      <c r="AN496" s="1" t="s">
        <v>6472</v>
      </c>
      <c r="AO496" s="1" t="s">
        <v>6473</v>
      </c>
      <c r="AP496" s="1">
        <v>0</v>
      </c>
      <c r="AQ496" s="1" t="s">
        <v>4743</v>
      </c>
      <c r="AR496" s="1" t="s">
        <v>1744</v>
      </c>
      <c r="AS496" s="1" t="s">
        <v>1121</v>
      </c>
      <c r="AT496" s="1" t="s">
        <v>329</v>
      </c>
      <c r="AU496" s="1">
        <v>10</v>
      </c>
      <c r="AV496" s="1">
        <v>0</v>
      </c>
      <c r="AW496" s="1" t="s">
        <v>4493</v>
      </c>
      <c r="AX496" s="1" t="s">
        <v>5417</v>
      </c>
      <c r="AY496" s="1">
        <v>4</v>
      </c>
      <c r="AZ496" s="1">
        <v>3010</v>
      </c>
      <c r="BA496" s="1" t="s">
        <v>329</v>
      </c>
      <c r="BB496" s="1" t="s">
        <v>4773</v>
      </c>
      <c r="BC496" s="1" t="s">
        <v>4770</v>
      </c>
      <c r="BD496" s="1">
        <v>0</v>
      </c>
      <c r="BE496" s="1"/>
      <c r="BH496">
        <f>COUNTIF(Dropdowns!$I:$AF,C496)</f>
        <v>0</v>
      </c>
    </row>
    <row r="497" spans="1:60" x14ac:dyDescent="0.25">
      <c r="A497" s="1">
        <v>20012</v>
      </c>
      <c r="B497" s="1" t="s">
        <v>4251</v>
      </c>
      <c r="C497" s="241" t="s">
        <v>746</v>
      </c>
      <c r="D497" s="1" t="s">
        <v>746</v>
      </c>
      <c r="E497" s="1"/>
      <c r="F497" s="1"/>
      <c r="G497" s="1" t="s">
        <v>4252</v>
      </c>
      <c r="H497" s="1" t="s">
        <v>4253</v>
      </c>
      <c r="I497" s="1" t="s">
        <v>4254</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1807</v>
      </c>
      <c r="AN497" s="1" t="s">
        <v>4777</v>
      </c>
      <c r="AO497" s="1" t="s">
        <v>5423</v>
      </c>
      <c r="AP497" s="1">
        <v>0</v>
      </c>
      <c r="AQ497" s="1" t="s">
        <v>4743</v>
      </c>
      <c r="AR497" s="1" t="s">
        <v>1120</v>
      </c>
      <c r="AS497" s="1" t="s">
        <v>1121</v>
      </c>
      <c r="AT497" s="1" t="s">
        <v>329</v>
      </c>
      <c r="AU497" s="1">
        <v>12</v>
      </c>
      <c r="AV497" s="1">
        <v>0</v>
      </c>
      <c r="AW497" s="1" t="s">
        <v>4493</v>
      </c>
      <c r="AX497" s="1" t="s">
        <v>5417</v>
      </c>
      <c r="AY497" s="1">
        <v>4</v>
      </c>
      <c r="AZ497" s="1">
        <v>3012</v>
      </c>
      <c r="BA497" s="1" t="s">
        <v>329</v>
      </c>
      <c r="BB497" s="1" t="s">
        <v>4779</v>
      </c>
      <c r="BC497" s="1" t="s">
        <v>4770</v>
      </c>
      <c r="BD497" s="1">
        <v>0</v>
      </c>
      <c r="BE497" s="1"/>
      <c r="BH497">
        <f>COUNTIF(Dropdowns!$I:$AF,C497)</f>
        <v>0</v>
      </c>
    </row>
    <row r="498" spans="1:60" x14ac:dyDescent="0.25">
      <c r="A498" s="1">
        <v>20021</v>
      </c>
      <c r="B498" s="1" t="s">
        <v>5721</v>
      </c>
      <c r="C498" s="241" t="s">
        <v>5775</v>
      </c>
      <c r="D498" s="1" t="s">
        <v>5722</v>
      </c>
      <c r="E498" s="1"/>
      <c r="F498" s="1"/>
      <c r="G498" s="1" t="s">
        <v>5723</v>
      </c>
      <c r="H498" s="1" t="s">
        <v>5724</v>
      </c>
      <c r="I498" s="1" t="s">
        <v>5725</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5726</v>
      </c>
      <c r="AK498" s="1" t="s">
        <v>5727</v>
      </c>
      <c r="AL498" s="1">
        <v>13</v>
      </c>
      <c r="AM498" s="1" t="s">
        <v>399</v>
      </c>
      <c r="AN498" s="1" t="s">
        <v>5728</v>
      </c>
      <c r="AO498" s="1" t="s">
        <v>5165</v>
      </c>
      <c r="AP498" s="1">
        <v>0</v>
      </c>
      <c r="AQ498" s="1" t="s">
        <v>1130</v>
      </c>
      <c r="AR498" s="1" t="s">
        <v>1744</v>
      </c>
      <c r="AS498" s="1" t="s">
        <v>1746</v>
      </c>
      <c r="AT498" s="1" t="s">
        <v>329</v>
      </c>
      <c r="AU498" s="1">
        <v>21</v>
      </c>
      <c r="AV498" s="1">
        <v>0</v>
      </c>
      <c r="AW498" s="1" t="s">
        <v>4493</v>
      </c>
      <c r="AX498" s="1" t="s">
        <v>5417</v>
      </c>
      <c r="AY498" s="1">
        <v>4</v>
      </c>
      <c r="AZ498" s="1">
        <v>3021</v>
      </c>
      <c r="BA498" s="1" t="s">
        <v>329</v>
      </c>
      <c r="BB498" s="1" t="s">
        <v>4806</v>
      </c>
      <c r="BC498" s="1" t="s">
        <v>4758</v>
      </c>
      <c r="BD498" s="1">
        <v>0</v>
      </c>
      <c r="BE498" s="1"/>
      <c r="BH498">
        <f>COUNTIF(Dropdowns!$I:$AF,C498)</f>
        <v>1</v>
      </c>
    </row>
    <row r="499" spans="1:60" x14ac:dyDescent="0.25">
      <c r="A499" s="1">
        <v>20026</v>
      </c>
      <c r="B499" s="1" t="s">
        <v>4255</v>
      </c>
      <c r="C499" s="241" t="s">
        <v>1410</v>
      </c>
      <c r="D499" s="1" t="s">
        <v>1410</v>
      </c>
      <c r="E499" s="1"/>
      <c r="F499" s="1"/>
      <c r="G499" s="1" t="s">
        <v>4256</v>
      </c>
      <c r="H499" s="1" t="s">
        <v>4257</v>
      </c>
      <c r="I499" s="1" t="s">
        <v>4258</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1411</v>
      </c>
      <c r="AK499" s="1" t="s">
        <v>329</v>
      </c>
      <c r="AL499" s="1">
        <v>13</v>
      </c>
      <c r="AM499" s="1" t="s">
        <v>355</v>
      </c>
      <c r="AN499" s="1" t="s">
        <v>389</v>
      </c>
      <c r="AO499" s="1" t="s">
        <v>5424</v>
      </c>
      <c r="AP499" s="1">
        <v>0</v>
      </c>
      <c r="AQ499" s="1" t="s">
        <v>1745</v>
      </c>
      <c r="AR499" s="1" t="s">
        <v>1120</v>
      </c>
      <c r="AS499" s="1" t="s">
        <v>1746</v>
      </c>
      <c r="AT499" s="1" t="s">
        <v>329</v>
      </c>
      <c r="AU499" s="1">
        <v>26</v>
      </c>
      <c r="AV499" s="1">
        <v>0</v>
      </c>
      <c r="AW499" s="1" t="s">
        <v>4493</v>
      </c>
      <c r="AX499" s="1" t="s">
        <v>5417</v>
      </c>
      <c r="AY499" s="1">
        <v>5</v>
      </c>
      <c r="AZ499" s="1">
        <v>3026</v>
      </c>
      <c r="BA499" s="1" t="s">
        <v>329</v>
      </c>
      <c r="BB499" s="1" t="s">
        <v>4814</v>
      </c>
      <c r="BC499" s="1" t="s">
        <v>4770</v>
      </c>
      <c r="BD499" s="1">
        <v>0</v>
      </c>
      <c r="BE499" s="1"/>
      <c r="BH499">
        <f>COUNTIF(Dropdowns!$I:$AF,C499)</f>
        <v>1</v>
      </c>
    </row>
    <row r="500" spans="1:60" x14ac:dyDescent="0.25">
      <c r="A500" s="1">
        <v>20029</v>
      </c>
      <c r="B500" s="1" t="s">
        <v>4259</v>
      </c>
      <c r="C500" s="241" t="s">
        <v>829</v>
      </c>
      <c r="D500" s="1" t="s">
        <v>4260</v>
      </c>
      <c r="E500" s="1"/>
      <c r="F500" s="1"/>
      <c r="G500" s="1" t="s">
        <v>4261</v>
      </c>
      <c r="H500" s="1" t="s">
        <v>4262</v>
      </c>
      <c r="I500" s="1" t="s">
        <v>4263</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1412</v>
      </c>
      <c r="AK500" s="1" t="s">
        <v>329</v>
      </c>
      <c r="AL500" s="1">
        <v>13</v>
      </c>
      <c r="AM500" s="1" t="s">
        <v>4791</v>
      </c>
      <c r="AN500" s="1" t="s">
        <v>4796</v>
      </c>
      <c r="AO500" s="1" t="s">
        <v>5425</v>
      </c>
      <c r="AP500" s="1">
        <v>0</v>
      </c>
      <c r="AQ500" s="1" t="s">
        <v>1130</v>
      </c>
      <c r="AR500" s="1" t="s">
        <v>1120</v>
      </c>
      <c r="AS500" s="1" t="s">
        <v>1746</v>
      </c>
      <c r="AT500" s="1" t="s">
        <v>329</v>
      </c>
      <c r="AU500" s="1">
        <v>29</v>
      </c>
      <c r="AV500" s="1">
        <v>0</v>
      </c>
      <c r="AW500" s="1" t="s">
        <v>4493</v>
      </c>
      <c r="AX500" s="1" t="s">
        <v>5417</v>
      </c>
      <c r="AY500" s="1">
        <v>4</v>
      </c>
      <c r="AZ500" s="1">
        <v>3029</v>
      </c>
      <c r="BA500" s="1" t="s">
        <v>329</v>
      </c>
      <c r="BB500" s="1" t="s">
        <v>4823</v>
      </c>
      <c r="BC500" s="1" t="s">
        <v>329</v>
      </c>
      <c r="BD500" s="1">
        <v>0</v>
      </c>
      <c r="BE500" s="1"/>
      <c r="BH500">
        <f>COUNTIF(Dropdowns!$I:$AF,C500)</f>
        <v>1</v>
      </c>
    </row>
    <row r="501" spans="1:60" x14ac:dyDescent="0.25">
      <c r="A501" s="1">
        <v>20031</v>
      </c>
      <c r="B501" s="1" t="s">
        <v>4264</v>
      </c>
      <c r="C501" s="241" t="s">
        <v>715</v>
      </c>
      <c r="D501" s="1" t="s">
        <v>4265</v>
      </c>
      <c r="E501" s="1"/>
      <c r="F501" s="1"/>
      <c r="G501" s="1" t="s">
        <v>4266</v>
      </c>
      <c r="H501" s="1" t="s">
        <v>4267</v>
      </c>
      <c r="I501" s="1" t="s">
        <v>4268</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1138</v>
      </c>
      <c r="AL501" s="1">
        <v>13</v>
      </c>
      <c r="AM501" s="1" t="s">
        <v>355</v>
      </c>
      <c r="AN501" s="1" t="s">
        <v>389</v>
      </c>
      <c r="AO501" s="1" t="s">
        <v>5078</v>
      </c>
      <c r="AP501" s="1">
        <v>0</v>
      </c>
      <c r="AQ501" s="1" t="s">
        <v>1130</v>
      </c>
      <c r="AR501" s="1" t="s">
        <v>1120</v>
      </c>
      <c r="AS501" s="1" t="s">
        <v>1746</v>
      </c>
      <c r="AT501" s="1" t="s">
        <v>329</v>
      </c>
      <c r="AU501" s="1">
        <v>31</v>
      </c>
      <c r="AV501" s="1">
        <v>0</v>
      </c>
      <c r="AW501" s="1" t="s">
        <v>4493</v>
      </c>
      <c r="AX501" s="1" t="s">
        <v>5417</v>
      </c>
      <c r="AY501" s="1">
        <v>4</v>
      </c>
      <c r="AZ501" s="1">
        <v>3031</v>
      </c>
      <c r="BA501" s="1" t="s">
        <v>329</v>
      </c>
      <c r="BB501" s="1" t="s">
        <v>329</v>
      </c>
      <c r="BC501" s="1" t="s">
        <v>4740</v>
      </c>
      <c r="BD501" s="1">
        <v>0</v>
      </c>
      <c r="BE501" s="1"/>
      <c r="BH501">
        <f>COUNTIF(Dropdowns!$I:$AF,C501)</f>
        <v>1</v>
      </c>
    </row>
    <row r="502" spans="1:60" x14ac:dyDescent="0.25">
      <c r="A502" s="1">
        <v>20032</v>
      </c>
      <c r="B502" s="1" t="s">
        <v>4269</v>
      </c>
      <c r="C502" s="241" t="s">
        <v>254</v>
      </c>
      <c r="D502" s="1" t="s">
        <v>4270</v>
      </c>
      <c r="E502" s="1"/>
      <c r="F502" s="1"/>
      <c r="G502" s="1" t="s">
        <v>4271</v>
      </c>
      <c r="H502" s="1" t="s">
        <v>4272</v>
      </c>
      <c r="I502" s="1" t="s">
        <v>4273</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1165</v>
      </c>
      <c r="AK502" s="1" t="s">
        <v>1413</v>
      </c>
      <c r="AL502" s="1">
        <v>13</v>
      </c>
      <c r="AM502" s="1" t="s">
        <v>4791</v>
      </c>
      <c r="AN502" s="1" t="s">
        <v>5426</v>
      </c>
      <c r="AO502" s="1" t="s">
        <v>5427</v>
      </c>
      <c r="AP502" s="1">
        <v>0</v>
      </c>
      <c r="AQ502" s="1" t="s">
        <v>1130</v>
      </c>
      <c r="AR502" s="1" t="s">
        <v>1120</v>
      </c>
      <c r="AS502" s="1" t="s">
        <v>1746</v>
      </c>
      <c r="AT502" s="1" t="s">
        <v>329</v>
      </c>
      <c r="AU502" s="1">
        <v>32</v>
      </c>
      <c r="AV502" s="1">
        <v>0</v>
      </c>
      <c r="AW502" s="1" t="s">
        <v>4493</v>
      </c>
      <c r="AX502" s="1" t="s">
        <v>5417</v>
      </c>
      <c r="AY502" s="1">
        <v>4</v>
      </c>
      <c r="AZ502" s="1">
        <v>3032</v>
      </c>
      <c r="BA502" s="1" t="s">
        <v>329</v>
      </c>
      <c r="BB502" s="1" t="s">
        <v>371</v>
      </c>
      <c r="BC502" s="1" t="s">
        <v>329</v>
      </c>
      <c r="BD502" s="1">
        <v>0</v>
      </c>
      <c r="BE502" s="1"/>
      <c r="BH502">
        <f>COUNTIF(Dropdowns!$I:$AF,C502)</f>
        <v>1</v>
      </c>
    </row>
    <row r="503" spans="1:60" x14ac:dyDescent="0.25">
      <c r="A503" s="1">
        <v>20037</v>
      </c>
      <c r="B503" s="1" t="s">
        <v>4274</v>
      </c>
      <c r="C503" s="241" t="s">
        <v>255</v>
      </c>
      <c r="D503" s="1" t="s">
        <v>255</v>
      </c>
      <c r="E503" s="1"/>
      <c r="F503" s="1"/>
      <c r="G503" s="1" t="s">
        <v>4275</v>
      </c>
      <c r="H503" s="1" t="s">
        <v>4276</v>
      </c>
      <c r="I503" s="1" t="s">
        <v>4277</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4763</v>
      </c>
      <c r="AN503" s="1" t="s">
        <v>4835</v>
      </c>
      <c r="AO503" s="1" t="s">
        <v>4833</v>
      </c>
      <c r="AP503" s="1">
        <v>0</v>
      </c>
      <c r="AQ503" s="1" t="s">
        <v>1141</v>
      </c>
      <c r="AR503" s="1" t="s">
        <v>4836</v>
      </c>
      <c r="AS503" s="1" t="s">
        <v>1143</v>
      </c>
      <c r="AT503" s="1" t="s">
        <v>329</v>
      </c>
      <c r="AU503" s="1">
        <v>37</v>
      </c>
      <c r="AV503" s="1">
        <v>0</v>
      </c>
      <c r="AW503" s="1" t="s">
        <v>4493</v>
      </c>
      <c r="AX503" s="1" t="s">
        <v>5417</v>
      </c>
      <c r="AY503" s="1">
        <v>4</v>
      </c>
      <c r="AZ503" s="1">
        <v>3037</v>
      </c>
      <c r="BA503" s="1" t="s">
        <v>329</v>
      </c>
      <c r="BB503" s="1" t="s">
        <v>4837</v>
      </c>
      <c r="BC503" s="1" t="s">
        <v>4721</v>
      </c>
      <c r="BD503" s="1">
        <v>0</v>
      </c>
      <c r="BE503" s="1"/>
      <c r="BH503">
        <f>COUNTIF(Dropdowns!$I:$AF,C503)</f>
        <v>1</v>
      </c>
    </row>
    <row r="504" spans="1:60" x14ac:dyDescent="0.25">
      <c r="A504" s="1">
        <v>20039</v>
      </c>
      <c r="B504" s="1" t="s">
        <v>4278</v>
      </c>
      <c r="C504" s="241" t="s">
        <v>1680</v>
      </c>
      <c r="D504" s="1" t="s">
        <v>4279</v>
      </c>
      <c r="E504" s="1"/>
      <c r="F504" s="1"/>
      <c r="G504" s="1" t="s">
        <v>4280</v>
      </c>
      <c r="H504" s="1" t="s">
        <v>4281</v>
      </c>
      <c r="I504" s="1" t="s">
        <v>4282</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1146</v>
      </c>
      <c r="AK504" s="1" t="s">
        <v>1414</v>
      </c>
      <c r="AL504" s="1">
        <v>13</v>
      </c>
      <c r="AM504" s="1" t="s">
        <v>4763</v>
      </c>
      <c r="AN504" s="1" t="s">
        <v>4811</v>
      </c>
      <c r="AO504" s="1" t="s">
        <v>4846</v>
      </c>
      <c r="AP504" s="1">
        <v>0</v>
      </c>
      <c r="AQ504" s="1" t="s">
        <v>1141</v>
      </c>
      <c r="AR504" s="1" t="s">
        <v>4836</v>
      </c>
      <c r="AS504" s="1" t="s">
        <v>4840</v>
      </c>
      <c r="AT504" s="1" t="s">
        <v>329</v>
      </c>
      <c r="AU504" s="1">
        <v>39</v>
      </c>
      <c r="AV504" s="1">
        <v>0</v>
      </c>
      <c r="AW504" s="1" t="s">
        <v>4493</v>
      </c>
      <c r="AX504" s="1" t="s">
        <v>5417</v>
      </c>
      <c r="AY504" s="1">
        <v>5</v>
      </c>
      <c r="AZ504" s="1">
        <v>3039</v>
      </c>
      <c r="BA504" s="1" t="s">
        <v>329</v>
      </c>
      <c r="BB504" s="1" t="s">
        <v>4841</v>
      </c>
      <c r="BC504" s="1" t="s">
        <v>4758</v>
      </c>
      <c r="BD504" s="1">
        <v>0</v>
      </c>
      <c r="BE504" s="1"/>
      <c r="BH504">
        <f>COUNTIF(Dropdowns!$I:$AF,C504)</f>
        <v>1</v>
      </c>
    </row>
    <row r="505" spans="1:60" x14ac:dyDescent="0.25">
      <c r="A505" s="1">
        <v>20044</v>
      </c>
      <c r="B505" s="1" t="s">
        <v>4283</v>
      </c>
      <c r="C505" s="241" t="s">
        <v>1681</v>
      </c>
      <c r="D505" s="1" t="s">
        <v>1681</v>
      </c>
      <c r="E505" s="1"/>
      <c r="F505" s="1"/>
      <c r="G505" s="1" t="s">
        <v>4284</v>
      </c>
      <c r="H505" s="1" t="s">
        <v>4285</v>
      </c>
      <c r="I505" s="1" t="s">
        <v>4286</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1415</v>
      </c>
      <c r="AK505" s="1" t="s">
        <v>1416</v>
      </c>
      <c r="AL505" s="1">
        <v>13</v>
      </c>
      <c r="AM505" s="1" t="s">
        <v>4763</v>
      </c>
      <c r="AN505" s="1" t="s">
        <v>466</v>
      </c>
      <c r="AO505" s="1" t="s">
        <v>4833</v>
      </c>
      <c r="AP505" s="1">
        <v>0</v>
      </c>
      <c r="AQ505" s="1" t="s">
        <v>1141</v>
      </c>
      <c r="AR505" s="1" t="s">
        <v>1142</v>
      </c>
      <c r="AS505" s="1" t="s">
        <v>4840</v>
      </c>
      <c r="AT505" s="1" t="s">
        <v>329</v>
      </c>
      <c r="AU505" s="1">
        <v>44</v>
      </c>
      <c r="AV505" s="1">
        <v>0</v>
      </c>
      <c r="AW505" s="1" t="s">
        <v>4493</v>
      </c>
      <c r="AX505" s="1" t="s">
        <v>5417</v>
      </c>
      <c r="AY505" s="1">
        <v>4</v>
      </c>
      <c r="AZ505" s="1">
        <v>3044</v>
      </c>
      <c r="BA505" s="1" t="s">
        <v>329</v>
      </c>
      <c r="BB505" s="1" t="s">
        <v>4845</v>
      </c>
      <c r="BC505" s="1" t="s">
        <v>4758</v>
      </c>
      <c r="BD505" s="1">
        <v>0</v>
      </c>
      <c r="BE505" s="1"/>
      <c r="BH505">
        <f>COUNTIF(Dropdowns!$I:$AF,C505)</f>
        <v>1</v>
      </c>
    </row>
    <row r="506" spans="1:60" x14ac:dyDescent="0.25">
      <c r="A506" s="1">
        <v>20049</v>
      </c>
      <c r="B506" s="1" t="s">
        <v>4287</v>
      </c>
      <c r="C506" s="241" t="s">
        <v>830</v>
      </c>
      <c r="D506" s="1" t="s">
        <v>4288</v>
      </c>
      <c r="E506" s="1"/>
      <c r="F506" s="1"/>
      <c r="G506" s="1" t="s">
        <v>4289</v>
      </c>
      <c r="H506" s="1" t="s">
        <v>4290</v>
      </c>
      <c r="I506" s="1" t="s">
        <v>4291</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1417</v>
      </c>
      <c r="AK506" s="1" t="s">
        <v>329</v>
      </c>
      <c r="AL506" s="1">
        <v>13</v>
      </c>
      <c r="AM506" s="1" t="s">
        <v>4763</v>
      </c>
      <c r="AN506" s="1" t="s">
        <v>4774</v>
      </c>
      <c r="AO506" s="1" t="s">
        <v>4833</v>
      </c>
      <c r="AP506" s="1">
        <v>0</v>
      </c>
      <c r="AQ506" s="1" t="s">
        <v>1747</v>
      </c>
      <c r="AR506" s="1" t="s">
        <v>1142</v>
      </c>
      <c r="AS506" s="1" t="s">
        <v>1143</v>
      </c>
      <c r="AT506" s="1" t="s">
        <v>329</v>
      </c>
      <c r="AU506" s="1">
        <v>49</v>
      </c>
      <c r="AV506" s="1">
        <v>0</v>
      </c>
      <c r="AW506" s="1" t="s">
        <v>4849</v>
      </c>
      <c r="AX506" s="1" t="s">
        <v>5417</v>
      </c>
      <c r="AY506" s="1">
        <v>4</v>
      </c>
      <c r="AZ506" s="1">
        <v>3049</v>
      </c>
      <c r="BA506" s="1" t="s">
        <v>329</v>
      </c>
      <c r="BB506" s="1" t="s">
        <v>4851</v>
      </c>
      <c r="BC506" s="1" t="s">
        <v>4784</v>
      </c>
      <c r="BD506" s="1">
        <v>0</v>
      </c>
      <c r="BE506" s="1"/>
      <c r="BH506">
        <f>COUNTIF(Dropdowns!$I:$AF,C506)</f>
        <v>1</v>
      </c>
    </row>
    <row r="507" spans="1:60" x14ac:dyDescent="0.25">
      <c r="A507" s="1">
        <v>20051</v>
      </c>
      <c r="B507" s="1" t="s">
        <v>4292</v>
      </c>
      <c r="C507" s="241" t="s">
        <v>1418</v>
      </c>
      <c r="D507" s="1" t="s">
        <v>1418</v>
      </c>
      <c r="E507" s="1"/>
      <c r="F507" s="1"/>
      <c r="G507" s="1" t="s">
        <v>4293</v>
      </c>
      <c r="H507" s="1" t="s">
        <v>4294</v>
      </c>
      <c r="I507" s="1" t="s">
        <v>4295</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4763</v>
      </c>
      <c r="AN507" s="1" t="s">
        <v>4835</v>
      </c>
      <c r="AO507" s="1" t="s">
        <v>4833</v>
      </c>
      <c r="AP507" s="1">
        <v>0</v>
      </c>
      <c r="AQ507" s="1" t="s">
        <v>1141</v>
      </c>
      <c r="AR507" s="1" t="s">
        <v>4836</v>
      </c>
      <c r="AS507" s="1" t="s">
        <v>1143</v>
      </c>
      <c r="AT507" s="1" t="s">
        <v>329</v>
      </c>
      <c r="AU507" s="1">
        <v>51</v>
      </c>
      <c r="AV507" s="1">
        <v>0</v>
      </c>
      <c r="AW507" s="1" t="s">
        <v>4493</v>
      </c>
      <c r="AX507" s="1" t="s">
        <v>5417</v>
      </c>
      <c r="AY507" s="1">
        <v>4</v>
      </c>
      <c r="AZ507" s="1">
        <v>3051</v>
      </c>
      <c r="BA507" s="1" t="s">
        <v>329</v>
      </c>
      <c r="BB507" s="1" t="s">
        <v>4853</v>
      </c>
      <c r="BC507" s="1" t="s">
        <v>4854</v>
      </c>
      <c r="BD507" s="1">
        <v>0</v>
      </c>
      <c r="BE507" s="1"/>
      <c r="BH507">
        <f>COUNTIF(Dropdowns!$I:$AF,C507)</f>
        <v>1</v>
      </c>
    </row>
    <row r="508" spans="1:60" x14ac:dyDescent="0.25">
      <c r="A508" s="1">
        <v>20053</v>
      </c>
      <c r="B508" s="1" t="s">
        <v>4296</v>
      </c>
      <c r="C508" s="241" t="s">
        <v>1682</v>
      </c>
      <c r="D508" s="1" t="s">
        <v>1682</v>
      </c>
      <c r="E508" s="1"/>
      <c r="F508" s="1"/>
      <c r="G508" s="1" t="s">
        <v>4297</v>
      </c>
      <c r="H508" s="1" t="s">
        <v>4298</v>
      </c>
      <c r="I508" s="1" t="s">
        <v>4299</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1419</v>
      </c>
      <c r="AK508" s="1" t="s">
        <v>1420</v>
      </c>
      <c r="AL508" s="1">
        <v>13</v>
      </c>
      <c r="AM508" s="1" t="s">
        <v>4763</v>
      </c>
      <c r="AN508" s="1" t="s">
        <v>4830</v>
      </c>
      <c r="AO508" s="1" t="s">
        <v>5428</v>
      </c>
      <c r="AP508" s="1">
        <v>0</v>
      </c>
      <c r="AQ508" s="1" t="s">
        <v>1747</v>
      </c>
      <c r="AR508" s="1" t="s">
        <v>1142</v>
      </c>
      <c r="AS508" s="1" t="s">
        <v>1143</v>
      </c>
      <c r="AT508" s="1" t="s">
        <v>329</v>
      </c>
      <c r="AU508" s="1">
        <v>53</v>
      </c>
      <c r="AV508" s="1">
        <v>0</v>
      </c>
      <c r="AW508" s="1" t="s">
        <v>4493</v>
      </c>
      <c r="AX508" s="1" t="s">
        <v>5417</v>
      </c>
      <c r="AY508" s="1">
        <v>6</v>
      </c>
      <c r="AZ508" s="1">
        <v>3053</v>
      </c>
      <c r="BA508" s="1" t="s">
        <v>329</v>
      </c>
      <c r="BB508" s="1" t="s">
        <v>4857</v>
      </c>
      <c r="BC508" s="1" t="s">
        <v>329</v>
      </c>
      <c r="BD508" s="1">
        <v>0</v>
      </c>
      <c r="BE508" s="1"/>
      <c r="BH508">
        <f>COUNTIF(Dropdowns!$I:$AF,C508)</f>
        <v>1</v>
      </c>
    </row>
    <row r="509" spans="1:60" x14ac:dyDescent="0.25">
      <c r="A509" s="1">
        <v>20055</v>
      </c>
      <c r="B509" s="1" t="s">
        <v>4300</v>
      </c>
      <c r="C509" s="241" t="s">
        <v>256</v>
      </c>
      <c r="D509" s="1" t="s">
        <v>256</v>
      </c>
      <c r="E509" s="1"/>
      <c r="F509" s="1"/>
      <c r="G509" s="1" t="s">
        <v>4301</v>
      </c>
      <c r="H509" s="1" t="s">
        <v>4302</v>
      </c>
      <c r="I509" s="1" t="s">
        <v>4303</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1421</v>
      </c>
      <c r="AK509" s="1" t="s">
        <v>1404</v>
      </c>
      <c r="AL509" s="1">
        <v>13</v>
      </c>
      <c r="AM509" s="1" t="s">
        <v>4791</v>
      </c>
      <c r="AN509" s="1" t="s">
        <v>4862</v>
      </c>
      <c r="AO509" s="1" t="s">
        <v>5429</v>
      </c>
      <c r="AP509" s="1">
        <v>0</v>
      </c>
      <c r="AQ509" s="1" t="s">
        <v>1131</v>
      </c>
      <c r="AR509" s="1" t="s">
        <v>1155</v>
      </c>
      <c r="AS509" s="1" t="s">
        <v>1745</v>
      </c>
      <c r="AT509" s="1" t="s">
        <v>329</v>
      </c>
      <c r="AU509" s="1">
        <v>55</v>
      </c>
      <c r="AV509" s="1">
        <v>0</v>
      </c>
      <c r="AW509" s="1" t="s">
        <v>4493</v>
      </c>
      <c r="AX509" s="1" t="s">
        <v>5417</v>
      </c>
      <c r="AY509" s="1">
        <v>5</v>
      </c>
      <c r="AZ509" s="1">
        <v>3055</v>
      </c>
      <c r="BA509" s="1" t="s">
        <v>329</v>
      </c>
      <c r="BB509" s="1" t="s">
        <v>4864</v>
      </c>
      <c r="BC509" s="1" t="s">
        <v>5150</v>
      </c>
      <c r="BD509" s="1">
        <v>0</v>
      </c>
      <c r="BE509" s="1"/>
      <c r="BH509">
        <f>COUNTIF(Dropdowns!$I:$AF,C509)</f>
        <v>1</v>
      </c>
    </row>
    <row r="510" spans="1:60" x14ac:dyDescent="0.25">
      <c r="A510" s="1">
        <v>20056</v>
      </c>
      <c r="B510" s="1" t="s">
        <v>4304</v>
      </c>
      <c r="C510" s="241" t="s">
        <v>257</v>
      </c>
      <c r="D510" s="1" t="s">
        <v>257</v>
      </c>
      <c r="E510" s="1"/>
      <c r="F510" s="1"/>
      <c r="G510" s="1" t="s">
        <v>4305</v>
      </c>
      <c r="H510" s="1" t="s">
        <v>4306</v>
      </c>
      <c r="I510" s="1" t="s">
        <v>4307</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1422</v>
      </c>
      <c r="AK510" s="1" t="s">
        <v>1423</v>
      </c>
      <c r="AL510" s="1">
        <v>13</v>
      </c>
      <c r="AM510" s="1" t="s">
        <v>4720</v>
      </c>
      <c r="AN510" s="1" t="s">
        <v>4865</v>
      </c>
      <c r="AO510" s="1" t="s">
        <v>4881</v>
      </c>
      <c r="AP510" s="1">
        <v>0</v>
      </c>
      <c r="AQ510" s="1" t="s">
        <v>4867</v>
      </c>
      <c r="AR510" s="1" t="s">
        <v>4867</v>
      </c>
      <c r="AS510" s="1" t="s">
        <v>1155</v>
      </c>
      <c r="AT510" s="1" t="s">
        <v>329</v>
      </c>
      <c r="AU510" s="1">
        <v>56</v>
      </c>
      <c r="AV510" s="1">
        <v>0</v>
      </c>
      <c r="AW510" s="1" t="s">
        <v>4493</v>
      </c>
      <c r="AX510" s="1" t="s">
        <v>5417</v>
      </c>
      <c r="AY510" s="1">
        <v>5</v>
      </c>
      <c r="AZ510" s="1">
        <v>3056</v>
      </c>
      <c r="BA510" s="1" t="s">
        <v>329</v>
      </c>
      <c r="BB510" s="1" t="s">
        <v>475</v>
      </c>
      <c r="BC510" s="1" t="s">
        <v>4861</v>
      </c>
      <c r="BD510" s="1">
        <v>0</v>
      </c>
      <c r="BE510" s="1"/>
      <c r="BH510">
        <f>COUNTIF(Dropdowns!$I:$AF,C510)</f>
        <v>1</v>
      </c>
    </row>
    <row r="511" spans="1:60" x14ac:dyDescent="0.25">
      <c r="A511" s="1">
        <v>20057</v>
      </c>
      <c r="B511" s="1" t="s">
        <v>4308</v>
      </c>
      <c r="C511" s="241" t="s">
        <v>1683</v>
      </c>
      <c r="D511" s="1" t="s">
        <v>4309</v>
      </c>
      <c r="E511" s="1"/>
      <c r="F511" s="1"/>
      <c r="G511" s="1" t="s">
        <v>4310</v>
      </c>
      <c r="H511" s="1" t="s">
        <v>4311</v>
      </c>
      <c r="I511" s="1" t="s">
        <v>4312</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1424</v>
      </c>
      <c r="AK511" s="1" t="s">
        <v>1425</v>
      </c>
      <c r="AL511" s="1">
        <v>13</v>
      </c>
      <c r="AM511" s="1" t="s">
        <v>4720</v>
      </c>
      <c r="AN511" s="1" t="s">
        <v>4865</v>
      </c>
      <c r="AO511" s="1" t="s">
        <v>4999</v>
      </c>
      <c r="AP511" s="1">
        <v>0</v>
      </c>
      <c r="AQ511" s="1" t="s">
        <v>4867</v>
      </c>
      <c r="AR511" s="1" t="s">
        <v>4867</v>
      </c>
      <c r="AS511" s="1" t="s">
        <v>4869</v>
      </c>
      <c r="AT511" s="1" t="s">
        <v>329</v>
      </c>
      <c r="AU511" s="1">
        <v>57</v>
      </c>
      <c r="AV511" s="1">
        <v>0</v>
      </c>
      <c r="AW511" s="1" t="s">
        <v>4493</v>
      </c>
      <c r="AX511" s="1" t="s">
        <v>5417</v>
      </c>
      <c r="AY511" s="1">
        <v>5</v>
      </c>
      <c r="AZ511" s="1">
        <v>3057</v>
      </c>
      <c r="BA511" s="1" t="s">
        <v>329</v>
      </c>
      <c r="BB511" s="1" t="s">
        <v>4870</v>
      </c>
      <c r="BC511" s="1" t="s">
        <v>5150</v>
      </c>
      <c r="BD511" s="1">
        <v>0</v>
      </c>
      <c r="BE511" s="1"/>
      <c r="BH511">
        <f>COUNTIF(Dropdowns!$I:$AF,C511)</f>
        <v>1</v>
      </c>
    </row>
    <row r="512" spans="1:60" x14ac:dyDescent="0.25">
      <c r="A512" s="1">
        <v>20060</v>
      </c>
      <c r="B512" s="1" t="s">
        <v>4313</v>
      </c>
      <c r="C512" s="241" t="s">
        <v>258</v>
      </c>
      <c r="D512" s="1" t="s">
        <v>4314</v>
      </c>
      <c r="E512" s="1"/>
      <c r="F512" s="1"/>
      <c r="G512" s="1" t="s">
        <v>4315</v>
      </c>
      <c r="H512" s="1" t="s">
        <v>4316</v>
      </c>
      <c r="I512" s="1" t="s">
        <v>4317</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1426</v>
      </c>
      <c r="AL512" s="1">
        <v>13</v>
      </c>
      <c r="AM512" s="1" t="s">
        <v>4720</v>
      </c>
      <c r="AN512" s="1" t="s">
        <v>451</v>
      </c>
      <c r="AO512" s="1" t="s">
        <v>5153</v>
      </c>
      <c r="AP512" s="1">
        <v>0</v>
      </c>
      <c r="AQ512" s="1" t="s">
        <v>1131</v>
      </c>
      <c r="AR512" s="1" t="s">
        <v>4869</v>
      </c>
      <c r="AS512" s="1" t="s">
        <v>1130</v>
      </c>
      <c r="AT512" s="1" t="s">
        <v>329</v>
      </c>
      <c r="AU512" s="1">
        <v>60</v>
      </c>
      <c r="AV512" s="1">
        <v>0</v>
      </c>
      <c r="AW512" s="1" t="s">
        <v>4493</v>
      </c>
      <c r="AX512" s="1" t="s">
        <v>5417</v>
      </c>
      <c r="AY512" s="1">
        <v>5</v>
      </c>
      <c r="AZ512" s="1">
        <v>3060</v>
      </c>
      <c r="BA512" s="1" t="s">
        <v>329</v>
      </c>
      <c r="BB512" s="1" t="s">
        <v>4879</v>
      </c>
      <c r="BC512" s="1" t="s">
        <v>4758</v>
      </c>
      <c r="BD512" s="1">
        <v>0</v>
      </c>
      <c r="BE512" s="1"/>
      <c r="BH512">
        <f>COUNTIF(Dropdowns!$I:$AF,C512)</f>
        <v>1</v>
      </c>
    </row>
    <row r="513" spans="1:60" x14ac:dyDescent="0.25">
      <c r="A513" s="1">
        <v>20061</v>
      </c>
      <c r="B513" s="1" t="s">
        <v>4318</v>
      </c>
      <c r="C513" s="241" t="s">
        <v>831</v>
      </c>
      <c r="D513" s="1" t="s">
        <v>4319</v>
      </c>
      <c r="E513" s="1"/>
      <c r="F513" s="1"/>
      <c r="G513" s="1" t="s">
        <v>4320</v>
      </c>
      <c r="H513" s="1" t="s">
        <v>4321</v>
      </c>
      <c r="I513" s="1" t="s">
        <v>4322</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1165</v>
      </c>
      <c r="AK513" s="1" t="s">
        <v>1427</v>
      </c>
      <c r="AL513" s="1">
        <v>13</v>
      </c>
      <c r="AM513" s="1" t="s">
        <v>399</v>
      </c>
      <c r="AN513" s="1" t="s">
        <v>4774</v>
      </c>
      <c r="AO513" s="1" t="s">
        <v>4880</v>
      </c>
      <c r="AP513" s="1">
        <v>0</v>
      </c>
      <c r="AQ513" s="1" t="s">
        <v>1131</v>
      </c>
      <c r="AR513" s="1" t="s">
        <v>4869</v>
      </c>
      <c r="AS513" s="1" t="s">
        <v>1130</v>
      </c>
      <c r="AT513" s="1" t="s">
        <v>329</v>
      </c>
      <c r="AU513" s="1">
        <v>61</v>
      </c>
      <c r="AV513" s="1">
        <v>0</v>
      </c>
      <c r="AW513" s="1" t="s">
        <v>4493</v>
      </c>
      <c r="AX513" s="1" t="s">
        <v>5417</v>
      </c>
      <c r="AY513" s="1">
        <v>4</v>
      </c>
      <c r="AZ513" s="1">
        <v>3061</v>
      </c>
      <c r="BA513" s="1" t="s">
        <v>329</v>
      </c>
      <c r="BB513" s="1" t="s">
        <v>4776</v>
      </c>
      <c r="BC513" s="1" t="s">
        <v>4770</v>
      </c>
      <c r="BD513" s="1">
        <v>0</v>
      </c>
      <c r="BE513" s="1"/>
      <c r="BH513">
        <f>COUNTIF(Dropdowns!$I:$AF,C513)</f>
        <v>1</v>
      </c>
    </row>
    <row r="514" spans="1:60" x14ac:dyDescent="0.25">
      <c r="A514" s="1">
        <v>20063</v>
      </c>
      <c r="B514" s="1" t="s">
        <v>4323</v>
      </c>
      <c r="C514" s="241" t="s">
        <v>1428</v>
      </c>
      <c r="D514" s="1" t="s">
        <v>1428</v>
      </c>
      <c r="E514" s="1"/>
      <c r="F514" s="1"/>
      <c r="G514" s="1" t="s">
        <v>4324</v>
      </c>
      <c r="H514" s="1" t="s">
        <v>4325</v>
      </c>
      <c r="I514" s="1" t="s">
        <v>4326</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1429</v>
      </c>
      <c r="AK514" s="1" t="s">
        <v>329</v>
      </c>
      <c r="AL514" s="1">
        <v>13</v>
      </c>
      <c r="AM514" s="1" t="s">
        <v>4720</v>
      </c>
      <c r="AN514" s="1" t="s">
        <v>451</v>
      </c>
      <c r="AO514" s="1" t="s">
        <v>5430</v>
      </c>
      <c r="AP514" s="1">
        <v>0</v>
      </c>
      <c r="AQ514" s="1" t="s">
        <v>1746</v>
      </c>
      <c r="AR514" s="1" t="s">
        <v>1155</v>
      </c>
      <c r="AS514" s="1" t="s">
        <v>1130</v>
      </c>
      <c r="AT514" s="1" t="s">
        <v>329</v>
      </c>
      <c r="AU514" s="1">
        <v>63</v>
      </c>
      <c r="AV514" s="1">
        <v>0</v>
      </c>
      <c r="AW514" s="1" t="s">
        <v>4493</v>
      </c>
      <c r="AX514" s="1" t="s">
        <v>5417</v>
      </c>
      <c r="AY514" s="1">
        <v>4</v>
      </c>
      <c r="AZ514" s="1">
        <v>3063</v>
      </c>
      <c r="BA514" s="1" t="s">
        <v>329</v>
      </c>
      <c r="BB514" s="1" t="s">
        <v>4884</v>
      </c>
      <c r="BC514" s="1" t="s">
        <v>4770</v>
      </c>
      <c r="BD514" s="1">
        <v>0</v>
      </c>
      <c r="BE514" s="1"/>
      <c r="BH514">
        <f>COUNTIF(Dropdowns!$I:$AF,C514)</f>
        <v>1</v>
      </c>
    </row>
    <row r="515" spans="1:60" x14ac:dyDescent="0.25">
      <c r="A515" s="1">
        <v>20064</v>
      </c>
      <c r="B515" s="1" t="s">
        <v>4327</v>
      </c>
      <c r="C515" s="241" t="s">
        <v>1430</v>
      </c>
      <c r="D515" s="1" t="s">
        <v>1430</v>
      </c>
      <c r="E515" s="1"/>
      <c r="F515" s="1"/>
      <c r="G515" s="1" t="s">
        <v>4328</v>
      </c>
      <c r="H515" s="1" t="s">
        <v>4329</v>
      </c>
      <c r="I515" s="1" t="s">
        <v>4330</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1431</v>
      </c>
      <c r="AL515" s="1">
        <v>13</v>
      </c>
      <c r="AM515" s="1" t="s">
        <v>4720</v>
      </c>
      <c r="AN515" s="1" t="s">
        <v>4885</v>
      </c>
      <c r="AO515" s="1" t="s">
        <v>5431</v>
      </c>
      <c r="AP515" s="1">
        <v>0</v>
      </c>
      <c r="AQ515" s="1" t="s">
        <v>1746</v>
      </c>
      <c r="AR515" s="1" t="s">
        <v>1155</v>
      </c>
      <c r="AS515" s="1" t="s">
        <v>1130</v>
      </c>
      <c r="AT515" s="1" t="s">
        <v>329</v>
      </c>
      <c r="AU515" s="1">
        <v>64</v>
      </c>
      <c r="AV515" s="1">
        <v>0</v>
      </c>
      <c r="AW515" s="1" t="s">
        <v>4493</v>
      </c>
      <c r="AX515" s="1" t="s">
        <v>5417</v>
      </c>
      <c r="AY515" s="1">
        <v>5</v>
      </c>
      <c r="AZ515" s="1">
        <v>3064</v>
      </c>
      <c r="BA515" s="1" t="s">
        <v>329</v>
      </c>
      <c r="BB515" s="1" t="s">
        <v>4887</v>
      </c>
      <c r="BC515" s="1" t="s">
        <v>4770</v>
      </c>
      <c r="BD515" s="1">
        <v>0</v>
      </c>
      <c r="BE515" s="1"/>
      <c r="BH515">
        <f>COUNTIF(Dropdowns!$I:$AF,C515)</f>
        <v>1</v>
      </c>
    </row>
    <row r="516" spans="1:60" x14ac:dyDescent="0.25">
      <c r="A516" s="1">
        <v>20065</v>
      </c>
      <c r="B516" s="1" t="s">
        <v>4331</v>
      </c>
      <c r="C516" s="241" t="s">
        <v>259</v>
      </c>
      <c r="D516" s="1" t="s">
        <v>259</v>
      </c>
      <c r="E516" s="1"/>
      <c r="F516" s="1"/>
      <c r="G516" s="1" t="s">
        <v>4332</v>
      </c>
      <c r="H516" s="1" t="s">
        <v>4333</v>
      </c>
      <c r="I516" s="1" t="s">
        <v>4334</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1432</v>
      </c>
      <c r="AK516" s="1" t="s">
        <v>329</v>
      </c>
      <c r="AL516" s="1">
        <v>13</v>
      </c>
      <c r="AM516" s="1" t="s">
        <v>4720</v>
      </c>
      <c r="AN516" s="1" t="s">
        <v>4830</v>
      </c>
      <c r="AO516" s="1" t="s">
        <v>5432</v>
      </c>
      <c r="AP516" s="1">
        <v>0</v>
      </c>
      <c r="AQ516" s="1" t="s">
        <v>1746</v>
      </c>
      <c r="AR516" s="1" t="s">
        <v>1155</v>
      </c>
      <c r="AS516" s="1" t="s">
        <v>1745</v>
      </c>
      <c r="AT516" s="1" t="s">
        <v>329</v>
      </c>
      <c r="AU516" s="1">
        <v>65</v>
      </c>
      <c r="AV516" s="1">
        <v>0</v>
      </c>
      <c r="AW516" s="1" t="s">
        <v>4493</v>
      </c>
      <c r="AX516" s="1" t="s">
        <v>5417</v>
      </c>
      <c r="AY516" s="1">
        <v>6</v>
      </c>
      <c r="AZ516" s="1">
        <v>3065</v>
      </c>
      <c r="BA516" s="1" t="s">
        <v>329</v>
      </c>
      <c r="BB516" s="1" t="s">
        <v>4889</v>
      </c>
      <c r="BC516" s="1" t="s">
        <v>4890</v>
      </c>
      <c r="BD516" s="1">
        <v>0</v>
      </c>
      <c r="BE516" s="1"/>
      <c r="BH516">
        <f>COUNTIF(Dropdowns!$I:$AF,C516)</f>
        <v>1</v>
      </c>
    </row>
    <row r="517" spans="1:60" x14ac:dyDescent="0.25">
      <c r="A517" s="1">
        <v>20071</v>
      </c>
      <c r="B517" s="1" t="s">
        <v>4335</v>
      </c>
      <c r="C517" s="241" t="s">
        <v>832</v>
      </c>
      <c r="D517" s="1" t="s">
        <v>4336</v>
      </c>
      <c r="E517" s="1"/>
      <c r="F517" s="1"/>
      <c r="G517" s="1" t="s">
        <v>4337</v>
      </c>
      <c r="H517" s="1" t="s">
        <v>4338</v>
      </c>
      <c r="I517" s="1" t="s">
        <v>4339</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1433</v>
      </c>
      <c r="AL517" s="1">
        <v>13</v>
      </c>
      <c r="AM517" s="1" t="s">
        <v>399</v>
      </c>
      <c r="AN517" s="1" t="s">
        <v>5433</v>
      </c>
      <c r="AO517" s="1" t="s">
        <v>5434</v>
      </c>
      <c r="AP517" s="1">
        <v>0</v>
      </c>
      <c r="AQ517" s="1" t="s">
        <v>1131</v>
      </c>
      <c r="AR517" s="1" t="s">
        <v>1155</v>
      </c>
      <c r="AS517" s="1" t="s">
        <v>1745</v>
      </c>
      <c r="AT517" s="1" t="s">
        <v>329</v>
      </c>
      <c r="AU517" s="1">
        <v>71</v>
      </c>
      <c r="AV517" s="1">
        <v>0</v>
      </c>
      <c r="AW517" s="1" t="s">
        <v>4493</v>
      </c>
      <c r="AX517" s="1" t="s">
        <v>5417</v>
      </c>
      <c r="AY517" s="1">
        <v>4</v>
      </c>
      <c r="AZ517" s="1">
        <v>3071</v>
      </c>
      <c r="BA517" s="1" t="s">
        <v>329</v>
      </c>
      <c r="BB517" s="1" t="s">
        <v>4900</v>
      </c>
      <c r="BC517" s="1" t="s">
        <v>329</v>
      </c>
      <c r="BD517" s="1">
        <v>0</v>
      </c>
      <c r="BE517" s="1"/>
      <c r="BH517">
        <f>COUNTIF(Dropdowns!$I:$AF,C517)</f>
        <v>1</v>
      </c>
    </row>
    <row r="518" spans="1:60" x14ac:dyDescent="0.25">
      <c r="A518" s="1">
        <v>20075</v>
      </c>
      <c r="B518" s="1" t="s">
        <v>4340</v>
      </c>
      <c r="C518" s="241" t="s">
        <v>260</v>
      </c>
      <c r="D518" s="1" t="s">
        <v>260</v>
      </c>
      <c r="E518" s="1"/>
      <c r="F518" s="1"/>
      <c r="G518" s="1" t="s">
        <v>4341</v>
      </c>
      <c r="H518" s="1" t="s">
        <v>4342</v>
      </c>
      <c r="I518" s="1" t="s">
        <v>4343</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1434</v>
      </c>
      <c r="AK518" s="1" t="s">
        <v>1435</v>
      </c>
      <c r="AL518" s="1">
        <v>18</v>
      </c>
      <c r="AM518" s="1" t="s">
        <v>4859</v>
      </c>
      <c r="AN518" s="1" t="s">
        <v>4910</v>
      </c>
      <c r="AO518" s="1" t="s">
        <v>5435</v>
      </c>
      <c r="AP518" s="1">
        <v>0</v>
      </c>
      <c r="AQ518" s="1" t="s">
        <v>1168</v>
      </c>
      <c r="AR518" s="1" t="s">
        <v>4912</v>
      </c>
      <c r="AS518" s="1" t="s">
        <v>4913</v>
      </c>
      <c r="AT518" s="1" t="s">
        <v>329</v>
      </c>
      <c r="AU518" s="1">
        <v>75</v>
      </c>
      <c r="AV518" s="1">
        <v>0</v>
      </c>
      <c r="AW518" s="1" t="s">
        <v>4493</v>
      </c>
      <c r="AX518" s="1" t="s">
        <v>5417</v>
      </c>
      <c r="AY518" s="1">
        <v>5</v>
      </c>
      <c r="AZ518" s="1">
        <v>3075</v>
      </c>
      <c r="BA518" s="1" t="s">
        <v>329</v>
      </c>
      <c r="BB518" s="1" t="s">
        <v>4914</v>
      </c>
      <c r="BC518" s="1" t="s">
        <v>4721</v>
      </c>
      <c r="BD518" s="1">
        <v>0</v>
      </c>
      <c r="BE518" s="1"/>
      <c r="BH518">
        <f>COUNTIF(Dropdowns!$I:$AF,C518)</f>
        <v>1</v>
      </c>
    </row>
    <row r="519" spans="1:60" x14ac:dyDescent="0.25">
      <c r="A519" s="1">
        <v>20081</v>
      </c>
      <c r="B519" s="1" t="s">
        <v>4344</v>
      </c>
      <c r="C519" s="241" t="s">
        <v>261</v>
      </c>
      <c r="D519" s="1" t="s">
        <v>261</v>
      </c>
      <c r="E519" s="1"/>
      <c r="F519" s="1"/>
      <c r="G519" s="1" t="s">
        <v>4345</v>
      </c>
      <c r="H519" s="1" t="s">
        <v>4346</v>
      </c>
      <c r="I519" s="1" t="s">
        <v>4347</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1436</v>
      </c>
      <c r="AK519" s="1" t="s">
        <v>1437</v>
      </c>
      <c r="AL519" s="1">
        <v>18</v>
      </c>
      <c r="AM519" s="1" t="s">
        <v>4859</v>
      </c>
      <c r="AN519" s="1" t="s">
        <v>4910</v>
      </c>
      <c r="AO519" s="1" t="s">
        <v>5436</v>
      </c>
      <c r="AP519" s="1">
        <v>0</v>
      </c>
      <c r="AQ519" s="1" t="s">
        <v>1168</v>
      </c>
      <c r="AR519" s="1" t="s">
        <v>4912</v>
      </c>
      <c r="AS519" s="1" t="s">
        <v>1170</v>
      </c>
      <c r="AT519" s="1" t="s">
        <v>329</v>
      </c>
      <c r="AU519" s="1">
        <v>81</v>
      </c>
      <c r="AV519" s="1">
        <v>0</v>
      </c>
      <c r="AW519" s="1" t="s">
        <v>4493</v>
      </c>
      <c r="AX519" s="1" t="s">
        <v>5417</v>
      </c>
      <c r="AY519" s="1">
        <v>4</v>
      </c>
      <c r="AZ519" s="1">
        <v>3081</v>
      </c>
      <c r="BA519" s="1" t="s">
        <v>329</v>
      </c>
      <c r="BB519" s="1" t="s">
        <v>4928</v>
      </c>
      <c r="BC519" s="1" t="s">
        <v>4721</v>
      </c>
      <c r="BD519" s="1">
        <v>0</v>
      </c>
      <c r="BE519" s="1"/>
      <c r="BH519">
        <f>COUNTIF(Dropdowns!$I:$AF,C519)</f>
        <v>1</v>
      </c>
    </row>
    <row r="520" spans="1:60" x14ac:dyDescent="0.25">
      <c r="A520" s="1">
        <v>20088</v>
      </c>
      <c r="B520" s="1" t="s">
        <v>6474</v>
      </c>
      <c r="C520" s="241" t="s">
        <v>6475</v>
      </c>
      <c r="D520" s="1" t="s">
        <v>6475</v>
      </c>
      <c r="E520" s="1"/>
      <c r="F520" s="1"/>
      <c r="G520" s="1" t="s">
        <v>6476</v>
      </c>
      <c r="H520" s="1" t="s">
        <v>6477</v>
      </c>
      <c r="I520" s="1" t="s">
        <v>6478</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6465</v>
      </c>
      <c r="AK520" s="1" t="s">
        <v>6479</v>
      </c>
      <c r="AL520" s="1">
        <v>18</v>
      </c>
      <c r="AM520" s="1" t="s">
        <v>4859</v>
      </c>
      <c r="AN520" s="1" t="s">
        <v>4985</v>
      </c>
      <c r="AO520" s="1" t="s">
        <v>5268</v>
      </c>
      <c r="AP520" s="1">
        <v>0</v>
      </c>
      <c r="AQ520" s="1" t="s">
        <v>1168</v>
      </c>
      <c r="AR520" s="1" t="s">
        <v>4912</v>
      </c>
      <c r="AS520" s="1" t="s">
        <v>4913</v>
      </c>
      <c r="AT520" s="1" t="s">
        <v>329</v>
      </c>
      <c r="AU520" s="1">
        <v>88</v>
      </c>
      <c r="AV520" s="1">
        <v>0</v>
      </c>
      <c r="AW520" s="1" t="s">
        <v>4493</v>
      </c>
      <c r="AX520" s="1" t="s">
        <v>5417</v>
      </c>
      <c r="AY520" s="1">
        <v>5</v>
      </c>
      <c r="AZ520" s="1">
        <v>3088</v>
      </c>
      <c r="BA520" s="1" t="s">
        <v>329</v>
      </c>
      <c r="BB520" s="1" t="s">
        <v>4944</v>
      </c>
      <c r="BC520" s="1" t="s">
        <v>4770</v>
      </c>
      <c r="BD520" s="1">
        <v>0</v>
      </c>
      <c r="BE520" s="1"/>
      <c r="BH520">
        <f>COUNTIF(Dropdowns!$I:$AF,C520)</f>
        <v>1</v>
      </c>
    </row>
    <row r="521" spans="1:60" x14ac:dyDescent="0.25">
      <c r="A521" s="1">
        <v>20089</v>
      </c>
      <c r="B521" s="1" t="s">
        <v>4348</v>
      </c>
      <c r="C521" s="241" t="s">
        <v>744</v>
      </c>
      <c r="D521" s="1" t="s">
        <v>4349</v>
      </c>
      <c r="E521" s="1"/>
      <c r="F521" s="1"/>
      <c r="G521" s="1" t="s">
        <v>4350</v>
      </c>
      <c r="H521" s="1" t="s">
        <v>4351</v>
      </c>
      <c r="I521" s="1" t="s">
        <v>4352</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1297</v>
      </c>
      <c r="AK521" s="1" t="s">
        <v>329</v>
      </c>
      <c r="AL521" s="1">
        <v>17</v>
      </c>
      <c r="AM521" s="1" t="s">
        <v>4859</v>
      </c>
      <c r="AN521" s="1" t="s">
        <v>4917</v>
      </c>
      <c r="AO521" s="1" t="s">
        <v>5437</v>
      </c>
      <c r="AP521" s="1">
        <v>0</v>
      </c>
      <c r="AQ521" s="1" t="s">
        <v>1168</v>
      </c>
      <c r="AR521" s="1" t="s">
        <v>4912</v>
      </c>
      <c r="AS521" s="1" t="s">
        <v>1170</v>
      </c>
      <c r="AT521" s="1" t="s">
        <v>329</v>
      </c>
      <c r="AU521" s="1">
        <v>89</v>
      </c>
      <c r="AV521" s="1">
        <v>0</v>
      </c>
      <c r="AW521" s="1" t="s">
        <v>4493</v>
      </c>
      <c r="AX521" s="1" t="s">
        <v>5417</v>
      </c>
      <c r="AY521" s="1">
        <v>4</v>
      </c>
      <c r="AZ521" s="1">
        <v>3089</v>
      </c>
      <c r="BA521" s="1" t="s">
        <v>329</v>
      </c>
      <c r="BB521" s="1" t="s">
        <v>4946</v>
      </c>
      <c r="BC521" s="1" t="s">
        <v>329</v>
      </c>
      <c r="BD521" s="1">
        <v>0</v>
      </c>
      <c r="BE521" s="1"/>
      <c r="BH521">
        <f>COUNTIF(Dropdowns!$I:$AF,C521)</f>
        <v>1</v>
      </c>
    </row>
    <row r="522" spans="1:60" x14ac:dyDescent="0.25">
      <c r="A522" s="1">
        <v>20091</v>
      </c>
      <c r="B522" s="1" t="s">
        <v>4353</v>
      </c>
      <c r="C522" s="241" t="s">
        <v>1684</v>
      </c>
      <c r="D522" s="1" t="s">
        <v>1684</v>
      </c>
      <c r="E522" s="1"/>
      <c r="F522" s="1"/>
      <c r="G522" s="1" t="s">
        <v>4354</v>
      </c>
      <c r="H522" s="1" t="s">
        <v>4355</v>
      </c>
      <c r="I522" s="1" t="s">
        <v>4356</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1438</v>
      </c>
      <c r="AK522" s="1" t="s">
        <v>329</v>
      </c>
      <c r="AL522" s="1">
        <v>13</v>
      </c>
      <c r="AM522" s="1" t="s">
        <v>1807</v>
      </c>
      <c r="AN522" s="1" t="s">
        <v>4948</v>
      </c>
      <c r="AO522" s="1" t="s">
        <v>4825</v>
      </c>
      <c r="AP522" s="1">
        <v>0</v>
      </c>
      <c r="AQ522" s="1" t="s">
        <v>4743</v>
      </c>
      <c r="AR522" s="1" t="s">
        <v>1120</v>
      </c>
      <c r="AS522" s="1" t="s">
        <v>1121</v>
      </c>
      <c r="AT522" s="1" t="s">
        <v>329</v>
      </c>
      <c r="AU522" s="1">
        <v>91</v>
      </c>
      <c r="AV522" s="1">
        <v>0</v>
      </c>
      <c r="AW522" s="1" t="s">
        <v>4493</v>
      </c>
      <c r="AX522" s="1" t="s">
        <v>5417</v>
      </c>
      <c r="AY522" s="1">
        <v>4</v>
      </c>
      <c r="AZ522" s="1">
        <v>3091</v>
      </c>
      <c r="BA522" s="1" t="s">
        <v>329</v>
      </c>
      <c r="BB522" s="1" t="s">
        <v>414</v>
      </c>
      <c r="BC522" s="1" t="s">
        <v>4758</v>
      </c>
      <c r="BD522" s="1">
        <v>0</v>
      </c>
      <c r="BE522" s="1"/>
      <c r="BH522">
        <f>COUNTIF(Dropdowns!$I:$AF,C522)</f>
        <v>0</v>
      </c>
    </row>
    <row r="523" spans="1:60" x14ac:dyDescent="0.25">
      <c r="A523" s="1">
        <v>20093</v>
      </c>
      <c r="B523" s="1" t="s">
        <v>4357</v>
      </c>
      <c r="C523" s="241" t="s">
        <v>262</v>
      </c>
      <c r="D523" s="1" t="s">
        <v>262</v>
      </c>
      <c r="E523" s="1"/>
      <c r="F523" s="1"/>
      <c r="G523" s="1" t="s">
        <v>4358</v>
      </c>
      <c r="H523" s="1" t="s">
        <v>4359</v>
      </c>
      <c r="I523" s="1" t="s">
        <v>4360</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1439</v>
      </c>
      <c r="AK523" s="1" t="s">
        <v>1440</v>
      </c>
      <c r="AL523" s="1">
        <v>13</v>
      </c>
      <c r="AM523" s="1" t="s">
        <v>4791</v>
      </c>
      <c r="AN523" s="1" t="s">
        <v>4796</v>
      </c>
      <c r="AO523" s="1" t="s">
        <v>5438</v>
      </c>
      <c r="AP523" s="1">
        <v>0</v>
      </c>
      <c r="AQ523" s="1" t="s">
        <v>1745</v>
      </c>
      <c r="AR523" s="1" t="s">
        <v>1120</v>
      </c>
      <c r="AS523" s="1" t="s">
        <v>1131</v>
      </c>
      <c r="AT523" s="1" t="s">
        <v>329</v>
      </c>
      <c r="AU523" s="1">
        <v>93</v>
      </c>
      <c r="AV523" s="1">
        <v>0</v>
      </c>
      <c r="AW523" s="1" t="s">
        <v>4493</v>
      </c>
      <c r="AX523" s="1" t="s">
        <v>5417</v>
      </c>
      <c r="AY523" s="1">
        <v>4</v>
      </c>
      <c r="AZ523" s="1">
        <v>3093</v>
      </c>
      <c r="BA523" s="1" t="s">
        <v>329</v>
      </c>
      <c r="BB523" s="1" t="s">
        <v>4951</v>
      </c>
      <c r="BC523" s="1" t="s">
        <v>329</v>
      </c>
      <c r="BD523" s="1">
        <v>0</v>
      </c>
      <c r="BE523" s="1"/>
      <c r="BH523">
        <f>COUNTIF(Dropdowns!$I:$AF,C523)</f>
        <v>1</v>
      </c>
    </row>
    <row r="524" spans="1:60" x14ac:dyDescent="0.25">
      <c r="A524" s="1">
        <v>20094</v>
      </c>
      <c r="B524" s="1" t="s">
        <v>4361</v>
      </c>
      <c r="C524" s="241" t="s">
        <v>741</v>
      </c>
      <c r="D524" s="1" t="s">
        <v>4362</v>
      </c>
      <c r="E524" s="1"/>
      <c r="F524" s="1"/>
      <c r="G524" s="1" t="s">
        <v>4363</v>
      </c>
      <c r="H524" s="1" t="s">
        <v>4364</v>
      </c>
      <c r="I524" s="1" t="s">
        <v>4365</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1165</v>
      </c>
      <c r="AK524" s="1" t="s">
        <v>329</v>
      </c>
      <c r="AL524" s="1">
        <v>13</v>
      </c>
      <c r="AM524" s="1" t="s">
        <v>4791</v>
      </c>
      <c r="AN524" s="1" t="s">
        <v>4794</v>
      </c>
      <c r="AO524" s="1" t="s">
        <v>5439</v>
      </c>
      <c r="AP524" s="1">
        <v>0</v>
      </c>
      <c r="AQ524" s="1" t="s">
        <v>1745</v>
      </c>
      <c r="AR524" s="1" t="s">
        <v>1120</v>
      </c>
      <c r="AS524" s="1" t="s">
        <v>1746</v>
      </c>
      <c r="AT524" s="1" t="s">
        <v>329</v>
      </c>
      <c r="AU524" s="1">
        <v>94</v>
      </c>
      <c r="AV524" s="1">
        <v>0</v>
      </c>
      <c r="AW524" s="1" t="s">
        <v>4493</v>
      </c>
      <c r="AX524" s="1" t="s">
        <v>5417</v>
      </c>
      <c r="AY524" s="1">
        <v>4</v>
      </c>
      <c r="AZ524" s="1">
        <v>3094</v>
      </c>
      <c r="BA524" s="1" t="s">
        <v>329</v>
      </c>
      <c r="BB524" s="1" t="s">
        <v>4953</v>
      </c>
      <c r="BC524" s="1" t="s">
        <v>4784</v>
      </c>
      <c r="BD524" s="1">
        <v>0</v>
      </c>
      <c r="BE524" s="1"/>
      <c r="BH524">
        <f>COUNTIF(Dropdowns!$I:$AF,C524)</f>
        <v>1</v>
      </c>
    </row>
    <row r="525" spans="1:60" x14ac:dyDescent="0.25">
      <c r="A525" s="1">
        <v>20095</v>
      </c>
      <c r="B525" s="1" t="s">
        <v>4366</v>
      </c>
      <c r="C525" s="241" t="s">
        <v>839</v>
      </c>
      <c r="D525" s="1" t="s">
        <v>4367</v>
      </c>
      <c r="E525" s="1"/>
      <c r="F525" s="1"/>
      <c r="G525" s="1" t="s">
        <v>4368</v>
      </c>
      <c r="H525" s="1" t="s">
        <v>4369</v>
      </c>
      <c r="I525" s="1" t="s">
        <v>4370</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1441</v>
      </c>
      <c r="AK525" s="1" t="s">
        <v>1442</v>
      </c>
      <c r="AL525" s="1">
        <v>13</v>
      </c>
      <c r="AM525" s="1" t="s">
        <v>4763</v>
      </c>
      <c r="AN525" s="1" t="s">
        <v>5367</v>
      </c>
      <c r="AO525" s="1" t="s">
        <v>4833</v>
      </c>
      <c r="AP525" s="1">
        <v>0</v>
      </c>
      <c r="AQ525" s="1" t="s">
        <v>1747</v>
      </c>
      <c r="AR525" s="1" t="s">
        <v>4836</v>
      </c>
      <c r="AS525" s="1" t="s">
        <v>1143</v>
      </c>
      <c r="AT525" s="1" t="s">
        <v>329</v>
      </c>
      <c r="AU525" s="1">
        <v>95</v>
      </c>
      <c r="AV525" s="1">
        <v>0</v>
      </c>
      <c r="AW525" s="1" t="s">
        <v>4493</v>
      </c>
      <c r="AX525" s="1" t="s">
        <v>5417</v>
      </c>
      <c r="AY525" s="1">
        <v>4</v>
      </c>
      <c r="AZ525" s="1">
        <v>3095</v>
      </c>
      <c r="BA525" s="1" t="s">
        <v>329</v>
      </c>
      <c r="BB525" s="1" t="s">
        <v>4953</v>
      </c>
      <c r="BC525" s="1" t="s">
        <v>4784</v>
      </c>
      <c r="BD525" s="1">
        <v>0</v>
      </c>
      <c r="BE525" s="1"/>
      <c r="BH525">
        <f>COUNTIF(Dropdowns!$I:$AF,C525)</f>
        <v>1</v>
      </c>
    </row>
    <row r="526" spans="1:60" x14ac:dyDescent="0.25">
      <c r="A526" s="1">
        <v>20097</v>
      </c>
      <c r="B526" s="1" t="s">
        <v>4371</v>
      </c>
      <c r="C526" s="241" t="s">
        <v>263</v>
      </c>
      <c r="D526" s="1" t="s">
        <v>263</v>
      </c>
      <c r="E526" s="1"/>
      <c r="F526" s="1"/>
      <c r="G526" s="1" t="s">
        <v>4372</v>
      </c>
      <c r="H526" s="1" t="s">
        <v>4373</v>
      </c>
      <c r="I526" s="1" t="s">
        <v>4374</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1443</v>
      </c>
      <c r="AL526" s="1">
        <v>13</v>
      </c>
      <c r="AM526" s="1" t="s">
        <v>1807</v>
      </c>
      <c r="AN526" s="1" t="s">
        <v>5440</v>
      </c>
      <c r="AO526" s="1" t="s">
        <v>5441</v>
      </c>
      <c r="AP526" s="1">
        <v>0</v>
      </c>
      <c r="AQ526" s="1" t="s">
        <v>4743</v>
      </c>
      <c r="AR526" s="1" t="s">
        <v>1120</v>
      </c>
      <c r="AS526" s="1" t="s">
        <v>1121</v>
      </c>
      <c r="AT526" s="1" t="s">
        <v>329</v>
      </c>
      <c r="AU526" s="1">
        <v>97</v>
      </c>
      <c r="AV526" s="1">
        <v>0</v>
      </c>
      <c r="AW526" s="1" t="s">
        <v>4493</v>
      </c>
      <c r="AX526" s="1" t="s">
        <v>5417</v>
      </c>
      <c r="AY526" s="1">
        <v>6</v>
      </c>
      <c r="AZ526" s="1">
        <v>3097</v>
      </c>
      <c r="BA526" s="1" t="s">
        <v>329</v>
      </c>
      <c r="BB526" s="1" t="s">
        <v>4958</v>
      </c>
      <c r="BC526" s="1" t="s">
        <v>4721</v>
      </c>
      <c r="BD526" s="1">
        <v>0</v>
      </c>
      <c r="BE526" s="1"/>
      <c r="BH526">
        <f>COUNTIF(Dropdowns!$I:$AF,C526)</f>
        <v>0</v>
      </c>
    </row>
    <row r="527" spans="1:60" x14ac:dyDescent="0.25">
      <c r="A527" s="1">
        <v>20101</v>
      </c>
      <c r="B527" s="1" t="s">
        <v>4375</v>
      </c>
      <c r="C527" s="241" t="s">
        <v>264</v>
      </c>
      <c r="D527" s="1" t="s">
        <v>264</v>
      </c>
      <c r="E527" s="1"/>
      <c r="F527" s="1"/>
      <c r="G527" s="1" t="s">
        <v>4376</v>
      </c>
      <c r="H527" s="1" t="s">
        <v>4377</v>
      </c>
      <c r="I527" s="1" t="s">
        <v>4378</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1444</v>
      </c>
      <c r="AK527" s="1" t="s">
        <v>1445</v>
      </c>
      <c r="AL527" s="1">
        <v>13</v>
      </c>
      <c r="AM527" s="1" t="s">
        <v>4791</v>
      </c>
      <c r="AN527" s="1" t="s">
        <v>4796</v>
      </c>
      <c r="AO527" s="1" t="s">
        <v>4992</v>
      </c>
      <c r="AP527" s="1">
        <v>0</v>
      </c>
      <c r="AQ527" s="1" t="s">
        <v>1745</v>
      </c>
      <c r="AR527" s="1" t="s">
        <v>1120</v>
      </c>
      <c r="AS527" s="1" t="s">
        <v>1746</v>
      </c>
      <c r="AT527" s="1" t="s">
        <v>329</v>
      </c>
      <c r="AU527" s="1">
        <v>101</v>
      </c>
      <c r="AV527" s="1">
        <v>0</v>
      </c>
      <c r="AW527" s="1" t="s">
        <v>4493</v>
      </c>
      <c r="AX527" s="1" t="s">
        <v>5417</v>
      </c>
      <c r="AY527" s="1">
        <v>5</v>
      </c>
      <c r="AZ527" s="1">
        <v>3101</v>
      </c>
      <c r="BA527" s="1" t="s">
        <v>329</v>
      </c>
      <c r="BB527" s="1" t="s">
        <v>4966</v>
      </c>
      <c r="BC527" s="1" t="s">
        <v>4890</v>
      </c>
      <c r="BD527" s="1">
        <v>0</v>
      </c>
      <c r="BE527" s="1"/>
      <c r="BH527">
        <f>COUNTIF(Dropdowns!$I:$AF,C527)</f>
        <v>1</v>
      </c>
    </row>
    <row r="528" spans="1:60" x14ac:dyDescent="0.25">
      <c r="A528" s="1">
        <v>20103</v>
      </c>
      <c r="B528" s="1" t="s">
        <v>4379</v>
      </c>
      <c r="C528" s="241" t="s">
        <v>265</v>
      </c>
      <c r="D528" s="1" t="s">
        <v>265</v>
      </c>
      <c r="E528" s="1"/>
      <c r="F528" s="1"/>
      <c r="G528" s="1" t="s">
        <v>4380</v>
      </c>
      <c r="H528" s="1" t="s">
        <v>4381</v>
      </c>
      <c r="I528" s="1" t="s">
        <v>4382</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1446</v>
      </c>
      <c r="AK528" s="1" t="s">
        <v>329</v>
      </c>
      <c r="AL528" s="1">
        <v>13</v>
      </c>
      <c r="AM528" s="1" t="s">
        <v>4791</v>
      </c>
      <c r="AN528" s="1" t="s">
        <v>4796</v>
      </c>
      <c r="AO528" s="1" t="s">
        <v>5442</v>
      </c>
      <c r="AP528" s="1">
        <v>0</v>
      </c>
      <c r="AQ528" s="1" t="s">
        <v>1745</v>
      </c>
      <c r="AR528" s="1" t="s">
        <v>1120</v>
      </c>
      <c r="AS528" s="1" t="s">
        <v>1746</v>
      </c>
      <c r="AT528" s="1" t="s">
        <v>329</v>
      </c>
      <c r="AU528" s="1">
        <v>103</v>
      </c>
      <c r="AV528" s="1">
        <v>0</v>
      </c>
      <c r="AW528" s="1" t="s">
        <v>4970</v>
      </c>
      <c r="AX528" s="1" t="s">
        <v>5417</v>
      </c>
      <c r="AY528" s="1">
        <v>5</v>
      </c>
      <c r="AZ528" s="1">
        <v>3103</v>
      </c>
      <c r="BA528" s="1" t="s">
        <v>329</v>
      </c>
      <c r="BB528" s="1" t="s">
        <v>4971</v>
      </c>
      <c r="BC528" s="1" t="s">
        <v>4890</v>
      </c>
      <c r="BD528" s="1">
        <v>0</v>
      </c>
      <c r="BE528" s="1"/>
      <c r="BH528">
        <f>COUNTIF(Dropdowns!$I:$AF,C528)</f>
        <v>1</v>
      </c>
    </row>
    <row r="529" spans="1:60" x14ac:dyDescent="0.25">
      <c r="A529" s="1">
        <v>20104</v>
      </c>
      <c r="B529" s="1" t="s">
        <v>4448</v>
      </c>
      <c r="C529" s="241" t="s">
        <v>1749</v>
      </c>
      <c r="D529" s="1" t="s">
        <v>1749</v>
      </c>
      <c r="E529" s="1"/>
      <c r="F529" s="1"/>
      <c r="G529" s="1" t="s">
        <v>4449</v>
      </c>
      <c r="H529" s="1" t="s">
        <v>4450</v>
      </c>
      <c r="I529" s="1" t="s">
        <v>4451</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1750</v>
      </c>
      <c r="AK529" s="1" t="s">
        <v>1751</v>
      </c>
      <c r="AL529" s="1">
        <v>13</v>
      </c>
      <c r="AM529" s="1" t="s">
        <v>4791</v>
      </c>
      <c r="AN529" s="1" t="s">
        <v>4796</v>
      </c>
      <c r="AO529" s="1" t="s">
        <v>5460</v>
      </c>
      <c r="AP529" s="1">
        <v>0</v>
      </c>
      <c r="AQ529" s="1" t="s">
        <v>1745</v>
      </c>
      <c r="AR529" s="1" t="s">
        <v>1120</v>
      </c>
      <c r="AS529" s="1" t="s">
        <v>1131</v>
      </c>
      <c r="AT529" s="1" t="s">
        <v>329</v>
      </c>
      <c r="AU529" s="1">
        <v>104</v>
      </c>
      <c r="AV529" s="1">
        <v>0</v>
      </c>
      <c r="AW529" s="1" t="s">
        <v>4972</v>
      </c>
      <c r="AX529" s="1" t="s">
        <v>5417</v>
      </c>
      <c r="AY529" s="1">
        <v>6</v>
      </c>
      <c r="AZ529" s="1">
        <v>3104</v>
      </c>
      <c r="BA529" s="1" t="s">
        <v>329</v>
      </c>
      <c r="BB529" s="1" t="s">
        <v>4973</v>
      </c>
      <c r="BC529" s="1" t="s">
        <v>4770</v>
      </c>
      <c r="BD529" s="1">
        <v>0</v>
      </c>
      <c r="BE529" s="1"/>
      <c r="BH529">
        <f>COUNTIF(Dropdowns!$I:$AF,C529)</f>
        <v>1</v>
      </c>
    </row>
    <row r="530" spans="1:60" x14ac:dyDescent="0.25">
      <c r="A530" s="1">
        <v>20114</v>
      </c>
      <c r="B530" s="1" t="s">
        <v>4383</v>
      </c>
      <c r="C530" s="241" t="s">
        <v>835</v>
      </c>
      <c r="D530" s="1" t="s">
        <v>4384</v>
      </c>
      <c r="E530" s="1"/>
      <c r="F530" s="1"/>
      <c r="G530" s="1" t="s">
        <v>4385</v>
      </c>
      <c r="H530" s="1" t="s">
        <v>4386</v>
      </c>
      <c r="I530" s="1" t="s">
        <v>4387</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1447</v>
      </c>
      <c r="AK530" s="1" t="s">
        <v>329</v>
      </c>
      <c r="AL530" s="1">
        <v>12</v>
      </c>
      <c r="AM530" s="1" t="s">
        <v>1807</v>
      </c>
      <c r="AN530" s="1" t="s">
        <v>5443</v>
      </c>
      <c r="AO530" s="1" t="s">
        <v>5444</v>
      </c>
      <c r="AP530" s="1">
        <v>0</v>
      </c>
      <c r="AQ530" s="1" t="s">
        <v>1119</v>
      </c>
      <c r="AR530" s="1" t="s">
        <v>1120</v>
      </c>
      <c r="AS530" s="1" t="s">
        <v>4762</v>
      </c>
      <c r="AT530" s="1" t="s">
        <v>329</v>
      </c>
      <c r="AU530" s="1">
        <v>114</v>
      </c>
      <c r="AV530" s="1">
        <v>0</v>
      </c>
      <c r="AW530" s="1" t="s">
        <v>4970</v>
      </c>
      <c r="AX530" s="1" t="s">
        <v>5417</v>
      </c>
      <c r="AY530" s="1">
        <v>6</v>
      </c>
      <c r="AZ530" s="1">
        <v>3114</v>
      </c>
      <c r="BA530" s="1" t="s">
        <v>329</v>
      </c>
      <c r="BB530" s="1" t="s">
        <v>4990</v>
      </c>
      <c r="BC530" s="1" t="s">
        <v>329</v>
      </c>
      <c r="BD530" s="1">
        <v>0</v>
      </c>
      <c r="BE530" s="1"/>
      <c r="BH530">
        <f>COUNTIF(Dropdowns!$I:$AF,C530)</f>
        <v>0</v>
      </c>
    </row>
    <row r="531" spans="1:60" x14ac:dyDescent="0.25">
      <c r="A531" s="1">
        <v>20115</v>
      </c>
      <c r="B531" s="1" t="s">
        <v>6480</v>
      </c>
      <c r="C531" s="241" t="s">
        <v>6513</v>
      </c>
      <c r="D531" s="1" t="s">
        <v>6481</v>
      </c>
      <c r="E531" s="1"/>
      <c r="F531" s="1"/>
      <c r="G531" s="1" t="s">
        <v>6482</v>
      </c>
      <c r="H531" s="1" t="s">
        <v>6483</v>
      </c>
      <c r="I531" s="1" t="s">
        <v>6484</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6485</v>
      </c>
      <c r="AK531" s="1" t="s">
        <v>6486</v>
      </c>
      <c r="AL531" s="1">
        <v>13</v>
      </c>
      <c r="AM531" s="1" t="s">
        <v>4791</v>
      </c>
      <c r="AN531" s="1" t="s">
        <v>4796</v>
      </c>
      <c r="AO531" s="1" t="s">
        <v>4979</v>
      </c>
      <c r="AP531" s="1">
        <v>0</v>
      </c>
      <c r="AQ531" s="1" t="s">
        <v>1745</v>
      </c>
      <c r="AR531" s="1" t="s">
        <v>1744</v>
      </c>
      <c r="AS531" s="1" t="s">
        <v>1131</v>
      </c>
      <c r="AT531" s="1" t="s">
        <v>329</v>
      </c>
      <c r="AU531" s="1">
        <v>115</v>
      </c>
      <c r="AV531" s="1">
        <v>0</v>
      </c>
      <c r="AW531" s="1" t="s">
        <v>4970</v>
      </c>
      <c r="AX531" s="1" t="s">
        <v>5417</v>
      </c>
      <c r="AY531" s="1">
        <v>6</v>
      </c>
      <c r="AZ531" s="1">
        <v>3115</v>
      </c>
      <c r="BA531" s="1" t="s">
        <v>329</v>
      </c>
      <c r="BB531" s="1" t="s">
        <v>4993</v>
      </c>
      <c r="BC531" s="1" t="s">
        <v>329</v>
      </c>
      <c r="BD531" s="1">
        <v>0</v>
      </c>
      <c r="BE531" s="1"/>
      <c r="BH531">
        <f>COUNTIF(Dropdowns!$I:$AF,C531)</f>
        <v>1</v>
      </c>
    </row>
    <row r="532" spans="1:60" x14ac:dyDescent="0.25">
      <c r="A532" s="1">
        <v>20122</v>
      </c>
      <c r="B532" s="1" t="s">
        <v>4388</v>
      </c>
      <c r="C532" s="241" t="s">
        <v>1448</v>
      </c>
      <c r="D532" s="1" t="s">
        <v>1448</v>
      </c>
      <c r="E532" s="1"/>
      <c r="F532" s="1"/>
      <c r="G532" s="1" t="s">
        <v>4389</v>
      </c>
      <c r="H532" s="1" t="s">
        <v>4390</v>
      </c>
      <c r="I532" s="1" t="s">
        <v>4391</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1449</v>
      </c>
      <c r="AK532" s="1" t="s">
        <v>329</v>
      </c>
      <c r="AL532" s="1">
        <v>13</v>
      </c>
      <c r="AM532" s="1" t="s">
        <v>4720</v>
      </c>
      <c r="AN532" s="1" t="s">
        <v>4885</v>
      </c>
      <c r="AO532" s="1" t="s">
        <v>5445</v>
      </c>
      <c r="AP532" s="1">
        <v>0</v>
      </c>
      <c r="AQ532" s="1" t="s">
        <v>1131</v>
      </c>
      <c r="AR532" s="1" t="s">
        <v>1155</v>
      </c>
      <c r="AS532" s="1" t="s">
        <v>1745</v>
      </c>
      <c r="AT532" s="1" t="s">
        <v>329</v>
      </c>
      <c r="AU532" s="1">
        <v>122</v>
      </c>
      <c r="AV532" s="1">
        <v>0</v>
      </c>
      <c r="AW532" s="1" t="s">
        <v>4961</v>
      </c>
      <c r="AX532" s="1" t="s">
        <v>5417</v>
      </c>
      <c r="AY532" s="1">
        <v>6</v>
      </c>
      <c r="AZ532" s="1">
        <v>3122</v>
      </c>
      <c r="BA532" s="1" t="s">
        <v>329</v>
      </c>
      <c r="BB532" s="1" t="s">
        <v>5007</v>
      </c>
      <c r="BC532" s="1" t="s">
        <v>4890</v>
      </c>
      <c r="BD532" s="1">
        <v>0</v>
      </c>
      <c r="BE532" s="1"/>
      <c r="BH532">
        <f>COUNTIF(Dropdowns!$I:$AF,C532)</f>
        <v>1</v>
      </c>
    </row>
    <row r="533" spans="1:60" x14ac:dyDescent="0.25">
      <c r="A533" s="1">
        <v>20124</v>
      </c>
      <c r="B533" s="1" t="s">
        <v>4392</v>
      </c>
      <c r="C533" s="241" t="s">
        <v>833</v>
      </c>
      <c r="D533" s="1" t="s">
        <v>4393</v>
      </c>
      <c r="E533" s="1"/>
      <c r="F533" s="1"/>
      <c r="G533" s="1" t="s">
        <v>4394</v>
      </c>
      <c r="H533" s="1" t="s">
        <v>4395</v>
      </c>
      <c r="I533" s="1" t="s">
        <v>4396</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1450</v>
      </c>
      <c r="AK533" s="1" t="s">
        <v>1451</v>
      </c>
      <c r="AL533" s="1">
        <v>13</v>
      </c>
      <c r="AM533" s="1" t="s">
        <v>4763</v>
      </c>
      <c r="AN533" s="1" t="s">
        <v>5390</v>
      </c>
      <c r="AO533" s="1" t="s">
        <v>4833</v>
      </c>
      <c r="AP533" s="1">
        <v>0</v>
      </c>
      <c r="AQ533" s="1" t="s">
        <v>1141</v>
      </c>
      <c r="AR533" s="1" t="s">
        <v>4836</v>
      </c>
      <c r="AS533" s="1" t="s">
        <v>1143</v>
      </c>
      <c r="AT533" s="1" t="s">
        <v>329</v>
      </c>
      <c r="AU533" s="1">
        <v>124</v>
      </c>
      <c r="AV533" s="1">
        <v>0</v>
      </c>
      <c r="AW533" s="1" t="s">
        <v>5010</v>
      </c>
      <c r="AX533" s="1" t="s">
        <v>5417</v>
      </c>
      <c r="AY533" s="1">
        <v>4</v>
      </c>
      <c r="AZ533" s="1">
        <v>3124</v>
      </c>
      <c r="BA533" s="1" t="s">
        <v>329</v>
      </c>
      <c r="BB533" s="1" t="s">
        <v>5011</v>
      </c>
      <c r="BC533" s="1" t="s">
        <v>4721</v>
      </c>
      <c r="BD533" s="1">
        <v>0</v>
      </c>
      <c r="BE533" s="1"/>
      <c r="BH533">
        <f>COUNTIF(Dropdowns!$I:$AF,C533)</f>
        <v>1</v>
      </c>
    </row>
    <row r="534" spans="1:60" x14ac:dyDescent="0.25">
      <c r="A534" s="1">
        <v>20125</v>
      </c>
      <c r="B534" s="1" t="s">
        <v>4397</v>
      </c>
      <c r="C534" s="241" t="s">
        <v>927</v>
      </c>
      <c r="D534" s="1" t="s">
        <v>927</v>
      </c>
      <c r="E534" s="1"/>
      <c r="F534" s="1"/>
      <c r="G534" s="1" t="s">
        <v>4398</v>
      </c>
      <c r="H534" s="1" t="s">
        <v>4399</v>
      </c>
      <c r="I534" s="1" t="s">
        <v>4400</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1167</v>
      </c>
      <c r="AK534" s="1" t="s">
        <v>1452</v>
      </c>
      <c r="AL534" s="1">
        <v>18</v>
      </c>
      <c r="AM534" s="1" t="s">
        <v>4859</v>
      </c>
      <c r="AN534" s="1" t="s">
        <v>4985</v>
      </c>
      <c r="AO534" s="1" t="s">
        <v>5446</v>
      </c>
      <c r="AP534" s="1">
        <v>0</v>
      </c>
      <c r="AQ534" s="1" t="s">
        <v>5013</v>
      </c>
      <c r="AR534" s="1" t="s">
        <v>4912</v>
      </c>
      <c r="AS534" s="1" t="s">
        <v>1170</v>
      </c>
      <c r="AT534" s="1" t="s">
        <v>329</v>
      </c>
      <c r="AU534" s="1">
        <v>125</v>
      </c>
      <c r="AV534" s="1">
        <v>0</v>
      </c>
      <c r="AW534" s="1" t="s">
        <v>4843</v>
      </c>
      <c r="AX534" s="1" t="s">
        <v>5417</v>
      </c>
      <c r="AY534" s="1">
        <v>6</v>
      </c>
      <c r="AZ534" s="1">
        <v>3125</v>
      </c>
      <c r="BA534" s="1" t="s">
        <v>329</v>
      </c>
      <c r="BB534" s="1" t="s">
        <v>329</v>
      </c>
      <c r="BC534" s="1" t="s">
        <v>4770</v>
      </c>
      <c r="BD534" s="1">
        <v>0</v>
      </c>
      <c r="BE534" s="1"/>
      <c r="BH534">
        <f>COUNTIF(Dropdowns!$I:$AF,C534)</f>
        <v>1</v>
      </c>
    </row>
    <row r="535" spans="1:60" x14ac:dyDescent="0.25">
      <c r="A535" s="1">
        <v>20136</v>
      </c>
      <c r="B535" s="1" t="s">
        <v>4401</v>
      </c>
      <c r="C535" s="241" t="s">
        <v>1685</v>
      </c>
      <c r="D535" s="1" t="s">
        <v>1685</v>
      </c>
      <c r="E535" s="1"/>
      <c r="F535" s="1"/>
      <c r="G535" s="1" t="s">
        <v>4402</v>
      </c>
      <c r="H535" s="1" t="s">
        <v>4403</v>
      </c>
      <c r="I535" s="1" t="s">
        <v>4404</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1453</v>
      </c>
      <c r="AK535" s="1" t="s">
        <v>1454</v>
      </c>
      <c r="AL535" s="1">
        <v>13</v>
      </c>
      <c r="AM535" s="1" t="s">
        <v>4791</v>
      </c>
      <c r="AN535" s="1" t="s">
        <v>4994</v>
      </c>
      <c r="AO535" s="1" t="s">
        <v>5447</v>
      </c>
      <c r="AP535" s="1">
        <v>0</v>
      </c>
      <c r="AQ535" s="1" t="s">
        <v>1130</v>
      </c>
      <c r="AR535" s="1" t="s">
        <v>1120</v>
      </c>
      <c r="AS535" s="1" t="s">
        <v>1746</v>
      </c>
      <c r="AT535" s="1" t="s">
        <v>329</v>
      </c>
      <c r="AU535" s="1">
        <v>136</v>
      </c>
      <c r="AV535" s="1">
        <v>0</v>
      </c>
      <c r="AW535" s="1" t="s">
        <v>4809</v>
      </c>
      <c r="AX535" s="1" t="s">
        <v>5417</v>
      </c>
      <c r="AY535" s="1">
        <v>5</v>
      </c>
      <c r="AZ535" s="1">
        <v>3136</v>
      </c>
      <c r="BA535" s="1" t="s">
        <v>329</v>
      </c>
      <c r="BB535" s="1" t="s">
        <v>4794</v>
      </c>
      <c r="BC535" s="1" t="s">
        <v>4758</v>
      </c>
      <c r="BD535" s="1">
        <v>0</v>
      </c>
      <c r="BE535" s="1"/>
      <c r="BH535">
        <f>COUNTIF(Dropdowns!$I:$AF,C535)</f>
        <v>1</v>
      </c>
    </row>
    <row r="536" spans="1:60" x14ac:dyDescent="0.25">
      <c r="A536" s="1">
        <v>20143</v>
      </c>
      <c r="B536" s="1" t="s">
        <v>4405</v>
      </c>
      <c r="C536" s="241" t="s">
        <v>826</v>
      </c>
      <c r="D536" s="1" t="s">
        <v>826</v>
      </c>
      <c r="E536" s="1"/>
      <c r="F536" s="1"/>
      <c r="G536" s="1" t="s">
        <v>4406</v>
      </c>
      <c r="H536" s="1" t="s">
        <v>4407</v>
      </c>
      <c r="I536" s="1" t="s">
        <v>4408</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1455</v>
      </c>
      <c r="AK536" s="1" t="s">
        <v>1456</v>
      </c>
      <c r="AL536" s="1">
        <v>13</v>
      </c>
      <c r="AM536" s="1" t="s">
        <v>4791</v>
      </c>
      <c r="AN536" s="1" t="s">
        <v>4948</v>
      </c>
      <c r="AO536" s="1" t="s">
        <v>5448</v>
      </c>
      <c r="AP536" s="1">
        <v>0</v>
      </c>
      <c r="AQ536" s="1" t="s">
        <v>1745</v>
      </c>
      <c r="AR536" s="1" t="s">
        <v>1120</v>
      </c>
      <c r="AS536" s="1" t="s">
        <v>1131</v>
      </c>
      <c r="AT536" s="1" t="s">
        <v>329</v>
      </c>
      <c r="AU536" s="1">
        <v>143</v>
      </c>
      <c r="AV536" s="1">
        <v>0</v>
      </c>
      <c r="AW536" s="1" t="s">
        <v>5038</v>
      </c>
      <c r="AX536" s="1" t="s">
        <v>5417</v>
      </c>
      <c r="AY536" s="1">
        <v>6</v>
      </c>
      <c r="AZ536" s="1">
        <v>3143</v>
      </c>
      <c r="BA536" s="1" t="s">
        <v>329</v>
      </c>
      <c r="BB536" s="1" t="s">
        <v>5048</v>
      </c>
      <c r="BC536" s="1" t="s">
        <v>4861</v>
      </c>
      <c r="BD536" s="1">
        <v>0</v>
      </c>
      <c r="BE536" s="1"/>
      <c r="BH536">
        <f>COUNTIF(Dropdowns!$I:$AF,C536)</f>
        <v>1</v>
      </c>
    </row>
    <row r="537" spans="1:60" x14ac:dyDescent="0.25">
      <c r="A537" s="1">
        <v>20152</v>
      </c>
      <c r="B537" s="1" t="s">
        <v>4409</v>
      </c>
      <c r="C537" s="241" t="s">
        <v>725</v>
      </c>
      <c r="D537" s="1" t="s">
        <v>725</v>
      </c>
      <c r="E537" s="1"/>
      <c r="F537" s="1"/>
      <c r="G537" s="1" t="s">
        <v>4410</v>
      </c>
      <c r="H537" s="1" t="s">
        <v>4411</v>
      </c>
      <c r="I537" s="1" t="s">
        <v>4412</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1457</v>
      </c>
      <c r="AK537" s="1" t="s">
        <v>329</v>
      </c>
      <c r="AL537" s="1">
        <v>8</v>
      </c>
      <c r="AM537" s="1" t="s">
        <v>4717</v>
      </c>
      <c r="AN537" s="1" t="s">
        <v>5449</v>
      </c>
      <c r="AO537" s="1" t="s">
        <v>5450</v>
      </c>
      <c r="AP537" s="1">
        <v>0</v>
      </c>
      <c r="AQ537" s="1" t="s">
        <v>1201</v>
      </c>
      <c r="AR537" s="1" t="s">
        <v>5061</v>
      </c>
      <c r="AS537" s="1" t="s">
        <v>1203</v>
      </c>
      <c r="AT537" s="1" t="s">
        <v>329</v>
      </c>
      <c r="AU537" s="1">
        <v>152</v>
      </c>
      <c r="AV537" s="1">
        <v>0</v>
      </c>
      <c r="AW537" s="1" t="s">
        <v>5062</v>
      </c>
      <c r="AX537" s="1" t="s">
        <v>5417</v>
      </c>
      <c r="AY537" s="1">
        <v>4</v>
      </c>
      <c r="AZ537" s="1">
        <v>3152</v>
      </c>
      <c r="BA537" s="1" t="s">
        <v>329</v>
      </c>
      <c r="BB537" s="1" t="s">
        <v>329</v>
      </c>
      <c r="BC537" s="1" t="s">
        <v>4721</v>
      </c>
      <c r="BD537" s="1">
        <v>0</v>
      </c>
      <c r="BE537" s="1"/>
      <c r="BH537">
        <f>COUNTIF(Dropdowns!$I:$AF,C537)</f>
        <v>1</v>
      </c>
    </row>
    <row r="538" spans="1:60" x14ac:dyDescent="0.25">
      <c r="A538" s="1">
        <v>20154</v>
      </c>
      <c r="B538" s="1" t="s">
        <v>4413</v>
      </c>
      <c r="C538" s="241" t="s">
        <v>716</v>
      </c>
      <c r="D538" s="1" t="s">
        <v>716</v>
      </c>
      <c r="E538" s="1"/>
      <c r="F538" s="1"/>
      <c r="G538" s="1" t="s">
        <v>4414</v>
      </c>
      <c r="H538" s="1" t="s">
        <v>4415</v>
      </c>
      <c r="I538" s="1" t="s">
        <v>4416</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1458</v>
      </c>
      <c r="AK538" s="1" t="s">
        <v>1459</v>
      </c>
      <c r="AL538" s="1">
        <v>7</v>
      </c>
      <c r="AM538" s="1" t="s">
        <v>4717</v>
      </c>
      <c r="AN538" s="1" t="s">
        <v>471</v>
      </c>
      <c r="AO538" s="1" t="s">
        <v>5451</v>
      </c>
      <c r="AP538" s="1">
        <v>0</v>
      </c>
      <c r="AQ538" s="1" t="s">
        <v>1201</v>
      </c>
      <c r="AR538" s="1" t="s">
        <v>1202</v>
      </c>
      <c r="AS538" s="1" t="s">
        <v>5063</v>
      </c>
      <c r="AT538" s="1" t="s">
        <v>329</v>
      </c>
      <c r="AU538" s="1">
        <v>154</v>
      </c>
      <c r="AV538" s="1">
        <v>0</v>
      </c>
      <c r="AW538" s="1" t="s">
        <v>5038</v>
      </c>
      <c r="AX538" s="1" t="s">
        <v>5417</v>
      </c>
      <c r="AY538" s="1">
        <v>4</v>
      </c>
      <c r="AZ538" s="1">
        <v>3154</v>
      </c>
      <c r="BA538" s="1" t="s">
        <v>329</v>
      </c>
      <c r="BB538" s="1" t="s">
        <v>329</v>
      </c>
      <c r="BC538" s="1" t="s">
        <v>4721</v>
      </c>
      <c r="BD538" s="1">
        <v>0</v>
      </c>
      <c r="BE538" s="1"/>
      <c r="BH538">
        <f>COUNTIF(Dropdowns!$I:$AF,C538)</f>
        <v>1</v>
      </c>
    </row>
    <row r="539" spans="1:60" x14ac:dyDescent="0.25">
      <c r="A539" s="1">
        <v>20159</v>
      </c>
      <c r="B539" s="1" t="s">
        <v>4417</v>
      </c>
      <c r="C539" s="241" t="s">
        <v>928</v>
      </c>
      <c r="D539" s="1" t="s">
        <v>928</v>
      </c>
      <c r="E539" s="1"/>
      <c r="F539" s="1"/>
      <c r="G539" s="1" t="s">
        <v>4418</v>
      </c>
      <c r="H539" s="1" t="s">
        <v>4419</v>
      </c>
      <c r="I539" s="1" t="s">
        <v>4420</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1460</v>
      </c>
      <c r="AK539" s="1" t="s">
        <v>1461</v>
      </c>
      <c r="AL539" s="1">
        <v>9</v>
      </c>
      <c r="AM539" s="1" t="s">
        <v>4717</v>
      </c>
      <c r="AN539" s="1" t="s">
        <v>366</v>
      </c>
      <c r="AO539" s="1" t="s">
        <v>5452</v>
      </c>
      <c r="AP539" s="1">
        <v>0</v>
      </c>
      <c r="AQ539" s="1" t="s">
        <v>5068</v>
      </c>
      <c r="AR539" s="1" t="s">
        <v>1202</v>
      </c>
      <c r="AS539" s="1" t="s">
        <v>1203</v>
      </c>
      <c r="AT539" s="1" t="s">
        <v>329</v>
      </c>
      <c r="AU539" s="1">
        <v>159</v>
      </c>
      <c r="AV539" s="1">
        <v>0</v>
      </c>
      <c r="AW539" s="1" t="s">
        <v>5038</v>
      </c>
      <c r="AX539" s="1" t="s">
        <v>5417</v>
      </c>
      <c r="AY539" s="1">
        <v>4</v>
      </c>
      <c r="AZ539" s="1">
        <v>3159</v>
      </c>
      <c r="BA539" s="1" t="s">
        <v>329</v>
      </c>
      <c r="BB539" s="1" t="s">
        <v>329</v>
      </c>
      <c r="BC539" s="1" t="s">
        <v>4758</v>
      </c>
      <c r="BD539" s="1">
        <v>0</v>
      </c>
      <c r="BE539" s="1"/>
      <c r="BH539">
        <f>COUNTIF(Dropdowns!$I:$AF,C539)</f>
        <v>1</v>
      </c>
    </row>
    <row r="540" spans="1:60" x14ac:dyDescent="0.25">
      <c r="A540" s="1">
        <v>20161</v>
      </c>
      <c r="B540" s="1" t="s">
        <v>4421</v>
      </c>
      <c r="C540" s="241" t="s">
        <v>734</v>
      </c>
      <c r="D540" s="1" t="s">
        <v>4422</v>
      </c>
      <c r="E540" s="1"/>
      <c r="F540" s="1"/>
      <c r="G540" s="1" t="s">
        <v>4423</v>
      </c>
      <c r="H540" s="1" t="s">
        <v>4424</v>
      </c>
      <c r="I540" s="1" t="s">
        <v>4425</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1462</v>
      </c>
      <c r="AK540" s="1" t="s">
        <v>329</v>
      </c>
      <c r="AL540" s="1">
        <v>8</v>
      </c>
      <c r="AM540" s="1" t="s">
        <v>4717</v>
      </c>
      <c r="AN540" s="1" t="s">
        <v>5453</v>
      </c>
      <c r="AO540" s="1" t="s">
        <v>5069</v>
      </c>
      <c r="AP540" s="1">
        <v>0</v>
      </c>
      <c r="AQ540" s="1" t="s">
        <v>5068</v>
      </c>
      <c r="AR540" s="1" t="s">
        <v>1202</v>
      </c>
      <c r="AS540" s="1" t="s">
        <v>1203</v>
      </c>
      <c r="AT540" s="1" t="s">
        <v>329</v>
      </c>
      <c r="AU540" s="1">
        <v>161</v>
      </c>
      <c r="AV540" s="1">
        <v>0</v>
      </c>
      <c r="AW540" s="1" t="s">
        <v>5038</v>
      </c>
      <c r="AX540" s="1" t="s">
        <v>5417</v>
      </c>
      <c r="AY540" s="1">
        <v>5</v>
      </c>
      <c r="AZ540" s="1">
        <v>3161</v>
      </c>
      <c r="BA540" s="1" t="s">
        <v>329</v>
      </c>
      <c r="BB540" s="1" t="s">
        <v>4953</v>
      </c>
      <c r="BC540" s="1" t="s">
        <v>4784</v>
      </c>
      <c r="BD540" s="1">
        <v>0</v>
      </c>
      <c r="BE540" s="1"/>
      <c r="BH540">
        <f>COUNTIF(Dropdowns!$I:$AF,C540)</f>
        <v>1</v>
      </c>
    </row>
    <row r="541" spans="1:60" x14ac:dyDescent="0.25">
      <c r="A541" s="1">
        <v>20171</v>
      </c>
      <c r="B541" s="1" t="s">
        <v>4452</v>
      </c>
      <c r="C541" s="241" t="s">
        <v>1755</v>
      </c>
      <c r="D541" s="1" t="s">
        <v>4453</v>
      </c>
      <c r="E541" s="1"/>
      <c r="F541" s="1"/>
      <c r="G541" s="1" t="s">
        <v>4454</v>
      </c>
      <c r="H541" s="1" t="s">
        <v>4455</v>
      </c>
      <c r="I541" s="1" t="s">
        <v>4456</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1748</v>
      </c>
      <c r="AK541" s="1" t="s">
        <v>329</v>
      </c>
      <c r="AL541" s="1">
        <v>13</v>
      </c>
      <c r="AM541" s="1" t="s">
        <v>4791</v>
      </c>
      <c r="AN541" s="1" t="s">
        <v>465</v>
      </c>
      <c r="AO541" s="1" t="s">
        <v>5359</v>
      </c>
      <c r="AP541" s="1">
        <v>0</v>
      </c>
      <c r="AQ541" s="1" t="s">
        <v>1746</v>
      </c>
      <c r="AR541" s="1" t="s">
        <v>1155</v>
      </c>
      <c r="AS541" s="1" t="s">
        <v>1130</v>
      </c>
      <c r="AT541" s="1" t="s">
        <v>329</v>
      </c>
      <c r="AU541" s="1">
        <v>171</v>
      </c>
      <c r="AV541" s="1">
        <v>0</v>
      </c>
      <c r="AW541" s="1" t="s">
        <v>5085</v>
      </c>
      <c r="AX541" s="1" t="s">
        <v>5417</v>
      </c>
      <c r="AY541" s="1">
        <v>5</v>
      </c>
      <c r="AZ541" s="1">
        <v>3171</v>
      </c>
      <c r="BA541" s="1" t="s">
        <v>329</v>
      </c>
      <c r="BB541" s="1" t="s">
        <v>5090</v>
      </c>
      <c r="BC541" s="1" t="s">
        <v>329</v>
      </c>
      <c r="BD541" s="1">
        <v>0</v>
      </c>
      <c r="BE541" s="1"/>
      <c r="BH541">
        <f>COUNTIF(Dropdowns!$I:$AF,C541)</f>
        <v>1</v>
      </c>
    </row>
    <row r="542" spans="1:60" x14ac:dyDescent="0.25">
      <c r="A542" s="1">
        <v>20178</v>
      </c>
      <c r="B542" s="1" t="s">
        <v>4426</v>
      </c>
      <c r="C542" s="241" t="s">
        <v>827</v>
      </c>
      <c r="D542" s="1" t="s">
        <v>827</v>
      </c>
      <c r="E542" s="1"/>
      <c r="F542" s="1"/>
      <c r="G542" s="1" t="s">
        <v>4427</v>
      </c>
      <c r="H542" s="1" t="s">
        <v>4428</v>
      </c>
      <c r="I542" s="1" t="s">
        <v>4429</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5454</v>
      </c>
      <c r="AO542" s="1" t="s">
        <v>5455</v>
      </c>
      <c r="AP542" s="1">
        <v>0</v>
      </c>
      <c r="AQ542" s="1" t="s">
        <v>1745</v>
      </c>
      <c r="AR542" s="1" t="s">
        <v>1120</v>
      </c>
      <c r="AS542" s="1" t="s">
        <v>1131</v>
      </c>
      <c r="AT542" s="1" t="s">
        <v>329</v>
      </c>
      <c r="AU542" s="1">
        <v>178</v>
      </c>
      <c r="AV542" s="1">
        <v>0</v>
      </c>
      <c r="AW542" s="1" t="s">
        <v>4968</v>
      </c>
      <c r="AX542" s="1" t="s">
        <v>5417</v>
      </c>
      <c r="AY542" s="1">
        <v>4</v>
      </c>
      <c r="AZ542" s="1">
        <v>3178</v>
      </c>
      <c r="BA542" s="1" t="s">
        <v>329</v>
      </c>
      <c r="BB542" s="1" t="s">
        <v>5105</v>
      </c>
      <c r="BC542" s="1" t="s">
        <v>329</v>
      </c>
      <c r="BD542" s="1">
        <v>0</v>
      </c>
      <c r="BE542" s="1"/>
      <c r="BH542">
        <f>COUNTIF(Dropdowns!$I:$AF,C542)</f>
        <v>1</v>
      </c>
    </row>
    <row r="543" spans="1:60" x14ac:dyDescent="0.25">
      <c r="A543" s="1">
        <v>20199</v>
      </c>
      <c r="B543" s="1" t="s">
        <v>4430</v>
      </c>
      <c r="C543" s="241" t="s">
        <v>834</v>
      </c>
      <c r="D543" s="1" t="s">
        <v>4431</v>
      </c>
      <c r="E543" s="1"/>
      <c r="F543" s="1"/>
      <c r="G543" s="1" t="s">
        <v>4432</v>
      </c>
      <c r="H543" s="1" t="s">
        <v>4433</v>
      </c>
      <c r="I543" s="1" t="s">
        <v>4434</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1463</v>
      </c>
      <c r="AK543" s="1" t="s">
        <v>1227</v>
      </c>
      <c r="AL543" s="1">
        <v>19</v>
      </c>
      <c r="AM543" s="1" t="s">
        <v>388</v>
      </c>
      <c r="AN543" s="1" t="s">
        <v>5456</v>
      </c>
      <c r="AO543" s="1" t="s">
        <v>5268</v>
      </c>
      <c r="AP543" s="1">
        <v>0</v>
      </c>
      <c r="AQ543" s="1" t="s">
        <v>5013</v>
      </c>
      <c r="AR543" s="1" t="s">
        <v>1169</v>
      </c>
      <c r="AS543" s="1" t="s">
        <v>1170</v>
      </c>
      <c r="AT543" s="1" t="s">
        <v>329</v>
      </c>
      <c r="AU543" s="1">
        <v>199</v>
      </c>
      <c r="AV543" s="1">
        <v>0</v>
      </c>
      <c r="AW543" s="1" t="s">
        <v>5034</v>
      </c>
      <c r="AX543" s="1" t="s">
        <v>5417</v>
      </c>
      <c r="AY543" s="1">
        <v>5</v>
      </c>
      <c r="AZ543" s="1">
        <v>3199</v>
      </c>
      <c r="BA543" s="1" t="s">
        <v>329</v>
      </c>
      <c r="BB543" s="1" t="s">
        <v>5138</v>
      </c>
      <c r="BC543" s="1" t="s">
        <v>4784</v>
      </c>
      <c r="BD543" s="1">
        <v>0</v>
      </c>
      <c r="BE543" s="1"/>
      <c r="BH543">
        <f>COUNTIF(Dropdowns!$I:$AF,C543)</f>
        <v>1</v>
      </c>
    </row>
    <row r="544" spans="1:60" x14ac:dyDescent="0.25">
      <c r="A544" s="1">
        <v>20200</v>
      </c>
      <c r="B544" s="1" t="s">
        <v>4435</v>
      </c>
      <c r="C544" s="241" t="s">
        <v>929</v>
      </c>
      <c r="D544" s="1" t="s">
        <v>929</v>
      </c>
      <c r="E544" s="1"/>
      <c r="F544" s="1"/>
      <c r="G544" s="1" t="s">
        <v>4436</v>
      </c>
      <c r="H544" s="1" t="s">
        <v>4437</v>
      </c>
      <c r="I544" s="1" t="s">
        <v>4438</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1464</v>
      </c>
      <c r="AK544" s="1" t="s">
        <v>329</v>
      </c>
      <c r="AL544" s="1">
        <v>13</v>
      </c>
      <c r="AM544" s="1" t="s">
        <v>4763</v>
      </c>
      <c r="AN544" s="1" t="s">
        <v>4830</v>
      </c>
      <c r="AO544" s="1" t="s">
        <v>4846</v>
      </c>
      <c r="AP544" s="1">
        <v>0</v>
      </c>
      <c r="AQ544" s="1" t="s">
        <v>1747</v>
      </c>
      <c r="AR544" s="1" t="s">
        <v>1142</v>
      </c>
      <c r="AS544" s="1" t="s">
        <v>1143</v>
      </c>
      <c r="AT544" s="1" t="s">
        <v>329</v>
      </c>
      <c r="AU544" s="1">
        <v>200</v>
      </c>
      <c r="AV544" s="1">
        <v>0</v>
      </c>
      <c r="AW544" s="1" t="s">
        <v>5132</v>
      </c>
      <c r="AX544" s="1" t="s">
        <v>5417</v>
      </c>
      <c r="AY544" s="1">
        <v>5</v>
      </c>
      <c r="AZ544" s="1">
        <v>3200</v>
      </c>
      <c r="BA544" s="1" t="s">
        <v>329</v>
      </c>
      <c r="BB544" s="1" t="s">
        <v>329</v>
      </c>
      <c r="BC544" s="1" t="s">
        <v>4721</v>
      </c>
      <c r="BD544" s="1">
        <v>0</v>
      </c>
      <c r="BE544" s="1"/>
      <c r="BH544">
        <f>COUNTIF(Dropdowns!$I:$AF,C544)</f>
        <v>1</v>
      </c>
    </row>
    <row r="545" spans="1:60" x14ac:dyDescent="0.25">
      <c r="A545" s="1">
        <v>20201</v>
      </c>
      <c r="B545" s="1" t="s">
        <v>4457</v>
      </c>
      <c r="C545" s="241" t="s">
        <v>1756</v>
      </c>
      <c r="D545" s="1" t="s">
        <v>4458</v>
      </c>
      <c r="E545" s="1"/>
      <c r="F545" s="1"/>
      <c r="G545" s="1" t="s">
        <v>4459</v>
      </c>
      <c r="H545" s="1" t="s">
        <v>4460</v>
      </c>
      <c r="I545" s="1" t="s">
        <v>4461</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1752</v>
      </c>
      <c r="AK545" s="1" t="s">
        <v>1753</v>
      </c>
      <c r="AL545" s="1">
        <v>13</v>
      </c>
      <c r="AM545" s="1" t="s">
        <v>4763</v>
      </c>
      <c r="AN545" s="1" t="s">
        <v>4885</v>
      </c>
      <c r="AO545" s="1" t="s">
        <v>4833</v>
      </c>
      <c r="AP545" s="1">
        <v>0</v>
      </c>
      <c r="AQ545" s="1" t="s">
        <v>1747</v>
      </c>
      <c r="AR545" s="1" t="s">
        <v>1142</v>
      </c>
      <c r="AS545" s="1" t="s">
        <v>1143</v>
      </c>
      <c r="AT545" s="1" t="s">
        <v>329</v>
      </c>
      <c r="AU545" s="1">
        <v>201</v>
      </c>
      <c r="AV545" s="1">
        <v>0</v>
      </c>
      <c r="AW545" s="1" t="s">
        <v>5140</v>
      </c>
      <c r="AX545" s="1" t="s">
        <v>5417</v>
      </c>
      <c r="AY545" s="1">
        <v>4</v>
      </c>
      <c r="AZ545" s="1">
        <v>3201</v>
      </c>
      <c r="BA545" s="1" t="s">
        <v>329</v>
      </c>
      <c r="BB545" s="1" t="s">
        <v>354</v>
      </c>
      <c r="BC545" s="1" t="s">
        <v>329</v>
      </c>
      <c r="BD545" s="1">
        <v>0</v>
      </c>
      <c r="BE545" s="1"/>
      <c r="BH545">
        <f>COUNTIF(Dropdowns!$I:$AF,C545)</f>
        <v>1</v>
      </c>
    </row>
    <row r="546" spans="1:60" x14ac:dyDescent="0.25">
      <c r="A546" s="1">
        <v>20205</v>
      </c>
      <c r="B546" s="1" t="s">
        <v>5729</v>
      </c>
      <c r="C546" s="241" t="s">
        <v>5730</v>
      </c>
      <c r="D546" s="1" t="s">
        <v>5730</v>
      </c>
      <c r="E546" s="1"/>
      <c r="F546" s="1"/>
      <c r="G546" s="1" t="s">
        <v>5731</v>
      </c>
      <c r="H546" s="1" t="s">
        <v>5732</v>
      </c>
      <c r="I546" s="1" t="s">
        <v>5733</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5734</v>
      </c>
      <c r="AK546" s="1" t="s">
        <v>329</v>
      </c>
      <c r="AL546" s="1">
        <v>12</v>
      </c>
      <c r="AM546" s="1" t="s">
        <v>4720</v>
      </c>
      <c r="AN546" s="1" t="s">
        <v>5148</v>
      </c>
      <c r="AO546" s="1" t="s">
        <v>5735</v>
      </c>
      <c r="AP546" s="1">
        <v>0</v>
      </c>
      <c r="AQ546" s="1" t="s">
        <v>1746</v>
      </c>
      <c r="AR546" s="1" t="s">
        <v>1155</v>
      </c>
      <c r="AS546" s="1" t="s">
        <v>1130</v>
      </c>
      <c r="AT546" s="1" t="s">
        <v>329</v>
      </c>
      <c r="AU546" s="1">
        <v>205</v>
      </c>
      <c r="AV546" s="1">
        <v>0</v>
      </c>
      <c r="AW546" s="1" t="s">
        <v>4819</v>
      </c>
      <c r="AX546" s="1" t="s">
        <v>5417</v>
      </c>
      <c r="AY546" s="1">
        <v>6</v>
      </c>
      <c r="AZ546" s="1">
        <v>3205</v>
      </c>
      <c r="BA546" s="1" t="s">
        <v>329</v>
      </c>
      <c r="BB546" s="1" t="s">
        <v>354</v>
      </c>
      <c r="BC546" s="1" t="s">
        <v>5150</v>
      </c>
      <c r="BD546" s="1">
        <v>0</v>
      </c>
      <c r="BE546" s="1"/>
      <c r="BH546">
        <f>COUNTIF(Dropdowns!$I:$AF,C546)</f>
        <v>1</v>
      </c>
    </row>
    <row r="547" spans="1:60" x14ac:dyDescent="0.25">
      <c r="A547" s="1">
        <v>20216</v>
      </c>
      <c r="B547" s="1" t="s">
        <v>5736</v>
      </c>
      <c r="C547" s="241" t="s">
        <v>5737</v>
      </c>
      <c r="D547" s="1" t="s">
        <v>5737</v>
      </c>
      <c r="E547" s="1"/>
      <c r="F547" s="1"/>
      <c r="G547" s="1" t="s">
        <v>5738</v>
      </c>
      <c r="H547" s="1" t="s">
        <v>5739</v>
      </c>
      <c r="I547" s="1" t="s">
        <v>5740</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5741</v>
      </c>
      <c r="AK547" s="1" t="s">
        <v>5742</v>
      </c>
      <c r="AL547" s="1">
        <v>14</v>
      </c>
      <c r="AM547" s="1" t="s">
        <v>4720</v>
      </c>
      <c r="AN547" s="1" t="s">
        <v>5743</v>
      </c>
      <c r="AO547" s="1" t="s">
        <v>5744</v>
      </c>
      <c r="AP547" s="1">
        <v>0</v>
      </c>
      <c r="AQ547" s="1" t="s">
        <v>1746</v>
      </c>
      <c r="AR547" s="1" t="s">
        <v>1155</v>
      </c>
      <c r="AS547" s="1" t="s">
        <v>1130</v>
      </c>
      <c r="AT547" s="1" t="s">
        <v>329</v>
      </c>
      <c r="AU547" s="1">
        <v>216</v>
      </c>
      <c r="AV547" s="1">
        <v>0</v>
      </c>
      <c r="AW547" s="1" t="s">
        <v>5163</v>
      </c>
      <c r="AX547" s="1" t="s">
        <v>5417</v>
      </c>
      <c r="AY547" s="1">
        <v>5</v>
      </c>
      <c r="AZ547" s="1">
        <v>3216</v>
      </c>
      <c r="BA547" s="1" t="s">
        <v>329</v>
      </c>
      <c r="BB547" s="1" t="s">
        <v>5171</v>
      </c>
      <c r="BC547" s="1" t="s">
        <v>4770</v>
      </c>
      <c r="BD547" s="1">
        <v>0</v>
      </c>
      <c r="BE547" s="1"/>
      <c r="BH547">
        <f>COUNTIF(Dropdowns!$I:$AF,C547)</f>
        <v>1</v>
      </c>
    </row>
    <row r="548" spans="1:60" x14ac:dyDescent="0.25">
      <c r="A548" s="1">
        <v>20220</v>
      </c>
      <c r="B548" s="1" t="s">
        <v>4462</v>
      </c>
      <c r="C548" s="241" t="s">
        <v>1754</v>
      </c>
      <c r="D548" s="1" t="s">
        <v>1754</v>
      </c>
      <c r="E548" s="1"/>
      <c r="F548" s="1"/>
      <c r="G548" s="1" t="s">
        <v>4463</v>
      </c>
      <c r="H548" s="1" t="s">
        <v>4464</v>
      </c>
      <c r="I548" s="1" t="s">
        <v>4465</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1807</v>
      </c>
      <c r="AN548" s="1" t="s">
        <v>4862</v>
      </c>
      <c r="AO548" s="1" t="s">
        <v>4955</v>
      </c>
      <c r="AP548" s="1">
        <v>0</v>
      </c>
      <c r="AQ548" s="1" t="s">
        <v>1119</v>
      </c>
      <c r="AR548" s="1" t="s">
        <v>1744</v>
      </c>
      <c r="AS548" s="1" t="s">
        <v>1121</v>
      </c>
      <c r="AT548" s="1" t="s">
        <v>329</v>
      </c>
      <c r="AU548" s="1">
        <v>220</v>
      </c>
      <c r="AV548" s="1">
        <v>0</v>
      </c>
      <c r="AW548" s="1" t="s">
        <v>5175</v>
      </c>
      <c r="AX548" s="1" t="s">
        <v>5417</v>
      </c>
      <c r="AY548" s="1">
        <v>4</v>
      </c>
      <c r="AZ548" s="1">
        <v>3220</v>
      </c>
      <c r="BA548" s="1" t="s">
        <v>329</v>
      </c>
      <c r="BB548" s="1" t="s">
        <v>468</v>
      </c>
      <c r="BC548" s="1" t="s">
        <v>4758</v>
      </c>
      <c r="BD548" s="1">
        <v>0</v>
      </c>
      <c r="BE548" s="1"/>
      <c r="BH548">
        <f>COUNTIF(Dropdowns!$I:$AF,C548)</f>
        <v>0</v>
      </c>
    </row>
    <row r="549" spans="1:60" x14ac:dyDescent="0.25">
      <c r="A549" s="1">
        <v>20221</v>
      </c>
      <c r="B549" s="1" t="s">
        <v>4439</v>
      </c>
      <c r="C549" s="241" t="s">
        <v>1686</v>
      </c>
      <c r="D549" s="1" t="s">
        <v>4440</v>
      </c>
      <c r="E549" s="1"/>
      <c r="F549" s="1"/>
      <c r="G549" s="1" t="s">
        <v>4441</v>
      </c>
      <c r="H549" s="1" t="s">
        <v>4442</v>
      </c>
      <c r="I549" s="1" t="s">
        <v>4443</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1161</v>
      </c>
      <c r="AK549" s="1" t="s">
        <v>1465</v>
      </c>
      <c r="AL549" s="1">
        <v>13</v>
      </c>
      <c r="AM549" s="1" t="s">
        <v>1807</v>
      </c>
      <c r="AN549" s="1" t="s">
        <v>5457</v>
      </c>
      <c r="AO549" s="1" t="s">
        <v>5064</v>
      </c>
      <c r="AP549" s="1">
        <v>0</v>
      </c>
      <c r="AQ549" s="1" t="s">
        <v>1119</v>
      </c>
      <c r="AR549" s="1" t="s">
        <v>1744</v>
      </c>
      <c r="AS549" s="1" t="s">
        <v>1121</v>
      </c>
      <c r="AT549" s="1" t="s">
        <v>329</v>
      </c>
      <c r="AU549" s="1">
        <v>221</v>
      </c>
      <c r="AV549" s="1">
        <v>0</v>
      </c>
      <c r="AW549" s="1" t="s">
        <v>5177</v>
      </c>
      <c r="AX549" s="1" t="s">
        <v>5417</v>
      </c>
      <c r="AY549" s="1">
        <v>4</v>
      </c>
      <c r="AZ549" s="1">
        <v>3221</v>
      </c>
      <c r="BA549" s="1" t="s">
        <v>329</v>
      </c>
      <c r="BB549" s="1" t="s">
        <v>5178</v>
      </c>
      <c r="BC549" s="1" t="s">
        <v>4758</v>
      </c>
      <c r="BD549" s="1">
        <v>0</v>
      </c>
      <c r="BE549" s="1"/>
      <c r="BH549">
        <f>COUNTIF(Dropdowns!$I:$AF,C549)</f>
        <v>0</v>
      </c>
    </row>
    <row r="550" spans="1:60" x14ac:dyDescent="0.25">
      <c r="A550" s="1">
        <v>20230</v>
      </c>
      <c r="B550" s="1" t="s">
        <v>6487</v>
      </c>
      <c r="C550" s="241" t="s">
        <v>6488</v>
      </c>
      <c r="D550" s="1" t="s">
        <v>6488</v>
      </c>
      <c r="E550" s="1"/>
      <c r="F550" s="1"/>
      <c r="G550" s="1" t="s">
        <v>6489</v>
      </c>
      <c r="H550" s="1" t="s">
        <v>6490</v>
      </c>
      <c r="I550" s="1" t="s">
        <v>6491</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6492</v>
      </c>
      <c r="AK550" s="1" t="s">
        <v>6493</v>
      </c>
      <c r="AL550" s="1">
        <v>13</v>
      </c>
      <c r="AM550" s="1" t="s">
        <v>4763</v>
      </c>
      <c r="AN550" s="1" t="s">
        <v>4835</v>
      </c>
      <c r="AO550" s="1" t="s">
        <v>4833</v>
      </c>
      <c r="AP550" s="1">
        <v>0</v>
      </c>
      <c r="AQ550" s="1" t="s">
        <v>1141</v>
      </c>
      <c r="AR550" s="1" t="s">
        <v>4836</v>
      </c>
      <c r="AS550" s="1" t="s">
        <v>1143</v>
      </c>
      <c r="AT550" s="1" t="s">
        <v>329</v>
      </c>
      <c r="AU550" s="1">
        <v>230</v>
      </c>
      <c r="AV550" s="1">
        <v>0</v>
      </c>
      <c r="AW550" s="1" t="s">
        <v>5192</v>
      </c>
      <c r="AX550" s="1" t="s">
        <v>5417</v>
      </c>
      <c r="AY550" s="1">
        <v>4</v>
      </c>
      <c r="AZ550" s="1">
        <v>3230</v>
      </c>
      <c r="BA550" s="1" t="s">
        <v>329</v>
      </c>
      <c r="BB550" s="1" t="s">
        <v>5193</v>
      </c>
      <c r="BC550" s="1" t="s">
        <v>4721</v>
      </c>
      <c r="BD550" s="1">
        <v>0</v>
      </c>
      <c r="BE550" s="1"/>
      <c r="BH550">
        <f>COUNTIF(Dropdowns!$I:$AF,C550)</f>
        <v>1</v>
      </c>
    </row>
    <row r="551" spans="1:60" x14ac:dyDescent="0.25">
      <c r="A551" s="1">
        <v>20252</v>
      </c>
      <c r="B551" s="1" t="s">
        <v>4444</v>
      </c>
      <c r="C551" s="241" t="s">
        <v>266</v>
      </c>
      <c r="D551" s="1" t="s">
        <v>266</v>
      </c>
      <c r="E551" s="1"/>
      <c r="F551" s="1"/>
      <c r="G551" s="1" t="s">
        <v>4445</v>
      </c>
      <c r="H551" s="1" t="s">
        <v>4446</v>
      </c>
      <c r="I551" s="1" t="s">
        <v>4447</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1466</v>
      </c>
      <c r="AK551" s="1" t="s">
        <v>329</v>
      </c>
      <c r="AL551" s="1">
        <v>18</v>
      </c>
      <c r="AM551" s="1" t="s">
        <v>5458</v>
      </c>
      <c r="AN551" s="1" t="s">
        <v>5459</v>
      </c>
      <c r="AO551" s="1" t="s">
        <v>4833</v>
      </c>
      <c r="AP551" s="1">
        <v>0</v>
      </c>
      <c r="AQ551" s="1" t="s">
        <v>1747</v>
      </c>
      <c r="AR551" s="1" t="s">
        <v>1142</v>
      </c>
      <c r="AS551" s="1" t="s">
        <v>1143</v>
      </c>
      <c r="AT551" s="1" t="s">
        <v>329</v>
      </c>
      <c r="AU551" s="1">
        <v>184</v>
      </c>
      <c r="AV551" s="1">
        <v>0</v>
      </c>
      <c r="AW551" s="1" t="s">
        <v>5190</v>
      </c>
      <c r="AX551" s="1" t="s">
        <v>5417</v>
      </c>
      <c r="AY551" s="1">
        <v>5</v>
      </c>
      <c r="AZ551" s="1">
        <v>3252</v>
      </c>
      <c r="BA551" s="1" t="s">
        <v>329</v>
      </c>
      <c r="BB551" s="1" t="s">
        <v>329</v>
      </c>
      <c r="BC551" s="1" t="s">
        <v>4758</v>
      </c>
      <c r="BD551" s="1">
        <v>0</v>
      </c>
      <c r="BE551" s="1"/>
      <c r="BH551">
        <f>COUNTIF(Dropdowns!$I:$AF,C551)</f>
        <v>1</v>
      </c>
    </row>
    <row r="552" spans="1:60" x14ac:dyDescent="0.25">
      <c r="A552" s="1">
        <v>20293</v>
      </c>
      <c r="B552" s="1" t="s">
        <v>5745</v>
      </c>
      <c r="C552" s="241" t="s">
        <v>5746</v>
      </c>
      <c r="D552" s="1" t="s">
        <v>5746</v>
      </c>
      <c r="E552" s="1"/>
      <c r="F552" s="1"/>
      <c r="G552" s="1" t="s">
        <v>5747</v>
      </c>
      <c r="H552" s="1" t="s">
        <v>5748</v>
      </c>
      <c r="I552" s="1" t="s">
        <v>5749</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5750</v>
      </c>
      <c r="AK552" s="1" t="s">
        <v>5751</v>
      </c>
      <c r="AL552" s="1">
        <v>13</v>
      </c>
      <c r="AM552" s="1" t="s">
        <v>4720</v>
      </c>
      <c r="AN552" s="1" t="s">
        <v>4865</v>
      </c>
      <c r="AO552" s="1" t="s">
        <v>5752</v>
      </c>
      <c r="AP552" s="1">
        <v>0</v>
      </c>
      <c r="AQ552" s="1" t="s">
        <v>1131</v>
      </c>
      <c r="AR552" s="1" t="s">
        <v>1155</v>
      </c>
      <c r="AS552" s="1" t="s">
        <v>1745</v>
      </c>
      <c r="AT552" s="1" t="s">
        <v>329</v>
      </c>
      <c r="AU552" s="1">
        <v>215</v>
      </c>
      <c r="AV552" s="1">
        <v>0</v>
      </c>
      <c r="AW552" s="1" t="s">
        <v>5283</v>
      </c>
      <c r="AX552" s="1" t="s">
        <v>5417</v>
      </c>
      <c r="AY552" s="1">
        <v>6</v>
      </c>
      <c r="AZ552" s="1">
        <v>3293</v>
      </c>
      <c r="BA552" s="1" t="s">
        <v>329</v>
      </c>
      <c r="BB552" s="1" t="s">
        <v>329</v>
      </c>
      <c r="BC552" s="1" t="s">
        <v>5150</v>
      </c>
      <c r="BD552" s="1">
        <v>0</v>
      </c>
      <c r="BE552" s="1"/>
      <c r="BH552">
        <f>COUNTIF(Dropdowns!$I:$AF,C552)</f>
        <v>1</v>
      </c>
    </row>
    <row r="553" spans="1:60" x14ac:dyDescent="0.25">
      <c r="A553" s="1">
        <v>30156</v>
      </c>
      <c r="B553" s="1" t="s">
        <v>6287</v>
      </c>
      <c r="C553" s="241" t="s">
        <v>5780</v>
      </c>
      <c r="D553" s="1" t="s">
        <v>6288</v>
      </c>
      <c r="E553" s="1"/>
      <c r="F553" s="1"/>
      <c r="G553" s="1" t="s">
        <v>6289</v>
      </c>
      <c r="H553" s="1" t="s">
        <v>6290</v>
      </c>
      <c r="I553" s="1" t="s">
        <v>6291</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1205</v>
      </c>
      <c r="AK553" s="1" t="s">
        <v>329</v>
      </c>
      <c r="AL553" s="1">
        <v>8</v>
      </c>
      <c r="AM553" s="1" t="s">
        <v>4717</v>
      </c>
      <c r="AN553" s="1" t="s">
        <v>477</v>
      </c>
      <c r="AO553" s="1" t="s">
        <v>5064</v>
      </c>
      <c r="AP553" s="1">
        <v>0</v>
      </c>
      <c r="AQ553" s="1" t="s">
        <v>5791</v>
      </c>
      <c r="AR553" s="1" t="s">
        <v>1202</v>
      </c>
      <c r="AS553" s="1" t="s">
        <v>1203</v>
      </c>
      <c r="AT553" s="1" t="s">
        <v>329</v>
      </c>
      <c r="AU553" s="1">
        <v>156</v>
      </c>
      <c r="AV553" s="1">
        <v>0</v>
      </c>
      <c r="AW553" s="1" t="s">
        <v>5793</v>
      </c>
      <c r="AX553" s="1" t="s">
        <v>1807</v>
      </c>
      <c r="AY553" s="1">
        <v>4</v>
      </c>
      <c r="AZ553" s="1">
        <v>0</v>
      </c>
      <c r="BA553" s="1" t="s">
        <v>329</v>
      </c>
      <c r="BB553" s="1" t="s">
        <v>329</v>
      </c>
      <c r="BC553" s="1" t="s">
        <v>329</v>
      </c>
      <c r="BD553" s="1">
        <v>0</v>
      </c>
      <c r="BH553">
        <f>COUNTIF(Dropdowns!$I:$AF,C553)</f>
        <v>0</v>
      </c>
    </row>
    <row r="554" spans="1:60" x14ac:dyDescent="0.25">
      <c r="A554" s="1">
        <v>30164</v>
      </c>
      <c r="B554" s="1" t="s">
        <v>6292</v>
      </c>
      <c r="C554" s="241" t="s">
        <v>5781</v>
      </c>
      <c r="D554" s="1" t="s">
        <v>6293</v>
      </c>
      <c r="E554" s="1"/>
      <c r="F554" s="1"/>
      <c r="G554" s="1" t="s">
        <v>6294</v>
      </c>
      <c r="H554" s="1" t="s">
        <v>6295</v>
      </c>
      <c r="I554" s="1" t="s">
        <v>6296</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6297</v>
      </c>
      <c r="AK554" s="1" t="s">
        <v>1211</v>
      </c>
      <c r="AL554" s="1">
        <v>7</v>
      </c>
      <c r="AM554" s="1" t="s">
        <v>4717</v>
      </c>
      <c r="AN554" s="1" t="s">
        <v>5074</v>
      </c>
      <c r="AO554" s="1" t="s">
        <v>5075</v>
      </c>
      <c r="AP554" s="1">
        <v>0</v>
      </c>
      <c r="AQ554" s="1" t="s">
        <v>5791</v>
      </c>
      <c r="AR554" s="1" t="s">
        <v>1202</v>
      </c>
      <c r="AS554" s="1" t="s">
        <v>1203</v>
      </c>
      <c r="AT554" s="1" t="s">
        <v>329</v>
      </c>
      <c r="AU554" s="1">
        <v>164</v>
      </c>
      <c r="AV554" s="1">
        <v>0</v>
      </c>
      <c r="AW554" s="1" t="s">
        <v>5793</v>
      </c>
      <c r="AX554" s="1" t="s">
        <v>1807</v>
      </c>
      <c r="AY554" s="1">
        <v>5</v>
      </c>
      <c r="AZ554" s="1">
        <v>0</v>
      </c>
      <c r="BA554" s="1" t="s">
        <v>329</v>
      </c>
      <c r="BB554" s="1" t="s">
        <v>329</v>
      </c>
      <c r="BC554" s="1" t="s">
        <v>329</v>
      </c>
      <c r="BD554" s="1">
        <v>0</v>
      </c>
      <c r="BH554">
        <f>COUNTIF(Dropdowns!$I:$AF,C554)</f>
        <v>0</v>
      </c>
    </row>
    <row r="555" spans="1:60" x14ac:dyDescent="0.25">
      <c r="A555" s="1">
        <v>30229</v>
      </c>
      <c r="B555" s="1" t="s">
        <v>6298</v>
      </c>
      <c r="C555" s="241" t="s">
        <v>237</v>
      </c>
      <c r="D555" s="1" t="s">
        <v>6299</v>
      </c>
      <c r="E555" s="1"/>
      <c r="F555" s="1"/>
      <c r="G555" s="1" t="s">
        <v>6300</v>
      </c>
      <c r="H555" s="1" t="s">
        <v>6301</v>
      </c>
      <c r="I555" s="1" t="s">
        <v>6302</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6303</v>
      </c>
      <c r="AK555" s="1" t="s">
        <v>1245</v>
      </c>
      <c r="AL555" s="1">
        <v>9</v>
      </c>
      <c r="AM555" s="1" t="s">
        <v>4717</v>
      </c>
      <c r="AN555" s="1" t="s">
        <v>355</v>
      </c>
      <c r="AO555" s="1" t="s">
        <v>5191</v>
      </c>
      <c r="AP555" s="1">
        <v>0</v>
      </c>
      <c r="AQ555" s="1" t="s">
        <v>5791</v>
      </c>
      <c r="AR555" s="1" t="s">
        <v>1202</v>
      </c>
      <c r="AS555" s="1" t="s">
        <v>1203</v>
      </c>
      <c r="AT555" s="1" t="s">
        <v>329</v>
      </c>
      <c r="AU555" s="1">
        <v>229</v>
      </c>
      <c r="AV555" s="1">
        <v>0</v>
      </c>
      <c r="AW555" s="1" t="s">
        <v>5793</v>
      </c>
      <c r="AX555" s="1" t="s">
        <v>1807</v>
      </c>
      <c r="AY555" s="1">
        <v>5</v>
      </c>
      <c r="AZ555" s="1">
        <v>0</v>
      </c>
      <c r="BA555" s="1" t="s">
        <v>329</v>
      </c>
      <c r="BB555" s="1" t="s">
        <v>329</v>
      </c>
      <c r="BC555" s="1" t="s">
        <v>329</v>
      </c>
      <c r="BD555" s="1">
        <v>0</v>
      </c>
      <c r="BH555">
        <f>COUNTIF(Dropdowns!$I:$AF,C555)</f>
        <v>0</v>
      </c>
    </row>
    <row r="556" spans="1:60" x14ac:dyDescent="0.25">
      <c r="A556" s="1">
        <v>90001</v>
      </c>
      <c r="B556" s="1" t="s">
        <v>6304</v>
      </c>
      <c r="C556" s="241" t="s">
        <v>5779</v>
      </c>
      <c r="D556" s="1" t="s">
        <v>6305</v>
      </c>
      <c r="E556" s="1"/>
      <c r="F556" s="1"/>
      <c r="G556" s="1" t="s">
        <v>6306</v>
      </c>
      <c r="H556" s="1" t="s">
        <v>6307</v>
      </c>
      <c r="I556" s="1" t="s">
        <v>6308</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1122</v>
      </c>
      <c r="AK556" s="1" t="s">
        <v>329</v>
      </c>
      <c r="AL556" s="1">
        <v>13</v>
      </c>
      <c r="AM556" s="1" t="s">
        <v>4791</v>
      </c>
      <c r="AN556" s="1" t="s">
        <v>465</v>
      </c>
      <c r="AO556" s="1" t="s">
        <v>4805</v>
      </c>
      <c r="AP556" s="1">
        <v>0</v>
      </c>
      <c r="AQ556" s="1" t="s">
        <v>1130</v>
      </c>
      <c r="AR556" s="1" t="s">
        <v>1120</v>
      </c>
      <c r="AS556" s="1" t="s">
        <v>1746</v>
      </c>
      <c r="AT556" s="1" t="s">
        <v>329</v>
      </c>
      <c r="AU556" s="1">
        <v>21</v>
      </c>
      <c r="AV556" s="1">
        <v>0</v>
      </c>
      <c r="AW556" s="1" t="s">
        <v>5793</v>
      </c>
      <c r="AX556" s="1" t="s">
        <v>1807</v>
      </c>
      <c r="AY556" s="1">
        <v>5</v>
      </c>
      <c r="AZ556" s="1">
        <v>0</v>
      </c>
      <c r="BA556" s="1" t="s">
        <v>329</v>
      </c>
      <c r="BB556" s="1" t="s">
        <v>329</v>
      </c>
      <c r="BC556" s="1" t="s">
        <v>329</v>
      </c>
      <c r="BD556" s="1">
        <v>0</v>
      </c>
      <c r="BH556">
        <f>COUNTIF(Dropdowns!$I:$AF,C556)</f>
        <v>0</v>
      </c>
    </row>
    <row r="557" spans="1:60" x14ac:dyDescent="0.25">
      <c r="A557" s="1">
        <v>369</v>
      </c>
      <c r="B557" s="1" t="s">
        <v>6642</v>
      </c>
      <c r="C557" s="241" t="s">
        <v>6643</v>
      </c>
      <c r="D557" s="1" t="s">
        <v>6643</v>
      </c>
      <c r="E557" s="1" t="s">
        <v>329</v>
      </c>
      <c r="F557" s="1" t="s">
        <v>329</v>
      </c>
      <c r="G557" s="1" t="s">
        <v>6644</v>
      </c>
      <c r="H557" s="1" t="s">
        <v>6645</v>
      </c>
      <c r="I557" s="1" t="s">
        <v>6646</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6647</v>
      </c>
      <c r="AK557" s="1" t="s">
        <v>6648</v>
      </c>
      <c r="AL557" s="1">
        <v>14</v>
      </c>
      <c r="AM557" s="1" t="s">
        <v>1807</v>
      </c>
      <c r="AN557" s="1" t="s">
        <v>6649</v>
      </c>
      <c r="AO557" s="1" t="s">
        <v>4955</v>
      </c>
      <c r="AP557" s="1">
        <v>0</v>
      </c>
      <c r="AQ557" s="1" t="s">
        <v>1119</v>
      </c>
      <c r="AR557" s="1" t="s">
        <v>1120</v>
      </c>
      <c r="AS557" s="1" t="s">
        <v>1121</v>
      </c>
      <c r="AT557" s="1" t="s">
        <v>329</v>
      </c>
      <c r="AU557" s="1">
        <v>4</v>
      </c>
      <c r="AV557" s="1">
        <v>0</v>
      </c>
      <c r="AW557" s="1" t="s">
        <v>6650</v>
      </c>
      <c r="AX557" s="1" t="s">
        <v>6651</v>
      </c>
      <c r="AY557" s="1">
        <v>5</v>
      </c>
      <c r="AZ557" s="1">
        <v>0</v>
      </c>
      <c r="BA557" s="1" t="s">
        <v>329</v>
      </c>
      <c r="BB557" s="1" t="s">
        <v>329</v>
      </c>
      <c r="BC557" s="1" t="s">
        <v>4721</v>
      </c>
      <c r="BD557" s="1">
        <v>10703</v>
      </c>
      <c r="BE557">
        <v>0</v>
      </c>
      <c r="BH557">
        <f>COUNTIF(Dropdowns!$I:$AF,C557)</f>
        <v>0</v>
      </c>
    </row>
    <row r="558" spans="1:60" x14ac:dyDescent="0.25">
      <c r="A558" s="1">
        <v>370</v>
      </c>
      <c r="B558" s="1" t="s">
        <v>6652</v>
      </c>
      <c r="C558" s="241" t="s">
        <v>6653</v>
      </c>
      <c r="D558" s="1" t="s">
        <v>6653</v>
      </c>
      <c r="E558" s="1" t="s">
        <v>329</v>
      </c>
      <c r="F558" s="1" t="s">
        <v>329</v>
      </c>
      <c r="G558" s="1" t="s">
        <v>6654</v>
      </c>
      <c r="H558" s="1" t="s">
        <v>6655</v>
      </c>
      <c r="I558" s="1" t="s">
        <v>6656</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6657</v>
      </c>
      <c r="AK558" s="1" t="s">
        <v>6658</v>
      </c>
      <c r="AL558" s="1">
        <v>13</v>
      </c>
      <c r="AM558" s="1" t="s">
        <v>1807</v>
      </c>
      <c r="AN558" s="1" t="s">
        <v>5728</v>
      </c>
      <c r="AO558" s="1" t="s">
        <v>6659</v>
      </c>
      <c r="AP558" s="1">
        <v>0</v>
      </c>
      <c r="AQ558" s="1" t="s">
        <v>1119</v>
      </c>
      <c r="AR558" s="1" t="s">
        <v>1120</v>
      </c>
      <c r="AS558" s="1" t="s">
        <v>1121</v>
      </c>
      <c r="AT558" s="1" t="s">
        <v>329</v>
      </c>
      <c r="AU558" s="1">
        <v>212</v>
      </c>
      <c r="AV558" s="1">
        <v>0</v>
      </c>
      <c r="AW558" s="1" t="s">
        <v>6650</v>
      </c>
      <c r="AX558" s="1" t="s">
        <v>6651</v>
      </c>
      <c r="AY558" s="1">
        <v>4</v>
      </c>
      <c r="AZ558" s="1">
        <v>0</v>
      </c>
      <c r="BA558" s="1" t="s">
        <v>329</v>
      </c>
      <c r="BB558" s="1" t="s">
        <v>329</v>
      </c>
      <c r="BC558" s="1" t="s">
        <v>4721</v>
      </c>
      <c r="BD558" s="1">
        <v>10402</v>
      </c>
      <c r="BE558">
        <v>0</v>
      </c>
      <c r="BH558">
        <f>COUNTIF(Dropdowns!$I:$AF,C558)</f>
        <v>0</v>
      </c>
    </row>
    <row r="559" spans="1:60" x14ac:dyDescent="0.25">
      <c r="A559" s="1">
        <v>371</v>
      </c>
      <c r="B559" s="1" t="s">
        <v>6660</v>
      </c>
      <c r="C559" s="241" t="s">
        <v>6661</v>
      </c>
      <c r="D559" s="1" t="s">
        <v>6661</v>
      </c>
      <c r="E559" s="1" t="s">
        <v>329</v>
      </c>
      <c r="F559" s="1" t="s">
        <v>329</v>
      </c>
      <c r="G559" s="1" t="s">
        <v>6662</v>
      </c>
      <c r="H559" s="1" t="s">
        <v>6663</v>
      </c>
      <c r="I559" s="1" t="s">
        <v>6664</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6665</v>
      </c>
      <c r="AK559" s="1" t="s">
        <v>329</v>
      </c>
      <c r="AL559" s="1">
        <v>13</v>
      </c>
      <c r="AM559" s="1" t="s">
        <v>1807</v>
      </c>
      <c r="AN559" s="1" t="s">
        <v>5728</v>
      </c>
      <c r="AO559" s="1" t="s">
        <v>4833</v>
      </c>
      <c r="AP559" s="1">
        <v>0</v>
      </c>
      <c r="AQ559" s="1" t="s">
        <v>1141</v>
      </c>
      <c r="AR559" s="1" t="s">
        <v>1142</v>
      </c>
      <c r="AS559" s="1" t="s">
        <v>1143</v>
      </c>
      <c r="AT559" s="1" t="s">
        <v>329</v>
      </c>
      <c r="AU559" s="1">
        <v>241</v>
      </c>
      <c r="AV559" s="1">
        <v>0</v>
      </c>
      <c r="AW559" s="1" t="s">
        <v>6650</v>
      </c>
      <c r="AX559" s="1" t="s">
        <v>6666</v>
      </c>
      <c r="AY559" s="1">
        <v>4</v>
      </c>
      <c r="AZ559" s="1">
        <v>0</v>
      </c>
      <c r="BA559" s="1" t="s">
        <v>329</v>
      </c>
      <c r="BB559" s="1" t="s">
        <v>329</v>
      </c>
      <c r="BC559" s="1" t="s">
        <v>4758</v>
      </c>
      <c r="BD559" s="1">
        <v>10302</v>
      </c>
      <c r="BE559">
        <v>0</v>
      </c>
      <c r="BH559">
        <f>COUNTIF(Dropdowns!$I:$AF,C559)</f>
        <v>1</v>
      </c>
    </row>
    <row r="560" spans="1:60" x14ac:dyDescent="0.25">
      <c r="A560" s="1">
        <v>372</v>
      </c>
      <c r="B560" s="1" t="s">
        <v>6667</v>
      </c>
      <c r="C560" s="241" t="s">
        <v>6668</v>
      </c>
      <c r="D560" s="1" t="s">
        <v>6668</v>
      </c>
      <c r="E560" s="1" t="s">
        <v>329</v>
      </c>
      <c r="F560" s="1" t="s">
        <v>329</v>
      </c>
      <c r="G560" s="1" t="s">
        <v>6669</v>
      </c>
      <c r="H560" s="1" t="s">
        <v>6670</v>
      </c>
      <c r="I560" s="1" t="s">
        <v>6671</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6672</v>
      </c>
      <c r="AK560" s="1" t="s">
        <v>6673</v>
      </c>
      <c r="AL560" s="1">
        <v>14</v>
      </c>
      <c r="AM560" s="1" t="s">
        <v>399</v>
      </c>
      <c r="AN560" s="1" t="s">
        <v>5312</v>
      </c>
      <c r="AO560" s="1" t="s">
        <v>5058</v>
      </c>
      <c r="AP560" s="1">
        <v>0</v>
      </c>
      <c r="AQ560" s="1" t="s">
        <v>1131</v>
      </c>
      <c r="AR560" s="1" t="s">
        <v>1155</v>
      </c>
      <c r="AS560" s="1" t="s">
        <v>1130</v>
      </c>
      <c r="AT560" s="1" t="s">
        <v>329</v>
      </c>
      <c r="AU560" s="1">
        <v>48</v>
      </c>
      <c r="AV560" s="1">
        <v>0</v>
      </c>
      <c r="AW560" s="1" t="s">
        <v>6650</v>
      </c>
      <c r="AX560" s="1" t="s">
        <v>6674</v>
      </c>
      <c r="AY560" s="1">
        <v>5</v>
      </c>
      <c r="AZ560" s="1">
        <v>0</v>
      </c>
      <c r="BA560" s="1" t="s">
        <v>329</v>
      </c>
      <c r="BB560" s="1" t="s">
        <v>329</v>
      </c>
      <c r="BC560" s="1" t="s">
        <v>4721</v>
      </c>
      <c r="BD560" s="1">
        <v>10202</v>
      </c>
      <c r="BE560">
        <v>0</v>
      </c>
      <c r="BH560">
        <f>COUNTIF(Dropdowns!$I:$AF,C560)</f>
        <v>1</v>
      </c>
    </row>
    <row r="561" spans="1:60" x14ac:dyDescent="0.25">
      <c r="A561" s="1">
        <v>373</v>
      </c>
      <c r="B561" s="1" t="s">
        <v>6675</v>
      </c>
      <c r="C561" s="241" t="s">
        <v>6676</v>
      </c>
      <c r="D561" s="1" t="s">
        <v>6676</v>
      </c>
      <c r="E561" s="1" t="s">
        <v>329</v>
      </c>
      <c r="F561" s="1" t="s">
        <v>329</v>
      </c>
      <c r="G561" s="1" t="s">
        <v>6677</v>
      </c>
      <c r="H561" s="1" t="s">
        <v>6678</v>
      </c>
      <c r="I561" s="1" t="s">
        <v>6679</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6680</v>
      </c>
      <c r="AL561" s="1">
        <v>13</v>
      </c>
      <c r="AM561" s="1" t="s">
        <v>4720</v>
      </c>
      <c r="AN561" s="1" t="s">
        <v>4865</v>
      </c>
      <c r="AO561" s="1" t="s">
        <v>4833</v>
      </c>
      <c r="AP561" s="1">
        <v>0</v>
      </c>
      <c r="AQ561" s="1" t="s">
        <v>1131</v>
      </c>
      <c r="AR561" s="1" t="s">
        <v>1155</v>
      </c>
      <c r="AS561" s="1" t="s">
        <v>1130</v>
      </c>
      <c r="AT561" s="1" t="s">
        <v>329</v>
      </c>
      <c r="AU561" s="1">
        <v>48</v>
      </c>
      <c r="AV561" s="1">
        <v>0</v>
      </c>
      <c r="AW561" s="1" t="s">
        <v>6650</v>
      </c>
      <c r="AX561" s="1" t="s">
        <v>6666</v>
      </c>
      <c r="AY561" s="1">
        <v>4</v>
      </c>
      <c r="AZ561" s="1">
        <v>0</v>
      </c>
      <c r="BA561" s="1" t="s">
        <v>329</v>
      </c>
      <c r="BB561" s="1" t="s">
        <v>329</v>
      </c>
      <c r="BC561" s="1" t="s">
        <v>4721</v>
      </c>
      <c r="BD561" s="1">
        <v>10802</v>
      </c>
      <c r="BE561">
        <v>0</v>
      </c>
      <c r="BH561">
        <f>COUNTIF(Dropdowns!$I:$AF,C561)</f>
        <v>1</v>
      </c>
    </row>
    <row r="562" spans="1:60" x14ac:dyDescent="0.25">
      <c r="A562" s="1">
        <v>374</v>
      </c>
      <c r="B562" s="1" t="s">
        <v>6681</v>
      </c>
      <c r="C562" s="241" t="s">
        <v>6682</v>
      </c>
      <c r="D562" s="1" t="s">
        <v>6682</v>
      </c>
      <c r="E562" s="1" t="s">
        <v>329</v>
      </c>
      <c r="F562" s="1" t="s">
        <v>329</v>
      </c>
      <c r="G562" s="1" t="s">
        <v>6683</v>
      </c>
      <c r="H562" s="1" t="s">
        <v>6684</v>
      </c>
      <c r="I562" s="1" t="s">
        <v>6685</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6686</v>
      </c>
      <c r="AK562" s="1" t="s">
        <v>6687</v>
      </c>
      <c r="AL562" s="1">
        <v>19</v>
      </c>
      <c r="AM562" s="1" t="s">
        <v>388</v>
      </c>
      <c r="AN562" s="1" t="s">
        <v>6688</v>
      </c>
      <c r="AO562" s="1" t="s">
        <v>6689</v>
      </c>
      <c r="AP562" s="1">
        <v>0</v>
      </c>
      <c r="AQ562" s="1" t="s">
        <v>1168</v>
      </c>
      <c r="AR562" s="1" t="s">
        <v>1169</v>
      </c>
      <c r="AS562" s="1" t="s">
        <v>1170</v>
      </c>
      <c r="AT562" s="1" t="s">
        <v>329</v>
      </c>
      <c r="AU562" s="1">
        <v>238</v>
      </c>
      <c r="AV562" s="1">
        <v>0</v>
      </c>
      <c r="AW562" s="1" t="s">
        <v>6650</v>
      </c>
      <c r="AX562" s="1" t="s">
        <v>6666</v>
      </c>
      <c r="AY562" s="1">
        <v>5</v>
      </c>
      <c r="AZ562" s="1">
        <v>0</v>
      </c>
      <c r="BA562" s="1" t="s">
        <v>329</v>
      </c>
      <c r="BB562" s="1" t="s">
        <v>329</v>
      </c>
      <c r="BC562" s="1" t="s">
        <v>4854</v>
      </c>
      <c r="BD562" s="1">
        <v>10402</v>
      </c>
      <c r="BE562">
        <v>0</v>
      </c>
      <c r="BH562">
        <f>COUNTIF(Dropdowns!$I:$AF,C562)</f>
        <v>1</v>
      </c>
    </row>
    <row r="563" spans="1:60" x14ac:dyDescent="0.25">
      <c r="A563" s="1">
        <v>9102</v>
      </c>
      <c r="B563" s="1" t="s">
        <v>6690</v>
      </c>
      <c r="C563" s="241" t="s">
        <v>6691</v>
      </c>
      <c r="D563" s="1" t="s">
        <v>6691</v>
      </c>
      <c r="E563" s="1" t="s">
        <v>329</v>
      </c>
      <c r="F563" s="1" t="s">
        <v>329</v>
      </c>
      <c r="G563" s="1" t="s">
        <v>6692</v>
      </c>
      <c r="H563" s="1" t="s">
        <v>6693</v>
      </c>
      <c r="I563" s="1" t="s">
        <v>6694</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1197</v>
      </c>
      <c r="AK563" s="1" t="s">
        <v>329</v>
      </c>
      <c r="AL563" s="1">
        <v>14</v>
      </c>
      <c r="AM563" s="1" t="s">
        <v>4720</v>
      </c>
      <c r="AN563" s="1" t="s">
        <v>5312</v>
      </c>
      <c r="AO563" s="1" t="s">
        <v>5058</v>
      </c>
      <c r="AP563" s="1">
        <v>0</v>
      </c>
      <c r="AQ563" s="1" t="s">
        <v>1131</v>
      </c>
      <c r="AR563" s="1" t="s">
        <v>1155</v>
      </c>
      <c r="AS563" s="1" t="s">
        <v>1130</v>
      </c>
      <c r="AT563" s="1" t="s">
        <v>329</v>
      </c>
      <c r="AU563" s="1">
        <v>65</v>
      </c>
      <c r="AV563" s="1">
        <v>0</v>
      </c>
      <c r="AW563" s="1" t="s">
        <v>5793</v>
      </c>
      <c r="AX563" s="1" t="s">
        <v>1807</v>
      </c>
      <c r="AY563" s="1">
        <v>5</v>
      </c>
      <c r="AZ563" s="1">
        <v>0</v>
      </c>
      <c r="BA563" s="1" t="s">
        <v>329</v>
      </c>
      <c r="BB563" s="1" t="s">
        <v>329</v>
      </c>
      <c r="BC563" s="1" t="s">
        <v>329</v>
      </c>
      <c r="BD563" s="1">
        <v>0</v>
      </c>
      <c r="BE563">
        <v>0</v>
      </c>
      <c r="BH563">
        <f>COUNTIF(Dropdowns!$I:$AF,C563)</f>
        <v>0</v>
      </c>
    </row>
    <row r="564" spans="1:60" x14ac:dyDescent="0.25">
      <c r="A564" s="1">
        <v>9103</v>
      </c>
      <c r="B564" s="1" t="s">
        <v>6695</v>
      </c>
      <c r="C564" s="241" t="s">
        <v>6696</v>
      </c>
      <c r="D564" s="1" t="s">
        <v>6696</v>
      </c>
      <c r="E564" s="1" t="s">
        <v>329</v>
      </c>
      <c r="F564" s="1" t="s">
        <v>329</v>
      </c>
      <c r="G564" s="1" t="s">
        <v>6697</v>
      </c>
      <c r="H564" s="1" t="s">
        <v>6698</v>
      </c>
      <c r="I564" s="1" t="s">
        <v>6699</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1197</v>
      </c>
      <c r="AK564" s="1" t="s">
        <v>329</v>
      </c>
      <c r="AL564" s="1">
        <v>13</v>
      </c>
      <c r="AM564" s="1" t="s">
        <v>4791</v>
      </c>
      <c r="AN564" s="1" t="s">
        <v>4862</v>
      </c>
      <c r="AO564" s="1" t="s">
        <v>5429</v>
      </c>
      <c r="AP564" s="1">
        <v>0</v>
      </c>
      <c r="AQ564" s="1" t="s">
        <v>1119</v>
      </c>
      <c r="AR564" s="1" t="s">
        <v>1120</v>
      </c>
      <c r="AS564" s="1" t="s">
        <v>1121</v>
      </c>
      <c r="AT564" s="1" t="s">
        <v>329</v>
      </c>
      <c r="AU564" s="1">
        <v>55</v>
      </c>
      <c r="AV564" s="1">
        <v>0</v>
      </c>
      <c r="AW564" s="1" t="s">
        <v>5793</v>
      </c>
      <c r="AX564" s="1" t="s">
        <v>1807</v>
      </c>
      <c r="AY564" s="1">
        <v>5</v>
      </c>
      <c r="AZ564" s="1">
        <v>0</v>
      </c>
      <c r="BA564" s="1" t="s">
        <v>329</v>
      </c>
      <c r="BB564" s="1" t="s">
        <v>329</v>
      </c>
      <c r="BC564" s="1" t="s">
        <v>329</v>
      </c>
      <c r="BD564" s="1">
        <v>0</v>
      </c>
      <c r="BE564">
        <v>0</v>
      </c>
      <c r="BH564">
        <f>COUNTIF(Dropdowns!$I:$AF,C564)</f>
        <v>0</v>
      </c>
    </row>
    <row r="565" spans="1:60" x14ac:dyDescent="0.25">
      <c r="A565" s="1">
        <v>9104</v>
      </c>
      <c r="B565" s="1" t="s">
        <v>6700</v>
      </c>
      <c r="C565" s="241" t="s">
        <v>6701</v>
      </c>
      <c r="D565" s="1" t="s">
        <v>6701</v>
      </c>
      <c r="E565" s="1" t="s">
        <v>329</v>
      </c>
      <c r="F565" s="1" t="s">
        <v>329</v>
      </c>
      <c r="G565" s="1" t="s">
        <v>6702</v>
      </c>
      <c r="H565" s="1" t="s">
        <v>6703</v>
      </c>
      <c r="I565" s="1" t="s">
        <v>6704</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1197</v>
      </c>
      <c r="AK565" s="1" t="s">
        <v>329</v>
      </c>
      <c r="AL565" s="1">
        <v>13</v>
      </c>
      <c r="AM565" s="1" t="s">
        <v>1807</v>
      </c>
      <c r="AN565" s="1" t="s">
        <v>4748</v>
      </c>
      <c r="AO565" s="1" t="s">
        <v>4745</v>
      </c>
      <c r="AP565" s="1">
        <v>0</v>
      </c>
      <c r="AQ565" s="1" t="s">
        <v>1130</v>
      </c>
      <c r="AR565" s="1" t="s">
        <v>1120</v>
      </c>
      <c r="AS565" s="1" t="s">
        <v>1131</v>
      </c>
      <c r="AT565" s="1" t="s">
        <v>329</v>
      </c>
      <c r="AU565" s="1">
        <v>6</v>
      </c>
      <c r="AV565" s="1">
        <v>0</v>
      </c>
      <c r="AW565" s="1" t="s">
        <v>5793</v>
      </c>
      <c r="AX565" s="1" t="s">
        <v>1807</v>
      </c>
      <c r="AY565" s="1">
        <v>5</v>
      </c>
      <c r="AZ565" s="1">
        <v>0</v>
      </c>
      <c r="BA565" s="1" t="s">
        <v>329</v>
      </c>
      <c r="BB565" s="1" t="s">
        <v>329</v>
      </c>
      <c r="BC565" s="1" t="s">
        <v>329</v>
      </c>
      <c r="BD565" s="1">
        <v>0</v>
      </c>
      <c r="BE565">
        <v>0</v>
      </c>
      <c r="BH565">
        <f>COUNTIF(Dropdowns!$I:$AF,C565)</f>
        <v>0</v>
      </c>
    </row>
    <row r="566" spans="1:60" x14ac:dyDescent="0.25">
      <c r="A566" s="1">
        <v>20013</v>
      </c>
      <c r="B566" s="1" t="s">
        <v>6705</v>
      </c>
      <c r="C566" s="241" t="s">
        <v>6759</v>
      </c>
      <c r="D566" s="1" t="s">
        <v>6706</v>
      </c>
      <c r="E566" s="1" t="s">
        <v>6634</v>
      </c>
      <c r="F566" s="1" t="s">
        <v>6635</v>
      </c>
      <c r="G566" s="1" t="s">
        <v>6707</v>
      </c>
      <c r="H566" s="1" t="s">
        <v>6708</v>
      </c>
      <c r="I566" s="1" t="s">
        <v>6709</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6710</v>
      </c>
      <c r="AK566" s="1" t="s">
        <v>6711</v>
      </c>
      <c r="AL566" s="1">
        <v>13</v>
      </c>
      <c r="AM566" s="1" t="s">
        <v>1807</v>
      </c>
      <c r="AN566" s="1" t="s">
        <v>4781</v>
      </c>
      <c r="AO566" s="1" t="s">
        <v>6712</v>
      </c>
      <c r="AP566" s="1">
        <v>0</v>
      </c>
      <c r="AQ566" s="1" t="s">
        <v>1119</v>
      </c>
      <c r="AR566" s="1" t="s">
        <v>1744</v>
      </c>
      <c r="AS566" s="1" t="s">
        <v>1121</v>
      </c>
      <c r="AT566" s="1" t="s">
        <v>329</v>
      </c>
      <c r="AU566" s="1">
        <v>13</v>
      </c>
      <c r="AV566" s="1">
        <v>0</v>
      </c>
      <c r="AW566" s="1" t="s">
        <v>4493</v>
      </c>
      <c r="AX566" s="1" t="s">
        <v>5417</v>
      </c>
      <c r="AY566" s="1">
        <v>4</v>
      </c>
      <c r="AZ566" s="1">
        <v>3013</v>
      </c>
      <c r="BA566" s="1" t="s">
        <v>329</v>
      </c>
      <c r="BB566" s="1" t="s">
        <v>4783</v>
      </c>
      <c r="BC566" s="1" t="s">
        <v>4784</v>
      </c>
      <c r="BD566" s="1">
        <v>0</v>
      </c>
      <c r="BE566">
        <v>0</v>
      </c>
      <c r="BH566">
        <f>COUNTIF(Dropdowns!$I:$AF,C566)</f>
        <v>0</v>
      </c>
    </row>
    <row r="567" spans="1:60" x14ac:dyDescent="0.25">
      <c r="A567" s="1">
        <v>20046</v>
      </c>
      <c r="B567" s="1" t="s">
        <v>6713</v>
      </c>
      <c r="C567" s="241" t="s">
        <v>6760</v>
      </c>
      <c r="D567" s="1" t="s">
        <v>6714</v>
      </c>
      <c r="E567" s="1" t="s">
        <v>6636</v>
      </c>
      <c r="F567" s="1" t="s">
        <v>6637</v>
      </c>
      <c r="G567" s="1" t="s">
        <v>6715</v>
      </c>
      <c r="H567" s="1" t="s">
        <v>6716</v>
      </c>
      <c r="I567" s="1" t="s">
        <v>6717</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6718</v>
      </c>
      <c r="AK567" s="1" t="s">
        <v>329</v>
      </c>
      <c r="AL567" s="1">
        <v>13</v>
      </c>
      <c r="AM567" s="1" t="s">
        <v>4763</v>
      </c>
      <c r="AN567" s="1" t="s">
        <v>4865</v>
      </c>
      <c r="AO567" s="1" t="s">
        <v>5428</v>
      </c>
      <c r="AP567" s="1">
        <v>0</v>
      </c>
      <c r="AQ567" s="1" t="s">
        <v>1141</v>
      </c>
      <c r="AR567" s="1" t="s">
        <v>4836</v>
      </c>
      <c r="AS567" s="1" t="s">
        <v>4840</v>
      </c>
      <c r="AT567" s="1" t="s">
        <v>329</v>
      </c>
      <c r="AU567" s="1">
        <v>46</v>
      </c>
      <c r="AV567" s="1">
        <v>0</v>
      </c>
      <c r="AW567" s="1" t="s">
        <v>4493</v>
      </c>
      <c r="AX567" s="1" t="s">
        <v>5417</v>
      </c>
      <c r="AY567" s="1">
        <v>6</v>
      </c>
      <c r="AZ567" s="1">
        <v>3046</v>
      </c>
      <c r="BA567" s="1" t="s">
        <v>329</v>
      </c>
      <c r="BB567" s="1" t="s">
        <v>4847</v>
      </c>
      <c r="BC567" s="1" t="s">
        <v>4770</v>
      </c>
      <c r="BD567" s="1">
        <v>0</v>
      </c>
      <c r="BE567">
        <v>0</v>
      </c>
      <c r="BH567">
        <f>COUNTIF(Dropdowns!$I:$AF,C567)</f>
        <v>1</v>
      </c>
    </row>
    <row r="568" spans="1:60" x14ac:dyDescent="0.25">
      <c r="A568" s="1">
        <v>20050</v>
      </c>
      <c r="B568" s="1" t="s">
        <v>6719</v>
      </c>
      <c r="C568" s="241" t="s">
        <v>6761</v>
      </c>
      <c r="D568" s="1" t="s">
        <v>6720</v>
      </c>
      <c r="E568" s="1" t="s">
        <v>6638</v>
      </c>
      <c r="F568" s="1" t="s">
        <v>6639</v>
      </c>
      <c r="G568" s="1" t="s">
        <v>6721</v>
      </c>
      <c r="H568" s="1" t="s">
        <v>6722</v>
      </c>
      <c r="I568" s="1" t="s">
        <v>6723</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6724</v>
      </c>
      <c r="AK568" s="1" t="s">
        <v>6725</v>
      </c>
      <c r="AL568" s="1">
        <v>13</v>
      </c>
      <c r="AM568" s="1" t="s">
        <v>4763</v>
      </c>
      <c r="AN568" s="1" t="s">
        <v>5728</v>
      </c>
      <c r="AO568" s="1" t="s">
        <v>5428</v>
      </c>
      <c r="AP568" s="1">
        <v>0</v>
      </c>
      <c r="AQ568" s="1" t="s">
        <v>1747</v>
      </c>
      <c r="AR568" s="1" t="s">
        <v>4836</v>
      </c>
      <c r="AS568" s="1" t="s">
        <v>1143</v>
      </c>
      <c r="AT568" s="1" t="s">
        <v>329</v>
      </c>
      <c r="AU568" s="1">
        <v>50</v>
      </c>
      <c r="AV568" s="1">
        <v>0</v>
      </c>
      <c r="AW568" s="1" t="s">
        <v>4493</v>
      </c>
      <c r="AX568" s="1" t="s">
        <v>5417</v>
      </c>
      <c r="AY568" s="1">
        <v>6</v>
      </c>
      <c r="AZ568" s="1">
        <v>3050</v>
      </c>
      <c r="BA568" s="1" t="s">
        <v>329</v>
      </c>
      <c r="BB568" s="1" t="s">
        <v>4852</v>
      </c>
      <c r="BC568" s="1" t="s">
        <v>329</v>
      </c>
      <c r="BD568" s="1">
        <v>0</v>
      </c>
      <c r="BE568">
        <v>0</v>
      </c>
      <c r="BH568">
        <f>COUNTIF(Dropdowns!$I:$AF,C568)</f>
        <v>1</v>
      </c>
    </row>
    <row r="569" spans="1:60" x14ac:dyDescent="0.25">
      <c r="A569" s="1">
        <v>20066</v>
      </c>
      <c r="B569" s="1" t="s">
        <v>6726</v>
      </c>
      <c r="C569" s="241" t="s">
        <v>6763</v>
      </c>
      <c r="D569" s="1" t="s">
        <v>6727</v>
      </c>
      <c r="E569" s="1" t="s">
        <v>6640</v>
      </c>
      <c r="F569" s="1" t="s">
        <v>6641</v>
      </c>
      <c r="G569" s="1" t="s">
        <v>6728</v>
      </c>
      <c r="H569" s="1" t="s">
        <v>6729</v>
      </c>
      <c r="I569" s="1" t="s">
        <v>6730</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6731</v>
      </c>
      <c r="AK569" s="1" t="s">
        <v>6732</v>
      </c>
      <c r="AL569" s="1">
        <v>13</v>
      </c>
      <c r="AM569" s="1" t="s">
        <v>4720</v>
      </c>
      <c r="AN569" s="1" t="s">
        <v>4865</v>
      </c>
      <c r="AO569" s="1" t="s">
        <v>6733</v>
      </c>
      <c r="AP569" s="1">
        <v>0</v>
      </c>
      <c r="AQ569" s="1" t="s">
        <v>1746</v>
      </c>
      <c r="AR569" s="1" t="s">
        <v>1155</v>
      </c>
      <c r="AS569" s="1" t="s">
        <v>1745</v>
      </c>
      <c r="AT569" s="1" t="s">
        <v>329</v>
      </c>
      <c r="AU569" s="1">
        <v>66</v>
      </c>
      <c r="AV569" s="1">
        <v>0</v>
      </c>
      <c r="AW569" s="1" t="s">
        <v>4493</v>
      </c>
      <c r="AX569" s="1" t="s">
        <v>5417</v>
      </c>
      <c r="AY569" s="1">
        <v>5</v>
      </c>
      <c r="AZ569" s="1">
        <v>3066</v>
      </c>
      <c r="BA569" s="1" t="s">
        <v>329</v>
      </c>
      <c r="BB569" s="1" t="s">
        <v>4892</v>
      </c>
      <c r="BC569" s="1" t="s">
        <v>4784</v>
      </c>
      <c r="BD569" s="1">
        <v>0</v>
      </c>
      <c r="BE569">
        <v>0</v>
      </c>
      <c r="BH569">
        <f>COUNTIF(Dropdowns!$I:$AF,C569)</f>
        <v>1</v>
      </c>
    </row>
    <row r="570" spans="1:60" x14ac:dyDescent="0.25">
      <c r="A570" s="1">
        <v>375</v>
      </c>
      <c r="B570" s="1" t="s">
        <v>6878</v>
      </c>
      <c r="C570" s="241" t="s">
        <v>6879</v>
      </c>
      <c r="D570" s="1" t="s">
        <v>6879</v>
      </c>
      <c r="E570" s="1" t="s">
        <v>329</v>
      </c>
      <c r="F570" s="1" t="s">
        <v>329</v>
      </c>
      <c r="G570" s="1" t="s">
        <v>6880</v>
      </c>
      <c r="H570" s="1" t="s">
        <v>6881</v>
      </c>
      <c r="I570" s="1" t="s">
        <v>6882</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6883</v>
      </c>
      <c r="AK570" s="1" t="s">
        <v>6884</v>
      </c>
      <c r="AL570" s="1">
        <v>18</v>
      </c>
      <c r="AM570" s="1" t="s">
        <v>1807</v>
      </c>
      <c r="AN570" s="1" t="s">
        <v>6885</v>
      </c>
      <c r="AO570" s="1" t="s">
        <v>6886</v>
      </c>
      <c r="AP570" s="1">
        <v>0</v>
      </c>
      <c r="AQ570" s="1" t="s">
        <v>1119</v>
      </c>
      <c r="AR570" s="1" t="s">
        <v>1120</v>
      </c>
      <c r="AS570" s="1" t="s">
        <v>1121</v>
      </c>
      <c r="AT570" s="1" t="s">
        <v>329</v>
      </c>
      <c r="AU570" s="1">
        <v>4</v>
      </c>
      <c r="AV570" s="1">
        <v>0</v>
      </c>
      <c r="AW570" s="1" t="s">
        <v>6887</v>
      </c>
      <c r="AX570" s="1" t="s">
        <v>4763</v>
      </c>
      <c r="AY570" s="1">
        <v>5</v>
      </c>
      <c r="AZ570" s="1">
        <v>0</v>
      </c>
      <c r="BA570" s="1" t="s">
        <v>329</v>
      </c>
      <c r="BB570" s="1" t="s">
        <v>329</v>
      </c>
      <c r="BC570" s="1" t="s">
        <v>4721</v>
      </c>
      <c r="BD570" s="1">
        <v>10701</v>
      </c>
      <c r="BE570">
        <v>0</v>
      </c>
    </row>
    <row r="571" spans="1:60" x14ac:dyDescent="0.25">
      <c r="A571" s="1">
        <v>376</v>
      </c>
      <c r="B571" s="1" t="s">
        <v>6888</v>
      </c>
      <c r="C571" s="241" t="s">
        <v>6889</v>
      </c>
      <c r="D571" s="1" t="s">
        <v>6889</v>
      </c>
      <c r="E571" s="1" t="s">
        <v>329</v>
      </c>
      <c r="F571" s="1" t="s">
        <v>329</v>
      </c>
      <c r="G571" s="1" t="s">
        <v>6890</v>
      </c>
      <c r="H571" s="1" t="s">
        <v>6891</v>
      </c>
      <c r="I571" s="1" t="s">
        <v>6892</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6893</v>
      </c>
      <c r="AK571" s="1" t="s">
        <v>6894</v>
      </c>
      <c r="AL571" s="1">
        <v>14</v>
      </c>
      <c r="AM571" s="1" t="s">
        <v>1807</v>
      </c>
      <c r="AN571" s="1" t="s">
        <v>6895</v>
      </c>
      <c r="AO571" s="1" t="s">
        <v>6896</v>
      </c>
      <c r="AP571" s="1">
        <v>0</v>
      </c>
      <c r="AQ571" s="1" t="s">
        <v>1130</v>
      </c>
      <c r="AR571" s="1" t="s">
        <v>1120</v>
      </c>
      <c r="AS571" s="1" t="s">
        <v>1131</v>
      </c>
      <c r="AT571" s="1" t="s">
        <v>329</v>
      </c>
      <c r="AU571" s="1">
        <v>150</v>
      </c>
      <c r="AV571" s="1">
        <v>0</v>
      </c>
      <c r="AW571" s="1" t="s">
        <v>6887</v>
      </c>
      <c r="AX571" s="1" t="s">
        <v>332</v>
      </c>
      <c r="AY571" s="1">
        <v>5</v>
      </c>
      <c r="AZ571" s="1">
        <v>0</v>
      </c>
      <c r="BA571" s="1" t="s">
        <v>329</v>
      </c>
      <c r="BB571" s="1" t="s">
        <v>329</v>
      </c>
      <c r="BC571" s="1" t="s">
        <v>4770</v>
      </c>
      <c r="BD571" s="1">
        <v>10703</v>
      </c>
      <c r="BE571">
        <v>0</v>
      </c>
    </row>
    <row r="572" spans="1:60" x14ac:dyDescent="0.25">
      <c r="A572" s="1">
        <v>377</v>
      </c>
      <c r="B572" s="1" t="s">
        <v>6897</v>
      </c>
      <c r="C572" s="241" t="s">
        <v>6898</v>
      </c>
      <c r="D572" s="1" t="s">
        <v>6899</v>
      </c>
      <c r="E572" s="1" t="s">
        <v>329</v>
      </c>
      <c r="F572" s="1" t="s">
        <v>329</v>
      </c>
      <c r="G572" s="1" t="s">
        <v>6900</v>
      </c>
      <c r="H572" s="1" t="s">
        <v>6901</v>
      </c>
      <c r="I572" s="1" t="s">
        <v>6902</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6903</v>
      </c>
      <c r="AK572" s="1" t="s">
        <v>6904</v>
      </c>
      <c r="AL572" s="1">
        <v>13</v>
      </c>
      <c r="AM572" s="1" t="s">
        <v>355</v>
      </c>
      <c r="AN572" s="1" t="s">
        <v>5385</v>
      </c>
      <c r="AO572" s="1" t="s">
        <v>5064</v>
      </c>
      <c r="AP572" s="1">
        <v>0</v>
      </c>
      <c r="AQ572" s="1" t="s">
        <v>1747</v>
      </c>
      <c r="AR572" s="1" t="s">
        <v>1142</v>
      </c>
      <c r="AS572" s="1" t="s">
        <v>1143</v>
      </c>
      <c r="AT572" s="1" t="s">
        <v>329</v>
      </c>
      <c r="AU572" s="1">
        <v>241</v>
      </c>
      <c r="AV572" s="1">
        <v>0</v>
      </c>
      <c r="AW572" s="1" t="s">
        <v>6887</v>
      </c>
      <c r="AX572" s="1" t="s">
        <v>332</v>
      </c>
      <c r="AY572" s="1">
        <v>5</v>
      </c>
      <c r="AZ572" s="1">
        <v>0</v>
      </c>
      <c r="BA572" s="1" t="s">
        <v>329</v>
      </c>
      <c r="BB572" s="1" t="s">
        <v>329</v>
      </c>
      <c r="BC572" s="1" t="s">
        <v>4854</v>
      </c>
      <c r="BD572" s="1">
        <v>10402</v>
      </c>
      <c r="BE572">
        <v>0</v>
      </c>
    </row>
    <row r="573" spans="1:60" x14ac:dyDescent="0.25">
      <c r="A573" s="1">
        <v>378</v>
      </c>
      <c r="B573" s="1" t="s">
        <v>6905</v>
      </c>
      <c r="C573" s="241" t="s">
        <v>6906</v>
      </c>
      <c r="D573" s="1" t="s">
        <v>6907</v>
      </c>
      <c r="E573" s="1" t="s">
        <v>329</v>
      </c>
      <c r="F573" s="1" t="s">
        <v>329</v>
      </c>
      <c r="G573" s="1" t="s">
        <v>6908</v>
      </c>
      <c r="H573" s="1" t="s">
        <v>6909</v>
      </c>
      <c r="I573" s="1" t="s">
        <v>6910</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6911</v>
      </c>
      <c r="AK573" s="1" t="s">
        <v>329</v>
      </c>
      <c r="AL573" s="1">
        <v>13</v>
      </c>
      <c r="AM573" s="1" t="s">
        <v>355</v>
      </c>
      <c r="AN573" s="1" t="s">
        <v>5385</v>
      </c>
      <c r="AO573" s="1" t="s">
        <v>5064</v>
      </c>
      <c r="AP573" s="1">
        <v>0</v>
      </c>
      <c r="AQ573" s="1" t="s">
        <v>1131</v>
      </c>
      <c r="AR573" s="1" t="s">
        <v>4869</v>
      </c>
      <c r="AS573" s="1" t="s">
        <v>1130</v>
      </c>
      <c r="AT573" s="1" t="s">
        <v>329</v>
      </c>
      <c r="AU573" s="1">
        <v>48</v>
      </c>
      <c r="AV573" s="1">
        <v>0</v>
      </c>
      <c r="AW573" s="1" t="s">
        <v>6887</v>
      </c>
      <c r="AX573" s="1" t="s">
        <v>332</v>
      </c>
      <c r="AY573" s="1">
        <v>5</v>
      </c>
      <c r="AZ573" s="1">
        <v>0</v>
      </c>
      <c r="BA573" s="1" t="s">
        <v>329</v>
      </c>
      <c r="BB573" s="1" t="s">
        <v>329</v>
      </c>
      <c r="BC573" s="1" t="s">
        <v>4854</v>
      </c>
      <c r="BD573" s="1">
        <v>10201</v>
      </c>
      <c r="BE573">
        <v>0</v>
      </c>
    </row>
    <row r="574" spans="1:60" x14ac:dyDescent="0.25">
      <c r="A574" s="1">
        <v>1035</v>
      </c>
      <c r="B574" s="1" t="s">
        <v>6974</v>
      </c>
      <c r="C574" s="241" t="s">
        <v>6975</v>
      </c>
      <c r="D574" s="1" t="s">
        <v>6975</v>
      </c>
      <c r="E574" s="1" t="s">
        <v>329</v>
      </c>
      <c r="F574" s="1" t="s">
        <v>329</v>
      </c>
      <c r="G574" s="1" t="s">
        <v>6976</v>
      </c>
      <c r="H574" s="1" t="s">
        <v>6977</v>
      </c>
      <c r="I574" s="1" t="s">
        <v>6978</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6979</v>
      </c>
      <c r="AK574" s="1" t="s">
        <v>6980</v>
      </c>
      <c r="AL574" s="1">
        <v>13</v>
      </c>
      <c r="AM574" s="1" t="s">
        <v>1807</v>
      </c>
      <c r="AN574" s="1" t="s">
        <v>6981</v>
      </c>
      <c r="AO574" s="1" t="s">
        <v>4752</v>
      </c>
      <c r="AP574" s="1">
        <v>0</v>
      </c>
      <c r="AQ574" s="1" t="s">
        <v>1119</v>
      </c>
      <c r="AR574" s="1" t="s">
        <v>1744</v>
      </c>
      <c r="AS574" s="1" t="s">
        <v>1121</v>
      </c>
      <c r="AT574" s="1" t="s">
        <v>329</v>
      </c>
      <c r="AU574" s="1">
        <v>1035</v>
      </c>
      <c r="AV574" s="1">
        <v>1</v>
      </c>
      <c r="AW574" s="1" t="s">
        <v>6982</v>
      </c>
      <c r="AX574" s="1" t="s">
        <v>6983</v>
      </c>
      <c r="AY574" s="1">
        <v>7</v>
      </c>
      <c r="AZ574" s="1">
        <v>0</v>
      </c>
      <c r="BA574" s="1" t="s">
        <v>329</v>
      </c>
      <c r="BB574" s="1" t="s">
        <v>329</v>
      </c>
      <c r="BC574" s="1" t="s">
        <v>5387</v>
      </c>
      <c r="BD574" s="1">
        <v>0</v>
      </c>
      <c r="BE574">
        <v>0</v>
      </c>
    </row>
    <row r="575" spans="1:60" x14ac:dyDescent="0.25">
      <c r="A575" s="1">
        <v>1036</v>
      </c>
      <c r="B575" s="1" t="s">
        <v>6984</v>
      </c>
      <c r="C575" s="241" t="s">
        <v>6985</v>
      </c>
      <c r="D575" s="1" t="s">
        <v>6985</v>
      </c>
      <c r="E575" s="1" t="s">
        <v>329</v>
      </c>
      <c r="F575" s="1" t="s">
        <v>329</v>
      </c>
      <c r="G575" s="1" t="s">
        <v>6986</v>
      </c>
      <c r="H575" s="1" t="s">
        <v>6987</v>
      </c>
      <c r="I575" s="1" t="s">
        <v>6988</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6989</v>
      </c>
      <c r="AK575" s="1" t="s">
        <v>329</v>
      </c>
      <c r="AL575" s="1">
        <v>12</v>
      </c>
      <c r="AM575" s="1" t="s">
        <v>1807</v>
      </c>
      <c r="AN575" s="1" t="s">
        <v>6990</v>
      </c>
      <c r="AO575" s="1" t="s">
        <v>4810</v>
      </c>
      <c r="AP575" s="1">
        <v>0</v>
      </c>
      <c r="AQ575" s="1" t="s">
        <v>1130</v>
      </c>
      <c r="AR575" s="1" t="s">
        <v>1744</v>
      </c>
      <c r="AS575" s="1" t="s">
        <v>1131</v>
      </c>
      <c r="AT575" s="1" t="s">
        <v>329</v>
      </c>
      <c r="AU575" s="1">
        <v>1036</v>
      </c>
      <c r="AV575" s="1">
        <v>1</v>
      </c>
      <c r="AW575" s="1" t="s">
        <v>6982</v>
      </c>
      <c r="AX575" s="1" t="s">
        <v>6983</v>
      </c>
      <c r="AY575" s="1">
        <v>7</v>
      </c>
      <c r="AZ575" s="1">
        <v>0</v>
      </c>
      <c r="BA575" s="1" t="s">
        <v>329</v>
      </c>
      <c r="BB575" s="1" t="s">
        <v>329</v>
      </c>
      <c r="BC575" s="1" t="s">
        <v>5387</v>
      </c>
      <c r="BD575" s="1">
        <v>0</v>
      </c>
      <c r="BE575">
        <v>0</v>
      </c>
    </row>
    <row r="576" spans="1:60" x14ac:dyDescent="0.25">
      <c r="A576" s="1">
        <v>1037</v>
      </c>
      <c r="B576" s="1" t="s">
        <v>6991</v>
      </c>
      <c r="C576" s="241" t="s">
        <v>236</v>
      </c>
      <c r="D576" s="1" t="s">
        <v>236</v>
      </c>
      <c r="E576" s="1" t="s">
        <v>329</v>
      </c>
      <c r="F576" s="1" t="s">
        <v>329</v>
      </c>
      <c r="G576" s="1" t="s">
        <v>6992</v>
      </c>
      <c r="H576" s="1" t="s">
        <v>6993</v>
      </c>
      <c r="I576" s="1" t="s">
        <v>6994</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6995</v>
      </c>
      <c r="AK576" s="1" t="s">
        <v>6996</v>
      </c>
      <c r="AL576" s="1">
        <v>18</v>
      </c>
      <c r="AM576" s="1" t="s">
        <v>1807</v>
      </c>
      <c r="AN576" s="1" t="s">
        <v>6997</v>
      </c>
      <c r="AO576" s="1" t="s">
        <v>5020</v>
      </c>
      <c r="AP576" s="1">
        <v>0</v>
      </c>
      <c r="AQ576" s="1" t="s">
        <v>1141</v>
      </c>
      <c r="AR576" s="1" t="s">
        <v>4836</v>
      </c>
      <c r="AS576" s="1" t="s">
        <v>1143</v>
      </c>
      <c r="AT576" s="1" t="s">
        <v>329</v>
      </c>
      <c r="AU576" s="1">
        <v>1037</v>
      </c>
      <c r="AV576" s="1">
        <v>1</v>
      </c>
      <c r="AW576" s="1" t="s">
        <v>6982</v>
      </c>
      <c r="AX576" s="1" t="s">
        <v>6998</v>
      </c>
      <c r="AY576" s="1">
        <v>7</v>
      </c>
      <c r="AZ576" s="1">
        <v>0</v>
      </c>
      <c r="BA576" s="1" t="s">
        <v>329</v>
      </c>
      <c r="BB576" s="1" t="s">
        <v>329</v>
      </c>
      <c r="BC576" s="1" t="s">
        <v>5387</v>
      </c>
      <c r="BD576" s="1">
        <v>0</v>
      </c>
      <c r="BE576">
        <v>0</v>
      </c>
    </row>
    <row r="577" spans="1:57" x14ac:dyDescent="0.25">
      <c r="A577" s="1">
        <v>1038</v>
      </c>
      <c r="B577" s="1" t="s">
        <v>6999</v>
      </c>
      <c r="C577" s="241" t="s">
        <v>7000</v>
      </c>
      <c r="D577" s="1" t="s">
        <v>7000</v>
      </c>
      <c r="E577" s="1" t="s">
        <v>329</v>
      </c>
      <c r="F577" s="1" t="s">
        <v>329</v>
      </c>
      <c r="G577" s="1" t="s">
        <v>7001</v>
      </c>
      <c r="H577" s="1" t="s">
        <v>7002</v>
      </c>
      <c r="I577" s="1" t="s">
        <v>7003</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7004</v>
      </c>
      <c r="AK577" s="1" t="s">
        <v>7005</v>
      </c>
      <c r="AL577" s="1">
        <v>19</v>
      </c>
      <c r="AM577" s="1" t="s">
        <v>1807</v>
      </c>
      <c r="AN577" s="1" t="s">
        <v>7006</v>
      </c>
      <c r="AO577" s="1" t="s">
        <v>5259</v>
      </c>
      <c r="AP577" s="1">
        <v>0</v>
      </c>
      <c r="AQ577" s="1" t="s">
        <v>1131</v>
      </c>
      <c r="AR577" s="1" t="s">
        <v>1155</v>
      </c>
      <c r="AS577" s="1" t="s">
        <v>1745</v>
      </c>
      <c r="AT577" s="1" t="s">
        <v>329</v>
      </c>
      <c r="AU577" s="1">
        <v>1038</v>
      </c>
      <c r="AV577" s="1">
        <v>1</v>
      </c>
      <c r="AW577" s="1" t="s">
        <v>6982</v>
      </c>
      <c r="AX577" s="1" t="s">
        <v>7007</v>
      </c>
      <c r="AY577" s="1">
        <v>7</v>
      </c>
      <c r="AZ577" s="1">
        <v>0</v>
      </c>
      <c r="BA577" s="1" t="s">
        <v>329</v>
      </c>
      <c r="BB577" s="1" t="s">
        <v>329</v>
      </c>
      <c r="BC577" s="1" t="s">
        <v>5387</v>
      </c>
      <c r="BD577" s="1">
        <v>0</v>
      </c>
      <c r="BE577">
        <v>0</v>
      </c>
    </row>
    <row r="578" spans="1:57" x14ac:dyDescent="0.25">
      <c r="A578" s="1">
        <v>1039</v>
      </c>
      <c r="B578" s="1" t="s">
        <v>7008</v>
      </c>
      <c r="C578" s="241" t="s">
        <v>7009</v>
      </c>
      <c r="D578" s="1" t="s">
        <v>7009</v>
      </c>
      <c r="E578" s="1" t="s">
        <v>329</v>
      </c>
      <c r="F578" s="1" t="s">
        <v>329</v>
      </c>
      <c r="G578" s="1" t="s">
        <v>7010</v>
      </c>
      <c r="H578" s="1" t="s">
        <v>7011</v>
      </c>
      <c r="I578" s="1" t="s">
        <v>7012</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7013</v>
      </c>
      <c r="AK578" s="1" t="s">
        <v>329</v>
      </c>
      <c r="AL578" s="1">
        <v>17</v>
      </c>
      <c r="AM578" s="1" t="s">
        <v>1807</v>
      </c>
      <c r="AN578" s="1" t="s">
        <v>7014</v>
      </c>
      <c r="AO578" s="1" t="s">
        <v>5259</v>
      </c>
      <c r="AP578" s="1">
        <v>0</v>
      </c>
      <c r="AQ578" s="1" t="s">
        <v>1131</v>
      </c>
      <c r="AR578" s="1" t="s">
        <v>1155</v>
      </c>
      <c r="AS578" s="1" t="s">
        <v>1745</v>
      </c>
      <c r="AT578" s="1" t="s">
        <v>329</v>
      </c>
      <c r="AU578" s="1">
        <v>1039</v>
      </c>
      <c r="AV578" s="1">
        <v>1</v>
      </c>
      <c r="AW578" s="1" t="s">
        <v>6982</v>
      </c>
      <c r="AX578" s="1" t="s">
        <v>7007</v>
      </c>
      <c r="AY578" s="1">
        <v>7</v>
      </c>
      <c r="AZ578" s="1">
        <v>0</v>
      </c>
      <c r="BA578" s="1" t="s">
        <v>329</v>
      </c>
      <c r="BB578" s="1" t="s">
        <v>329</v>
      </c>
      <c r="BC578" s="1" t="s">
        <v>5387</v>
      </c>
      <c r="BD578" s="1">
        <v>0</v>
      </c>
      <c r="BE578">
        <v>0</v>
      </c>
    </row>
    <row r="579" spans="1:57" x14ac:dyDescent="0.25">
      <c r="A579" s="1">
        <v>1040</v>
      </c>
      <c r="B579" s="1" t="s">
        <v>7015</v>
      </c>
      <c r="C579" s="241" t="s">
        <v>7016</v>
      </c>
      <c r="D579" s="1" t="s">
        <v>7016</v>
      </c>
      <c r="E579" s="1" t="s">
        <v>329</v>
      </c>
      <c r="F579" s="1" t="s">
        <v>329</v>
      </c>
      <c r="G579" s="1" t="s">
        <v>7017</v>
      </c>
      <c r="H579" s="1" t="s">
        <v>7018</v>
      </c>
      <c r="I579" s="1" t="s">
        <v>7019</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7020</v>
      </c>
      <c r="AK579" s="1" t="s">
        <v>7021</v>
      </c>
      <c r="AL579" s="1">
        <v>14</v>
      </c>
      <c r="AM579" s="1" t="s">
        <v>1807</v>
      </c>
      <c r="AN579" s="1" t="s">
        <v>7022</v>
      </c>
      <c r="AO579" s="1" t="s">
        <v>4986</v>
      </c>
      <c r="AP579" s="1">
        <v>0</v>
      </c>
      <c r="AQ579" s="1" t="s">
        <v>1168</v>
      </c>
      <c r="AR579" s="1" t="s">
        <v>4912</v>
      </c>
      <c r="AS579" s="1" t="s">
        <v>6972</v>
      </c>
      <c r="AT579" s="1" t="s">
        <v>329</v>
      </c>
      <c r="AU579" s="1">
        <v>1040</v>
      </c>
      <c r="AV579" s="1">
        <v>1</v>
      </c>
      <c r="AW579" s="1" t="s">
        <v>6982</v>
      </c>
      <c r="AX579" s="1" t="s">
        <v>6983</v>
      </c>
      <c r="AY579" s="1">
        <v>7</v>
      </c>
      <c r="AZ579" s="1">
        <v>0</v>
      </c>
      <c r="BA579" s="1" t="s">
        <v>329</v>
      </c>
      <c r="BB579" s="1" t="s">
        <v>329</v>
      </c>
      <c r="BC579" s="1" t="s">
        <v>5387</v>
      </c>
      <c r="BD579" s="1">
        <v>0</v>
      </c>
      <c r="BE579">
        <v>0</v>
      </c>
    </row>
    <row r="580" spans="1:57" x14ac:dyDescent="0.25">
      <c r="A580" s="1">
        <v>1041</v>
      </c>
      <c r="B580" s="1" t="s">
        <v>7023</v>
      </c>
      <c r="C580" s="241" t="s">
        <v>7024</v>
      </c>
      <c r="D580" s="1" t="s">
        <v>7024</v>
      </c>
      <c r="E580" s="1" t="s">
        <v>329</v>
      </c>
      <c r="F580" s="1" t="s">
        <v>329</v>
      </c>
      <c r="G580" s="1" t="s">
        <v>7025</v>
      </c>
      <c r="H580" s="1" t="s">
        <v>7026</v>
      </c>
      <c r="I580" s="1" t="s">
        <v>7027</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7028</v>
      </c>
      <c r="AK580" s="1" t="s">
        <v>329</v>
      </c>
      <c r="AL580" s="1">
        <v>8</v>
      </c>
      <c r="AM580" s="1" t="s">
        <v>1807</v>
      </c>
      <c r="AN580" s="1" t="s">
        <v>7029</v>
      </c>
      <c r="AO580" s="1" t="s">
        <v>4943</v>
      </c>
      <c r="AP580" s="1">
        <v>0</v>
      </c>
      <c r="AQ580" s="1" t="s">
        <v>5068</v>
      </c>
      <c r="AR580" s="1" t="s">
        <v>1202</v>
      </c>
      <c r="AS580" s="1" t="s">
        <v>6973</v>
      </c>
      <c r="AT580" s="1" t="s">
        <v>329</v>
      </c>
      <c r="AU580" s="1">
        <v>1041</v>
      </c>
      <c r="AV580" s="1">
        <v>1</v>
      </c>
      <c r="AW580" s="1" t="s">
        <v>6982</v>
      </c>
      <c r="AX580" s="1" t="s">
        <v>6998</v>
      </c>
      <c r="AY580" s="1">
        <v>7</v>
      </c>
      <c r="AZ580" s="1">
        <v>0</v>
      </c>
      <c r="BA580" s="1" t="s">
        <v>329</v>
      </c>
      <c r="BB580" s="1" t="s">
        <v>329</v>
      </c>
      <c r="BC580" s="1" t="s">
        <v>5387</v>
      </c>
      <c r="BD580" s="1">
        <v>0</v>
      </c>
      <c r="BE580">
        <v>0</v>
      </c>
    </row>
    <row r="581" spans="1:57" x14ac:dyDescent="0.25">
      <c r="A581" s="1">
        <v>9105</v>
      </c>
      <c r="B581" s="1" t="s">
        <v>7030</v>
      </c>
      <c r="C581" s="241" t="s">
        <v>7089</v>
      </c>
      <c r="D581" s="1" t="s">
        <v>7024</v>
      </c>
      <c r="E581" s="1" t="s">
        <v>329</v>
      </c>
      <c r="F581" s="1" t="s">
        <v>329</v>
      </c>
      <c r="G581" s="1" t="s">
        <v>7031</v>
      </c>
      <c r="H581" s="1" t="s">
        <v>7032</v>
      </c>
      <c r="I581" s="1" t="s">
        <v>7033</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7034</v>
      </c>
      <c r="AK581" s="1" t="s">
        <v>329</v>
      </c>
      <c r="AL581" s="1">
        <v>13</v>
      </c>
      <c r="AM581" s="1" t="s">
        <v>1807</v>
      </c>
      <c r="AN581" s="1" t="s">
        <v>4748</v>
      </c>
      <c r="AO581" s="1" t="s">
        <v>4745</v>
      </c>
      <c r="AP581" s="1">
        <v>0</v>
      </c>
      <c r="AQ581" s="1" t="s">
        <v>5855</v>
      </c>
      <c r="AR581" s="1" t="s">
        <v>1120</v>
      </c>
      <c r="AS581" s="1" t="s">
        <v>1130</v>
      </c>
      <c r="AT581" s="1" t="s">
        <v>329</v>
      </c>
      <c r="AU581" s="1">
        <v>6</v>
      </c>
      <c r="AV581" s="1">
        <v>0</v>
      </c>
      <c r="AW581" s="1" t="s">
        <v>5793</v>
      </c>
      <c r="AX581" s="1" t="s">
        <v>1807</v>
      </c>
      <c r="AY581" s="1">
        <v>3</v>
      </c>
      <c r="AZ581" s="1">
        <v>0</v>
      </c>
      <c r="BA581" s="1" t="s">
        <v>329</v>
      </c>
      <c r="BB581" s="1" t="s">
        <v>329</v>
      </c>
      <c r="BC581" s="1" t="s">
        <v>329</v>
      </c>
      <c r="BD581" s="1">
        <v>0</v>
      </c>
      <c r="BE581">
        <v>0</v>
      </c>
    </row>
    <row r="582" spans="1:57" x14ac:dyDescent="0.25">
      <c r="A582" s="1">
        <v>9106</v>
      </c>
      <c r="B582" s="1" t="s">
        <v>7035</v>
      </c>
      <c r="C582" s="241" t="s">
        <v>7036</v>
      </c>
      <c r="D582" s="1" t="s">
        <v>7036</v>
      </c>
      <c r="E582" s="1" t="s">
        <v>329</v>
      </c>
      <c r="F582" s="1" t="s">
        <v>329</v>
      </c>
      <c r="G582" s="1" t="s">
        <v>7037</v>
      </c>
      <c r="H582" s="1" t="s">
        <v>7038</v>
      </c>
      <c r="I582" s="1" t="s">
        <v>7039</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4791</v>
      </c>
      <c r="AN582" s="1" t="s">
        <v>4794</v>
      </c>
      <c r="AO582" s="1" t="s">
        <v>4803</v>
      </c>
      <c r="AP582" s="1">
        <v>0</v>
      </c>
      <c r="AQ582" s="1" t="s">
        <v>1130</v>
      </c>
      <c r="AR582" s="1" t="s">
        <v>1120</v>
      </c>
      <c r="AS582" s="1" t="s">
        <v>1131</v>
      </c>
      <c r="AT582" s="1" t="s">
        <v>329</v>
      </c>
      <c r="AU582" s="1">
        <v>20</v>
      </c>
      <c r="AV582" s="1">
        <v>0</v>
      </c>
      <c r="AW582" s="1" t="s">
        <v>5793</v>
      </c>
      <c r="AX582" s="1" t="s">
        <v>1807</v>
      </c>
      <c r="AY582" s="1">
        <v>5</v>
      </c>
      <c r="AZ582" s="1">
        <v>0</v>
      </c>
      <c r="BA582" s="1" t="s">
        <v>329</v>
      </c>
      <c r="BB582" s="1" t="s">
        <v>329</v>
      </c>
      <c r="BC582" s="1" t="s">
        <v>329</v>
      </c>
      <c r="BD582" s="1">
        <v>0</v>
      </c>
      <c r="BE582">
        <v>0</v>
      </c>
    </row>
    <row r="583" spans="1:57" x14ac:dyDescent="0.25">
      <c r="A583" s="1">
        <v>9107</v>
      </c>
      <c r="B583" s="1" t="s">
        <v>7040</v>
      </c>
      <c r="C583" s="241" t="s">
        <v>7090</v>
      </c>
      <c r="D583" s="1" t="s">
        <v>6975</v>
      </c>
      <c r="E583" s="1" t="s">
        <v>329</v>
      </c>
      <c r="F583" s="1" t="s">
        <v>329</v>
      </c>
      <c r="G583" s="1" t="s">
        <v>7041</v>
      </c>
      <c r="H583" s="1" t="s">
        <v>7042</v>
      </c>
      <c r="I583" s="1" t="s">
        <v>7043</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7044</v>
      </c>
      <c r="AK583" s="1" t="s">
        <v>329</v>
      </c>
      <c r="AL583" s="1">
        <v>17</v>
      </c>
      <c r="AM583" s="1" t="s">
        <v>1807</v>
      </c>
      <c r="AN583" s="1" t="s">
        <v>7045</v>
      </c>
      <c r="AO583" s="1" t="s">
        <v>4752</v>
      </c>
      <c r="AP583" s="1">
        <v>0</v>
      </c>
      <c r="AQ583" s="1" t="s">
        <v>1119</v>
      </c>
      <c r="AR583" s="1" t="s">
        <v>1120</v>
      </c>
      <c r="AS583" s="1" t="s">
        <v>1121</v>
      </c>
      <c r="AT583" s="1" t="s">
        <v>329</v>
      </c>
      <c r="AU583" s="1">
        <v>1006</v>
      </c>
      <c r="AV583" s="1">
        <v>1</v>
      </c>
      <c r="AW583" s="1" t="s">
        <v>5793</v>
      </c>
      <c r="AX583" s="1" t="s">
        <v>1807</v>
      </c>
      <c r="AY583" s="1">
        <v>7</v>
      </c>
      <c r="AZ583" s="1">
        <v>0</v>
      </c>
      <c r="BA583" s="1" t="s">
        <v>329</v>
      </c>
      <c r="BB583" s="1" t="s">
        <v>329</v>
      </c>
      <c r="BC583" s="1" t="s">
        <v>5387</v>
      </c>
      <c r="BD583" s="1">
        <v>0</v>
      </c>
      <c r="BE583">
        <v>0</v>
      </c>
    </row>
    <row r="584" spans="1:57" x14ac:dyDescent="0.25">
      <c r="A584" s="1">
        <v>9108</v>
      </c>
      <c r="B584" s="1" t="s">
        <v>7046</v>
      </c>
      <c r="C584" s="241" t="s">
        <v>7091</v>
      </c>
      <c r="D584" s="1" t="s">
        <v>236</v>
      </c>
      <c r="E584" s="1" t="s">
        <v>329</v>
      </c>
      <c r="F584" s="1" t="s">
        <v>329</v>
      </c>
      <c r="G584" s="1" t="s">
        <v>7047</v>
      </c>
      <c r="H584" s="1" t="s">
        <v>7048</v>
      </c>
      <c r="I584" s="1" t="s">
        <v>7049</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7050</v>
      </c>
      <c r="AK584" s="1" t="s">
        <v>329</v>
      </c>
      <c r="AL584" s="1">
        <v>19</v>
      </c>
      <c r="AM584" s="1" t="s">
        <v>1807</v>
      </c>
      <c r="AN584" s="1" t="s">
        <v>7051</v>
      </c>
      <c r="AO584" s="1" t="s">
        <v>5020</v>
      </c>
      <c r="AP584" s="1">
        <v>0</v>
      </c>
      <c r="AQ584" s="1" t="s">
        <v>1141</v>
      </c>
      <c r="AR584" s="1" t="s">
        <v>1142</v>
      </c>
      <c r="AS584" s="1" t="s">
        <v>1143</v>
      </c>
      <c r="AT584" s="1" t="s">
        <v>329</v>
      </c>
      <c r="AU584" s="1">
        <v>150</v>
      </c>
      <c r="AV584" s="1">
        <v>1</v>
      </c>
      <c r="AW584" s="1" t="s">
        <v>5793</v>
      </c>
      <c r="AX584" s="1" t="s">
        <v>1807</v>
      </c>
      <c r="AY584" s="1">
        <v>7</v>
      </c>
      <c r="AZ584" s="1">
        <v>0</v>
      </c>
      <c r="BA584" s="1" t="s">
        <v>329</v>
      </c>
      <c r="BB584" s="1" t="s">
        <v>329</v>
      </c>
      <c r="BC584" s="1" t="s">
        <v>5387</v>
      </c>
      <c r="BD584" s="1">
        <v>0</v>
      </c>
      <c r="BE584">
        <v>0</v>
      </c>
    </row>
    <row r="585" spans="1:57" x14ac:dyDescent="0.25">
      <c r="A585" s="1">
        <v>9109</v>
      </c>
      <c r="B585" s="1" t="s">
        <v>7052</v>
      </c>
      <c r="C585" s="241" t="s">
        <v>7053</v>
      </c>
      <c r="D585" s="1" t="s">
        <v>7053</v>
      </c>
      <c r="E585" s="1" t="s">
        <v>329</v>
      </c>
      <c r="F585" s="1" t="s">
        <v>329</v>
      </c>
      <c r="G585" s="1" t="s">
        <v>7054</v>
      </c>
      <c r="H585" s="1" t="s">
        <v>7055</v>
      </c>
      <c r="I585" s="1" t="s">
        <v>7056</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1807</v>
      </c>
      <c r="AN585" s="1" t="s">
        <v>4748</v>
      </c>
      <c r="AO585" s="1" t="s">
        <v>4745</v>
      </c>
      <c r="AP585" s="1">
        <v>0</v>
      </c>
      <c r="AQ585" s="1" t="s">
        <v>5855</v>
      </c>
      <c r="AR585" s="1" t="s">
        <v>1120</v>
      </c>
      <c r="AS585" s="1" t="s">
        <v>1130</v>
      </c>
      <c r="AT585" s="1" t="s">
        <v>329</v>
      </c>
      <c r="AU585" s="1">
        <v>6</v>
      </c>
      <c r="AV585" s="1">
        <v>0</v>
      </c>
      <c r="AW585" s="1" t="s">
        <v>5793</v>
      </c>
      <c r="AX585" s="1" t="s">
        <v>1807</v>
      </c>
      <c r="AY585" s="1">
        <v>5</v>
      </c>
      <c r="AZ585" s="1">
        <v>0</v>
      </c>
      <c r="BA585" s="1" t="s">
        <v>329</v>
      </c>
      <c r="BB585" s="1" t="s">
        <v>329</v>
      </c>
      <c r="BC585" s="1" t="s">
        <v>329</v>
      </c>
      <c r="BD585" s="1">
        <v>0</v>
      </c>
      <c r="BE585">
        <v>0</v>
      </c>
    </row>
    <row r="586" spans="1:57" x14ac:dyDescent="0.25">
      <c r="A586" s="1">
        <v>379</v>
      </c>
      <c r="B586" s="1" t="s">
        <v>7109</v>
      </c>
      <c r="C586" s="241" t="s">
        <v>7110</v>
      </c>
      <c r="D586" s="1" t="s">
        <v>7110</v>
      </c>
      <c r="E586" s="1" t="s">
        <v>329</v>
      </c>
      <c r="F586" s="1" t="s">
        <v>329</v>
      </c>
      <c r="G586" s="1" t="s">
        <v>7111</v>
      </c>
      <c r="H586" s="1" t="s">
        <v>7112</v>
      </c>
      <c r="I586" s="1" t="s">
        <v>7113</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1807</v>
      </c>
      <c r="AN586" s="1" t="s">
        <v>7114</v>
      </c>
      <c r="AO586" s="1" t="s">
        <v>5064</v>
      </c>
      <c r="AP586" s="1">
        <v>0</v>
      </c>
      <c r="AQ586" s="1" t="s">
        <v>1119</v>
      </c>
      <c r="AR586" s="1" t="s">
        <v>1120</v>
      </c>
      <c r="AS586" s="1" t="s">
        <v>1121</v>
      </c>
      <c r="AT586" s="1" t="s">
        <v>329</v>
      </c>
      <c r="AU586" s="1">
        <v>212</v>
      </c>
      <c r="AV586" s="1">
        <v>0</v>
      </c>
      <c r="AW586" s="1" t="s">
        <v>7115</v>
      </c>
      <c r="AX586" s="1" t="s">
        <v>4763</v>
      </c>
      <c r="AY586" s="1">
        <v>4</v>
      </c>
      <c r="AZ586" s="1">
        <v>0</v>
      </c>
      <c r="BA586" s="1" t="s">
        <v>329</v>
      </c>
      <c r="BB586" s="1" t="s">
        <v>329</v>
      </c>
      <c r="BC586" s="1" t="s">
        <v>329</v>
      </c>
      <c r="BD586" s="1">
        <v>10301</v>
      </c>
      <c r="BE586">
        <v>0</v>
      </c>
    </row>
    <row r="587" spans="1:57" x14ac:dyDescent="0.25">
      <c r="A587" s="1">
        <v>380</v>
      </c>
      <c r="B587" s="1" t="s">
        <v>7116</v>
      </c>
      <c r="C587" s="241" t="s">
        <v>7117</v>
      </c>
      <c r="D587" s="1" t="s">
        <v>7117</v>
      </c>
      <c r="E587" s="1" t="s">
        <v>329</v>
      </c>
      <c r="F587" s="1" t="s">
        <v>329</v>
      </c>
      <c r="G587" s="1" t="s">
        <v>7118</v>
      </c>
      <c r="H587" s="1" t="s">
        <v>7119</v>
      </c>
      <c r="I587" s="1" t="s">
        <v>7120</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7121</v>
      </c>
      <c r="AK587" s="1" t="s">
        <v>7122</v>
      </c>
      <c r="AL587" s="1">
        <v>13</v>
      </c>
      <c r="AM587" s="1" t="s">
        <v>4791</v>
      </c>
      <c r="AN587" s="1" t="s">
        <v>4796</v>
      </c>
      <c r="AO587" s="1" t="s">
        <v>5418</v>
      </c>
      <c r="AP587" s="1">
        <v>0</v>
      </c>
      <c r="AQ587" s="1" t="s">
        <v>1130</v>
      </c>
      <c r="AR587" s="1" t="s">
        <v>1120</v>
      </c>
      <c r="AS587" s="1" t="s">
        <v>1131</v>
      </c>
      <c r="AT587" s="1" t="s">
        <v>329</v>
      </c>
      <c r="AU587" s="1">
        <v>150</v>
      </c>
      <c r="AV587" s="1">
        <v>0</v>
      </c>
      <c r="AW587" s="1" t="s">
        <v>7115</v>
      </c>
      <c r="AX587" s="1" t="s">
        <v>332</v>
      </c>
      <c r="AY587" s="1">
        <v>4</v>
      </c>
      <c r="AZ587" s="1">
        <v>0</v>
      </c>
      <c r="BA587" s="1" t="s">
        <v>329</v>
      </c>
      <c r="BB587" s="1" t="s">
        <v>329</v>
      </c>
      <c r="BC587" s="1" t="s">
        <v>329</v>
      </c>
      <c r="BD587" s="1">
        <v>10402</v>
      </c>
      <c r="BE587">
        <v>0</v>
      </c>
    </row>
    <row r="588" spans="1:57" x14ac:dyDescent="0.25">
      <c r="A588" s="1">
        <v>381</v>
      </c>
      <c r="B588" s="1" t="s">
        <v>7123</v>
      </c>
      <c r="C588" s="241" t="s">
        <v>7124</v>
      </c>
      <c r="D588" s="1" t="s">
        <v>7124</v>
      </c>
      <c r="E588" s="1" t="s">
        <v>329</v>
      </c>
      <c r="F588" s="1" t="s">
        <v>329</v>
      </c>
      <c r="G588" s="1" t="s">
        <v>7125</v>
      </c>
      <c r="H588" s="1" t="s">
        <v>7126</v>
      </c>
      <c r="I588" s="1" t="s">
        <v>7127</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7128</v>
      </c>
      <c r="AK588" s="1" t="s">
        <v>329</v>
      </c>
      <c r="AL588" s="1">
        <v>17</v>
      </c>
      <c r="AM588" s="1" t="s">
        <v>4763</v>
      </c>
      <c r="AN588" s="1" t="s">
        <v>7129</v>
      </c>
      <c r="AO588" s="1" t="s">
        <v>4846</v>
      </c>
      <c r="AP588" s="1">
        <v>0</v>
      </c>
      <c r="AQ588" s="1" t="s">
        <v>1141</v>
      </c>
      <c r="AR588" s="1" t="s">
        <v>1142</v>
      </c>
      <c r="AS588" s="1" t="s">
        <v>1143</v>
      </c>
      <c r="AT588" s="1" t="s">
        <v>329</v>
      </c>
      <c r="AU588" s="1">
        <v>241</v>
      </c>
      <c r="AV588" s="1">
        <v>0</v>
      </c>
      <c r="AW588" s="1" t="s">
        <v>7115</v>
      </c>
      <c r="AX588" s="1" t="s">
        <v>332</v>
      </c>
      <c r="AY588" s="1">
        <v>5</v>
      </c>
      <c r="AZ588" s="1">
        <v>0</v>
      </c>
      <c r="BA588" s="1" t="s">
        <v>329</v>
      </c>
      <c r="BB588" s="1" t="s">
        <v>329</v>
      </c>
      <c r="BC588" s="1" t="s">
        <v>4721</v>
      </c>
      <c r="BD588" s="1">
        <v>10705</v>
      </c>
      <c r="BE588">
        <v>0</v>
      </c>
    </row>
    <row r="589" spans="1:57" x14ac:dyDescent="0.25">
      <c r="A589" s="1">
        <v>382</v>
      </c>
      <c r="B589" s="1" t="s">
        <v>7130</v>
      </c>
      <c r="C589" s="241" t="s">
        <v>7131</v>
      </c>
      <c r="D589" s="1" t="s">
        <v>7131</v>
      </c>
      <c r="E589" s="1" t="s">
        <v>329</v>
      </c>
      <c r="F589" s="1" t="s">
        <v>329</v>
      </c>
      <c r="G589" s="1" t="s">
        <v>7132</v>
      </c>
      <c r="H589" s="1" t="s">
        <v>7133</v>
      </c>
      <c r="I589" s="1" t="s">
        <v>7134</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7135</v>
      </c>
      <c r="AK589" s="1" t="s">
        <v>7136</v>
      </c>
      <c r="AL589" s="1">
        <v>12</v>
      </c>
      <c r="AM589" s="1" t="s">
        <v>399</v>
      </c>
      <c r="AN589" s="1" t="s">
        <v>7137</v>
      </c>
      <c r="AO589" s="1" t="s">
        <v>4999</v>
      </c>
      <c r="AP589" s="1">
        <v>0</v>
      </c>
      <c r="AQ589" s="1" t="s">
        <v>1131</v>
      </c>
      <c r="AR589" s="1" t="s">
        <v>1155</v>
      </c>
      <c r="AS589" s="1" t="s">
        <v>1130</v>
      </c>
      <c r="AT589" s="1" t="s">
        <v>329</v>
      </c>
      <c r="AU589" s="1">
        <v>48</v>
      </c>
      <c r="AV589" s="1">
        <v>0</v>
      </c>
      <c r="AW589" s="1" t="s">
        <v>7115</v>
      </c>
      <c r="AX589" s="1" t="s">
        <v>332</v>
      </c>
      <c r="AY589" s="1">
        <v>4</v>
      </c>
      <c r="AZ589" s="1">
        <v>0</v>
      </c>
      <c r="BA589" s="1" t="s">
        <v>329</v>
      </c>
      <c r="BB589" s="1" t="s">
        <v>329</v>
      </c>
      <c r="BC589" s="1" t="s">
        <v>329</v>
      </c>
      <c r="BD589" s="1">
        <v>10402</v>
      </c>
      <c r="BE589">
        <v>0</v>
      </c>
    </row>
    <row r="590" spans="1:57" x14ac:dyDescent="0.25">
      <c r="A590">
        <v>20080</v>
      </c>
      <c r="B590" t="s">
        <v>7145</v>
      </c>
      <c r="C590" s="242" t="s">
        <v>7146</v>
      </c>
      <c r="D590" t="s">
        <v>7146</v>
      </c>
      <c r="E590" t="s">
        <v>7138</v>
      </c>
      <c r="F590" t="s">
        <v>7139</v>
      </c>
      <c r="G590" t="s">
        <v>7147</v>
      </c>
      <c r="H590" t="s">
        <v>7148</v>
      </c>
      <c r="I590" t="s">
        <v>7149</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7150</v>
      </c>
      <c r="AK590" t="s">
        <v>329</v>
      </c>
      <c r="AL590">
        <v>19</v>
      </c>
      <c r="AM590" t="s">
        <v>4859</v>
      </c>
      <c r="AN590" t="s">
        <v>5205</v>
      </c>
      <c r="AO590" t="s">
        <v>7151</v>
      </c>
      <c r="AP590">
        <v>0</v>
      </c>
      <c r="AQ590" t="s">
        <v>1168</v>
      </c>
      <c r="AR590" t="s">
        <v>4912</v>
      </c>
      <c r="AS590" t="s">
        <v>7140</v>
      </c>
      <c r="AT590" t="s">
        <v>329</v>
      </c>
      <c r="AU590">
        <v>80</v>
      </c>
      <c r="AV590">
        <v>0</v>
      </c>
      <c r="AW590" t="s">
        <v>4493</v>
      </c>
      <c r="AX590" t="s">
        <v>5417</v>
      </c>
      <c r="AY590">
        <v>4</v>
      </c>
      <c r="AZ590">
        <v>3080</v>
      </c>
      <c r="BA590" t="s">
        <v>329</v>
      </c>
      <c r="BB590" t="s">
        <v>4926</v>
      </c>
      <c r="BC590" t="s">
        <v>4721</v>
      </c>
      <c r="BD590">
        <v>0</v>
      </c>
      <c r="BE590">
        <v>0</v>
      </c>
    </row>
    <row r="591" spans="1:57" x14ac:dyDescent="0.25">
      <c r="A591">
        <v>20212</v>
      </c>
      <c r="B591" t="s">
        <v>7152</v>
      </c>
      <c r="C591" s="242" t="s">
        <v>7153</v>
      </c>
      <c r="D591" t="s">
        <v>7153</v>
      </c>
      <c r="E591" t="s">
        <v>7141</v>
      </c>
      <c r="F591" t="s">
        <v>7142</v>
      </c>
      <c r="G591" t="s">
        <v>7154</v>
      </c>
      <c r="H591" t="s">
        <v>7155</v>
      </c>
      <c r="I591" t="s">
        <v>7156</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7157</v>
      </c>
      <c r="AL591">
        <v>13</v>
      </c>
      <c r="AM591" t="s">
        <v>1807</v>
      </c>
      <c r="AN591" t="s">
        <v>5162</v>
      </c>
      <c r="AO591" t="s">
        <v>5355</v>
      </c>
      <c r="AP591">
        <v>0</v>
      </c>
      <c r="AQ591" t="s">
        <v>1119</v>
      </c>
      <c r="AR591" t="s">
        <v>1120</v>
      </c>
      <c r="AS591" t="s">
        <v>4762</v>
      </c>
      <c r="AT591" t="s">
        <v>329</v>
      </c>
      <c r="AU591">
        <v>212</v>
      </c>
      <c r="AV591">
        <v>0</v>
      </c>
      <c r="AW591" t="s">
        <v>5163</v>
      </c>
      <c r="AX591" t="s">
        <v>5417</v>
      </c>
      <c r="AY591">
        <v>5</v>
      </c>
      <c r="AZ591">
        <v>3212</v>
      </c>
      <c r="BA591" t="s">
        <v>329</v>
      </c>
      <c r="BB591" t="s">
        <v>5164</v>
      </c>
      <c r="BC591" t="s">
        <v>329</v>
      </c>
      <c r="BD591">
        <v>0</v>
      </c>
      <c r="BE591">
        <v>0</v>
      </c>
    </row>
    <row r="592" spans="1:57" x14ac:dyDescent="0.25">
      <c r="A592">
        <v>20228</v>
      </c>
      <c r="B592" t="s">
        <v>7158</v>
      </c>
      <c r="C592" s="242" t="s">
        <v>7197</v>
      </c>
      <c r="D592" t="s">
        <v>7159</v>
      </c>
      <c r="E592" t="s">
        <v>7143</v>
      </c>
      <c r="F592" t="s">
        <v>7144</v>
      </c>
      <c r="G592" t="s">
        <v>7160</v>
      </c>
      <c r="H592" t="s">
        <v>7161</v>
      </c>
      <c r="I592" t="s">
        <v>7162</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7163</v>
      </c>
      <c r="AK592" t="s">
        <v>7164</v>
      </c>
      <c r="AL592">
        <v>14</v>
      </c>
      <c r="AM592" t="s">
        <v>4791</v>
      </c>
      <c r="AN592" t="s">
        <v>7165</v>
      </c>
      <c r="AO592" t="s">
        <v>7166</v>
      </c>
      <c r="AP592">
        <v>0</v>
      </c>
      <c r="AQ592" t="s">
        <v>1130</v>
      </c>
      <c r="AR592" t="s">
        <v>1744</v>
      </c>
      <c r="AS592" t="s">
        <v>1746</v>
      </c>
      <c r="AT592" t="s">
        <v>329</v>
      </c>
      <c r="AU592">
        <v>228</v>
      </c>
      <c r="AV592">
        <v>0</v>
      </c>
      <c r="AW592" t="s">
        <v>5190</v>
      </c>
      <c r="AX592" t="s">
        <v>5417</v>
      </c>
      <c r="AY592">
        <v>6</v>
      </c>
      <c r="AZ592">
        <v>3228</v>
      </c>
      <c r="BA592" t="s">
        <v>329</v>
      </c>
      <c r="BB592" t="s">
        <v>329</v>
      </c>
      <c r="BC592" t="s">
        <v>329</v>
      </c>
      <c r="BD592">
        <v>0</v>
      </c>
      <c r="BE592">
        <v>0</v>
      </c>
    </row>
    <row r="593" spans="1:57" x14ac:dyDescent="0.25">
      <c r="A593">
        <v>20282</v>
      </c>
      <c r="B593" t="s">
        <v>7167</v>
      </c>
      <c r="C593" s="242" t="s">
        <v>7168</v>
      </c>
      <c r="D593" t="s">
        <v>7168</v>
      </c>
      <c r="E593" t="s">
        <v>329</v>
      </c>
      <c r="F593" t="s">
        <v>329</v>
      </c>
      <c r="G593" t="s">
        <v>7169</v>
      </c>
      <c r="H593" t="s">
        <v>7170</v>
      </c>
      <c r="I593" t="s">
        <v>7171</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1297</v>
      </c>
      <c r="AK593" t="s">
        <v>7172</v>
      </c>
      <c r="AL593">
        <v>8</v>
      </c>
      <c r="AM593" t="s">
        <v>336</v>
      </c>
      <c r="AN593" t="s">
        <v>4729</v>
      </c>
      <c r="AO593" t="s">
        <v>7173</v>
      </c>
      <c r="AP593">
        <v>0</v>
      </c>
      <c r="AQ593" t="s">
        <v>5068</v>
      </c>
      <c r="AR593" t="s">
        <v>1202</v>
      </c>
      <c r="AS593" t="s">
        <v>6973</v>
      </c>
      <c r="AT593" t="s">
        <v>329</v>
      </c>
      <c r="AU593">
        <v>164</v>
      </c>
      <c r="AV593">
        <v>0</v>
      </c>
      <c r="AW593" t="s">
        <v>5266</v>
      </c>
      <c r="AX593" t="s">
        <v>5417</v>
      </c>
      <c r="AY593">
        <v>6</v>
      </c>
      <c r="AZ593">
        <v>3282</v>
      </c>
      <c r="BA593" t="s">
        <v>329</v>
      </c>
      <c r="BB593" t="s">
        <v>329</v>
      </c>
      <c r="BC593" t="s">
        <v>4721</v>
      </c>
      <c r="BD593">
        <v>0</v>
      </c>
      <c r="BE593">
        <v>0</v>
      </c>
    </row>
    <row r="594" spans="1:57" x14ac:dyDescent="0.25">
      <c r="A594">
        <v>383</v>
      </c>
      <c r="B594" t="s">
        <v>7198</v>
      </c>
      <c r="C594" s="242" t="s">
        <v>7199</v>
      </c>
      <c r="D594" t="s">
        <v>7199</v>
      </c>
      <c r="E594" t="s">
        <v>329</v>
      </c>
      <c r="F594" t="s">
        <v>329</v>
      </c>
      <c r="G594" t="s">
        <v>7200</v>
      </c>
      <c r="H594" t="s">
        <v>7201</v>
      </c>
      <c r="I594" t="s">
        <v>7202</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7203</v>
      </c>
      <c r="AK594" t="s">
        <v>329</v>
      </c>
      <c r="AL594">
        <v>13</v>
      </c>
      <c r="AM594" t="s">
        <v>1807</v>
      </c>
      <c r="AN594" t="s">
        <v>5399</v>
      </c>
      <c r="AO594" t="s">
        <v>7204</v>
      </c>
      <c r="AP594">
        <v>0</v>
      </c>
      <c r="AQ594" t="s">
        <v>1119</v>
      </c>
      <c r="AR594" t="s">
        <v>1120</v>
      </c>
      <c r="AS594" t="s">
        <v>1121</v>
      </c>
      <c r="AT594" t="s">
        <v>329</v>
      </c>
      <c r="AU594">
        <v>212</v>
      </c>
      <c r="AV594">
        <v>0</v>
      </c>
      <c r="AW594" t="s">
        <v>7205</v>
      </c>
      <c r="AX594" t="s">
        <v>7206</v>
      </c>
      <c r="AY594">
        <v>4</v>
      </c>
      <c r="AZ594">
        <v>0</v>
      </c>
      <c r="BA594" t="s">
        <v>329</v>
      </c>
      <c r="BB594" t="s">
        <v>329</v>
      </c>
      <c r="BC594" t="s">
        <v>4770</v>
      </c>
      <c r="BD594">
        <v>10703</v>
      </c>
      <c r="BE594">
        <v>0</v>
      </c>
    </row>
    <row r="595" spans="1:57" x14ac:dyDescent="0.25">
      <c r="A595">
        <v>384</v>
      </c>
      <c r="B595" t="s">
        <v>7207</v>
      </c>
      <c r="C595" s="242" t="s">
        <v>7208</v>
      </c>
      <c r="D595" t="s">
        <v>7208</v>
      </c>
      <c r="E595" t="s">
        <v>329</v>
      </c>
      <c r="F595" t="s">
        <v>329</v>
      </c>
      <c r="G595" t="s">
        <v>7209</v>
      </c>
      <c r="H595" t="s">
        <v>7210</v>
      </c>
      <c r="I595" t="s">
        <v>7211</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7212</v>
      </c>
      <c r="AK595" t="s">
        <v>7213</v>
      </c>
      <c r="AL595">
        <v>13</v>
      </c>
      <c r="AM595" t="s">
        <v>4791</v>
      </c>
      <c r="AN595" t="s">
        <v>389</v>
      </c>
      <c r="AO595" t="s">
        <v>5031</v>
      </c>
      <c r="AP595">
        <v>0</v>
      </c>
      <c r="AQ595" t="s">
        <v>1130</v>
      </c>
      <c r="AR595" t="s">
        <v>1120</v>
      </c>
      <c r="AS595" t="s">
        <v>1131</v>
      </c>
      <c r="AT595" t="s">
        <v>329</v>
      </c>
      <c r="AU595">
        <v>150</v>
      </c>
      <c r="AV595">
        <v>0</v>
      </c>
      <c r="AW595" t="s">
        <v>7205</v>
      </c>
      <c r="AX595" t="s">
        <v>7214</v>
      </c>
      <c r="AY595">
        <v>5</v>
      </c>
      <c r="AZ595">
        <v>0</v>
      </c>
      <c r="BA595" t="s">
        <v>329</v>
      </c>
      <c r="BB595" t="s">
        <v>329</v>
      </c>
      <c r="BC595" t="s">
        <v>329</v>
      </c>
      <c r="BD595">
        <v>10702</v>
      </c>
      <c r="BE595">
        <v>0</v>
      </c>
    </row>
    <row r="596" spans="1:57" x14ac:dyDescent="0.25">
      <c r="A596">
        <v>385</v>
      </c>
      <c r="B596" t="s">
        <v>7215</v>
      </c>
      <c r="C596" s="242" t="s">
        <v>7216</v>
      </c>
      <c r="D596" t="s">
        <v>7216</v>
      </c>
      <c r="E596" t="s">
        <v>329</v>
      </c>
      <c r="F596" t="s">
        <v>329</v>
      </c>
      <c r="G596" t="s">
        <v>7217</v>
      </c>
      <c r="H596" t="s">
        <v>7218</v>
      </c>
      <c r="I596" t="s">
        <v>7219</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7220</v>
      </c>
      <c r="AK596" t="s">
        <v>7221</v>
      </c>
      <c r="AL596">
        <v>12</v>
      </c>
      <c r="AM596" t="s">
        <v>4720</v>
      </c>
      <c r="AN596" t="s">
        <v>5189</v>
      </c>
      <c r="AO596" t="s">
        <v>5091</v>
      </c>
      <c r="AP596">
        <v>0</v>
      </c>
      <c r="AQ596" t="s">
        <v>1131</v>
      </c>
      <c r="AR596" t="s">
        <v>1155</v>
      </c>
      <c r="AS596" t="s">
        <v>1130</v>
      </c>
      <c r="AT596" t="s">
        <v>329</v>
      </c>
      <c r="AU596">
        <v>48</v>
      </c>
      <c r="AV596">
        <v>0</v>
      </c>
      <c r="AW596" t="s">
        <v>7205</v>
      </c>
      <c r="AX596" t="s">
        <v>7222</v>
      </c>
      <c r="AY596">
        <v>5</v>
      </c>
      <c r="AZ596">
        <v>0</v>
      </c>
      <c r="BA596" t="s">
        <v>329</v>
      </c>
      <c r="BB596" t="s">
        <v>329</v>
      </c>
      <c r="BC596" t="s">
        <v>4770</v>
      </c>
      <c r="BD596">
        <v>10402</v>
      </c>
      <c r="BE596">
        <v>0</v>
      </c>
    </row>
    <row r="597" spans="1:57" x14ac:dyDescent="0.25">
      <c r="A597">
        <v>386</v>
      </c>
      <c r="B597" t="s">
        <v>7223</v>
      </c>
      <c r="C597" s="242" t="s">
        <v>7224</v>
      </c>
      <c r="D597" t="s">
        <v>7224</v>
      </c>
      <c r="E597" t="s">
        <v>329</v>
      </c>
      <c r="F597" t="s">
        <v>329</v>
      </c>
      <c r="G597" t="s">
        <v>7225</v>
      </c>
      <c r="H597" t="s">
        <v>7226</v>
      </c>
      <c r="I597" t="s">
        <v>7227</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7228</v>
      </c>
      <c r="AK597" t="s">
        <v>329</v>
      </c>
      <c r="AL597">
        <v>17</v>
      </c>
      <c r="AM597" t="s">
        <v>4859</v>
      </c>
      <c r="AN597" t="s">
        <v>7229</v>
      </c>
      <c r="AO597" t="s">
        <v>5156</v>
      </c>
      <c r="AP597">
        <v>0</v>
      </c>
      <c r="AQ597" t="s">
        <v>7230</v>
      </c>
      <c r="AR597" t="s">
        <v>5959</v>
      </c>
      <c r="AS597" t="s">
        <v>7231</v>
      </c>
      <c r="AT597" t="s">
        <v>329</v>
      </c>
      <c r="AU597">
        <v>238</v>
      </c>
      <c r="AV597">
        <v>0</v>
      </c>
      <c r="AW597" t="s">
        <v>7205</v>
      </c>
      <c r="AX597" t="s">
        <v>7222</v>
      </c>
      <c r="AY597">
        <v>5</v>
      </c>
      <c r="AZ597">
        <v>0</v>
      </c>
      <c r="BA597" t="s">
        <v>329</v>
      </c>
      <c r="BB597" t="s">
        <v>329</v>
      </c>
      <c r="BC597" t="s">
        <v>4721</v>
      </c>
      <c r="BD597">
        <v>10202</v>
      </c>
      <c r="BE597">
        <v>0</v>
      </c>
    </row>
    <row r="598" spans="1:57" x14ac:dyDescent="0.25">
      <c r="A598">
        <v>387</v>
      </c>
      <c r="B598" t="s">
        <v>7232</v>
      </c>
      <c r="C598" s="242" t="s">
        <v>7233</v>
      </c>
      <c r="D598" t="s">
        <v>7233</v>
      </c>
      <c r="E598" t="s">
        <v>329</v>
      </c>
      <c r="F598" t="s">
        <v>329</v>
      </c>
      <c r="G598" t="s">
        <v>7234</v>
      </c>
      <c r="H598" t="s">
        <v>7235</v>
      </c>
      <c r="I598" t="s">
        <v>7236</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7237</v>
      </c>
      <c r="AK598" t="s">
        <v>7238</v>
      </c>
      <c r="AL598">
        <v>7</v>
      </c>
      <c r="AM598" t="s">
        <v>388</v>
      </c>
      <c r="AN598" t="s">
        <v>7239</v>
      </c>
      <c r="AO598" t="s">
        <v>4911</v>
      </c>
      <c r="AP598">
        <v>0</v>
      </c>
      <c r="AQ598" t="s">
        <v>1201</v>
      </c>
      <c r="AR598" t="s">
        <v>1202</v>
      </c>
      <c r="AS598" t="s">
        <v>6973</v>
      </c>
      <c r="AT598" t="s">
        <v>329</v>
      </c>
      <c r="AU598">
        <v>229</v>
      </c>
      <c r="AV598">
        <v>0</v>
      </c>
      <c r="AW598" t="s">
        <v>7205</v>
      </c>
      <c r="AX598" t="s">
        <v>7206</v>
      </c>
      <c r="AY598">
        <v>5</v>
      </c>
      <c r="AZ598">
        <v>0</v>
      </c>
      <c r="BA598" t="s">
        <v>329</v>
      </c>
      <c r="BB598" t="s">
        <v>329</v>
      </c>
      <c r="BC598" t="s">
        <v>4854</v>
      </c>
      <c r="BD598">
        <v>10802</v>
      </c>
      <c r="BE598">
        <v>0</v>
      </c>
    </row>
    <row r="599" spans="1:57" x14ac:dyDescent="0.25">
      <c r="A599">
        <v>9110</v>
      </c>
      <c r="B599" t="s">
        <v>7240</v>
      </c>
      <c r="C599" s="242" t="s">
        <v>6124</v>
      </c>
      <c r="D599" t="s">
        <v>6124</v>
      </c>
      <c r="E599" t="s">
        <v>329</v>
      </c>
      <c r="F599" t="s">
        <v>329</v>
      </c>
      <c r="G599" t="s">
        <v>7241</v>
      </c>
      <c r="H599" t="s">
        <v>7242</v>
      </c>
      <c r="I599" t="s">
        <v>7243</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4791</v>
      </c>
      <c r="AN599" t="s">
        <v>4794</v>
      </c>
      <c r="AO599" t="s">
        <v>4803</v>
      </c>
      <c r="AP599">
        <v>0</v>
      </c>
      <c r="AQ599" t="s">
        <v>1130</v>
      </c>
      <c r="AR599" t="s">
        <v>1120</v>
      </c>
      <c r="AS599" t="s">
        <v>1131</v>
      </c>
      <c r="AT599" t="s">
        <v>329</v>
      </c>
      <c r="AU599">
        <v>20</v>
      </c>
      <c r="AV599">
        <v>0</v>
      </c>
      <c r="AW599" t="s">
        <v>5793</v>
      </c>
      <c r="AX599" t="s">
        <v>1807</v>
      </c>
      <c r="AY599">
        <v>5</v>
      </c>
      <c r="AZ599">
        <v>0</v>
      </c>
      <c r="BA599" t="s">
        <v>329</v>
      </c>
      <c r="BB599" t="s">
        <v>329</v>
      </c>
      <c r="BC599" t="s">
        <v>329</v>
      </c>
      <c r="BD599">
        <v>0</v>
      </c>
      <c r="BE599">
        <v>0</v>
      </c>
    </row>
    <row r="600" spans="1:57" x14ac:dyDescent="0.25">
      <c r="A600">
        <v>9111</v>
      </c>
      <c r="B600" t="s">
        <v>7244</v>
      </c>
      <c r="C600" s="242" t="s">
        <v>7245</v>
      </c>
      <c r="D600" t="s">
        <v>7246</v>
      </c>
      <c r="E600" t="s">
        <v>329</v>
      </c>
      <c r="F600" t="s">
        <v>329</v>
      </c>
      <c r="G600" t="s">
        <v>7247</v>
      </c>
      <c r="H600" t="s">
        <v>7248</v>
      </c>
      <c r="I600" t="s">
        <v>7249</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4791</v>
      </c>
      <c r="AN600" t="s">
        <v>4794</v>
      </c>
      <c r="AO600" t="s">
        <v>4803</v>
      </c>
      <c r="AP600">
        <v>0</v>
      </c>
      <c r="AQ600" t="s">
        <v>1130</v>
      </c>
      <c r="AR600" t="s">
        <v>1120</v>
      </c>
      <c r="AS600" t="s">
        <v>1131</v>
      </c>
      <c r="AT600" t="s">
        <v>329</v>
      </c>
      <c r="AU600">
        <v>20</v>
      </c>
      <c r="AV600">
        <v>0</v>
      </c>
      <c r="AW600" t="s">
        <v>5793</v>
      </c>
      <c r="AX600" t="s">
        <v>1807</v>
      </c>
      <c r="AY600">
        <v>5</v>
      </c>
      <c r="AZ600">
        <v>0</v>
      </c>
      <c r="BA600" t="s">
        <v>329</v>
      </c>
      <c r="BB600" t="s">
        <v>329</v>
      </c>
      <c r="BC600" t="s">
        <v>329</v>
      </c>
      <c r="BD600">
        <v>0</v>
      </c>
      <c r="BE600">
        <v>0</v>
      </c>
    </row>
    <row r="601" spans="1:57" x14ac:dyDescent="0.25">
      <c r="A601">
        <v>9112</v>
      </c>
      <c r="B601" t="s">
        <v>7250</v>
      </c>
      <c r="C601" s="242" t="s">
        <v>7251</v>
      </c>
      <c r="D601" t="s">
        <v>7252</v>
      </c>
      <c r="E601" t="s">
        <v>329</v>
      </c>
      <c r="F601" t="s">
        <v>329</v>
      </c>
      <c r="G601" t="s">
        <v>7253</v>
      </c>
      <c r="H601" t="s">
        <v>7254</v>
      </c>
      <c r="I601" t="s">
        <v>7255</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4791</v>
      </c>
      <c r="AN601" t="s">
        <v>4794</v>
      </c>
      <c r="AO601" t="s">
        <v>4803</v>
      </c>
      <c r="AP601">
        <v>0</v>
      </c>
      <c r="AQ601" t="s">
        <v>1130</v>
      </c>
      <c r="AR601" t="s">
        <v>1120</v>
      </c>
      <c r="AS601" t="s">
        <v>1131</v>
      </c>
      <c r="AT601" t="s">
        <v>329</v>
      </c>
      <c r="AU601">
        <v>20</v>
      </c>
      <c r="AV601">
        <v>0</v>
      </c>
      <c r="AW601" t="s">
        <v>5793</v>
      </c>
      <c r="AX601" t="s">
        <v>1807</v>
      </c>
      <c r="AY601">
        <v>5</v>
      </c>
      <c r="AZ601">
        <v>0</v>
      </c>
      <c r="BA601" t="s">
        <v>329</v>
      </c>
      <c r="BB601" t="s">
        <v>329</v>
      </c>
      <c r="BC601" t="s">
        <v>329</v>
      </c>
      <c r="BD601">
        <v>0</v>
      </c>
      <c r="BE601">
        <v>0</v>
      </c>
    </row>
    <row r="602" spans="1:57" x14ac:dyDescent="0.25">
      <c r="A602">
        <v>9113</v>
      </c>
      <c r="B602" t="s">
        <v>7256</v>
      </c>
      <c r="C602" s="242" t="s">
        <v>7257</v>
      </c>
      <c r="D602" t="s">
        <v>7258</v>
      </c>
      <c r="E602" t="s">
        <v>329</v>
      </c>
      <c r="F602" t="s">
        <v>329</v>
      </c>
      <c r="G602" t="s">
        <v>7259</v>
      </c>
      <c r="H602" t="s">
        <v>7260</v>
      </c>
      <c r="I602" t="s">
        <v>7261</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4791</v>
      </c>
      <c r="AN602" t="s">
        <v>4794</v>
      </c>
      <c r="AO602" t="s">
        <v>4803</v>
      </c>
      <c r="AP602">
        <v>0</v>
      </c>
      <c r="AQ602" t="s">
        <v>1130</v>
      </c>
      <c r="AR602" t="s">
        <v>1120</v>
      </c>
      <c r="AS602" t="s">
        <v>1131</v>
      </c>
      <c r="AT602" t="s">
        <v>329</v>
      </c>
      <c r="AU602">
        <v>20</v>
      </c>
      <c r="AV602">
        <v>0</v>
      </c>
      <c r="AW602" t="s">
        <v>5793</v>
      </c>
      <c r="AX602" t="s">
        <v>1807</v>
      </c>
      <c r="AY602">
        <v>5</v>
      </c>
      <c r="AZ602">
        <v>0</v>
      </c>
      <c r="BA602" t="s">
        <v>329</v>
      </c>
      <c r="BB602" t="s">
        <v>329</v>
      </c>
      <c r="BC602" t="s">
        <v>329</v>
      </c>
      <c r="BD602">
        <v>0</v>
      </c>
      <c r="BE602">
        <v>0</v>
      </c>
    </row>
    <row r="603" spans="1:57" x14ac:dyDescent="0.25">
      <c r="A603">
        <v>9114</v>
      </c>
      <c r="B603" t="s">
        <v>7262</v>
      </c>
      <c r="C603" s="242" t="s">
        <v>7263</v>
      </c>
      <c r="D603" t="s">
        <v>7264</v>
      </c>
      <c r="E603" t="s">
        <v>329</v>
      </c>
      <c r="F603" t="s">
        <v>329</v>
      </c>
      <c r="G603" t="s">
        <v>7265</v>
      </c>
      <c r="H603" t="s">
        <v>7266</v>
      </c>
      <c r="I603" t="s">
        <v>7267</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4791</v>
      </c>
      <c r="AN603" t="s">
        <v>4794</v>
      </c>
      <c r="AO603" t="s">
        <v>4803</v>
      </c>
      <c r="AP603">
        <v>0</v>
      </c>
      <c r="AQ603" t="s">
        <v>1130</v>
      </c>
      <c r="AR603" t="s">
        <v>1120</v>
      </c>
      <c r="AS603" t="s">
        <v>1131</v>
      </c>
      <c r="AT603" t="s">
        <v>329</v>
      </c>
      <c r="AU603">
        <v>20</v>
      </c>
      <c r="AV603">
        <v>0</v>
      </c>
      <c r="AW603" t="s">
        <v>5793</v>
      </c>
      <c r="AX603" t="s">
        <v>1807</v>
      </c>
      <c r="AY603">
        <v>5</v>
      </c>
      <c r="AZ603">
        <v>0</v>
      </c>
      <c r="BA603" t="s">
        <v>329</v>
      </c>
      <c r="BB603" t="s">
        <v>329</v>
      </c>
      <c r="BC603" t="s">
        <v>329</v>
      </c>
      <c r="BD603">
        <v>0</v>
      </c>
      <c r="BE603">
        <v>0</v>
      </c>
    </row>
    <row r="604" spans="1:57" x14ac:dyDescent="0.25">
      <c r="A604">
        <v>9115</v>
      </c>
      <c r="B604" t="s">
        <v>7268</v>
      </c>
      <c r="C604" s="242" t="s">
        <v>7269</v>
      </c>
      <c r="D604" t="s">
        <v>7270</v>
      </c>
      <c r="E604" t="s">
        <v>329</v>
      </c>
      <c r="F604" t="s">
        <v>329</v>
      </c>
      <c r="G604" t="s">
        <v>7271</v>
      </c>
      <c r="H604" t="s">
        <v>7272</v>
      </c>
      <c r="I604" t="s">
        <v>7273</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4791</v>
      </c>
      <c r="AN604" t="s">
        <v>4794</v>
      </c>
      <c r="AO604" t="s">
        <v>4803</v>
      </c>
      <c r="AP604">
        <v>0</v>
      </c>
      <c r="AQ604" t="s">
        <v>1130</v>
      </c>
      <c r="AR604" t="s">
        <v>1120</v>
      </c>
      <c r="AS604" t="s">
        <v>1131</v>
      </c>
      <c r="AT604" t="s">
        <v>329</v>
      </c>
      <c r="AU604">
        <v>20</v>
      </c>
      <c r="AV604">
        <v>0</v>
      </c>
      <c r="AW604" t="s">
        <v>5793</v>
      </c>
      <c r="AX604" t="s">
        <v>1807</v>
      </c>
      <c r="AY604">
        <v>5</v>
      </c>
      <c r="AZ604">
        <v>0</v>
      </c>
      <c r="BA604" t="s">
        <v>329</v>
      </c>
      <c r="BB604" t="s">
        <v>329</v>
      </c>
      <c r="BC604" t="s">
        <v>329</v>
      </c>
      <c r="BD604">
        <v>0</v>
      </c>
      <c r="BE604">
        <v>0</v>
      </c>
    </row>
    <row r="605" spans="1:57" x14ac:dyDescent="0.25">
      <c r="A605">
        <v>9116</v>
      </c>
      <c r="B605" t="s">
        <v>7274</v>
      </c>
      <c r="C605" s="242" t="s">
        <v>7275</v>
      </c>
      <c r="D605" t="s">
        <v>7276</v>
      </c>
      <c r="E605" t="s">
        <v>329</v>
      </c>
      <c r="F605" t="s">
        <v>329</v>
      </c>
      <c r="G605" t="s">
        <v>7277</v>
      </c>
      <c r="H605" t="s">
        <v>7278</v>
      </c>
      <c r="I605" t="s">
        <v>7279</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4791</v>
      </c>
      <c r="AN605" t="s">
        <v>4794</v>
      </c>
      <c r="AO605" t="s">
        <v>4803</v>
      </c>
      <c r="AP605">
        <v>0</v>
      </c>
      <c r="AQ605" t="s">
        <v>1130</v>
      </c>
      <c r="AR605" t="s">
        <v>1120</v>
      </c>
      <c r="AS605" t="s">
        <v>1131</v>
      </c>
      <c r="AT605" t="s">
        <v>329</v>
      </c>
      <c r="AU605">
        <v>20</v>
      </c>
      <c r="AV605">
        <v>0</v>
      </c>
      <c r="AW605" t="s">
        <v>5793</v>
      </c>
      <c r="AX605" t="s">
        <v>1807</v>
      </c>
      <c r="AY605">
        <v>5</v>
      </c>
      <c r="AZ605">
        <v>0</v>
      </c>
      <c r="BA605" t="s">
        <v>329</v>
      </c>
      <c r="BB605" t="s">
        <v>329</v>
      </c>
      <c r="BC605" t="s">
        <v>329</v>
      </c>
      <c r="BD605">
        <v>0</v>
      </c>
      <c r="BE605">
        <v>0</v>
      </c>
    </row>
    <row r="606" spans="1:57" x14ac:dyDescent="0.25">
      <c r="A606">
        <v>9117</v>
      </c>
      <c r="B606" t="s">
        <v>7280</v>
      </c>
      <c r="C606" s="242" t="s">
        <v>7281</v>
      </c>
      <c r="D606" t="s">
        <v>7281</v>
      </c>
      <c r="E606" t="s">
        <v>329</v>
      </c>
      <c r="F606" t="s">
        <v>329</v>
      </c>
      <c r="G606" t="s">
        <v>7282</v>
      </c>
      <c r="H606" t="s">
        <v>7283</v>
      </c>
      <c r="I606" t="s">
        <v>7284</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4791</v>
      </c>
      <c r="AN606" t="s">
        <v>4794</v>
      </c>
      <c r="AO606" t="s">
        <v>4803</v>
      </c>
      <c r="AP606">
        <v>0</v>
      </c>
      <c r="AQ606" t="s">
        <v>1130</v>
      </c>
      <c r="AR606" t="s">
        <v>1120</v>
      </c>
      <c r="AS606" t="s">
        <v>1131</v>
      </c>
      <c r="AT606" t="s">
        <v>329</v>
      </c>
      <c r="AU606">
        <v>20</v>
      </c>
      <c r="AV606">
        <v>0</v>
      </c>
      <c r="AW606" t="s">
        <v>5793</v>
      </c>
      <c r="AX606" t="s">
        <v>1807</v>
      </c>
      <c r="AY606">
        <v>5</v>
      </c>
      <c r="AZ606">
        <v>0</v>
      </c>
      <c r="BA606" t="s">
        <v>329</v>
      </c>
      <c r="BB606" t="s">
        <v>329</v>
      </c>
      <c r="BC606" t="s">
        <v>329</v>
      </c>
      <c r="BD606">
        <v>0</v>
      </c>
      <c r="BE606">
        <v>0</v>
      </c>
    </row>
    <row r="607" spans="1:57" x14ac:dyDescent="0.25">
      <c r="A607">
        <v>388</v>
      </c>
      <c r="B607" t="s">
        <v>8002</v>
      </c>
      <c r="C607" s="242" t="s">
        <v>8003</v>
      </c>
      <c r="D607" t="s">
        <v>8003</v>
      </c>
      <c r="E607" t="s">
        <v>329</v>
      </c>
      <c r="F607" t="s">
        <v>329</v>
      </c>
      <c r="G607" t="s">
        <v>8004</v>
      </c>
      <c r="H607" t="s">
        <v>8005</v>
      </c>
      <c r="I607" t="s">
        <v>8006</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8007</v>
      </c>
      <c r="AK607" t="s">
        <v>8008</v>
      </c>
      <c r="AL607">
        <v>13</v>
      </c>
      <c r="AM607" t="s">
        <v>1807</v>
      </c>
      <c r="AN607" t="s">
        <v>8009</v>
      </c>
      <c r="AO607" t="s">
        <v>8010</v>
      </c>
      <c r="AP607">
        <v>0</v>
      </c>
      <c r="AQ607" t="s">
        <v>1193</v>
      </c>
      <c r="AR607" t="s">
        <v>1142</v>
      </c>
      <c r="AS607" t="s">
        <v>1143</v>
      </c>
      <c r="AT607" t="s">
        <v>329</v>
      </c>
      <c r="AU607">
        <v>241</v>
      </c>
      <c r="AV607">
        <v>0</v>
      </c>
      <c r="AW607" t="s">
        <v>8011</v>
      </c>
      <c r="AX607" t="s">
        <v>332</v>
      </c>
      <c r="AY607">
        <v>5</v>
      </c>
      <c r="AZ607">
        <v>0</v>
      </c>
      <c r="BA607" t="s">
        <v>329</v>
      </c>
      <c r="BB607" t="s">
        <v>329</v>
      </c>
      <c r="BC607" t="s">
        <v>4784</v>
      </c>
      <c r="BD607">
        <v>10201</v>
      </c>
      <c r="BE607">
        <v>0</v>
      </c>
    </row>
    <row r="608" spans="1:57" x14ac:dyDescent="0.25">
      <c r="A608">
        <v>389</v>
      </c>
      <c r="B608" t="s">
        <v>8012</v>
      </c>
      <c r="C608" s="242" t="s">
        <v>8013</v>
      </c>
      <c r="D608" t="s">
        <v>8014</v>
      </c>
      <c r="E608" t="s">
        <v>329</v>
      </c>
      <c r="F608" t="s">
        <v>329</v>
      </c>
      <c r="G608" t="s">
        <v>8015</v>
      </c>
      <c r="H608" t="s">
        <v>8016</v>
      </c>
      <c r="I608" t="s">
        <v>8017</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8018</v>
      </c>
      <c r="AK608" t="s">
        <v>8019</v>
      </c>
      <c r="AL608">
        <v>14</v>
      </c>
      <c r="AM608" t="s">
        <v>4763</v>
      </c>
      <c r="AN608" t="s">
        <v>8020</v>
      </c>
      <c r="AO608" t="s">
        <v>4846</v>
      </c>
      <c r="AP608">
        <v>0</v>
      </c>
      <c r="AQ608" t="s">
        <v>1141</v>
      </c>
      <c r="AR608" t="s">
        <v>1142</v>
      </c>
      <c r="AS608" t="s">
        <v>1143</v>
      </c>
      <c r="AT608" t="s">
        <v>329</v>
      </c>
      <c r="AU608">
        <v>241</v>
      </c>
      <c r="AV608">
        <v>0</v>
      </c>
      <c r="AW608" t="s">
        <v>8011</v>
      </c>
      <c r="AX608" t="s">
        <v>332</v>
      </c>
      <c r="AY608">
        <v>5</v>
      </c>
      <c r="AZ608">
        <v>0</v>
      </c>
      <c r="BA608" t="s">
        <v>329</v>
      </c>
      <c r="BB608" t="s">
        <v>329</v>
      </c>
      <c r="BC608" t="s">
        <v>329</v>
      </c>
      <c r="BD608">
        <v>10202</v>
      </c>
      <c r="BE608">
        <v>0</v>
      </c>
    </row>
    <row r="609" spans="1:57" x14ac:dyDescent="0.25">
      <c r="A609">
        <v>390</v>
      </c>
      <c r="B609" t="s">
        <v>8021</v>
      </c>
      <c r="C609" s="242" t="s">
        <v>8022</v>
      </c>
      <c r="D609" t="s">
        <v>8022</v>
      </c>
      <c r="E609" t="s">
        <v>329</v>
      </c>
      <c r="F609" t="s">
        <v>329</v>
      </c>
      <c r="G609" t="s">
        <v>8023</v>
      </c>
      <c r="H609" t="s">
        <v>8024</v>
      </c>
      <c r="I609" t="s">
        <v>8025</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8026</v>
      </c>
      <c r="AK609" t="s">
        <v>8027</v>
      </c>
      <c r="AL609">
        <v>13</v>
      </c>
      <c r="AM609" t="s">
        <v>4720</v>
      </c>
      <c r="AN609" t="s">
        <v>4865</v>
      </c>
      <c r="AO609" t="s">
        <v>5713</v>
      </c>
      <c r="AP609">
        <v>0</v>
      </c>
      <c r="AQ609" t="s">
        <v>1131</v>
      </c>
      <c r="AR609" t="s">
        <v>1155</v>
      </c>
      <c r="AS609" t="s">
        <v>1130</v>
      </c>
      <c r="AT609" t="s">
        <v>329</v>
      </c>
      <c r="AU609">
        <v>48</v>
      </c>
      <c r="AV609">
        <v>0</v>
      </c>
      <c r="AW609" t="s">
        <v>8011</v>
      </c>
      <c r="AX609" t="s">
        <v>332</v>
      </c>
      <c r="AY609">
        <v>5</v>
      </c>
      <c r="AZ609">
        <v>0</v>
      </c>
      <c r="BA609" t="s">
        <v>329</v>
      </c>
      <c r="BB609" t="s">
        <v>329</v>
      </c>
      <c r="BC609" t="s">
        <v>4770</v>
      </c>
      <c r="BD609">
        <v>10301</v>
      </c>
      <c r="BE609">
        <v>0</v>
      </c>
    </row>
    <row r="610" spans="1:57" x14ac:dyDescent="0.25">
      <c r="A610">
        <v>391</v>
      </c>
      <c r="B610" t="s">
        <v>8071</v>
      </c>
      <c r="C610" s="242" t="s">
        <v>8102</v>
      </c>
      <c r="D610" t="s">
        <v>8072</v>
      </c>
      <c r="E610" t="s">
        <v>329</v>
      </c>
      <c r="F610" t="s">
        <v>329</v>
      </c>
      <c r="G610" t="s">
        <v>8073</v>
      </c>
      <c r="H610" t="s">
        <v>8074</v>
      </c>
      <c r="I610" t="s">
        <v>8075</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8076</v>
      </c>
      <c r="AK610" t="s">
        <v>8077</v>
      </c>
      <c r="AL610">
        <v>7</v>
      </c>
      <c r="AM610" t="s">
        <v>399</v>
      </c>
      <c r="AN610" t="s">
        <v>8078</v>
      </c>
      <c r="AO610" t="s">
        <v>8079</v>
      </c>
      <c r="AP610">
        <v>0</v>
      </c>
      <c r="AQ610" t="s">
        <v>1130</v>
      </c>
      <c r="AR610" t="s">
        <v>1120</v>
      </c>
      <c r="AS610" t="s">
        <v>1131</v>
      </c>
      <c r="AT610" t="s">
        <v>329</v>
      </c>
      <c r="AU610">
        <v>150</v>
      </c>
      <c r="AV610">
        <v>0</v>
      </c>
      <c r="AW610" t="s">
        <v>8080</v>
      </c>
      <c r="AX610" t="s">
        <v>332</v>
      </c>
      <c r="AY610">
        <v>5</v>
      </c>
      <c r="AZ610">
        <v>0</v>
      </c>
      <c r="BA610" t="s">
        <v>329</v>
      </c>
      <c r="BB610" t="s">
        <v>329</v>
      </c>
      <c r="BC610" t="s">
        <v>4784</v>
      </c>
      <c r="BD610">
        <v>10802</v>
      </c>
      <c r="BE610">
        <v>0</v>
      </c>
    </row>
    <row r="611" spans="1:57" x14ac:dyDescent="0.25">
      <c r="A611">
        <v>392</v>
      </c>
      <c r="B611" t="s">
        <v>8081</v>
      </c>
      <c r="C611" s="242" t="s">
        <v>8082</v>
      </c>
      <c r="D611" t="s">
        <v>8082</v>
      </c>
      <c r="E611" t="s">
        <v>329</v>
      </c>
      <c r="F611" t="s">
        <v>329</v>
      </c>
      <c r="G611" t="s">
        <v>8083</v>
      </c>
      <c r="H611" t="s">
        <v>8084</v>
      </c>
      <c r="I611" t="s">
        <v>8085</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8086</v>
      </c>
      <c r="AK611" t="s">
        <v>8087</v>
      </c>
      <c r="AL611">
        <v>14</v>
      </c>
      <c r="AM611" t="s">
        <v>4791</v>
      </c>
      <c r="AN611" t="s">
        <v>403</v>
      </c>
      <c r="AO611" t="s">
        <v>5145</v>
      </c>
      <c r="AP611">
        <v>0</v>
      </c>
      <c r="AQ611" t="s">
        <v>1130</v>
      </c>
      <c r="AR611" t="s">
        <v>1120</v>
      </c>
      <c r="AS611" t="s">
        <v>1131</v>
      </c>
      <c r="AT611" t="s">
        <v>329</v>
      </c>
      <c r="AU611">
        <v>150</v>
      </c>
      <c r="AV611">
        <v>0</v>
      </c>
      <c r="AW611" t="s">
        <v>8080</v>
      </c>
      <c r="AX611" t="s">
        <v>332</v>
      </c>
      <c r="AY611">
        <v>4</v>
      </c>
      <c r="AZ611">
        <v>0</v>
      </c>
      <c r="BA611" t="s">
        <v>329</v>
      </c>
      <c r="BB611" t="s">
        <v>329</v>
      </c>
      <c r="BC611" t="s">
        <v>329</v>
      </c>
      <c r="BD611">
        <v>10402</v>
      </c>
      <c r="BE611">
        <v>0</v>
      </c>
    </row>
    <row r="612" spans="1:57" x14ac:dyDescent="0.25">
      <c r="A612">
        <v>393</v>
      </c>
      <c r="B612" t="s">
        <v>8088</v>
      </c>
      <c r="C612" s="242" t="s">
        <v>8089</v>
      </c>
      <c r="D612" t="s">
        <v>8089</v>
      </c>
      <c r="E612" t="s">
        <v>329</v>
      </c>
      <c r="F612" t="s">
        <v>329</v>
      </c>
      <c r="G612" t="s">
        <v>8090</v>
      </c>
      <c r="H612" t="s">
        <v>8091</v>
      </c>
      <c r="I612" t="s">
        <v>8092</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8093</v>
      </c>
      <c r="AK612" t="s">
        <v>8094</v>
      </c>
      <c r="AL612">
        <v>13</v>
      </c>
      <c r="AM612" t="s">
        <v>4720</v>
      </c>
      <c r="AN612" t="s">
        <v>4885</v>
      </c>
      <c r="AO612" t="s">
        <v>6405</v>
      </c>
      <c r="AP612">
        <v>0</v>
      </c>
      <c r="AQ612" t="s">
        <v>1131</v>
      </c>
      <c r="AR612" t="s">
        <v>1155</v>
      </c>
      <c r="AS612" t="s">
        <v>1130</v>
      </c>
      <c r="AT612" t="s">
        <v>329</v>
      </c>
      <c r="AU612">
        <v>48</v>
      </c>
      <c r="AV612">
        <v>0</v>
      </c>
      <c r="AW612" t="s">
        <v>8080</v>
      </c>
      <c r="AX612" t="s">
        <v>332</v>
      </c>
      <c r="AY612">
        <v>5</v>
      </c>
      <c r="AZ612">
        <v>0</v>
      </c>
      <c r="BA612" t="s">
        <v>329</v>
      </c>
      <c r="BB612" t="s">
        <v>329</v>
      </c>
      <c r="BC612" t="s">
        <v>4721</v>
      </c>
      <c r="BD612">
        <v>10402</v>
      </c>
      <c r="BE612">
        <v>0</v>
      </c>
    </row>
    <row r="613" spans="1:57" x14ac:dyDescent="0.25">
      <c r="A613">
        <v>394</v>
      </c>
      <c r="B613" t="s">
        <v>8095</v>
      </c>
      <c r="C613" s="242" t="s">
        <v>8096</v>
      </c>
      <c r="D613" t="s">
        <v>8096</v>
      </c>
      <c r="E613" t="s">
        <v>329</v>
      </c>
      <c r="F613" t="s">
        <v>329</v>
      </c>
      <c r="G613" t="s">
        <v>8097</v>
      </c>
      <c r="H613" t="s">
        <v>8098</v>
      </c>
      <c r="I613" t="s">
        <v>8099</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8100</v>
      </c>
      <c r="AO613" t="s">
        <v>8101</v>
      </c>
      <c r="AP613">
        <v>0</v>
      </c>
      <c r="AQ613" t="s">
        <v>1131</v>
      </c>
      <c r="AR613" t="s">
        <v>1155</v>
      </c>
      <c r="AS613" t="s">
        <v>1130</v>
      </c>
      <c r="AT613" t="s">
        <v>329</v>
      </c>
      <c r="AU613">
        <v>48</v>
      </c>
      <c r="AV613">
        <v>0</v>
      </c>
      <c r="AW613" t="s">
        <v>8080</v>
      </c>
      <c r="AX613" t="s">
        <v>332</v>
      </c>
      <c r="AY613">
        <v>4</v>
      </c>
      <c r="AZ613">
        <v>0</v>
      </c>
      <c r="BA613" t="s">
        <v>329</v>
      </c>
      <c r="BB613" t="s">
        <v>329</v>
      </c>
      <c r="BC613" t="s">
        <v>4721</v>
      </c>
      <c r="BD613">
        <v>10303</v>
      </c>
      <c r="BE613">
        <v>0</v>
      </c>
    </row>
    <row r="614" spans="1:57" x14ac:dyDescent="0.25">
      <c r="A614">
        <v>395</v>
      </c>
      <c r="B614" t="s">
        <v>8663</v>
      </c>
      <c r="C614" s="242" t="s">
        <v>8664</v>
      </c>
      <c r="D614" t="s">
        <v>8664</v>
      </c>
      <c r="E614" t="s">
        <v>329</v>
      </c>
      <c r="F614" t="s">
        <v>329</v>
      </c>
      <c r="G614" t="s">
        <v>8665</v>
      </c>
      <c r="H614" t="s">
        <v>8666</v>
      </c>
      <c r="I614" t="s">
        <v>8667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8668</v>
      </c>
      <c r="AK614" t="s">
        <v>329</v>
      </c>
      <c r="AL614">
        <v>18</v>
      </c>
      <c r="AM614" t="s">
        <v>4859</v>
      </c>
      <c r="AN614" t="s">
        <v>4985</v>
      </c>
      <c r="AO614" t="s">
        <v>5206</v>
      </c>
      <c r="AP614">
        <v>0</v>
      </c>
      <c r="AQ614" t="s">
        <v>1168</v>
      </c>
      <c r="AR614" t="s">
        <v>1169</v>
      </c>
      <c r="AS614" t="s">
        <v>6972</v>
      </c>
      <c r="AT614" t="s">
        <v>329</v>
      </c>
      <c r="AU614">
        <v>238</v>
      </c>
      <c r="AV614">
        <v>0</v>
      </c>
      <c r="AW614" t="s">
        <v>8669</v>
      </c>
      <c r="AX614" t="s">
        <v>332</v>
      </c>
      <c r="AY614">
        <v>5</v>
      </c>
      <c r="AZ614">
        <v>0</v>
      </c>
      <c r="BA614" t="s">
        <v>329</v>
      </c>
      <c r="BB614" t="s">
        <v>329</v>
      </c>
      <c r="BC614" t="s">
        <v>329</v>
      </c>
      <c r="BD614">
        <v>10403</v>
      </c>
      <c r="BE614">
        <v>0</v>
      </c>
    </row>
    <row r="615" spans="1:57" x14ac:dyDescent="0.25">
      <c r="A615">
        <v>396</v>
      </c>
      <c r="B615" t="s">
        <v>8670</v>
      </c>
      <c r="C615" s="242" t="s">
        <v>8671</v>
      </c>
      <c r="D615" t="s">
        <v>8671</v>
      </c>
      <c r="E615" t="s">
        <v>329</v>
      </c>
      <c r="F615" t="s">
        <v>329</v>
      </c>
      <c r="G615" t="s">
        <v>8672</v>
      </c>
      <c r="H615" t="s">
        <v>8673</v>
      </c>
      <c r="I615" t="s">
        <v>8674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8675</v>
      </c>
      <c r="AK615" t="s">
        <v>8676</v>
      </c>
      <c r="AL615">
        <v>18</v>
      </c>
      <c r="AM615" t="s">
        <v>4859</v>
      </c>
      <c r="AN615" t="s">
        <v>8677</v>
      </c>
      <c r="AO615" t="s">
        <v>5115</v>
      </c>
      <c r="AP615">
        <v>0</v>
      </c>
      <c r="AQ615" t="s">
        <v>1168</v>
      </c>
      <c r="AR615" t="s">
        <v>1169</v>
      </c>
      <c r="AS615" t="s">
        <v>6972</v>
      </c>
      <c r="AT615" t="s">
        <v>329</v>
      </c>
      <c r="AU615">
        <v>238</v>
      </c>
      <c r="AV615">
        <v>0</v>
      </c>
      <c r="AW615" t="s">
        <v>8669</v>
      </c>
      <c r="AX615" t="s">
        <v>332</v>
      </c>
      <c r="AY615">
        <v>4</v>
      </c>
      <c r="AZ615">
        <v>0</v>
      </c>
      <c r="BA615" t="s">
        <v>329</v>
      </c>
      <c r="BB615" t="s">
        <v>329</v>
      </c>
      <c r="BC615" t="s">
        <v>4770</v>
      </c>
      <c r="BD615">
        <v>10402</v>
      </c>
      <c r="BE615">
        <v>0</v>
      </c>
    </row>
    <row r="616" spans="1:57" x14ac:dyDescent="0.25">
      <c r="A616">
        <v>397</v>
      </c>
      <c r="B616" t="s">
        <v>8678</v>
      </c>
      <c r="C616" s="242" t="s">
        <v>8679</v>
      </c>
      <c r="D616" t="s">
        <v>8679</v>
      </c>
      <c r="E616" t="s">
        <v>329</v>
      </c>
      <c r="F616" t="s">
        <v>329</v>
      </c>
      <c r="G616" t="s">
        <v>8680</v>
      </c>
      <c r="H616" t="s">
        <v>8681</v>
      </c>
      <c r="I616" t="s">
        <v>8682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8683</v>
      </c>
      <c r="AK616" t="s">
        <v>329</v>
      </c>
      <c r="AL616">
        <v>8</v>
      </c>
      <c r="AM616" t="s">
        <v>4717</v>
      </c>
      <c r="AN616" t="s">
        <v>4729</v>
      </c>
      <c r="AO616" t="s">
        <v>4943</v>
      </c>
      <c r="AP616">
        <v>0</v>
      </c>
      <c r="AQ616" t="s">
        <v>1201</v>
      </c>
      <c r="AR616" t="s">
        <v>1202</v>
      </c>
      <c r="AS616" t="s">
        <v>6973</v>
      </c>
      <c r="AT616" t="s">
        <v>329</v>
      </c>
      <c r="AU616">
        <v>164</v>
      </c>
      <c r="AV616">
        <v>0</v>
      </c>
      <c r="AW616" t="s">
        <v>8669</v>
      </c>
      <c r="AX616" t="s">
        <v>4720</v>
      </c>
      <c r="AY616">
        <v>5</v>
      </c>
      <c r="AZ616">
        <v>0</v>
      </c>
      <c r="BA616" t="s">
        <v>329</v>
      </c>
      <c r="BB616" t="s">
        <v>329</v>
      </c>
      <c r="BC616" t="s">
        <v>4721</v>
      </c>
      <c r="BD616">
        <v>10202</v>
      </c>
      <c r="BE616">
        <v>0</v>
      </c>
    </row>
    <row r="617" spans="1:57" x14ac:dyDescent="0.25">
      <c r="A617">
        <v>398</v>
      </c>
      <c r="B617" t="s">
        <v>8684</v>
      </c>
      <c r="C617" s="242" t="s">
        <v>8685</v>
      </c>
      <c r="D617" t="s">
        <v>8685</v>
      </c>
      <c r="E617" t="s">
        <v>329</v>
      </c>
      <c r="F617" t="s">
        <v>329</v>
      </c>
      <c r="G617" t="s">
        <v>8686</v>
      </c>
      <c r="H617" t="s">
        <v>8687</v>
      </c>
      <c r="I617" t="s">
        <v>8688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8689</v>
      </c>
      <c r="AK617" t="s">
        <v>8690</v>
      </c>
      <c r="AL617">
        <v>8</v>
      </c>
      <c r="AM617" t="s">
        <v>4717</v>
      </c>
      <c r="AN617" t="s">
        <v>8691</v>
      </c>
      <c r="AO617" t="s">
        <v>5191</v>
      </c>
      <c r="AP617">
        <v>0</v>
      </c>
      <c r="AQ617" t="s">
        <v>1201</v>
      </c>
      <c r="AR617" t="s">
        <v>1202</v>
      </c>
      <c r="AS617" t="s">
        <v>6973</v>
      </c>
      <c r="AT617" t="s">
        <v>329</v>
      </c>
      <c r="AU617">
        <v>164</v>
      </c>
      <c r="AV617">
        <v>0</v>
      </c>
      <c r="AW617" t="s">
        <v>8669</v>
      </c>
      <c r="AX617" t="s">
        <v>4720</v>
      </c>
      <c r="AY617">
        <v>5</v>
      </c>
      <c r="AZ617">
        <v>0</v>
      </c>
      <c r="BA617" t="s">
        <v>329</v>
      </c>
      <c r="BB617" t="s">
        <v>329</v>
      </c>
      <c r="BC617" t="s">
        <v>4721</v>
      </c>
      <c r="BD617">
        <v>10202</v>
      </c>
      <c r="BE617">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1778</v>
      </c>
      <c r="C1" s="40" t="s">
        <v>219</v>
      </c>
      <c r="D1" s="40" t="s">
        <v>322</v>
      </c>
      <c r="E1" s="40" t="s">
        <v>2606</v>
      </c>
      <c r="F1" s="40" t="s">
        <v>2607</v>
      </c>
      <c r="G1" s="40" t="s">
        <v>2608</v>
      </c>
      <c r="H1" s="40" t="s">
        <v>2609</v>
      </c>
      <c r="I1" s="40" t="s">
        <v>4466</v>
      </c>
      <c r="J1" s="40" t="s">
        <v>61</v>
      </c>
      <c r="K1" s="40" t="s">
        <v>966</v>
      </c>
      <c r="L1" s="40" t="s">
        <v>967</v>
      </c>
      <c r="M1" s="40" t="s">
        <v>968</v>
      </c>
      <c r="N1" s="40" t="s">
        <v>969</v>
      </c>
      <c r="O1" s="40" t="s">
        <v>970</v>
      </c>
      <c r="P1" s="40" t="s">
        <v>4467</v>
      </c>
      <c r="Q1" s="40" t="s">
        <v>220</v>
      </c>
      <c r="R1" s="40" t="s">
        <v>41</v>
      </c>
      <c r="S1" s="40" t="s">
        <v>4468</v>
      </c>
      <c r="T1" s="40" t="s">
        <v>42</v>
      </c>
      <c r="U1" s="40" t="s">
        <v>880</v>
      </c>
      <c r="V1" s="40" t="s">
        <v>971</v>
      </c>
      <c r="W1" s="40" t="s">
        <v>4469</v>
      </c>
      <c r="X1" s="40" t="s">
        <v>4470</v>
      </c>
      <c r="Y1" s="40" t="s">
        <v>1115</v>
      </c>
      <c r="Z1" s="40" t="s">
        <v>1114</v>
      </c>
      <c r="AA1" s="40" t="s">
        <v>2610</v>
      </c>
      <c r="AB1" s="40" t="s">
        <v>2611</v>
      </c>
      <c r="AC1" s="40" t="s">
        <v>2612</v>
      </c>
      <c r="AD1" s="40" t="s">
        <v>2613</v>
      </c>
      <c r="AE1" s="40" t="s">
        <v>1697</v>
      </c>
      <c r="AF1" s="40" t="s">
        <v>1108</v>
      </c>
      <c r="AG1" s="40" t="s">
        <v>1109</v>
      </c>
      <c r="AH1" s="40" t="s">
        <v>1110</v>
      </c>
      <c r="AI1" s="40" t="s">
        <v>1111</v>
      </c>
      <c r="AJ1" s="40" t="s">
        <v>1112</v>
      </c>
      <c r="AK1" s="40" t="s">
        <v>221</v>
      </c>
      <c r="AL1" s="40" t="s">
        <v>2619</v>
      </c>
      <c r="AM1" s="40" t="s">
        <v>4471</v>
      </c>
      <c r="AN1" s="40" t="s">
        <v>1113</v>
      </c>
      <c r="AO1" s="10" t="s">
        <v>2618</v>
      </c>
      <c r="AP1" s="10" t="s">
        <v>2620</v>
      </c>
      <c r="AQ1" s="10" t="s">
        <v>4472</v>
      </c>
      <c r="AR1" s="10" t="s">
        <v>4473</v>
      </c>
      <c r="AS1" s="10" t="s">
        <v>2621</v>
      </c>
      <c r="AT1" s="10" t="s">
        <v>4474</v>
      </c>
      <c r="AU1" s="10" t="s">
        <v>2625</v>
      </c>
      <c r="AV1" s="10" t="s">
        <v>4475</v>
      </c>
      <c r="AW1" s="10" t="s">
        <v>4476</v>
      </c>
      <c r="AX1" s="10" t="s">
        <v>4477</v>
      </c>
      <c r="AY1" s="10" t="s">
        <v>4478</v>
      </c>
      <c r="AZ1" s="10" t="s">
        <v>2628</v>
      </c>
      <c r="BA1" s="10" t="s">
        <v>583</v>
      </c>
      <c r="BB1" s="10" t="s">
        <v>2629</v>
      </c>
      <c r="BC1" s="10" t="s">
        <v>2630</v>
      </c>
      <c r="BD1" s="10" t="s">
        <v>4479</v>
      </c>
      <c r="BE1" s="10" t="s">
        <v>4480</v>
      </c>
      <c r="BF1" s="10" t="s">
        <v>4481</v>
      </c>
      <c r="BG1" s="10" t="s">
        <v>4482</v>
      </c>
      <c r="BH1" s="10" t="s">
        <v>2636</v>
      </c>
    </row>
    <row r="2" spans="1:61" x14ac:dyDescent="0.25">
      <c r="A2">
        <v>1012</v>
      </c>
      <c r="B2" t="s">
        <v>4501</v>
      </c>
      <c r="C2" t="s">
        <v>986</v>
      </c>
      <c r="D2" t="s">
        <v>986</v>
      </c>
      <c r="E2" t="s">
        <v>4502</v>
      </c>
      <c r="G2" t="s">
        <v>4486</v>
      </c>
      <c r="H2" t="s">
        <v>4503</v>
      </c>
      <c r="I2">
        <v>1</v>
      </c>
      <c r="J2">
        <v>1</v>
      </c>
      <c r="K2" t="s">
        <v>973</v>
      </c>
      <c r="L2">
        <v>1</v>
      </c>
      <c r="M2">
        <v>112</v>
      </c>
      <c r="N2" t="s">
        <v>974</v>
      </c>
      <c r="O2">
        <v>10</v>
      </c>
      <c r="P2">
        <v>0</v>
      </c>
      <c r="Q2">
        <v>5</v>
      </c>
      <c r="R2">
        <v>902162</v>
      </c>
      <c r="S2">
        <v>2</v>
      </c>
      <c r="T2">
        <v>30010</v>
      </c>
      <c r="U2">
        <v>902165</v>
      </c>
      <c r="V2">
        <v>902166</v>
      </c>
      <c r="W2" t="s">
        <v>4504</v>
      </c>
      <c r="X2" t="s">
        <v>329</v>
      </c>
      <c r="Y2" t="s">
        <v>4505</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4506</v>
      </c>
      <c r="AV2" t="s">
        <v>4492</v>
      </c>
      <c r="AW2" t="s">
        <v>4492</v>
      </c>
      <c r="AX2" t="s">
        <v>4492</v>
      </c>
      <c r="AY2">
        <v>45</v>
      </c>
      <c r="AZ2">
        <v>11002</v>
      </c>
      <c r="BA2">
        <v>1</v>
      </c>
      <c r="BB2" t="s">
        <v>4493</v>
      </c>
      <c r="BC2" t="s">
        <v>1807</v>
      </c>
      <c r="BD2">
        <v>930012</v>
      </c>
      <c r="BE2" t="s">
        <v>4494</v>
      </c>
      <c r="BF2" t="s">
        <v>4495</v>
      </c>
      <c r="BG2">
        <v>100</v>
      </c>
      <c r="BH2">
        <v>10604</v>
      </c>
    </row>
    <row r="3" spans="1:61" x14ac:dyDescent="0.25">
      <c r="A3">
        <v>1008</v>
      </c>
      <c r="B3" t="s">
        <v>4507</v>
      </c>
      <c r="C3" t="s">
        <v>981</v>
      </c>
      <c r="D3" t="s">
        <v>981</v>
      </c>
      <c r="E3" t="s">
        <v>4508</v>
      </c>
      <c r="G3" t="s">
        <v>4486</v>
      </c>
      <c r="H3" t="s">
        <v>4509</v>
      </c>
      <c r="I3">
        <v>1</v>
      </c>
      <c r="J3">
        <v>1</v>
      </c>
      <c r="K3" t="s">
        <v>976</v>
      </c>
      <c r="L3">
        <v>1</v>
      </c>
      <c r="M3">
        <v>108</v>
      </c>
      <c r="N3" t="s">
        <v>974</v>
      </c>
      <c r="O3">
        <v>10</v>
      </c>
      <c r="P3">
        <v>0</v>
      </c>
      <c r="Q3">
        <v>5</v>
      </c>
      <c r="R3">
        <v>900921</v>
      </c>
      <c r="S3">
        <v>1</v>
      </c>
      <c r="T3">
        <v>900922</v>
      </c>
      <c r="U3">
        <v>900923</v>
      </c>
      <c r="V3">
        <v>900928</v>
      </c>
      <c r="W3" t="s">
        <v>4510</v>
      </c>
      <c r="X3" t="s">
        <v>4511</v>
      </c>
      <c r="Y3" t="s">
        <v>4512</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4513</v>
      </c>
      <c r="AV3" t="s">
        <v>4492</v>
      </c>
      <c r="AW3" t="s">
        <v>4492</v>
      </c>
      <c r="AX3" t="s">
        <v>4492</v>
      </c>
      <c r="AY3">
        <v>23</v>
      </c>
      <c r="AZ3">
        <v>11002</v>
      </c>
      <c r="BA3">
        <v>2</v>
      </c>
      <c r="BB3" t="s">
        <v>4493</v>
      </c>
      <c r="BC3" t="s">
        <v>1807</v>
      </c>
      <c r="BD3">
        <v>930008</v>
      </c>
      <c r="BE3" t="s">
        <v>4494</v>
      </c>
      <c r="BF3" t="s">
        <v>4495</v>
      </c>
      <c r="BG3">
        <v>100</v>
      </c>
      <c r="BH3">
        <v>10602</v>
      </c>
    </row>
    <row r="4" spans="1:61" x14ac:dyDescent="0.25">
      <c r="A4">
        <v>1006</v>
      </c>
      <c r="B4" t="s">
        <v>4514</v>
      </c>
      <c r="C4" t="s">
        <v>1696</v>
      </c>
      <c r="D4" t="s">
        <v>4515</v>
      </c>
      <c r="E4" t="s">
        <v>4516</v>
      </c>
      <c r="G4" t="s">
        <v>4486</v>
      </c>
      <c r="H4" t="s">
        <v>4517</v>
      </c>
      <c r="I4">
        <v>1</v>
      </c>
      <c r="J4">
        <v>1</v>
      </c>
      <c r="K4" t="s">
        <v>973</v>
      </c>
      <c r="L4">
        <v>1</v>
      </c>
      <c r="M4">
        <v>106</v>
      </c>
      <c r="N4" t="s">
        <v>974</v>
      </c>
      <c r="O4">
        <v>10</v>
      </c>
      <c r="P4">
        <v>0</v>
      </c>
      <c r="Q4">
        <v>5</v>
      </c>
      <c r="R4">
        <v>900783</v>
      </c>
      <c r="S4">
        <v>3</v>
      </c>
      <c r="T4">
        <v>1011</v>
      </c>
      <c r="U4">
        <v>900785</v>
      </c>
      <c r="V4">
        <v>900786</v>
      </c>
      <c r="W4" t="s">
        <v>4518</v>
      </c>
      <c r="X4" t="s">
        <v>4519</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4520</v>
      </c>
      <c r="AV4" t="s">
        <v>4492</v>
      </c>
      <c r="AW4" t="s">
        <v>4492</v>
      </c>
      <c r="AX4" t="s">
        <v>4492</v>
      </c>
      <c r="AY4">
        <v>27</v>
      </c>
      <c r="AZ4">
        <v>11002</v>
      </c>
      <c r="BA4">
        <v>1</v>
      </c>
      <c r="BB4" t="s">
        <v>4493</v>
      </c>
      <c r="BC4" t="s">
        <v>1807</v>
      </c>
      <c r="BD4">
        <v>930006</v>
      </c>
      <c r="BE4" t="s">
        <v>4494</v>
      </c>
      <c r="BF4" t="s">
        <v>4495</v>
      </c>
      <c r="BG4">
        <v>100</v>
      </c>
      <c r="BH4">
        <v>10603</v>
      </c>
    </row>
    <row r="5" spans="1:61" x14ac:dyDescent="0.25">
      <c r="A5">
        <v>1015</v>
      </c>
      <c r="B5" t="s">
        <v>4521</v>
      </c>
      <c r="C5" t="s">
        <v>1698</v>
      </c>
      <c r="D5" t="s">
        <v>4522</v>
      </c>
      <c r="E5" t="s">
        <v>4523</v>
      </c>
      <c r="G5" t="s">
        <v>4486</v>
      </c>
      <c r="H5" t="s">
        <v>4524</v>
      </c>
      <c r="I5">
        <v>1</v>
      </c>
      <c r="J5">
        <v>1</v>
      </c>
      <c r="K5" t="s">
        <v>973</v>
      </c>
      <c r="L5">
        <v>1</v>
      </c>
      <c r="M5">
        <v>115</v>
      </c>
      <c r="N5" t="s">
        <v>974</v>
      </c>
      <c r="O5">
        <v>10</v>
      </c>
      <c r="P5">
        <v>0</v>
      </c>
      <c r="Q5">
        <v>5</v>
      </c>
      <c r="R5">
        <v>750001</v>
      </c>
      <c r="S5">
        <v>1</v>
      </c>
      <c r="T5">
        <v>750003</v>
      </c>
      <c r="U5">
        <v>750008</v>
      </c>
      <c r="V5">
        <v>750009</v>
      </c>
      <c r="W5" t="s">
        <v>4525</v>
      </c>
      <c r="X5" t="s">
        <v>4526</v>
      </c>
      <c r="Y5" t="s">
        <v>4527</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4528</v>
      </c>
      <c r="AV5" t="s">
        <v>4492</v>
      </c>
      <c r="AW5" t="s">
        <v>4492</v>
      </c>
      <c r="AX5" t="s">
        <v>4492</v>
      </c>
      <c r="AY5">
        <v>126</v>
      </c>
      <c r="AZ5">
        <v>11002</v>
      </c>
      <c r="BA5">
        <v>1</v>
      </c>
      <c r="BB5" t="s">
        <v>4493</v>
      </c>
      <c r="BC5" t="s">
        <v>1807</v>
      </c>
      <c r="BD5">
        <v>930016</v>
      </c>
      <c r="BE5" t="s">
        <v>4494</v>
      </c>
      <c r="BF5" t="s">
        <v>4495</v>
      </c>
      <c r="BG5">
        <v>100</v>
      </c>
      <c r="BH5">
        <v>10603</v>
      </c>
    </row>
    <row r="6" spans="1:61" x14ac:dyDescent="0.25">
      <c r="A6">
        <v>1019</v>
      </c>
      <c r="B6" t="s">
        <v>6454</v>
      </c>
      <c r="C6" t="s">
        <v>6455</v>
      </c>
      <c r="D6" t="s">
        <v>6456</v>
      </c>
      <c r="E6" t="s">
        <v>6457</v>
      </c>
      <c r="G6" t="s">
        <v>4486</v>
      </c>
      <c r="H6" t="s">
        <v>6458</v>
      </c>
      <c r="I6">
        <v>1</v>
      </c>
      <c r="J6">
        <v>1</v>
      </c>
      <c r="K6" t="s">
        <v>994</v>
      </c>
      <c r="L6">
        <v>1</v>
      </c>
      <c r="M6">
        <v>119</v>
      </c>
      <c r="N6" t="s">
        <v>974</v>
      </c>
      <c r="O6">
        <v>10</v>
      </c>
      <c r="P6">
        <v>0</v>
      </c>
      <c r="Q6">
        <v>5</v>
      </c>
      <c r="R6">
        <v>750397</v>
      </c>
      <c r="S6">
        <v>1</v>
      </c>
      <c r="T6">
        <v>750399</v>
      </c>
      <c r="U6">
        <v>750400</v>
      </c>
      <c r="V6">
        <v>750401</v>
      </c>
      <c r="W6" t="s">
        <v>6459</v>
      </c>
      <c r="X6" t="s">
        <v>6460</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6461</v>
      </c>
      <c r="AV6" t="s">
        <v>4492</v>
      </c>
      <c r="AW6" t="s">
        <v>4492</v>
      </c>
      <c r="AX6" t="s">
        <v>4492</v>
      </c>
      <c r="AY6">
        <v>33</v>
      </c>
      <c r="AZ6">
        <v>11002</v>
      </c>
      <c r="BA6">
        <v>1</v>
      </c>
      <c r="BB6" t="s">
        <v>4493</v>
      </c>
      <c r="BC6" t="s">
        <v>1807</v>
      </c>
      <c r="BD6">
        <v>930020</v>
      </c>
      <c r="BE6" t="s">
        <v>4494</v>
      </c>
      <c r="BF6" t="s">
        <v>4495</v>
      </c>
      <c r="BG6">
        <v>100</v>
      </c>
      <c r="BH6">
        <v>10603</v>
      </c>
      <c r="BI6">
        <v>0</v>
      </c>
    </row>
    <row r="7" spans="1:61" x14ac:dyDescent="0.25">
      <c r="A7">
        <v>1005</v>
      </c>
      <c r="B7" t="s">
        <v>4529</v>
      </c>
      <c r="C7" t="s">
        <v>979</v>
      </c>
      <c r="D7" t="s">
        <v>979</v>
      </c>
      <c r="E7" t="s">
        <v>4530</v>
      </c>
      <c r="G7" t="s">
        <v>4486</v>
      </c>
      <c r="H7" t="s">
        <v>4531</v>
      </c>
      <c r="I7">
        <v>1</v>
      </c>
      <c r="J7">
        <v>1</v>
      </c>
      <c r="K7" t="s">
        <v>973</v>
      </c>
      <c r="L7">
        <v>1</v>
      </c>
      <c r="M7">
        <v>105</v>
      </c>
      <c r="N7" t="s">
        <v>974</v>
      </c>
      <c r="O7">
        <v>10</v>
      </c>
      <c r="P7">
        <v>0</v>
      </c>
      <c r="Q7">
        <v>5</v>
      </c>
      <c r="R7">
        <v>900737</v>
      </c>
      <c r="S7">
        <v>3</v>
      </c>
      <c r="T7">
        <v>1010</v>
      </c>
      <c r="U7">
        <v>900733</v>
      </c>
      <c r="V7">
        <v>900734</v>
      </c>
      <c r="W7" t="s">
        <v>4532</v>
      </c>
      <c r="X7" t="s">
        <v>4533</v>
      </c>
      <c r="Y7" t="s">
        <v>4534</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4535</v>
      </c>
      <c r="AV7" t="s">
        <v>4492</v>
      </c>
      <c r="AW7" t="s">
        <v>4492</v>
      </c>
      <c r="AX7" t="s">
        <v>4492</v>
      </c>
      <c r="AY7">
        <v>18</v>
      </c>
      <c r="AZ7">
        <v>11002</v>
      </c>
      <c r="BA7">
        <v>1</v>
      </c>
      <c r="BB7" t="s">
        <v>4493</v>
      </c>
      <c r="BC7" t="s">
        <v>1807</v>
      </c>
      <c r="BD7">
        <v>930005</v>
      </c>
      <c r="BE7" t="s">
        <v>4494</v>
      </c>
      <c r="BF7" t="s">
        <v>4495</v>
      </c>
      <c r="BG7">
        <v>100</v>
      </c>
      <c r="BH7">
        <v>10603</v>
      </c>
    </row>
    <row r="8" spans="1:61" x14ac:dyDescent="0.25">
      <c r="A8">
        <v>1017</v>
      </c>
      <c r="B8" t="s">
        <v>5653</v>
      </c>
      <c r="C8" t="s">
        <v>5654</v>
      </c>
      <c r="D8" t="s">
        <v>5654</v>
      </c>
      <c r="E8" t="s">
        <v>5655</v>
      </c>
      <c r="G8" t="s">
        <v>4486</v>
      </c>
      <c r="H8" t="s">
        <v>5656</v>
      </c>
      <c r="I8">
        <v>1</v>
      </c>
      <c r="J8">
        <v>1</v>
      </c>
      <c r="K8" t="s">
        <v>973</v>
      </c>
      <c r="L8">
        <v>1</v>
      </c>
      <c r="M8">
        <v>117</v>
      </c>
      <c r="N8" t="s">
        <v>974</v>
      </c>
      <c r="O8">
        <v>10</v>
      </c>
      <c r="P8">
        <v>0</v>
      </c>
      <c r="Q8">
        <v>5</v>
      </c>
      <c r="R8">
        <v>750276</v>
      </c>
      <c r="S8">
        <v>1</v>
      </c>
      <c r="T8">
        <v>750278</v>
      </c>
      <c r="U8">
        <v>750279</v>
      </c>
      <c r="V8">
        <v>750280</v>
      </c>
      <c r="W8" t="s">
        <v>5657</v>
      </c>
      <c r="X8" t="s">
        <v>5658</v>
      </c>
      <c r="Y8" t="s">
        <v>5659</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5660</v>
      </c>
      <c r="AV8" t="s">
        <v>4492</v>
      </c>
      <c r="AW8" t="s">
        <v>4492</v>
      </c>
      <c r="AX8" t="s">
        <v>4492</v>
      </c>
      <c r="AY8">
        <v>147</v>
      </c>
      <c r="AZ8">
        <v>11002</v>
      </c>
      <c r="BA8">
        <v>1</v>
      </c>
      <c r="BB8" t="s">
        <v>4493</v>
      </c>
      <c r="BC8" t="s">
        <v>329</v>
      </c>
      <c r="BD8">
        <v>930018</v>
      </c>
      <c r="BE8" t="s">
        <v>4494</v>
      </c>
      <c r="BF8" t="s">
        <v>4495</v>
      </c>
      <c r="BG8">
        <v>100</v>
      </c>
      <c r="BH8">
        <v>10603</v>
      </c>
    </row>
    <row r="9" spans="1:61" x14ac:dyDescent="0.25">
      <c r="A9">
        <v>1009</v>
      </c>
      <c r="B9" t="s">
        <v>4536</v>
      </c>
      <c r="C9" t="s">
        <v>982</v>
      </c>
      <c r="D9" t="s">
        <v>982</v>
      </c>
      <c r="E9" t="s">
        <v>4537</v>
      </c>
      <c r="G9" t="s">
        <v>4486</v>
      </c>
      <c r="H9" t="s">
        <v>4538</v>
      </c>
      <c r="I9">
        <v>1</v>
      </c>
      <c r="J9">
        <v>1</v>
      </c>
      <c r="K9" t="s">
        <v>973</v>
      </c>
      <c r="L9">
        <v>1</v>
      </c>
      <c r="M9">
        <v>109</v>
      </c>
      <c r="N9" t="s">
        <v>974</v>
      </c>
      <c r="O9">
        <v>10</v>
      </c>
      <c r="P9">
        <v>0</v>
      </c>
      <c r="Q9">
        <v>5</v>
      </c>
      <c r="R9">
        <v>900960</v>
      </c>
      <c r="S9">
        <v>3</v>
      </c>
      <c r="T9">
        <v>1012</v>
      </c>
      <c r="U9">
        <v>900962</v>
      </c>
      <c r="V9">
        <v>900963</v>
      </c>
      <c r="W9" t="s">
        <v>4539</v>
      </c>
      <c r="X9" t="s">
        <v>4540</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4541</v>
      </c>
      <c r="AV9" t="s">
        <v>4492</v>
      </c>
      <c r="AW9" t="s">
        <v>4492</v>
      </c>
      <c r="AX9" t="s">
        <v>4492</v>
      </c>
      <c r="AY9">
        <v>24</v>
      </c>
      <c r="AZ9">
        <v>11002</v>
      </c>
      <c r="BA9">
        <v>1</v>
      </c>
      <c r="BB9" t="s">
        <v>4542</v>
      </c>
      <c r="BC9" t="s">
        <v>1807</v>
      </c>
      <c r="BD9">
        <v>930009</v>
      </c>
      <c r="BE9" t="s">
        <v>4494</v>
      </c>
      <c r="BF9" t="s">
        <v>4495</v>
      </c>
      <c r="BG9">
        <v>100</v>
      </c>
      <c r="BH9">
        <v>10604</v>
      </c>
    </row>
    <row r="10" spans="1:61" x14ac:dyDescent="0.25">
      <c r="A10">
        <v>1026</v>
      </c>
      <c r="B10" t="s">
        <v>8511</v>
      </c>
      <c r="C10" t="s">
        <v>8512</v>
      </c>
      <c r="D10" t="s">
        <v>8512</v>
      </c>
      <c r="E10" t="s">
        <v>8513</v>
      </c>
      <c r="F10" t="s">
        <v>6785</v>
      </c>
      <c r="G10" t="s">
        <v>4486</v>
      </c>
      <c r="H10" t="s">
        <v>8514</v>
      </c>
      <c r="I10">
        <v>1</v>
      </c>
      <c r="J10">
        <v>1</v>
      </c>
      <c r="K10" t="s">
        <v>973</v>
      </c>
      <c r="L10">
        <v>1</v>
      </c>
      <c r="M10">
        <v>126</v>
      </c>
      <c r="N10" t="s">
        <v>974</v>
      </c>
      <c r="O10">
        <v>10</v>
      </c>
      <c r="P10">
        <v>0</v>
      </c>
      <c r="Q10">
        <v>5</v>
      </c>
      <c r="R10">
        <v>750885</v>
      </c>
      <c r="S10">
        <v>1</v>
      </c>
      <c r="T10">
        <v>750887</v>
      </c>
      <c r="U10">
        <v>750888</v>
      </c>
      <c r="V10">
        <v>750889</v>
      </c>
      <c r="W10" t="s">
        <v>8515</v>
      </c>
      <c r="X10" t="s">
        <v>8516</v>
      </c>
      <c r="Y10" t="s">
        <v>8517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8518</v>
      </c>
      <c r="AV10" t="s">
        <v>4492</v>
      </c>
      <c r="AW10" t="s">
        <v>4492</v>
      </c>
      <c r="AX10" t="s">
        <v>4492</v>
      </c>
      <c r="AY10">
        <v>216</v>
      </c>
      <c r="AZ10">
        <v>11002</v>
      </c>
      <c r="BA10">
        <v>1</v>
      </c>
      <c r="BB10" t="s">
        <v>4493</v>
      </c>
      <c r="BC10" t="s">
        <v>1807</v>
      </c>
      <c r="BD10">
        <v>930027</v>
      </c>
      <c r="BE10" t="s">
        <v>4494</v>
      </c>
      <c r="BF10" t="s">
        <v>4495</v>
      </c>
      <c r="BG10">
        <v>100</v>
      </c>
      <c r="BH10">
        <v>10604</v>
      </c>
      <c r="BI10">
        <v>0</v>
      </c>
    </row>
    <row r="11" spans="1:61" x14ac:dyDescent="0.25">
      <c r="A11">
        <v>1002</v>
      </c>
      <c r="B11" t="s">
        <v>4543</v>
      </c>
      <c r="C11" t="s">
        <v>975</v>
      </c>
      <c r="D11" t="s">
        <v>975</v>
      </c>
      <c r="E11" t="s">
        <v>4544</v>
      </c>
      <c r="G11" t="s">
        <v>4486</v>
      </c>
      <c r="H11" t="s">
        <v>4545</v>
      </c>
      <c r="I11">
        <v>1</v>
      </c>
      <c r="J11">
        <v>1</v>
      </c>
      <c r="K11" t="s">
        <v>976</v>
      </c>
      <c r="L11">
        <v>1</v>
      </c>
      <c r="M11">
        <v>102</v>
      </c>
      <c r="N11" t="s">
        <v>974</v>
      </c>
      <c r="O11">
        <v>10</v>
      </c>
      <c r="P11">
        <v>0</v>
      </c>
      <c r="Q11">
        <v>5</v>
      </c>
      <c r="R11">
        <v>600301</v>
      </c>
      <c r="S11">
        <v>1</v>
      </c>
      <c r="T11">
        <v>600302</v>
      </c>
      <c r="U11">
        <v>600303</v>
      </c>
      <c r="V11">
        <v>600304</v>
      </c>
      <c r="W11" t="s">
        <v>4546</v>
      </c>
      <c r="X11" t="s">
        <v>4547</v>
      </c>
      <c r="Y11" t="s">
        <v>4548</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4513</v>
      </c>
      <c r="AV11" t="s">
        <v>4492</v>
      </c>
      <c r="AW11" t="s">
        <v>4492</v>
      </c>
      <c r="AX11" t="s">
        <v>4492</v>
      </c>
      <c r="AY11">
        <v>8</v>
      </c>
      <c r="AZ11">
        <v>11002</v>
      </c>
      <c r="BA11">
        <v>2</v>
      </c>
      <c r="BB11" t="s">
        <v>4493</v>
      </c>
      <c r="BC11" t="s">
        <v>1807</v>
      </c>
      <c r="BD11">
        <v>930002</v>
      </c>
      <c r="BE11" t="s">
        <v>4494</v>
      </c>
      <c r="BF11" t="s">
        <v>4495</v>
      </c>
      <c r="BG11">
        <v>100</v>
      </c>
      <c r="BH11">
        <v>10602</v>
      </c>
    </row>
    <row r="12" spans="1:61" x14ac:dyDescent="0.25">
      <c r="A12">
        <v>1021</v>
      </c>
      <c r="B12" t="s">
        <v>6786</v>
      </c>
      <c r="C12" t="s">
        <v>6787</v>
      </c>
      <c r="D12" t="s">
        <v>6787</v>
      </c>
      <c r="E12" t="s">
        <v>6788</v>
      </c>
      <c r="F12" t="s">
        <v>6785</v>
      </c>
      <c r="G12" t="s">
        <v>4486</v>
      </c>
      <c r="H12" t="s">
        <v>6789</v>
      </c>
      <c r="I12">
        <v>1</v>
      </c>
      <c r="J12">
        <v>1</v>
      </c>
      <c r="K12" t="s">
        <v>976</v>
      </c>
      <c r="L12">
        <v>1</v>
      </c>
      <c r="M12">
        <v>121</v>
      </c>
      <c r="N12" t="s">
        <v>974</v>
      </c>
      <c r="O12">
        <v>10</v>
      </c>
      <c r="P12">
        <v>0</v>
      </c>
      <c r="Q12">
        <v>5</v>
      </c>
      <c r="R12">
        <v>750579</v>
      </c>
      <c r="S12">
        <v>1</v>
      </c>
      <c r="T12">
        <v>750581</v>
      </c>
      <c r="U12">
        <v>750582</v>
      </c>
      <c r="V12">
        <v>750583</v>
      </c>
      <c r="W12" t="s">
        <v>6790</v>
      </c>
      <c r="X12" t="s">
        <v>6791</v>
      </c>
      <c r="Y12" t="s">
        <v>6792</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6793</v>
      </c>
      <c r="AV12" t="s">
        <v>4492</v>
      </c>
      <c r="AW12" t="s">
        <v>4492</v>
      </c>
      <c r="AX12" t="s">
        <v>4492</v>
      </c>
      <c r="AY12">
        <v>175</v>
      </c>
      <c r="AZ12">
        <v>11002</v>
      </c>
      <c r="BA12">
        <v>2</v>
      </c>
      <c r="BB12" t="s">
        <v>4493</v>
      </c>
      <c r="BC12" t="s">
        <v>1807</v>
      </c>
      <c r="BD12">
        <v>930022</v>
      </c>
      <c r="BE12" t="s">
        <v>4494</v>
      </c>
      <c r="BF12" t="s">
        <v>4495</v>
      </c>
      <c r="BG12">
        <v>100</v>
      </c>
      <c r="BH12">
        <v>10604</v>
      </c>
      <c r="BI12">
        <v>0</v>
      </c>
    </row>
    <row r="13" spans="1:61" x14ac:dyDescent="0.25">
      <c r="A13">
        <v>1010</v>
      </c>
      <c r="B13" t="s">
        <v>4549</v>
      </c>
      <c r="C13" t="s">
        <v>983</v>
      </c>
      <c r="D13" t="s">
        <v>4550</v>
      </c>
      <c r="E13" t="s">
        <v>4551</v>
      </c>
      <c r="G13" t="s">
        <v>4486</v>
      </c>
      <c r="H13" t="s">
        <v>4552</v>
      </c>
      <c r="I13">
        <v>1</v>
      </c>
      <c r="J13">
        <v>1</v>
      </c>
      <c r="K13" t="s">
        <v>973</v>
      </c>
      <c r="L13">
        <v>1</v>
      </c>
      <c r="M13">
        <v>110</v>
      </c>
      <c r="N13" t="s">
        <v>974</v>
      </c>
      <c r="O13">
        <v>10</v>
      </c>
      <c r="P13">
        <v>0</v>
      </c>
      <c r="Q13">
        <v>5</v>
      </c>
      <c r="R13">
        <v>901031</v>
      </c>
      <c r="S13">
        <v>1</v>
      </c>
      <c r="T13">
        <v>901032</v>
      </c>
      <c r="U13">
        <v>901033</v>
      </c>
      <c r="V13">
        <v>901034</v>
      </c>
      <c r="W13" t="s">
        <v>4553</v>
      </c>
      <c r="X13" t="s">
        <v>4554</v>
      </c>
      <c r="Y13" t="s">
        <v>4555</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4556</v>
      </c>
      <c r="AV13" t="s">
        <v>4492</v>
      </c>
      <c r="AW13" t="s">
        <v>4492</v>
      </c>
      <c r="AX13" t="s">
        <v>4492</v>
      </c>
      <c r="AY13">
        <v>26</v>
      </c>
      <c r="AZ13">
        <v>11002</v>
      </c>
      <c r="BA13">
        <v>1</v>
      </c>
      <c r="BB13" t="s">
        <v>4493</v>
      </c>
      <c r="BC13" t="s">
        <v>1807</v>
      </c>
      <c r="BD13">
        <v>930010</v>
      </c>
      <c r="BE13" t="s">
        <v>4494</v>
      </c>
      <c r="BF13" t="s">
        <v>4495</v>
      </c>
      <c r="BG13">
        <v>100</v>
      </c>
      <c r="BH13">
        <v>10602</v>
      </c>
    </row>
    <row r="14" spans="1:61" x14ac:dyDescent="0.25">
      <c r="A14">
        <v>1003</v>
      </c>
      <c r="B14" t="s">
        <v>4557</v>
      </c>
      <c r="C14" t="s">
        <v>977</v>
      </c>
      <c r="D14" t="s">
        <v>977</v>
      </c>
      <c r="E14" t="s">
        <v>4558</v>
      </c>
      <c r="G14" t="s">
        <v>4486</v>
      </c>
      <c r="H14" t="s">
        <v>4559</v>
      </c>
      <c r="I14">
        <v>1</v>
      </c>
      <c r="J14">
        <v>1</v>
      </c>
      <c r="K14" t="s">
        <v>973</v>
      </c>
      <c r="L14">
        <v>1</v>
      </c>
      <c r="M14">
        <v>103</v>
      </c>
      <c r="N14" t="s">
        <v>974</v>
      </c>
      <c r="O14">
        <v>10</v>
      </c>
      <c r="P14">
        <v>0</v>
      </c>
      <c r="Q14">
        <v>5</v>
      </c>
      <c r="R14">
        <v>900592</v>
      </c>
      <c r="S14">
        <v>1</v>
      </c>
      <c r="T14">
        <v>900594</v>
      </c>
      <c r="U14">
        <v>900596</v>
      </c>
      <c r="V14">
        <v>900597</v>
      </c>
      <c r="W14" t="s">
        <v>4560</v>
      </c>
      <c r="X14" t="s">
        <v>329</v>
      </c>
      <c r="Y14" t="s">
        <v>4561</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4562</v>
      </c>
      <c r="AV14" t="s">
        <v>4492</v>
      </c>
      <c r="AW14" t="s">
        <v>4492</v>
      </c>
      <c r="AX14" t="s">
        <v>4492</v>
      </c>
      <c r="AY14">
        <v>11</v>
      </c>
      <c r="AZ14">
        <v>11002</v>
      </c>
      <c r="BA14">
        <v>1</v>
      </c>
      <c r="BB14" t="s">
        <v>4493</v>
      </c>
      <c r="BC14" t="s">
        <v>1807</v>
      </c>
      <c r="BD14">
        <v>930003</v>
      </c>
      <c r="BE14" t="s">
        <v>4494</v>
      </c>
      <c r="BF14" t="s">
        <v>4495</v>
      </c>
      <c r="BG14">
        <v>100</v>
      </c>
      <c r="BH14">
        <v>10602</v>
      </c>
    </row>
    <row r="15" spans="1:61" x14ac:dyDescent="0.25">
      <c r="A15">
        <v>1018</v>
      </c>
      <c r="B15" t="s">
        <v>6350</v>
      </c>
      <c r="C15" t="s">
        <v>6351</v>
      </c>
      <c r="D15" t="s">
        <v>6351</v>
      </c>
      <c r="E15" t="s">
        <v>6352</v>
      </c>
      <c r="G15" t="s">
        <v>4486</v>
      </c>
      <c r="H15" t="s">
        <v>6353</v>
      </c>
      <c r="I15">
        <v>1</v>
      </c>
      <c r="J15">
        <v>1</v>
      </c>
      <c r="K15" t="s">
        <v>973</v>
      </c>
      <c r="L15">
        <v>1</v>
      </c>
      <c r="M15">
        <v>118</v>
      </c>
      <c r="N15" t="s">
        <v>974</v>
      </c>
      <c r="O15">
        <v>10</v>
      </c>
      <c r="P15">
        <v>0</v>
      </c>
      <c r="Q15">
        <v>5</v>
      </c>
      <c r="R15">
        <v>750363</v>
      </c>
      <c r="S15">
        <v>1</v>
      </c>
      <c r="T15">
        <v>750365</v>
      </c>
      <c r="U15">
        <v>750366</v>
      </c>
      <c r="V15">
        <v>750367</v>
      </c>
      <c r="W15" t="s">
        <v>6354</v>
      </c>
      <c r="X15" t="s">
        <v>6355</v>
      </c>
      <c r="Y15" t="s">
        <v>6356</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6357</v>
      </c>
      <c r="AV15" t="s">
        <v>4492</v>
      </c>
      <c r="AW15" t="s">
        <v>4492</v>
      </c>
      <c r="AX15" t="s">
        <v>4492</v>
      </c>
      <c r="AY15">
        <v>157</v>
      </c>
      <c r="AZ15">
        <v>11002</v>
      </c>
      <c r="BA15">
        <v>1</v>
      </c>
      <c r="BB15" t="s">
        <v>4493</v>
      </c>
      <c r="BC15" t="s">
        <v>1807</v>
      </c>
      <c r="BD15">
        <v>930019</v>
      </c>
      <c r="BE15" t="s">
        <v>4494</v>
      </c>
      <c r="BF15" t="s">
        <v>4495</v>
      </c>
      <c r="BG15">
        <v>100</v>
      </c>
      <c r="BH15">
        <v>10602</v>
      </c>
      <c r="BI15">
        <v>0</v>
      </c>
    </row>
    <row r="16" spans="1:61" x14ac:dyDescent="0.25">
      <c r="A16">
        <v>1004</v>
      </c>
      <c r="B16" t="s">
        <v>4563</v>
      </c>
      <c r="C16" t="s">
        <v>978</v>
      </c>
      <c r="D16" t="s">
        <v>978</v>
      </c>
      <c r="E16" t="s">
        <v>4564</v>
      </c>
      <c r="G16" t="s">
        <v>4486</v>
      </c>
      <c r="H16" t="s">
        <v>4565</v>
      </c>
      <c r="I16">
        <v>1</v>
      </c>
      <c r="J16">
        <v>1</v>
      </c>
      <c r="K16" t="s">
        <v>973</v>
      </c>
      <c r="L16">
        <v>1</v>
      </c>
      <c r="M16">
        <v>104</v>
      </c>
      <c r="N16" t="s">
        <v>974</v>
      </c>
      <c r="O16">
        <v>10</v>
      </c>
      <c r="P16">
        <v>0</v>
      </c>
      <c r="Q16">
        <v>5</v>
      </c>
      <c r="R16">
        <v>900667</v>
      </c>
      <c r="S16">
        <v>2</v>
      </c>
      <c r="T16">
        <v>30007</v>
      </c>
      <c r="U16">
        <v>900644</v>
      </c>
      <c r="V16">
        <v>900645</v>
      </c>
      <c r="W16" t="s">
        <v>4566</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4567</v>
      </c>
      <c r="AV16" t="s">
        <v>4492</v>
      </c>
      <c r="AW16" t="s">
        <v>4492</v>
      </c>
      <c r="AX16" t="s">
        <v>4492</v>
      </c>
      <c r="AY16">
        <v>17</v>
      </c>
      <c r="AZ16">
        <v>11002</v>
      </c>
      <c r="BA16">
        <v>1</v>
      </c>
      <c r="BB16" t="s">
        <v>4493</v>
      </c>
      <c r="BC16" t="s">
        <v>1807</v>
      </c>
      <c r="BD16">
        <v>930004</v>
      </c>
      <c r="BE16" t="s">
        <v>4494</v>
      </c>
      <c r="BF16" t="s">
        <v>4495</v>
      </c>
      <c r="BG16">
        <v>100</v>
      </c>
      <c r="BH16">
        <v>10602</v>
      </c>
    </row>
    <row r="17" spans="1:61" x14ac:dyDescent="0.25">
      <c r="A17">
        <v>1016</v>
      </c>
      <c r="B17" t="s">
        <v>4483</v>
      </c>
      <c r="C17" t="s">
        <v>4484</v>
      </c>
      <c r="D17" t="s">
        <v>4484</v>
      </c>
      <c r="E17" t="s">
        <v>4485</v>
      </c>
      <c r="G17" t="s">
        <v>4486</v>
      </c>
      <c r="H17" t="s">
        <v>4487</v>
      </c>
      <c r="I17">
        <v>1</v>
      </c>
      <c r="J17">
        <v>1</v>
      </c>
      <c r="K17" t="s">
        <v>973</v>
      </c>
      <c r="L17">
        <v>1</v>
      </c>
      <c r="M17">
        <v>116</v>
      </c>
      <c r="N17" t="s">
        <v>974</v>
      </c>
      <c r="O17">
        <v>10</v>
      </c>
      <c r="P17">
        <v>0</v>
      </c>
      <c r="Q17">
        <v>5</v>
      </c>
      <c r="R17">
        <v>750126</v>
      </c>
      <c r="S17">
        <v>1</v>
      </c>
      <c r="T17">
        <v>750081</v>
      </c>
      <c r="U17">
        <v>750082</v>
      </c>
      <c r="V17">
        <v>750086</v>
      </c>
      <c r="W17" t="s">
        <v>4488</v>
      </c>
      <c r="X17" t="s">
        <v>4489</v>
      </c>
      <c r="Y17" t="s">
        <v>4490</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4491</v>
      </c>
      <c r="AV17" t="s">
        <v>4492</v>
      </c>
      <c r="AW17" t="s">
        <v>4492</v>
      </c>
      <c r="AX17" t="s">
        <v>4492</v>
      </c>
      <c r="AY17">
        <v>140</v>
      </c>
      <c r="AZ17">
        <v>11002</v>
      </c>
      <c r="BA17">
        <v>1</v>
      </c>
      <c r="BB17" t="s">
        <v>4493</v>
      </c>
      <c r="BC17" t="s">
        <v>1807</v>
      </c>
      <c r="BD17">
        <v>930017</v>
      </c>
      <c r="BE17" t="s">
        <v>4494</v>
      </c>
      <c r="BF17" t="s">
        <v>4495</v>
      </c>
      <c r="BG17">
        <v>100</v>
      </c>
      <c r="BH17">
        <v>10602</v>
      </c>
    </row>
    <row r="18" spans="1:61" x14ac:dyDescent="0.25">
      <c r="A18">
        <v>1011</v>
      </c>
      <c r="B18" t="s">
        <v>4568</v>
      </c>
      <c r="C18" t="s">
        <v>984</v>
      </c>
      <c r="D18" t="s">
        <v>984</v>
      </c>
      <c r="E18" t="s">
        <v>4569</v>
      </c>
      <c r="G18" t="s">
        <v>4486</v>
      </c>
      <c r="H18" t="s">
        <v>4570</v>
      </c>
      <c r="I18">
        <v>1</v>
      </c>
      <c r="J18">
        <v>1</v>
      </c>
      <c r="K18" t="s">
        <v>985</v>
      </c>
      <c r="L18">
        <v>1</v>
      </c>
      <c r="M18">
        <v>111</v>
      </c>
      <c r="N18" t="s">
        <v>974</v>
      </c>
      <c r="O18">
        <v>10</v>
      </c>
      <c r="P18">
        <v>0</v>
      </c>
      <c r="Q18">
        <v>5</v>
      </c>
      <c r="R18">
        <v>901200</v>
      </c>
      <c r="S18">
        <v>2</v>
      </c>
      <c r="T18">
        <v>30009</v>
      </c>
      <c r="U18">
        <v>901225</v>
      </c>
      <c r="V18">
        <v>901226</v>
      </c>
      <c r="W18" t="s">
        <v>4571</v>
      </c>
      <c r="X18" t="s">
        <v>4572</v>
      </c>
      <c r="Y18" t="s">
        <v>4573</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4574</v>
      </c>
      <c r="AV18" t="s">
        <v>4492</v>
      </c>
      <c r="AW18" t="s">
        <v>4492</v>
      </c>
      <c r="AX18" t="s">
        <v>4492</v>
      </c>
      <c r="AY18">
        <v>35</v>
      </c>
      <c r="AZ18">
        <v>11002</v>
      </c>
      <c r="BA18">
        <v>1</v>
      </c>
      <c r="BB18" t="s">
        <v>4493</v>
      </c>
      <c r="BC18" t="s">
        <v>1807</v>
      </c>
      <c r="BD18">
        <v>930011</v>
      </c>
      <c r="BE18" t="s">
        <v>4494</v>
      </c>
      <c r="BF18" t="s">
        <v>4495</v>
      </c>
      <c r="BG18">
        <v>100</v>
      </c>
      <c r="BH18">
        <v>10604</v>
      </c>
    </row>
    <row r="19" spans="1:61" x14ac:dyDescent="0.25">
      <c r="A19">
        <v>1025</v>
      </c>
      <c r="B19" t="s">
        <v>8129</v>
      </c>
      <c r="C19" t="s">
        <v>8130</v>
      </c>
      <c r="D19" t="s">
        <v>8131</v>
      </c>
      <c r="E19" t="s">
        <v>8132</v>
      </c>
      <c r="F19" t="s">
        <v>6785</v>
      </c>
      <c r="G19" t="s">
        <v>4486</v>
      </c>
      <c r="H19" t="s">
        <v>8133</v>
      </c>
      <c r="I19">
        <v>3</v>
      </c>
      <c r="J19">
        <v>1</v>
      </c>
      <c r="K19" t="s">
        <v>973</v>
      </c>
      <c r="L19">
        <v>1</v>
      </c>
      <c r="M19">
        <v>125</v>
      </c>
      <c r="N19" t="s">
        <v>974</v>
      </c>
      <c r="O19">
        <v>10</v>
      </c>
      <c r="P19">
        <v>0</v>
      </c>
      <c r="Q19">
        <v>5</v>
      </c>
      <c r="R19">
        <v>750870</v>
      </c>
      <c r="S19">
        <v>1</v>
      </c>
      <c r="T19">
        <v>750872</v>
      </c>
      <c r="U19">
        <v>750873</v>
      </c>
      <c r="V19">
        <v>750874</v>
      </c>
      <c r="W19" t="s">
        <v>8134</v>
      </c>
      <c r="X19" t="s">
        <v>8135</v>
      </c>
      <c r="Y19" t="s">
        <v>8136</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8137</v>
      </c>
      <c r="AV19" t="s">
        <v>4492</v>
      </c>
      <c r="AW19" t="s">
        <v>4492</v>
      </c>
      <c r="AX19" t="s">
        <v>4492</v>
      </c>
      <c r="AY19">
        <v>215</v>
      </c>
      <c r="AZ19">
        <v>11002</v>
      </c>
      <c r="BA19">
        <v>1</v>
      </c>
      <c r="BB19" t="s">
        <v>4493</v>
      </c>
      <c r="BC19" t="s">
        <v>1807</v>
      </c>
      <c r="BD19">
        <v>930026</v>
      </c>
      <c r="BE19" t="s">
        <v>4494</v>
      </c>
      <c r="BF19" t="s">
        <v>4495</v>
      </c>
      <c r="BG19">
        <v>100</v>
      </c>
      <c r="BH19">
        <v>10603</v>
      </c>
      <c r="BI19">
        <v>0</v>
      </c>
    </row>
    <row r="20" spans="1:61" x14ac:dyDescent="0.25">
      <c r="A20">
        <v>1013</v>
      </c>
      <c r="B20" t="s">
        <v>4575</v>
      </c>
      <c r="C20" t="s">
        <v>987</v>
      </c>
      <c r="D20" t="s">
        <v>987</v>
      </c>
      <c r="E20" t="s">
        <v>4576</v>
      </c>
      <c r="G20" t="s">
        <v>4486</v>
      </c>
      <c r="H20" t="s">
        <v>4577</v>
      </c>
      <c r="I20">
        <v>3</v>
      </c>
      <c r="J20">
        <v>1</v>
      </c>
      <c r="K20" t="s">
        <v>973</v>
      </c>
      <c r="L20">
        <v>1</v>
      </c>
      <c r="M20">
        <v>113</v>
      </c>
      <c r="N20" t="s">
        <v>974</v>
      </c>
      <c r="O20">
        <v>8</v>
      </c>
      <c r="P20">
        <v>0</v>
      </c>
      <c r="Q20">
        <v>5</v>
      </c>
      <c r="R20">
        <v>902356</v>
      </c>
      <c r="S20">
        <v>3</v>
      </c>
      <c r="T20">
        <v>1013</v>
      </c>
      <c r="U20">
        <v>902358</v>
      </c>
      <c r="V20">
        <v>902359</v>
      </c>
      <c r="W20" t="s">
        <v>4578</v>
      </c>
      <c r="X20" t="s">
        <v>329</v>
      </c>
      <c r="Y20" t="s">
        <v>4579</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4580</v>
      </c>
      <c r="AV20" t="s">
        <v>4492</v>
      </c>
      <c r="AW20" t="s">
        <v>4492</v>
      </c>
      <c r="AX20" t="s">
        <v>4492</v>
      </c>
      <c r="AY20">
        <v>50</v>
      </c>
      <c r="AZ20">
        <v>11002</v>
      </c>
      <c r="BA20">
        <v>1</v>
      </c>
      <c r="BB20" t="s">
        <v>4493</v>
      </c>
      <c r="BC20" t="s">
        <v>1807</v>
      </c>
      <c r="BD20">
        <v>930013</v>
      </c>
      <c r="BE20" t="s">
        <v>4494</v>
      </c>
      <c r="BF20" t="s">
        <v>4495</v>
      </c>
      <c r="BG20">
        <v>100</v>
      </c>
      <c r="BH20">
        <v>10603</v>
      </c>
    </row>
    <row r="21" spans="1:61" x14ac:dyDescent="0.25">
      <c r="A21">
        <v>1022</v>
      </c>
      <c r="B21" t="s">
        <v>6922</v>
      </c>
      <c r="C21" t="s">
        <v>6923</v>
      </c>
      <c r="D21" t="s">
        <v>6923</v>
      </c>
      <c r="E21" t="s">
        <v>6924</v>
      </c>
      <c r="F21" t="s">
        <v>6785</v>
      </c>
      <c r="G21" t="s">
        <v>4486</v>
      </c>
      <c r="H21" t="s">
        <v>6925</v>
      </c>
      <c r="I21">
        <v>3</v>
      </c>
      <c r="J21">
        <v>1</v>
      </c>
      <c r="K21" t="s">
        <v>985</v>
      </c>
      <c r="L21">
        <v>1</v>
      </c>
      <c r="M21">
        <v>122</v>
      </c>
      <c r="N21" t="s">
        <v>974</v>
      </c>
      <c r="O21">
        <v>10</v>
      </c>
      <c r="P21">
        <v>0</v>
      </c>
      <c r="Q21">
        <v>5</v>
      </c>
      <c r="R21">
        <v>750622</v>
      </c>
      <c r="S21">
        <v>3</v>
      </c>
      <c r="T21">
        <v>1018</v>
      </c>
      <c r="U21">
        <v>750625</v>
      </c>
      <c r="V21">
        <v>750626</v>
      </c>
      <c r="W21" t="s">
        <v>6926</v>
      </c>
      <c r="X21" t="s">
        <v>6927</v>
      </c>
      <c r="Y21" t="s">
        <v>6928</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6929</v>
      </c>
      <c r="AV21" t="s">
        <v>4492</v>
      </c>
      <c r="AW21" t="s">
        <v>4492</v>
      </c>
      <c r="AX21" t="s">
        <v>4492</v>
      </c>
      <c r="AY21">
        <v>176</v>
      </c>
      <c r="AZ21">
        <v>11002</v>
      </c>
      <c r="BA21">
        <v>1</v>
      </c>
      <c r="BB21" t="s">
        <v>4493</v>
      </c>
      <c r="BC21" t="s">
        <v>1807</v>
      </c>
      <c r="BD21">
        <v>930023</v>
      </c>
      <c r="BE21" t="s">
        <v>4494</v>
      </c>
      <c r="BF21" t="s">
        <v>4495</v>
      </c>
      <c r="BG21">
        <v>100</v>
      </c>
      <c r="BH21">
        <v>10603</v>
      </c>
      <c r="BI21">
        <v>0</v>
      </c>
    </row>
    <row r="22" spans="1:61" x14ac:dyDescent="0.25">
      <c r="A22">
        <v>1014</v>
      </c>
      <c r="B22" t="s">
        <v>4581</v>
      </c>
      <c r="C22" t="s">
        <v>988</v>
      </c>
      <c r="D22" t="s">
        <v>988</v>
      </c>
      <c r="E22" t="s">
        <v>4582</v>
      </c>
      <c r="G22" t="s">
        <v>4486</v>
      </c>
      <c r="H22" t="s">
        <v>4583</v>
      </c>
      <c r="I22">
        <v>3</v>
      </c>
      <c r="J22">
        <v>1</v>
      </c>
      <c r="K22" t="s">
        <v>976</v>
      </c>
      <c r="L22">
        <v>1</v>
      </c>
      <c r="M22">
        <v>114</v>
      </c>
      <c r="N22" t="s">
        <v>974</v>
      </c>
      <c r="O22">
        <v>8</v>
      </c>
      <c r="P22">
        <v>0</v>
      </c>
      <c r="Q22">
        <v>5</v>
      </c>
      <c r="R22">
        <v>902431</v>
      </c>
      <c r="S22">
        <v>3</v>
      </c>
      <c r="T22">
        <v>1014</v>
      </c>
      <c r="U22">
        <v>902433</v>
      </c>
      <c r="V22">
        <v>902434</v>
      </c>
      <c r="W22" t="s">
        <v>4584</v>
      </c>
      <c r="X22" t="s">
        <v>4585</v>
      </c>
      <c r="Y22" t="s">
        <v>4586</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4587</v>
      </c>
      <c r="AV22" t="s">
        <v>4492</v>
      </c>
      <c r="AW22" t="s">
        <v>4492</v>
      </c>
      <c r="AX22" t="s">
        <v>4492</v>
      </c>
      <c r="AY22">
        <v>51</v>
      </c>
      <c r="AZ22">
        <v>11002</v>
      </c>
      <c r="BA22">
        <v>1</v>
      </c>
      <c r="BB22" t="s">
        <v>4493</v>
      </c>
      <c r="BC22" t="s">
        <v>1807</v>
      </c>
      <c r="BD22">
        <v>930014</v>
      </c>
      <c r="BE22" t="s">
        <v>4494</v>
      </c>
      <c r="BF22" t="s">
        <v>4495</v>
      </c>
      <c r="BG22">
        <v>100</v>
      </c>
      <c r="BH22">
        <v>10603</v>
      </c>
    </row>
    <row r="23" spans="1:61" x14ac:dyDescent="0.25">
      <c r="A23">
        <v>1020</v>
      </c>
      <c r="B23" t="s">
        <v>6526</v>
      </c>
      <c r="C23" t="s">
        <v>6527</v>
      </c>
      <c r="D23" t="s">
        <v>6527</v>
      </c>
      <c r="E23" t="s">
        <v>6528</v>
      </c>
      <c r="G23" t="s">
        <v>4486</v>
      </c>
      <c r="H23" t="s">
        <v>6529</v>
      </c>
      <c r="I23">
        <v>3</v>
      </c>
      <c r="J23">
        <v>1</v>
      </c>
      <c r="K23" t="s">
        <v>976</v>
      </c>
      <c r="L23">
        <v>1</v>
      </c>
      <c r="M23">
        <v>120</v>
      </c>
      <c r="N23" t="s">
        <v>974</v>
      </c>
      <c r="O23">
        <v>8</v>
      </c>
      <c r="P23">
        <v>0</v>
      </c>
      <c r="Q23">
        <v>5</v>
      </c>
      <c r="R23">
        <v>750409</v>
      </c>
      <c r="S23">
        <v>1</v>
      </c>
      <c r="T23">
        <v>750411</v>
      </c>
      <c r="U23">
        <v>750412</v>
      </c>
      <c r="V23">
        <v>750413</v>
      </c>
      <c r="W23" t="s">
        <v>6530</v>
      </c>
      <c r="X23" t="s">
        <v>6531</v>
      </c>
      <c r="Y23" t="s">
        <v>6532</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6533</v>
      </c>
      <c r="AV23" t="s">
        <v>4492</v>
      </c>
      <c r="AW23" t="s">
        <v>4492</v>
      </c>
      <c r="AX23" t="s">
        <v>4492</v>
      </c>
      <c r="AY23">
        <v>166</v>
      </c>
      <c r="AZ23">
        <v>11002</v>
      </c>
      <c r="BA23">
        <v>1</v>
      </c>
      <c r="BB23" t="s">
        <v>4493</v>
      </c>
      <c r="BC23" t="s">
        <v>1807</v>
      </c>
      <c r="BD23">
        <v>930021</v>
      </c>
      <c r="BE23" t="s">
        <v>4494</v>
      </c>
      <c r="BF23" t="s">
        <v>4495</v>
      </c>
      <c r="BG23">
        <v>100</v>
      </c>
      <c r="BH23">
        <v>10603</v>
      </c>
      <c r="BI23">
        <v>0</v>
      </c>
    </row>
    <row r="24" spans="1:61" x14ac:dyDescent="0.25">
      <c r="A24">
        <v>1024</v>
      </c>
      <c r="B24" t="s">
        <v>7991</v>
      </c>
      <c r="C24" t="s">
        <v>7992</v>
      </c>
      <c r="D24" t="s">
        <v>7993</v>
      </c>
      <c r="E24" t="s">
        <v>7994</v>
      </c>
      <c r="F24" t="s">
        <v>6785</v>
      </c>
      <c r="G24" t="s">
        <v>4486</v>
      </c>
      <c r="H24" t="s">
        <v>7995</v>
      </c>
      <c r="I24">
        <v>3</v>
      </c>
      <c r="J24">
        <v>1</v>
      </c>
      <c r="K24" t="s">
        <v>985</v>
      </c>
      <c r="L24">
        <v>1</v>
      </c>
      <c r="M24">
        <v>124</v>
      </c>
      <c r="N24" t="s">
        <v>974</v>
      </c>
      <c r="O24">
        <v>10</v>
      </c>
      <c r="P24">
        <v>0</v>
      </c>
      <c r="Q24">
        <v>5</v>
      </c>
      <c r="R24">
        <v>750783</v>
      </c>
      <c r="S24">
        <v>1</v>
      </c>
      <c r="T24">
        <v>750785</v>
      </c>
      <c r="U24">
        <v>750786</v>
      </c>
      <c r="V24">
        <v>750787</v>
      </c>
      <c r="W24" t="s">
        <v>7996</v>
      </c>
      <c r="X24" t="s">
        <v>7997</v>
      </c>
      <c r="Y24" t="s">
        <v>7998</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7999</v>
      </c>
      <c r="AV24" t="s">
        <v>4492</v>
      </c>
      <c r="AW24" t="s">
        <v>4492</v>
      </c>
      <c r="AX24" t="s">
        <v>4492</v>
      </c>
      <c r="AY24">
        <v>214</v>
      </c>
      <c r="AZ24">
        <v>11002</v>
      </c>
      <c r="BA24">
        <v>1</v>
      </c>
      <c r="BB24" t="s">
        <v>4493</v>
      </c>
      <c r="BC24" t="s">
        <v>1807</v>
      </c>
      <c r="BD24">
        <v>930025</v>
      </c>
      <c r="BE24" t="s">
        <v>4494</v>
      </c>
      <c r="BF24" t="s">
        <v>4495</v>
      </c>
      <c r="BG24">
        <v>100</v>
      </c>
      <c r="BH24">
        <v>10604</v>
      </c>
      <c r="BI24">
        <v>0</v>
      </c>
    </row>
    <row r="25" spans="1:61" x14ac:dyDescent="0.25">
      <c r="A25">
        <v>1001</v>
      </c>
      <c r="B25" t="s">
        <v>4588</v>
      </c>
      <c r="C25" t="s">
        <v>972</v>
      </c>
      <c r="D25" t="s">
        <v>972</v>
      </c>
      <c r="E25" t="s">
        <v>4589</v>
      </c>
      <c r="G25" t="s">
        <v>4486</v>
      </c>
      <c r="H25" t="s">
        <v>4590</v>
      </c>
      <c r="I25">
        <v>1</v>
      </c>
      <c r="J25">
        <v>1</v>
      </c>
      <c r="K25" t="s">
        <v>973</v>
      </c>
      <c r="L25">
        <v>1</v>
      </c>
      <c r="M25">
        <v>101</v>
      </c>
      <c r="N25" t="s">
        <v>974</v>
      </c>
      <c r="O25">
        <v>10</v>
      </c>
      <c r="P25">
        <v>0</v>
      </c>
      <c r="Q25">
        <v>5</v>
      </c>
      <c r="R25">
        <v>900515</v>
      </c>
      <c r="S25">
        <v>2</v>
      </c>
      <c r="T25">
        <v>30006</v>
      </c>
      <c r="U25">
        <v>900511</v>
      </c>
      <c r="V25">
        <v>900512</v>
      </c>
      <c r="W25" t="s">
        <v>4591</v>
      </c>
      <c r="X25" t="s">
        <v>329</v>
      </c>
      <c r="Y25" t="s">
        <v>4592</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4593</v>
      </c>
      <c r="AV25" t="s">
        <v>4492</v>
      </c>
      <c r="AW25" t="s">
        <v>4492</v>
      </c>
      <c r="AX25" t="s">
        <v>4492</v>
      </c>
      <c r="AY25">
        <v>5</v>
      </c>
      <c r="AZ25">
        <v>11001</v>
      </c>
      <c r="BA25">
        <v>1</v>
      </c>
      <c r="BB25" t="s">
        <v>4493</v>
      </c>
      <c r="BC25" t="s">
        <v>1807</v>
      </c>
      <c r="BD25">
        <v>930001</v>
      </c>
      <c r="BE25" t="s">
        <v>4494</v>
      </c>
      <c r="BF25" t="s">
        <v>4495</v>
      </c>
      <c r="BG25">
        <v>100</v>
      </c>
      <c r="BH25">
        <v>10604</v>
      </c>
    </row>
    <row r="26" spans="1:61" x14ac:dyDescent="0.25">
      <c r="A26">
        <v>1023</v>
      </c>
      <c r="B26" t="s">
        <v>6963</v>
      </c>
      <c r="C26" t="s">
        <v>6964</v>
      </c>
      <c r="D26" t="s">
        <v>6964</v>
      </c>
      <c r="E26" t="s">
        <v>6965</v>
      </c>
      <c r="F26" t="s">
        <v>6785</v>
      </c>
      <c r="G26" t="s">
        <v>4486</v>
      </c>
      <c r="H26" t="s">
        <v>6966</v>
      </c>
      <c r="I26">
        <v>1</v>
      </c>
      <c r="J26">
        <v>1</v>
      </c>
      <c r="K26" t="s">
        <v>973</v>
      </c>
      <c r="L26">
        <v>1</v>
      </c>
      <c r="M26">
        <v>123</v>
      </c>
      <c r="N26" t="s">
        <v>974</v>
      </c>
      <c r="O26">
        <v>10</v>
      </c>
      <c r="P26">
        <v>0</v>
      </c>
      <c r="Q26">
        <v>5</v>
      </c>
      <c r="R26">
        <v>750700</v>
      </c>
      <c r="S26">
        <v>1</v>
      </c>
      <c r="T26">
        <v>750702</v>
      </c>
      <c r="U26">
        <v>750703</v>
      </c>
      <c r="V26">
        <v>750704</v>
      </c>
      <c r="W26" t="s">
        <v>6967</v>
      </c>
      <c r="X26" t="s">
        <v>6968</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6969</v>
      </c>
      <c r="AV26" t="s">
        <v>4492</v>
      </c>
      <c r="AW26" t="s">
        <v>4492</v>
      </c>
      <c r="AX26" t="s">
        <v>4492</v>
      </c>
      <c r="AY26">
        <v>181</v>
      </c>
      <c r="AZ26">
        <v>11002</v>
      </c>
      <c r="BA26">
        <v>1</v>
      </c>
      <c r="BB26" t="s">
        <v>6970</v>
      </c>
      <c r="BC26" t="s">
        <v>1807</v>
      </c>
      <c r="BD26">
        <v>930024</v>
      </c>
      <c r="BE26" t="s">
        <v>4494</v>
      </c>
      <c r="BF26" t="s">
        <v>4495</v>
      </c>
      <c r="BG26">
        <v>100</v>
      </c>
      <c r="BH26">
        <v>10604</v>
      </c>
      <c r="BI26">
        <v>0</v>
      </c>
    </row>
    <row r="27" spans="1:61" x14ac:dyDescent="0.25">
      <c r="A27">
        <v>1007</v>
      </c>
      <c r="B27" t="s">
        <v>4594</v>
      </c>
      <c r="C27" t="s">
        <v>980</v>
      </c>
      <c r="D27" t="s">
        <v>980</v>
      </c>
      <c r="E27" t="s">
        <v>4595</v>
      </c>
      <c r="G27" t="s">
        <v>4486</v>
      </c>
      <c r="H27" t="s">
        <v>4596</v>
      </c>
      <c r="I27">
        <v>1</v>
      </c>
      <c r="J27">
        <v>1</v>
      </c>
      <c r="K27" t="s">
        <v>973</v>
      </c>
      <c r="L27">
        <v>1</v>
      </c>
      <c r="M27">
        <v>107</v>
      </c>
      <c r="N27" t="s">
        <v>974</v>
      </c>
      <c r="O27">
        <v>10</v>
      </c>
      <c r="P27">
        <v>0</v>
      </c>
      <c r="Q27">
        <v>5</v>
      </c>
      <c r="R27">
        <v>900833</v>
      </c>
      <c r="S27">
        <v>2</v>
      </c>
      <c r="T27">
        <v>30008</v>
      </c>
      <c r="U27">
        <v>900831</v>
      </c>
      <c r="V27">
        <v>900832</v>
      </c>
      <c r="W27" t="s">
        <v>4597</v>
      </c>
      <c r="X27" t="s">
        <v>329</v>
      </c>
      <c r="Y27" t="s">
        <v>4598</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4599</v>
      </c>
      <c r="AV27" t="s">
        <v>4492</v>
      </c>
      <c r="AW27" t="s">
        <v>4492</v>
      </c>
      <c r="AX27" t="s">
        <v>4492</v>
      </c>
      <c r="AY27">
        <v>21</v>
      </c>
      <c r="AZ27">
        <v>11002</v>
      </c>
      <c r="BA27">
        <v>1</v>
      </c>
      <c r="BB27" t="s">
        <v>4493</v>
      </c>
      <c r="BC27" t="s">
        <v>1807</v>
      </c>
      <c r="BD27">
        <v>930007</v>
      </c>
      <c r="BE27" t="s">
        <v>4494</v>
      </c>
      <c r="BF27" t="s">
        <v>4495</v>
      </c>
      <c r="BG27">
        <v>88</v>
      </c>
      <c r="BH27">
        <v>10603</v>
      </c>
    </row>
    <row r="28" spans="1:61" x14ac:dyDescent="0.25">
      <c r="A28">
        <v>2003</v>
      </c>
      <c r="B28" t="s">
        <v>4600</v>
      </c>
      <c r="C28" t="s">
        <v>991</v>
      </c>
      <c r="D28" t="s">
        <v>991</v>
      </c>
      <c r="E28" t="s">
        <v>4601</v>
      </c>
      <c r="G28" t="s">
        <v>4486</v>
      </c>
      <c r="H28" t="s">
        <v>4602</v>
      </c>
      <c r="I28">
        <v>1</v>
      </c>
      <c r="J28">
        <v>2</v>
      </c>
      <c r="K28" t="s">
        <v>992</v>
      </c>
      <c r="L28">
        <v>5</v>
      </c>
      <c r="M28">
        <v>203</v>
      </c>
      <c r="N28" t="s">
        <v>974</v>
      </c>
      <c r="O28">
        <v>6</v>
      </c>
      <c r="P28">
        <v>0</v>
      </c>
      <c r="Q28">
        <v>4</v>
      </c>
      <c r="R28">
        <v>0</v>
      </c>
      <c r="S28">
        <v>1</v>
      </c>
      <c r="T28">
        <v>0</v>
      </c>
      <c r="U28">
        <v>600701</v>
      </c>
      <c r="V28">
        <v>600703</v>
      </c>
      <c r="W28" t="s">
        <v>1807</v>
      </c>
      <c r="X28" t="s">
        <v>4500</v>
      </c>
      <c r="Y28" t="s">
        <v>4603</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4493</v>
      </c>
      <c r="BC28" t="s">
        <v>1807</v>
      </c>
      <c r="BD28">
        <v>910015</v>
      </c>
      <c r="BE28" t="s">
        <v>4494</v>
      </c>
      <c r="BF28" t="s">
        <v>4495</v>
      </c>
      <c r="BG28">
        <v>100</v>
      </c>
      <c r="BH28">
        <v>0</v>
      </c>
    </row>
    <row r="29" spans="1:61" x14ac:dyDescent="0.25">
      <c r="A29">
        <v>2014</v>
      </c>
      <c r="B29" t="s">
        <v>4604</v>
      </c>
      <c r="C29" t="s">
        <v>1005</v>
      </c>
      <c r="D29" t="s">
        <v>1005</v>
      </c>
      <c r="E29" t="s">
        <v>4605</v>
      </c>
      <c r="G29" t="s">
        <v>4486</v>
      </c>
      <c r="H29" t="s">
        <v>4606</v>
      </c>
      <c r="I29">
        <v>1</v>
      </c>
      <c r="J29">
        <v>2</v>
      </c>
      <c r="K29" t="s">
        <v>992</v>
      </c>
      <c r="L29">
        <v>5</v>
      </c>
      <c r="M29">
        <v>214</v>
      </c>
      <c r="N29" t="s">
        <v>974</v>
      </c>
      <c r="O29">
        <v>6</v>
      </c>
      <c r="P29">
        <v>0</v>
      </c>
      <c r="Q29">
        <v>4</v>
      </c>
      <c r="R29">
        <v>0</v>
      </c>
      <c r="S29">
        <v>1</v>
      </c>
      <c r="T29">
        <v>0</v>
      </c>
      <c r="U29">
        <v>902200</v>
      </c>
      <c r="V29">
        <v>902201</v>
      </c>
      <c r="W29" t="s">
        <v>1807</v>
      </c>
      <c r="X29" t="s">
        <v>4500</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4493</v>
      </c>
      <c r="BC29" t="s">
        <v>1807</v>
      </c>
      <c r="BD29">
        <v>911011</v>
      </c>
      <c r="BE29" t="s">
        <v>4494</v>
      </c>
      <c r="BF29" t="s">
        <v>4495</v>
      </c>
      <c r="BG29">
        <v>95</v>
      </c>
      <c r="BH29">
        <v>0</v>
      </c>
    </row>
    <row r="30" spans="1:61" x14ac:dyDescent="0.25">
      <c r="A30">
        <v>2001</v>
      </c>
      <c r="B30" t="s">
        <v>4607</v>
      </c>
      <c r="C30" t="s">
        <v>989</v>
      </c>
      <c r="D30" t="s">
        <v>989</v>
      </c>
      <c r="E30" t="s">
        <v>4608</v>
      </c>
      <c r="G30" t="s">
        <v>4486</v>
      </c>
      <c r="H30" t="s">
        <v>4609</v>
      </c>
      <c r="I30">
        <v>1</v>
      </c>
      <c r="J30">
        <v>2</v>
      </c>
      <c r="K30" t="s">
        <v>976</v>
      </c>
      <c r="L30">
        <v>5</v>
      </c>
      <c r="M30">
        <v>201</v>
      </c>
      <c r="N30" t="s">
        <v>974</v>
      </c>
      <c r="O30">
        <v>4</v>
      </c>
      <c r="P30">
        <v>0</v>
      </c>
      <c r="Q30">
        <v>4</v>
      </c>
      <c r="R30">
        <v>0</v>
      </c>
      <c r="S30">
        <v>1</v>
      </c>
      <c r="T30">
        <v>0</v>
      </c>
      <c r="U30">
        <v>900578</v>
      </c>
      <c r="V30">
        <v>900579</v>
      </c>
      <c r="W30" t="s">
        <v>1807</v>
      </c>
      <c r="X30" t="s">
        <v>4500</v>
      </c>
      <c r="Y30" t="s">
        <v>4610</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4493</v>
      </c>
      <c r="BC30" t="s">
        <v>1807</v>
      </c>
      <c r="BD30">
        <v>910017</v>
      </c>
      <c r="BE30" t="s">
        <v>4494</v>
      </c>
      <c r="BF30" t="s">
        <v>4495</v>
      </c>
      <c r="BG30">
        <v>75</v>
      </c>
      <c r="BH30">
        <v>0</v>
      </c>
    </row>
    <row r="31" spans="1:61" x14ac:dyDescent="0.25">
      <c r="A31">
        <v>2002</v>
      </c>
      <c r="B31" t="s">
        <v>4611</v>
      </c>
      <c r="C31" t="s">
        <v>990</v>
      </c>
      <c r="D31" t="s">
        <v>990</v>
      </c>
      <c r="E31" t="s">
        <v>4612</v>
      </c>
      <c r="G31" t="s">
        <v>4486</v>
      </c>
      <c r="H31" t="s">
        <v>4613</v>
      </c>
      <c r="I31">
        <v>1</v>
      </c>
      <c r="J31">
        <v>2</v>
      </c>
      <c r="K31" t="s">
        <v>976</v>
      </c>
      <c r="L31">
        <v>5</v>
      </c>
      <c r="M31">
        <v>202</v>
      </c>
      <c r="N31" t="s">
        <v>974</v>
      </c>
      <c r="O31">
        <v>6</v>
      </c>
      <c r="P31">
        <v>0</v>
      </c>
      <c r="Q31">
        <v>4</v>
      </c>
      <c r="R31">
        <v>0</v>
      </c>
      <c r="S31">
        <v>1</v>
      </c>
      <c r="T31">
        <v>0</v>
      </c>
      <c r="U31">
        <v>900520</v>
      </c>
      <c r="V31">
        <v>900527</v>
      </c>
      <c r="W31" t="s">
        <v>1807</v>
      </c>
      <c r="X31" t="s">
        <v>4614</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4493</v>
      </c>
      <c r="BC31" t="s">
        <v>1807</v>
      </c>
      <c r="BD31">
        <v>910008</v>
      </c>
      <c r="BE31" t="s">
        <v>4494</v>
      </c>
      <c r="BF31" t="s">
        <v>4495</v>
      </c>
      <c r="BG31">
        <v>90</v>
      </c>
      <c r="BH31">
        <v>0</v>
      </c>
    </row>
    <row r="32" spans="1:61" x14ac:dyDescent="0.25">
      <c r="A32">
        <v>2012</v>
      </c>
      <c r="B32" t="s">
        <v>4615</v>
      </c>
      <c r="C32" t="s">
        <v>1003</v>
      </c>
      <c r="D32" t="s">
        <v>1003</v>
      </c>
      <c r="E32" t="s">
        <v>4616</v>
      </c>
      <c r="G32" t="s">
        <v>4486</v>
      </c>
      <c r="H32" t="s">
        <v>4617</v>
      </c>
      <c r="I32">
        <v>1</v>
      </c>
      <c r="J32">
        <v>2</v>
      </c>
      <c r="K32" t="s">
        <v>976</v>
      </c>
      <c r="L32">
        <v>5</v>
      </c>
      <c r="M32">
        <v>212</v>
      </c>
      <c r="N32" t="s">
        <v>974</v>
      </c>
      <c r="O32">
        <v>6</v>
      </c>
      <c r="P32">
        <v>0</v>
      </c>
      <c r="Q32">
        <v>4</v>
      </c>
      <c r="R32">
        <v>0</v>
      </c>
      <c r="S32">
        <v>1</v>
      </c>
      <c r="T32">
        <v>0</v>
      </c>
      <c r="U32">
        <v>900982</v>
      </c>
      <c r="V32">
        <v>900981</v>
      </c>
      <c r="W32" t="s">
        <v>1807</v>
      </c>
      <c r="X32" t="s">
        <v>4500</v>
      </c>
      <c r="Y32" t="s">
        <v>4618</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4493</v>
      </c>
      <c r="BC32" t="s">
        <v>1807</v>
      </c>
      <c r="BD32">
        <v>911008</v>
      </c>
      <c r="BE32" t="s">
        <v>4494</v>
      </c>
      <c r="BF32" t="s">
        <v>4495</v>
      </c>
      <c r="BG32">
        <v>90</v>
      </c>
      <c r="BH32">
        <v>0</v>
      </c>
    </row>
    <row r="33" spans="1:61" x14ac:dyDescent="0.25">
      <c r="A33">
        <v>2016</v>
      </c>
      <c r="B33" t="s">
        <v>5661</v>
      </c>
      <c r="C33" t="s">
        <v>5665</v>
      </c>
      <c r="D33" t="s">
        <v>5662</v>
      </c>
      <c r="E33" t="s">
        <v>5663</v>
      </c>
      <c r="G33" t="s">
        <v>4486</v>
      </c>
      <c r="H33" t="s">
        <v>5664</v>
      </c>
      <c r="I33">
        <v>1</v>
      </c>
      <c r="J33">
        <v>2</v>
      </c>
      <c r="K33" t="s">
        <v>976</v>
      </c>
      <c r="L33">
        <v>5</v>
      </c>
      <c r="M33">
        <v>216</v>
      </c>
      <c r="N33" t="s">
        <v>974</v>
      </c>
      <c r="O33">
        <v>6</v>
      </c>
      <c r="P33">
        <v>0</v>
      </c>
      <c r="Q33">
        <v>4</v>
      </c>
      <c r="R33">
        <v>0</v>
      </c>
      <c r="S33">
        <v>1</v>
      </c>
      <c r="T33">
        <v>0</v>
      </c>
      <c r="U33">
        <v>900746</v>
      </c>
      <c r="V33">
        <v>750298</v>
      </c>
      <c r="W33" t="s">
        <v>1807</v>
      </c>
      <c r="X33" t="s">
        <v>4500</v>
      </c>
      <c r="Y33" t="s">
        <v>4622</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4493</v>
      </c>
      <c r="BC33" t="s">
        <v>1807</v>
      </c>
      <c r="BD33">
        <v>913124</v>
      </c>
      <c r="BE33" t="s">
        <v>4494</v>
      </c>
      <c r="BF33" t="s">
        <v>4495</v>
      </c>
      <c r="BG33">
        <v>95</v>
      </c>
      <c r="BH33">
        <v>0</v>
      </c>
    </row>
    <row r="34" spans="1:61" x14ac:dyDescent="0.25">
      <c r="A34">
        <v>2008</v>
      </c>
      <c r="B34" t="s">
        <v>4619</v>
      </c>
      <c r="C34" t="s">
        <v>998</v>
      </c>
      <c r="D34" t="s">
        <v>998</v>
      </c>
      <c r="E34" t="s">
        <v>4620</v>
      </c>
      <c r="G34" t="s">
        <v>4486</v>
      </c>
      <c r="H34" t="s">
        <v>4621</v>
      </c>
      <c r="I34">
        <v>1</v>
      </c>
      <c r="J34">
        <v>2</v>
      </c>
      <c r="K34" t="s">
        <v>976</v>
      </c>
      <c r="L34">
        <v>5</v>
      </c>
      <c r="M34">
        <v>208</v>
      </c>
      <c r="N34" t="s">
        <v>974</v>
      </c>
      <c r="O34">
        <v>6</v>
      </c>
      <c r="P34">
        <v>0</v>
      </c>
      <c r="Q34">
        <v>4</v>
      </c>
      <c r="R34">
        <v>0</v>
      </c>
      <c r="S34">
        <v>1</v>
      </c>
      <c r="T34">
        <v>0</v>
      </c>
      <c r="U34">
        <v>900746</v>
      </c>
      <c r="V34">
        <v>900744</v>
      </c>
      <c r="W34" t="s">
        <v>1807</v>
      </c>
      <c r="X34" t="s">
        <v>4500</v>
      </c>
      <c r="Y34" t="s">
        <v>4622</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4493</v>
      </c>
      <c r="BC34" t="s">
        <v>1807</v>
      </c>
      <c r="BD34">
        <v>911007</v>
      </c>
      <c r="BE34" t="s">
        <v>4494</v>
      </c>
      <c r="BF34" t="s">
        <v>4495</v>
      </c>
      <c r="BG34">
        <v>90</v>
      </c>
      <c r="BH34">
        <v>0</v>
      </c>
    </row>
    <row r="35" spans="1:61" x14ac:dyDescent="0.25">
      <c r="A35">
        <v>2015</v>
      </c>
      <c r="B35" t="s">
        <v>4496</v>
      </c>
      <c r="C35" t="s">
        <v>4497</v>
      </c>
      <c r="D35" t="s">
        <v>4497</v>
      </c>
      <c r="E35" t="s">
        <v>4498</v>
      </c>
      <c r="G35" t="s">
        <v>4486</v>
      </c>
      <c r="H35" t="s">
        <v>4499</v>
      </c>
      <c r="I35">
        <v>1</v>
      </c>
      <c r="J35">
        <v>2</v>
      </c>
      <c r="K35" t="s">
        <v>973</v>
      </c>
      <c r="L35">
        <v>5</v>
      </c>
      <c r="M35">
        <v>215</v>
      </c>
      <c r="N35" t="s">
        <v>974</v>
      </c>
      <c r="O35">
        <v>6</v>
      </c>
      <c r="P35">
        <v>0</v>
      </c>
      <c r="Q35">
        <v>4</v>
      </c>
      <c r="R35">
        <v>0</v>
      </c>
      <c r="S35">
        <v>1</v>
      </c>
      <c r="T35">
        <v>0</v>
      </c>
      <c r="U35">
        <v>750056</v>
      </c>
      <c r="V35">
        <v>750058</v>
      </c>
      <c r="W35" t="s">
        <v>1807</v>
      </c>
      <c r="X35" t="s">
        <v>4500</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4493</v>
      </c>
      <c r="BC35" t="s">
        <v>1807</v>
      </c>
      <c r="BD35">
        <v>911006</v>
      </c>
      <c r="BE35" t="s">
        <v>4494</v>
      </c>
      <c r="BF35" t="s">
        <v>4495</v>
      </c>
      <c r="BG35">
        <v>95</v>
      </c>
      <c r="BH35">
        <v>0</v>
      </c>
    </row>
    <row r="36" spans="1:61" x14ac:dyDescent="0.25">
      <c r="A36">
        <v>2006</v>
      </c>
      <c r="B36" t="s">
        <v>4623</v>
      </c>
      <c r="C36" t="s">
        <v>997</v>
      </c>
      <c r="D36" t="s">
        <v>997</v>
      </c>
      <c r="E36" t="s">
        <v>4624</v>
      </c>
      <c r="G36" t="s">
        <v>4486</v>
      </c>
      <c r="H36" t="s">
        <v>4625</v>
      </c>
      <c r="I36">
        <v>1</v>
      </c>
      <c r="J36">
        <v>2</v>
      </c>
      <c r="K36" t="s">
        <v>994</v>
      </c>
      <c r="L36">
        <v>1</v>
      </c>
      <c r="M36">
        <v>206</v>
      </c>
      <c r="N36" t="s">
        <v>974</v>
      </c>
      <c r="O36">
        <v>10</v>
      </c>
      <c r="P36">
        <v>0</v>
      </c>
      <c r="Q36">
        <v>4</v>
      </c>
      <c r="R36">
        <v>0</v>
      </c>
      <c r="S36">
        <v>1</v>
      </c>
      <c r="T36">
        <v>0</v>
      </c>
      <c r="U36">
        <v>900617</v>
      </c>
      <c r="V36">
        <v>900618</v>
      </c>
      <c r="W36" t="s">
        <v>1807</v>
      </c>
      <c r="X36" t="s">
        <v>4626</v>
      </c>
      <c r="Y36" t="s">
        <v>4627</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4493</v>
      </c>
      <c r="BC36" t="s">
        <v>1807</v>
      </c>
      <c r="BD36">
        <v>910010</v>
      </c>
      <c r="BE36" t="s">
        <v>4494</v>
      </c>
      <c r="BF36" t="s">
        <v>4495</v>
      </c>
      <c r="BG36">
        <v>100</v>
      </c>
      <c r="BH36">
        <v>0</v>
      </c>
    </row>
    <row r="37" spans="1:61" x14ac:dyDescent="0.25">
      <c r="A37">
        <v>2004</v>
      </c>
      <c r="B37" t="s">
        <v>4628</v>
      </c>
      <c r="C37" t="s">
        <v>993</v>
      </c>
      <c r="D37" t="s">
        <v>993</v>
      </c>
      <c r="E37" t="s">
        <v>4629</v>
      </c>
      <c r="G37" t="s">
        <v>4486</v>
      </c>
      <c r="H37" t="s">
        <v>4630</v>
      </c>
      <c r="I37">
        <v>1</v>
      </c>
      <c r="J37">
        <v>2</v>
      </c>
      <c r="K37" t="s">
        <v>994</v>
      </c>
      <c r="L37">
        <v>5</v>
      </c>
      <c r="M37">
        <v>204</v>
      </c>
      <c r="N37" t="s">
        <v>974</v>
      </c>
      <c r="O37">
        <v>6</v>
      </c>
      <c r="P37">
        <v>0</v>
      </c>
      <c r="Q37">
        <v>4</v>
      </c>
      <c r="R37">
        <v>0</v>
      </c>
      <c r="S37">
        <v>1</v>
      </c>
      <c r="T37">
        <v>0</v>
      </c>
      <c r="U37">
        <v>900612</v>
      </c>
      <c r="V37">
        <v>900613</v>
      </c>
      <c r="W37" t="s">
        <v>1807</v>
      </c>
      <c r="X37" t="s">
        <v>4500</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4493</v>
      </c>
      <c r="BC37" t="s">
        <v>1807</v>
      </c>
      <c r="BD37">
        <v>910016</v>
      </c>
      <c r="BE37" t="s">
        <v>4494</v>
      </c>
      <c r="BF37" t="s">
        <v>4495</v>
      </c>
      <c r="BG37">
        <v>100</v>
      </c>
      <c r="BH37">
        <v>0</v>
      </c>
    </row>
    <row r="38" spans="1:61" x14ac:dyDescent="0.25">
      <c r="A38">
        <v>2011</v>
      </c>
      <c r="B38" t="s">
        <v>4631</v>
      </c>
      <c r="C38" t="s">
        <v>1001</v>
      </c>
      <c r="D38" t="s">
        <v>1001</v>
      </c>
      <c r="E38" t="s">
        <v>4632</v>
      </c>
      <c r="G38" t="s">
        <v>4486</v>
      </c>
      <c r="H38" t="s">
        <v>4633</v>
      </c>
      <c r="I38">
        <v>1</v>
      </c>
      <c r="J38">
        <v>2</v>
      </c>
      <c r="K38" t="s">
        <v>1002</v>
      </c>
      <c r="L38">
        <v>5</v>
      </c>
      <c r="M38">
        <v>211</v>
      </c>
      <c r="N38" t="s">
        <v>974</v>
      </c>
      <c r="O38">
        <v>4</v>
      </c>
      <c r="P38">
        <v>0</v>
      </c>
      <c r="Q38">
        <v>4</v>
      </c>
      <c r="R38">
        <v>0</v>
      </c>
      <c r="S38">
        <v>1</v>
      </c>
      <c r="T38">
        <v>0</v>
      </c>
      <c r="U38">
        <v>900934</v>
      </c>
      <c r="V38">
        <v>900937</v>
      </c>
      <c r="W38" t="s">
        <v>1807</v>
      </c>
      <c r="X38" t="s">
        <v>4500</v>
      </c>
      <c r="Y38" t="s">
        <v>4634</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4493</v>
      </c>
      <c r="BC38" t="s">
        <v>1807</v>
      </c>
      <c r="BD38">
        <v>911001</v>
      </c>
      <c r="BE38" t="s">
        <v>4494</v>
      </c>
      <c r="BF38" t="s">
        <v>4495</v>
      </c>
      <c r="BG38">
        <v>80</v>
      </c>
      <c r="BH38">
        <v>0</v>
      </c>
    </row>
    <row r="39" spans="1:61" x14ac:dyDescent="0.25">
      <c r="A39">
        <v>2018</v>
      </c>
      <c r="B39" t="s">
        <v>6534</v>
      </c>
      <c r="C39" t="s">
        <v>6542</v>
      </c>
      <c r="D39" t="s">
        <v>6535</v>
      </c>
      <c r="E39" t="s">
        <v>6536</v>
      </c>
      <c r="G39" t="s">
        <v>4486</v>
      </c>
      <c r="H39" t="s">
        <v>6537</v>
      </c>
      <c r="I39">
        <v>1</v>
      </c>
      <c r="J39">
        <v>2</v>
      </c>
      <c r="K39" t="s">
        <v>994</v>
      </c>
      <c r="L39">
        <v>1</v>
      </c>
      <c r="M39">
        <v>218</v>
      </c>
      <c r="N39" t="s">
        <v>6538</v>
      </c>
      <c r="O39">
        <v>8</v>
      </c>
      <c r="P39">
        <v>0</v>
      </c>
      <c r="Q39">
        <v>4</v>
      </c>
      <c r="R39">
        <v>0</v>
      </c>
      <c r="S39">
        <v>1</v>
      </c>
      <c r="T39">
        <v>0</v>
      </c>
      <c r="U39">
        <v>750433</v>
      </c>
      <c r="V39">
        <v>750444</v>
      </c>
      <c r="W39" t="s">
        <v>1807</v>
      </c>
      <c r="X39" t="s">
        <v>6539</v>
      </c>
      <c r="Y39" t="s">
        <v>6540</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4493</v>
      </c>
      <c r="BC39" t="s">
        <v>1807</v>
      </c>
      <c r="BD39">
        <v>913217</v>
      </c>
      <c r="BE39" t="s">
        <v>4494</v>
      </c>
      <c r="BF39" t="s">
        <v>4495</v>
      </c>
      <c r="BG39">
        <v>100</v>
      </c>
      <c r="BH39">
        <v>0</v>
      </c>
      <c r="BI39">
        <v>0</v>
      </c>
    </row>
    <row r="40" spans="1:61" x14ac:dyDescent="0.25">
      <c r="A40">
        <v>2009</v>
      </c>
      <c r="B40" t="s">
        <v>4635</v>
      </c>
      <c r="C40" t="s">
        <v>999</v>
      </c>
      <c r="D40" t="s">
        <v>999</v>
      </c>
      <c r="E40" t="s">
        <v>4636</v>
      </c>
      <c r="G40" t="s">
        <v>4486</v>
      </c>
      <c r="H40" t="s">
        <v>4637</v>
      </c>
      <c r="I40">
        <v>1</v>
      </c>
      <c r="J40">
        <v>2</v>
      </c>
      <c r="K40" t="s">
        <v>973</v>
      </c>
      <c r="L40">
        <v>5</v>
      </c>
      <c r="M40">
        <v>209</v>
      </c>
      <c r="N40" t="s">
        <v>974</v>
      </c>
      <c r="O40">
        <v>6</v>
      </c>
      <c r="P40">
        <v>0</v>
      </c>
      <c r="Q40">
        <v>4</v>
      </c>
      <c r="R40">
        <v>0</v>
      </c>
      <c r="S40">
        <v>1</v>
      </c>
      <c r="T40">
        <v>0</v>
      </c>
      <c r="U40">
        <v>900770</v>
      </c>
      <c r="V40">
        <v>910774</v>
      </c>
      <c r="W40" t="s">
        <v>1807</v>
      </c>
      <c r="X40" t="s">
        <v>4638</v>
      </c>
      <c r="Y40" t="s">
        <v>4639</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4493</v>
      </c>
      <c r="BC40" t="s">
        <v>1807</v>
      </c>
      <c r="BD40">
        <v>911104</v>
      </c>
      <c r="BE40" t="s">
        <v>4494</v>
      </c>
      <c r="BF40" t="s">
        <v>4495</v>
      </c>
      <c r="BG40">
        <v>90</v>
      </c>
      <c r="BH40">
        <v>0</v>
      </c>
    </row>
    <row r="41" spans="1:61" x14ac:dyDescent="0.25">
      <c r="A41">
        <v>2013</v>
      </c>
      <c r="B41" t="s">
        <v>4640</v>
      </c>
      <c r="C41" t="s">
        <v>1004</v>
      </c>
      <c r="D41" t="s">
        <v>1004</v>
      </c>
      <c r="E41" t="s">
        <v>4641</v>
      </c>
      <c r="G41" t="s">
        <v>4486</v>
      </c>
      <c r="H41" t="s">
        <v>4642</v>
      </c>
      <c r="I41">
        <v>1</v>
      </c>
      <c r="J41">
        <v>2</v>
      </c>
      <c r="K41" t="s">
        <v>973</v>
      </c>
      <c r="L41">
        <v>5</v>
      </c>
      <c r="M41">
        <v>213</v>
      </c>
      <c r="N41" t="s">
        <v>974</v>
      </c>
      <c r="O41">
        <v>6</v>
      </c>
      <c r="P41">
        <v>0</v>
      </c>
      <c r="Q41">
        <v>4</v>
      </c>
      <c r="R41">
        <v>0</v>
      </c>
      <c r="S41">
        <v>1</v>
      </c>
      <c r="T41">
        <v>0</v>
      </c>
      <c r="U41">
        <v>901251</v>
      </c>
      <c r="V41">
        <v>901253</v>
      </c>
      <c r="W41" t="s">
        <v>1807</v>
      </c>
      <c r="X41" t="s">
        <v>4643</v>
      </c>
      <c r="Y41" t="s">
        <v>4644</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4493</v>
      </c>
      <c r="BC41" t="s">
        <v>1807</v>
      </c>
      <c r="BD41">
        <v>911012</v>
      </c>
      <c r="BE41" t="s">
        <v>4494</v>
      </c>
      <c r="BF41" t="s">
        <v>4495</v>
      </c>
      <c r="BG41">
        <v>95</v>
      </c>
      <c r="BH41">
        <v>0</v>
      </c>
    </row>
    <row r="42" spans="1:61" x14ac:dyDescent="0.25">
      <c r="A42">
        <v>2005</v>
      </c>
      <c r="B42" t="s">
        <v>4645</v>
      </c>
      <c r="C42" t="s">
        <v>995</v>
      </c>
      <c r="D42" t="s">
        <v>995</v>
      </c>
      <c r="E42" t="s">
        <v>4646</v>
      </c>
      <c r="G42" t="s">
        <v>4486</v>
      </c>
      <c r="H42" t="s">
        <v>4647</v>
      </c>
      <c r="I42">
        <v>1</v>
      </c>
      <c r="J42">
        <v>2</v>
      </c>
      <c r="K42" t="s">
        <v>996</v>
      </c>
      <c r="L42">
        <v>5</v>
      </c>
      <c r="M42">
        <v>205</v>
      </c>
      <c r="N42" t="s">
        <v>974</v>
      </c>
      <c r="O42">
        <v>3</v>
      </c>
      <c r="P42">
        <v>0</v>
      </c>
      <c r="Q42">
        <v>4</v>
      </c>
      <c r="R42">
        <v>0</v>
      </c>
      <c r="S42">
        <v>1</v>
      </c>
      <c r="T42">
        <v>0</v>
      </c>
      <c r="U42">
        <v>900653</v>
      </c>
      <c r="V42">
        <v>900661</v>
      </c>
      <c r="W42" t="s">
        <v>1807</v>
      </c>
      <c r="X42" t="s">
        <v>4648</v>
      </c>
      <c r="Y42" t="s">
        <v>4649</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4493</v>
      </c>
      <c r="BC42" t="s">
        <v>1807</v>
      </c>
      <c r="BD42">
        <v>910018</v>
      </c>
      <c r="BE42" t="s">
        <v>4494</v>
      </c>
      <c r="BF42" t="s">
        <v>4495</v>
      </c>
      <c r="BG42">
        <v>100</v>
      </c>
      <c r="BH42">
        <v>0</v>
      </c>
    </row>
    <row r="43" spans="1:61" x14ac:dyDescent="0.25">
      <c r="A43">
        <v>2017</v>
      </c>
      <c r="B43" t="s">
        <v>6358</v>
      </c>
      <c r="C43" t="s">
        <v>6365</v>
      </c>
      <c r="D43" t="s">
        <v>6359</v>
      </c>
      <c r="E43" t="s">
        <v>6360</v>
      </c>
      <c r="G43" t="s">
        <v>4486</v>
      </c>
      <c r="H43" t="s">
        <v>6361</v>
      </c>
      <c r="I43">
        <v>1</v>
      </c>
      <c r="J43">
        <v>2</v>
      </c>
      <c r="K43" t="s">
        <v>973</v>
      </c>
      <c r="L43">
        <v>5</v>
      </c>
      <c r="M43">
        <v>217</v>
      </c>
      <c r="N43" t="s">
        <v>974</v>
      </c>
      <c r="O43">
        <v>6</v>
      </c>
      <c r="P43">
        <v>0</v>
      </c>
      <c r="Q43">
        <v>4</v>
      </c>
      <c r="R43">
        <v>0</v>
      </c>
      <c r="S43">
        <v>1</v>
      </c>
      <c r="T43">
        <v>0</v>
      </c>
      <c r="U43">
        <v>900841</v>
      </c>
      <c r="V43">
        <v>750377</v>
      </c>
      <c r="W43" t="s">
        <v>1807</v>
      </c>
      <c r="X43" t="s">
        <v>4500</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4493</v>
      </c>
      <c r="BC43" t="s">
        <v>1807</v>
      </c>
      <c r="BD43">
        <v>913101</v>
      </c>
      <c r="BE43" t="s">
        <v>4494</v>
      </c>
      <c r="BF43" t="s">
        <v>4495</v>
      </c>
      <c r="BG43">
        <v>90</v>
      </c>
      <c r="BH43">
        <v>0</v>
      </c>
      <c r="BI43">
        <v>0</v>
      </c>
    </row>
    <row r="44" spans="1:61" x14ac:dyDescent="0.25">
      <c r="A44">
        <v>2010</v>
      </c>
      <c r="B44" t="s">
        <v>4650</v>
      </c>
      <c r="C44" t="s">
        <v>1000</v>
      </c>
      <c r="D44" t="s">
        <v>1000</v>
      </c>
      <c r="E44" t="s">
        <v>4651</v>
      </c>
      <c r="G44" t="s">
        <v>4486</v>
      </c>
      <c r="H44" t="s">
        <v>4652</v>
      </c>
      <c r="I44">
        <v>1</v>
      </c>
      <c r="J44">
        <v>2</v>
      </c>
      <c r="K44" t="s">
        <v>973</v>
      </c>
      <c r="L44">
        <v>5</v>
      </c>
      <c r="M44">
        <v>210</v>
      </c>
      <c r="N44" t="s">
        <v>974</v>
      </c>
      <c r="O44">
        <v>6</v>
      </c>
      <c r="P44">
        <v>0</v>
      </c>
      <c r="Q44">
        <v>4</v>
      </c>
      <c r="R44">
        <v>0</v>
      </c>
      <c r="S44">
        <v>1</v>
      </c>
      <c r="T44">
        <v>0</v>
      </c>
      <c r="U44">
        <v>900841</v>
      </c>
      <c r="V44">
        <v>900842</v>
      </c>
      <c r="W44" t="s">
        <v>1807</v>
      </c>
      <c r="X44" t="s">
        <v>4500</v>
      </c>
      <c r="Y44" t="s">
        <v>4653</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4493</v>
      </c>
      <c r="BC44" t="s">
        <v>1807</v>
      </c>
      <c r="BD44">
        <v>911105</v>
      </c>
      <c r="BE44" t="s">
        <v>4494</v>
      </c>
      <c r="BF44" t="s">
        <v>4495</v>
      </c>
      <c r="BG44">
        <v>90</v>
      </c>
      <c r="BH44">
        <v>0</v>
      </c>
    </row>
    <row r="45" spans="1:61" x14ac:dyDescent="0.25">
      <c r="A45">
        <v>3006</v>
      </c>
      <c r="B45" t="s">
        <v>4654</v>
      </c>
      <c r="C45" t="s">
        <v>1011</v>
      </c>
      <c r="D45" t="s">
        <v>1011</v>
      </c>
      <c r="E45" t="s">
        <v>4655</v>
      </c>
      <c r="G45" t="s">
        <v>4486</v>
      </c>
      <c r="H45" t="s">
        <v>4656</v>
      </c>
      <c r="I45">
        <v>1</v>
      </c>
      <c r="J45">
        <v>3</v>
      </c>
      <c r="K45" t="s">
        <v>1002</v>
      </c>
      <c r="L45">
        <v>5</v>
      </c>
      <c r="M45">
        <v>306</v>
      </c>
      <c r="N45" t="s">
        <v>974</v>
      </c>
      <c r="O45">
        <v>2</v>
      </c>
      <c r="P45">
        <v>0</v>
      </c>
      <c r="Q45">
        <v>3</v>
      </c>
      <c r="R45">
        <v>0</v>
      </c>
      <c r="S45">
        <v>1</v>
      </c>
      <c r="T45">
        <v>0</v>
      </c>
      <c r="U45">
        <v>0</v>
      </c>
      <c r="V45">
        <v>900676</v>
      </c>
      <c r="W45" t="s">
        <v>1807</v>
      </c>
      <c r="X45" t="s">
        <v>4648</v>
      </c>
      <c r="Y45" t="s">
        <v>4657</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4493</v>
      </c>
      <c r="BC45" t="s">
        <v>1807</v>
      </c>
      <c r="BD45">
        <v>910003</v>
      </c>
      <c r="BE45" t="s">
        <v>4494</v>
      </c>
      <c r="BF45" t="s">
        <v>4495</v>
      </c>
      <c r="BG45">
        <v>95</v>
      </c>
      <c r="BH45">
        <v>0</v>
      </c>
    </row>
    <row r="46" spans="1:61" x14ac:dyDescent="0.25">
      <c r="A46">
        <v>3010</v>
      </c>
      <c r="B46" t="s">
        <v>4658</v>
      </c>
      <c r="C46" t="s">
        <v>1016</v>
      </c>
      <c r="D46" t="s">
        <v>1016</v>
      </c>
      <c r="E46" t="s">
        <v>4659</v>
      </c>
      <c r="G46" t="s">
        <v>4486</v>
      </c>
      <c r="H46" t="s">
        <v>4660</v>
      </c>
      <c r="I46">
        <v>1</v>
      </c>
      <c r="J46">
        <v>3</v>
      </c>
      <c r="K46" t="s">
        <v>994</v>
      </c>
      <c r="L46">
        <v>1</v>
      </c>
      <c r="M46">
        <v>310</v>
      </c>
      <c r="N46" t="s">
        <v>974</v>
      </c>
      <c r="O46">
        <v>8</v>
      </c>
      <c r="P46">
        <v>0</v>
      </c>
      <c r="Q46">
        <v>3</v>
      </c>
      <c r="R46">
        <v>0</v>
      </c>
      <c r="S46">
        <v>1</v>
      </c>
      <c r="T46">
        <v>0</v>
      </c>
      <c r="U46">
        <v>0</v>
      </c>
      <c r="V46">
        <v>901041</v>
      </c>
      <c r="W46" t="s">
        <v>1807</v>
      </c>
      <c r="X46" t="s">
        <v>4661</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4493</v>
      </c>
      <c r="BC46" t="s">
        <v>1807</v>
      </c>
      <c r="BD46">
        <v>910021</v>
      </c>
      <c r="BE46" t="s">
        <v>4494</v>
      </c>
      <c r="BF46" t="s">
        <v>4495</v>
      </c>
      <c r="BG46">
        <v>100</v>
      </c>
      <c r="BH46">
        <v>0</v>
      </c>
    </row>
    <row r="47" spans="1:61" x14ac:dyDescent="0.25">
      <c r="A47">
        <v>3003</v>
      </c>
      <c r="B47" t="s">
        <v>4662</v>
      </c>
      <c r="C47" t="s">
        <v>1008</v>
      </c>
      <c r="D47" t="s">
        <v>1008</v>
      </c>
      <c r="E47" t="s">
        <v>4663</v>
      </c>
      <c r="G47" t="s">
        <v>4486</v>
      </c>
      <c r="H47" t="s">
        <v>4664</v>
      </c>
      <c r="I47">
        <v>1</v>
      </c>
      <c r="J47">
        <v>3</v>
      </c>
      <c r="K47" t="s">
        <v>976</v>
      </c>
      <c r="L47">
        <v>5</v>
      </c>
      <c r="M47">
        <v>303</v>
      </c>
      <c r="N47" t="s">
        <v>974</v>
      </c>
      <c r="O47">
        <v>4</v>
      </c>
      <c r="P47">
        <v>0</v>
      </c>
      <c r="Q47">
        <v>3</v>
      </c>
      <c r="R47">
        <v>0</v>
      </c>
      <c r="S47">
        <v>1</v>
      </c>
      <c r="T47">
        <v>0</v>
      </c>
      <c r="U47">
        <v>0</v>
      </c>
      <c r="V47">
        <v>900525</v>
      </c>
      <c r="W47" t="s">
        <v>1807</v>
      </c>
      <c r="X47" t="s">
        <v>4500</v>
      </c>
      <c r="Y47" t="s">
        <v>4665</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4493</v>
      </c>
      <c r="BC47" t="s">
        <v>1807</v>
      </c>
      <c r="BD47">
        <v>910007</v>
      </c>
      <c r="BE47" t="s">
        <v>4494</v>
      </c>
      <c r="BF47" t="s">
        <v>4495</v>
      </c>
      <c r="BG47">
        <v>92</v>
      </c>
      <c r="BH47">
        <v>0</v>
      </c>
    </row>
    <row r="48" spans="1:61" x14ac:dyDescent="0.25">
      <c r="A48">
        <v>3004</v>
      </c>
      <c r="B48" t="s">
        <v>4666</v>
      </c>
      <c r="C48" t="s">
        <v>1009</v>
      </c>
      <c r="D48" t="s">
        <v>1009</v>
      </c>
      <c r="E48" t="s">
        <v>4667</v>
      </c>
      <c r="G48" t="s">
        <v>4486</v>
      </c>
      <c r="H48" t="s">
        <v>4668</v>
      </c>
      <c r="I48">
        <v>1</v>
      </c>
      <c r="J48">
        <v>3</v>
      </c>
      <c r="K48" t="s">
        <v>973</v>
      </c>
      <c r="L48">
        <v>5</v>
      </c>
      <c r="M48">
        <v>304</v>
      </c>
      <c r="N48" t="s">
        <v>974</v>
      </c>
      <c r="O48">
        <v>4</v>
      </c>
      <c r="P48">
        <v>0</v>
      </c>
      <c r="Q48">
        <v>3</v>
      </c>
      <c r="R48">
        <v>0</v>
      </c>
      <c r="S48">
        <v>1</v>
      </c>
      <c r="T48">
        <v>0</v>
      </c>
      <c r="U48">
        <v>0</v>
      </c>
      <c r="V48">
        <v>900523</v>
      </c>
      <c r="W48" t="s">
        <v>1807</v>
      </c>
      <c r="X48" t="s">
        <v>4500</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4493</v>
      </c>
      <c r="BC48" t="s">
        <v>1807</v>
      </c>
      <c r="BD48">
        <v>910006</v>
      </c>
      <c r="BE48" t="s">
        <v>4494</v>
      </c>
      <c r="BF48" t="s">
        <v>4495</v>
      </c>
      <c r="BG48">
        <v>100</v>
      </c>
      <c r="BH48">
        <v>0</v>
      </c>
    </row>
    <row r="49" spans="1:60" x14ac:dyDescent="0.25">
      <c r="A49">
        <v>3009</v>
      </c>
      <c r="B49" t="s">
        <v>4669</v>
      </c>
      <c r="C49" t="s">
        <v>1014</v>
      </c>
      <c r="D49" t="s">
        <v>1014</v>
      </c>
      <c r="E49" t="s">
        <v>4670</v>
      </c>
      <c r="G49" t="s">
        <v>4486</v>
      </c>
      <c r="H49" t="s">
        <v>4671</v>
      </c>
      <c r="I49">
        <v>1</v>
      </c>
      <c r="J49">
        <v>3</v>
      </c>
      <c r="K49" t="s">
        <v>1015</v>
      </c>
      <c r="L49">
        <v>5</v>
      </c>
      <c r="M49">
        <v>309</v>
      </c>
      <c r="N49" t="s">
        <v>974</v>
      </c>
      <c r="O49">
        <v>4</v>
      </c>
      <c r="P49">
        <v>0</v>
      </c>
      <c r="Q49">
        <v>3</v>
      </c>
      <c r="R49">
        <v>0</v>
      </c>
      <c r="S49">
        <v>1</v>
      </c>
      <c r="T49">
        <v>0</v>
      </c>
      <c r="U49">
        <v>0</v>
      </c>
      <c r="V49">
        <v>900741</v>
      </c>
      <c r="W49" t="s">
        <v>1807</v>
      </c>
      <c r="X49" t="s">
        <v>4500</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4493</v>
      </c>
      <c r="BC49" t="s">
        <v>1807</v>
      </c>
      <c r="BD49">
        <v>910009</v>
      </c>
      <c r="BE49" t="s">
        <v>4494</v>
      </c>
      <c r="BF49" t="s">
        <v>4495</v>
      </c>
      <c r="BG49">
        <v>80</v>
      </c>
      <c r="BH49">
        <v>0</v>
      </c>
    </row>
    <row r="50" spans="1:60" x14ac:dyDescent="0.25">
      <c r="A50">
        <v>3008</v>
      </c>
      <c r="B50" t="s">
        <v>4672</v>
      </c>
      <c r="C50" t="s">
        <v>1013</v>
      </c>
      <c r="D50" t="s">
        <v>1013</v>
      </c>
      <c r="E50" t="s">
        <v>4673</v>
      </c>
      <c r="G50" t="s">
        <v>4486</v>
      </c>
      <c r="H50" t="s">
        <v>4674</v>
      </c>
      <c r="I50">
        <v>1</v>
      </c>
      <c r="J50">
        <v>3</v>
      </c>
      <c r="K50" t="s">
        <v>1002</v>
      </c>
      <c r="L50">
        <v>5</v>
      </c>
      <c r="M50">
        <v>308</v>
      </c>
      <c r="N50" t="s">
        <v>974</v>
      </c>
      <c r="O50">
        <v>4</v>
      </c>
      <c r="P50">
        <v>0</v>
      </c>
      <c r="Q50">
        <v>3</v>
      </c>
      <c r="R50">
        <v>0</v>
      </c>
      <c r="S50">
        <v>1</v>
      </c>
      <c r="T50">
        <v>0</v>
      </c>
      <c r="U50">
        <v>0</v>
      </c>
      <c r="V50">
        <v>900575</v>
      </c>
      <c r="W50" t="s">
        <v>1807</v>
      </c>
      <c r="X50" t="s">
        <v>4500</v>
      </c>
      <c r="Y50" t="s">
        <v>4675</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4493</v>
      </c>
      <c r="BC50" t="s">
        <v>1807</v>
      </c>
      <c r="BD50">
        <v>910001</v>
      </c>
      <c r="BE50" t="s">
        <v>4494</v>
      </c>
      <c r="BF50" t="s">
        <v>4495</v>
      </c>
      <c r="BG50">
        <v>80</v>
      </c>
      <c r="BH50">
        <v>0</v>
      </c>
    </row>
    <row r="51" spans="1:60" x14ac:dyDescent="0.25">
      <c r="A51">
        <v>3001</v>
      </c>
      <c r="B51" t="s">
        <v>4676</v>
      </c>
      <c r="C51" t="s">
        <v>1006</v>
      </c>
      <c r="D51" t="s">
        <v>1006</v>
      </c>
      <c r="E51" t="s">
        <v>4677</v>
      </c>
      <c r="G51" t="s">
        <v>4486</v>
      </c>
      <c r="H51" t="s">
        <v>4678</v>
      </c>
      <c r="I51">
        <v>1</v>
      </c>
      <c r="J51">
        <v>3</v>
      </c>
      <c r="K51" t="s">
        <v>973</v>
      </c>
      <c r="L51">
        <v>5</v>
      </c>
      <c r="M51">
        <v>301</v>
      </c>
      <c r="N51" t="s">
        <v>974</v>
      </c>
      <c r="O51">
        <v>4</v>
      </c>
      <c r="P51">
        <v>0</v>
      </c>
      <c r="Q51">
        <v>3</v>
      </c>
      <c r="R51">
        <v>0</v>
      </c>
      <c r="S51">
        <v>1</v>
      </c>
      <c r="T51">
        <v>0</v>
      </c>
      <c r="U51">
        <v>0</v>
      </c>
      <c r="V51">
        <v>600501</v>
      </c>
      <c r="W51" t="s">
        <v>1807</v>
      </c>
      <c r="X51" t="s">
        <v>4500</v>
      </c>
      <c r="Y51" t="s">
        <v>4679</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4493</v>
      </c>
      <c r="BC51" t="s">
        <v>1807</v>
      </c>
      <c r="BD51">
        <v>910004</v>
      </c>
      <c r="BE51" t="s">
        <v>4494</v>
      </c>
      <c r="BF51" t="s">
        <v>4495</v>
      </c>
      <c r="BG51">
        <v>95</v>
      </c>
      <c r="BH51">
        <v>0</v>
      </c>
    </row>
    <row r="52" spans="1:60" x14ac:dyDescent="0.25">
      <c r="A52">
        <v>3007</v>
      </c>
      <c r="B52" t="s">
        <v>4680</v>
      </c>
      <c r="C52" t="s">
        <v>1012</v>
      </c>
      <c r="D52" t="s">
        <v>1012</v>
      </c>
      <c r="E52" t="s">
        <v>4681</v>
      </c>
      <c r="G52" t="s">
        <v>4486</v>
      </c>
      <c r="H52" t="s">
        <v>4682</v>
      </c>
      <c r="I52">
        <v>1</v>
      </c>
      <c r="J52">
        <v>3</v>
      </c>
      <c r="K52" t="s">
        <v>1002</v>
      </c>
      <c r="L52">
        <v>5</v>
      </c>
      <c r="M52">
        <v>307</v>
      </c>
      <c r="N52" t="s">
        <v>974</v>
      </c>
      <c r="O52">
        <v>4</v>
      </c>
      <c r="P52">
        <v>0</v>
      </c>
      <c r="Q52">
        <v>3</v>
      </c>
      <c r="R52">
        <v>0</v>
      </c>
      <c r="S52">
        <v>1</v>
      </c>
      <c r="T52">
        <v>0</v>
      </c>
      <c r="U52">
        <v>0</v>
      </c>
      <c r="V52">
        <v>900573</v>
      </c>
      <c r="W52" t="s">
        <v>1807</v>
      </c>
      <c r="X52" t="s">
        <v>4500</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4493</v>
      </c>
      <c r="BC52" t="s">
        <v>1807</v>
      </c>
      <c r="BD52">
        <v>910002</v>
      </c>
      <c r="BE52" t="s">
        <v>4494</v>
      </c>
      <c r="BF52" t="s">
        <v>4495</v>
      </c>
      <c r="BG52">
        <v>80</v>
      </c>
      <c r="BH52">
        <v>0</v>
      </c>
    </row>
    <row r="53" spans="1:60" x14ac:dyDescent="0.25">
      <c r="A53">
        <v>3005</v>
      </c>
      <c r="B53" t="s">
        <v>4683</v>
      </c>
      <c r="C53" t="s">
        <v>1010</v>
      </c>
      <c r="D53" t="s">
        <v>1010</v>
      </c>
      <c r="E53" t="s">
        <v>4684</v>
      </c>
      <c r="G53" t="s">
        <v>4486</v>
      </c>
      <c r="H53" t="s">
        <v>4685</v>
      </c>
      <c r="I53">
        <v>1</v>
      </c>
      <c r="J53">
        <v>3</v>
      </c>
      <c r="K53" t="s">
        <v>973</v>
      </c>
      <c r="L53">
        <v>5</v>
      </c>
      <c r="M53">
        <v>305</v>
      </c>
      <c r="N53" t="s">
        <v>974</v>
      </c>
      <c r="O53">
        <v>4</v>
      </c>
      <c r="P53">
        <v>0</v>
      </c>
      <c r="Q53">
        <v>3</v>
      </c>
      <c r="R53">
        <v>0</v>
      </c>
      <c r="S53">
        <v>1</v>
      </c>
      <c r="T53">
        <v>0</v>
      </c>
      <c r="U53">
        <v>0</v>
      </c>
      <c r="V53">
        <v>900571</v>
      </c>
      <c r="W53" t="s">
        <v>1807</v>
      </c>
      <c r="X53" t="s">
        <v>4500</v>
      </c>
      <c r="Y53" t="s">
        <v>4686</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4493</v>
      </c>
      <c r="BC53" t="s">
        <v>1807</v>
      </c>
      <c r="BD53">
        <v>910012</v>
      </c>
      <c r="BE53" t="s">
        <v>4494</v>
      </c>
      <c r="BF53" t="s">
        <v>4495</v>
      </c>
      <c r="BG53">
        <v>95</v>
      </c>
      <c r="BH53">
        <v>0</v>
      </c>
    </row>
    <row r="54" spans="1:60" x14ac:dyDescent="0.25">
      <c r="A54">
        <v>3002</v>
      </c>
      <c r="B54" t="s">
        <v>4687</v>
      </c>
      <c r="C54" t="s">
        <v>1007</v>
      </c>
      <c r="D54" t="s">
        <v>1007</v>
      </c>
      <c r="E54" t="s">
        <v>4688</v>
      </c>
      <c r="G54" t="s">
        <v>4486</v>
      </c>
      <c r="H54" t="s">
        <v>4689</v>
      </c>
      <c r="I54">
        <v>1</v>
      </c>
      <c r="J54">
        <v>3</v>
      </c>
      <c r="K54" t="s">
        <v>973</v>
      </c>
      <c r="L54">
        <v>5</v>
      </c>
      <c r="M54">
        <v>302</v>
      </c>
      <c r="N54" t="s">
        <v>974</v>
      </c>
      <c r="O54">
        <v>4</v>
      </c>
      <c r="P54">
        <v>0</v>
      </c>
      <c r="Q54">
        <v>3</v>
      </c>
      <c r="R54">
        <v>0</v>
      </c>
      <c r="S54">
        <v>1</v>
      </c>
      <c r="T54">
        <v>0</v>
      </c>
      <c r="U54">
        <v>0</v>
      </c>
      <c r="V54">
        <v>600601</v>
      </c>
      <c r="W54" t="s">
        <v>1807</v>
      </c>
      <c r="X54" t="s">
        <v>4500</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4493</v>
      </c>
      <c r="BC54" t="s">
        <v>1807</v>
      </c>
      <c r="BD54">
        <v>910005</v>
      </c>
      <c r="BE54" t="s">
        <v>4494</v>
      </c>
      <c r="BF54" t="s">
        <v>4495</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1077</v>
      </c>
    </row>
    <row r="2" spans="1:3" x14ac:dyDescent="0.25">
      <c r="A2" s="1">
        <v>1001</v>
      </c>
      <c r="B2" t="s">
        <v>1080</v>
      </c>
      <c r="C2" t="s">
        <v>1078</v>
      </c>
    </row>
    <row r="3" spans="1:3" x14ac:dyDescent="0.25">
      <c r="A3" s="1">
        <v>1002</v>
      </c>
      <c r="B3" t="s">
        <v>1076</v>
      </c>
      <c r="C3" t="s">
        <v>1079</v>
      </c>
    </row>
    <row r="4" spans="1:3" x14ac:dyDescent="0.25">
      <c r="A4" s="1">
        <v>1003</v>
      </c>
      <c r="B4" t="s">
        <v>6852</v>
      </c>
      <c r="C4" t="s">
        <v>1083</v>
      </c>
    </row>
    <row r="5" spans="1:3" x14ac:dyDescent="0.25">
      <c r="A5" s="1">
        <v>1004</v>
      </c>
      <c r="B5" t="s">
        <v>6853</v>
      </c>
      <c r="C5" t="s">
        <v>1084</v>
      </c>
    </row>
    <row r="6" spans="1:3" x14ac:dyDescent="0.25">
      <c r="A6" s="1">
        <v>1005</v>
      </c>
      <c r="B6" t="s">
        <v>6854</v>
      </c>
      <c r="C6" t="s">
        <v>1085</v>
      </c>
    </row>
    <row r="7" spans="1:3" x14ac:dyDescent="0.25">
      <c r="A7" s="1">
        <v>2003</v>
      </c>
      <c r="B7" t="s">
        <v>6855</v>
      </c>
      <c r="C7" t="s">
        <v>1086</v>
      </c>
    </row>
    <row r="8" spans="1:3" x14ac:dyDescent="0.25">
      <c r="A8" s="1">
        <v>2004</v>
      </c>
      <c r="B8" t="s">
        <v>6856</v>
      </c>
      <c r="C8" t="s">
        <v>1087</v>
      </c>
    </row>
    <row r="9" spans="1:3" x14ac:dyDescent="0.25">
      <c r="A9" s="1">
        <v>3001</v>
      </c>
      <c r="B9" t="s">
        <v>1081</v>
      </c>
      <c r="C9" t="s">
        <v>1088</v>
      </c>
    </row>
    <row r="10" spans="1:3" x14ac:dyDescent="0.25">
      <c r="A10" s="1">
        <v>3002</v>
      </c>
      <c r="B10" t="s">
        <v>6857</v>
      </c>
      <c r="C10" t="s">
        <v>1089</v>
      </c>
    </row>
    <row r="11" spans="1:3" x14ac:dyDescent="0.25">
      <c r="A11" s="1">
        <v>3003</v>
      </c>
      <c r="B11" t="s">
        <v>6858</v>
      </c>
      <c r="C11" t="s">
        <v>1090</v>
      </c>
    </row>
    <row r="12" spans="1:3" x14ac:dyDescent="0.25">
      <c r="A12" s="1">
        <v>3004</v>
      </c>
      <c r="B12" t="s">
        <v>1082</v>
      </c>
      <c r="C12" t="s">
        <v>1091</v>
      </c>
    </row>
    <row r="13" spans="1:3" x14ac:dyDescent="0.25">
      <c r="A13" s="1">
        <v>3005</v>
      </c>
      <c r="B13" t="s">
        <v>6859</v>
      </c>
      <c r="C13" t="s">
        <v>1092</v>
      </c>
    </row>
    <row r="14" spans="1:3" x14ac:dyDescent="0.25">
      <c r="A14" s="1">
        <v>3006</v>
      </c>
      <c r="B14" t="s">
        <v>6860</v>
      </c>
      <c r="C14" t="s">
        <v>1093</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AG369" sqref="AG369:AG371"/>
      <selection pane="bottomLeft" activeCell="AG369" sqref="AG369:AG371"/>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1778</v>
      </c>
      <c r="C1" s="323" t="s">
        <v>869</v>
      </c>
      <c r="D1" s="323" t="s">
        <v>220</v>
      </c>
      <c r="E1" s="323" t="s">
        <v>8657</v>
      </c>
      <c r="F1" s="323" t="s">
        <v>873</v>
      </c>
      <c r="G1" s="323" t="s">
        <v>876</v>
      </c>
      <c r="H1" s="323" t="s">
        <v>875</v>
      </c>
      <c r="I1" s="323" t="s">
        <v>874</v>
      </c>
      <c r="J1" s="323" t="s">
        <v>877</v>
      </c>
      <c r="K1" s="323" t="s">
        <v>878</v>
      </c>
      <c r="L1" s="323" t="s">
        <v>38</v>
      </c>
      <c r="M1" s="323" t="s">
        <v>879</v>
      </c>
      <c r="N1" s="323" t="s">
        <v>8656</v>
      </c>
      <c r="O1" s="323" t="s">
        <v>8655</v>
      </c>
      <c r="P1" s="323" t="s">
        <v>8654</v>
      </c>
      <c r="Q1" s="323" t="s">
        <v>8653</v>
      </c>
    </row>
    <row r="2" spans="1:17" x14ac:dyDescent="0.25">
      <c r="A2" s="1">
        <v>1001</v>
      </c>
      <c r="B2" s="1" t="s">
        <v>8652</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8651</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8650</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8649</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8648</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8647</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8646</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8645</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8644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8643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8642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8641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8640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8639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8638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8637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8636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8635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8634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8633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8632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8631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8630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8629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8628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8627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8626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8625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8624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8623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8622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8621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8620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8619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8618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8617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8616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8615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8614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8613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8612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8611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8610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8609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8608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8607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8606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8605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8604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8603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8602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8601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8600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8599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8598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8597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8596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8595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8594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8593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8592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8591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8590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8589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8588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8587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8586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8585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8584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8583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8582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8581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8580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8579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8578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8577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8576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8575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8574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8573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8572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8571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8570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8569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8568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8567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8566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8565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8564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8563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8562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8561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8560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8559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8558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8557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8556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8555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8554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8553</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1029</v>
      </c>
      <c r="C1" s="40" t="s">
        <v>1036</v>
      </c>
      <c r="D1" s="40" t="s">
        <v>4690</v>
      </c>
      <c r="E1" s="40" t="s">
        <v>1051</v>
      </c>
      <c r="F1" s="40" t="s">
        <v>1052</v>
      </c>
      <c r="G1" s="40" t="s">
        <v>1053</v>
      </c>
      <c r="H1" s="40" t="s">
        <v>1054</v>
      </c>
      <c r="I1" s="40" t="s">
        <v>1055</v>
      </c>
      <c r="J1" s="40" t="s">
        <v>1056</v>
      </c>
      <c r="K1" s="40" t="s">
        <v>1057</v>
      </c>
      <c r="L1" s="40" t="s">
        <v>1058</v>
      </c>
      <c r="M1" s="40" t="s">
        <v>1059</v>
      </c>
      <c r="N1" s="40" t="s">
        <v>1060</v>
      </c>
      <c r="O1" s="40" t="s">
        <v>1061</v>
      </c>
      <c r="P1" s="40" t="s">
        <v>1062</v>
      </c>
      <c r="Q1" s="40" t="s">
        <v>1063</v>
      </c>
      <c r="R1" s="10" t="s">
        <v>2625</v>
      </c>
      <c r="S1" s="10" t="s">
        <v>4467</v>
      </c>
      <c r="T1" s="10" t="s">
        <v>4691</v>
      </c>
      <c r="U1" s="10" t="s">
        <v>41</v>
      </c>
      <c r="V1" s="10" t="s">
        <v>42</v>
      </c>
      <c r="W1" s="10" t="s">
        <v>880</v>
      </c>
      <c r="X1" s="10" t="s">
        <v>971</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4692</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4692</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4693</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4593</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4593</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4692</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4593</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4593</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4593</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4593</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4694</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4513</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4513</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4513</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4513</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4695</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4562</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4562</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4562</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4562</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4696</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4567</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4567</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4567</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4567</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4697</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4535</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4535</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4535</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4535</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4698</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4520</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4520</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4520</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4520</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4699</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4599</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4599</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4599</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4599</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4700</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4701</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4701</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4701</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4701</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4702</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4541</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4541</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4541</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4541</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4703</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4556</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4556</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4556</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4556</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4704</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4574</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4574</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4574</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4574</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4705</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4506</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4506</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4506</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4506</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4706</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4580</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4580</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4580</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4580</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4707</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4587</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4587</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4587</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4587</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4708</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4528</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4528</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4528</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4528</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4709</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4491</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4491</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4491</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4491</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5666</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5667</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5667</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5667</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5667</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6362</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6357</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6357</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6357</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6357</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4692</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4593</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4593</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4593</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4593</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4694</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4513</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4513</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4513</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4513</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4695</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4562</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4562</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4562</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4562</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6462</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6461</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6461</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6461</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6461</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6541</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6533</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6533</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6533</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6533</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6794</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6793</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6793</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6793</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6793</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6930</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6929</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6929</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6929</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6929</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6971</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6969</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6969</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6969</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6969</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8000</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7999</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7999</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7999</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7999</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8138</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8137</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8137</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8137</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8137</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8519</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8518</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8518</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8518</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8518</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8176</v>
      </c>
      <c r="C1" s="40" t="s">
        <v>8193</v>
      </c>
      <c r="D1" s="40" t="s">
        <v>8194</v>
      </c>
      <c r="E1" s="40" t="s">
        <v>8195</v>
      </c>
      <c r="F1" s="40" t="s">
        <v>8196</v>
      </c>
      <c r="G1" s="40" t="s">
        <v>8197</v>
      </c>
      <c r="H1" s="40" t="s">
        <v>8198</v>
      </c>
      <c r="I1" s="40" t="s">
        <v>8199</v>
      </c>
      <c r="J1" s="40" t="s">
        <v>581</v>
      </c>
      <c r="K1" s="40" t="s">
        <v>630</v>
      </c>
      <c r="L1" s="40" t="s">
        <v>8185</v>
      </c>
      <c r="M1" s="40" t="s">
        <v>8186</v>
      </c>
      <c r="N1" s="40" t="s">
        <v>278</v>
      </c>
      <c r="O1" s="40" t="s">
        <v>39</v>
      </c>
      <c r="P1" s="40" t="s">
        <v>8187</v>
      </c>
      <c r="Q1" s="40" t="s">
        <v>8188</v>
      </c>
      <c r="R1" s="40" t="s">
        <v>8189</v>
      </c>
      <c r="S1" s="40" t="s">
        <v>878</v>
      </c>
      <c r="T1" s="40" t="s">
        <v>7738</v>
      </c>
      <c r="U1" s="40" t="s">
        <v>38</v>
      </c>
      <c r="V1" s="40" t="s">
        <v>2619</v>
      </c>
      <c r="W1" s="40" t="s">
        <v>4471</v>
      </c>
      <c r="X1" s="40" t="s">
        <v>8190</v>
      </c>
      <c r="Y1" t="s">
        <v>8191</v>
      </c>
      <c r="Z1" t="s">
        <v>8192</v>
      </c>
    </row>
    <row r="2" spans="1:26" hidden="1" x14ac:dyDescent="0.25">
      <c r="A2" s="1">
        <v>10001</v>
      </c>
      <c r="B2" s="1">
        <v>1</v>
      </c>
      <c r="C2" s="1" t="s">
        <v>1807</v>
      </c>
      <c r="D2" s="1" t="s">
        <v>329</v>
      </c>
      <c r="E2" s="1">
        <v>14800</v>
      </c>
      <c r="F2" s="1" t="s">
        <v>8200</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8201</v>
      </c>
      <c r="D3" s="1" t="s">
        <v>329</v>
      </c>
      <c r="E3" s="1">
        <v>16700</v>
      </c>
      <c r="F3" s="1" t="s">
        <v>8200</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1807</v>
      </c>
      <c r="D4" s="1" t="s">
        <v>329</v>
      </c>
      <c r="E4" s="1">
        <v>20400</v>
      </c>
      <c r="F4" s="1" t="s">
        <v>8200</v>
      </c>
      <c r="G4" s="1">
        <v>2</v>
      </c>
      <c r="H4" s="1">
        <v>0</v>
      </c>
      <c r="I4" s="1">
        <v>0</v>
      </c>
      <c r="J4" s="1" t="s">
        <v>8202</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8203</v>
      </c>
      <c r="D5" s="1" t="s">
        <v>329</v>
      </c>
      <c r="E5" s="1">
        <v>25900</v>
      </c>
      <c r="F5" s="1" t="s">
        <v>8200</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8204</v>
      </c>
      <c r="D6" s="1" t="s">
        <v>329</v>
      </c>
      <c r="E6" s="1">
        <v>33400</v>
      </c>
      <c r="F6" s="1" t="s">
        <v>8200</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8205</v>
      </c>
      <c r="D7" s="1" t="s">
        <v>329</v>
      </c>
      <c r="E7" s="1">
        <v>42600</v>
      </c>
      <c r="F7" s="1" t="s">
        <v>8206</v>
      </c>
      <c r="G7" s="1">
        <v>2</v>
      </c>
      <c r="H7" s="1">
        <v>0</v>
      </c>
      <c r="I7" s="1">
        <v>0</v>
      </c>
      <c r="J7" s="1" t="s">
        <v>8207</v>
      </c>
      <c r="K7" s="1" t="s">
        <v>8208</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8209</v>
      </c>
      <c r="D8" s="1" t="s">
        <v>329</v>
      </c>
      <c r="E8" s="1">
        <v>53700</v>
      </c>
      <c r="F8" s="1" t="s">
        <v>8206</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8210</v>
      </c>
      <c r="D9" s="1" t="s">
        <v>329</v>
      </c>
      <c r="E9" s="1">
        <v>66700</v>
      </c>
      <c r="F9" s="1" t="s">
        <v>8206</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8211</v>
      </c>
      <c r="D10" s="1" t="s">
        <v>329</v>
      </c>
      <c r="E10" s="1">
        <v>81500</v>
      </c>
      <c r="F10" s="1" t="s">
        <v>8206</v>
      </c>
      <c r="G10" s="1">
        <v>2</v>
      </c>
      <c r="H10" s="1">
        <v>0</v>
      </c>
      <c r="I10" s="1">
        <v>0</v>
      </c>
      <c r="J10" s="1" t="s">
        <v>8212</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8209</v>
      </c>
      <c r="D11" s="1" t="s">
        <v>329</v>
      </c>
      <c r="E11" s="1">
        <v>98200</v>
      </c>
      <c r="F11" s="1" t="s">
        <v>8206</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8213</v>
      </c>
      <c r="D12" s="1" t="s">
        <v>329</v>
      </c>
      <c r="E12" s="1">
        <v>116700</v>
      </c>
      <c r="F12" s="1" t="s">
        <v>8214</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8215</v>
      </c>
      <c r="D13" s="1" t="s">
        <v>329</v>
      </c>
      <c r="E13" s="1">
        <v>137100</v>
      </c>
      <c r="F13" s="1" t="s">
        <v>8214</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8216</v>
      </c>
      <c r="D14" s="1" t="s">
        <v>329</v>
      </c>
      <c r="E14" s="1">
        <v>159400</v>
      </c>
      <c r="F14" s="1" t="s">
        <v>8214</v>
      </c>
      <c r="G14" s="1">
        <v>2</v>
      </c>
      <c r="H14" s="1">
        <v>0</v>
      </c>
      <c r="I14" s="1">
        <v>0</v>
      </c>
      <c r="J14" s="1" t="s">
        <v>8217</v>
      </c>
      <c r="K14" s="1" t="s">
        <v>8218</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8219</v>
      </c>
      <c r="D15" s="1" t="s">
        <v>329</v>
      </c>
      <c r="E15" s="1">
        <v>183400</v>
      </c>
      <c r="F15" s="1" t="s">
        <v>8214</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8220</v>
      </c>
      <c r="D16" s="1" t="s">
        <v>329</v>
      </c>
      <c r="E16" s="1">
        <v>209500</v>
      </c>
      <c r="F16" s="1" t="s">
        <v>8214</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1807</v>
      </c>
      <c r="D17" s="1" t="s">
        <v>329</v>
      </c>
      <c r="E17" s="1">
        <v>14800</v>
      </c>
      <c r="F17" s="1" t="s">
        <v>8200</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8221</v>
      </c>
      <c r="D18" s="1" t="s">
        <v>329</v>
      </c>
      <c r="E18" s="1">
        <v>16700</v>
      </c>
      <c r="F18" s="1" t="s">
        <v>8200</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8222</v>
      </c>
      <c r="D19" s="1" t="s">
        <v>329</v>
      </c>
      <c r="E19" s="1">
        <v>20400</v>
      </c>
      <c r="F19" s="1" t="s">
        <v>8200</v>
      </c>
      <c r="G19" s="1">
        <v>2</v>
      </c>
      <c r="H19" s="1">
        <v>0</v>
      </c>
      <c r="I19" s="1">
        <v>0</v>
      </c>
      <c r="J19" s="1" t="s">
        <v>8223</v>
      </c>
      <c r="K19" s="1" t="s">
        <v>8224</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8225</v>
      </c>
      <c r="D20" s="1" t="s">
        <v>329</v>
      </c>
      <c r="E20" s="1">
        <v>25900</v>
      </c>
      <c r="F20" s="1" t="s">
        <v>8200</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8226</v>
      </c>
      <c r="D21" s="1" t="s">
        <v>329</v>
      </c>
      <c r="E21" s="1">
        <v>33400</v>
      </c>
      <c r="F21" s="1" t="s">
        <v>8200</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8227</v>
      </c>
      <c r="D22" s="1" t="s">
        <v>329</v>
      </c>
      <c r="E22" s="1">
        <v>42600</v>
      </c>
      <c r="F22" s="1" t="s">
        <v>8206</v>
      </c>
      <c r="G22" s="1">
        <v>2</v>
      </c>
      <c r="H22" s="1">
        <v>0</v>
      </c>
      <c r="I22" s="1">
        <v>0</v>
      </c>
      <c r="J22" s="1" t="s">
        <v>8228</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8229</v>
      </c>
      <c r="D23" s="1" t="s">
        <v>329</v>
      </c>
      <c r="E23" s="1">
        <v>53700</v>
      </c>
      <c r="F23" s="1" t="s">
        <v>8206</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8229</v>
      </c>
      <c r="D24" s="1" t="s">
        <v>329</v>
      </c>
      <c r="E24" s="1">
        <v>66700</v>
      </c>
      <c r="F24" s="1" t="s">
        <v>8206</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8230</v>
      </c>
      <c r="D25" s="1" t="s">
        <v>329</v>
      </c>
      <c r="E25" s="1">
        <v>81500</v>
      </c>
      <c r="F25" s="1" t="s">
        <v>8206</v>
      </c>
      <c r="G25" s="1">
        <v>2</v>
      </c>
      <c r="H25" s="1">
        <v>0</v>
      </c>
      <c r="I25" s="1">
        <v>0</v>
      </c>
      <c r="J25" s="1" t="s">
        <v>8231</v>
      </c>
      <c r="K25" s="1" t="s">
        <v>8232</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8233</v>
      </c>
      <c r="D26" s="1" t="s">
        <v>329</v>
      </c>
      <c r="E26" s="1">
        <v>98200</v>
      </c>
      <c r="F26" s="1" t="s">
        <v>8206</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8234</v>
      </c>
      <c r="D27" s="1" t="s">
        <v>329</v>
      </c>
      <c r="E27" s="1">
        <v>116700</v>
      </c>
      <c r="F27" s="1" t="s">
        <v>8214</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8235</v>
      </c>
      <c r="D28" s="1" t="s">
        <v>329</v>
      </c>
      <c r="E28" s="1">
        <v>137100</v>
      </c>
      <c r="F28" s="1" t="s">
        <v>8214</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8236</v>
      </c>
      <c r="D29" s="1" t="s">
        <v>329</v>
      </c>
      <c r="E29" s="1">
        <v>159400</v>
      </c>
      <c r="F29" s="1" t="s">
        <v>8214</v>
      </c>
      <c r="G29" s="1">
        <v>2</v>
      </c>
      <c r="H29" s="1">
        <v>0</v>
      </c>
      <c r="I29" s="1">
        <v>0</v>
      </c>
      <c r="J29" s="1" t="s">
        <v>8237</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8238</v>
      </c>
      <c r="D30" s="1" t="s">
        <v>329</v>
      </c>
      <c r="E30" s="1">
        <v>183400</v>
      </c>
      <c r="F30" s="1" t="s">
        <v>8214</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8239</v>
      </c>
      <c r="D31" s="1" t="s">
        <v>329</v>
      </c>
      <c r="E31" s="1">
        <v>209500</v>
      </c>
      <c r="F31" s="1" t="s">
        <v>8214</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8255</v>
      </c>
    </row>
    <row r="2" spans="1:7" x14ac:dyDescent="0.25">
      <c r="A2" s="16" t="s">
        <v>8254</v>
      </c>
      <c r="B2" t="s">
        <v>8304</v>
      </c>
      <c r="C2">
        <v>3004</v>
      </c>
      <c r="D2">
        <v>2004</v>
      </c>
      <c r="E2">
        <v>1004</v>
      </c>
    </row>
    <row r="3" spans="1:7" x14ac:dyDescent="0.25">
      <c r="A3" s="16" t="s">
        <v>8254</v>
      </c>
      <c r="B3" t="s">
        <v>638</v>
      </c>
      <c r="C3">
        <v>3005</v>
      </c>
      <c r="D3">
        <v>2005</v>
      </c>
      <c r="E3">
        <v>1005</v>
      </c>
    </row>
    <row r="4" spans="1:7" x14ac:dyDescent="0.25">
      <c r="A4" s="16" t="s">
        <v>8254</v>
      </c>
      <c r="B4" t="s">
        <v>8305</v>
      </c>
      <c r="C4">
        <v>3010</v>
      </c>
      <c r="D4">
        <v>2010</v>
      </c>
      <c r="E4">
        <v>1010</v>
      </c>
    </row>
    <row r="5" spans="1:7" x14ac:dyDescent="0.25">
      <c r="A5" s="16" t="s">
        <v>8254</v>
      </c>
      <c r="B5" t="s">
        <v>640</v>
      </c>
      <c r="C5">
        <v>3011</v>
      </c>
      <c r="D5">
        <v>2011</v>
      </c>
      <c r="E5">
        <v>1011</v>
      </c>
    </row>
    <row r="6" spans="1:7" x14ac:dyDescent="0.25">
      <c r="A6" s="16" t="s">
        <v>8254</v>
      </c>
      <c r="B6" t="s">
        <v>8306</v>
      </c>
      <c r="C6">
        <v>3009</v>
      </c>
      <c r="D6">
        <v>2009</v>
      </c>
      <c r="E6">
        <v>1009</v>
      </c>
    </row>
    <row r="7" spans="1:7" x14ac:dyDescent="0.25">
      <c r="A7" s="16" t="s">
        <v>8254</v>
      </c>
      <c r="B7" t="s">
        <v>8307</v>
      </c>
      <c r="C7">
        <v>3006</v>
      </c>
      <c r="D7">
        <v>2006</v>
      </c>
      <c r="E7">
        <v>1006</v>
      </c>
    </row>
    <row r="8" spans="1:7" x14ac:dyDescent="0.25">
      <c r="A8" s="16" t="s">
        <v>8254</v>
      </c>
      <c r="B8" t="s">
        <v>8308</v>
      </c>
      <c r="C8">
        <v>3007</v>
      </c>
      <c r="D8">
        <v>2007</v>
      </c>
      <c r="E8">
        <v>1007</v>
      </c>
    </row>
    <row r="9" spans="1:7" x14ac:dyDescent="0.25">
      <c r="A9" s="16" t="s">
        <v>8254</v>
      </c>
      <c r="B9" t="s">
        <v>8309</v>
      </c>
      <c r="C9">
        <v>3008</v>
      </c>
      <c r="D9">
        <v>2008</v>
      </c>
      <c r="E9">
        <v>1008</v>
      </c>
    </row>
    <row r="10" spans="1:7" x14ac:dyDescent="0.25">
      <c r="A10" s="16" t="s">
        <v>8254</v>
      </c>
      <c r="B10" t="s">
        <v>8310</v>
      </c>
      <c r="C10">
        <v>3012</v>
      </c>
      <c r="D10">
        <v>2012</v>
      </c>
      <c r="E10">
        <v>1012</v>
      </c>
    </row>
    <row r="11" spans="1:7" x14ac:dyDescent="0.25">
      <c r="A11" s="16" t="s">
        <v>8254</v>
      </c>
      <c r="B11" t="s">
        <v>8311</v>
      </c>
      <c r="C11">
        <v>3013</v>
      </c>
      <c r="D11">
        <v>2013</v>
      </c>
      <c r="E11">
        <v>1013</v>
      </c>
    </row>
    <row r="12" spans="1:7" x14ac:dyDescent="0.25">
      <c r="A12" s="16" t="s">
        <v>8254</v>
      </c>
      <c r="B12" t="s">
        <v>867</v>
      </c>
      <c r="C12">
        <v>3003</v>
      </c>
      <c r="D12">
        <v>2003</v>
      </c>
      <c r="E12">
        <v>1003</v>
      </c>
    </row>
    <row r="13" spans="1:7" x14ac:dyDescent="0.25">
      <c r="A13" s="16" t="s">
        <v>8254</v>
      </c>
      <c r="B13" t="s">
        <v>868</v>
      </c>
      <c r="C13">
        <v>3001</v>
      </c>
      <c r="D13">
        <v>2001</v>
      </c>
      <c r="E13">
        <v>1001</v>
      </c>
    </row>
    <row r="14" spans="1:7" x14ac:dyDescent="0.25">
      <c r="A14" s="16" t="s">
        <v>8254</v>
      </c>
      <c r="B14" t="s">
        <v>11</v>
      </c>
      <c r="C14">
        <v>3002</v>
      </c>
      <c r="D14">
        <v>2002</v>
      </c>
      <c r="E14">
        <v>1002</v>
      </c>
    </row>
    <row r="15" spans="1:7" x14ac:dyDescent="0.25">
      <c r="A15" s="16" t="s">
        <v>8251</v>
      </c>
      <c r="B15" t="s">
        <v>8303</v>
      </c>
      <c r="C15">
        <v>3113</v>
      </c>
      <c r="D15">
        <v>2113</v>
      </c>
      <c r="E15">
        <v>1113</v>
      </c>
    </row>
    <row r="16" spans="1:7" x14ac:dyDescent="0.25">
      <c r="A16" s="16" t="s">
        <v>8251</v>
      </c>
      <c r="B16" t="s">
        <v>8312</v>
      </c>
      <c r="C16">
        <v>3110</v>
      </c>
      <c r="D16">
        <v>2110</v>
      </c>
      <c r="E16">
        <v>1110</v>
      </c>
    </row>
    <row r="17" spans="1:5" x14ac:dyDescent="0.25">
      <c r="A17" s="16" t="s">
        <v>8251</v>
      </c>
      <c r="B17" t="s">
        <v>8313</v>
      </c>
      <c r="C17">
        <v>3111</v>
      </c>
      <c r="D17">
        <v>2111</v>
      </c>
      <c r="E17">
        <v>1111</v>
      </c>
    </row>
    <row r="18" spans="1:5" x14ac:dyDescent="0.25">
      <c r="A18" s="16" t="s">
        <v>8251</v>
      </c>
      <c r="B18" t="s">
        <v>8314</v>
      </c>
      <c r="C18">
        <v>3108</v>
      </c>
      <c r="D18">
        <v>2108</v>
      </c>
      <c r="E18">
        <v>1108</v>
      </c>
    </row>
    <row r="19" spans="1:5" x14ac:dyDescent="0.25">
      <c r="A19" s="16" t="s">
        <v>8251</v>
      </c>
      <c r="B19" t="s">
        <v>8315</v>
      </c>
      <c r="C19">
        <v>3118</v>
      </c>
      <c r="D19">
        <v>2118</v>
      </c>
      <c r="E19">
        <v>1118</v>
      </c>
    </row>
    <row r="20" spans="1:5" x14ac:dyDescent="0.25">
      <c r="A20" s="16" t="s">
        <v>8251</v>
      </c>
      <c r="B20" t="s">
        <v>8316</v>
      </c>
      <c r="C20">
        <v>3119</v>
      </c>
      <c r="D20">
        <v>2119</v>
      </c>
      <c r="E20">
        <v>1119</v>
      </c>
    </row>
    <row r="21" spans="1:5" x14ac:dyDescent="0.25">
      <c r="A21" s="16" t="s">
        <v>8251</v>
      </c>
      <c r="B21" t="s">
        <v>8317</v>
      </c>
      <c r="C21">
        <v>3109</v>
      </c>
      <c r="D21">
        <v>2109</v>
      </c>
      <c r="E21">
        <v>1109</v>
      </c>
    </row>
    <row r="22" spans="1:5" x14ac:dyDescent="0.25">
      <c r="A22" s="16" t="s">
        <v>8251</v>
      </c>
      <c r="B22" t="s">
        <v>8318</v>
      </c>
      <c r="C22">
        <v>3112</v>
      </c>
      <c r="D22">
        <v>2112</v>
      </c>
      <c r="E22">
        <v>1112</v>
      </c>
    </row>
    <row r="23" spans="1:5" x14ac:dyDescent="0.25">
      <c r="A23" s="16" t="s">
        <v>8251</v>
      </c>
      <c r="B23" t="s">
        <v>8319</v>
      </c>
      <c r="C23">
        <v>3120</v>
      </c>
      <c r="D23">
        <v>2120</v>
      </c>
      <c r="E23">
        <v>1120</v>
      </c>
    </row>
    <row r="24" spans="1:5" x14ac:dyDescent="0.25">
      <c r="A24" s="16" t="s">
        <v>8252</v>
      </c>
      <c r="B24" t="s">
        <v>8320</v>
      </c>
      <c r="C24">
        <v>3102</v>
      </c>
      <c r="D24">
        <v>2102</v>
      </c>
      <c r="E24">
        <v>1102</v>
      </c>
    </row>
    <row r="25" spans="1:5" x14ac:dyDescent="0.25">
      <c r="A25" s="16" t="s">
        <v>8252</v>
      </c>
      <c r="B25" t="s">
        <v>8321</v>
      </c>
      <c r="C25">
        <v>3107</v>
      </c>
      <c r="D25">
        <v>2107</v>
      </c>
      <c r="E25">
        <v>1107</v>
      </c>
    </row>
    <row r="26" spans="1:5" x14ac:dyDescent="0.25">
      <c r="A26" s="16" t="s">
        <v>8252</v>
      </c>
      <c r="B26" t="s">
        <v>8322</v>
      </c>
      <c r="C26">
        <v>3101</v>
      </c>
      <c r="D26">
        <v>2101</v>
      </c>
      <c r="E26">
        <v>1101</v>
      </c>
    </row>
    <row r="27" spans="1:5" x14ac:dyDescent="0.25">
      <c r="A27" s="16" t="s">
        <v>8252</v>
      </c>
      <c r="B27" t="s">
        <v>8323</v>
      </c>
      <c r="C27">
        <v>3106</v>
      </c>
      <c r="D27">
        <v>2106</v>
      </c>
      <c r="E27">
        <v>1106</v>
      </c>
    </row>
    <row r="28" spans="1:5" x14ac:dyDescent="0.25">
      <c r="A28" s="16" t="s">
        <v>8252</v>
      </c>
      <c r="B28" t="s">
        <v>8324</v>
      </c>
      <c r="C28">
        <v>3104</v>
      </c>
      <c r="D28">
        <v>2104</v>
      </c>
      <c r="E28">
        <v>1104</v>
      </c>
    </row>
    <row r="29" spans="1:5" x14ac:dyDescent="0.25">
      <c r="A29" s="16" t="s">
        <v>8252</v>
      </c>
      <c r="B29" t="s">
        <v>8325</v>
      </c>
      <c r="C29">
        <v>3128</v>
      </c>
      <c r="D29">
        <v>2128</v>
      </c>
      <c r="E29">
        <v>1128</v>
      </c>
    </row>
    <row r="30" spans="1:5" x14ac:dyDescent="0.25">
      <c r="A30" s="16" t="s">
        <v>8252</v>
      </c>
      <c r="B30" t="s">
        <v>8326</v>
      </c>
      <c r="C30">
        <v>3126</v>
      </c>
      <c r="D30">
        <v>2126</v>
      </c>
      <c r="E30">
        <v>1126</v>
      </c>
    </row>
    <row r="31" spans="1:5" x14ac:dyDescent="0.25">
      <c r="A31" s="16" t="s">
        <v>8252</v>
      </c>
      <c r="B31" t="s">
        <v>8327</v>
      </c>
      <c r="C31">
        <v>3103</v>
      </c>
      <c r="D31">
        <v>2103</v>
      </c>
      <c r="E31">
        <v>1103</v>
      </c>
    </row>
    <row r="32" spans="1:5" x14ac:dyDescent="0.25">
      <c r="A32" s="16" t="s">
        <v>8252</v>
      </c>
      <c r="B32" t="s">
        <v>8328</v>
      </c>
      <c r="C32">
        <v>3122</v>
      </c>
      <c r="D32">
        <v>2122</v>
      </c>
      <c r="E32">
        <v>1122</v>
      </c>
    </row>
    <row r="33" spans="1:5" x14ac:dyDescent="0.25">
      <c r="A33" s="16" t="s">
        <v>640</v>
      </c>
      <c r="B33" t="s">
        <v>8329</v>
      </c>
      <c r="C33">
        <v>3127</v>
      </c>
      <c r="D33">
        <v>2127</v>
      </c>
      <c r="E33">
        <v>1127</v>
      </c>
    </row>
    <row r="34" spans="1:5" x14ac:dyDescent="0.25">
      <c r="A34" s="16" t="s">
        <v>640</v>
      </c>
      <c r="B34" t="s">
        <v>8330</v>
      </c>
      <c r="C34">
        <v>3124</v>
      </c>
      <c r="D34">
        <v>2124</v>
      </c>
      <c r="E34">
        <v>1124</v>
      </c>
    </row>
    <row r="35" spans="1:5" x14ac:dyDescent="0.25">
      <c r="A35" s="16" t="s">
        <v>640</v>
      </c>
      <c r="B35" t="s">
        <v>8331</v>
      </c>
      <c r="C35">
        <v>3121</v>
      </c>
      <c r="D35">
        <v>2121</v>
      </c>
      <c r="E35">
        <v>1121</v>
      </c>
    </row>
    <row r="36" spans="1:5" x14ac:dyDescent="0.25">
      <c r="A36" s="16" t="s">
        <v>8253</v>
      </c>
      <c r="B36" t="s">
        <v>8332</v>
      </c>
      <c r="C36">
        <v>3115</v>
      </c>
      <c r="D36">
        <v>2115</v>
      </c>
      <c r="E36">
        <v>1115</v>
      </c>
    </row>
    <row r="37" spans="1:5" x14ac:dyDescent="0.25">
      <c r="A37" s="16" t="s">
        <v>8253</v>
      </c>
      <c r="B37" t="s">
        <v>8333</v>
      </c>
      <c r="C37">
        <v>3114</v>
      </c>
      <c r="D37">
        <v>2114</v>
      </c>
      <c r="E37">
        <v>1114</v>
      </c>
    </row>
    <row r="38" spans="1:5" x14ac:dyDescent="0.25">
      <c r="A38" s="16" t="s">
        <v>8253</v>
      </c>
      <c r="B38" t="s">
        <v>8334</v>
      </c>
      <c r="C38">
        <v>3129</v>
      </c>
      <c r="D38">
        <v>2129</v>
      </c>
      <c r="E38">
        <v>1129</v>
      </c>
    </row>
    <row r="39" spans="1:5" x14ac:dyDescent="0.25">
      <c r="A39" s="16" t="s">
        <v>8253</v>
      </c>
      <c r="B39" t="s">
        <v>8335</v>
      </c>
      <c r="C39">
        <v>3125</v>
      </c>
      <c r="D39">
        <v>2125</v>
      </c>
      <c r="E39">
        <v>1125</v>
      </c>
    </row>
    <row r="40" spans="1:5" x14ac:dyDescent="0.25">
      <c r="A40" s="16" t="s">
        <v>8253</v>
      </c>
      <c r="B40" t="s">
        <v>8336</v>
      </c>
      <c r="C40">
        <v>3116</v>
      </c>
      <c r="D40">
        <v>2116</v>
      </c>
      <c r="E40">
        <v>1116</v>
      </c>
    </row>
    <row r="41" spans="1:5" x14ac:dyDescent="0.25">
      <c r="A41" s="16" t="s">
        <v>8253</v>
      </c>
      <c r="B41" t="s">
        <v>8337</v>
      </c>
      <c r="C41">
        <v>3117</v>
      </c>
      <c r="D41">
        <v>2117</v>
      </c>
      <c r="E41">
        <v>1117</v>
      </c>
    </row>
    <row r="42" spans="1:5" x14ac:dyDescent="0.25">
      <c r="A42" s="16" t="s">
        <v>8253</v>
      </c>
      <c r="B42" t="s">
        <v>8338</v>
      </c>
      <c r="C42">
        <v>3123</v>
      </c>
      <c r="D42">
        <v>2123</v>
      </c>
      <c r="E42">
        <v>1123</v>
      </c>
    </row>
    <row r="43" spans="1:5" x14ac:dyDescent="0.25">
      <c r="A43" s="16" t="s">
        <v>8253</v>
      </c>
      <c r="B43" t="s">
        <v>8339</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1037</v>
      </c>
      <c r="N1" s="227"/>
      <c r="O1" s="227"/>
      <c r="Q1" s="228" t="s">
        <v>767</v>
      </c>
      <c r="R1" s="228"/>
      <c r="S1" s="228"/>
      <c r="T1" s="228"/>
      <c r="U1" s="228"/>
      <c r="V1" s="228"/>
      <c r="X1" s="300" t="s">
        <v>8281</v>
      </c>
      <c r="Y1" s="300"/>
      <c r="Z1" s="300"/>
      <c r="AB1" s="324"/>
      <c r="AC1" s="300" t="s">
        <v>8658</v>
      </c>
      <c r="AD1" s="325"/>
      <c r="AE1" s="325"/>
      <c r="AF1" s="325"/>
      <c r="AG1" s="325"/>
      <c r="AH1" s="325"/>
      <c r="AI1" s="300" t="s">
        <v>8659</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8660</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65"/>
  <sheetViews>
    <sheetView topLeftCell="A19" workbookViewId="0">
      <selection activeCell="C27" sqref="C27"/>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6596</v>
      </c>
    </row>
    <row r="8" spans="1:13" x14ac:dyDescent="0.25">
      <c r="A8"/>
      <c r="B8" s="16" t="s">
        <v>952</v>
      </c>
      <c r="C8" t="s">
        <v>953</v>
      </c>
      <c r="G8" s="126" t="s">
        <v>939</v>
      </c>
      <c r="H8" s="127" t="s">
        <v>940</v>
      </c>
      <c r="J8" t="s">
        <v>6599</v>
      </c>
      <c r="L8" s="126" t="s">
        <v>6590</v>
      </c>
      <c r="M8" s="127" t="s">
        <v>940</v>
      </c>
    </row>
    <row r="9" spans="1:13" x14ac:dyDescent="0.25">
      <c r="A9"/>
      <c r="B9" t="s">
        <v>947</v>
      </c>
      <c r="C9" t="s">
        <v>6337</v>
      </c>
      <c r="G9" s="128" t="str">
        <f>IFERROR(INDEX('Strat Buff Data'!B:B,MATCH(Main!$B125,'Strat Buff Data'!$A:$A,0)),"N/A")</f>
        <v>N/A</v>
      </c>
      <c r="H9" s="129" t="str">
        <f>IFERROR(INDEX('Strat Buff Data'!C:C,MATCH(Main!$B125,'Strat Buff Data'!$A:$A,0)),"N/A")</f>
        <v>N/A</v>
      </c>
      <c r="J9" t="s">
        <v>6600</v>
      </c>
      <c r="K9" s="1"/>
      <c r="L9" s="128" t="str">
        <f>IFERROR(INDEX('Strat Buff Data'!F:F,MATCH(Main!$D125,'Strat Buff Data'!$E:$E,0)),"N/A")</f>
        <v>N/A</v>
      </c>
      <c r="M9" s="129" t="str">
        <f>IFERROR(INDEX('Strat Buff Data'!G:G,MATCH(Main!$D125,'Strat Buff Data'!$E:$E,0)),"N/A")</f>
        <v>N/A</v>
      </c>
    </row>
    <row r="10" spans="1:13" x14ac:dyDescent="0.25">
      <c r="A10"/>
      <c r="B10" t="s">
        <v>948</v>
      </c>
      <c r="C10" t="s">
        <v>6338</v>
      </c>
      <c r="G10" s="128" t="str">
        <f>IFERROR(INDEX('Strat Buff Data'!B:B,MATCH(Main!$B126,'Strat Buff Data'!$A:$A,0)),"N/A")</f>
        <v>N/A</v>
      </c>
      <c r="H10" s="129" t="str">
        <f>IFERROR(INDEX('Strat Buff Data'!C:C,MATCH(Main!$B126,'Strat Buff Data'!$A:$A,0)),"N/A")</f>
        <v>N/A</v>
      </c>
      <c r="J10" t="s">
        <v>6601</v>
      </c>
      <c r="K10" s="1"/>
      <c r="L10" s="128" t="str">
        <f>IFERROR(INDEX('Strat Buff Data'!F:F,MATCH(Main!$D126,'Strat Buff Data'!$E:$E,0)),"N/A")</f>
        <v>N/A</v>
      </c>
      <c r="M10" s="129" t="str">
        <f>IFERROR(INDEX('Strat Buff Data'!G:G,MATCH(Main!$D126,'Strat Buff Data'!$E:$E,0)),"N/A")</f>
        <v>N/A</v>
      </c>
    </row>
    <row r="11" spans="1:13" x14ac:dyDescent="0.25">
      <c r="A11"/>
      <c r="B11" t="s">
        <v>949</v>
      </c>
      <c r="C11" t="s">
        <v>6339</v>
      </c>
      <c r="G11" s="130" t="str">
        <f>IFERROR(INDEX('Strat Buff Data'!B:B,MATCH(Main!$B127,'Strat Buff Data'!$A:$A,0)),"N/A")</f>
        <v>N/A</v>
      </c>
      <c r="H11" s="131" t="str">
        <f>IFERROR(INDEX('Strat Buff Data'!C:C,MATCH(Main!$B127,'Strat Buff Data'!$A:$A,0)),"N/A")</f>
        <v>N/A</v>
      </c>
      <c r="J11" t="s">
        <v>6602</v>
      </c>
      <c r="L11" s="130" t="str">
        <f>IFERROR(INDEX('Strat Buff Data'!F:F,MATCH(Main!$D127,'Strat Buff Data'!$E:$E,0)),"N/A")</f>
        <v>N/A</v>
      </c>
      <c r="M11" s="131" t="str">
        <f>IFERROR(INDEX('Strat Buff Data'!G:G,MATCH(Main!$D127,'Strat Buff Data'!$E:$E,0)),"N/A")</f>
        <v>N/A</v>
      </c>
    </row>
    <row r="12" spans="1:13" x14ac:dyDescent="0.25">
      <c r="A12"/>
    </row>
    <row r="13" spans="1:13" x14ac:dyDescent="0.25">
      <c r="A13"/>
      <c r="B13" s="10" t="s">
        <v>6597</v>
      </c>
    </row>
    <row r="14" spans="1:13" x14ac:dyDescent="0.25">
      <c r="A14"/>
      <c r="B14" t="s">
        <v>950</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951</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6598</v>
      </c>
    </row>
    <row r="21" spans="1:11" x14ac:dyDescent="0.25">
      <c r="A21"/>
      <c r="B21" t="s">
        <v>950</v>
      </c>
      <c r="C21" t="str">
        <f>INDEX($J$8:$J$11,COUNTA(Main!$D$125:$D$127)+1)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951</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7094</v>
      </c>
      <c r="C27" s="9"/>
    </row>
    <row r="28" spans="1:11" x14ac:dyDescent="0.25">
      <c r="A28"/>
      <c r="B28" s="9" t="s">
        <v>950</v>
      </c>
      <c r="C28" t="str">
        <f>INDEX($F$28:$F$31,COUNTA(Main!$F$125:$F$127)+1)</f>
        <v>"building_info": "{}",</v>
      </c>
      <c r="F28" t="s">
        <v>7096</v>
      </c>
    </row>
    <row r="29" spans="1:11" x14ac:dyDescent="0.25">
      <c r="A29"/>
      <c r="B29" s="250" t="s">
        <v>7097</v>
      </c>
      <c r="C29" t="str">
        <f>SUBSTITUTE(SUBSTITUTE(C28,"building1",Main!F125),"spot1",Main!G125)</f>
        <v>"building_info": "{}",</v>
      </c>
      <c r="F29" s="9" t="s">
        <v>7100</v>
      </c>
    </row>
    <row r="30" spans="1:11" x14ac:dyDescent="0.25">
      <c r="A30"/>
      <c r="B30" s="250" t="s">
        <v>7098</v>
      </c>
      <c r="C30" t="str">
        <f>SUBSTITUTE(SUBSTITUTE(C29,"building2",Main!F126),"spot2",Main!G126)</f>
        <v>"building_info": "{}",</v>
      </c>
      <c r="F30" s="9" t="s">
        <v>7101</v>
      </c>
    </row>
    <row r="31" spans="1:11" x14ac:dyDescent="0.25">
      <c r="A31"/>
      <c r="B31" s="250" t="s">
        <v>7099</v>
      </c>
      <c r="C31" t="str">
        <f>SUBSTITUTE(SUBSTITUTE(C30,"building3",Main!F127),"spot3",Main!G127)</f>
        <v>"building_info": "{}",</v>
      </c>
      <c r="F31" s="9" t="s">
        <v>7102</v>
      </c>
    </row>
    <row r="32" spans="1:11" x14ac:dyDescent="0.25">
      <c r="A32"/>
    </row>
    <row r="33" spans="1:6" x14ac:dyDescent="0.25">
      <c r="A33"/>
      <c r="B33" s="90" t="s">
        <v>8729</v>
      </c>
    </row>
    <row r="34" spans="1:6" x14ac:dyDescent="0.25">
      <c r="A34"/>
      <c r="B34" s="9" t="s">
        <v>950</v>
      </c>
      <c r="C34" t="str">
        <f>INDEX($F$34:$F$37,COUNTA(Main!$H$125:$H$127)+1)</f>
        <v>"ally_instance_info": "[]",</v>
      </c>
      <c r="F34" t="s">
        <v>8733</v>
      </c>
    </row>
    <row r="35" spans="1:6" x14ac:dyDescent="0.25">
      <c r="A35"/>
      <c r="B35" s="250" t="s">
        <v>8730</v>
      </c>
      <c r="C35" t="str">
        <f>SUBSTITUTE(C34,"ally1",Main!H125)</f>
        <v>"ally_instance_info": "[]",</v>
      </c>
      <c r="F35" t="s">
        <v>8734</v>
      </c>
    </row>
    <row r="36" spans="1:6" x14ac:dyDescent="0.25">
      <c r="A36"/>
      <c r="B36" s="250" t="s">
        <v>8731</v>
      </c>
      <c r="C36" t="str">
        <f>SUBSTITUTE(C35,"ally2",Main!H126)</f>
        <v>"ally_instance_info": "[]",</v>
      </c>
      <c r="F36" t="s">
        <v>8735</v>
      </c>
    </row>
    <row r="37" spans="1:6" x14ac:dyDescent="0.25">
      <c r="A37"/>
      <c r="B37" s="250" t="s">
        <v>8732</v>
      </c>
      <c r="C37" t="str">
        <f>SUBSTITUTE(C36,"ally3",Main!H127)</f>
        <v>"ally_instance_info": "[]",</v>
      </c>
      <c r="F37" t="s">
        <v>8736</v>
      </c>
    </row>
    <row r="38" spans="1:6" x14ac:dyDescent="0.25">
      <c r="A38"/>
      <c r="B38" s="250"/>
    </row>
    <row r="39" spans="1:6" s="148" customFormat="1" x14ac:dyDescent="0.25">
      <c r="B39" s="146" t="s">
        <v>855</v>
      </c>
      <c r="C39" s="147"/>
    </row>
    <row r="40" spans="1:6" s="148" customFormat="1" x14ac:dyDescent="0.25">
      <c r="B40" s="144" t="s">
        <v>6446</v>
      </c>
      <c r="C40" s="145" t="str">
        <f ca="1">LEFT(CELL("filename",Main!$A$1),FIND("[",CELL("filename",Main!$A$1))-1)</f>
        <v>C:\Users\danny\Documents\GitHub\GFLBattleSim-JSONGenerator\</v>
      </c>
    </row>
    <row r="41" spans="1:6" s="148" customFormat="1" x14ac:dyDescent="0.25">
      <c r="B41" s="144" t="s">
        <v>6447</v>
      </c>
      <c r="C41" s="147" t="e">
        <f>RIGHT(D41,LEN(D41)-LEN("file:///")-1)</f>
        <v>#VALUE!</v>
      </c>
      <c r="D41" s="229" t="e">
        <f>LEFT(E41,FIND("@",SUBSTITUTE(E41,"/","@",LEN(E41)-LEN(SUBSTITUTE(E41,"/",""))),1))</f>
        <v>#VALUE!</v>
      </c>
      <c r="E41" s="229"/>
    </row>
    <row r="42" spans="1:6" s="148" customFormat="1" x14ac:dyDescent="0.25">
      <c r="B42" s="144" t="s">
        <v>8520</v>
      </c>
      <c r="C42" s="147" t="str">
        <f ca="1">RIGHT(D42,LEN(D42)-LEN("file:///"))</f>
        <v>\danny\Documents\GitHub\GFLBattleSim-JSONGenerator\</v>
      </c>
      <c r="D42" s="145" t="str">
        <f ca="1">LEFT(CELL("filename",Main!$A$1),FIND("[",CELL("filename",Main!$A$1))-1)</f>
        <v>C:\Users\danny\Documents\GitHub\GFLBattleSim-JSONGenerator\</v>
      </c>
      <c r="E42" s="229"/>
    </row>
    <row r="43" spans="1:6" s="148" customFormat="1" x14ac:dyDescent="0.25">
      <c r="B43" s="144"/>
      <c r="C43" s="147"/>
      <c r="D43" s="229"/>
      <c r="E43" s="229"/>
    </row>
    <row r="44" spans="1:6" s="148" customFormat="1" x14ac:dyDescent="0.25">
      <c r="B44" s="144" t="s">
        <v>770</v>
      </c>
      <c r="C44" s="145" t="str">
        <f ca="1">IF(LEFT($C$40,4)="file",IFERROR($C$41,$C$42)&amp;SUBSTITUTE(E44,"\","/"),$C$40&amp;E44)</f>
        <v>C:\Users\danny\Documents\GitHub\GFLBattleSim-JSONGenerator\Preset\gun_with_user_info.json</v>
      </c>
      <c r="D44" s="148" t="s">
        <v>6564</v>
      </c>
      <c r="E44" s="145" t="str">
        <f>"Preset\gun_with_user_info.json"</f>
        <v>Preset\gun_with_user_info.json</v>
      </c>
      <c r="F44" s="145"/>
    </row>
    <row r="45" spans="1:6" s="148" customFormat="1" x14ac:dyDescent="0.25">
      <c r="B45" s="144" t="s">
        <v>771</v>
      </c>
      <c r="C45" s="145" t="str">
        <f t="shared" ref="C45:C58" ca="1" si="0">IF(LEFT($C$40,4)="file",IFERROR($C$41,$C$42)&amp;SUBSTITUTE(E45,"\","/"),$C$40&amp;E45)</f>
        <v>C:\Users\danny\Documents\GitHub\GFLBattleSim-JSONGenerator\Preset\equip_with_user_info.json</v>
      </c>
      <c r="D45" s="148" t="s">
        <v>6564</v>
      </c>
      <c r="E45" s="145" t="str">
        <f>"Preset\equip_with_user_info.json"</f>
        <v>Preset\equip_with_user_info.json</v>
      </c>
    </row>
    <row r="46" spans="1:6" s="148" customFormat="1" x14ac:dyDescent="0.25">
      <c r="B46" s="144" t="s">
        <v>882</v>
      </c>
      <c r="C46" s="145" t="str">
        <f t="shared" ca="1" si="0"/>
        <v>C:\Users\danny\Documents\GitHub\GFLBattleSim-JSONGenerator\Preset\squad_with_user_info.json</v>
      </c>
      <c r="D46" s="148" t="s">
        <v>6564</v>
      </c>
      <c r="E46" s="145" t="str">
        <f>"Preset\squad_with_user_info.json"</f>
        <v>Preset\squad_with_user_info.json</v>
      </c>
    </row>
    <row r="47" spans="1:6" s="148" customFormat="1" x14ac:dyDescent="0.25">
      <c r="B47" s="144" t="s">
        <v>883</v>
      </c>
      <c r="C47" s="145" t="str">
        <f t="shared" ca="1" si="0"/>
        <v>C:\Users\danny\Documents\GitHub\GFLBattleSim-JSONGenerator\Preset\chip_with_user_info.json</v>
      </c>
      <c r="D47" s="148" t="s">
        <v>6564</v>
      </c>
      <c r="E47" s="145" t="str">
        <f>"Preset\chip_with_user_info.json"</f>
        <v>Preset\chip_with_user_info.json</v>
      </c>
    </row>
    <row r="48" spans="1:6" s="148" customFormat="1" x14ac:dyDescent="0.25">
      <c r="B48" s="37" t="s">
        <v>772</v>
      </c>
      <c r="C48" s="145" t="str">
        <f t="shared" ca="1" si="0"/>
        <v>C:\Users\danny\Documents\GitHub\GFLBattleSim-JSONGenerator\Preset\fairy_with_user_info.json</v>
      </c>
      <c r="D48" s="148" t="s">
        <v>6564</v>
      </c>
      <c r="E48" s="145" t="str">
        <f>"Preset\fairy_with_user_info.json"</f>
        <v>Preset\fairy_with_user_info.json</v>
      </c>
    </row>
    <row r="49" spans="2:9" s="148" customFormat="1" x14ac:dyDescent="0.25">
      <c r="B49" s="37" t="s">
        <v>775</v>
      </c>
      <c r="C49" s="145" t="str">
        <f t="shared" ca="1" si="0"/>
        <v>C:\Users\danny\Documents\GitHub\GFLBattleSim-JSONGenerator\Preset\battle_day\mission_act_info.json</v>
      </c>
      <c r="D49" s="148" t="s">
        <v>6564</v>
      </c>
      <c r="E49" s="145" t="str">
        <f>"Preset\"&amp;IF(DayNight="Day","battle_day\","battle_night_new\")&amp;"mission_act_info.json"</f>
        <v>Preset\battle_day\mission_act_info.json</v>
      </c>
    </row>
    <row r="50" spans="2:9" s="148" customFormat="1" x14ac:dyDescent="0.25">
      <c r="B50" s="37" t="s">
        <v>1099</v>
      </c>
      <c r="C50" s="145" t="str">
        <f t="shared" ca="1" si="0"/>
        <v>C:\Users\danny\Documents\GitHub\GFLBattleSim-JSONGenerator\Preset\sangvis_with_user_info.json</v>
      </c>
      <c r="D50" s="148" t="s">
        <v>6564</v>
      </c>
      <c r="E50" s="145" t="str">
        <f>"Preset\sangvis_with_user_info.json"</f>
        <v>Preset\sangvis_with_user_info.json</v>
      </c>
    </row>
    <row r="51" spans="2:9" s="148" customFormat="1" x14ac:dyDescent="0.25">
      <c r="B51" s="37" t="s">
        <v>1100</v>
      </c>
      <c r="C51" s="145" t="str">
        <f t="shared" ca="1" si="0"/>
        <v>C:\Users\danny\Documents\GitHub\GFLBattleSim-JSONGenerator\Preset\sangvis_team_with_user_info.json</v>
      </c>
      <c r="D51" s="148" t="s">
        <v>6564</v>
      </c>
      <c r="E51" s="145" t="str">
        <f>"Preset\sangvis_team_with_user_info.json"</f>
        <v>Preset\sangvis_team_with_user_info.json</v>
      </c>
    </row>
    <row r="52" spans="2:9" s="148" customFormat="1" x14ac:dyDescent="0.25">
      <c r="B52" s="37" t="s">
        <v>1101</v>
      </c>
      <c r="C52" s="145" t="str">
        <f t="shared" ca="1" si="0"/>
        <v>C:\Users\danny\Documents\GitHub\GFLBattleSim-JSONGenerator\Preset\sangvis_chip_with_user_info.json</v>
      </c>
      <c r="D52" s="148" t="s">
        <v>6564</v>
      </c>
      <c r="E52" s="145" t="str">
        <f>"Preset\sangvis_chip_with_user_info.json"</f>
        <v>Preset\sangvis_chip_with_user_info.json</v>
      </c>
    </row>
    <row r="53" spans="2:9" s="148" customFormat="1" x14ac:dyDescent="0.25">
      <c r="B53" s="37" t="s">
        <v>784</v>
      </c>
      <c r="C53" s="145" t="str">
        <f t="shared" ca="1" si="0"/>
        <v>C:\Users\danny\Documents\GitHub\GFLBattleSim-JSONGenerator\GFBattleSimulator.json</v>
      </c>
      <c r="D53" s="148" t="s">
        <v>6564</v>
      </c>
      <c r="E53" s="145" t="str">
        <f>"GFBattleSimulator.json"</f>
        <v>GFBattleSimulator.json</v>
      </c>
    </row>
    <row r="54" spans="2:9" x14ac:dyDescent="0.25">
      <c r="B54" t="s">
        <v>1775</v>
      </c>
      <c r="C54" s="145" t="str">
        <f t="shared" ca="1" si="0"/>
        <v>C:\Users\danny\Documents\GitHub\GFLBattleSim-JSONGenerator\Preset\battle_day\spot_act_info.json</v>
      </c>
      <c r="D54" s="148" t="s">
        <v>6564</v>
      </c>
      <c r="E54" s="145" t="str">
        <f>"Preset\battle_day\spot_act_info.json"</f>
        <v>Preset\battle_day\spot_act_info.json</v>
      </c>
      <c r="I54" s="148"/>
    </row>
    <row r="55" spans="2:9" x14ac:dyDescent="0.25">
      <c r="B55" t="s">
        <v>1776</v>
      </c>
      <c r="C55" s="145" t="str">
        <f t="shared" ca="1" si="0"/>
        <v>C:\Users\danny\Documents\GitHub\GFLBattleSim-JSONGenerator\Preset\battle_night_new\spot_act_info.json</v>
      </c>
      <c r="D55" s="148" t="s">
        <v>6564</v>
      </c>
      <c r="E55" s="145" t="str">
        <f>"Preset\battle_night_new\spot_act_info.json"</f>
        <v>Preset\battle_night_new\spot_act_info.json</v>
      </c>
      <c r="I55" s="148"/>
    </row>
    <row r="56" spans="2:9" x14ac:dyDescent="0.25">
      <c r="B56" s="37" t="s">
        <v>8240</v>
      </c>
      <c r="C56" s="145" t="str">
        <f t="shared" ca="1" si="0"/>
        <v>C:\Users\danny\Documents\GitHub\GFLBattleSim-JSONGenerator\Preset\vehicle_with_user_info.json</v>
      </c>
      <c r="D56" s="148" t="s">
        <v>6564</v>
      </c>
      <c r="E56" s="145" t="str">
        <f>"Preset\vehicle_with_user_info.json"</f>
        <v>Preset\vehicle_with_user_info.json</v>
      </c>
      <c r="I56" s="148"/>
    </row>
    <row r="57" spans="2:9" x14ac:dyDescent="0.25">
      <c r="B57" s="37" t="s">
        <v>8282</v>
      </c>
      <c r="C57" s="145" t="str">
        <f t="shared" ca="1" si="0"/>
        <v>C:\Users\danny\Documents\GitHub\GFLBattleSim-JSONGenerator\Preset\vehicle_component_with_user_info.json</v>
      </c>
      <c r="D57" s="148" t="s">
        <v>6564</v>
      </c>
      <c r="E57" s="145" t="str">
        <f>"Preset\vehicle_component_with_user_info.json"</f>
        <v>Preset\vehicle_component_with_user_info.json</v>
      </c>
      <c r="I57" s="148"/>
    </row>
    <row r="58" spans="2:9" x14ac:dyDescent="0.25">
      <c r="B58" s="37" t="s">
        <v>8289</v>
      </c>
      <c r="C58" s="145" t="str">
        <f t="shared" ca="1" si="0"/>
        <v>C:\Users\danny\Documents\GitHub\GFLBattleSim-JSONGenerator\Preset\responses\Mission\vehicleRangeAtk.json</v>
      </c>
      <c r="D58" s="148" t="s">
        <v>6564</v>
      </c>
      <c r="E58" s="145" t="str">
        <f>"Preset\responses\Mission\vehicleRangeAtk.json"</f>
        <v>Preset\responses\Mission\vehicleRangeAtk.json</v>
      </c>
      <c r="I58" s="148"/>
    </row>
    <row r="60" spans="2:9" x14ac:dyDescent="0.25">
      <c r="B60" s="10" t="s">
        <v>5509</v>
      </c>
    </row>
    <row r="61" spans="2:9" x14ac:dyDescent="0.25">
      <c r="B61" t="s">
        <v>770</v>
      </c>
      <c r="C61" s="213" t="s">
        <v>5778</v>
      </c>
    </row>
    <row r="62" spans="2:9" x14ac:dyDescent="0.25">
      <c r="B62" t="s">
        <v>771</v>
      </c>
      <c r="C62" s="213" t="s">
        <v>5632</v>
      </c>
    </row>
    <row r="63" spans="2:9" x14ac:dyDescent="0.25">
      <c r="B63" t="s">
        <v>6342</v>
      </c>
      <c r="C63" s="213" t="s">
        <v>6363</v>
      </c>
    </row>
    <row r="64" spans="2:9" x14ac:dyDescent="0.25">
      <c r="B64" t="s">
        <v>6343</v>
      </c>
      <c r="C64" s="213" t="s">
        <v>6344</v>
      </c>
    </row>
    <row r="65" spans="2:2" x14ac:dyDescent="0.25">
      <c r="B65"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33"/>
  <sheetViews>
    <sheetView topLeftCell="AE1" workbookViewId="0">
      <pane ySplit="1" topLeftCell="A2" activePane="bottomLeft" state="frozen"/>
      <selection activeCell="AG369" sqref="AG369:AG371"/>
      <selection pane="bottomLeft" activeCell="AV1" sqref="AV1"/>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6369</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6442</v>
      </c>
      <c r="AZ1" s="40" t="s">
        <v>6425</v>
      </c>
      <c r="BA1" s="40" t="s">
        <v>6426</v>
      </c>
      <c r="BB1" s="40" t="s">
        <v>6443</v>
      </c>
      <c r="BC1" s="40" t="s">
        <v>6444</v>
      </c>
      <c r="BD1" s="40" t="s">
        <v>6445</v>
      </c>
      <c r="BE1" s="40" t="s">
        <v>6427</v>
      </c>
      <c r="BF1" s="40" t="s">
        <v>6430</v>
      </c>
      <c r="BG1" s="40" t="s">
        <v>6433</v>
      </c>
      <c r="BH1" s="40" t="s">
        <v>6436</v>
      </c>
      <c r="BI1" s="40" t="s">
        <v>6439</v>
      </c>
      <c r="BJ1" s="40" t="s">
        <v>6428</v>
      </c>
      <c r="BK1" s="40" t="s">
        <v>6431</v>
      </c>
      <c r="BL1" s="40" t="s">
        <v>6434</v>
      </c>
      <c r="BM1" s="40" t="s">
        <v>6437</v>
      </c>
      <c r="BN1" s="40" t="s">
        <v>6440</v>
      </c>
      <c r="BO1" s="40" t="s">
        <v>6429</v>
      </c>
      <c r="BP1" s="40" t="s">
        <v>6432</v>
      </c>
      <c r="BQ1" s="40" t="s">
        <v>6435</v>
      </c>
      <c r="BR1" s="40" t="s">
        <v>6438</v>
      </c>
      <c r="BS1" s="40" t="s">
        <v>6441</v>
      </c>
      <c r="BT1" s="92"/>
      <c r="BU1" s="40" t="s">
        <v>8521</v>
      </c>
    </row>
    <row r="2" spans="1:73" x14ac:dyDescent="0.25">
      <c r="A2" s="9">
        <v>2</v>
      </c>
      <c r="B2" t="s">
        <v>3</v>
      </c>
      <c r="C2" s="9" t="s">
        <v>139</v>
      </c>
      <c r="D2" s="9" t="s">
        <v>74</v>
      </c>
      <c r="E2" s="9" t="s">
        <v>746</v>
      </c>
      <c r="F2" s="9" t="s">
        <v>1660</v>
      </c>
      <c r="G2" s="9" t="s">
        <v>263</v>
      </c>
      <c r="H2" s="9" t="s">
        <v>117</v>
      </c>
      <c r="I2" s="9" t="s">
        <v>751</v>
      </c>
      <c r="J2" s="9" t="s">
        <v>7117</v>
      </c>
      <c r="K2" s="9" t="s">
        <v>752</v>
      </c>
      <c r="L2" t="s">
        <v>1749</v>
      </c>
      <c r="M2" s="9" t="s">
        <v>1153</v>
      </c>
      <c r="N2" s="9" t="s">
        <v>801</v>
      </c>
      <c r="O2" s="9" t="s">
        <v>1418</v>
      </c>
      <c r="P2" s="9" t="s">
        <v>174</v>
      </c>
      <c r="Q2" t="s">
        <v>6760</v>
      </c>
      <c r="R2" s="9" t="s">
        <v>1184</v>
      </c>
      <c r="S2" s="9" t="s">
        <v>138</v>
      </c>
      <c r="T2" s="9" t="s">
        <v>717</v>
      </c>
      <c r="U2" s="9" t="s">
        <v>838</v>
      </c>
      <c r="V2" t="s">
        <v>5746</v>
      </c>
      <c r="W2" s="9" t="s">
        <v>1622</v>
      </c>
      <c r="X2" s="9" t="s">
        <v>115</v>
      </c>
      <c r="Y2" s="9" t="s">
        <v>1632</v>
      </c>
      <c r="Z2" s="9" t="s">
        <v>738</v>
      </c>
      <c r="AA2" s="9" t="s">
        <v>927</v>
      </c>
      <c r="AC2" s="9" t="s">
        <v>247</v>
      </c>
      <c r="AD2" s="9" t="s">
        <v>1605</v>
      </c>
      <c r="AE2" s="9" t="s">
        <v>724</v>
      </c>
      <c r="AF2" s="9" t="s">
        <v>7168</v>
      </c>
      <c r="AH2" t="s">
        <v>520</v>
      </c>
      <c r="AI2" t="s">
        <v>524</v>
      </c>
      <c r="AJ2" t="s">
        <v>6370</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100</v>
      </c>
    </row>
    <row r="3" spans="1:73" x14ac:dyDescent="0.25">
      <c r="A3" s="9">
        <v>3</v>
      </c>
      <c r="B3" t="s">
        <v>7</v>
      </c>
      <c r="C3" s="9" t="s">
        <v>1174</v>
      </c>
      <c r="D3" s="9" t="s">
        <v>72</v>
      </c>
      <c r="E3" s="9" t="s">
        <v>1727</v>
      </c>
      <c r="F3" s="9" t="s">
        <v>195</v>
      </c>
      <c r="G3" s="9" t="s">
        <v>835</v>
      </c>
      <c r="H3" s="9" t="s">
        <v>77</v>
      </c>
      <c r="I3" s="9" t="s">
        <v>1688</v>
      </c>
      <c r="J3" s="9" t="s">
        <v>1675</v>
      </c>
      <c r="K3" s="9" t="s">
        <v>1689</v>
      </c>
      <c r="L3" t="s">
        <v>7197</v>
      </c>
      <c r="M3" s="9" t="s">
        <v>94</v>
      </c>
      <c r="N3" s="9" t="s">
        <v>202</v>
      </c>
      <c r="O3" s="9" t="s">
        <v>227</v>
      </c>
      <c r="P3" t="s">
        <v>8013</v>
      </c>
      <c r="Q3" t="s">
        <v>6761</v>
      </c>
      <c r="R3" s="9" t="s">
        <v>1162</v>
      </c>
      <c r="S3" s="9" t="s">
        <v>1617</v>
      </c>
      <c r="T3" s="9" t="s">
        <v>1647</v>
      </c>
      <c r="U3" t="s">
        <v>5485</v>
      </c>
      <c r="V3" t="s">
        <v>5730</v>
      </c>
      <c r="W3" s="9" t="s">
        <v>109</v>
      </c>
      <c r="X3" s="9" t="s">
        <v>798</v>
      </c>
      <c r="Y3" s="9" t="s">
        <v>162</v>
      </c>
      <c r="Z3" s="9" t="s">
        <v>251</v>
      </c>
      <c r="AC3" s="9" t="s">
        <v>723</v>
      </c>
      <c r="AD3" s="9" t="s">
        <v>813</v>
      </c>
      <c r="AE3" s="9" t="s">
        <v>245</v>
      </c>
      <c r="AH3" t="s">
        <v>521</v>
      </c>
      <c r="AI3" t="s">
        <v>525</v>
      </c>
      <c r="AJ3" t="s">
        <v>6371</v>
      </c>
      <c r="AK3" t="s">
        <v>552</v>
      </c>
      <c r="AL3" t="s">
        <v>529</v>
      </c>
      <c r="AM3" t="s">
        <v>533</v>
      </c>
      <c r="AN3" t="s">
        <v>558</v>
      </c>
      <c r="AO3" t="s">
        <v>537</v>
      </c>
      <c r="AP3" t="s">
        <v>562</v>
      </c>
      <c r="AQ3" t="s">
        <v>541</v>
      </c>
      <c r="AR3" t="s">
        <v>545</v>
      </c>
      <c r="AS3" t="s">
        <v>556</v>
      </c>
      <c r="AT3" t="s">
        <v>570</v>
      </c>
      <c r="AU3" t="s">
        <v>910</v>
      </c>
      <c r="AV3" t="s">
        <v>7197</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25">
      <c r="A4" s="9">
        <v>4</v>
      </c>
      <c r="B4" t="s">
        <v>6</v>
      </c>
      <c r="C4" s="9" t="s">
        <v>65</v>
      </c>
      <c r="D4" s="9" t="s">
        <v>177</v>
      </c>
      <c r="E4" s="9" t="s">
        <v>816</v>
      </c>
      <c r="F4" s="9" t="s">
        <v>6879</v>
      </c>
      <c r="H4" s="9" t="s">
        <v>83</v>
      </c>
      <c r="I4" s="9" t="s">
        <v>135</v>
      </c>
      <c r="J4" s="9" t="s">
        <v>794</v>
      </c>
      <c r="K4" s="9" t="s">
        <v>1618</v>
      </c>
      <c r="L4" s="9" t="s">
        <v>826</v>
      </c>
      <c r="M4" s="9" t="s">
        <v>90</v>
      </c>
      <c r="N4" s="9" t="s">
        <v>173</v>
      </c>
      <c r="O4" t="s">
        <v>1756</v>
      </c>
      <c r="P4" s="9" t="s">
        <v>822</v>
      </c>
      <c r="Q4" s="9" t="s">
        <v>1682</v>
      </c>
      <c r="R4" s="9" t="s">
        <v>840</v>
      </c>
      <c r="S4" s="9" t="s">
        <v>137</v>
      </c>
      <c r="T4" s="9" t="s">
        <v>231</v>
      </c>
      <c r="U4" s="9" t="s">
        <v>213</v>
      </c>
      <c r="V4" s="9" t="s">
        <v>1448</v>
      </c>
      <c r="W4" s="9" t="s">
        <v>125</v>
      </c>
      <c r="X4" s="9" t="s">
        <v>232</v>
      </c>
      <c r="Y4" s="9" t="s">
        <v>744</v>
      </c>
      <c r="Z4" t="s">
        <v>8664</v>
      </c>
      <c r="AC4" s="9" t="s">
        <v>146</v>
      </c>
      <c r="AD4" s="9" t="s">
        <v>217</v>
      </c>
      <c r="AE4" s="9" t="s">
        <v>736</v>
      </c>
      <c r="AH4" t="s">
        <v>522</v>
      </c>
      <c r="AI4" t="s">
        <v>526</v>
      </c>
      <c r="AJ4" t="s">
        <v>6372</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Welrod MkIIMod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25">
      <c r="A5" s="9">
        <v>5</v>
      </c>
      <c r="B5" t="s">
        <v>2</v>
      </c>
      <c r="C5" s="9" t="s">
        <v>62</v>
      </c>
      <c r="D5" s="9" t="s">
        <v>75</v>
      </c>
      <c r="E5" s="9" t="s">
        <v>1686</v>
      </c>
      <c r="F5" s="9" t="s">
        <v>161</v>
      </c>
      <c r="H5" s="9" t="s">
        <v>85</v>
      </c>
      <c r="I5" s="9" t="s">
        <v>158</v>
      </c>
      <c r="J5" s="9" t="s">
        <v>183</v>
      </c>
      <c r="K5" s="9" t="s">
        <v>841</v>
      </c>
      <c r="L5" s="9" t="s">
        <v>6513</v>
      </c>
      <c r="M5" s="9" t="s">
        <v>1613</v>
      </c>
      <c r="N5" s="9" t="s">
        <v>809</v>
      </c>
      <c r="O5" s="9" t="s">
        <v>191</v>
      </c>
      <c r="P5" s="9" t="s">
        <v>170</v>
      </c>
      <c r="R5" s="9" t="s">
        <v>103</v>
      </c>
      <c r="S5" s="9" t="s">
        <v>1626</v>
      </c>
      <c r="T5" s="9" t="s">
        <v>1735</v>
      </c>
      <c r="U5" s="9" t="s">
        <v>210</v>
      </c>
      <c r="V5" s="9" t="s">
        <v>259</v>
      </c>
      <c r="W5" s="9" t="s">
        <v>108</v>
      </c>
      <c r="X5" s="9" t="s">
        <v>211</v>
      </c>
      <c r="Y5" s="9" t="s">
        <v>204</v>
      </c>
      <c r="Z5" s="9" t="s">
        <v>176</v>
      </c>
      <c r="AC5" s="9" t="s">
        <v>148</v>
      </c>
      <c r="AD5" s="9" t="s">
        <v>151</v>
      </c>
      <c r="AE5" s="9" t="s">
        <v>1659</v>
      </c>
      <c r="AH5" t="s">
        <v>523</v>
      </c>
      <c r="AI5" t="s">
        <v>527</v>
      </c>
      <c r="AJ5" t="s">
        <v>6373</v>
      </c>
      <c r="AK5" t="s">
        <v>554</v>
      </c>
      <c r="AL5" t="s">
        <v>531</v>
      </c>
      <c r="AM5" t="s">
        <v>535</v>
      </c>
      <c r="AN5" t="s">
        <v>560</v>
      </c>
      <c r="AO5" t="s">
        <v>539</v>
      </c>
      <c r="AP5" t="s">
        <v>564</v>
      </c>
      <c r="AQ5" t="s">
        <v>543</v>
      </c>
      <c r="AT5" t="s">
        <v>572</v>
      </c>
      <c r="AU5" t="s">
        <v>908</v>
      </c>
      <c r="AV5" t="s">
        <v>138</v>
      </c>
      <c r="AZ5" s="1" t="str">
        <f t="shared" si="2"/>
        <v>ACR</v>
      </c>
      <c r="BA5" s="1" t="str">
        <f t="shared" si="3"/>
        <v>ColtWalker</v>
      </c>
      <c r="BB5" s="1" t="str">
        <f t="shared" si="4"/>
        <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25">
      <c r="A6" s="9">
        <v>6</v>
      </c>
      <c r="B6" t="s">
        <v>4</v>
      </c>
      <c r="C6" s="9" t="s">
        <v>1619</v>
      </c>
      <c r="D6" s="9" t="s">
        <v>1645</v>
      </c>
      <c r="E6" s="9" t="s">
        <v>192</v>
      </c>
      <c r="F6" s="9" t="s">
        <v>152</v>
      </c>
      <c r="H6" s="9" t="s">
        <v>80</v>
      </c>
      <c r="I6" s="9" t="s">
        <v>1610</v>
      </c>
      <c r="J6" s="9" t="s">
        <v>827</v>
      </c>
      <c r="K6" s="9" t="s">
        <v>1642</v>
      </c>
      <c r="M6" s="9" t="s">
        <v>97</v>
      </c>
      <c r="N6" s="9" t="s">
        <v>86</v>
      </c>
      <c r="O6" s="9" t="s">
        <v>199</v>
      </c>
      <c r="P6" s="9" t="s">
        <v>171</v>
      </c>
      <c r="R6" s="9" t="s">
        <v>745</v>
      </c>
      <c r="S6" s="9" t="s">
        <v>5491</v>
      </c>
      <c r="T6" s="9" t="s">
        <v>1709</v>
      </c>
      <c r="U6" s="9" t="s">
        <v>1690</v>
      </c>
      <c r="W6" s="9" t="s">
        <v>113</v>
      </c>
      <c r="X6" s="9" t="s">
        <v>107</v>
      </c>
      <c r="Y6" t="s">
        <v>5715</v>
      </c>
      <c r="Z6" s="9" t="s">
        <v>212</v>
      </c>
      <c r="AC6" s="9" t="s">
        <v>164</v>
      </c>
      <c r="AD6" s="9" t="s">
        <v>725</v>
      </c>
      <c r="AE6" s="9" t="s">
        <v>194</v>
      </c>
      <c r="AP6" t="s">
        <v>565</v>
      </c>
      <c r="AQ6" t="s">
        <v>547</v>
      </c>
      <c r="AU6" t="s">
        <v>907</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25">
      <c r="B7" t="s">
        <v>5</v>
      </c>
      <c r="C7" s="9" t="s">
        <v>69</v>
      </c>
      <c r="D7" s="9" t="s">
        <v>228</v>
      </c>
      <c r="E7" s="9" t="s">
        <v>178</v>
      </c>
      <c r="F7" s="9" t="s">
        <v>1687</v>
      </c>
      <c r="H7" s="9" t="s">
        <v>1134</v>
      </c>
      <c r="I7" s="9" t="s">
        <v>78</v>
      </c>
      <c r="J7" s="9" t="s">
        <v>1720</v>
      </c>
      <c r="K7" s="9" t="s">
        <v>722</v>
      </c>
      <c r="N7" s="9" t="s">
        <v>88</v>
      </c>
      <c r="O7" s="9" t="s">
        <v>255</v>
      </c>
      <c r="P7" s="9" t="s">
        <v>892</v>
      </c>
      <c r="R7" s="9" t="s">
        <v>136</v>
      </c>
      <c r="S7" s="9" t="s">
        <v>1621</v>
      </c>
      <c r="T7" s="9" t="s">
        <v>101</v>
      </c>
      <c r="U7" s="9" t="s">
        <v>7000</v>
      </c>
      <c r="X7" s="9" t="s">
        <v>1172</v>
      </c>
      <c r="Y7" s="9" t="s">
        <v>261</v>
      </c>
      <c r="Z7" t="s">
        <v>7224</v>
      </c>
      <c r="AC7" s="9" t="s">
        <v>1634</v>
      </c>
      <c r="AD7" s="9" t="s">
        <v>147</v>
      </c>
      <c r="AE7" t="s">
        <v>4711</v>
      </c>
      <c r="AP7" t="s">
        <v>566</v>
      </c>
      <c r="AQ7" t="s">
        <v>548</v>
      </c>
      <c r="AU7" t="s">
        <v>6843</v>
      </c>
      <c r="AV7" t="s">
        <v>1609</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25">
      <c r="A8" s="9"/>
      <c r="C8" s="9" t="s">
        <v>70</v>
      </c>
      <c r="D8" s="9" t="s">
        <v>63</v>
      </c>
      <c r="E8" s="9" t="s">
        <v>785</v>
      </c>
      <c r="F8" s="9" t="s">
        <v>196</v>
      </c>
      <c r="G8" s="9"/>
      <c r="H8" s="9" t="s">
        <v>905</v>
      </c>
      <c r="I8" s="9" t="s">
        <v>165</v>
      </c>
      <c r="J8" s="9" t="s">
        <v>262</v>
      </c>
      <c r="K8" s="9" t="s">
        <v>6889</v>
      </c>
      <c r="N8" s="9" t="s">
        <v>789</v>
      </c>
      <c r="O8" s="9" t="s">
        <v>788</v>
      </c>
      <c r="P8" s="9" t="s">
        <v>1638</v>
      </c>
      <c r="S8" s="9" t="s">
        <v>1166</v>
      </c>
      <c r="T8" t="s">
        <v>8096</v>
      </c>
      <c r="U8" s="9" t="s">
        <v>234</v>
      </c>
      <c r="X8" s="9" t="s">
        <v>790</v>
      </c>
      <c r="Y8" s="9" t="s">
        <v>837</v>
      </c>
      <c r="Z8" s="9" t="s">
        <v>241</v>
      </c>
      <c r="AC8" s="9" t="s">
        <v>215</v>
      </c>
      <c r="AD8" s="9" t="s">
        <v>716</v>
      </c>
      <c r="AE8" s="9" t="s">
        <v>1637</v>
      </c>
      <c r="AP8" t="s">
        <v>567</v>
      </c>
      <c r="AQ8" t="s">
        <v>549</v>
      </c>
      <c r="AU8" t="s">
        <v>6844</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25">
      <c r="A9" s="9"/>
      <c r="C9" s="9" t="s">
        <v>1194</v>
      </c>
      <c r="D9" s="9" t="s">
        <v>68</v>
      </c>
      <c r="E9" s="9" t="s">
        <v>253</v>
      </c>
      <c r="F9" s="9" t="s">
        <v>1629</v>
      </c>
      <c r="G9" s="9"/>
      <c r="H9" s="9" t="s">
        <v>116</v>
      </c>
      <c r="I9" s="9" t="s">
        <v>1665</v>
      </c>
      <c r="J9" s="9" t="s">
        <v>157</v>
      </c>
      <c r="K9" s="9" t="s">
        <v>1603</v>
      </c>
      <c r="N9" s="9" t="s">
        <v>89</v>
      </c>
      <c r="O9" s="9" t="s">
        <v>806</v>
      </c>
      <c r="P9" s="9" t="s">
        <v>235</v>
      </c>
      <c r="S9" s="9" t="s">
        <v>206</v>
      </c>
      <c r="T9" t="s">
        <v>6676</v>
      </c>
      <c r="U9" s="9" t="s">
        <v>1664</v>
      </c>
      <c r="X9" s="9" t="s">
        <v>112</v>
      </c>
      <c r="Y9" s="9" t="s">
        <v>105</v>
      </c>
      <c r="Z9" s="9" t="s">
        <v>260</v>
      </c>
      <c r="AC9" s="9" t="s">
        <v>810</v>
      </c>
      <c r="AD9" s="9" t="s">
        <v>149</v>
      </c>
      <c r="AE9" s="9" t="s">
        <v>1206</v>
      </c>
      <c r="AP9" t="s">
        <v>568</v>
      </c>
      <c r="AQ9" t="s">
        <v>550</v>
      </c>
      <c r="AU9" t="s">
        <v>6845</v>
      </c>
      <c r="AV9" t="s">
        <v>1622</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25">
      <c r="A10" s="9"/>
      <c r="C10" s="9"/>
      <c r="D10" s="9" t="s">
        <v>1644</v>
      </c>
      <c r="E10" s="9" t="s">
        <v>938</v>
      </c>
      <c r="F10" s="9" t="s">
        <v>120</v>
      </c>
      <c r="G10" s="9"/>
      <c r="H10" s="9" t="s">
        <v>118</v>
      </c>
      <c r="I10" s="9" t="s">
        <v>84</v>
      </c>
      <c r="J10" s="9" t="s">
        <v>1661</v>
      </c>
      <c r="K10" s="9" t="s">
        <v>248</v>
      </c>
      <c r="N10" s="9" t="s">
        <v>184</v>
      </c>
      <c r="O10" s="9" t="s">
        <v>729</v>
      </c>
      <c r="P10" s="9" t="s">
        <v>805</v>
      </c>
      <c r="S10" s="9" t="s">
        <v>216</v>
      </c>
      <c r="T10" s="9" t="s">
        <v>1662</v>
      </c>
      <c r="U10" s="9" t="s">
        <v>1667</v>
      </c>
      <c r="X10" s="9" t="s">
        <v>110</v>
      </c>
      <c r="Y10" t="s">
        <v>7146</v>
      </c>
      <c r="Z10" t="s">
        <v>6682</v>
      </c>
      <c r="AD10" t="s">
        <v>5462</v>
      </c>
      <c r="AE10" s="9" t="s">
        <v>811</v>
      </c>
      <c r="AU10" t="s">
        <v>914</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25">
      <c r="A11" s="9"/>
      <c r="C11" s="9"/>
      <c r="D11" s="9" t="s">
        <v>1648</v>
      </c>
      <c r="E11" s="9" t="s">
        <v>1179</v>
      </c>
      <c r="F11" s="9" t="s">
        <v>1666</v>
      </c>
      <c r="G11" s="9"/>
      <c r="I11" s="9" t="s">
        <v>208</v>
      </c>
      <c r="J11" s="9" t="s">
        <v>715</v>
      </c>
      <c r="K11" t="s">
        <v>1692</v>
      </c>
      <c r="N11" s="9" t="s">
        <v>1631</v>
      </c>
      <c r="O11" s="9" t="s">
        <v>6488</v>
      </c>
      <c r="P11" s="9" t="s">
        <v>1732</v>
      </c>
      <c r="S11" s="9" t="s">
        <v>203</v>
      </c>
      <c r="T11" s="9" t="s">
        <v>175</v>
      </c>
      <c r="U11" s="9" t="s">
        <v>233</v>
      </c>
      <c r="X11" s="9" t="s">
        <v>240</v>
      </c>
      <c r="Y11" s="9" t="s">
        <v>106</v>
      </c>
      <c r="Z11" s="9" t="s">
        <v>1715</v>
      </c>
      <c r="AD11" t="s">
        <v>4732</v>
      </c>
      <c r="AE11" s="9" t="s">
        <v>145</v>
      </c>
      <c r="AL11" s="37"/>
      <c r="AU11" t="s">
        <v>906</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25">
      <c r="A12" s="9"/>
      <c r="C12" s="9"/>
      <c r="D12" s="9" t="s">
        <v>71</v>
      </c>
      <c r="E12" t="s">
        <v>1754</v>
      </c>
      <c r="F12" s="9" t="s">
        <v>200</v>
      </c>
      <c r="G12" s="9"/>
      <c r="I12" s="9" t="s">
        <v>1630</v>
      </c>
      <c r="J12" s="9" t="s">
        <v>1658</v>
      </c>
      <c r="K12" t="s">
        <v>7208</v>
      </c>
      <c r="N12" s="9" t="s">
        <v>1650</v>
      </c>
      <c r="O12" s="9" t="s">
        <v>1624</v>
      </c>
      <c r="P12" s="9" t="s">
        <v>143</v>
      </c>
      <c r="S12" s="9" t="s">
        <v>182</v>
      </c>
      <c r="T12" s="9" t="s">
        <v>1656</v>
      </c>
      <c r="U12" s="9" t="s">
        <v>252</v>
      </c>
      <c r="Y12" t="s">
        <v>8671</v>
      </c>
      <c r="Z12" s="9" t="s">
        <v>205</v>
      </c>
      <c r="AD12" s="9" t="s">
        <v>928</v>
      </c>
      <c r="AE12" t="s">
        <v>4723</v>
      </c>
      <c r="AL12" s="37"/>
      <c r="AU12" t="s">
        <v>6935</v>
      </c>
      <c r="AV12" t="s">
        <v>920</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25">
      <c r="A13" s="9"/>
      <c r="C13" s="9"/>
      <c r="D13" s="9" t="s">
        <v>163</v>
      </c>
      <c r="E13" s="9" t="s">
        <v>1684</v>
      </c>
      <c r="F13" s="9" t="s">
        <v>1693</v>
      </c>
      <c r="G13" s="9"/>
      <c r="I13" s="9" t="s">
        <v>1641</v>
      </c>
      <c r="J13" s="9" t="s">
        <v>254</v>
      </c>
      <c r="K13" s="9" t="s">
        <v>238</v>
      </c>
      <c r="N13" s="9" t="s">
        <v>242</v>
      </c>
      <c r="O13" s="9" t="s">
        <v>91</v>
      </c>
      <c r="P13" s="9" t="s">
        <v>166</v>
      </c>
      <c r="S13" s="9" t="s">
        <v>727</v>
      </c>
      <c r="T13" s="9" t="s">
        <v>711</v>
      </c>
      <c r="U13" t="s">
        <v>6668</v>
      </c>
      <c r="Y13" s="9" t="s">
        <v>114</v>
      </c>
      <c r="Z13" s="9" t="s">
        <v>6475</v>
      </c>
      <c r="AD13" s="9" t="s">
        <v>1636</v>
      </c>
      <c r="AE13" s="9" t="s">
        <v>812</v>
      </c>
      <c r="AL13" s="37"/>
      <c r="AU13" t="s">
        <v>6846</v>
      </c>
      <c r="AV13" t="s">
        <v>919</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25">
      <c r="A14" s="9"/>
      <c r="C14" s="9"/>
      <c r="D14" s="9" t="s">
        <v>129</v>
      </c>
      <c r="E14" s="9" t="s">
        <v>7110</v>
      </c>
      <c r="F14" t="s">
        <v>7153</v>
      </c>
      <c r="G14" s="9"/>
      <c r="I14" s="9" t="s">
        <v>1611</v>
      </c>
      <c r="J14" s="9" t="s">
        <v>730</v>
      </c>
      <c r="K14" s="9" t="s">
        <v>6985</v>
      </c>
      <c r="N14" s="9" t="s">
        <v>1643</v>
      </c>
      <c r="O14" s="9" t="s">
        <v>159</v>
      </c>
      <c r="P14" s="9" t="s">
        <v>93</v>
      </c>
      <c r="S14" s="9" t="s">
        <v>102</v>
      </c>
      <c r="T14" s="9" t="s">
        <v>1712</v>
      </c>
      <c r="U14" s="9" t="s">
        <v>155</v>
      </c>
      <c r="Y14" s="9" t="s">
        <v>189</v>
      </c>
      <c r="Z14" s="9" t="s">
        <v>300</v>
      </c>
      <c r="AD14" s="9" t="s">
        <v>1633</v>
      </c>
      <c r="AE14" s="9" t="s">
        <v>5633</v>
      </c>
      <c r="AL14" s="37"/>
      <c r="AM14" s="37"/>
      <c r="AU14" t="s">
        <v>6847</v>
      </c>
      <c r="AV14" t="s">
        <v>921</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25">
      <c r="A15" s="9"/>
      <c r="C15" s="9"/>
      <c r="D15" s="9" t="s">
        <v>140</v>
      </c>
      <c r="E15" s="9" t="s">
        <v>6653</v>
      </c>
      <c r="F15" s="9" t="s">
        <v>820</v>
      </c>
      <c r="G15" s="9"/>
      <c r="I15" s="9" t="s">
        <v>81</v>
      </c>
      <c r="J15" s="9" t="s">
        <v>6392</v>
      </c>
      <c r="K15" s="9" t="s">
        <v>804</v>
      </c>
      <c r="N15" s="9" t="s">
        <v>142</v>
      </c>
      <c r="O15" t="s">
        <v>6661</v>
      </c>
      <c r="P15" s="9" t="s">
        <v>266</v>
      </c>
      <c r="S15" s="9" t="s">
        <v>1671</v>
      </c>
      <c r="T15" s="9" t="s">
        <v>819</v>
      </c>
      <c r="U15" s="9" t="s">
        <v>258</v>
      </c>
      <c r="Y15" s="9" t="s">
        <v>128</v>
      </c>
      <c r="Z15" s="9" t="s">
        <v>301</v>
      </c>
      <c r="AD15" s="9" t="s">
        <v>150</v>
      </c>
      <c r="AE15" s="205" t="s">
        <v>1401</v>
      </c>
      <c r="AL15" s="37"/>
      <c r="AM15" s="37"/>
      <c r="AP15" s="37"/>
      <c r="AU15" t="s">
        <v>922</v>
      </c>
      <c r="AV15" t="s">
        <v>916</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25">
      <c r="A16" s="9"/>
      <c r="C16" s="9"/>
      <c r="D16" s="9" t="s">
        <v>1672</v>
      </c>
      <c r="E16" s="9" t="s">
        <v>209</v>
      </c>
      <c r="F16" s="9" t="s">
        <v>815</v>
      </c>
      <c r="G16" s="9"/>
      <c r="I16" s="9" t="s">
        <v>828</v>
      </c>
      <c r="J16" s="9" t="s">
        <v>2136</v>
      </c>
      <c r="K16" s="9" t="s">
        <v>1410</v>
      </c>
      <c r="N16" s="9" t="s">
        <v>130</v>
      </c>
      <c r="O16" s="9" t="s">
        <v>187</v>
      </c>
      <c r="P16" s="9" t="s">
        <v>96</v>
      </c>
      <c r="S16" s="9" t="s">
        <v>167</v>
      </c>
      <c r="T16" s="9" t="s">
        <v>1676</v>
      </c>
      <c r="U16" s="9" t="s">
        <v>104</v>
      </c>
      <c r="Y16" s="9" t="s">
        <v>111</v>
      </c>
      <c r="Z16" s="9" t="s">
        <v>126</v>
      </c>
      <c r="AD16" s="9" t="s">
        <v>1640</v>
      </c>
      <c r="AE16" t="s">
        <v>6576</v>
      </c>
      <c r="AL16" s="37"/>
      <c r="AM16" s="37"/>
      <c r="AP16" s="37"/>
      <c r="AU16" t="s">
        <v>923</v>
      </c>
      <c r="AV16" t="s">
        <v>918</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25">
      <c r="A17" s="9"/>
      <c r="C17" s="9"/>
      <c r="D17" s="9" t="s">
        <v>750</v>
      </c>
      <c r="E17" s="9" t="s">
        <v>122</v>
      </c>
      <c r="F17" t="s">
        <v>6643</v>
      </c>
      <c r="G17" s="9"/>
      <c r="I17" s="9" t="s">
        <v>1674</v>
      </c>
      <c r="J17" t="s">
        <v>8082</v>
      </c>
      <c r="K17" s="9" t="s">
        <v>82</v>
      </c>
      <c r="N17" s="9" t="s">
        <v>1614</v>
      </c>
      <c r="O17" s="9" t="s">
        <v>87</v>
      </c>
      <c r="P17" s="9" t="s">
        <v>7124</v>
      </c>
      <c r="S17" s="9" t="s">
        <v>239</v>
      </c>
      <c r="T17" s="9" t="s">
        <v>1163</v>
      </c>
      <c r="U17" t="s">
        <v>8089</v>
      </c>
      <c r="Y17" s="9" t="s">
        <v>808</v>
      </c>
      <c r="Z17" s="9" t="s">
        <v>154</v>
      </c>
      <c r="AD17" t="s">
        <v>6585</v>
      </c>
      <c r="AE17" s="9" t="s">
        <v>1635</v>
      </c>
      <c r="AU17" t="s">
        <v>924</v>
      </c>
      <c r="AV17" t="s">
        <v>917</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25">
      <c r="A18" s="9"/>
      <c r="C18" s="9"/>
      <c r="D18" s="9" t="s">
        <v>1651</v>
      </c>
      <c r="E18" s="9" t="s">
        <v>6467</v>
      </c>
      <c r="F18" s="9" t="s">
        <v>121</v>
      </c>
      <c r="G18" s="9"/>
      <c r="I18" s="9" t="s">
        <v>181</v>
      </c>
      <c r="J18" s="9" t="s">
        <v>1628</v>
      </c>
      <c r="K18" s="9" t="s">
        <v>190</v>
      </c>
      <c r="N18" s="9" t="s">
        <v>1657</v>
      </c>
      <c r="O18" s="9" t="s">
        <v>244</v>
      </c>
      <c r="P18" s="9" t="s">
        <v>201</v>
      </c>
      <c r="S18" s="9" t="s">
        <v>797</v>
      </c>
      <c r="T18" s="9" t="s">
        <v>1428</v>
      </c>
      <c r="U18" s="9" t="s">
        <v>124</v>
      </c>
      <c r="Y18" s="9" t="s">
        <v>787</v>
      </c>
      <c r="Z18" s="9" t="s">
        <v>786</v>
      </c>
      <c r="AD18" s="9" t="s">
        <v>1673</v>
      </c>
      <c r="AE18" s="249" t="s">
        <v>7024</v>
      </c>
      <c r="AU18" t="s">
        <v>913</v>
      </c>
      <c r="AV18" t="s">
        <v>7000</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25">
      <c r="A19" s="9"/>
      <c r="C19" s="9"/>
      <c r="D19" s="9" t="s">
        <v>66</v>
      </c>
      <c r="E19" s="9" t="s">
        <v>5684</v>
      </c>
      <c r="F19" s="9" t="s">
        <v>193</v>
      </c>
      <c r="G19" s="9"/>
      <c r="I19" s="9" t="s">
        <v>156</v>
      </c>
      <c r="J19" s="9" t="s">
        <v>226</v>
      </c>
      <c r="K19" s="9" t="s">
        <v>1646</v>
      </c>
      <c r="N19" s="9" t="s">
        <v>222</v>
      </c>
      <c r="O19" s="9" t="s">
        <v>833</v>
      </c>
      <c r="P19" s="9" t="s">
        <v>185</v>
      </c>
      <c r="T19" s="9" t="s">
        <v>832</v>
      </c>
      <c r="U19" s="9" t="s">
        <v>1187</v>
      </c>
      <c r="Y19" s="9" t="s">
        <v>1652</v>
      </c>
      <c r="Z19" s="9" t="s">
        <v>1663</v>
      </c>
      <c r="AE19" s="210" t="s">
        <v>3422</v>
      </c>
      <c r="AU19" t="s">
        <v>912</v>
      </c>
      <c r="AV19" t="s">
        <v>5746</v>
      </c>
      <c r="AZ19" s="1" t="str">
        <f t="shared" si="2"/>
        <v>FAL</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25">
      <c r="A20" s="9"/>
      <c r="C20" s="9"/>
      <c r="D20" s="9" t="s">
        <v>225</v>
      </c>
      <c r="E20" s="9" t="s">
        <v>803</v>
      </c>
      <c r="F20" s="9" t="s">
        <v>131</v>
      </c>
      <c r="G20" s="9"/>
      <c r="I20" s="9" t="s">
        <v>1623</v>
      </c>
      <c r="J20" s="9" t="s">
        <v>1612</v>
      </c>
      <c r="K20" s="9" t="s">
        <v>1653</v>
      </c>
      <c r="N20" s="9" t="s">
        <v>1604</v>
      </c>
      <c r="O20" s="9" t="s">
        <v>1681</v>
      </c>
      <c r="P20" s="9" t="s">
        <v>132</v>
      </c>
      <c r="T20" s="9" t="s">
        <v>98</v>
      </c>
      <c r="U20" s="9" t="s">
        <v>1430</v>
      </c>
      <c r="Z20" s="9" t="s">
        <v>1678</v>
      </c>
      <c r="AE20" s="210" t="s">
        <v>825</v>
      </c>
      <c r="AU20" t="s">
        <v>5670</v>
      </c>
      <c r="AV20" t="s">
        <v>708</v>
      </c>
      <c r="AZ20" s="1" t="str">
        <f t="shared" si="2"/>
        <v>G11</v>
      </c>
      <c r="BA20" s="1" t="str">
        <f t="shared" si="3"/>
        <v>Noel</v>
      </c>
      <c r="BB20" s="1" t="str">
        <f t="shared" si="4"/>
        <v/>
      </c>
      <c r="BC20" s="1" t="str">
        <f t="shared" si="5"/>
        <v>Noel</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25">
      <c r="A21" s="9"/>
      <c r="C21" s="9"/>
      <c r="D21" s="9" t="s">
        <v>73</v>
      </c>
      <c r="E21" s="9" t="s">
        <v>19</v>
      </c>
      <c r="F21" s="9" t="s">
        <v>197</v>
      </c>
      <c r="G21" s="9"/>
      <c r="J21" s="9" t="s">
        <v>1677</v>
      </c>
      <c r="K21" s="9" t="s">
        <v>1685</v>
      </c>
      <c r="N21" s="9" t="s">
        <v>119</v>
      </c>
      <c r="O21" s="9" t="s">
        <v>92</v>
      </c>
      <c r="P21" s="9" t="s">
        <v>821</v>
      </c>
      <c r="T21" s="9" t="s">
        <v>99</v>
      </c>
      <c r="U21" s="9" t="s">
        <v>735</v>
      </c>
      <c r="Z21" s="9" t="s">
        <v>834</v>
      </c>
      <c r="AE21" t="s">
        <v>6566</v>
      </c>
      <c r="AU21" t="s">
        <v>5669</v>
      </c>
      <c r="AV21" t="s">
        <v>709</v>
      </c>
      <c r="AZ21" s="1" t="str">
        <f t="shared" si="2"/>
        <v>G36Mod</v>
      </c>
      <c r="BA21" s="1" t="str">
        <f t="shared" si="3"/>
        <v>NZ75</v>
      </c>
      <c r="BB21" s="1" t="str">
        <f t="shared" si="4"/>
        <v/>
      </c>
      <c r="BC21" s="1" t="str">
        <f t="shared" si="5"/>
        <v>NZ75</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25">
      <c r="A22" s="9"/>
      <c r="C22" s="9"/>
      <c r="D22" s="9" t="s">
        <v>214</v>
      </c>
      <c r="E22" s="9" t="s">
        <v>153</v>
      </c>
      <c r="F22" s="9" t="s">
        <v>1654</v>
      </c>
      <c r="J22" s="9" t="s">
        <v>5775</v>
      </c>
      <c r="K22" s="9" t="s">
        <v>141</v>
      </c>
      <c r="N22" s="9" t="s">
        <v>3397</v>
      </c>
      <c r="O22" s="9" t="s">
        <v>1639</v>
      </c>
      <c r="P22" s="9" t="s">
        <v>1680</v>
      </c>
      <c r="T22" s="9" t="s">
        <v>22</v>
      </c>
      <c r="U22" s="9" t="s">
        <v>824</v>
      </c>
      <c r="Z22" t="s">
        <v>1691</v>
      </c>
      <c r="AE22" t="s">
        <v>8679</v>
      </c>
      <c r="AU22" t="s">
        <v>6842</v>
      </c>
      <c r="AV22" t="s">
        <v>710</v>
      </c>
      <c r="AZ22" s="1" t="str">
        <f t="shared" si="2"/>
        <v>G41</v>
      </c>
      <c r="BA22" s="1" t="str">
        <f t="shared" si="3"/>
        <v>P22</v>
      </c>
      <c r="BB22" s="1" t="str">
        <f t="shared" si="4"/>
        <v/>
      </c>
      <c r="BC22" s="1" t="str">
        <f t="shared" si="5"/>
        <v>P22</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25">
      <c r="A23" s="9"/>
      <c r="C23" s="9"/>
      <c r="D23" s="9" t="s">
        <v>802</v>
      </c>
      <c r="E23" s="9" t="s">
        <v>1620</v>
      </c>
      <c r="F23" s="9" t="s">
        <v>186</v>
      </c>
      <c r="J23" s="9" t="s">
        <v>799</v>
      </c>
      <c r="K23" s="9" t="s">
        <v>1703</v>
      </c>
      <c r="N23" s="9" t="s">
        <v>218</v>
      </c>
      <c r="O23" s="9" t="s">
        <v>800</v>
      </c>
      <c r="P23" s="9" t="s">
        <v>1615</v>
      </c>
      <c r="T23" s="9" t="s">
        <v>796</v>
      </c>
      <c r="U23" s="9" t="s">
        <v>223</v>
      </c>
      <c r="Z23" s="9" t="s">
        <v>7016</v>
      </c>
      <c r="AE23" t="s">
        <v>8685</v>
      </c>
      <c r="AU23" t="s">
        <v>6936</v>
      </c>
      <c r="AV23" t="s">
        <v>231</v>
      </c>
      <c r="AZ23" s="1" t="str">
        <f t="shared" si="2"/>
        <v>Himeko</v>
      </c>
      <c r="BA23" s="1" t="str">
        <f t="shared" si="3"/>
        <v>PA15</v>
      </c>
      <c r="BB23" s="1" t="str">
        <f t="shared" si="4"/>
        <v/>
      </c>
      <c r="BC23" s="1" t="str">
        <f t="shared" si="5"/>
        <v>PA15</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25">
      <c r="A24" s="9"/>
      <c r="B24" s="9"/>
      <c r="C24" s="9"/>
      <c r="D24" s="9"/>
      <c r="E24" s="9" t="s">
        <v>67</v>
      </c>
      <c r="F24" s="9" t="s">
        <v>64</v>
      </c>
      <c r="J24" s="9" t="s">
        <v>144</v>
      </c>
      <c r="K24" s="9" t="s">
        <v>1729</v>
      </c>
      <c r="O24" s="9" t="s">
        <v>5699</v>
      </c>
      <c r="P24" t="s">
        <v>1394</v>
      </c>
      <c r="T24" s="9" t="s">
        <v>7131</v>
      </c>
      <c r="U24" t="s">
        <v>8022</v>
      </c>
      <c r="Z24" s="9" t="s">
        <v>1668</v>
      </c>
      <c r="AE24" t="s">
        <v>7233</v>
      </c>
      <c r="AQ24" s="9"/>
      <c r="AU24" t="s">
        <v>6937</v>
      </c>
      <c r="AV24" t="s">
        <v>738</v>
      </c>
      <c r="AZ24" s="1" t="str">
        <f t="shared" si="2"/>
        <v>HK416</v>
      </c>
      <c r="BA24" s="1" t="str">
        <f t="shared" si="3"/>
        <v>Px4 Storm</v>
      </c>
      <c r="BB24" s="1" t="str">
        <f t="shared" si="4"/>
        <v/>
      </c>
      <c r="BC24" s="1" t="str">
        <f t="shared" si="5"/>
        <v>Px4 Storm</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25">
      <c r="A25" s="9"/>
      <c r="B25" s="9"/>
      <c r="C25" s="9"/>
      <c r="D25" s="9"/>
      <c r="E25" s="9" t="s">
        <v>5493</v>
      </c>
      <c r="F25" t="s">
        <v>5674</v>
      </c>
      <c r="J25" s="9" t="s">
        <v>829</v>
      </c>
      <c r="K25" s="9" t="s">
        <v>1627</v>
      </c>
      <c r="O25" s="9" t="s">
        <v>243</v>
      </c>
      <c r="P25" t="s">
        <v>8003</v>
      </c>
      <c r="T25" s="9" t="s">
        <v>229</v>
      </c>
      <c r="U25" s="9" t="s">
        <v>7009</v>
      </c>
      <c r="AE25" s="9" t="s">
        <v>250</v>
      </c>
      <c r="AQ25" s="9"/>
      <c r="AU25" t="s">
        <v>6938</v>
      </c>
      <c r="AV25" t="s">
        <v>162</v>
      </c>
      <c r="AZ25" s="1" t="str">
        <f t="shared" si="2"/>
        <v>HK433</v>
      </c>
      <c r="BA25" s="1" t="str">
        <f t="shared" si="3"/>
        <v>Python</v>
      </c>
      <c r="BB25" s="1" t="str">
        <f t="shared" si="4"/>
        <v/>
      </c>
      <c r="BC25" s="1" t="str">
        <f t="shared" si="5"/>
        <v>Python</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25">
      <c r="A26" s="9"/>
      <c r="B26" s="9"/>
      <c r="C26" s="9"/>
      <c r="D26" s="9"/>
      <c r="E26" s="9" t="s">
        <v>6759</v>
      </c>
      <c r="F26" s="9" t="s">
        <v>267</v>
      </c>
      <c r="J26" s="9" t="s">
        <v>741</v>
      </c>
      <c r="K26" s="9" t="s">
        <v>5691</v>
      </c>
      <c r="O26" s="9" t="s">
        <v>830</v>
      </c>
      <c r="P26" s="9" t="s">
        <v>1655</v>
      </c>
      <c r="T26" s="9" t="s">
        <v>1649</v>
      </c>
      <c r="U26" s="9" t="s">
        <v>188</v>
      </c>
      <c r="AE26" s="210" t="s">
        <v>734</v>
      </c>
      <c r="AQ26" s="9"/>
      <c r="AV26" t="s">
        <v>5730</v>
      </c>
      <c r="AZ26" s="1" t="str">
        <f t="shared" si="2"/>
        <v>Junko</v>
      </c>
      <c r="BA26" s="1" t="str">
        <f t="shared" si="3"/>
        <v>Rhino</v>
      </c>
      <c r="BB26" s="1" t="str">
        <f t="shared" si="4"/>
        <v/>
      </c>
      <c r="BC26" s="1" t="str">
        <f t="shared" si="5"/>
        <v>Rhino</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25">
      <c r="A27" s="9"/>
      <c r="B27" s="9"/>
      <c r="C27" s="9"/>
      <c r="D27" s="9"/>
      <c r="E27" s="9" t="s">
        <v>7199</v>
      </c>
      <c r="F27" s="9" t="s">
        <v>732</v>
      </c>
      <c r="J27" s="9" t="s">
        <v>24</v>
      </c>
      <c r="K27" s="9" t="s">
        <v>127</v>
      </c>
      <c r="O27" s="9" t="s">
        <v>839</v>
      </c>
      <c r="P27" s="9" t="s">
        <v>207</v>
      </c>
      <c r="T27" s="9" t="s">
        <v>1616</v>
      </c>
      <c r="U27" s="9" t="s">
        <v>168</v>
      </c>
      <c r="AQ27" s="9"/>
      <c r="AV27" t="s">
        <v>252</v>
      </c>
      <c r="AZ27" s="1" t="str">
        <f t="shared" si="2"/>
        <v>K11</v>
      </c>
      <c r="BA27" s="1" t="str">
        <f t="shared" si="3"/>
        <v>SAAMod</v>
      </c>
      <c r="BB27" s="1" t="str">
        <f t="shared" si="4"/>
        <v/>
      </c>
      <c r="BC27" s="1" t="str">
        <f t="shared" si="5"/>
        <v>SAAMod</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25">
      <c r="A28" s="9"/>
      <c r="B28" s="9"/>
      <c r="C28" s="9"/>
      <c r="D28" s="9"/>
      <c r="E28" s="9" t="s">
        <v>5492</v>
      </c>
      <c r="F28" s="9" t="s">
        <v>740</v>
      </c>
      <c r="J28" s="9" t="s">
        <v>23</v>
      </c>
      <c r="K28" s="9" t="s">
        <v>76</v>
      </c>
      <c r="O28" s="9" t="s">
        <v>172</v>
      </c>
      <c r="P28" s="9" t="s">
        <v>249</v>
      </c>
      <c r="T28" s="9" t="s">
        <v>831</v>
      </c>
      <c r="U28" s="9" t="s">
        <v>1706</v>
      </c>
      <c r="AV28" t="s">
        <v>137</v>
      </c>
      <c r="AZ28" s="1" t="str">
        <f t="shared" si="2"/>
        <v>K2</v>
      </c>
      <c r="BA28" s="1" t="str">
        <f t="shared" si="3"/>
        <v>Sei</v>
      </c>
      <c r="BB28" s="1" t="str">
        <f t="shared" si="4"/>
        <v/>
      </c>
      <c r="BC28" s="1" t="str">
        <f t="shared" si="5"/>
        <v>Sei</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25">
      <c r="A29" s="9"/>
      <c r="C29" s="9"/>
      <c r="D29" s="9"/>
      <c r="E29" s="9"/>
      <c r="F29" s="9" t="s">
        <v>6975</v>
      </c>
      <c r="J29" s="9" t="s">
        <v>123</v>
      </c>
      <c r="K29" s="9" t="s">
        <v>224</v>
      </c>
      <c r="P29" t="s">
        <v>236</v>
      </c>
      <c r="T29" s="9" t="s">
        <v>739</v>
      </c>
      <c r="U29" s="9" t="s">
        <v>257</v>
      </c>
      <c r="AV29" t="s">
        <v>1626</v>
      </c>
      <c r="AZ29" s="1" t="str">
        <f t="shared" si="2"/>
        <v>KH2002</v>
      </c>
      <c r="BA29" s="1" t="str">
        <f t="shared" si="3"/>
        <v>StechkinMod</v>
      </c>
      <c r="BB29" s="1" t="str">
        <f t="shared" si="4"/>
        <v/>
      </c>
      <c r="BC29" s="1" t="str">
        <f t="shared" si="5"/>
        <v>StechkinMod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25">
      <c r="A30" s="9"/>
      <c r="C30" s="9"/>
      <c r="D30" s="9"/>
      <c r="E30" s="9"/>
      <c r="F30" s="9" t="s">
        <v>823</v>
      </c>
      <c r="J30" t="s">
        <v>5479</v>
      </c>
      <c r="K30" s="9" t="s">
        <v>8102</v>
      </c>
      <c r="P30" s="9" t="s">
        <v>818</v>
      </c>
      <c r="T30" s="9" t="s">
        <v>6762</v>
      </c>
      <c r="U30" s="9" t="s">
        <v>256</v>
      </c>
      <c r="AV30" t="s">
        <v>101</v>
      </c>
      <c r="AZ30" s="1" t="str">
        <f t="shared" si="2"/>
        <v>M4 SOPMOD IIMod</v>
      </c>
      <c r="BA30" s="1" t="str">
        <f t="shared" si="3"/>
        <v>Tae</v>
      </c>
      <c r="BB30" s="1" t="str">
        <f t="shared" si="4"/>
        <v/>
      </c>
      <c r="BC30" s="1" t="str">
        <f t="shared" si="5"/>
        <v>Tae</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25">
      <c r="A31" s="9"/>
      <c r="C31" s="9"/>
      <c r="D31" s="9"/>
      <c r="E31" s="9"/>
      <c r="F31" s="9" t="s">
        <v>793</v>
      </c>
      <c r="K31" s="9" t="s">
        <v>265</v>
      </c>
      <c r="P31" s="9" t="s">
        <v>6898</v>
      </c>
      <c r="T31" s="9" t="s">
        <v>180</v>
      </c>
      <c r="U31" s="9" t="s">
        <v>179</v>
      </c>
      <c r="AV31" t="s">
        <v>258</v>
      </c>
      <c r="AZ31" s="1" t="str">
        <f t="shared" si="2"/>
        <v>M4A1Mod</v>
      </c>
      <c r="BA31" s="1" t="str">
        <f t="shared" si="3"/>
        <v>Theresa</v>
      </c>
      <c r="BB31" s="1" t="str">
        <f t="shared" si="4"/>
        <v/>
      </c>
      <c r="BC31" s="1" t="str">
        <f t="shared" si="5"/>
        <v>Theresa</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25">
      <c r="A32" s="9"/>
      <c r="C32" s="9"/>
      <c r="D32" s="9"/>
      <c r="E32" s="9"/>
      <c r="F32" s="9" t="s">
        <v>836</v>
      </c>
      <c r="K32" s="9" t="s">
        <v>264</v>
      </c>
      <c r="P32" s="9" t="s">
        <v>795</v>
      </c>
      <c r="U32" t="s">
        <v>1397</v>
      </c>
      <c r="AV32" t="s">
        <v>74</v>
      </c>
      <c r="AZ32" s="1" t="str">
        <f t="shared" si="2"/>
        <v>MDR</v>
      </c>
      <c r="BA32" s="1" t="str">
        <f t="shared" si="3"/>
        <v>Webley</v>
      </c>
      <c r="BB32" s="1" t="str">
        <f t="shared" si="4"/>
        <v/>
      </c>
      <c r="BC32" s="1" t="str">
        <f t="shared" si="5"/>
        <v>Webley</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K33" s="9" t="s">
        <v>79</v>
      </c>
      <c r="P33" s="9" t="s">
        <v>737</v>
      </c>
      <c r="U33" s="9" t="s">
        <v>1625</v>
      </c>
      <c r="AV33" t="s">
        <v>104</v>
      </c>
      <c r="AZ33" s="1" t="str">
        <f t="shared" si="2"/>
        <v>Medusa</v>
      </c>
      <c r="BA33" s="1" t="str">
        <f t="shared" si="3"/>
        <v>Welrod MkII</v>
      </c>
      <c r="BB33" s="1" t="str">
        <f t="shared" si="4"/>
        <v/>
      </c>
      <c r="BC33" s="1" t="str">
        <f t="shared" si="5"/>
        <v>Welrod MkII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K34" s="9" t="s">
        <v>817</v>
      </c>
      <c r="P34" s="9" t="s">
        <v>814</v>
      </c>
      <c r="U34" t="s">
        <v>5708</v>
      </c>
      <c r="AV34" t="s">
        <v>744</v>
      </c>
      <c r="AZ34" s="1" t="str">
        <f t="shared" si="2"/>
        <v>OTs14</v>
      </c>
      <c r="BA34" s="1" t="str">
        <f t="shared" si="3"/>
        <v/>
      </c>
      <c r="BB34" s="1" t="str">
        <f t="shared" si="4"/>
        <v/>
      </c>
      <c r="BC34" s="1" t="str">
        <f t="shared" si="5"/>
        <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1238</v>
      </c>
      <c r="U35" s="9" t="s">
        <v>791</v>
      </c>
      <c r="AV35" t="s">
        <v>3214</v>
      </c>
      <c r="AZ35" s="1" t="str">
        <f t="shared" si="2"/>
        <v>QBZ191</v>
      </c>
      <c r="BA35" s="1" t="str">
        <f t="shared" si="3"/>
        <v/>
      </c>
      <c r="BB35" s="1" t="str">
        <f t="shared" si="4"/>
        <v/>
      </c>
      <c r="BC35" s="1" t="str">
        <f t="shared" si="5"/>
        <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1669</v>
      </c>
      <c r="U36" s="9" t="s">
        <v>230</v>
      </c>
      <c r="AV36" t="s">
        <v>72</v>
      </c>
      <c r="AZ36" s="1" t="str">
        <f t="shared" si="2"/>
        <v>R5</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t="s">
        <v>1755</v>
      </c>
      <c r="AV37" t="s">
        <v>746</v>
      </c>
      <c r="AZ37" s="1" t="str">
        <f t="shared" si="2"/>
        <v>RFB</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929</v>
      </c>
      <c r="U38" s="9" t="s">
        <v>1670</v>
      </c>
      <c r="AV38" t="s">
        <v>794</v>
      </c>
      <c r="AZ38" s="1" t="str">
        <f t="shared" si="2"/>
        <v>Ribeyrolles1918Mod</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s="9" t="s">
        <v>6906</v>
      </c>
      <c r="AV39" t="s">
        <v>748</v>
      </c>
      <c r="AZ39" s="1" t="str">
        <f t="shared" si="2"/>
        <v>SACR</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CF05</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6400</v>
      </c>
      <c r="AV40" t="s">
        <v>747</v>
      </c>
      <c r="AZ40" s="1" t="str">
        <f t="shared" si="2"/>
        <v>SCAR-L</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ClaesMeteorite</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891</v>
      </c>
      <c r="AV41" t="s">
        <v>749</v>
      </c>
      <c r="AZ41" s="1" t="str">
        <f t="shared" si="2"/>
        <v>SCR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ClaesSpectacles</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246</v>
      </c>
      <c r="AV42" t="s">
        <v>718</v>
      </c>
      <c r="AZ42" s="1" t="str">
        <f t="shared" si="2"/>
        <v>SIG MCX</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ClaesWristwatch</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1683</v>
      </c>
      <c r="AV43" t="s">
        <v>1642</v>
      </c>
      <c r="AZ43" s="1" t="str">
        <f t="shared" si="2"/>
        <v>SIG556</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Clear</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160</v>
      </c>
      <c r="AV44" t="s">
        <v>161</v>
      </c>
      <c r="AZ44" s="1" t="str">
        <f t="shared" si="2"/>
        <v>ST AR15Mod</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CMS</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t="s">
        <v>1679</v>
      </c>
      <c r="AV45" t="s">
        <v>152</v>
      </c>
      <c r="AZ45" s="1" t="str">
        <f t="shared" si="2"/>
        <v>T91</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Contender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t="s">
        <v>6763</v>
      </c>
      <c r="AV46" t="s">
        <v>736</v>
      </c>
      <c r="AZ46" s="1" t="str">
        <f t="shared" si="2"/>
        <v>TKB408</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CZ75</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s="9" t="s">
        <v>792</v>
      </c>
      <c r="AV47" t="s">
        <v>1605</v>
      </c>
      <c r="AZ47" s="1" t="str">
        <f t="shared" si="2"/>
        <v>Type56-1mod</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Dana</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s="9" t="s">
        <v>133</v>
      </c>
      <c r="AV48" t="s">
        <v>722</v>
      </c>
      <c r="AZ48" s="1" t="str">
        <f t="shared" si="2"/>
        <v>Type89</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Defender</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134</v>
      </c>
      <c r="AV49" t="s">
        <v>7168</v>
      </c>
      <c r="AZ49" s="1" t="str">
        <f t="shared" si="2"/>
        <v>Type95</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Dorothy</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807</v>
      </c>
      <c r="AV50" t="s">
        <v>109</v>
      </c>
      <c r="AZ50" s="1" t="str">
        <f t="shared" si="2"/>
        <v>Type97</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DP12Mod</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t="s">
        <v>7216</v>
      </c>
      <c r="AV51" t="s">
        <v>3179</v>
      </c>
      <c r="AZ51" s="1" t="str">
        <f t="shared" si="2"/>
        <v>VHS</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DP28</v>
      </c>
      <c r="BP51" s="1" t="str">
        <f t="shared" si="18"/>
        <v/>
      </c>
      <c r="BQ51" s="1" t="str">
        <f t="shared" si="19"/>
        <v/>
      </c>
      <c r="BR51" s="1" t="str">
        <f t="shared" si="20"/>
        <v/>
      </c>
      <c r="BS51" s="1" t="str">
        <f t="shared" si="21"/>
        <v/>
      </c>
    </row>
    <row r="52" spans="1:73" x14ac:dyDescent="0.25">
      <c r="A52" s="9"/>
      <c r="C52" s="9"/>
      <c r="D52" s="9"/>
      <c r="U52" t="s">
        <v>5737</v>
      </c>
      <c r="AV52" t="s">
        <v>827</v>
      </c>
      <c r="AZ52" s="1" t="str">
        <f t="shared" si="2"/>
        <v>VRB</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EVO3</v>
      </c>
      <c r="BP52" s="1" t="str">
        <f t="shared" si="18"/>
        <v/>
      </c>
      <c r="BQ52" s="1" t="str">
        <f t="shared" si="19"/>
        <v/>
      </c>
      <c r="BR52" s="1" t="str">
        <f t="shared" si="20"/>
        <v/>
      </c>
      <c r="BS52" s="1" t="str">
        <f t="shared" si="21"/>
        <v/>
      </c>
    </row>
    <row r="53" spans="1:73" x14ac:dyDescent="0.25">
      <c r="A53" s="9"/>
      <c r="C53" s="9"/>
      <c r="D53" s="9"/>
      <c r="U53" s="9" t="s">
        <v>169</v>
      </c>
      <c r="AV53" t="s">
        <v>1184</v>
      </c>
      <c r="AZ53" s="1" t="str">
        <f t="shared" si="2"/>
        <v>XM8Mod</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F1Mod</v>
      </c>
      <c r="BP53" s="1" t="str">
        <f t="shared" si="18"/>
        <v/>
      </c>
      <c r="BQ53" s="1" t="str">
        <f t="shared" si="19"/>
        <v/>
      </c>
      <c r="BR53" s="1" t="str">
        <f t="shared" si="20"/>
        <v/>
      </c>
      <c r="BS53" s="1" t="str">
        <f t="shared" si="21"/>
        <v/>
      </c>
    </row>
    <row r="54" spans="1:73" x14ac:dyDescent="0.25">
      <c r="A54" s="9"/>
      <c r="C54" s="9"/>
      <c r="D54" s="9"/>
      <c r="AV54" t="s">
        <v>719</v>
      </c>
      <c r="AZ54" s="1" t="str">
        <f t="shared" si="2"/>
        <v>Zas M21</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F2000</v>
      </c>
      <c r="BP54" s="1" t="str">
        <f t="shared" si="18"/>
        <v/>
      </c>
      <c r="BQ54" s="1" t="str">
        <f t="shared" si="19"/>
        <v/>
      </c>
      <c r="BR54" s="1" t="str">
        <f t="shared" si="20"/>
        <v/>
      </c>
      <c r="BS54" s="1" t="str">
        <f t="shared" si="21"/>
        <v/>
      </c>
    </row>
    <row r="55" spans="1:73" x14ac:dyDescent="0.25">
      <c r="A55" s="9"/>
      <c r="C55" s="9"/>
      <c r="D55" s="9"/>
      <c r="AV55" t="s">
        <v>711</v>
      </c>
      <c r="AZ55" s="1" t="str">
        <f t="shared" si="2"/>
        <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Fail</v>
      </c>
      <c r="BP55" s="1" t="str">
        <f t="shared" si="18"/>
        <v/>
      </c>
      <c r="BQ55" s="1" t="str">
        <f t="shared" si="19"/>
        <v/>
      </c>
      <c r="BR55" s="1" t="str">
        <f t="shared" si="20"/>
        <v/>
      </c>
      <c r="BS55" s="1" t="str">
        <f t="shared" si="21"/>
        <v/>
      </c>
    </row>
    <row r="56" spans="1:73" x14ac:dyDescent="0.25">
      <c r="A56" s="9"/>
      <c r="C56" s="9"/>
      <c r="D56" s="9"/>
      <c r="AV56" t="s">
        <v>125</v>
      </c>
      <c r="AZ56" s="1" t="str">
        <f t="shared" si="2"/>
        <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FAMAS</v>
      </c>
      <c r="BP56" s="1" t="str">
        <f t="shared" si="18"/>
        <v/>
      </c>
      <c r="BQ56" s="1" t="str">
        <f t="shared" si="19"/>
        <v/>
      </c>
      <c r="BR56" s="1" t="str">
        <f t="shared" si="20"/>
        <v/>
      </c>
      <c r="BS56" s="1" t="str">
        <f t="shared" si="21"/>
        <v/>
      </c>
    </row>
    <row r="57" spans="1:73" x14ac:dyDescent="0.25">
      <c r="A57" s="9"/>
      <c r="C57" s="9"/>
      <c r="D57" s="9"/>
      <c r="AV57" t="s">
        <v>1629</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FG42</v>
      </c>
      <c r="BP57" s="1" t="str">
        <f t="shared" si="18"/>
        <v/>
      </c>
      <c r="BQ57" s="1" t="str">
        <f t="shared" si="19"/>
        <v/>
      </c>
      <c r="BR57" s="1" t="str">
        <f t="shared" si="20"/>
        <v/>
      </c>
      <c r="BS57" s="1" t="str">
        <f t="shared" si="21"/>
        <v/>
      </c>
    </row>
    <row r="58" spans="1:73" x14ac:dyDescent="0.25">
      <c r="A58" s="9"/>
      <c r="C58" s="9"/>
      <c r="D58" s="9"/>
      <c r="AV58" t="s">
        <v>1418</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Fiveseven</v>
      </c>
      <c r="BP58" s="1" t="str">
        <f t="shared" si="18"/>
        <v/>
      </c>
      <c r="BQ58" s="1" t="str">
        <f t="shared" si="19"/>
        <v/>
      </c>
      <c r="BR58" s="1" t="str">
        <f t="shared" si="20"/>
        <v/>
      </c>
      <c r="BS58" s="1" t="str">
        <f t="shared" si="21"/>
        <v/>
      </c>
    </row>
    <row r="59" spans="1:73" x14ac:dyDescent="0.25">
      <c r="A59" s="9"/>
      <c r="C59" s="9"/>
      <c r="D59" s="9"/>
      <c r="AV59" t="s">
        <v>1637</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FN49Mod</v>
      </c>
      <c r="BP59" s="1" t="str">
        <f t="shared" si="18"/>
        <v/>
      </c>
      <c r="BQ59" s="1" t="str">
        <f t="shared" si="19"/>
        <v/>
      </c>
      <c r="BR59" s="1" t="str">
        <f t="shared" si="20"/>
        <v/>
      </c>
      <c r="BS59" s="1" t="str">
        <f t="shared" si="21"/>
        <v/>
      </c>
    </row>
    <row r="60" spans="1:73" x14ac:dyDescent="0.25">
      <c r="A60" s="9"/>
      <c r="C60" s="9"/>
      <c r="D60" s="9"/>
      <c r="AV60" t="s">
        <v>1448</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FP6</v>
      </c>
      <c r="BP60" s="1" t="str">
        <f t="shared" si="18"/>
        <v/>
      </c>
      <c r="BQ60" s="1" t="str">
        <f t="shared" si="19"/>
        <v/>
      </c>
      <c r="BR60" s="1" t="str">
        <f t="shared" si="20"/>
        <v/>
      </c>
      <c r="BS60" s="1" t="str">
        <f t="shared" si="21"/>
        <v/>
      </c>
    </row>
    <row r="61" spans="1:73" x14ac:dyDescent="0.25">
      <c r="A61" s="9"/>
      <c r="C61" s="9"/>
      <c r="D61" s="9"/>
      <c r="AV61" t="s">
        <v>75</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G11Mod</v>
      </c>
      <c r="BP61" s="1" t="str">
        <f t="shared" si="18"/>
        <v/>
      </c>
      <c r="BQ61" s="1" t="str">
        <f t="shared" si="19"/>
        <v/>
      </c>
      <c r="BR61" s="1" t="str">
        <f t="shared" si="20"/>
        <v/>
      </c>
      <c r="BS61" s="1" t="str">
        <f t="shared" si="21"/>
        <v/>
      </c>
    </row>
    <row r="62" spans="1:73" x14ac:dyDescent="0.25">
      <c r="A62" s="9"/>
      <c r="C62" s="9"/>
      <c r="D62" s="9"/>
      <c r="AV62" t="s">
        <v>1749</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G17</v>
      </c>
      <c r="BP62" s="1" t="str">
        <f t="shared" si="18"/>
        <v/>
      </c>
      <c r="BQ62" s="1" t="str">
        <f t="shared" si="19"/>
        <v/>
      </c>
      <c r="BR62" s="1" t="str">
        <f t="shared" si="20"/>
        <v/>
      </c>
      <c r="BS62" s="1" t="str">
        <f t="shared" si="21"/>
        <v/>
      </c>
    </row>
    <row r="63" spans="1:73" x14ac:dyDescent="0.25">
      <c r="A63" s="9"/>
      <c r="C63" s="9"/>
      <c r="D63" s="9"/>
      <c r="AV63" t="s">
        <v>1430</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G36CMod</v>
      </c>
      <c r="BP63" s="1" t="str">
        <f t="shared" si="18"/>
        <v/>
      </c>
      <c r="BQ63" s="1" t="str">
        <f t="shared" si="19"/>
        <v/>
      </c>
      <c r="BR63" s="1" t="str">
        <f t="shared" si="20"/>
        <v/>
      </c>
      <c r="BS63" s="1" t="str">
        <f t="shared" si="21"/>
        <v/>
      </c>
    </row>
    <row r="64" spans="1:73" x14ac:dyDescent="0.25">
      <c r="C64" s="9"/>
      <c r="D64" s="9"/>
      <c r="AV64" t="s">
        <v>1428</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G36Mod</v>
      </c>
      <c r="BP64" s="1" t="str">
        <f t="shared" si="18"/>
        <v/>
      </c>
      <c r="BQ64" s="1" t="str">
        <f t="shared" si="19"/>
        <v/>
      </c>
      <c r="BR64" s="1" t="str">
        <f t="shared" si="20"/>
        <v/>
      </c>
      <c r="BS64" s="1" t="str">
        <f t="shared" si="21"/>
        <v/>
      </c>
    </row>
    <row r="65" spans="3:71" x14ac:dyDescent="0.25">
      <c r="C65" s="9"/>
      <c r="D65" s="9"/>
      <c r="AV65" t="s">
        <v>8724</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G3Mod</v>
      </c>
      <c r="BP65" s="1" t="str">
        <f t="shared" si="18"/>
        <v/>
      </c>
      <c r="BQ65" s="1" t="str">
        <f t="shared" si="19"/>
        <v/>
      </c>
      <c r="BR65" s="1" t="str">
        <f t="shared" si="20"/>
        <v/>
      </c>
      <c r="BS65" s="1" t="str">
        <f t="shared" si="21"/>
        <v/>
      </c>
    </row>
    <row r="66" spans="3:71" x14ac:dyDescent="0.25">
      <c r="C66" s="9"/>
      <c r="D66" s="9"/>
      <c r="AV66" t="s">
        <v>735</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G3ModGZ</v>
      </c>
      <c r="BP66" s="1" t="str">
        <f t="shared" si="18"/>
        <v/>
      </c>
      <c r="BQ66" s="1" t="str">
        <f t="shared" si="19"/>
        <v/>
      </c>
      <c r="BR66" s="1" t="str">
        <f t="shared" si="20"/>
        <v/>
      </c>
      <c r="BS66" s="1" t="str">
        <f t="shared" si="21"/>
        <v/>
      </c>
    </row>
    <row r="67" spans="3:71" x14ac:dyDescent="0.25">
      <c r="C67" s="9"/>
      <c r="D67" s="9"/>
      <c r="AV67" t="s">
        <v>94</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G41</v>
      </c>
      <c r="BP67" s="1" t="str">
        <f t="shared" si="18"/>
        <v/>
      </c>
      <c r="BQ67" s="1" t="str">
        <f t="shared" si="19"/>
        <v/>
      </c>
      <c r="BR67" s="1" t="str">
        <f t="shared" si="20"/>
        <v/>
      </c>
      <c r="BS67" s="1" t="str">
        <f t="shared" si="21"/>
        <v/>
      </c>
    </row>
    <row r="68" spans="3:71" x14ac:dyDescent="0.25">
      <c r="D68" s="9"/>
      <c r="AV68" t="s">
        <v>832</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G43</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1756</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Galil Mod</v>
      </c>
      <c r="BP69" s="1" t="str">
        <f t="shared" si="38"/>
        <v/>
      </c>
      <c r="BQ69" s="1" t="str">
        <f t="shared" si="39"/>
        <v/>
      </c>
      <c r="BR69" s="1" t="str">
        <f t="shared" si="40"/>
        <v/>
      </c>
      <c r="BS69" s="1" t="str">
        <f t="shared" si="41"/>
        <v/>
      </c>
    </row>
    <row r="70" spans="3:71" x14ac:dyDescent="0.25">
      <c r="D70" s="9"/>
      <c r="AV70" t="s">
        <v>120</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Gepard M1Mod</v>
      </c>
      <c r="BP70" s="1" t="str">
        <f t="shared" si="38"/>
        <v/>
      </c>
      <c r="BQ70" s="1" t="str">
        <f t="shared" si="39"/>
        <v/>
      </c>
      <c r="BR70" s="1" t="str">
        <f t="shared" si="40"/>
        <v/>
      </c>
      <c r="BS70" s="1" t="str">
        <f t="shared" si="41"/>
        <v/>
      </c>
    </row>
    <row r="71" spans="3:71" x14ac:dyDescent="0.25">
      <c r="AV71" t="s">
        <v>1686</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Grizzly</v>
      </c>
      <c r="BP71" s="1" t="str">
        <f t="shared" si="38"/>
        <v/>
      </c>
      <c r="BQ71" s="1" t="str">
        <f t="shared" si="39"/>
        <v/>
      </c>
      <c r="BR71" s="1" t="str">
        <f t="shared" si="40"/>
        <v/>
      </c>
      <c r="BS71" s="1" t="str">
        <f t="shared" si="41"/>
        <v/>
      </c>
    </row>
    <row r="72" spans="3:71" x14ac:dyDescent="0.25">
      <c r="AV72" t="s">
        <v>248</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GSh18Mod</v>
      </c>
      <c r="BP72" s="1" t="str">
        <f t="shared" si="38"/>
        <v/>
      </c>
      <c r="BQ72" s="1" t="str">
        <f t="shared" si="39"/>
        <v/>
      </c>
      <c r="BR72" s="1" t="str">
        <f t="shared" si="40"/>
        <v/>
      </c>
      <c r="BS72" s="1" t="str">
        <f t="shared" si="41"/>
        <v/>
      </c>
    </row>
    <row r="73" spans="3:71" x14ac:dyDescent="0.25">
      <c r="AV73" t="s">
        <v>223</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Henrietta</v>
      </c>
      <c r="BP73" s="1" t="str">
        <f t="shared" si="38"/>
        <v/>
      </c>
      <c r="BQ73" s="1" t="str">
        <f t="shared" si="39"/>
        <v/>
      </c>
      <c r="BR73" s="1" t="str">
        <f t="shared" si="40"/>
        <v/>
      </c>
      <c r="BS73" s="1" t="str">
        <f t="shared" si="41"/>
        <v/>
      </c>
    </row>
    <row r="74" spans="3:71" x14ac:dyDescent="0.25">
      <c r="AV74" t="s">
        <v>259</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HK416</v>
      </c>
      <c r="BP74" s="1" t="str">
        <f t="shared" si="38"/>
        <v/>
      </c>
      <c r="BQ74" s="1" t="str">
        <f t="shared" si="39"/>
        <v/>
      </c>
      <c r="BR74" s="1" t="str">
        <f t="shared" si="40"/>
        <v/>
      </c>
      <c r="BS74" s="1" t="str">
        <f t="shared" si="41"/>
        <v/>
      </c>
    </row>
    <row r="75" spans="3:71" x14ac:dyDescent="0.25">
      <c r="AV75" t="s">
        <v>8119</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HK416Mod</v>
      </c>
      <c r="BP75" s="1" t="str">
        <f t="shared" si="38"/>
        <v/>
      </c>
      <c r="BQ75" s="1" t="str">
        <f t="shared" si="39"/>
        <v/>
      </c>
      <c r="BR75" s="1" t="str">
        <f t="shared" si="40"/>
        <v/>
      </c>
      <c r="BS75" s="1" t="str">
        <f t="shared" si="41"/>
        <v/>
      </c>
    </row>
    <row r="76" spans="3:71" x14ac:dyDescent="0.25">
      <c r="AV76" t="s">
        <v>1720</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HK416ModGZ</v>
      </c>
      <c r="BP76" s="1" t="str">
        <f t="shared" si="38"/>
        <v/>
      </c>
      <c r="BQ76" s="1" t="str">
        <f t="shared" si="39"/>
        <v/>
      </c>
      <c r="BR76" s="1" t="str">
        <f t="shared" si="40"/>
        <v/>
      </c>
      <c r="BS76" s="1" t="str">
        <f t="shared" si="41"/>
        <v/>
      </c>
    </row>
    <row r="77" spans="3:71" x14ac:dyDescent="0.25">
      <c r="AV77" t="s">
        <v>262</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Honey Badger</v>
      </c>
      <c r="BP77" s="1" t="str">
        <f t="shared" si="38"/>
        <v/>
      </c>
      <c r="BQ77" s="1" t="str">
        <f t="shared" si="39"/>
        <v/>
      </c>
      <c r="BR77" s="1" t="str">
        <f t="shared" si="40"/>
        <v/>
      </c>
      <c r="BS77" s="1" t="str">
        <f t="shared" si="41"/>
        <v/>
      </c>
    </row>
    <row r="78" spans="3:71" x14ac:dyDescent="0.25">
      <c r="AV78" t="s">
        <v>78</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IDWMod</v>
      </c>
      <c r="BP78" s="1" t="str">
        <f t="shared" si="38"/>
        <v/>
      </c>
      <c r="BQ78" s="1" t="str">
        <f t="shared" si="39"/>
        <v/>
      </c>
      <c r="BR78" s="1" t="str">
        <f t="shared" si="40"/>
        <v/>
      </c>
      <c r="BS78" s="1" t="str">
        <f t="shared" si="41"/>
        <v/>
      </c>
    </row>
    <row r="79" spans="3:71" x14ac:dyDescent="0.25">
      <c r="AV79" t="s">
        <v>1692</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Ingram</v>
      </c>
      <c r="BP79" s="1" t="str">
        <f t="shared" si="38"/>
        <v/>
      </c>
      <c r="BQ79" s="1" t="str">
        <f t="shared" si="39"/>
        <v/>
      </c>
      <c r="BR79" s="1" t="str">
        <f t="shared" si="40"/>
        <v/>
      </c>
      <c r="BS79" s="1" t="str">
        <f t="shared" si="41"/>
        <v/>
      </c>
    </row>
    <row r="80" spans="3:71" x14ac:dyDescent="0.25">
      <c r="AV80" t="s">
        <v>192</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Jashin</v>
      </c>
      <c r="BP80" s="1" t="str">
        <f t="shared" si="38"/>
        <v/>
      </c>
      <c r="BQ80" s="1" t="str">
        <f t="shared" si="39"/>
        <v/>
      </c>
      <c r="BR80" s="1" t="str">
        <f t="shared" si="40"/>
        <v/>
      </c>
      <c r="BS80" s="1" t="str">
        <f t="shared" si="41"/>
        <v/>
      </c>
    </row>
    <row r="81" spans="48:71" x14ac:dyDescent="0.25">
      <c r="AV81" t="s">
        <v>756</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Jericho</v>
      </c>
      <c r="BP81" s="1" t="str">
        <f t="shared" si="38"/>
        <v/>
      </c>
      <c r="BQ81" s="1" t="str">
        <f t="shared" si="39"/>
        <v/>
      </c>
      <c r="BR81" s="1" t="str">
        <f t="shared" si="40"/>
        <v/>
      </c>
      <c r="BS81" s="1" t="str">
        <f t="shared" si="41"/>
        <v/>
      </c>
    </row>
    <row r="82" spans="48:71" x14ac:dyDescent="0.25">
      <c r="AV82" t="s">
        <v>759</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JillAdelhyde1</v>
      </c>
      <c r="BP82" s="1" t="str">
        <f t="shared" si="38"/>
        <v/>
      </c>
      <c r="BQ82" s="1" t="str">
        <f t="shared" si="39"/>
        <v/>
      </c>
      <c r="BR82" s="1" t="str">
        <f t="shared" si="40"/>
        <v/>
      </c>
      <c r="BS82" s="1" t="str">
        <f t="shared" si="41"/>
        <v/>
      </c>
    </row>
    <row r="83" spans="48:71" x14ac:dyDescent="0.25">
      <c r="AV83" t="s">
        <v>760</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JillAdelhyde2</v>
      </c>
      <c r="BP83" s="1" t="str">
        <f t="shared" si="38"/>
        <v/>
      </c>
      <c r="BQ83" s="1" t="str">
        <f t="shared" si="39"/>
        <v/>
      </c>
      <c r="BR83" s="1" t="str">
        <f t="shared" si="40"/>
        <v/>
      </c>
      <c r="BS83" s="1" t="str">
        <f t="shared" si="41"/>
        <v/>
      </c>
    </row>
    <row r="84" spans="48:71" x14ac:dyDescent="0.25">
      <c r="AV84" t="s">
        <v>757</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JillBronsonExtract</v>
      </c>
      <c r="BP84" s="1" t="str">
        <f t="shared" si="38"/>
        <v/>
      </c>
      <c r="BQ84" s="1" t="str">
        <f t="shared" si="39"/>
        <v/>
      </c>
      <c r="BR84" s="1" t="str">
        <f t="shared" si="40"/>
        <v/>
      </c>
      <c r="BS84" s="1" t="str">
        <f t="shared" si="41"/>
        <v/>
      </c>
    </row>
    <row r="85" spans="48:71" x14ac:dyDescent="0.25">
      <c r="AV85" t="s">
        <v>755</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JillFlanergide</v>
      </c>
      <c r="BP85" s="1" t="str">
        <f t="shared" si="38"/>
        <v/>
      </c>
      <c r="BQ85" s="1" t="str">
        <f t="shared" si="39"/>
        <v/>
      </c>
      <c r="BR85" s="1" t="str">
        <f t="shared" si="40"/>
        <v/>
      </c>
      <c r="BS85" s="1" t="str">
        <f t="shared" si="41"/>
        <v/>
      </c>
    </row>
    <row r="86" spans="48:71" x14ac:dyDescent="0.25">
      <c r="AV86" t="s">
        <v>758</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JillKarmotrine1</v>
      </c>
      <c r="BP86" s="1" t="str">
        <f t="shared" si="38"/>
        <v/>
      </c>
      <c r="BQ86" s="1" t="str">
        <f t="shared" si="39"/>
        <v/>
      </c>
      <c r="BR86" s="1" t="str">
        <f t="shared" si="40"/>
        <v/>
      </c>
      <c r="BS86" s="1" t="str">
        <f t="shared" si="41"/>
        <v/>
      </c>
    </row>
    <row r="87" spans="48:71" x14ac:dyDescent="0.25">
      <c r="AV87" t="s">
        <v>761</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JillKarmotrine2</v>
      </c>
      <c r="BP87" s="1" t="str">
        <f t="shared" si="38"/>
        <v/>
      </c>
      <c r="BQ87" s="1" t="str">
        <f t="shared" si="39"/>
        <v/>
      </c>
      <c r="BR87" s="1" t="str">
        <f t="shared" si="40"/>
        <v/>
      </c>
      <c r="BS87" s="1" t="str">
        <f t="shared" si="41"/>
        <v/>
      </c>
    </row>
    <row r="88" spans="48:71" x14ac:dyDescent="0.25">
      <c r="AV88" t="s">
        <v>842</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JillKarmotrine3</v>
      </c>
      <c r="BP88" s="1" t="str">
        <f t="shared" si="38"/>
        <v/>
      </c>
      <c r="BQ88" s="1" t="str">
        <f t="shared" si="39"/>
        <v/>
      </c>
      <c r="BR88" s="1" t="str">
        <f t="shared" si="40"/>
        <v/>
      </c>
      <c r="BS88" s="1" t="str">
        <f t="shared" si="41"/>
        <v/>
      </c>
    </row>
    <row r="89" spans="48:71" x14ac:dyDescent="0.25">
      <c r="AV89" t="s">
        <v>7009</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JillPowderedDelta</v>
      </c>
      <c r="BP89" s="1" t="str">
        <f t="shared" si="38"/>
        <v/>
      </c>
      <c r="BQ89" s="1" t="str">
        <f t="shared" si="39"/>
        <v/>
      </c>
      <c r="BR89" s="1" t="str">
        <f t="shared" si="40"/>
        <v/>
      </c>
      <c r="BS89" s="1" t="str">
        <f t="shared" si="41"/>
        <v/>
      </c>
    </row>
    <row r="90" spans="48:71" x14ac:dyDescent="0.25">
      <c r="AV90" t="s">
        <v>188</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Junko</v>
      </c>
      <c r="BP90" s="1" t="str">
        <f t="shared" si="38"/>
        <v/>
      </c>
      <c r="BQ90" s="1" t="str">
        <f t="shared" si="39"/>
        <v/>
      </c>
      <c r="BR90" s="1" t="str">
        <f t="shared" si="40"/>
        <v/>
      </c>
      <c r="BS90" s="1" t="str">
        <f t="shared" si="41"/>
        <v/>
      </c>
    </row>
    <row r="91" spans="48:71" x14ac:dyDescent="0.25">
      <c r="AV91" t="s">
        <v>168</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K11</v>
      </c>
      <c r="BP91" s="1" t="str">
        <f t="shared" si="38"/>
        <v/>
      </c>
      <c r="BQ91" s="1" t="str">
        <f t="shared" si="39"/>
        <v/>
      </c>
      <c r="BR91" s="1" t="str">
        <f t="shared" si="40"/>
        <v/>
      </c>
      <c r="BS91" s="1" t="str">
        <f t="shared" si="41"/>
        <v/>
      </c>
    </row>
    <row r="92" spans="48:71" x14ac:dyDescent="0.25">
      <c r="AV92" t="s">
        <v>191</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K2</v>
      </c>
      <c r="BP92" s="1" t="str">
        <f t="shared" si="38"/>
        <v/>
      </c>
      <c r="BQ92" s="1" t="str">
        <f t="shared" si="39"/>
        <v/>
      </c>
      <c r="BR92" s="1" t="str">
        <f t="shared" si="40"/>
        <v/>
      </c>
      <c r="BS92" s="1" t="str">
        <f t="shared" si="41"/>
        <v/>
      </c>
    </row>
    <row r="93" spans="48:71" x14ac:dyDescent="0.25">
      <c r="AV93" t="s">
        <v>7153</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K31</v>
      </c>
      <c r="BP93" s="1" t="str">
        <f t="shared" si="38"/>
        <v/>
      </c>
      <c r="BQ93" s="1" t="str">
        <f t="shared" si="39"/>
        <v/>
      </c>
      <c r="BR93" s="1" t="str">
        <f t="shared" si="40"/>
        <v/>
      </c>
      <c r="BS93" s="1" t="str">
        <f t="shared" si="41"/>
        <v/>
      </c>
    </row>
    <row r="94" spans="48:71" x14ac:dyDescent="0.25">
      <c r="AV94" t="s">
        <v>93</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K5Mod</v>
      </c>
      <c r="BP94" s="1" t="str">
        <f t="shared" si="38"/>
        <v/>
      </c>
      <c r="BQ94" s="1" t="str">
        <f t="shared" si="39"/>
        <v/>
      </c>
      <c r="BR94" s="1" t="str">
        <f t="shared" si="40"/>
        <v/>
      </c>
      <c r="BS94" s="1" t="str">
        <f t="shared" si="41"/>
        <v/>
      </c>
    </row>
    <row r="95" spans="48:71" x14ac:dyDescent="0.25">
      <c r="AV95" t="s">
        <v>6760</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Kar98k</v>
      </c>
      <c r="BP95" s="1" t="str">
        <f t="shared" si="38"/>
        <v/>
      </c>
      <c r="BQ95" s="1" t="str">
        <f t="shared" si="39"/>
        <v/>
      </c>
      <c r="BR95" s="1" t="str">
        <f t="shared" si="40"/>
        <v/>
      </c>
      <c r="BS95" s="1" t="str">
        <f t="shared" si="41"/>
        <v/>
      </c>
    </row>
    <row r="96" spans="48:71" x14ac:dyDescent="0.25">
      <c r="AV96" t="s">
        <v>723</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Kar98kmod</v>
      </c>
      <c r="BP96" s="1" t="str">
        <f t="shared" si="38"/>
        <v/>
      </c>
      <c r="BQ96" s="1" t="str">
        <f t="shared" si="39"/>
        <v/>
      </c>
      <c r="BR96" s="1" t="str">
        <f t="shared" si="40"/>
        <v/>
      </c>
      <c r="BS96" s="1" t="str">
        <f t="shared" si="41"/>
        <v/>
      </c>
    </row>
    <row r="97" spans="48:71" x14ac:dyDescent="0.25">
      <c r="AV97" t="s">
        <v>266</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KS23</v>
      </c>
      <c r="BP97" s="1" t="str">
        <f t="shared" si="38"/>
        <v/>
      </c>
      <c r="BQ97" s="1" t="str">
        <f t="shared" si="39"/>
        <v/>
      </c>
      <c r="BR97" s="1" t="str">
        <f t="shared" si="40"/>
        <v/>
      </c>
      <c r="BS97" s="1" t="str">
        <f t="shared" si="41"/>
        <v/>
      </c>
    </row>
    <row r="98" spans="48:71" x14ac:dyDescent="0.25">
      <c r="AV98" t="s">
        <v>96</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KSVKMod</v>
      </c>
      <c r="BP98" s="1" t="str">
        <f t="shared" si="38"/>
        <v/>
      </c>
      <c r="BQ98" s="1" t="str">
        <f t="shared" si="39"/>
        <v/>
      </c>
      <c r="BR98" s="1" t="str">
        <f t="shared" si="40"/>
        <v/>
      </c>
      <c r="BS98" s="1" t="str">
        <f t="shared" si="41"/>
        <v/>
      </c>
    </row>
    <row r="99" spans="48:71" x14ac:dyDescent="0.25">
      <c r="AV99" t="s">
        <v>6761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Lee Enfield</v>
      </c>
      <c r="BP99" s="1" t="str">
        <f t="shared" si="38"/>
        <v/>
      </c>
      <c r="BQ99" s="1" t="str">
        <f t="shared" si="39"/>
        <v/>
      </c>
      <c r="BR99" s="1" t="str">
        <f t="shared" si="40"/>
        <v/>
      </c>
      <c r="BS99" s="1" t="str">
        <f t="shared" si="41"/>
        <v/>
      </c>
    </row>
    <row r="100" spans="48:71" x14ac:dyDescent="0.25">
      <c r="AV100" t="s">
        <v>6985</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Lee Enfieldmod</v>
      </c>
      <c r="BP100" s="1" t="str">
        <f t="shared" si="38"/>
        <v/>
      </c>
      <c r="BQ100" s="1" t="str">
        <f t="shared" si="39"/>
        <v/>
      </c>
      <c r="BR100" s="1" t="str">
        <f t="shared" si="40"/>
        <v/>
      </c>
      <c r="BS100" s="1" t="str">
        <f t="shared" si="41"/>
        <v/>
      </c>
    </row>
    <row r="101" spans="48:71" x14ac:dyDescent="0.25">
      <c r="AV101" t="s">
        <v>261</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Lily</v>
      </c>
      <c r="BP101" s="1" t="str">
        <f t="shared" si="38"/>
        <v/>
      </c>
      <c r="BQ101" s="1" t="str">
        <f t="shared" si="39"/>
        <v/>
      </c>
      <c r="BR101" s="1" t="str">
        <f t="shared" si="40"/>
        <v/>
      </c>
      <c r="BS101" s="1" t="str">
        <f t="shared" si="41"/>
        <v/>
      </c>
    </row>
    <row r="102" spans="48:71" x14ac:dyDescent="0.25">
      <c r="AV102" t="s">
        <v>86</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LWMMGMod</v>
      </c>
      <c r="BP102" s="1" t="str">
        <f t="shared" si="38"/>
        <v/>
      </c>
      <c r="BQ102" s="1" t="str">
        <f t="shared" si="39"/>
        <v/>
      </c>
      <c r="BR102" s="1" t="str">
        <f t="shared" si="40"/>
        <v/>
      </c>
      <c r="BS102" s="1" t="str">
        <f t="shared" si="41"/>
        <v/>
      </c>
    </row>
    <row r="103" spans="48:71" x14ac:dyDescent="0.25">
      <c r="AV103" t="s">
        <v>255</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M1 Garand</v>
      </c>
      <c r="BP103" s="1" t="str">
        <f t="shared" si="38"/>
        <v/>
      </c>
      <c r="BQ103" s="1" t="str">
        <f t="shared" si="39"/>
        <v/>
      </c>
      <c r="BR103" s="1" t="str">
        <f t="shared" si="40"/>
        <v/>
      </c>
      <c r="BS103" s="1" t="str">
        <f t="shared" si="41"/>
        <v/>
      </c>
    </row>
    <row r="104" spans="48:71" x14ac:dyDescent="0.25">
      <c r="AV104" t="s">
        <v>98</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M14Mod</v>
      </c>
      <c r="BP104" s="1" t="str">
        <f t="shared" si="38"/>
        <v/>
      </c>
      <c r="BQ104" s="1" t="str">
        <f t="shared" si="39"/>
        <v/>
      </c>
      <c r="BR104" s="1" t="str">
        <f t="shared" si="40"/>
        <v/>
      </c>
      <c r="BS104" s="1" t="str">
        <f t="shared" si="41"/>
        <v/>
      </c>
    </row>
    <row r="105" spans="48:71" x14ac:dyDescent="0.25">
      <c r="AV105" t="s">
        <v>145</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M16A1</v>
      </c>
      <c r="BP105" s="1" t="str">
        <f t="shared" si="38"/>
        <v/>
      </c>
      <c r="BQ105" s="1" t="str">
        <f t="shared" si="39"/>
        <v/>
      </c>
      <c r="BR105" s="1" t="str">
        <f t="shared" si="40"/>
        <v/>
      </c>
      <c r="BS105" s="1" t="str">
        <f t="shared" si="41"/>
        <v/>
      </c>
    </row>
    <row r="106" spans="48:71" x14ac:dyDescent="0.25">
      <c r="AV106" t="s">
        <v>785</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M1887</v>
      </c>
      <c r="BP106" s="1" t="str">
        <f t="shared" si="38"/>
        <v/>
      </c>
      <c r="BQ106" s="1" t="str">
        <f t="shared" si="39"/>
        <v/>
      </c>
      <c r="BR106" s="1" t="str">
        <f t="shared" si="40"/>
        <v/>
      </c>
      <c r="BS106" s="1" t="str">
        <f t="shared" si="41"/>
        <v/>
      </c>
    </row>
    <row r="107" spans="48:71" x14ac:dyDescent="0.25">
      <c r="AV107" t="s">
        <v>725</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M1895Mod</v>
      </c>
      <c r="BP107" s="1" t="str">
        <f t="shared" si="38"/>
        <v/>
      </c>
      <c r="BQ107" s="1" t="str">
        <f t="shared" si="39"/>
        <v/>
      </c>
      <c r="BR107" s="1" t="str">
        <f t="shared" si="40"/>
        <v/>
      </c>
      <c r="BS107" s="1" t="str">
        <f t="shared" si="41"/>
        <v/>
      </c>
    </row>
    <row r="108" spans="48:71" x14ac:dyDescent="0.25">
      <c r="AV108" t="s">
        <v>253</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M1897Mod</v>
      </c>
      <c r="BP108" s="1" t="str">
        <f t="shared" si="38"/>
        <v/>
      </c>
      <c r="BQ108" s="1" t="str">
        <f t="shared" si="39"/>
        <v/>
      </c>
      <c r="BR108" s="1" t="str">
        <f t="shared" si="40"/>
        <v/>
      </c>
      <c r="BS108" s="1" t="str">
        <f t="shared" si="41"/>
        <v/>
      </c>
    </row>
    <row r="109" spans="48:71" x14ac:dyDescent="0.25">
      <c r="AV109" t="s">
        <v>8725</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M1911Mod</v>
      </c>
      <c r="BP109" s="1" t="str">
        <f t="shared" si="38"/>
        <v/>
      </c>
      <c r="BQ109" s="1" t="str">
        <f t="shared" si="39"/>
        <v/>
      </c>
      <c r="BR109" s="1" t="str">
        <f t="shared" si="40"/>
        <v/>
      </c>
      <c r="BS109" s="1" t="str">
        <f t="shared" si="41"/>
        <v/>
      </c>
    </row>
    <row r="110" spans="48:71" x14ac:dyDescent="0.25">
      <c r="AV110" t="s">
        <v>105</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M1911ModGZ</v>
      </c>
      <c r="BP110" s="1" t="str">
        <f t="shared" si="38"/>
        <v/>
      </c>
      <c r="BQ110" s="1" t="str">
        <f t="shared" si="39"/>
        <v/>
      </c>
      <c r="BR110" s="1" t="str">
        <f t="shared" si="40"/>
        <v/>
      </c>
      <c r="BS110" s="1" t="str">
        <f t="shared" si="41"/>
        <v/>
      </c>
    </row>
    <row r="111" spans="48:71" x14ac:dyDescent="0.25">
      <c r="AV111" t="s">
        <v>260</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M1918</v>
      </c>
      <c r="BP111" s="1" t="str">
        <f t="shared" si="38"/>
        <v/>
      </c>
      <c r="BQ111" s="1" t="str">
        <f t="shared" si="39"/>
        <v/>
      </c>
      <c r="BR111" s="1" t="str">
        <f t="shared" si="40"/>
        <v/>
      </c>
      <c r="BS111" s="1" t="str">
        <f t="shared" si="41"/>
        <v/>
      </c>
    </row>
    <row r="112" spans="48:71" x14ac:dyDescent="0.25">
      <c r="AV112" t="s">
        <v>7307</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M1918Mod</v>
      </c>
      <c r="BP112" s="1" t="str">
        <f t="shared" si="38"/>
        <v/>
      </c>
      <c r="BQ112" s="1" t="str">
        <f t="shared" si="39"/>
        <v/>
      </c>
      <c r="BR112" s="1" t="str">
        <f t="shared" si="40"/>
        <v/>
      </c>
      <c r="BS112" s="1" t="str">
        <f t="shared" si="41"/>
        <v/>
      </c>
    </row>
    <row r="113" spans="48:71" x14ac:dyDescent="0.25">
      <c r="AV113" t="s">
        <v>107</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M1918Ranking</v>
      </c>
      <c r="BP113" s="1" t="str">
        <f t="shared" si="38"/>
        <v/>
      </c>
      <c r="BQ113" s="1" t="str">
        <f t="shared" si="39"/>
        <v/>
      </c>
      <c r="BR113" s="1" t="str">
        <f t="shared" si="40"/>
        <v/>
      </c>
      <c r="BS113" s="1" t="str">
        <f t="shared" si="41"/>
        <v/>
      </c>
    </row>
    <row r="114" spans="48:71" x14ac:dyDescent="0.25">
      <c r="AV114" t="s">
        <v>7146</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M1919A4</v>
      </c>
      <c r="BP114" s="1" t="str">
        <f t="shared" si="38"/>
        <v/>
      </c>
      <c r="BQ114" s="1" t="str">
        <f t="shared" si="39"/>
        <v/>
      </c>
      <c r="BR114" s="1" t="str">
        <f t="shared" si="40"/>
        <v/>
      </c>
      <c r="BS114" s="1" t="str">
        <f t="shared" si="41"/>
        <v/>
      </c>
    </row>
    <row r="115" spans="48:71" x14ac:dyDescent="0.25">
      <c r="AV115" t="s">
        <v>8340</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M1919A4Mod</v>
      </c>
      <c r="BP115" s="1" t="str">
        <f t="shared" si="38"/>
        <v/>
      </c>
      <c r="BQ115" s="1" t="str">
        <f t="shared" si="39"/>
        <v/>
      </c>
      <c r="BR115" s="1" t="str">
        <f t="shared" si="40"/>
        <v/>
      </c>
      <c r="BS115" s="1" t="str">
        <f t="shared" si="41"/>
        <v/>
      </c>
    </row>
    <row r="116" spans="48:71" x14ac:dyDescent="0.25">
      <c r="AV116" t="s">
        <v>789</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M1919A4ModGZ</v>
      </c>
      <c r="BP116" s="1" t="str">
        <f t="shared" si="38"/>
        <v/>
      </c>
      <c r="BQ116" s="1" t="str">
        <f t="shared" si="39"/>
        <v/>
      </c>
      <c r="BR116" s="1" t="str">
        <f t="shared" si="40"/>
        <v/>
      </c>
      <c r="BS116" s="1" t="str">
        <f t="shared" si="41"/>
        <v/>
      </c>
    </row>
    <row r="117" spans="48:71" x14ac:dyDescent="0.25">
      <c r="AV117" t="s">
        <v>89</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M1A1</v>
      </c>
      <c r="BP117" s="1" t="str">
        <f t="shared" si="38"/>
        <v/>
      </c>
      <c r="BQ117" s="1" t="str">
        <f t="shared" si="39"/>
        <v/>
      </c>
      <c r="BR117" s="1" t="str">
        <f t="shared" si="40"/>
        <v/>
      </c>
      <c r="BS117" s="1" t="str">
        <f t="shared" si="41"/>
        <v/>
      </c>
    </row>
    <row r="118" spans="48:71" x14ac:dyDescent="0.25">
      <c r="AV118" t="s">
        <v>1172</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M21</v>
      </c>
      <c r="BP118" s="1" t="str">
        <f t="shared" si="38"/>
        <v/>
      </c>
      <c r="BQ118" s="1" t="str">
        <f t="shared" si="39"/>
        <v/>
      </c>
      <c r="BR118" s="1" t="str">
        <f t="shared" si="40"/>
        <v/>
      </c>
      <c r="BS118" s="1" t="str">
        <f t="shared" si="41"/>
        <v/>
      </c>
    </row>
    <row r="119" spans="48:71" x14ac:dyDescent="0.25">
      <c r="AV119" t="s">
        <v>77</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M249SAW</v>
      </c>
      <c r="BP119" s="1" t="str">
        <f t="shared" si="38"/>
        <v/>
      </c>
      <c r="BQ119" s="1" t="str">
        <f t="shared" si="39"/>
        <v/>
      </c>
      <c r="BR119" s="1" t="str">
        <f t="shared" si="40"/>
        <v/>
      </c>
      <c r="BS119" s="1" t="str">
        <f t="shared" si="41"/>
        <v/>
      </c>
    </row>
    <row r="120" spans="48:71" x14ac:dyDescent="0.25">
      <c r="AV120" t="s">
        <v>147</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M3</v>
      </c>
      <c r="BP120" s="1" t="str">
        <f t="shared" si="38"/>
        <v/>
      </c>
      <c r="BQ120" s="1" t="str">
        <f t="shared" si="39"/>
        <v/>
      </c>
      <c r="BR120" s="1" t="str">
        <f t="shared" si="40"/>
        <v/>
      </c>
      <c r="BS120" s="1" t="str">
        <f t="shared" si="41"/>
        <v/>
      </c>
    </row>
    <row r="121" spans="48:71" x14ac:dyDescent="0.25">
      <c r="AV121" t="s">
        <v>715</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M37</v>
      </c>
      <c r="BP121" s="1" t="str">
        <f t="shared" si="38"/>
        <v/>
      </c>
      <c r="BQ121" s="1" t="str">
        <f t="shared" si="39"/>
        <v/>
      </c>
      <c r="BR121" s="1" t="str">
        <f t="shared" si="40"/>
        <v/>
      </c>
      <c r="BS121" s="1" t="str">
        <f t="shared" si="41"/>
        <v/>
      </c>
    </row>
    <row r="122" spans="48:71" x14ac:dyDescent="0.25">
      <c r="AV122" t="s">
        <v>257</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M38Mod</v>
      </c>
      <c r="BP122" s="1" t="str">
        <f t="shared" si="38"/>
        <v/>
      </c>
      <c r="BQ122" s="1" t="str">
        <f t="shared" si="39"/>
        <v/>
      </c>
      <c r="BR122" s="1" t="str">
        <f t="shared" si="40"/>
        <v/>
      </c>
      <c r="BS122" s="1" t="str">
        <f t="shared" si="41"/>
        <v/>
      </c>
    </row>
    <row r="123" spans="48:71" x14ac:dyDescent="0.25">
      <c r="AV123" t="s">
        <v>256</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M4 SOPMOD IIMod</v>
      </c>
      <c r="BP123" s="1" t="str">
        <f t="shared" si="38"/>
        <v/>
      </c>
      <c r="BQ123" s="1" t="str">
        <f t="shared" si="39"/>
        <v/>
      </c>
      <c r="BR123" s="1" t="str">
        <f t="shared" si="40"/>
        <v/>
      </c>
      <c r="BS123" s="1" t="str">
        <f t="shared" si="41"/>
        <v/>
      </c>
    </row>
    <row r="124" spans="48:71" x14ac:dyDescent="0.25">
      <c r="AV124" t="s">
        <v>716</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M4A1Mod</v>
      </c>
      <c r="BP124" s="1" t="str">
        <f t="shared" si="38"/>
        <v/>
      </c>
      <c r="BQ124" s="1" t="str">
        <f t="shared" si="39"/>
        <v/>
      </c>
      <c r="BR124" s="1" t="str">
        <f t="shared" si="40"/>
        <v/>
      </c>
      <c r="BS124" s="1" t="str">
        <f t="shared" si="41"/>
        <v/>
      </c>
    </row>
    <row r="125" spans="48:71" x14ac:dyDescent="0.25">
      <c r="AV125" t="s">
        <v>812</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M500Mod</v>
      </c>
      <c r="BP125" s="1" t="str">
        <f t="shared" si="38"/>
        <v/>
      </c>
      <c r="BQ125" s="1" t="str">
        <f t="shared" si="39"/>
        <v/>
      </c>
      <c r="BR125" s="1" t="str">
        <f t="shared" si="40"/>
        <v/>
      </c>
      <c r="BS125" s="1" t="str">
        <f t="shared" si="41"/>
        <v/>
      </c>
    </row>
    <row r="126" spans="48:71" x14ac:dyDescent="0.25">
      <c r="AV126" t="s">
        <v>185</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M6 ASW</v>
      </c>
      <c r="BP126" s="1" t="str">
        <f t="shared" si="38"/>
        <v/>
      </c>
      <c r="BQ126" s="1" t="str">
        <f t="shared" si="39"/>
        <v/>
      </c>
      <c r="BR126" s="1" t="str">
        <f t="shared" si="40"/>
        <v/>
      </c>
      <c r="BS126" s="1" t="str">
        <f t="shared" si="41"/>
        <v/>
      </c>
    </row>
    <row r="127" spans="48:71" x14ac:dyDescent="0.25">
      <c r="AV127" t="s">
        <v>5633</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M82A1</v>
      </c>
      <c r="BP127" s="1" t="str">
        <f t="shared" si="38"/>
        <v/>
      </c>
      <c r="BQ127" s="1" t="str">
        <f t="shared" si="39"/>
        <v/>
      </c>
      <c r="BR127" s="1" t="str">
        <f t="shared" si="40"/>
        <v/>
      </c>
      <c r="BS127" s="1" t="str">
        <f t="shared" si="41"/>
        <v/>
      </c>
    </row>
    <row r="128" spans="48:71" x14ac:dyDescent="0.25">
      <c r="AV128" t="s">
        <v>63</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M870</v>
      </c>
      <c r="BP128" s="1" t="str">
        <f t="shared" si="38"/>
        <v/>
      </c>
      <c r="BQ128" s="1" t="str">
        <f t="shared" si="39"/>
        <v/>
      </c>
      <c r="BR128" s="1" t="str">
        <f t="shared" si="40"/>
        <v/>
      </c>
      <c r="BS128" s="1" t="str">
        <f t="shared" si="41"/>
        <v/>
      </c>
    </row>
    <row r="129" spans="48:71" x14ac:dyDescent="0.25">
      <c r="AV129" t="s">
        <v>263</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M9</v>
      </c>
      <c r="BP129" s="1" t="str">
        <f t="shared" si="38"/>
        <v/>
      </c>
      <c r="BQ129" s="1" t="str">
        <f t="shared" si="39"/>
        <v/>
      </c>
      <c r="BR129" s="1" t="str">
        <f t="shared" si="40"/>
        <v/>
      </c>
      <c r="BS129" s="1" t="str">
        <f t="shared" si="41"/>
        <v/>
      </c>
    </row>
    <row r="130" spans="48:71" x14ac:dyDescent="0.25">
      <c r="AV130" t="s">
        <v>68</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M950AMod</v>
      </c>
      <c r="BP130" s="1" t="str">
        <f t="shared" si="38"/>
        <v/>
      </c>
      <c r="BQ130" s="1" t="str">
        <f t="shared" si="39"/>
        <v/>
      </c>
      <c r="BR130" s="1" t="str">
        <f t="shared" si="40"/>
        <v/>
      </c>
      <c r="BS130" s="1" t="str">
        <f t="shared" si="41"/>
        <v/>
      </c>
    </row>
    <row r="131" spans="48:71" x14ac:dyDescent="0.25">
      <c r="AV131" t="s">
        <v>938</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Makarov</v>
      </c>
      <c r="BP131" s="1" t="str">
        <f t="shared" si="38"/>
        <v/>
      </c>
      <c r="BQ131" s="1" t="str">
        <f t="shared" si="39"/>
        <v/>
      </c>
      <c r="BR131" s="1" t="str">
        <f t="shared" si="40"/>
        <v/>
      </c>
      <c r="BS131" s="1" t="str">
        <f t="shared" si="41"/>
        <v/>
      </c>
    </row>
    <row r="132" spans="48:71" x14ac:dyDescent="0.25">
      <c r="AV132" t="s">
        <v>8128</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MakarovMod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179</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MakarovModGZ</v>
      </c>
      <c r="BP133" s="1" t="str">
        <f t="shared" si="58"/>
        <v/>
      </c>
      <c r="BQ133" s="1" t="str">
        <f t="shared" si="59"/>
        <v/>
      </c>
      <c r="BR133" s="1" t="str">
        <f t="shared" si="60"/>
        <v/>
      </c>
      <c r="BS133" s="1" t="str">
        <f t="shared" si="61"/>
        <v/>
      </c>
    </row>
    <row r="134" spans="48:71" x14ac:dyDescent="0.25">
      <c r="AV134" t="s">
        <v>1397</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MDR</v>
      </c>
      <c r="BP134" s="1" t="str">
        <f t="shared" si="58"/>
        <v/>
      </c>
      <c r="BQ134" s="1" t="str">
        <f t="shared" si="59"/>
        <v/>
      </c>
      <c r="BR134" s="1" t="str">
        <f t="shared" si="60"/>
        <v/>
      </c>
      <c r="BS134" s="1" t="str">
        <f t="shared" si="61"/>
        <v/>
      </c>
    </row>
    <row r="135" spans="48:71" x14ac:dyDescent="0.25">
      <c r="AV135" t="s">
        <v>114</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Medusa</v>
      </c>
      <c r="BP135" s="1" t="str">
        <f t="shared" si="58"/>
        <v/>
      </c>
      <c r="BQ135" s="1" t="str">
        <f t="shared" si="59"/>
        <v/>
      </c>
      <c r="BR135" s="1" t="str">
        <f t="shared" si="60"/>
        <v/>
      </c>
      <c r="BS135" s="1" t="str">
        <f t="shared" si="61"/>
        <v/>
      </c>
    </row>
    <row r="136" spans="48:71" x14ac:dyDescent="0.25">
      <c r="AV136" t="s">
        <v>6475</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MG3</v>
      </c>
      <c r="BP136" s="1" t="str">
        <f t="shared" si="58"/>
        <v/>
      </c>
      <c r="BQ136" s="1" t="str">
        <f t="shared" si="59"/>
        <v/>
      </c>
      <c r="BR136" s="1" t="str">
        <f t="shared" si="60"/>
        <v/>
      </c>
      <c r="BS136" s="1" t="str">
        <f t="shared" si="61"/>
        <v/>
      </c>
    </row>
    <row r="137" spans="48:71" x14ac:dyDescent="0.25">
      <c r="AV137" t="s">
        <v>8532</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MG3Mod</v>
      </c>
      <c r="BP137" s="1" t="str">
        <f t="shared" si="58"/>
        <v/>
      </c>
      <c r="BQ137" s="1" t="str">
        <f t="shared" si="59"/>
        <v/>
      </c>
      <c r="BR137" s="1" t="str">
        <f t="shared" si="60"/>
        <v/>
      </c>
      <c r="BS137" s="1" t="str">
        <f t="shared" si="61"/>
        <v/>
      </c>
    </row>
    <row r="138" spans="48:71" x14ac:dyDescent="0.25">
      <c r="AV138" t="s">
        <v>300</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MG3ModGZ</v>
      </c>
      <c r="BP138" s="1" t="str">
        <f t="shared" si="58"/>
        <v/>
      </c>
      <c r="BQ138" s="1" t="str">
        <f t="shared" si="59"/>
        <v/>
      </c>
      <c r="BR138" s="1" t="str">
        <f t="shared" si="60"/>
        <v/>
      </c>
      <c r="BS138" s="1" t="str">
        <f t="shared" si="61"/>
        <v/>
      </c>
    </row>
    <row r="139" spans="48:71" x14ac:dyDescent="0.25">
      <c r="AV139" t="s">
        <v>112</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MG4</v>
      </c>
      <c r="BP139" s="1" t="str">
        <f t="shared" si="58"/>
        <v/>
      </c>
      <c r="BQ139" s="1" t="str">
        <f t="shared" si="59"/>
        <v/>
      </c>
      <c r="BR139" s="1" t="str">
        <f t="shared" si="60"/>
        <v/>
      </c>
      <c r="BS139" s="1" t="str">
        <f t="shared" si="61"/>
        <v/>
      </c>
    </row>
    <row r="140" spans="48:71" x14ac:dyDescent="0.25">
      <c r="AV140" t="s">
        <v>927</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MG42</v>
      </c>
      <c r="BP140" s="1" t="str">
        <f t="shared" si="58"/>
        <v/>
      </c>
      <c r="BQ140" s="1" t="str">
        <f t="shared" si="59"/>
        <v/>
      </c>
      <c r="BR140" s="1" t="str">
        <f t="shared" si="60"/>
        <v/>
      </c>
      <c r="BS140" s="1" t="str">
        <f t="shared" si="61"/>
        <v/>
      </c>
    </row>
    <row r="141" spans="48:71" x14ac:dyDescent="0.25">
      <c r="AV141" t="s">
        <v>8127</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MG4Mod</v>
      </c>
      <c r="BP141" s="1" t="str">
        <f t="shared" si="58"/>
        <v/>
      </c>
      <c r="BQ141" s="1" t="str">
        <f t="shared" si="59"/>
        <v/>
      </c>
      <c r="BR141" s="1" t="str">
        <f t="shared" si="60"/>
        <v/>
      </c>
      <c r="BS141" s="1" t="str">
        <f t="shared" si="61"/>
        <v/>
      </c>
    </row>
    <row r="142" spans="48:71" x14ac:dyDescent="0.25">
      <c r="AV142" t="s">
        <v>254</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MG4ModGZ</v>
      </c>
      <c r="BP142" s="1" t="str">
        <f t="shared" si="58"/>
        <v/>
      </c>
      <c r="BQ142" s="1" t="str">
        <f t="shared" si="59"/>
        <v/>
      </c>
      <c r="BR142" s="1" t="str">
        <f t="shared" si="60"/>
        <v/>
      </c>
      <c r="BS142" s="1" t="str">
        <f t="shared" si="61"/>
        <v/>
      </c>
    </row>
    <row r="143" spans="48:71" x14ac:dyDescent="0.25">
      <c r="AV143" t="s">
        <v>1401</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Micro UziMod</v>
      </c>
      <c r="BP143" s="1" t="str">
        <f t="shared" si="58"/>
        <v/>
      </c>
      <c r="BQ143" s="1" t="str">
        <f t="shared" si="59"/>
        <v/>
      </c>
      <c r="BR143" s="1" t="str">
        <f t="shared" si="60"/>
        <v/>
      </c>
      <c r="BS143" s="1" t="str">
        <f t="shared" si="61"/>
        <v/>
      </c>
    </row>
    <row r="144" spans="48:71" x14ac:dyDescent="0.25">
      <c r="AV144" t="s">
        <v>1179</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Minos</v>
      </c>
      <c r="BP144" s="1" t="str">
        <f t="shared" si="58"/>
        <v/>
      </c>
      <c r="BQ144" s="1" t="str">
        <f t="shared" si="59"/>
        <v/>
      </c>
      <c r="BR144" s="1" t="str">
        <f t="shared" si="60"/>
        <v/>
      </c>
      <c r="BS144" s="1" t="str">
        <f t="shared" si="61"/>
        <v/>
      </c>
    </row>
    <row r="145" spans="48:71" x14ac:dyDescent="0.25">
      <c r="AV145" t="s">
        <v>806</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Mk23</v>
      </c>
      <c r="BP145" s="1" t="str">
        <f t="shared" si="58"/>
        <v/>
      </c>
      <c r="BQ145" s="1" t="str">
        <f t="shared" si="59"/>
        <v/>
      </c>
      <c r="BR145" s="1" t="str">
        <f t="shared" si="60"/>
        <v/>
      </c>
      <c r="BS145" s="1" t="str">
        <f t="shared" si="61"/>
        <v/>
      </c>
    </row>
    <row r="146" spans="48:71" x14ac:dyDescent="0.25">
      <c r="AV146" t="s">
        <v>729</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MondragonM1908</v>
      </c>
      <c r="BP146" s="1" t="str">
        <f t="shared" si="58"/>
        <v/>
      </c>
      <c r="BQ146" s="1" t="str">
        <f t="shared" si="59"/>
        <v/>
      </c>
      <c r="BR146" s="1" t="str">
        <f t="shared" si="60"/>
        <v/>
      </c>
      <c r="BS146" s="1" t="str">
        <f t="shared" si="61"/>
        <v/>
      </c>
    </row>
    <row r="147" spans="48:71" x14ac:dyDescent="0.25">
      <c r="AV147" t="s">
        <v>1680</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MosinNagant</v>
      </c>
      <c r="BP147" s="1" t="str">
        <f t="shared" si="58"/>
        <v/>
      </c>
      <c r="BQ147" s="1" t="str">
        <f t="shared" si="59"/>
        <v/>
      </c>
      <c r="BR147" s="1" t="str">
        <f t="shared" si="60"/>
        <v/>
      </c>
      <c r="BS147" s="1" t="str">
        <f t="shared" si="61"/>
        <v/>
      </c>
    </row>
    <row r="148" spans="48:71" x14ac:dyDescent="0.25">
      <c r="AV148" t="s">
        <v>8122</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MosinNagantMod</v>
      </c>
      <c r="BP148" s="1" t="str">
        <f t="shared" si="58"/>
        <v/>
      </c>
      <c r="BQ148" s="1" t="str">
        <f t="shared" si="59"/>
        <v/>
      </c>
      <c r="BR148" s="1" t="str">
        <f t="shared" si="60"/>
        <v/>
      </c>
      <c r="BS148" s="1" t="str">
        <f t="shared" si="61"/>
        <v/>
      </c>
    </row>
    <row r="149" spans="48:71" x14ac:dyDescent="0.25">
      <c r="AV149" t="s">
        <v>1754</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MosinNagantModGZ</v>
      </c>
      <c r="BP149" s="1" t="str">
        <f t="shared" si="58"/>
        <v/>
      </c>
      <c r="BQ149" s="1" t="str">
        <f t="shared" si="59"/>
        <v/>
      </c>
      <c r="BR149" s="1" t="str">
        <f t="shared" si="60"/>
        <v/>
      </c>
      <c r="BS149" s="1" t="str">
        <f t="shared" si="61"/>
        <v/>
      </c>
    </row>
    <row r="150" spans="48:71" x14ac:dyDescent="0.25">
      <c r="AV150" t="s">
        <v>1684</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MP443Mod</v>
      </c>
      <c r="BP150" s="1" t="str">
        <f t="shared" si="58"/>
        <v/>
      </c>
      <c r="BQ150" s="1" t="str">
        <f t="shared" si="59"/>
        <v/>
      </c>
      <c r="BR150" s="1" t="str">
        <f t="shared" si="60"/>
        <v/>
      </c>
      <c r="BS150" s="1" t="str">
        <f t="shared" si="61"/>
        <v/>
      </c>
    </row>
    <row r="151" spans="48:71" x14ac:dyDescent="0.25">
      <c r="AV151" t="s">
        <v>730</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MP446Mod</v>
      </c>
      <c r="BP151" s="1" t="str">
        <f t="shared" si="58"/>
        <v/>
      </c>
      <c r="BQ151" s="1" t="str">
        <f t="shared" si="59"/>
        <v/>
      </c>
      <c r="BR151" s="1" t="str">
        <f t="shared" si="60"/>
        <v/>
      </c>
      <c r="BS151" s="1" t="str">
        <f t="shared" si="61"/>
        <v/>
      </c>
    </row>
    <row r="152" spans="48:71" x14ac:dyDescent="0.25">
      <c r="AV152" t="s">
        <v>1410</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MP5</v>
      </c>
      <c r="BP152" s="1" t="str">
        <f t="shared" si="58"/>
        <v/>
      </c>
      <c r="BQ152" s="1" t="str">
        <f t="shared" si="59"/>
        <v/>
      </c>
      <c r="BR152" s="1" t="str">
        <f t="shared" si="60"/>
        <v/>
      </c>
      <c r="BS152" s="1" t="str">
        <f t="shared" si="61"/>
        <v/>
      </c>
    </row>
    <row r="153" spans="48:71" x14ac:dyDescent="0.25">
      <c r="AV153" t="s">
        <v>8126</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MP5Mod</v>
      </c>
      <c r="BP153" s="1" t="str">
        <f t="shared" si="58"/>
        <v/>
      </c>
      <c r="BQ153" s="1" t="str">
        <f t="shared" si="59"/>
        <v/>
      </c>
      <c r="BR153" s="1" t="str">
        <f t="shared" si="60"/>
        <v/>
      </c>
      <c r="BS153" s="1" t="str">
        <f t="shared" si="61"/>
        <v/>
      </c>
    </row>
    <row r="154" spans="48:71" x14ac:dyDescent="0.25">
      <c r="AV154" t="s">
        <v>1682</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MP5ModGZ</v>
      </c>
      <c r="BP154" s="1" t="str">
        <f t="shared" si="58"/>
        <v/>
      </c>
      <c r="BQ154" s="1" t="str">
        <f t="shared" si="59"/>
        <v/>
      </c>
      <c r="BR154" s="1" t="str">
        <f t="shared" si="60"/>
        <v/>
      </c>
      <c r="BS154" s="1" t="str">
        <f t="shared" si="61"/>
        <v/>
      </c>
    </row>
    <row r="155" spans="48:71" x14ac:dyDescent="0.25">
      <c r="AV155" t="s">
        <v>8708</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NTW20Mod</v>
      </c>
      <c r="BP155" s="1" t="str">
        <f t="shared" si="58"/>
        <v/>
      </c>
      <c r="BQ155" s="1" t="str">
        <f t="shared" si="59"/>
        <v/>
      </c>
      <c r="BR155" s="1" t="str">
        <f t="shared" si="60"/>
        <v/>
      </c>
      <c r="BS155" s="1" t="str">
        <f t="shared" si="61"/>
        <v/>
      </c>
    </row>
    <row r="156" spans="48:71" x14ac:dyDescent="0.25">
      <c r="AV156" t="s">
        <v>131</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NTW20ModGZ</v>
      </c>
      <c r="BP156" s="1" t="str">
        <f t="shared" si="58"/>
        <v/>
      </c>
      <c r="BQ156" s="1" t="str">
        <f t="shared" si="59"/>
        <v/>
      </c>
      <c r="BR156" s="1" t="str">
        <f t="shared" si="60"/>
        <v/>
      </c>
      <c r="BS156" s="1" t="str">
        <f t="shared" si="61"/>
        <v/>
      </c>
    </row>
    <row r="157" spans="48:71" x14ac:dyDescent="0.25">
      <c r="AV157" t="s">
        <v>6488</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NZ75</v>
      </c>
      <c r="BP157" s="1" t="str">
        <f t="shared" si="58"/>
        <v/>
      </c>
      <c r="BQ157" s="1" t="str">
        <f t="shared" si="59"/>
        <v/>
      </c>
      <c r="BR157" s="1" t="str">
        <f t="shared" si="60"/>
        <v/>
      </c>
      <c r="BS157" s="1" t="str">
        <f t="shared" si="61"/>
        <v/>
      </c>
    </row>
    <row r="158" spans="48:71" x14ac:dyDescent="0.25">
      <c r="AV158" t="s">
        <v>1694</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OBRMod</v>
      </c>
      <c r="BP158" s="1" t="str">
        <f t="shared" si="58"/>
        <v/>
      </c>
      <c r="BQ158" s="1" t="str">
        <f t="shared" si="59"/>
        <v/>
      </c>
      <c r="BR158" s="1" t="str">
        <f t="shared" si="60"/>
        <v/>
      </c>
      <c r="BS158" s="1" t="str">
        <f t="shared" si="61"/>
        <v/>
      </c>
    </row>
    <row r="159" spans="48:71" x14ac:dyDescent="0.25">
      <c r="AV159" t="s">
        <v>1695</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Ots12</v>
      </c>
      <c r="BP159" s="1" t="str">
        <f t="shared" si="58"/>
        <v/>
      </c>
      <c r="BQ159" s="1" t="str">
        <f t="shared" si="59"/>
        <v/>
      </c>
      <c r="BR159" s="1" t="str">
        <f t="shared" si="60"/>
        <v/>
      </c>
      <c r="BS159" s="1" t="str">
        <f t="shared" si="61"/>
        <v/>
      </c>
    </row>
    <row r="160" spans="48:71" x14ac:dyDescent="0.25">
      <c r="AV160" t="s">
        <v>71</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Ots44</v>
      </c>
      <c r="BP160" s="1" t="str">
        <f t="shared" si="58"/>
        <v/>
      </c>
      <c r="BQ160" s="1" t="str">
        <f t="shared" si="59"/>
        <v/>
      </c>
      <c r="BR160" s="1" t="str">
        <f t="shared" si="60"/>
        <v/>
      </c>
      <c r="BS160" s="1" t="str">
        <f t="shared" si="61"/>
        <v/>
      </c>
    </row>
    <row r="161" spans="48:71" x14ac:dyDescent="0.25">
      <c r="AV161" t="s">
        <v>197</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P08</v>
      </c>
      <c r="BP161" s="1" t="str">
        <f t="shared" si="58"/>
        <v/>
      </c>
      <c r="BQ161" s="1" t="str">
        <f t="shared" si="59"/>
        <v/>
      </c>
      <c r="BR161" s="1" t="str">
        <f t="shared" si="60"/>
        <v/>
      </c>
      <c r="BS161" s="1" t="str">
        <f t="shared" si="61"/>
        <v/>
      </c>
    </row>
    <row r="162" spans="48:71" x14ac:dyDescent="0.25">
      <c r="AV162" t="s">
        <v>69</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P22</v>
      </c>
      <c r="BP162" s="1" t="str">
        <f t="shared" si="58"/>
        <v/>
      </c>
      <c r="BQ162" s="1" t="str">
        <f t="shared" si="59"/>
        <v/>
      </c>
      <c r="BR162" s="1" t="str">
        <f t="shared" si="60"/>
        <v/>
      </c>
      <c r="BS162" s="1" t="str">
        <f t="shared" si="61"/>
        <v/>
      </c>
    </row>
    <row r="163" spans="48:71" x14ac:dyDescent="0.25">
      <c r="AV163" t="s">
        <v>122</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P38</v>
      </c>
      <c r="BP163" s="1" t="str">
        <f t="shared" si="58"/>
        <v/>
      </c>
      <c r="BQ163" s="1" t="str">
        <f t="shared" si="59"/>
        <v/>
      </c>
      <c r="BR163" s="1" t="str">
        <f t="shared" si="60"/>
        <v/>
      </c>
      <c r="BS163" s="1" t="str">
        <f t="shared" si="61"/>
        <v/>
      </c>
    </row>
    <row r="164" spans="48:71" x14ac:dyDescent="0.25">
      <c r="AV164" t="s">
        <v>190</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P7</v>
      </c>
      <c r="BP164" s="1" t="str">
        <f t="shared" si="58"/>
        <v/>
      </c>
      <c r="BQ164" s="1" t="str">
        <f t="shared" si="59"/>
        <v/>
      </c>
      <c r="BR164" s="1" t="str">
        <f t="shared" si="60"/>
        <v/>
      </c>
      <c r="BS164" s="1" t="str">
        <f t="shared" si="61"/>
        <v/>
      </c>
    </row>
    <row r="165" spans="48:71" x14ac:dyDescent="0.25">
      <c r="AV165" t="s">
        <v>129</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P90</v>
      </c>
      <c r="BP165" s="1" t="str">
        <f t="shared" si="58"/>
        <v/>
      </c>
      <c r="BQ165" s="1" t="str">
        <f t="shared" si="59"/>
        <v/>
      </c>
      <c r="BR165" s="1" t="str">
        <f t="shared" si="60"/>
        <v/>
      </c>
      <c r="BS165" s="1" t="str">
        <f t="shared" si="61"/>
        <v/>
      </c>
    </row>
    <row r="166" spans="48:71" x14ac:dyDescent="0.25">
      <c r="AV166" t="s">
        <v>1394</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P99</v>
      </c>
      <c r="BP166" s="1" t="str">
        <f t="shared" si="58"/>
        <v/>
      </c>
      <c r="BQ166" s="1" t="str">
        <f t="shared" si="59"/>
        <v/>
      </c>
      <c r="BR166" s="1" t="str">
        <f t="shared" si="60"/>
        <v/>
      </c>
      <c r="BS166" s="1" t="str">
        <f t="shared" si="61"/>
        <v/>
      </c>
    </row>
    <row r="167" spans="48:71" x14ac:dyDescent="0.25">
      <c r="AV167" t="s">
        <v>111</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Pekola</v>
      </c>
      <c r="BP167" s="1" t="str">
        <f t="shared" si="58"/>
        <v/>
      </c>
      <c r="BQ167" s="1" t="str">
        <f t="shared" si="59"/>
        <v/>
      </c>
      <c r="BR167" s="1" t="str">
        <f t="shared" si="60"/>
        <v/>
      </c>
      <c r="BS167" s="1" t="str">
        <f t="shared" si="61"/>
        <v/>
      </c>
    </row>
    <row r="168" spans="48:71" x14ac:dyDescent="0.25">
      <c r="AV168" t="s">
        <v>154</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PK</v>
      </c>
      <c r="BP168" s="1" t="str">
        <f t="shared" si="58"/>
        <v/>
      </c>
      <c r="BQ168" s="1" t="str">
        <f t="shared" si="59"/>
        <v/>
      </c>
      <c r="BR168" s="1" t="str">
        <f t="shared" si="60"/>
        <v/>
      </c>
      <c r="BS168" s="1" t="str">
        <f t="shared" si="61"/>
        <v/>
      </c>
    </row>
    <row r="169" spans="48:71" x14ac:dyDescent="0.25">
      <c r="AV169" t="s">
        <v>1685</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PKP</v>
      </c>
      <c r="BP169" s="1" t="str">
        <f t="shared" si="58"/>
        <v/>
      </c>
      <c r="BQ169" s="1" t="str">
        <f t="shared" si="59"/>
        <v/>
      </c>
      <c r="BR169" s="1" t="str">
        <f t="shared" si="60"/>
        <v/>
      </c>
      <c r="BS169" s="1" t="str">
        <f t="shared" si="61"/>
        <v/>
      </c>
    </row>
    <row r="170" spans="48:71" x14ac:dyDescent="0.25">
      <c r="AV170" t="s">
        <v>1134</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PP19Mod</v>
      </c>
      <c r="BP170" s="1" t="str">
        <f t="shared" si="58"/>
        <v/>
      </c>
      <c r="BQ170" s="1" t="str">
        <f t="shared" si="59"/>
        <v/>
      </c>
      <c r="BR170" s="1" t="str">
        <f t="shared" si="60"/>
        <v/>
      </c>
      <c r="BS170" s="1" t="str">
        <f t="shared" si="61"/>
        <v/>
      </c>
    </row>
    <row r="171" spans="48:71" x14ac:dyDescent="0.25">
      <c r="AV171" t="s">
        <v>70</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PP2000</v>
      </c>
      <c r="BP171" s="1" t="str">
        <f t="shared" si="58"/>
        <v/>
      </c>
      <c r="BQ171" s="1" t="str">
        <f t="shared" si="59"/>
        <v/>
      </c>
      <c r="BR171" s="1" t="str">
        <f t="shared" si="60"/>
        <v/>
      </c>
      <c r="BS171" s="1" t="str">
        <f t="shared" si="61"/>
        <v/>
      </c>
    </row>
    <row r="172" spans="48:71" x14ac:dyDescent="0.25">
      <c r="AV172" t="s">
        <v>6467</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PPK</v>
      </c>
      <c r="BP172" s="1" t="str">
        <f t="shared" si="58"/>
        <v/>
      </c>
      <c r="BQ172" s="1" t="str">
        <f t="shared" si="59"/>
        <v/>
      </c>
      <c r="BR172" s="1" t="str">
        <f t="shared" si="60"/>
        <v/>
      </c>
      <c r="BS172" s="1" t="str">
        <f t="shared" si="61"/>
        <v/>
      </c>
    </row>
    <row r="173" spans="48:71" x14ac:dyDescent="0.25">
      <c r="AV173" t="s">
        <v>8120</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PPKMod</v>
      </c>
      <c r="BP173" s="1" t="str">
        <f t="shared" si="58"/>
        <v/>
      </c>
      <c r="BQ173" s="1" t="str">
        <f t="shared" si="59"/>
        <v/>
      </c>
      <c r="BR173" s="1" t="str">
        <f t="shared" si="60"/>
        <v/>
      </c>
      <c r="BS173" s="1" t="str">
        <f t="shared" si="61"/>
        <v/>
      </c>
    </row>
    <row r="174" spans="48:71" x14ac:dyDescent="0.25">
      <c r="AV174" t="s">
        <v>905</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PPKModGZ</v>
      </c>
      <c r="BP174" s="1" t="str">
        <f t="shared" si="58"/>
        <v/>
      </c>
      <c r="BQ174" s="1" t="str">
        <f t="shared" si="59"/>
        <v/>
      </c>
      <c r="BR174" s="1" t="str">
        <f t="shared" si="60"/>
        <v/>
      </c>
      <c r="BS174" s="1" t="str">
        <f t="shared" si="61"/>
        <v/>
      </c>
    </row>
    <row r="175" spans="48:71" x14ac:dyDescent="0.25">
      <c r="AV175" t="s">
        <v>5722</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PPSh41</v>
      </c>
      <c r="BP175" s="1" t="str">
        <f t="shared" si="58"/>
        <v/>
      </c>
      <c r="BQ175" s="1" t="str">
        <f t="shared" si="59"/>
        <v/>
      </c>
      <c r="BR175" s="1" t="str">
        <f t="shared" si="60"/>
        <v/>
      </c>
      <c r="BS175" s="1" t="str">
        <f t="shared" si="61"/>
        <v/>
      </c>
    </row>
    <row r="176" spans="48:71" x14ac:dyDescent="0.25">
      <c r="AV176" t="s">
        <v>8121</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PPsh41Mod</v>
      </c>
      <c r="BP176" s="1" t="str">
        <f t="shared" si="58"/>
        <v/>
      </c>
      <c r="BQ176" s="1" t="str">
        <f t="shared" si="59"/>
        <v/>
      </c>
      <c r="BR176" s="1" t="str">
        <f t="shared" si="60"/>
        <v/>
      </c>
      <c r="BS176" s="1" t="str">
        <f t="shared" si="61"/>
        <v/>
      </c>
    </row>
    <row r="177" spans="48:71" x14ac:dyDescent="0.25">
      <c r="AV177" t="s">
        <v>91</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PPSh41ModGZ</v>
      </c>
      <c r="BP177" s="1" t="str">
        <f t="shared" si="58"/>
        <v/>
      </c>
      <c r="BQ177" s="1" t="str">
        <f t="shared" si="59"/>
        <v/>
      </c>
      <c r="BR177" s="1" t="str">
        <f t="shared" si="60"/>
        <v/>
      </c>
      <c r="BS177" s="1" t="str">
        <f t="shared" si="61"/>
        <v/>
      </c>
    </row>
    <row r="178" spans="48:71" x14ac:dyDescent="0.25">
      <c r="AV178" t="s">
        <v>186</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PTRD</v>
      </c>
      <c r="BP178" s="1" t="str">
        <f t="shared" si="58"/>
        <v/>
      </c>
      <c r="BQ178" s="1" t="str">
        <f t="shared" si="59"/>
        <v/>
      </c>
      <c r="BR178" s="1" t="str">
        <f t="shared" si="60"/>
        <v/>
      </c>
      <c r="BS178" s="1" t="str">
        <f t="shared" si="61"/>
        <v/>
      </c>
    </row>
    <row r="179" spans="48:71" x14ac:dyDescent="0.25">
      <c r="AV179" t="s">
        <v>64</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Px4 Storm</v>
      </c>
      <c r="BP179" s="1" t="str">
        <f t="shared" si="58"/>
        <v/>
      </c>
      <c r="BQ179" s="1" t="str">
        <f t="shared" si="59"/>
        <v/>
      </c>
      <c r="BR179" s="1" t="str">
        <f t="shared" si="60"/>
        <v/>
      </c>
      <c r="BS179" s="1" t="str">
        <f t="shared" si="61"/>
        <v/>
      </c>
    </row>
    <row r="180" spans="48:71" x14ac:dyDescent="0.25">
      <c r="AV180" t="s">
        <v>159</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Python</v>
      </c>
      <c r="BP180" s="1" t="str">
        <f t="shared" si="58"/>
        <v/>
      </c>
      <c r="BQ180" s="1" t="str">
        <f t="shared" si="59"/>
        <v/>
      </c>
      <c r="BR180" s="1" t="str">
        <f t="shared" si="60"/>
        <v/>
      </c>
      <c r="BS180" s="1" t="str">
        <f t="shared" si="61"/>
        <v/>
      </c>
    </row>
    <row r="181" spans="48:71" x14ac:dyDescent="0.25">
      <c r="AV181" t="s">
        <v>1655</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PzB39</v>
      </c>
      <c r="BP181" s="1" t="str">
        <f t="shared" si="58"/>
        <v/>
      </c>
      <c r="BQ181" s="1" t="str">
        <f t="shared" si="59"/>
        <v/>
      </c>
      <c r="BR181" s="1" t="str">
        <f t="shared" si="60"/>
        <v/>
      </c>
      <c r="BS181" s="1" t="str">
        <f t="shared" si="61"/>
        <v/>
      </c>
    </row>
    <row r="182" spans="48:71" x14ac:dyDescent="0.25">
      <c r="AV182" t="s">
        <v>230</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QBU88</v>
      </c>
      <c r="BP182" s="1" t="str">
        <f t="shared" si="58"/>
        <v/>
      </c>
      <c r="BQ182" s="1" t="str">
        <f t="shared" si="59"/>
        <v/>
      </c>
      <c r="BR182" s="1" t="str">
        <f t="shared" si="60"/>
        <v/>
      </c>
      <c r="BS182" s="1" t="str">
        <f t="shared" si="61"/>
        <v/>
      </c>
    </row>
    <row r="183" spans="48:71" x14ac:dyDescent="0.25">
      <c r="AV183" t="s">
        <v>1755</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RFB</v>
      </c>
      <c r="BP183" s="1" t="str">
        <f t="shared" si="58"/>
        <v/>
      </c>
      <c r="BQ183" s="1" t="str">
        <f t="shared" si="59"/>
        <v/>
      </c>
      <c r="BR183" s="1" t="str">
        <f t="shared" si="60"/>
        <v/>
      </c>
      <c r="BS183" s="1" t="str">
        <f t="shared" si="61"/>
        <v/>
      </c>
    </row>
    <row r="184" spans="48:71" x14ac:dyDescent="0.25">
      <c r="AV184" t="s">
        <v>249</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Ribeyrolles1918Mod</v>
      </c>
      <c r="BP184" s="1" t="str">
        <f t="shared" si="58"/>
        <v/>
      </c>
      <c r="BQ184" s="1" t="str">
        <f t="shared" si="59"/>
        <v/>
      </c>
      <c r="BR184" s="1" t="str">
        <f t="shared" si="60"/>
        <v/>
      </c>
      <c r="BS184" s="1" t="str">
        <f t="shared" si="61"/>
        <v/>
      </c>
    </row>
    <row r="185" spans="48:71" x14ac:dyDescent="0.25">
      <c r="AV185" t="s">
        <v>928</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Rico</v>
      </c>
      <c r="BP185" s="1" t="str">
        <f t="shared" si="58"/>
        <v/>
      </c>
      <c r="BQ185" s="1" t="str">
        <f t="shared" si="59"/>
        <v/>
      </c>
      <c r="BR185" s="1" t="str">
        <f t="shared" si="60"/>
        <v/>
      </c>
      <c r="BS185" s="1" t="str">
        <f t="shared" si="61"/>
        <v/>
      </c>
    </row>
    <row r="186" spans="48:71" x14ac:dyDescent="0.25">
      <c r="AV186" t="s">
        <v>826</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RMB93Mod</v>
      </c>
      <c r="BP186" s="1" t="str">
        <f t="shared" si="58"/>
        <v/>
      </c>
      <c r="BQ186" s="1" t="str">
        <f t="shared" si="59"/>
        <v/>
      </c>
      <c r="BR186" s="1" t="str">
        <f t="shared" si="60"/>
        <v/>
      </c>
      <c r="BS186" s="1" t="str">
        <f t="shared" si="61"/>
        <v/>
      </c>
    </row>
    <row r="187" spans="48:71" x14ac:dyDescent="0.25">
      <c r="AV187" t="s">
        <v>110</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RO635Mod</v>
      </c>
      <c r="BP187" s="1" t="str">
        <f t="shared" si="58"/>
        <v/>
      </c>
      <c r="BQ187" s="1" t="str">
        <f t="shared" si="59"/>
        <v/>
      </c>
      <c r="BR187" s="1" t="str">
        <f t="shared" si="60"/>
        <v/>
      </c>
      <c r="BS187" s="1" t="str">
        <f t="shared" si="61"/>
        <v/>
      </c>
    </row>
    <row r="188" spans="48:71" x14ac:dyDescent="0.25">
      <c r="AV188" t="s">
        <v>267</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RPD</v>
      </c>
      <c r="BP188" s="1" t="str">
        <f t="shared" si="58"/>
        <v/>
      </c>
      <c r="BQ188" s="1" t="str">
        <f t="shared" si="59"/>
        <v/>
      </c>
      <c r="BR188" s="1" t="str">
        <f t="shared" si="60"/>
        <v/>
      </c>
      <c r="BS188" s="1" t="str">
        <f t="shared" si="61"/>
        <v/>
      </c>
    </row>
    <row r="189" spans="48:71" x14ac:dyDescent="0.25">
      <c r="AV189" t="s">
        <v>1635</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SAAMod</v>
      </c>
      <c r="BP189" s="1" t="str">
        <f t="shared" si="58"/>
        <v/>
      </c>
      <c r="BQ189" s="1" t="str">
        <f t="shared" si="59"/>
        <v/>
      </c>
      <c r="BR189" s="1" t="str">
        <f t="shared" si="60"/>
        <v/>
      </c>
      <c r="BS189" s="1" t="str">
        <f t="shared" si="61"/>
        <v/>
      </c>
    </row>
    <row r="190" spans="48:71" x14ac:dyDescent="0.25">
      <c r="AV190" t="s">
        <v>7024</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Saiga12</v>
      </c>
      <c r="BP190" s="1" t="str">
        <f t="shared" si="58"/>
        <v/>
      </c>
      <c r="BQ190" s="1" t="str">
        <f t="shared" si="59"/>
        <v/>
      </c>
      <c r="BR190" s="1" t="str">
        <f t="shared" si="60"/>
        <v/>
      </c>
      <c r="BS190" s="1" t="str">
        <f t="shared" si="61"/>
        <v/>
      </c>
    </row>
    <row r="191" spans="48:71" x14ac:dyDescent="0.25">
      <c r="AV191" t="s">
        <v>236</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Saki</v>
      </c>
      <c r="BP191" s="1" t="str">
        <f t="shared" si="58"/>
        <v/>
      </c>
      <c r="BQ191" s="1" t="str">
        <f t="shared" si="59"/>
        <v/>
      </c>
      <c r="BR191" s="1" t="str">
        <f t="shared" si="60"/>
        <v/>
      </c>
      <c r="BS191" s="1" t="str">
        <f t="shared" si="61"/>
        <v/>
      </c>
    </row>
    <row r="192" spans="48:71" x14ac:dyDescent="0.25">
      <c r="AV192" t="s">
        <v>6898</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Sakura</v>
      </c>
      <c r="BP192" s="1" t="str">
        <f t="shared" si="58"/>
        <v/>
      </c>
      <c r="BQ192" s="1" t="str">
        <f t="shared" si="59"/>
        <v/>
      </c>
      <c r="BR192" s="1" t="str">
        <f t="shared" si="60"/>
        <v/>
      </c>
      <c r="BS192" s="1" t="str">
        <f t="shared" si="61"/>
        <v/>
      </c>
    </row>
    <row r="193" spans="48:71" x14ac:dyDescent="0.25">
      <c r="AV193" t="s">
        <v>6906</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SCAR-H</v>
      </c>
      <c r="BP193" s="1" t="str">
        <f t="shared" si="58"/>
        <v/>
      </c>
      <c r="BQ193" s="1" t="str">
        <f t="shared" si="59"/>
        <v/>
      </c>
      <c r="BR193" s="1" t="str">
        <f t="shared" si="60"/>
        <v/>
      </c>
      <c r="BS193" s="1" t="str">
        <f t="shared" si="61"/>
        <v/>
      </c>
    </row>
    <row r="194" spans="48:71" x14ac:dyDescent="0.25">
      <c r="AV194" t="s">
        <v>751</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SCAR-L</v>
      </c>
      <c r="BP194" s="1" t="str">
        <f t="shared" si="58"/>
        <v/>
      </c>
      <c r="BQ194" s="1" t="str">
        <f t="shared" si="59"/>
        <v/>
      </c>
      <c r="BR194" s="1" t="str">
        <f t="shared" si="60"/>
        <v/>
      </c>
      <c r="BS194" s="1" t="str">
        <f t="shared" si="61"/>
        <v/>
      </c>
    </row>
    <row r="195" spans="48:71" x14ac:dyDescent="0.25">
      <c r="AV195" t="s">
        <v>732</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SCW</v>
      </c>
      <c r="BP195" s="1" t="str">
        <f t="shared" si="58"/>
        <v/>
      </c>
      <c r="BQ195" s="1" t="str">
        <f t="shared" si="59"/>
        <v/>
      </c>
      <c r="BR195" s="1" t="str">
        <f t="shared" si="60"/>
        <v/>
      </c>
      <c r="BS195" s="1" t="str">
        <f t="shared" si="61"/>
        <v/>
      </c>
    </row>
    <row r="196" spans="48:71" x14ac:dyDescent="0.25">
      <c r="AV196" t="s">
        <v>750</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Sei</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745</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Serdyukov</v>
      </c>
      <c r="BP197" s="1" t="str">
        <f t="shared" si="78"/>
        <v/>
      </c>
      <c r="BQ197" s="1" t="str">
        <f t="shared" si="79"/>
        <v/>
      </c>
      <c r="BR197" s="1" t="str">
        <f t="shared" si="80"/>
        <v/>
      </c>
      <c r="BS197" s="1" t="str">
        <f t="shared" si="81"/>
        <v/>
      </c>
    </row>
    <row r="198" spans="48:71" x14ac:dyDescent="0.25">
      <c r="AV198" t="s">
        <v>81</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SIG510</v>
      </c>
      <c r="BP198" s="1" t="str">
        <f t="shared" si="78"/>
        <v/>
      </c>
      <c r="BQ198" s="1" t="str">
        <f t="shared" si="79"/>
        <v/>
      </c>
      <c r="BR198" s="1" t="str">
        <f t="shared" si="80"/>
        <v/>
      </c>
      <c r="BS198" s="1" t="str">
        <f t="shared" si="81"/>
        <v/>
      </c>
    </row>
    <row r="199" spans="48:71" x14ac:dyDescent="0.25">
      <c r="AV199" t="s">
        <v>795</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Skorpion</v>
      </c>
      <c r="BP199" s="1" t="str">
        <f t="shared" si="78"/>
        <v/>
      </c>
      <c r="BQ199" s="1" t="str">
        <f t="shared" si="79"/>
        <v/>
      </c>
      <c r="BR199" s="1" t="str">
        <f t="shared" si="80"/>
        <v/>
      </c>
      <c r="BS199" s="1" t="str">
        <f t="shared" si="81"/>
        <v/>
      </c>
    </row>
    <row r="200" spans="48:71" x14ac:dyDescent="0.25">
      <c r="AV200" t="s">
        <v>116</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SL8</v>
      </c>
      <c r="BP200" s="1" t="str">
        <f t="shared" si="78"/>
        <v/>
      </c>
      <c r="BQ200" s="1" t="str">
        <f t="shared" si="79"/>
        <v/>
      </c>
      <c r="BR200" s="1" t="str">
        <f t="shared" si="80"/>
        <v/>
      </c>
      <c r="BS200" s="1" t="str">
        <f t="shared" si="81"/>
        <v/>
      </c>
    </row>
    <row r="201" spans="48:71" x14ac:dyDescent="0.25">
      <c r="AV201" t="s">
        <v>87</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Spectre M4</v>
      </c>
      <c r="BP201" s="1" t="str">
        <f t="shared" si="78"/>
        <v/>
      </c>
      <c r="BQ201" s="1" t="str">
        <f t="shared" si="79"/>
        <v/>
      </c>
      <c r="BR201" s="1" t="str">
        <f t="shared" si="80"/>
        <v/>
      </c>
      <c r="BS201" s="1" t="str">
        <f t="shared" si="81"/>
        <v/>
      </c>
    </row>
    <row r="202" spans="48:71" x14ac:dyDescent="0.25">
      <c r="AV202" t="s">
        <v>1627</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Springfield</v>
      </c>
      <c r="BP202" s="1" t="str">
        <f t="shared" si="78"/>
        <v/>
      </c>
      <c r="BQ202" s="1" t="str">
        <f t="shared" si="79"/>
        <v/>
      </c>
      <c r="BR202" s="1" t="str">
        <f t="shared" si="80"/>
        <v/>
      </c>
      <c r="BS202" s="1" t="str">
        <f t="shared" si="81"/>
        <v/>
      </c>
    </row>
    <row r="203" spans="48:71" x14ac:dyDescent="0.25">
      <c r="AV203" t="s">
        <v>100</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SR3MP</v>
      </c>
      <c r="BP203" s="1" t="str">
        <f t="shared" si="78"/>
        <v/>
      </c>
      <c r="BQ203" s="1" t="str">
        <f t="shared" si="79"/>
        <v/>
      </c>
      <c r="BR203" s="1" t="str">
        <f t="shared" si="80"/>
        <v/>
      </c>
      <c r="BS203" s="1" t="str">
        <f t="shared" si="81"/>
        <v/>
      </c>
    </row>
    <row r="204" spans="48:71" x14ac:dyDescent="0.25">
      <c r="AV204" t="s">
        <v>1683</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ST AR-15</v>
      </c>
      <c r="BP204" s="1" t="str">
        <f t="shared" si="78"/>
        <v/>
      </c>
      <c r="BQ204" s="1" t="str">
        <f t="shared" si="79"/>
        <v/>
      </c>
      <c r="BR204" s="1" t="str">
        <f t="shared" si="80"/>
        <v/>
      </c>
      <c r="BS204" s="1" t="str">
        <f t="shared" si="81"/>
        <v/>
      </c>
    </row>
    <row r="205" spans="48:71" x14ac:dyDescent="0.25">
      <c r="AV205" t="s">
        <v>8123</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ST AR15Mod</v>
      </c>
      <c r="BP205" s="1" t="str">
        <f t="shared" si="78"/>
        <v/>
      </c>
      <c r="BQ205" s="1" t="str">
        <f t="shared" si="79"/>
        <v/>
      </c>
      <c r="BR205" s="1" t="str">
        <f t="shared" si="80"/>
        <v/>
      </c>
      <c r="BS205" s="1" t="str">
        <f t="shared" si="81"/>
        <v/>
      </c>
    </row>
    <row r="206" spans="48:71" x14ac:dyDescent="0.25">
      <c r="AV206" t="s">
        <v>67</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ST AR15ModGZ</v>
      </c>
      <c r="BP206" s="1" t="str">
        <f t="shared" si="78"/>
        <v/>
      </c>
      <c r="BQ206" s="1" t="str">
        <f t="shared" si="79"/>
        <v/>
      </c>
      <c r="BR206" s="1" t="str">
        <f t="shared" si="80"/>
        <v/>
      </c>
      <c r="BS206" s="1" t="str">
        <f t="shared" si="81"/>
        <v/>
      </c>
    </row>
    <row r="207" spans="48:71" x14ac:dyDescent="0.25">
      <c r="AV207" t="s">
        <v>740</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Stechkin</v>
      </c>
      <c r="BP207" s="1" t="str">
        <f t="shared" si="78"/>
        <v/>
      </c>
      <c r="BQ207" s="1" t="str">
        <f t="shared" si="79"/>
        <v/>
      </c>
      <c r="BR207" s="1" t="str">
        <f t="shared" si="80"/>
        <v/>
      </c>
      <c r="BS207" s="1" t="str">
        <f t="shared" si="81"/>
        <v/>
      </c>
    </row>
    <row r="208" spans="48:71" x14ac:dyDescent="0.25">
      <c r="AV208" t="s">
        <v>8124</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StechkinMod</v>
      </c>
      <c r="BP208" s="1" t="str">
        <f t="shared" si="78"/>
        <v/>
      </c>
      <c r="BQ208" s="1" t="str">
        <f t="shared" si="79"/>
        <v/>
      </c>
      <c r="BR208" s="1" t="str">
        <f t="shared" si="80"/>
        <v/>
      </c>
      <c r="BS208" s="1" t="str">
        <f t="shared" si="81"/>
        <v/>
      </c>
    </row>
    <row r="209" spans="48:71" x14ac:dyDescent="0.25">
      <c r="AV209" t="s">
        <v>737</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StechkinModGZ</v>
      </c>
      <c r="BP209" s="1" t="str">
        <f t="shared" si="78"/>
        <v/>
      </c>
      <c r="BQ209" s="1" t="str">
        <f t="shared" si="79"/>
        <v/>
      </c>
      <c r="BR209" s="1" t="str">
        <f t="shared" si="80"/>
        <v/>
      </c>
      <c r="BS209" s="1" t="str">
        <f t="shared" si="81"/>
        <v/>
      </c>
    </row>
    <row r="210" spans="48:71" x14ac:dyDescent="0.25">
      <c r="AV210" t="s">
        <v>829</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Stella</v>
      </c>
      <c r="BP210" s="1" t="str">
        <f t="shared" si="78"/>
        <v/>
      </c>
      <c r="BQ210" s="1" t="str">
        <f t="shared" si="79"/>
        <v/>
      </c>
      <c r="BR210" s="1" t="str">
        <f t="shared" si="80"/>
        <v/>
      </c>
      <c r="BS210" s="1" t="str">
        <f t="shared" si="81"/>
        <v/>
      </c>
    </row>
    <row r="211" spans="48:71" x14ac:dyDescent="0.25">
      <c r="AV211" t="s">
        <v>726</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STEN MkIIMod</v>
      </c>
      <c r="BP211" s="1" t="str">
        <f t="shared" si="78"/>
        <v/>
      </c>
      <c r="BQ211" s="1" t="str">
        <f t="shared" si="79"/>
        <v/>
      </c>
      <c r="BR211" s="1" t="str">
        <f t="shared" si="80"/>
        <v/>
      </c>
      <c r="BS211" s="1" t="str">
        <f t="shared" si="81"/>
        <v/>
      </c>
    </row>
    <row r="212" spans="48:71" x14ac:dyDescent="0.25">
      <c r="AV212" t="s">
        <v>127</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Stg44Mod</v>
      </c>
      <c r="BP212" s="1" t="str">
        <f t="shared" si="78"/>
        <v/>
      </c>
      <c r="BQ212" s="1" t="str">
        <f t="shared" si="79"/>
        <v/>
      </c>
      <c r="BR212" s="1" t="str">
        <f t="shared" si="80"/>
        <v/>
      </c>
      <c r="BS212" s="1" t="str">
        <f t="shared" si="81"/>
        <v/>
      </c>
    </row>
    <row r="213" spans="48:71" x14ac:dyDescent="0.25">
      <c r="AV213" t="s">
        <v>6513</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Suomi</v>
      </c>
      <c r="BP213" s="1" t="str">
        <f t="shared" si="78"/>
        <v/>
      </c>
      <c r="BQ213" s="1" t="str">
        <f t="shared" si="79"/>
        <v/>
      </c>
      <c r="BR213" s="1" t="str">
        <f t="shared" si="80"/>
        <v/>
      </c>
      <c r="BS213" s="1" t="str">
        <f t="shared" si="81"/>
        <v/>
      </c>
    </row>
    <row r="214" spans="48:71" x14ac:dyDescent="0.25">
      <c r="AV214" t="s">
        <v>833</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SuomiMod</v>
      </c>
      <c r="BP214" s="1" t="str">
        <f t="shared" si="78"/>
        <v/>
      </c>
      <c r="BQ214" s="1" t="str">
        <f t="shared" si="79"/>
        <v/>
      </c>
      <c r="BR214" s="1" t="str">
        <f t="shared" si="80"/>
        <v/>
      </c>
      <c r="BS214" s="1" t="str">
        <f t="shared" si="81"/>
        <v/>
      </c>
    </row>
    <row r="215" spans="48:71" x14ac:dyDescent="0.25">
      <c r="AV215" t="s">
        <v>1681</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Super SASSMod</v>
      </c>
      <c r="BP215" s="1" t="str">
        <f t="shared" si="78"/>
        <v/>
      </c>
      <c r="BQ215" s="1" t="str">
        <f t="shared" si="79"/>
        <v/>
      </c>
      <c r="BR215" s="1" t="str">
        <f t="shared" si="80"/>
        <v/>
      </c>
      <c r="BS215" s="1" t="str">
        <f t="shared" si="81"/>
        <v/>
      </c>
    </row>
    <row r="216" spans="48:71" x14ac:dyDescent="0.25">
      <c r="AV216" t="s">
        <v>92</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SV98Mod</v>
      </c>
      <c r="BP216" s="1" t="str">
        <f t="shared" si="78"/>
        <v/>
      </c>
      <c r="BQ216" s="1" t="str">
        <f t="shared" si="79"/>
        <v/>
      </c>
      <c r="BR216" s="1" t="str">
        <f t="shared" si="80"/>
        <v/>
      </c>
      <c r="BS216" s="1" t="str">
        <f t="shared" si="81"/>
        <v/>
      </c>
    </row>
    <row r="217" spans="48:71" x14ac:dyDescent="0.25">
      <c r="AV217" t="s">
        <v>1613</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SVD</v>
      </c>
      <c r="BP217" s="1" t="str">
        <f t="shared" si="78"/>
        <v/>
      </c>
      <c r="BQ217" s="1" t="str">
        <f t="shared" si="79"/>
        <v/>
      </c>
      <c r="BR217" s="1" t="str">
        <f t="shared" si="80"/>
        <v/>
      </c>
      <c r="BS217" s="1" t="str">
        <f t="shared" si="81"/>
        <v/>
      </c>
    </row>
    <row r="218" spans="48:71" x14ac:dyDescent="0.25">
      <c r="AV218" t="s">
        <v>181</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SVT38</v>
      </c>
      <c r="BP218" s="1" t="str">
        <f t="shared" si="78"/>
        <v/>
      </c>
      <c r="BQ218" s="1" t="str">
        <f t="shared" si="79"/>
        <v/>
      </c>
      <c r="BR218" s="1" t="str">
        <f t="shared" si="80"/>
        <v/>
      </c>
      <c r="BS218" s="1" t="str">
        <f t="shared" si="81"/>
        <v/>
      </c>
    </row>
    <row r="219" spans="48:71" x14ac:dyDescent="0.25">
      <c r="AV219" t="s">
        <v>1238</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T77</v>
      </c>
      <c r="BP219" s="1" t="str">
        <f t="shared" si="78"/>
        <v/>
      </c>
      <c r="BQ219" s="1" t="str">
        <f t="shared" si="79"/>
        <v/>
      </c>
      <c r="BR219" s="1" t="str">
        <f t="shared" si="80"/>
        <v/>
      </c>
      <c r="BS219" s="1" t="str">
        <f t="shared" si="81"/>
        <v/>
      </c>
    </row>
    <row r="220" spans="48:71" x14ac:dyDescent="0.25">
      <c r="AV220" t="s">
        <v>6975</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TAC50</v>
      </c>
      <c r="BP220" s="1" t="str">
        <f t="shared" si="78"/>
        <v/>
      </c>
      <c r="BQ220" s="1" t="str">
        <f t="shared" si="79"/>
        <v/>
      </c>
      <c r="BR220" s="1" t="str">
        <f t="shared" si="80"/>
        <v/>
      </c>
      <c r="BS220" s="1" t="str">
        <f t="shared" si="81"/>
        <v/>
      </c>
    </row>
    <row r="221" spans="48:71" x14ac:dyDescent="0.25">
      <c r="AV221" t="s">
        <v>739</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Tae</v>
      </c>
      <c r="BP221" s="1" t="str">
        <f t="shared" si="78"/>
        <v/>
      </c>
      <c r="BQ221" s="1" t="str">
        <f t="shared" si="79"/>
        <v/>
      </c>
      <c r="BR221" s="1" t="str">
        <f t="shared" si="80"/>
        <v/>
      </c>
      <c r="BS221" s="1" t="str">
        <f t="shared" si="81"/>
        <v/>
      </c>
    </row>
    <row r="222" spans="48:71" x14ac:dyDescent="0.25">
      <c r="AV222" t="s">
        <v>76</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TAR21</v>
      </c>
      <c r="BP222" s="1" t="str">
        <f t="shared" si="78"/>
        <v/>
      </c>
      <c r="BQ222" s="1" t="str">
        <f t="shared" si="79"/>
        <v/>
      </c>
      <c r="BR222" s="1" t="str">
        <f t="shared" si="80"/>
        <v/>
      </c>
      <c r="BS222" s="1" t="str">
        <f t="shared" si="81"/>
        <v/>
      </c>
    </row>
    <row r="223" spans="48:71" x14ac:dyDescent="0.25">
      <c r="AV223" t="s">
        <v>66</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Thompson</v>
      </c>
      <c r="BP223" s="1" t="str">
        <f t="shared" si="78"/>
        <v/>
      </c>
      <c r="BQ223" s="1" t="str">
        <f t="shared" si="79"/>
        <v/>
      </c>
      <c r="BR223" s="1" t="str">
        <f t="shared" si="80"/>
        <v/>
      </c>
      <c r="BS223" s="1" t="str">
        <f t="shared" si="81"/>
        <v/>
      </c>
    </row>
    <row r="224" spans="48:71" x14ac:dyDescent="0.25">
      <c r="AV224" t="s">
        <v>250</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Tokarev</v>
      </c>
      <c r="BP224" s="1" t="str">
        <f t="shared" si="78"/>
        <v/>
      </c>
      <c r="BQ224" s="1" t="str">
        <f t="shared" si="79"/>
        <v/>
      </c>
      <c r="BR224" s="1" t="str">
        <f t="shared" si="80"/>
        <v/>
      </c>
      <c r="BS224" s="1" t="str">
        <f t="shared" si="81"/>
        <v/>
      </c>
    </row>
    <row r="225" spans="48:71" x14ac:dyDescent="0.25">
      <c r="AV225" t="s">
        <v>243</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Triela</v>
      </c>
      <c r="BP225" s="1" t="str">
        <f t="shared" si="78"/>
        <v/>
      </c>
      <c r="BQ225" s="1" t="str">
        <f t="shared" si="79"/>
        <v/>
      </c>
      <c r="BR225" s="1" t="str">
        <f t="shared" si="80"/>
        <v/>
      </c>
      <c r="BS225" s="1" t="str">
        <f t="shared" si="81"/>
        <v/>
      </c>
    </row>
    <row r="226" spans="48:71" x14ac:dyDescent="0.25">
      <c r="AV226" t="s">
        <v>830</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Type 4</v>
      </c>
      <c r="BP226" s="1" t="str">
        <f t="shared" si="78"/>
        <v/>
      </c>
      <c r="BQ226" s="1" t="str">
        <f t="shared" si="79"/>
        <v/>
      </c>
      <c r="BR226" s="1" t="str">
        <f t="shared" si="80"/>
        <v/>
      </c>
      <c r="BS226" s="1" t="str">
        <f t="shared" si="81"/>
        <v/>
      </c>
    </row>
    <row r="227" spans="48:71" x14ac:dyDescent="0.25">
      <c r="AV227" t="s">
        <v>224</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Type 56 RMod</v>
      </c>
      <c r="BP227" s="1" t="str">
        <f t="shared" si="78"/>
        <v/>
      </c>
      <c r="BQ227" s="1" t="str">
        <f t="shared" si="79"/>
        <v/>
      </c>
      <c r="BR227" s="1" t="str">
        <f t="shared" si="80"/>
        <v/>
      </c>
      <c r="BS227" s="1" t="str">
        <f t="shared" si="81"/>
        <v/>
      </c>
    </row>
    <row r="228" spans="48:71" x14ac:dyDescent="0.25">
      <c r="AV228" t="s">
        <v>239</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Type 79</v>
      </c>
      <c r="BP228" s="1" t="str">
        <f t="shared" si="78"/>
        <v/>
      </c>
      <c r="BQ228" s="1" t="str">
        <f t="shared" si="79"/>
        <v/>
      </c>
      <c r="BR228" s="1" t="str">
        <f t="shared" si="80"/>
        <v/>
      </c>
      <c r="BS228" s="1" t="str">
        <f t="shared" si="81"/>
        <v/>
      </c>
    </row>
    <row r="229" spans="48:71" x14ac:dyDescent="0.25">
      <c r="AV229" t="s">
        <v>6763</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Type03</v>
      </c>
      <c r="BP229" s="1" t="str">
        <f t="shared" si="78"/>
        <v/>
      </c>
      <c r="BQ229" s="1" t="str">
        <f t="shared" si="79"/>
        <v/>
      </c>
      <c r="BR229" s="1" t="str">
        <f t="shared" si="80"/>
        <v/>
      </c>
      <c r="BS229" s="1" t="str">
        <f t="shared" si="81"/>
        <v/>
      </c>
    </row>
    <row r="230" spans="48:71" x14ac:dyDescent="0.25">
      <c r="AV230" t="s">
        <v>8533</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Type56-1mod</v>
      </c>
      <c r="BP230" s="1" t="str">
        <f t="shared" si="78"/>
        <v/>
      </c>
      <c r="BQ230" s="1" t="str">
        <f t="shared" si="79"/>
        <v/>
      </c>
      <c r="BR230" s="1" t="str">
        <f t="shared" si="80"/>
        <v/>
      </c>
      <c r="BS230" s="1" t="str">
        <f t="shared" si="81"/>
        <v/>
      </c>
    </row>
    <row r="231" spans="48:71" x14ac:dyDescent="0.25">
      <c r="AV231" t="s">
        <v>136</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Type56-1modGZ</v>
      </c>
      <c r="BP231" s="1" t="str">
        <f t="shared" si="78"/>
        <v/>
      </c>
      <c r="BQ231" s="1" t="str">
        <f t="shared" si="79"/>
        <v/>
      </c>
      <c r="BR231" s="1" t="str">
        <f t="shared" si="80"/>
        <v/>
      </c>
      <c r="BS231" s="1" t="str">
        <f t="shared" si="81"/>
        <v/>
      </c>
    </row>
    <row r="232" spans="48:71" x14ac:dyDescent="0.25">
      <c r="AV232" t="s">
        <v>118</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Type63</v>
      </c>
      <c r="BP232" s="1" t="str">
        <f t="shared" si="78"/>
        <v/>
      </c>
      <c r="BQ232" s="1" t="str">
        <f t="shared" si="79"/>
        <v/>
      </c>
      <c r="BR232" s="1" t="str">
        <f t="shared" si="80"/>
        <v/>
      </c>
      <c r="BS232" s="1" t="str">
        <f t="shared" si="81"/>
        <v/>
      </c>
    </row>
    <row r="233" spans="48:71" x14ac:dyDescent="0.25">
      <c r="AV233" t="s">
        <v>741</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Type64</v>
      </c>
      <c r="BP233" s="1" t="str">
        <f t="shared" si="78"/>
        <v/>
      </c>
      <c r="BQ233" s="1" t="str">
        <f t="shared" si="79"/>
        <v/>
      </c>
      <c r="BR233" s="1" t="str">
        <f t="shared" si="80"/>
        <v/>
      </c>
      <c r="BS233" s="1" t="str">
        <f t="shared" si="81"/>
        <v/>
      </c>
    </row>
    <row r="234" spans="48:71" x14ac:dyDescent="0.25">
      <c r="AV234" t="s">
        <v>8125</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Type64Mod</v>
      </c>
      <c r="BP234" s="1" t="str">
        <f t="shared" si="78"/>
        <v/>
      </c>
      <c r="BQ234" s="1" t="str">
        <f t="shared" si="79"/>
        <v/>
      </c>
      <c r="BR234" s="1" t="str">
        <f t="shared" si="80"/>
        <v/>
      </c>
      <c r="BS234" s="1" t="str">
        <f t="shared" si="81"/>
        <v/>
      </c>
    </row>
    <row r="235" spans="48:71" x14ac:dyDescent="0.25">
      <c r="AV235" t="s">
        <v>834</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Type64ModGZ</v>
      </c>
      <c r="BP235" s="1" t="str">
        <f t="shared" si="78"/>
        <v/>
      </c>
      <c r="BQ235" s="1" t="str">
        <f t="shared" si="79"/>
        <v/>
      </c>
      <c r="BR235" s="1" t="str">
        <f t="shared" si="80"/>
        <v/>
      </c>
      <c r="BS235" s="1" t="str">
        <f t="shared" si="81"/>
        <v/>
      </c>
    </row>
    <row r="236" spans="48:71" x14ac:dyDescent="0.25">
      <c r="AV236" t="s">
        <v>119</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Type80Mod</v>
      </c>
      <c r="BP236" s="1" t="str">
        <f t="shared" si="78"/>
        <v/>
      </c>
      <c r="BQ236" s="1" t="str">
        <f t="shared" si="79"/>
        <v/>
      </c>
      <c r="BR236" s="1" t="str">
        <f t="shared" si="80"/>
        <v/>
      </c>
      <c r="BS236" s="1" t="str">
        <f t="shared" si="81"/>
        <v/>
      </c>
    </row>
    <row r="237" spans="48:71" x14ac:dyDescent="0.25">
      <c r="AV237" t="s">
        <v>839</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Type88</v>
      </c>
      <c r="BP237" s="1" t="str">
        <f t="shared" si="78"/>
        <v/>
      </c>
      <c r="BQ237" s="1" t="str">
        <f t="shared" si="79"/>
        <v/>
      </c>
      <c r="BR237" s="1" t="str">
        <f t="shared" si="80"/>
        <v/>
      </c>
      <c r="BS237" s="1" t="str">
        <f t="shared" si="81"/>
        <v/>
      </c>
    </row>
    <row r="238" spans="48:71" x14ac:dyDescent="0.25">
      <c r="AV238" t="s">
        <v>8341</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Type88Mod</v>
      </c>
      <c r="BP238" s="1" t="str">
        <f t="shared" si="78"/>
        <v/>
      </c>
      <c r="BQ238" s="1" t="str">
        <f t="shared" si="79"/>
        <v/>
      </c>
      <c r="BR238" s="1" t="str">
        <f t="shared" si="80"/>
        <v/>
      </c>
      <c r="BS238" s="1" t="str">
        <f t="shared" si="81"/>
        <v/>
      </c>
    </row>
    <row r="239" spans="48:71" x14ac:dyDescent="0.25">
      <c r="AV239" t="s">
        <v>6759</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Type88ModGZ</v>
      </c>
      <c r="BP239" s="1" t="str">
        <f t="shared" si="78"/>
        <v/>
      </c>
      <c r="BQ239" s="1" t="str">
        <f t="shared" si="79"/>
        <v/>
      </c>
      <c r="BR239" s="1" t="str">
        <f t="shared" si="80"/>
        <v/>
      </c>
      <c r="BS239" s="1" t="str">
        <f t="shared" si="81"/>
        <v/>
      </c>
    </row>
    <row r="240" spans="48:71" x14ac:dyDescent="0.25">
      <c r="AV240" t="s">
        <v>712</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Type92mod</v>
      </c>
      <c r="BP240" s="1" t="str">
        <f t="shared" si="78"/>
        <v/>
      </c>
      <c r="BQ240" s="1" t="str">
        <f t="shared" si="79"/>
        <v/>
      </c>
      <c r="BR240" s="1" t="str">
        <f t="shared" si="80"/>
        <v/>
      </c>
      <c r="BS240" s="1" t="str">
        <f t="shared" si="81"/>
        <v/>
      </c>
    </row>
    <row r="241" spans="48:71" x14ac:dyDescent="0.25">
      <c r="AV241" t="s">
        <v>734</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Type95/97</v>
      </c>
      <c r="BP241" s="1" t="str">
        <f t="shared" si="78"/>
        <v/>
      </c>
      <c r="BQ241" s="1" t="str">
        <f t="shared" si="79"/>
        <v/>
      </c>
      <c r="BR241" s="1" t="str">
        <f t="shared" si="80"/>
        <v/>
      </c>
      <c r="BS241" s="1" t="str">
        <f t="shared" si="81"/>
        <v/>
      </c>
    </row>
    <row r="242" spans="48:71" x14ac:dyDescent="0.25">
      <c r="AV242" t="s">
        <v>8709</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Type97SMod</v>
      </c>
      <c r="BP242" s="1" t="str">
        <f t="shared" si="78"/>
        <v/>
      </c>
      <c r="BQ242" s="1" t="str">
        <f t="shared" si="79"/>
        <v/>
      </c>
      <c r="BR242" s="1" t="str">
        <f t="shared" si="80"/>
        <v/>
      </c>
      <c r="BS242" s="1" t="str">
        <f t="shared" si="81"/>
        <v/>
      </c>
    </row>
    <row r="243" spans="48:71" x14ac:dyDescent="0.25">
      <c r="AV243" t="s">
        <v>1652</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Type97SModGZ</v>
      </c>
      <c r="BP243" s="1" t="str">
        <f t="shared" si="78"/>
        <v/>
      </c>
      <c r="BQ243" s="1" t="str">
        <f t="shared" si="79"/>
        <v/>
      </c>
      <c r="BR243" s="1" t="str">
        <f t="shared" si="80"/>
        <v/>
      </c>
      <c r="BS243" s="1" t="str">
        <f t="shared" si="81"/>
        <v/>
      </c>
    </row>
    <row r="244" spans="48:71" x14ac:dyDescent="0.25">
      <c r="AV244" t="s">
        <v>731</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UKM2000</v>
      </c>
      <c r="BP244" s="1" t="str">
        <f t="shared" si="78"/>
        <v/>
      </c>
      <c r="BQ244" s="1" t="str">
        <f t="shared" si="79"/>
        <v/>
      </c>
      <c r="BR244" s="1" t="str">
        <f t="shared" si="80"/>
        <v/>
      </c>
      <c r="BS244" s="1" t="str">
        <f t="shared" si="81"/>
        <v/>
      </c>
    </row>
    <row r="245" spans="48:71" x14ac:dyDescent="0.25">
      <c r="AV245" t="s">
        <v>265</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UMP</v>
      </c>
      <c r="BP245" s="1" t="str">
        <f t="shared" si="78"/>
        <v/>
      </c>
      <c r="BQ245" s="1" t="str">
        <f t="shared" si="79"/>
        <v/>
      </c>
      <c r="BR245" s="1" t="str">
        <f t="shared" si="80"/>
        <v/>
      </c>
      <c r="BS245" s="1" t="str">
        <f t="shared" si="81"/>
        <v/>
      </c>
    </row>
    <row r="246" spans="48:71" x14ac:dyDescent="0.25">
      <c r="AV246" t="s">
        <v>8164</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UMP45Mod</v>
      </c>
      <c r="BP246" s="1" t="str">
        <f t="shared" si="78"/>
        <v/>
      </c>
      <c r="BQ246" s="1" t="str">
        <f t="shared" si="79"/>
        <v/>
      </c>
      <c r="BR246" s="1" t="str">
        <f t="shared" si="80"/>
        <v/>
      </c>
      <c r="BS246" s="1" t="str">
        <f t="shared" si="81"/>
        <v/>
      </c>
    </row>
    <row r="247" spans="48:71" x14ac:dyDescent="0.25">
      <c r="AV247" t="s">
        <v>264</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UMP45ModGZ</v>
      </c>
      <c r="BP247" s="1" t="str">
        <f t="shared" si="78"/>
        <v/>
      </c>
      <c r="BQ247" s="1" t="str">
        <f t="shared" si="79"/>
        <v/>
      </c>
      <c r="BR247" s="1" t="str">
        <f t="shared" si="80"/>
        <v/>
      </c>
      <c r="BS247" s="1" t="str">
        <f t="shared" si="81"/>
        <v/>
      </c>
    </row>
    <row r="248" spans="48:71" x14ac:dyDescent="0.25">
      <c r="AV248" t="s">
        <v>8165</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UMP9Mod</v>
      </c>
      <c r="BP248" s="1" t="str">
        <f t="shared" si="78"/>
        <v/>
      </c>
      <c r="BQ248" s="1" t="str">
        <f t="shared" si="79"/>
        <v/>
      </c>
      <c r="BR248" s="1" t="str">
        <f t="shared" si="80"/>
        <v/>
      </c>
      <c r="BS248" s="1" t="str">
        <f t="shared" si="81"/>
        <v/>
      </c>
    </row>
    <row r="249" spans="48:71" x14ac:dyDescent="0.25">
      <c r="AV249" t="s">
        <v>97</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UMP9ModGZ</v>
      </c>
      <c r="BP249" s="1" t="str">
        <f t="shared" si="78"/>
        <v/>
      </c>
      <c r="BQ249" s="1" t="str">
        <f t="shared" si="79"/>
        <v/>
      </c>
      <c r="BR249" s="1" t="str">
        <f t="shared" si="80"/>
        <v/>
      </c>
      <c r="BS249" s="1" t="str">
        <f t="shared" si="81"/>
        <v/>
      </c>
    </row>
    <row r="250" spans="48:71" x14ac:dyDescent="0.25">
      <c r="AV250" t="s">
        <v>1669</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VM59</v>
      </c>
      <c r="BP250" s="1" t="str">
        <f t="shared" si="78"/>
        <v/>
      </c>
      <c r="BQ250" s="1" t="str">
        <f t="shared" si="79"/>
        <v/>
      </c>
      <c r="BR250" s="1" t="str">
        <f t="shared" si="80"/>
        <v/>
      </c>
      <c r="BS250" s="1" t="str">
        <f t="shared" si="81"/>
        <v/>
      </c>
    </row>
    <row r="251" spans="48:71" x14ac:dyDescent="0.25">
      <c r="AV251" t="s">
        <v>95</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VSK94</v>
      </c>
      <c r="BP251" s="1" t="str">
        <f t="shared" si="78"/>
        <v/>
      </c>
      <c r="BQ251" s="1" t="str">
        <f t="shared" si="79"/>
        <v/>
      </c>
      <c r="BR251" s="1" t="str">
        <f t="shared" si="80"/>
        <v/>
      </c>
      <c r="BS251" s="1" t="str">
        <f t="shared" si="81"/>
        <v/>
      </c>
    </row>
    <row r="252" spans="48:71" x14ac:dyDescent="0.25">
      <c r="AV252" t="s">
        <v>835</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WA2000</v>
      </c>
      <c r="BP252" s="1" t="str">
        <f t="shared" si="78"/>
        <v/>
      </c>
      <c r="BQ252" s="1" t="str">
        <f t="shared" si="79"/>
        <v/>
      </c>
      <c r="BR252" s="1" t="str">
        <f t="shared" si="80"/>
        <v/>
      </c>
      <c r="BS252" s="1" t="str">
        <f t="shared" si="81"/>
        <v/>
      </c>
    </row>
    <row r="253" spans="48:71" x14ac:dyDescent="0.25">
      <c r="AV253" t="s">
        <v>929</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Welrod MkIIMod</v>
      </c>
      <c r="BP253" s="1" t="str">
        <f t="shared" si="78"/>
        <v/>
      </c>
      <c r="BQ253" s="1" t="str">
        <f t="shared" si="79"/>
        <v/>
      </c>
      <c r="BR253" s="1" t="str">
        <f t="shared" si="80"/>
        <v/>
      </c>
      <c r="BS253" s="1" t="str">
        <f t="shared" si="81"/>
        <v/>
      </c>
    </row>
    <row r="254" spans="48:71" x14ac:dyDescent="0.25">
      <c r="AV254" t="s">
        <v>5737</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XM3Mod</v>
      </c>
      <c r="BP254" s="1" t="str">
        <f t="shared" si="78"/>
        <v/>
      </c>
      <c r="BQ254" s="1" t="str">
        <f t="shared" si="79"/>
        <v/>
      </c>
      <c r="BR254" s="1" t="str">
        <f t="shared" si="80"/>
        <v/>
      </c>
      <c r="BS254" s="1" t="str">
        <f t="shared" si="81"/>
        <v/>
      </c>
    </row>
    <row r="255" spans="48:71" x14ac:dyDescent="0.25">
      <c r="AV255" t="s">
        <v>1691</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XM8Mod</v>
      </c>
      <c r="BP255" s="1" t="str">
        <f t="shared" si="78"/>
        <v/>
      </c>
      <c r="BQ255" s="1" t="str">
        <f t="shared" si="79"/>
        <v/>
      </c>
      <c r="BR255" s="1" t="str">
        <f t="shared" si="80"/>
        <v/>
      </c>
      <c r="BS255" s="1" t="str">
        <f t="shared" si="81"/>
        <v/>
      </c>
    </row>
    <row r="256" spans="48:71" x14ac:dyDescent="0.25">
      <c r="AV256" t="s">
        <v>7016</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Yurine</v>
      </c>
      <c r="BP256" s="1" t="str">
        <f t="shared" si="78"/>
        <v/>
      </c>
      <c r="BQ256" s="1" t="str">
        <f t="shared" si="79"/>
        <v/>
      </c>
      <c r="BR256" s="1" t="str">
        <f t="shared" si="80"/>
        <v/>
      </c>
      <c r="BS256" s="1" t="str">
        <f t="shared" si="81"/>
        <v/>
      </c>
    </row>
    <row r="257" spans="52:71" x14ac:dyDescent="0.25">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Yuugiri</v>
      </c>
      <c r="BP257" s="1" t="str">
        <f t="shared" si="78"/>
        <v/>
      </c>
      <c r="BQ257" s="1" t="str">
        <f t="shared" si="79"/>
        <v/>
      </c>
      <c r="BR257" s="1" t="str">
        <f t="shared" si="80"/>
        <v/>
      </c>
      <c r="BS257" s="1" t="str">
        <f t="shared" si="81"/>
        <v/>
      </c>
    </row>
    <row r="258" spans="52:71" x14ac:dyDescent="0.25">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
      </c>
      <c r="BP258" s="1" t="str">
        <f t="shared" si="78"/>
        <v/>
      </c>
      <c r="BQ258" s="1" t="str">
        <f t="shared" si="79"/>
        <v/>
      </c>
      <c r="BR258" s="1" t="str">
        <f t="shared" si="80"/>
        <v/>
      </c>
      <c r="BS258" s="1" t="str">
        <f t="shared" si="81"/>
        <v/>
      </c>
    </row>
    <row r="259" spans="52:71" x14ac:dyDescent="0.25">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
      </c>
      <c r="BP259" s="1" t="str">
        <f t="shared" si="78"/>
        <v/>
      </c>
      <c r="BQ259" s="1" t="str">
        <f t="shared" si="79"/>
        <v/>
      </c>
      <c r="BR259" s="1" t="str">
        <f t="shared" si="80"/>
        <v/>
      </c>
      <c r="BS259" s="1" t="str">
        <f t="shared" si="81"/>
        <v/>
      </c>
    </row>
    <row r="260" spans="52:71" x14ac:dyDescent="0.25">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
      </c>
      <c r="BP260" s="1" t="str">
        <f t="shared" si="83"/>
        <v/>
      </c>
      <c r="BQ260" s="1" t="str">
        <f t="shared" si="83"/>
        <v/>
      </c>
      <c r="BR260" s="1" t="str">
        <f t="shared" si="83"/>
        <v/>
      </c>
      <c r="BS260" s="1" t="str">
        <f t="shared" si="83"/>
        <v/>
      </c>
    </row>
    <row r="261" spans="52:71" x14ac:dyDescent="0.25">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
      </c>
      <c r="BP261" s="1" t="str">
        <f t="shared" si="83"/>
        <v/>
      </c>
      <c r="BQ261" s="1" t="str">
        <f t="shared" si="83"/>
        <v/>
      </c>
      <c r="BR261" s="1" t="str">
        <f t="shared" si="83"/>
        <v/>
      </c>
      <c r="BS261" s="1" t="str">
        <f t="shared" si="83"/>
        <v/>
      </c>
    </row>
    <row r="262" spans="52:71" x14ac:dyDescent="0.25">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
      </c>
      <c r="BP262" s="1" t="str">
        <f t="shared" si="83"/>
        <v/>
      </c>
      <c r="BQ262" s="1" t="str">
        <f t="shared" si="83"/>
        <v/>
      </c>
      <c r="BR262" s="1" t="str">
        <f t="shared" si="83"/>
        <v/>
      </c>
      <c r="BS262" s="1" t="str">
        <f t="shared" si="83"/>
        <v/>
      </c>
    </row>
    <row r="263" spans="52:71" x14ac:dyDescent="0.25">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
      </c>
      <c r="BP263" s="1" t="str">
        <f t="shared" si="83"/>
        <v/>
      </c>
      <c r="BQ263" s="1" t="str">
        <f t="shared" si="83"/>
        <v/>
      </c>
      <c r="BR263" s="1" t="str">
        <f t="shared" si="83"/>
        <v/>
      </c>
      <c r="BS263" s="1" t="str">
        <f t="shared" si="83"/>
        <v/>
      </c>
    </row>
    <row r="264" spans="52:71" x14ac:dyDescent="0.25">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
      </c>
      <c r="BP264" s="1" t="str">
        <f t="shared" si="83"/>
        <v/>
      </c>
      <c r="BQ264" s="1" t="str">
        <f t="shared" si="83"/>
        <v/>
      </c>
      <c r="BR264" s="1" t="str">
        <f t="shared" si="83"/>
        <v/>
      </c>
      <c r="BS264" s="1" t="str">
        <f t="shared" si="83"/>
        <v/>
      </c>
    </row>
    <row r="265" spans="52:71" x14ac:dyDescent="0.25">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
      </c>
      <c r="BP265" s="1" t="str">
        <f t="shared" si="83"/>
        <v/>
      </c>
      <c r="BQ265" s="1" t="str">
        <f t="shared" si="83"/>
        <v/>
      </c>
      <c r="BR265" s="1" t="str">
        <f t="shared" si="83"/>
        <v/>
      </c>
      <c r="BS265" s="1" t="str">
        <f t="shared" si="83"/>
        <v/>
      </c>
    </row>
    <row r="266" spans="52:71" x14ac:dyDescent="0.25">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
      </c>
      <c r="BP266" s="1" t="str">
        <f t="shared" si="83"/>
        <v/>
      </c>
      <c r="BQ266" s="1" t="str">
        <f t="shared" si="83"/>
        <v/>
      </c>
      <c r="BR266" s="1" t="str">
        <f t="shared" si="83"/>
        <v/>
      </c>
      <c r="BS266" s="1" t="str">
        <f t="shared" si="83"/>
        <v/>
      </c>
    </row>
    <row r="267" spans="52:71" x14ac:dyDescent="0.25">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
      </c>
      <c r="BP267" s="1" t="str">
        <f t="shared" si="83"/>
        <v/>
      </c>
      <c r="BQ267" s="1" t="str">
        <f t="shared" si="83"/>
        <v/>
      </c>
      <c r="BR267" s="1" t="str">
        <f t="shared" si="83"/>
        <v/>
      </c>
      <c r="BS267" s="1" t="str">
        <f t="shared" si="83"/>
        <v/>
      </c>
    </row>
    <row r="268" spans="52:71" x14ac:dyDescent="0.25">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
      </c>
      <c r="BP268" s="1" t="str">
        <f t="shared" si="83"/>
        <v/>
      </c>
      <c r="BQ268" s="1" t="str">
        <f t="shared" si="83"/>
        <v/>
      </c>
      <c r="BR268" s="1" t="str">
        <f t="shared" si="83"/>
        <v/>
      </c>
      <c r="BS268" s="1" t="str">
        <f t="shared" si="83"/>
        <v/>
      </c>
    </row>
    <row r="269" spans="52:71" x14ac:dyDescent="0.25">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
      </c>
      <c r="BP269" s="1" t="str">
        <f t="shared" si="83"/>
        <v/>
      </c>
      <c r="BQ269" s="1" t="str">
        <f t="shared" si="83"/>
        <v/>
      </c>
      <c r="BR269" s="1" t="str">
        <f t="shared" si="83"/>
        <v/>
      </c>
      <c r="BS269" s="1" t="str">
        <f t="shared" si="83"/>
        <v/>
      </c>
    </row>
    <row r="270" spans="52:71" x14ac:dyDescent="0.25">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
      </c>
      <c r="BP270" s="1" t="str">
        <f t="shared" si="83"/>
        <v/>
      </c>
      <c r="BQ270" s="1" t="str">
        <f t="shared" si="83"/>
        <v/>
      </c>
      <c r="BR270" s="1" t="str">
        <f t="shared" si="83"/>
        <v/>
      </c>
      <c r="BS270" s="1" t="str">
        <f t="shared" si="83"/>
        <v/>
      </c>
    </row>
    <row r="271" spans="52:71" x14ac:dyDescent="0.25">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
      </c>
      <c r="BP271" s="1" t="str">
        <f t="shared" si="83"/>
        <v/>
      </c>
      <c r="BQ271" s="1" t="str">
        <f t="shared" si="83"/>
        <v/>
      </c>
      <c r="BR271" s="1" t="str">
        <f t="shared" si="83"/>
        <v/>
      </c>
      <c r="BS271" s="1" t="str">
        <f t="shared" si="83"/>
        <v/>
      </c>
    </row>
    <row r="272" spans="52:71" x14ac:dyDescent="0.25">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
      </c>
      <c r="BP272" s="1" t="str">
        <f t="shared" si="83"/>
        <v/>
      </c>
      <c r="BQ272" s="1" t="str">
        <f t="shared" si="83"/>
        <v/>
      </c>
      <c r="BR272" s="1" t="str">
        <f t="shared" si="83"/>
        <v/>
      </c>
      <c r="BS272" s="1" t="str">
        <f t="shared" si="83"/>
        <v/>
      </c>
    </row>
    <row r="273" spans="52:71" x14ac:dyDescent="0.25">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
      </c>
      <c r="BP273" s="1" t="str">
        <f t="shared" si="83"/>
        <v/>
      </c>
      <c r="BQ273" s="1" t="str">
        <f t="shared" si="83"/>
        <v/>
      </c>
      <c r="BR273" s="1" t="str">
        <f t="shared" si="83"/>
        <v/>
      </c>
      <c r="BS273" s="1" t="str">
        <f t="shared" si="83"/>
        <v/>
      </c>
    </row>
    <row r="274" spans="52: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
      </c>
      <c r="BP274" s="1" t="str">
        <f t="shared" si="83"/>
        <v/>
      </c>
      <c r="BQ274" s="1" t="str">
        <f t="shared" si="83"/>
        <v/>
      </c>
      <c r="BR274" s="1" t="str">
        <f t="shared" si="83"/>
        <v/>
      </c>
      <c r="BS274" s="1" t="str">
        <f t="shared" si="83"/>
        <v/>
      </c>
    </row>
    <row r="275" spans="52: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52: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52: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52: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52: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52: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52: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52: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52: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52: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52: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52: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52: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52: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sheetData>
  <sortState ref="AV2:AV256">
    <sortCondition ref="AV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60576AC-E5F5-4418-8465-753DB03FEAC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HOC Chip Data</vt:lpstr>
      <vt:lpstr>SF Resolution</vt:lpstr>
      <vt:lpstr>Vehicle Tree</vt:lpstr>
      <vt:lpstr>Vehicle Comp</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2024-01-30T17:55:57Z</dcterms:modified>
</cp:coreProperties>
</file>