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8"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09B4B666-112E-4653-8B7C-25174A24D07D}"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HOC Chip Data" sheetId="56" state="hidden" r:id="rId31"/>
    <sheet name="SF Resolution" sheetId="41" state="hidden" r:id="rId32"/>
    <sheet name="Vehicle Tree" sheetId="50" state="hidden" r:id="rId33"/>
    <sheet name="Vehicle Comp" sheetId="51"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1"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2" hidden="1">'Vehicle Tree'!$A$1:$X$31</definedName>
    <definedName name="AllySelection">Main!$H$125:$I$127</definedName>
    <definedName name="BossHP" localSheetId="30">[1]Main!$E$8</definedName>
    <definedName name="BossHP">Main!$E$8</definedName>
    <definedName name="BuildingSelection">Main!$F$125:$G$127</definedName>
    <definedName name="ChipJSONPath">'Misc Inputs'!$C$47</definedName>
    <definedName name="CustomStatInput">Main!$Y$21:$AC$25</definedName>
    <definedName name="DayNight" localSheetId="30">[1]Main!$B$8</definedName>
    <definedName name="DayNight">Main!$B$8</definedName>
    <definedName name="Debuff1" localSheetId="30">'[1]Misc Inputs'!$L$9</definedName>
    <definedName name="Debuff1">'Misc Inputs'!$L$9</definedName>
    <definedName name="Debuff2" localSheetId="30">'[1]Misc Inputs'!$L$10</definedName>
    <definedName name="Debuff2">'Misc Inputs'!$L$10</definedName>
    <definedName name="Debuff3" localSheetId="30">'[1]Misc Inputs'!$L$11</definedName>
    <definedName name="Debuff3">'Misc Inputs'!$L$11</definedName>
    <definedName name="DebuffConfig1" localSheetId="30">'[1]Misc Inputs'!$M$9</definedName>
    <definedName name="DebuffConfig1">'Misc Inputs'!$M$9</definedName>
    <definedName name="DebuffConfig2" localSheetId="30">'[1]Misc Inputs'!$M$10</definedName>
    <definedName name="DebuffConfig2">'Misc Inputs'!$M$10</definedName>
    <definedName name="DebuffConfig3" localSheetId="30">'[1]Misc Inputs'!$M$11</definedName>
    <definedName name="DebuffConfig3">'Misc Inputs'!$M$11</definedName>
    <definedName name="DebuffSelection">Main!$D$125:$E$127</definedName>
    <definedName name="DebuffSL1" localSheetId="30">[1]Main!$C$130</definedName>
    <definedName name="DebuffSL1">Main!$E$125</definedName>
    <definedName name="DebuffSL2" localSheetId="30">[1]Main!$C$131</definedName>
    <definedName name="DebuffSL2">Main!$E$126</definedName>
    <definedName name="DebuffSL3" localSheetId="30">[1]Main!$C$132</definedName>
    <definedName name="DebuffSL3">Main!$E$127</definedName>
    <definedName name="DollJSONPath">'Misc Inputs'!$C$44</definedName>
    <definedName name="EchelonInput">Main!$B$21:$AC$25</definedName>
    <definedName name="EchType" localSheetId="30">[1]Main!$B$7</definedName>
    <definedName name="EchType">Main!$B$7</definedName>
    <definedName name="EnemyHPPercent" localSheetId="30">[1]Main!$E$9</definedName>
    <definedName name="EnemyHPPercent">Main!$E$9</definedName>
    <definedName name="EnemyID" localSheetId="30">[1]Main!$E$7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0">[1]Main!$E$10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0">[1]Main!$E$11</definedName>
    <definedName name="HOCSupport">Main!$E$11</definedName>
    <definedName name="ListOfPresets" localSheetId="30">'[1]Preset Teams'!$A$4:$A$1048576</definedName>
    <definedName name="ListOfPresets">'Preset Teams'!$A$4:$A$1048576</definedName>
    <definedName name="ListOfPresetsSF" localSheetId="30">'[1]Preset Teams SF'!$A$4:$A$1048576</definedName>
    <definedName name="ListOfPresetsSF">'Preset Teams SF'!$A$4:$A$1048576</definedName>
    <definedName name="MissionJSON">'Misc Inputs'!$C$49</definedName>
    <definedName name="NodeColor" localSheetId="30">[1]Main!$B$9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0">[1]Main!$B$11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0">'[1]Misc Inputs'!$G$9</definedName>
    <definedName name="StratBuff1">'Misc Inputs'!$G$9</definedName>
    <definedName name="StratBuff2" localSheetId="30">'[1]Misc Inputs'!$G$10</definedName>
    <definedName name="StratBuff2">'Misc Inputs'!$G$10</definedName>
    <definedName name="StratBuff3" localSheetId="30">'[1]Misc Inputs'!$G$11</definedName>
    <definedName name="StratBuff3">'Misc Inputs'!$G$11</definedName>
    <definedName name="StratConfig1" localSheetId="30">'[1]Misc Inputs'!$H$9</definedName>
    <definedName name="StratConfig1">'Misc Inputs'!$H$9</definedName>
    <definedName name="StratConfig2" localSheetId="30">'[1]Misc Inputs'!$H$10</definedName>
    <definedName name="StratConfig2">'Misc Inputs'!$H$10</definedName>
    <definedName name="StratConfig3" localSheetId="30">'[1]Misc Inputs'!$H$11</definedName>
    <definedName name="StratConfig3">'Misc Inputs'!$H$11</definedName>
    <definedName name="StrategyInput">Main!$B$125:$C$127</definedName>
    <definedName name="StratSL1" localSheetId="30">[1]Main!$C$124</definedName>
    <definedName name="StratSL1">Main!$C$125</definedName>
    <definedName name="StratSL2" localSheetId="30">[1]Main!$C$125</definedName>
    <definedName name="StratSL2">Main!$C$126</definedName>
    <definedName name="StratSL3" localSheetId="30">[1]Main!$C$126</definedName>
    <definedName name="StratSL3">Main!$C$127</definedName>
    <definedName name="ThreeStack">'Misc Inputs'!$C$11</definedName>
    <definedName name="TurnNum" localSheetId="30">[1]Main!$B$10</definedName>
    <definedName name="TurnNum">Main!$B$10</definedName>
    <definedName name="TwoStack">'Misc Inputs'!$C$10</definedName>
    <definedName name="UseCustomStats" localSheetId="30">[1]Main!$AC$19</definedName>
    <definedName name="UseCustomStats">Main!$AC$19</definedName>
    <definedName name="UseSFCustomHP" localSheetId="30">[1]Main!$Q$58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0">[1]Main!$B$12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Z334" i="2" l="1"/>
  <c r="BA334" i="2"/>
  <c r="BB334" i="2"/>
  <c r="BC334" i="2"/>
  <c r="BD334" i="2"/>
  <c r="BE334" i="2"/>
  <c r="BF334" i="2"/>
  <c r="BG334" i="2"/>
  <c r="BH334" i="2"/>
  <c r="BI334" i="2"/>
  <c r="BJ334" i="2"/>
  <c r="BK334" i="2"/>
  <c r="BL334" i="2"/>
  <c r="BM334" i="2"/>
  <c r="BN334" i="2"/>
  <c r="BO334" i="2"/>
  <c r="BP334" i="2"/>
  <c r="BQ334" i="2"/>
  <c r="BR334" i="2"/>
  <c r="BS334" i="2"/>
  <c r="AZ335" i="2"/>
  <c r="BA335" i="2"/>
  <c r="BB335" i="2"/>
  <c r="BC335" i="2"/>
  <c r="BD335" i="2"/>
  <c r="BE335" i="2"/>
  <c r="BF335" i="2"/>
  <c r="BG335" i="2"/>
  <c r="BH335" i="2"/>
  <c r="BI335" i="2"/>
  <c r="BJ335" i="2"/>
  <c r="BK335" i="2"/>
  <c r="BL335" i="2"/>
  <c r="BM335" i="2"/>
  <c r="BN335" i="2"/>
  <c r="BO335" i="2"/>
  <c r="BP335" i="2"/>
  <c r="BQ335" i="2"/>
  <c r="BR335" i="2"/>
  <c r="BS335" i="2"/>
  <c r="AZ336" i="2"/>
  <c r="BA336" i="2"/>
  <c r="BB336" i="2"/>
  <c r="BC336" i="2"/>
  <c r="BD336" i="2"/>
  <c r="BE336" i="2"/>
  <c r="BF336" i="2"/>
  <c r="BG336" i="2"/>
  <c r="BH336" i="2"/>
  <c r="BI336" i="2"/>
  <c r="BJ336" i="2"/>
  <c r="BK336" i="2"/>
  <c r="BL336" i="2"/>
  <c r="BM336" i="2"/>
  <c r="BN336" i="2"/>
  <c r="BO336" i="2"/>
  <c r="BP336" i="2"/>
  <c r="BQ336" i="2"/>
  <c r="BR336" i="2"/>
  <c r="BS336" i="2"/>
  <c r="AZ337" i="2"/>
  <c r="BA337" i="2"/>
  <c r="BB337" i="2"/>
  <c r="BC337" i="2"/>
  <c r="BD337" i="2"/>
  <c r="BE337" i="2"/>
  <c r="BF337" i="2"/>
  <c r="BG337" i="2"/>
  <c r="BH337" i="2"/>
  <c r="BI337" i="2"/>
  <c r="BJ337" i="2"/>
  <c r="BK337" i="2"/>
  <c r="BL337" i="2"/>
  <c r="BM337" i="2"/>
  <c r="BN337" i="2"/>
  <c r="BO337" i="2"/>
  <c r="BP337" i="2"/>
  <c r="BQ337" i="2"/>
  <c r="BR337" i="2"/>
  <c r="BS337" i="2"/>
  <c r="AZ338" i="2"/>
  <c r="BA338" i="2"/>
  <c r="BB338" i="2"/>
  <c r="BC338" i="2"/>
  <c r="BD338" i="2"/>
  <c r="BE338" i="2"/>
  <c r="BF338" i="2"/>
  <c r="BG338" i="2"/>
  <c r="BH338" i="2"/>
  <c r="BI338" i="2"/>
  <c r="BJ338" i="2"/>
  <c r="BK338" i="2"/>
  <c r="BL338" i="2"/>
  <c r="BM338" i="2"/>
  <c r="BN338" i="2"/>
  <c r="BO338" i="2"/>
  <c r="BP338" i="2"/>
  <c r="BQ338" i="2"/>
  <c r="BR338" i="2"/>
  <c r="BS338" i="2"/>
  <c r="AZ339" i="2"/>
  <c r="BA339" i="2"/>
  <c r="BB339" i="2"/>
  <c r="BC339" i="2"/>
  <c r="BD339" i="2"/>
  <c r="BE339" i="2"/>
  <c r="BF339" i="2"/>
  <c r="BG339" i="2"/>
  <c r="BH339" i="2"/>
  <c r="BI339" i="2"/>
  <c r="BJ339" i="2"/>
  <c r="BK339" i="2"/>
  <c r="BL339" i="2"/>
  <c r="BM339" i="2"/>
  <c r="BN339" i="2"/>
  <c r="BO339" i="2"/>
  <c r="BP339" i="2"/>
  <c r="BQ339" i="2"/>
  <c r="BR339" i="2"/>
  <c r="BS339" i="2"/>
  <c r="AZ340" i="2"/>
  <c r="BA340" i="2"/>
  <c r="BB340" i="2"/>
  <c r="BC340" i="2"/>
  <c r="BD340" i="2"/>
  <c r="BE340" i="2"/>
  <c r="BF340" i="2"/>
  <c r="BG340" i="2"/>
  <c r="BH340" i="2"/>
  <c r="BI340" i="2"/>
  <c r="BJ340" i="2"/>
  <c r="BK340" i="2"/>
  <c r="BL340" i="2"/>
  <c r="BM340" i="2"/>
  <c r="BN340" i="2"/>
  <c r="BO340" i="2"/>
  <c r="BP340" i="2"/>
  <c r="BQ340" i="2"/>
  <c r="BR340" i="2"/>
  <c r="BS340" i="2"/>
  <c r="AZ341" i="2"/>
  <c r="BA341" i="2"/>
  <c r="BB341" i="2"/>
  <c r="BC341" i="2"/>
  <c r="BD341" i="2"/>
  <c r="BE341" i="2"/>
  <c r="BF341" i="2"/>
  <c r="BG341" i="2"/>
  <c r="BH341" i="2"/>
  <c r="BI341" i="2"/>
  <c r="BJ341" i="2"/>
  <c r="BK341" i="2"/>
  <c r="BL341" i="2"/>
  <c r="BM341" i="2"/>
  <c r="BN341" i="2"/>
  <c r="BO341" i="2"/>
  <c r="BP341" i="2"/>
  <c r="BQ341" i="2"/>
  <c r="BR341" i="2"/>
  <c r="BS341" i="2"/>
  <c r="AZ342" i="2"/>
  <c r="BA342" i="2"/>
  <c r="BB342" i="2"/>
  <c r="BC342" i="2"/>
  <c r="BD342" i="2"/>
  <c r="BE342" i="2"/>
  <c r="BF342" i="2"/>
  <c r="BG342" i="2"/>
  <c r="BH342" i="2"/>
  <c r="BI342" i="2"/>
  <c r="BJ342" i="2"/>
  <c r="BK342" i="2"/>
  <c r="BL342" i="2"/>
  <c r="BM342" i="2"/>
  <c r="BN342" i="2"/>
  <c r="BO342" i="2"/>
  <c r="BP342" i="2"/>
  <c r="BQ342" i="2"/>
  <c r="BR342" i="2"/>
  <c r="BS342" i="2"/>
  <c r="AZ343" i="2"/>
  <c r="BA343" i="2"/>
  <c r="BB343" i="2"/>
  <c r="BC343" i="2"/>
  <c r="BD343" i="2"/>
  <c r="BE343" i="2"/>
  <c r="BF343" i="2"/>
  <c r="BG343" i="2"/>
  <c r="BH343" i="2"/>
  <c r="BI343" i="2"/>
  <c r="BJ343" i="2"/>
  <c r="BK343" i="2"/>
  <c r="BL343" i="2"/>
  <c r="BM343" i="2"/>
  <c r="BN343" i="2"/>
  <c r="BO343" i="2"/>
  <c r="BP343" i="2"/>
  <c r="BQ343" i="2"/>
  <c r="BR343" i="2"/>
  <c r="BS343" i="2"/>
  <c r="AZ344" i="2"/>
  <c r="BA344" i="2"/>
  <c r="BB344" i="2"/>
  <c r="BC344" i="2"/>
  <c r="BD344" i="2"/>
  <c r="BE344" i="2"/>
  <c r="BF344" i="2"/>
  <c r="BG344" i="2"/>
  <c r="BH344" i="2"/>
  <c r="BI344" i="2"/>
  <c r="BJ344" i="2"/>
  <c r="BK344" i="2"/>
  <c r="BL344" i="2"/>
  <c r="BM344" i="2"/>
  <c r="BN344" i="2"/>
  <c r="BO344" i="2"/>
  <c r="BP344" i="2"/>
  <c r="BQ344" i="2"/>
  <c r="BR344" i="2"/>
  <c r="BS344" i="2"/>
  <c r="AZ345" i="2"/>
  <c r="BA345" i="2"/>
  <c r="BB345" i="2"/>
  <c r="BC345" i="2"/>
  <c r="BD345" i="2"/>
  <c r="BE345" i="2"/>
  <c r="BF345" i="2"/>
  <c r="BG345" i="2"/>
  <c r="BH345" i="2"/>
  <c r="BI345" i="2"/>
  <c r="BJ345" i="2"/>
  <c r="BK345" i="2"/>
  <c r="BL345" i="2"/>
  <c r="BM345" i="2"/>
  <c r="BN345" i="2"/>
  <c r="BO345" i="2"/>
  <c r="BP345" i="2"/>
  <c r="BQ345" i="2"/>
  <c r="BR345" i="2"/>
  <c r="BS345" i="2"/>
  <c r="AZ346" i="2"/>
  <c r="BA346" i="2"/>
  <c r="BB346" i="2"/>
  <c r="BC346" i="2"/>
  <c r="BD346" i="2"/>
  <c r="BE346" i="2"/>
  <c r="BF346" i="2"/>
  <c r="BG346" i="2"/>
  <c r="BH346" i="2"/>
  <c r="BI346" i="2"/>
  <c r="BJ346" i="2"/>
  <c r="BK346" i="2"/>
  <c r="BL346" i="2"/>
  <c r="BM346" i="2"/>
  <c r="BN346" i="2"/>
  <c r="BO346" i="2"/>
  <c r="BP346" i="2"/>
  <c r="BQ346" i="2"/>
  <c r="BR346" i="2"/>
  <c r="BS346" i="2"/>
  <c r="AZ347" i="2"/>
  <c r="BA347" i="2"/>
  <c r="BB347" i="2"/>
  <c r="BC347" i="2"/>
  <c r="BD347" i="2"/>
  <c r="BE347" i="2"/>
  <c r="BF347" i="2"/>
  <c r="BG347" i="2"/>
  <c r="BH347" i="2"/>
  <c r="BI347" i="2"/>
  <c r="BJ347" i="2"/>
  <c r="BK347" i="2"/>
  <c r="BL347" i="2"/>
  <c r="BM347" i="2"/>
  <c r="BN347" i="2"/>
  <c r="BO347" i="2"/>
  <c r="BP347" i="2"/>
  <c r="BQ347" i="2"/>
  <c r="BR347" i="2"/>
  <c r="BS347" i="2"/>
  <c r="AZ348" i="2"/>
  <c r="BA348" i="2"/>
  <c r="BB348" i="2"/>
  <c r="BC348" i="2"/>
  <c r="BD348" i="2"/>
  <c r="BE348" i="2"/>
  <c r="BF348" i="2"/>
  <c r="BG348" i="2"/>
  <c r="BH348" i="2"/>
  <c r="BI348" i="2"/>
  <c r="BJ348" i="2"/>
  <c r="BK348" i="2"/>
  <c r="BL348" i="2"/>
  <c r="BM348" i="2"/>
  <c r="BN348" i="2"/>
  <c r="BO348" i="2"/>
  <c r="BP348" i="2"/>
  <c r="BQ348" i="2"/>
  <c r="BR348" i="2"/>
  <c r="BS348" i="2"/>
  <c r="AZ349" i="2"/>
  <c r="BA349" i="2"/>
  <c r="BB349" i="2"/>
  <c r="BC349" i="2"/>
  <c r="BD349" i="2"/>
  <c r="BE349" i="2"/>
  <c r="BF349" i="2"/>
  <c r="BG349" i="2"/>
  <c r="BH349" i="2"/>
  <c r="BI349" i="2"/>
  <c r="BJ349" i="2"/>
  <c r="BK349" i="2"/>
  <c r="BL349" i="2"/>
  <c r="BM349" i="2"/>
  <c r="BN349" i="2"/>
  <c r="BO349" i="2"/>
  <c r="BP349" i="2"/>
  <c r="BQ349" i="2"/>
  <c r="BR349" i="2"/>
  <c r="BS349" i="2"/>
  <c r="AZ350" i="2"/>
  <c r="BA350" i="2"/>
  <c r="BB350" i="2"/>
  <c r="BC350" i="2"/>
  <c r="BD350" i="2"/>
  <c r="BE350" i="2"/>
  <c r="BF350" i="2"/>
  <c r="BG350" i="2"/>
  <c r="BH350" i="2"/>
  <c r="BI350" i="2"/>
  <c r="BJ350" i="2"/>
  <c r="BK350" i="2"/>
  <c r="BL350" i="2"/>
  <c r="BM350" i="2"/>
  <c r="BN350" i="2"/>
  <c r="BO350" i="2"/>
  <c r="BP350" i="2"/>
  <c r="BQ350" i="2"/>
  <c r="BR350" i="2"/>
  <c r="BS350" i="2"/>
  <c r="AZ351" i="2"/>
  <c r="BA351" i="2"/>
  <c r="BB351" i="2"/>
  <c r="BC351" i="2"/>
  <c r="BD351" i="2"/>
  <c r="BE351" i="2"/>
  <c r="BF351" i="2"/>
  <c r="BG351" i="2"/>
  <c r="BH351" i="2"/>
  <c r="BI351" i="2"/>
  <c r="BJ351" i="2"/>
  <c r="BK351" i="2"/>
  <c r="BL351" i="2"/>
  <c r="BM351" i="2"/>
  <c r="BN351" i="2"/>
  <c r="BO351" i="2"/>
  <c r="BP351" i="2"/>
  <c r="BQ351" i="2"/>
  <c r="BR351" i="2"/>
  <c r="BS351" i="2"/>
  <c r="AZ352" i="2"/>
  <c r="BA352" i="2"/>
  <c r="BB352" i="2"/>
  <c r="BC352" i="2"/>
  <c r="BD352" i="2"/>
  <c r="BE352" i="2"/>
  <c r="BF352" i="2"/>
  <c r="BG352" i="2"/>
  <c r="BH352" i="2"/>
  <c r="BI352" i="2"/>
  <c r="BJ352" i="2"/>
  <c r="BK352" i="2"/>
  <c r="BL352" i="2"/>
  <c r="BM352" i="2"/>
  <c r="BN352" i="2"/>
  <c r="BO352" i="2"/>
  <c r="BP352" i="2"/>
  <c r="BQ352" i="2"/>
  <c r="BR352" i="2"/>
  <c r="BS352" i="2"/>
  <c r="AZ353" i="2"/>
  <c r="BA353" i="2"/>
  <c r="BB353" i="2"/>
  <c r="BC353" i="2"/>
  <c r="BD353" i="2"/>
  <c r="BE353" i="2"/>
  <c r="BF353" i="2"/>
  <c r="BG353" i="2"/>
  <c r="BH353" i="2"/>
  <c r="BI353" i="2"/>
  <c r="BJ353" i="2"/>
  <c r="BK353" i="2"/>
  <c r="BL353" i="2"/>
  <c r="BM353" i="2"/>
  <c r="BN353" i="2"/>
  <c r="BO353" i="2"/>
  <c r="BP353" i="2"/>
  <c r="BQ353" i="2"/>
  <c r="BR353" i="2"/>
  <c r="BS353" i="2"/>
  <c r="AZ354" i="2"/>
  <c r="BA354" i="2"/>
  <c r="BB354" i="2"/>
  <c r="BC354" i="2"/>
  <c r="BD354" i="2"/>
  <c r="BE354" i="2"/>
  <c r="BF354" i="2"/>
  <c r="BG354" i="2"/>
  <c r="BH354" i="2"/>
  <c r="BI354" i="2"/>
  <c r="BJ354" i="2"/>
  <c r="BK354" i="2"/>
  <c r="BL354" i="2"/>
  <c r="BM354" i="2"/>
  <c r="BN354" i="2"/>
  <c r="BO354" i="2"/>
  <c r="BP354" i="2"/>
  <c r="BQ354" i="2"/>
  <c r="BR354" i="2"/>
  <c r="BS354" i="2"/>
  <c r="AZ355" i="2"/>
  <c r="BA355" i="2"/>
  <c r="BB355" i="2"/>
  <c r="BC355" i="2"/>
  <c r="BD355" i="2"/>
  <c r="BE355" i="2"/>
  <c r="BF355" i="2"/>
  <c r="BG355" i="2"/>
  <c r="BH355" i="2"/>
  <c r="BI355" i="2"/>
  <c r="BJ355" i="2"/>
  <c r="BK355" i="2"/>
  <c r="BL355" i="2"/>
  <c r="BM355" i="2"/>
  <c r="BN355" i="2"/>
  <c r="BO355" i="2"/>
  <c r="BP355" i="2"/>
  <c r="BQ355" i="2"/>
  <c r="BR355" i="2"/>
  <c r="BS355" i="2"/>
  <c r="AZ356" i="2"/>
  <c r="BA356" i="2"/>
  <c r="BB356" i="2"/>
  <c r="BC356" i="2"/>
  <c r="BD356" i="2"/>
  <c r="BE356" i="2"/>
  <c r="BF356" i="2"/>
  <c r="BG356" i="2"/>
  <c r="BH356" i="2"/>
  <c r="BI356" i="2"/>
  <c r="BJ356" i="2"/>
  <c r="BK356" i="2"/>
  <c r="BL356" i="2"/>
  <c r="BM356" i="2"/>
  <c r="BN356" i="2"/>
  <c r="BO356" i="2"/>
  <c r="BP356" i="2"/>
  <c r="BQ356" i="2"/>
  <c r="BR356" i="2"/>
  <c r="BS356" i="2"/>
  <c r="AZ357" i="2"/>
  <c r="BA357" i="2"/>
  <c r="BB357" i="2"/>
  <c r="BC357" i="2"/>
  <c r="BD357" i="2"/>
  <c r="BE357" i="2"/>
  <c r="BF357" i="2"/>
  <c r="BG357" i="2"/>
  <c r="BH357" i="2"/>
  <c r="BI357" i="2"/>
  <c r="BJ357" i="2"/>
  <c r="BK357" i="2"/>
  <c r="BL357" i="2"/>
  <c r="BM357" i="2"/>
  <c r="BN357" i="2"/>
  <c r="BO357" i="2"/>
  <c r="BP357" i="2"/>
  <c r="BQ357" i="2"/>
  <c r="BR357" i="2"/>
  <c r="BS357" i="2"/>
  <c r="AZ358" i="2"/>
  <c r="BA358" i="2"/>
  <c r="BB358" i="2"/>
  <c r="BC358" i="2"/>
  <c r="BD358" i="2"/>
  <c r="BE358" i="2"/>
  <c r="BF358" i="2"/>
  <c r="BG358" i="2"/>
  <c r="BH358" i="2"/>
  <c r="BI358" i="2"/>
  <c r="BJ358" i="2"/>
  <c r="BK358" i="2"/>
  <c r="BL358" i="2"/>
  <c r="BM358" i="2"/>
  <c r="BN358" i="2"/>
  <c r="BO358" i="2"/>
  <c r="BP358" i="2"/>
  <c r="BQ358" i="2"/>
  <c r="BR358" i="2"/>
  <c r="BS358" i="2"/>
  <c r="AZ359" i="2"/>
  <c r="BA359" i="2"/>
  <c r="BB359" i="2"/>
  <c r="BC359" i="2"/>
  <c r="BD359" i="2"/>
  <c r="BE359" i="2"/>
  <c r="BF359" i="2"/>
  <c r="BG359" i="2"/>
  <c r="BH359" i="2"/>
  <c r="BI359" i="2"/>
  <c r="BJ359" i="2"/>
  <c r="BK359" i="2"/>
  <c r="BL359" i="2"/>
  <c r="BM359" i="2"/>
  <c r="BN359" i="2"/>
  <c r="BO359" i="2"/>
  <c r="BP359" i="2"/>
  <c r="BQ359" i="2"/>
  <c r="BR359" i="2"/>
  <c r="BS359" i="2"/>
  <c r="AZ360" i="2"/>
  <c r="BA360" i="2"/>
  <c r="BB360" i="2"/>
  <c r="BC360" i="2"/>
  <c r="BD360" i="2"/>
  <c r="BE360" i="2"/>
  <c r="BF360" i="2"/>
  <c r="BG360" i="2"/>
  <c r="BH360" i="2"/>
  <c r="BI360" i="2"/>
  <c r="BJ360" i="2"/>
  <c r="BK360" i="2"/>
  <c r="BL360" i="2"/>
  <c r="BM360" i="2"/>
  <c r="BN360" i="2"/>
  <c r="BO360" i="2"/>
  <c r="BP360" i="2"/>
  <c r="BQ360" i="2"/>
  <c r="BR360" i="2"/>
  <c r="BS360" i="2"/>
  <c r="AZ361" i="2"/>
  <c r="BA361" i="2"/>
  <c r="BB361" i="2"/>
  <c r="BC361" i="2"/>
  <c r="BD361" i="2"/>
  <c r="BE361" i="2"/>
  <c r="BF361" i="2"/>
  <c r="BG361" i="2"/>
  <c r="BH361" i="2"/>
  <c r="BI361" i="2"/>
  <c r="BJ361" i="2"/>
  <c r="BK361" i="2"/>
  <c r="BL361" i="2"/>
  <c r="BM361" i="2"/>
  <c r="BN361" i="2"/>
  <c r="BO361" i="2"/>
  <c r="BP361" i="2"/>
  <c r="BQ361" i="2"/>
  <c r="BR361" i="2"/>
  <c r="BS361" i="2"/>
  <c r="AZ362" i="2"/>
  <c r="BA362" i="2"/>
  <c r="BB362" i="2"/>
  <c r="BC362" i="2"/>
  <c r="BD362" i="2"/>
  <c r="BE362" i="2"/>
  <c r="BF362" i="2"/>
  <c r="BG362" i="2"/>
  <c r="BH362" i="2"/>
  <c r="BI362" i="2"/>
  <c r="BJ362" i="2"/>
  <c r="BK362" i="2"/>
  <c r="BL362" i="2"/>
  <c r="BM362" i="2"/>
  <c r="BN362" i="2"/>
  <c r="BO362" i="2"/>
  <c r="BP362" i="2"/>
  <c r="BQ362" i="2"/>
  <c r="BR362" i="2"/>
  <c r="BS362" i="2"/>
  <c r="AZ363" i="2"/>
  <c r="BA363" i="2"/>
  <c r="BB363" i="2"/>
  <c r="BC363" i="2"/>
  <c r="BD363" i="2"/>
  <c r="BE363" i="2"/>
  <c r="BF363" i="2"/>
  <c r="BG363" i="2"/>
  <c r="BH363" i="2"/>
  <c r="BI363" i="2"/>
  <c r="BJ363" i="2"/>
  <c r="BK363" i="2"/>
  <c r="BL363" i="2"/>
  <c r="BM363" i="2"/>
  <c r="BN363" i="2"/>
  <c r="BO363" i="2"/>
  <c r="BP363" i="2"/>
  <c r="BQ363" i="2"/>
  <c r="BR363" i="2"/>
  <c r="BS363" i="2"/>
  <c r="AZ364" i="2"/>
  <c r="BA364" i="2"/>
  <c r="BB364" i="2"/>
  <c r="BC364" i="2"/>
  <c r="BD364" i="2"/>
  <c r="BE364" i="2"/>
  <c r="BF364" i="2"/>
  <c r="BG364" i="2"/>
  <c r="BH364" i="2"/>
  <c r="BI364" i="2"/>
  <c r="BJ364" i="2"/>
  <c r="BK364" i="2"/>
  <c r="BL364" i="2"/>
  <c r="BM364" i="2"/>
  <c r="BN364" i="2"/>
  <c r="BO364" i="2"/>
  <c r="BP364" i="2"/>
  <c r="BQ364" i="2"/>
  <c r="BR364" i="2"/>
  <c r="BS364" i="2"/>
  <c r="AZ365" i="2"/>
  <c r="BA365" i="2"/>
  <c r="BB365" i="2"/>
  <c r="BC365" i="2"/>
  <c r="BD365" i="2"/>
  <c r="BE365" i="2"/>
  <c r="BF365" i="2"/>
  <c r="BG365" i="2"/>
  <c r="BH365" i="2"/>
  <c r="BI365" i="2"/>
  <c r="BJ365" i="2"/>
  <c r="BK365" i="2"/>
  <c r="BL365" i="2"/>
  <c r="BM365" i="2"/>
  <c r="BN365" i="2"/>
  <c r="BO365" i="2"/>
  <c r="BP365" i="2"/>
  <c r="BQ365" i="2"/>
  <c r="BR365" i="2"/>
  <c r="BS365" i="2"/>
  <c r="AZ366" i="2"/>
  <c r="BA366" i="2"/>
  <c r="BB366" i="2"/>
  <c r="BC366" i="2"/>
  <c r="BD366" i="2"/>
  <c r="BE366" i="2"/>
  <c r="BF366" i="2"/>
  <c r="BG366" i="2"/>
  <c r="BH366" i="2"/>
  <c r="BI366" i="2"/>
  <c r="BJ366" i="2"/>
  <c r="BK366" i="2"/>
  <c r="BL366" i="2"/>
  <c r="BM366" i="2"/>
  <c r="BN366" i="2"/>
  <c r="BO366" i="2"/>
  <c r="BP366" i="2"/>
  <c r="BQ366" i="2"/>
  <c r="BR366" i="2"/>
  <c r="BS366" i="2"/>
  <c r="AZ367" i="2"/>
  <c r="BA367" i="2"/>
  <c r="BB367" i="2"/>
  <c r="BC367" i="2"/>
  <c r="BD367" i="2"/>
  <c r="BE367" i="2"/>
  <c r="BF367" i="2"/>
  <c r="BG367" i="2"/>
  <c r="BH367" i="2"/>
  <c r="BI367" i="2"/>
  <c r="BJ367" i="2"/>
  <c r="BK367" i="2"/>
  <c r="BL367" i="2"/>
  <c r="BM367" i="2"/>
  <c r="BN367" i="2"/>
  <c r="BO367" i="2"/>
  <c r="BP367" i="2"/>
  <c r="BQ367" i="2"/>
  <c r="BR367" i="2"/>
  <c r="BS367" i="2"/>
  <c r="AZ368" i="2"/>
  <c r="BA368" i="2"/>
  <c r="BB368" i="2"/>
  <c r="BC368" i="2"/>
  <c r="BD368" i="2"/>
  <c r="BE368" i="2"/>
  <c r="BF368" i="2"/>
  <c r="BG368" i="2"/>
  <c r="BH368" i="2"/>
  <c r="BI368" i="2"/>
  <c r="BJ368" i="2"/>
  <c r="BK368" i="2"/>
  <c r="BL368" i="2"/>
  <c r="BM368" i="2"/>
  <c r="BN368" i="2"/>
  <c r="BO368" i="2"/>
  <c r="BP368" i="2"/>
  <c r="BQ368" i="2"/>
  <c r="BR368" i="2"/>
  <c r="BS368" i="2"/>
  <c r="AZ369" i="2"/>
  <c r="BA369" i="2"/>
  <c r="BB369" i="2"/>
  <c r="BC369" i="2"/>
  <c r="BD369" i="2"/>
  <c r="BE369" i="2"/>
  <c r="BF369" i="2"/>
  <c r="BG369" i="2"/>
  <c r="BH369" i="2"/>
  <c r="BI369" i="2"/>
  <c r="BJ369" i="2"/>
  <c r="BK369" i="2"/>
  <c r="BL369" i="2"/>
  <c r="BM369" i="2"/>
  <c r="BN369" i="2"/>
  <c r="BO369" i="2"/>
  <c r="BP369" i="2"/>
  <c r="BQ369" i="2"/>
  <c r="BR369" i="2"/>
  <c r="BS369" i="2"/>
  <c r="AZ370" i="2"/>
  <c r="BA370" i="2"/>
  <c r="BB370" i="2"/>
  <c r="BC370" i="2"/>
  <c r="BD370" i="2"/>
  <c r="BE370" i="2"/>
  <c r="BF370" i="2"/>
  <c r="BG370" i="2"/>
  <c r="BH370" i="2"/>
  <c r="BI370" i="2"/>
  <c r="BJ370" i="2"/>
  <c r="BK370" i="2"/>
  <c r="BL370" i="2"/>
  <c r="BM370" i="2"/>
  <c r="BN370" i="2"/>
  <c r="BO370" i="2"/>
  <c r="BP370" i="2"/>
  <c r="BQ370" i="2"/>
  <c r="BR370" i="2"/>
  <c r="BS370" i="2"/>
  <c r="AZ371" i="2"/>
  <c r="BA371" i="2"/>
  <c r="BB371" i="2"/>
  <c r="BC371" i="2"/>
  <c r="BD371" i="2"/>
  <c r="BE371" i="2"/>
  <c r="BF371" i="2"/>
  <c r="BG371" i="2"/>
  <c r="BH371" i="2"/>
  <c r="BI371" i="2"/>
  <c r="BJ371" i="2"/>
  <c r="BK371" i="2"/>
  <c r="BL371" i="2"/>
  <c r="BM371" i="2"/>
  <c r="BN371" i="2"/>
  <c r="BO371" i="2"/>
  <c r="BP371" i="2"/>
  <c r="BQ371" i="2"/>
  <c r="BR371" i="2"/>
  <c r="BS371" i="2"/>
  <c r="AZ372" i="2"/>
  <c r="BA372" i="2"/>
  <c r="BB372" i="2"/>
  <c r="BC372" i="2"/>
  <c r="BD372" i="2"/>
  <c r="BE372" i="2"/>
  <c r="BF372" i="2"/>
  <c r="BG372" i="2"/>
  <c r="BH372" i="2"/>
  <c r="BI372" i="2"/>
  <c r="BJ372" i="2"/>
  <c r="BK372" i="2"/>
  <c r="BL372" i="2"/>
  <c r="BM372" i="2"/>
  <c r="BN372" i="2"/>
  <c r="BO372" i="2"/>
  <c r="BP372" i="2"/>
  <c r="BQ372" i="2"/>
  <c r="BR372" i="2"/>
  <c r="BS372" i="2"/>
  <c r="AZ373" i="2"/>
  <c r="BA373" i="2"/>
  <c r="BB373" i="2"/>
  <c r="BC373" i="2"/>
  <c r="BD373" i="2"/>
  <c r="BE373" i="2"/>
  <c r="BF373" i="2"/>
  <c r="BG373" i="2"/>
  <c r="BH373" i="2"/>
  <c r="BI373" i="2"/>
  <c r="BJ373" i="2"/>
  <c r="BK373" i="2"/>
  <c r="BL373" i="2"/>
  <c r="BM373" i="2"/>
  <c r="BN373" i="2"/>
  <c r="BO373" i="2"/>
  <c r="BP373" i="2"/>
  <c r="BQ373" i="2"/>
  <c r="BR373" i="2"/>
  <c r="BS373" i="2"/>
  <c r="AZ374" i="2"/>
  <c r="BA374" i="2"/>
  <c r="BB374" i="2"/>
  <c r="BC374" i="2"/>
  <c r="BD374" i="2"/>
  <c r="BE374" i="2"/>
  <c r="BF374" i="2"/>
  <c r="BG374" i="2"/>
  <c r="BH374" i="2"/>
  <c r="BI374" i="2"/>
  <c r="BJ374" i="2"/>
  <c r="BK374" i="2"/>
  <c r="BL374" i="2"/>
  <c r="BM374" i="2"/>
  <c r="BN374" i="2"/>
  <c r="BO374" i="2"/>
  <c r="BP374" i="2"/>
  <c r="BQ374" i="2"/>
  <c r="BR374" i="2"/>
  <c r="BS374" i="2"/>
  <c r="AZ375" i="2"/>
  <c r="BA375" i="2"/>
  <c r="BB375" i="2"/>
  <c r="BC375" i="2"/>
  <c r="BD375" i="2"/>
  <c r="BE375" i="2"/>
  <c r="BF375" i="2"/>
  <c r="BG375" i="2"/>
  <c r="BH375" i="2"/>
  <c r="BI375" i="2"/>
  <c r="BJ375" i="2"/>
  <c r="BK375" i="2"/>
  <c r="BL375" i="2"/>
  <c r="BM375" i="2"/>
  <c r="BN375" i="2"/>
  <c r="BO375" i="2"/>
  <c r="BP375" i="2"/>
  <c r="BQ375" i="2"/>
  <c r="BR375" i="2"/>
  <c r="BS375" i="2"/>
  <c r="AZ376" i="2"/>
  <c r="BA376" i="2"/>
  <c r="BB376" i="2"/>
  <c r="BC376" i="2"/>
  <c r="BD376" i="2"/>
  <c r="BE376" i="2"/>
  <c r="BF376" i="2"/>
  <c r="BG376" i="2"/>
  <c r="BH376" i="2"/>
  <c r="BI376" i="2"/>
  <c r="BJ376" i="2"/>
  <c r="BK376" i="2"/>
  <c r="BL376" i="2"/>
  <c r="BM376" i="2"/>
  <c r="BN376" i="2"/>
  <c r="BO376" i="2"/>
  <c r="BP376" i="2"/>
  <c r="BQ376" i="2"/>
  <c r="BR376" i="2"/>
  <c r="BS376" i="2"/>
  <c r="AZ377" i="2"/>
  <c r="BA377" i="2"/>
  <c r="BB377" i="2"/>
  <c r="BC377" i="2"/>
  <c r="BD377" i="2"/>
  <c r="BE377" i="2"/>
  <c r="BF377" i="2"/>
  <c r="BG377" i="2"/>
  <c r="BH377" i="2"/>
  <c r="BI377" i="2"/>
  <c r="BJ377" i="2"/>
  <c r="BK377" i="2"/>
  <c r="BL377" i="2"/>
  <c r="BM377" i="2"/>
  <c r="BN377" i="2"/>
  <c r="BO377" i="2"/>
  <c r="BP377" i="2"/>
  <c r="BQ377" i="2"/>
  <c r="BR377" i="2"/>
  <c r="BS377" i="2"/>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J2" i="52"/>
  <c r="I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I3" i="52"/>
  <c r="H3" i="52"/>
  <c r="H2" i="52"/>
  <c r="Y2" i="52" s="1"/>
  <c r="W6" i="52" l="1"/>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B69" i="55" l="1"/>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87" authorId="0" shapeId="0" xr:uid="{E6D9C465-DB62-47D8-BCC0-7FCFED959F93}">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7" authorId="0" shapeId="0" xr:uid="{5C1858E3-5E10-4958-B7B2-136D44559409}">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7" authorId="0" shapeId="0" xr:uid="{FBEEB337-692C-433E-A604-7C088F57E3F2}">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7" authorId="0" shapeId="0" xr:uid="{35EF5AB1-F6CC-4CD7-8AEC-ABD405DC551A}">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7" authorId="0" shapeId="0" xr:uid="{7C771A65-E11C-4EEA-9BE5-423AECE358AD}">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<sst xmlns="http://schemas.openxmlformats.org/spreadsheetml/2006/main" count="27788" uniqueCount="8891">
  <si>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</si>
  <si>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</si>
  <si>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</si>
  <si>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</si>
  <si>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</si>
  <si>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</si>
  <si>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</si>
  <si>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</si>
  <si>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</si>
  <si>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</si>
  <si>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</si>
  <si>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</si>
  <si>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</si>
  <si>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</si>
  <si>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</si>
  <si>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</si>
  <si>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</si>
  <si>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</si>
  <si>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</si>
  <si>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</si>
  <si>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</si>
  <si>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</si>
  <si>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</si>
  <si>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</si>
  <si>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</si>
  <si>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</si>
  <si>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</si>
  <si>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</si>
  <si>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</si>
  <si>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</si>
  <si>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</si>
  <si>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</si>
  <si>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</si>
  <si>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</si>
  <si>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</si>
  <si>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</si>
  <si>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</si>
  <si>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</si>
  <si>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</si>
  <si>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</si>
  <si>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</si>
  <si>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</si>
  <si>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</si>
  <si>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</si>
  <si>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</si>
  <si>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</si>
  <si>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</si>
  <si>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</si>
  <si>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</si>
  <si>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</si>
  <si>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</si>
  <si>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</si>
  <si>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</si>
  <si>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</si>
  <si>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</si>
  <si>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</si>
  <si>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</si>
  <si>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</si>
  <si>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</si>
  <si>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</si>
  <si>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</si>
  <si>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</si>
  <si>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</si>
  <si>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</si>
  <si>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</si>
  <si>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</si>
  <si>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</si>
  <si>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</si>
  <si>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</si>
  <si>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</si>
  <si>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</si>
  <si>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</si>
  <si>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</si>
  <si>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</si>
  <si>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</si>
  <si>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</si>
  <si>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</si>
  <si>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</si>
  <si>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</si>
  <si>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</si>
  <si>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</si>
  <si>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</si>
  <si>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</si>
  <si>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</si>
  <si>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</si>
  <si>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</si>
  <si>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</si>
  <si>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</si>
  <si>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</si>
  <si>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</si>
  <si>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</si>
  <si>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</si>
  <si>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</si>
  <si>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</si>
  <si>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</si>
  <si>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</si>
  <si>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</si>
  <si>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</si>
  <si>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</si>
  <si>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</si>
  <si>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</si>
  <si>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</si>
  <si>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</si>
  <si>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</si>
  <si>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</si>
  <si>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</si>
  <si>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</si>
  <si>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</si>
  <si>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</si>
  <si>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</si>
  <si>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</si>
  <si>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</si>
  <si>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</si>
  <si>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</si>
  <si>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</si>
  <si>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</si>
  <si>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</si>
  <si>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</si>
  <si>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</si>
  <si>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</si>
  <si>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</si>
  <si>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</si>
  <si>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</si>
  <si>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</si>
  <si>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</si>
  <si>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</si>
  <si>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</si>
  <si>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</si>
  <si>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</si>
  <si>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</si>
  <si>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</si>
  <si>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</si>
  <si>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</si>
  <si>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</si>
  <si>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</si>
  <si>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</si>
  <si>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</si>
  <si>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</si>
  <si>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</si>
  <si>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</si>
  <si>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</si>
  <si>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</si>
  <si>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</si>
  <si>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</si>
  <si>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</si>
  <si>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</si>
  <si>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</si>
  <si>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</si>
  <si>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</si>
  <si>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</si>
  <si>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</si>
  <si>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</si>
  <si>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</si>
  <si>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</si>
  <si>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</si>
  <si>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</si>
  <si>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</si>
  <si>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</si>
  <si>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</si>
  <si>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</si>
  <si>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</si>
  <si>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</si>
  <si>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</si>
  <si>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</si>
  <si>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</si>
  <si>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</si>
  <si>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</si>
  <si>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</si>
  <si>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</si>
  <si>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</si>
  <si>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</si>
  <si>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</si>
  <si>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</si>
  <si>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</si>
  <si>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</si>
  <si>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</si>
  <si>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</si>
  <si>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</si>
  <si>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</si>
  <si>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</si>
  <si>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</si>
  <si>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</si>
  <si>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</si>
  <si>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</si>
  <si>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</si>
  <si>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</si>
  <si>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</si>
  <si>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</si>
  <si>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</si>
  <si>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</si>
  <si>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</si>
  <si>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</si>
  <si>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</si>
  <si>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</si>
  <si>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</si>
  <si>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</si>
  <si>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</si>
  <si>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</si>
  <si>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</si>
  <si>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</si>
  <si>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</si>
  <si>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</si>
  <si>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</si>
  <si>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</si>
  <si>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</si>
  <si>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</si>
  <si>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</si>
  <si>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</si>
  <si>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</si>
  <si>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</si>
  <si>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</si>
  <si>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</si>
  <si>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</si>
  <si>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</si>
  <si>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</si>
  <si>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</si>
  <si>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</si>
  <si>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</si>
  <si>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</si>
  <si>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</si>
  <si>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</si>
  <si>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</si>
  <si>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</si>
  <si>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</si>
  <si>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</si>
  <si>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</si>
  <si>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</si>
  <si>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</si>
  <si>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</si>
  <si>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</si>
  <si>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</si>
  <si>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</si>
  <si>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</si>
  <si>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</si>
  <si>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</si>
  <si>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</si>
  <si>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</si>
  <si>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</si>
  <si>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</si>
  <si>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</si>
  <si>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</si>
  <si>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</si>
  <si>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</si>
  <si>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</si>
  <si>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</si>
  <si>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</si>
  <si>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</si>
  <si>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</si>
  <si>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</si>
  <si>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</si>
  <si>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</si>
  <si>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</si>
  <si>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</si>
  <si>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</si>
  <si>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</si>
  <si>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</si>
  <si>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</si>
  <si>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</si>
  <si>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</si>
  <si>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</si>
  <si>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</si>
  <si>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</si>
  <si>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</si>
  <si>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</si>
  <si>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</si>
  <si>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</si>
  <si>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</si>
  <si>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</si>
  <si>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</si>
  <si>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</si>
  <si>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</si>
  <si>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</si>
  <si>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</si>
  <si>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</si>
  <si>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</si>
  <si>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</si>
  <si>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</si>
  <si>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</si>
  <si>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</si>
  <si>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</si>
  <si>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</si>
  <si>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</si>
  <si>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</si>
  <si>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</si>
  <si>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</si>
  <si>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</si>
  <si>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</si>
  <si>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</si>
  <si>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</si>
  <si>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</si>
  <si>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</si>
  <si>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</si>
  <si>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</si>
  <si>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</si>
  <si>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</si>
  <si>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</si>
  <si>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</si>
  <si>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</si>
  <si>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</si>
  <si>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</si>
  <si>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</si>
  <si>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</si>
  <si>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</si>
  <si>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</si>
  <si>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</si>
  <si>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</si>
  <si>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</si>
  <si>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</si>
  <si>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</si>
  <si>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</si>
  <si>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</si>
  <si>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</si>
  <si>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</si>
  <si>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</si>
  <si>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</si>
  <si>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</si>
  <si>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</si>
  <si>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</si>
  <si>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</si>
  <si>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</si>
  <si>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</si>
  <si>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</si>
  <si>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</si>
  <si>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</si>
  <si>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</si>
  <si>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</si>
  <si>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</si>
  <si>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</si>
  <si>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</si>
  <si>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</si>
  <si>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</si>
  <si>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</si>
  <si>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</si>
  <si>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</si>
  <si>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</si>
  <si>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</si>
  <si>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</si>
  <si>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</si>
  <si>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</si>
  <si>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</si>
  <si>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</si>
  <si>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</si>
  <si>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</si>
  <si>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</si>
  <si>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</si>
  <si>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</si>
  <si>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</si>
  <si>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</si>
  <si>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</si>
  <si>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</si>
  <si>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</si>
  <si>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</si>
  <si>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</si>
  <si>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</si>
  <si>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</si>
  <si>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</si>
  <si>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</si>
  <si>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</si>
  <si>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</si>
  <si>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</si>
  <si>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</si>
  <si>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</si>
  <si>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</si>
  <si>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</si>
  <si>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</si>
  <si>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</si>
  <si>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</si>
  <si>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</si>
  <si>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</si>
  <si>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</si>
  <si>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</si>
  <si>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</si>
  <si>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</si>
  <si>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</si>
  <si>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</si>
  <si>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</si>
  <si>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</si>
  <si>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</si>
  <si>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</si>
  <si>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</si>
  <si>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</si>
  <si>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</si>
  <si>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</si>
  <si>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</si>
  <si>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</si>
  <si>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</si>
  <si>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</si>
  <si>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</si>
  <si>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</si>
  <si>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</si>
  <si>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</si>
  <si>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</si>
  <si>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</si>
  <si>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</si>
  <si>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</si>
  <si>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</si>
  <si>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</si>
  <si>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</si>
  <si>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</si>
  <si>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</si>
  <si>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</si>
  <si>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</si>
  <si>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</si>
  <si>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</si>
  <si>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</si>
  <si>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</si>
  <si>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</si>
  <si>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</si>
  <si>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</si>
  <si>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</si>
  <si>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</si>
  <si>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</si>
  <si>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</si>
  <si>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</si>
  <si>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</si>
  <si>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</si>
  <si>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</si>
  <si>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</si>
  <si>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</si>
  <si>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</si>
  <si>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</si>
  <si>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</si>
  <si>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</si>
  <si>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</si>
  <si>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</si>
  <si>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</si>
  <si>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</si>
  <si>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</si>
  <si>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</si>
  <si>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</si>
  <si>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</si>
  <si>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</si>
  <si>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</si>
  <si>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</si>
  <si>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</si>
  <si>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</si>
  <si>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</si>
  <si>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</si>
  <si>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</si>
  <si>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</si>
  <si>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</si>
  <si>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</si>
  <si>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</si>
  <si>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</si>
  <si>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</si>
  <si>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</si>
  <si>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</si>
  <si>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</si>
  <si>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</si>
  <si>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</si>
  <si>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</si>
  <si>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</si>
  <si>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</si>
  <si>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</si>
  <si>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</si>
  <si>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</si>
  <si>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</si>
  <si>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</si>
  <si>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</si>
  <si>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</si>
  <si>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</si>
  <si>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</si>
  <si>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</si>
  <si>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</si>
  <si>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</si>
  <si>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</si>
  <si>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</si>
  <si>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</si>
  <si>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</si>
  <si>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</si>
  <si>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</si>
  <si>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</si>
  <si>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</si>
  <si>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</si>
  <si>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</si>
  <si>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</si>
  <si>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</si>
  <si>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</si>
  <si>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</si>
  <si>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</si>
  <si>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</si>
  <si>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</si>
  <si>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</si>
  <si>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</si>
  <si>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</si>
  <si>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</si>
  <si>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</si>
  <si>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</si>
  <si>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</si>
  <si>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</si>
  <si>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</si>
  <si>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</si>
  <si>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</si>
  <si>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</si>
  <si>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</si>
  <si>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</si>
  <si>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</si>
  <si>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</si>
  <si>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</si>
  <si>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</si>
  <si>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</si>
  <si>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</si>
  <si>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</si>
  <si>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</si>
  <si>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</si>
  <si>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</si>
  <si>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</si>
  <si>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</si>
  <si>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</si>
  <si>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</si>
  <si>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</si>
  <si>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</si>
  <si>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</si>
  <si>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</si>
  <si>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</si>
  <si>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</si>
  <si>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</si>
  <si>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</si>
  <si>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</si>
  <si>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</si>
  <si>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</si>
  <si>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</si>
  <si>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</si>
  <si>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</si>
  <si>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</si>
  <si>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</si>
  <si>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</si>
  <si>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</si>
  <si>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</si>
  <si>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</si>
  <si>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</si>
  <si>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</si>
  <si>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</si>
  <si>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</si>
  <si>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</si>
  <si>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</si>
  <si>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</si>
  <si>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</si>
  <si>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</si>
  <si>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</si>
  <si>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</si>
  <si>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</si>
  <si>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</si>
  <si>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</si>
  <si>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</si>
  <si>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</si>
  <si>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</si>
  <si>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</si>
  <si>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</si>
  <si>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</si>
  <si>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</si>
  <si>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</si>
  <si>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</si>
  <si>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</si>
  <si>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</si>
  <si>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</si>
  <si>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</si>
  <si>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</si>
  <si>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</si>
  <si>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</si>
  <si>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</si>
  <si>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</si>
  <si>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</si>
  <si>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</si>
  <si>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</si>
  <si>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</si>
  <si>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</si>
  <si>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</si>
  <si>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</si>
  <si>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</si>
  <si>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</si>
  <si>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</si>
  <si>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</si>
  <si>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</si>
  <si>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</si>
  <si>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</si>
  <si>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</si>
  <si>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</si>
  <si>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</si>
  <si>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</si>
  <si>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</si>
  <si>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</si>
  <si>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</si>
  <si>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</si>
  <si>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</si>
  <si>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</si>
  <si>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</si>
  <si>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</si>
  <si>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</si>
  <si>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</si>
  <si>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</si>
  <si>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</si>
  <si>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</si>
  <si>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</si>
  <si>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</si>
  <si>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</si>
  <si>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</si>
  <si>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</si>
  <si>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</si>
  <si>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</si>
  <si>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</si>
  <si>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</si>
  <si>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</si>
  <si>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</si>
  <si>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</si>
  <si>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</si>
  <si>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</si>
  <si>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</si>
  <si>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</si>
  <si>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</si>
  <si>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</si>
  <si>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</si>
  <si>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</si>
  <si>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</si>
  <si>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</si>
  <si>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</si>
  <si>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</si>
  <si>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</si>
  <si>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</si>
  <si>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</si>
  <si>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</si>
  <si>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</si>
  <si>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</si>
  <si>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</si>
  <si>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</si>
  <si>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</si>
  <si>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</si>
  <si>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</si>
  <si>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</si>
  <si>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</si>
  <si>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</si>
  <si>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</si>
  <si>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</si>
  <si>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</si>
  <si>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</si>
  <si>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</si>
  <si>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</si>
  <si>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</si>
  <si>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</si>
  <si>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</si>
  <si>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</si>
  <si>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</si>
  <si>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</si>
  <si>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</si>
  <si>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</si>
  <si>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</si>
  <si>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</si>
  <si>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</si>
  <si>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</si>
  <si>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</si>
  <si>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</si>
  <si>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</si>
  <si>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</si>
  <si>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</si>
  <si>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</si>
  <si>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</si>
  <si>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</si>
  <si>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</si>
  <si>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</si>
  <si>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</si>
  <si>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</si>
  <si>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</si>
  <si>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</si>
  <si>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</si>
  <si>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</si>
  <si>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</si>
  <si>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</si>
  <si>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</si>
  <si>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</si>
  <si>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</si>
  <si>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</si>
  <si>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</si>
  <si>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</si>
  <si>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</si>
  <si>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</si>
  <si>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</si>
  <si>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</si>
  <si>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</si>
  <si>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</si>
  <si>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</si>
  <si>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</si>
  <si>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</si>
  <si>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</si>
  <si>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</si>
  <si>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</si>
  <si>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</si>
  <si>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</si>
  <si>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</si>
  <si>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</si>
  <si>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</si>
  <si>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</si>
  <si>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</si>
  <si>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</si>
  <si>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</si>
  <si>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</si>
  <si>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</si>
  <si>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</si>
  <si>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</si>
  <si>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</si>
  <si>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</si>
  <si>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</si>
  <si>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</si>
  <si>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</si>
  <si>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</si>
  <si>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</si>
  <si>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</si>
  <si>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</si>
  <si>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</si>
  <si>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</si>
  <si>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</si>
  <si>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</si>
  <si>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</si>
  <si>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</si>
  <si>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</si>
  <si>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</si>
  <si>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</si>
  <si>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</si>
  <si>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</si>
  <si>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</si>
  <si>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</si>
  <si>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</si>
  <si>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</si>
  <si>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</si>
  <si>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</si>
  <si>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</si>
  <si>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</si>
  <si>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</si>
  <si>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</si>
  <si>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</si>
  <si>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</si>
  <si>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</si>
  <si>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</si>
  <si>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</si>
  <si>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</si>
  <si>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</si>
  <si>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</si>
  <si>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</si>
  <si>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</si>
  <si>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</si>
  <si>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</si>
  <si>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</si>
  <si>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</si>
  <si>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</si>
  <si>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</si>
  <si>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</si>
  <si>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</si>
  <si>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</si>
  <si>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</si>
  <si>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</si>
  <si>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</si>
  <si>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</si>
  <si>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</si>
  <si>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</si>
  <si>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</si>
  <si>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</si>
  <si>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</si>
  <si>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</si>
  <si>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</si>
  <si>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</si>
  <si>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</si>
  <si>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</si>
  <si>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</si>
  <si>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</si>
  <si>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</si>
  <si>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</si>
  <si>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</si>
  <si>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</si>
  <si>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</si>
  <si>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</si>
  <si>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</si>
  <si>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</si>
  <si>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</si>
  <si>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</si>
  <si>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</si>
  <si>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</si>
  <si>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</si>
  <si>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</si>
  <si>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</si>
  <si>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</si>
  <si>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</si>
  <si>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</si>
  <si>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</si>
  <si>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</si>
  <si>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</si>
  <si>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</si>
  <si>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</si>
  <si>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</si>
  <si>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</si>
  <si>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</si>
  <si>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</si>
  <si>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</si>
  <si>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</si>
  <si>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</si>
  <si>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</si>
  <si>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</si>
  <si>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</si>
  <si>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</si>
  <si>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</si>
  <si>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</si>
  <si>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</si>
  <si>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</si>
  <si>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</si>
  <si>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</si>
  <si>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</si>
  <si>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</si>
  <si>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</si>
  <si>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</si>
  <si>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</si>
  <si>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</si>
  <si>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</si>
  <si>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</si>
  <si>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</si>
  <si>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</si>
  <si>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</si>
  <si>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</si>
  <si>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</si>
  <si>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</si>
  <si>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</si>
  <si>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</si>
  <si>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</si>
  <si>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</si>
  <si>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</si>
  <si>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</si>
  <si>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</si>
  <si>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</si>
  <si>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</si>
  <si>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</si>
  <si>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</si>
  <si>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</si>
  <si>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</si>
  <si>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</si>
  <si>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</si>
  <si>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</si>
  <si>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</si>
  <si>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</si>
  <si>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</si>
  <si>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</si>
  <si>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</si>
  <si>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</si>
  <si>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</si>
  <si>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</si>
  <si>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</si>
  <si>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</si>
  <si>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</si>
  <si>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</si>
  <si>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</si>
  <si>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</si>
  <si>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</si>
  <si>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</si>
  <si>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</si>
  <si>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</si>
  <si>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</si>
  <si>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</si>
  <si>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</si>
  <si>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</si>
  <si>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</si>
  <si>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</si>
  <si>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</si>
  <si>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</si>
  <si>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</si>
  <si>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</si>
  <si>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</si>
  <si>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</si>
  <si>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</si>
  <si>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</si>
  <si>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</si>
  <si>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</si>
  <si>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</si>
  <si>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</si>
  <si>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</si>
  <si>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</si>
  <si>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</si>
  <si>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</si>
  <si>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</si>
  <si>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</si>
  <si>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</si>
  <si>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</si>
  <si>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</si>
  <si>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</si>
  <si>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</si>
  <si>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</si>
  <si>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</si>
  <si>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</si>
  <si>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</si>
  <si>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</si>
  <si>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</si>
  <si>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</si>
  <si>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</si>
  <si>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</si>
  <si>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</si>
  <si>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</si>
  <si>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</si>
  <si>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</si>
  <si>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</si>
  <si>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</si>
  <si>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</si>
  <si>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</si>
  <si>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</si>
  <si>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</si>
  <si>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</si>
  <si>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</si>
  <si>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</si>
  <si>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</si>
  <si>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</si>
  <si>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</si>
  <si>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</si>
  <si>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</si>
  <si>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</si>
  <si>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</si>
  <si>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</si>
  <si>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</si>
  <si>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</si>
  <si>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</si>
  <si>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</si>
  <si>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</si>
  <si>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</si>
  <si>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</si>
  <si>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</si>
  <si>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</si>
  <si>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</si>
  <si>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</si>
  <si>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</si>
  <si>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</si>
  <si>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</si>
  <si>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</si>
  <si>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</si>
  <si>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</si>
  <si>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</si>
  <si>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</si>
  <si>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</si>
  <si>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</si>
  <si>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</si>
  <si>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</si>
  <si>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</si>
  <si>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</si>
  <si>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</si>
  <si>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</si>
  <si>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</si>
  <si>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</si>
  <si>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</si>
  <si>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</si>
  <si>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</si>
  <si>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</si>
  <si>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</si>
  <si>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</si>
  <si>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</si>
  <si>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</si>
  <si>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</si>
  <si>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</si>
  <si>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</si>
  <si>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</si>
  <si>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</si>
  <si>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</si>
  <si>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</si>
  <si>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</si>
  <si>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</si>
  <si>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</si>
  <si>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</si>
  <si>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</si>
  <si>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</si>
  <si>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</si>
  <si>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</si>
  <si>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</si>
  <si>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</si>
  <si>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</si>
  <si>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</si>
  <si>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</si>
  <si>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</si>
  <si>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</si>
  <si>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</si>
  <si>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</si>
  <si>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</si>
  <si>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</si>
  <si>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</si>
  <si>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</si>
  <si>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</si>
  <si>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</si>
  <si>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</si>
  <si>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</si>
  <si>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</si>
  <si>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</si>
  <si>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</si>
  <si>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</si>
  <si>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</si>
  <si>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</si>
  <si>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</si>
  <si>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</si>
  <si>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</si>
  <si>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</si>
  <si>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</si>
  <si>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</si>
  <si>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</si>
  <si>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</si>
  <si>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</si>
  <si>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</si>
  <si>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</si>
  <si>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</si>
  <si>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</si>
  <si>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</si>
  <si>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</si>
  <si>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</si>
  <si>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</si>
  <si>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</si>
  <si>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</si>
  <si>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</si>
  <si>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</si>
  <si>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</si>
  <si>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</si>
  <si>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</si>
  <si>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</si>
  <si>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</si>
  <si>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</si>
  <si>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</si>
  <si>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</si>
  <si>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</si>
  <si>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</si>
  <si>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</si>
  <si>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</si>
  <si>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</si>
  <si>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</si>
  <si>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</si>
  <si>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</si>
  <si>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</si>
  <si>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</si>
  <si>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</si>
  <si>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</si>
  <si>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</si>
  <si>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</si>
  <si>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</si>
  <si>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</si>
  <si>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</si>
  <si>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</si>
  <si>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</si>
  <si>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</si>
  <si>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</si>
  <si>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</si>
  <si>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</si>
  <si>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</si>
  <si>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</si>
  <si>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</si>
  <si>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</si>
  <si>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</si>
  <si>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</si>
  <si>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</si>
  <si>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</si>
  <si>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</si>
  <si>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</si>
  <si>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</si>
  <si>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</si>
  <si>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</si>
  <si>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</si>
  <si>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</si>
  <si>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</si>
  <si>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</si>
  <si>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</si>
  <si>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</si>
  <si>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</si>
  <si>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</si>
  <si>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</si>
  <si>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</si>
  <si>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</si>
  <si>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</si>
  <si>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</si>
  <si>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</si>
  <si>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</si>
  <si>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</si>
  <si>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</si>
  <si>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</si>
  <si>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</si>
  <si>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</si>
  <si>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</si>
  <si>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</si>
  <si>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</si>
  <si>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</si>
  <si>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</si>
  <si>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</si>
  <si>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</si>
  <si>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</si>
  <si>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</si>
  <si>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</si>
  <si>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</si>
  <si>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</si>
  <si>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</si>
  <si>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</si>
  <si>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</si>
  <si>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</si>
  <si>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</si>
  <si>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</si>
  <si>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</si>
  <si>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</si>
  <si>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</si>
  <si>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</si>
  <si>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</si>
  <si>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</si>
  <si>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</si>
  <si>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</si>
  <si>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</si>
  <si>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</si>
  <si>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</si>
  <si>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</si>
  <si>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</si>
  <si>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</si>
  <si>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</si>
  <si>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</si>
  <si>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</si>
  <si>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</si>
  <si>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</si>
  <si>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</si>
  <si>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</si>
  <si>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</si>
  <si>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</si>
  <si>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</si>
  <si>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</si>
  <si>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</si>
  <si>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</si>
  <si>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</si>
  <si>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</si>
  <si>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</si>
  <si>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</si>
  <si>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</si>
  <si>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</si>
  <si>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</si>
  <si>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</si>
  <si>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</si>
  <si>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</si>
  <si>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</si>
  <si>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</si>
  <si>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</si>
  <si>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</si>
  <si>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</si>
  <si>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</si>
  <si>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</si>
  <si>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</si>
  <si>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</si>
  <si>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</si>
  <si>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</si>
  <si>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</si>
  <si>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</si>
  <si>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</si>
  <si>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</si>
  <si>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</si>
  <si>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</si>
  <si>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</si>
  <si>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</si>
  <si>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</si>
  <si>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</si>
  <si>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</si>
  <si>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</si>
  <si>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</si>
  <si>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</si>
  <si>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</si>
  <si>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</si>
  <si>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</si>
  <si>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</si>
  <si>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</si>
  <si>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</si>
  <si>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</si>
  <si>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</si>
  <si>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</si>
  <si>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</si>
  <si>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</si>
  <si>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</si>
  <si>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</si>
  <si>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</si>
  <si>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</si>
  <si>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</si>
  <si>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</si>
  <si>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</si>
  <si>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</si>
  <si>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</si>
  <si>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</si>
  <si>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</si>
  <si>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</si>
  <si>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</si>
  <si>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</si>
  <si>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</si>
  <si>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</si>
  <si>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</si>
  <si>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</si>
  <si>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</si>
  <si>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</si>
  <si>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</si>
  <si>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</si>
  <si>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</si>
  <si>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</si>
  <si>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</si>
  <si>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</si>
  <si>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</si>
  <si>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</si>
  <si>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</si>
  <si>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</si>
  <si>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</si>
  <si>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</si>
  <si>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</si>
  <si>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</si>
  <si>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</si>
  <si>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</si>
  <si>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</si>
  <si>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</si>
  <si>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</si>
  <si>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</si>
  <si>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</si>
  <si>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</si>
  <si>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</si>
  <si>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</si>
  <si>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</si>
  <si>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</si>
  <si>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</si>
  <si>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</si>
  <si>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</si>
  <si>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</si>
  <si>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</si>
  <si>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</si>
  <si>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</si>
  <si>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</si>
  <si>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</si>
  <si>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</si>
  <si>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</si>
  <si>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</si>
  <si>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</si>
  <si>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</si>
  <si>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</si>
  <si>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</si>
  <si>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</si>
  <si>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</si>
  <si>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</si>
  <si>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</si>
  <si>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</si>
  <si>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</si>
  <si>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</si>
  <si>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</si>
  <si>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</si>
  <si>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</si>
  <si>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</si>
  <si>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</si>
  <si>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</si>
  <si>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</si>
  <si>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</si>
  <si>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</si>
  <si>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</si>
  <si>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</si>
  <si>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</si>
  <si>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</si>
  <si>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</si>
  <si>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</si>
  <si>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</si>
  <si>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</si>
  <si>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</si>
  <si>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</si>
  <si>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</si>
  <si>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</si>
  <si>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</si>
  <si>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</si>
  <si>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</si>
  <si>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</si>
  <si>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</si>
  <si>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</si>
  <si>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</si>
  <si>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</si>
  <si>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</si>
  <si>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</si>
  <si>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</si>
  <si>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</si>
  <si>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</si>
  <si>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</si>
  <si>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</si>
  <si>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</si>
  <si>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</si>
  <si>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</si>
  <si>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</si>
  <si>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</si>
  <si>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</si>
  <si>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</si>
  <si>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</si>
  <si>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</si>
  <si>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</si>
  <si>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</si>
  <si>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</si>
  <si>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</si>
  <si>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</si>
  <si>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</si>
  <si>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</si>
  <si>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</si>
  <si>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</si>
  <si>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</si>
  <si>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</si>
  <si>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</si>
  <si>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</si>
  <si>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</si>
  <si>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</si>
  <si>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</si>
  <si>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</si>
  <si>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</si>
  <si>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</si>
  <si>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</si>
  <si>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</si>
  <si>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</si>
  <si>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</si>
  <si>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</si>
  <si>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</si>
  <si>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</si>
  <si>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</si>
  <si>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</si>
  <si>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</si>
  <si>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</si>
  <si>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</si>
  <si>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</si>
  <si>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</si>
  <si>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</si>
  <si>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</si>
  <si>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</si>
  <si>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</si>
  <si>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</si>
  <si>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</si>
  <si>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</si>
  <si>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</si>
  <si>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</si>
  <si>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</si>
  <si>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</si>
  <si>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</si>
  <si>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</si>
  <si>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</si>
  <si>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</si>
  <si>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</si>
  <si>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</si>
  <si>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</si>
  <si>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</si>
  <si>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</si>
  <si>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</si>
  <si>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</si>
  <si>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</si>
  <si>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</si>
  <si>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</si>
  <si>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</si>
  <si>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</si>
  <si>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</si>
  <si>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</si>
  <si>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</si>
  <si>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</si>
  <si>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</si>
  <si>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</si>
  <si>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</si>
  <si>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</si>
  <si>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</si>
  <si>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</si>
  <si>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</si>
  <si>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</si>
  <si>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</si>
  <si>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</si>
  <si>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</si>
  <si>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</si>
  <si>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</si>
  <si>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</si>
  <si>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</si>
  <si>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</si>
  <si>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</si>
  <si>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</si>
  <si>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</si>
  <si>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</si>
  <si>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</si>
  <si>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</si>
  <si>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</si>
  <si>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</si>
  <si>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</si>
  <si>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</si>
  <si>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</si>
  <si>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</si>
  <si>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</si>
  <si>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</si>
  <si>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</si>
  <si>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</si>
  <si>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</si>
  <si>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</si>
  <si>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</si>
  <si>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</si>
  <si>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</si>
  <si>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</si>
  <si>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</si>
  <si>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</si>
  <si>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</si>
  <si>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</si>
  <si>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</si>
  <si>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</si>
  <si>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</si>
  <si>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</si>
  <si>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</si>
  <si>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</si>
  <si>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</si>
  <si>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</si>
  <si>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</si>
  <si>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</si>
  <si>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</si>
  <si>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</si>
  <si>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</si>
  <si>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</si>
  <si>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</si>
  <si>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</si>
  <si>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</si>
  <si>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</si>
  <si>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</si>
  <si>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</si>
  <si>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</si>
  <si>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</si>
  <si>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</si>
  <si>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</si>
  <si>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</si>
  <si>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</si>
  <si>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</si>
  <si>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</si>
  <si>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</si>
  <si>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</si>
  <si>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</si>
  <si>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</si>
  <si>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</si>
  <si>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</si>
  <si>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</si>
  <si>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</si>
  <si>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</si>
  <si>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</si>
  <si>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</si>
  <si>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</si>
  <si>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</si>
  <si>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</si>
  <si>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</si>
  <si>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</si>
  <si>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</si>
  <si>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</si>
  <si>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</si>
  <si>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</si>
  <si>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</si>
  <si>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</si>
  <si>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</si>
  <si>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</si>
  <si>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</si>
  <si>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</si>
  <si>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</si>
  <si>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</si>
  <si>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</si>
  <si>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</si>
  <si>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</si>
  <si>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</si>
  <si>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</si>
  <si>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</si>
  <si>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</si>
  <si>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</si>
  <si>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</si>
  <si>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</si>
  <si>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</si>
  <si>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</si>
  <si>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</si>
  <si>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</si>
  <si>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</si>
  <si>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</si>
  <si>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</si>
  <si>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</si>
  <si>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</si>
  <si>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</si>
  <si>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</si>
  <si>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</si>
  <si>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</si>
  <si>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</si>
  <si>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</si>
  <si>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</si>
  <si>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</si>
  <si>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</si>
  <si>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</si>
  <si>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</si>
  <si>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</si>
  <si>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</si>
  <si>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</si>
  <si>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</si>
  <si>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</si>
  <si>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</si>
  <si>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</si>
  <si>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</si>
  <si>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</si>
  <si>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</si>
  <si>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</si>
  <si>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</si>
  <si>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</si>
  <si>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</si>
  <si>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</si>
  <si>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</si>
  <si>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</si>
  <si>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</si>
  <si>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</si>
  <si>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</si>
  <si>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</si>
  <si>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</si>
  <si>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</si>
  <si>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</si>
  <si>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</si>
  <si>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</si>
  <si>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</si>
  <si>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</si>
  <si>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</si>
  <si>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</si>
  <si>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</si>
  <si>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</si>
  <si>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</si>
  <si>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</si>
  <si>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</si>
  <si>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</si>
  <si>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</si>
  <si>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</si>
  <si>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</si>
  <si>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</si>
  <si>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</si>
  <si>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</si>
  <si>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</si>
  <si>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</si>
  <si>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</si>
  <si>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</si>
  <si>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</si>
  <si>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</si>
  <si>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</si>
  <si>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</si>
  <si>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</si>
  <si>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</si>
  <si>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</si>
  <si>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</si>
  <si>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</si>
  <si>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</si>
  <si>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</si>
  <si>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</si>
  <si>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</si>
  <si>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</si>
  <si>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</si>
  <si>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</si>
  <si>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</si>
  <si>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</si>
  <si>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</si>
  <si>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</si>
  <si>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</si>
  <si>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</si>
  <si>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</si>
  <si>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</si>
  <si>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</si>
  <si>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</si>
  <si>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</si>
  <si>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</si>
  <si>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</si>
  <si>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</si>
  <si>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</si>
  <si>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</si>
  <si>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</si>
  <si>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</si>
  <si>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</si>
  <si>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</si>
  <si>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</si>
  <si>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</si>
  <si>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</si>
  <si>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</si>
  <si>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</si>
  <si>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</si>
  <si>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</si>
  <si>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</si>
  <si>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</si>
  <si>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</si>
  <si>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</si>
  <si>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</si>
  <si>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</si>
  <si>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</si>
  <si>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</si>
  <si>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</si>
  <si>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</si>
  <si>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</si>
  <si>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</si>
  <si>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</si>
  <si>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</si>
  <si>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</si>
  <si>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</si>
  <si>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</si>
  <si>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</si>
  <si>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</si>
  <si>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</si>
  <si>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</si>
  <si>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</si>
  <si>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</si>
  <si>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</si>
  <si>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</si>
  <si>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</si>
  <si>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</si>
  <si>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</si>
  <si>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</si>
  <si>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</si>
  <si>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</si>
  <si>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</si>
  <si>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</si>
  <si>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</si>
  <si>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</si>
  <si>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</si>
  <si>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</si>
  <si>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</si>
  <si>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</si>
  <si>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</si>
  <si>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</si>
  <si>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</si>
  <si>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</si>
  <si>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</si>
  <si>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</si>
  <si>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</si>
  <si>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</si>
  <si>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</si>
  <si>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</si>
  <si>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</si>
  <si>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</si>
  <si>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</si>
  <si>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</si>
  <si>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</si>
  <si>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</si>
  <si>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</si>
  <si>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</si>
  <si>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</si>
  <si>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</si>
  <si>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</si>
  <si>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</si>
  <si>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</si>
  <si>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</si>
  <si>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</si>
  <si>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</si>
  <si>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</si>
  <si>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</si>
  <si>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</si>
  <si>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</si>
  <si>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</si>
  <si>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</si>
  <si>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</si>
  <si>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</si>
  <si>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</si>
  <si>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</si>
  <si>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</si>
  <si>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</si>
  <si>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</si>
  <si>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</si>
  <si>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</si>
  <si>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</si>
  <si>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</si>
  <si>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</si>
  <si>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</si>
  <si>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</si>
  <si>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</si>
  <si>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</si>
  <si>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</si>
  <si>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</si>
  <si>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</si>
  <si>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</si>
  <si>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</si>
  <si>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</si>
  <si>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</si>
  <si>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</si>
  <si>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</si>
  <si>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</si>
  <si>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</si>
  <si>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</si>
  <si>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</si>
  <si>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</si>
  <si>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</si>
  <si>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</si>
  <si>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</si>
  <si>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</si>
  <si>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</si>
  <si>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</si>
  <si>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</si>
  <si>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</si>
  <si>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</si>
  <si>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</si>
  <si>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</si>
  <si>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</si>
  <si>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</si>
  <si>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</si>
  <si>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</si>
  <si>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</si>
  <si>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</si>
  <si>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</si>
  <si>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</si>
  <si>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</si>
  <si>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</si>
  <si>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</si>
  <si>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</si>
  <si>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</si>
  <si>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</si>
  <si>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</si>
  <si>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</si>
  <si>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</si>
  <si>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</si>
  <si>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</si>
  <si>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</si>
  <si>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</si>
  <si>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</si>
  <si>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</si>
  <si>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</si>
  <si>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</si>
  <si>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</si>
  <si>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</si>
  <si>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</si>
  <si>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</si>
  <si>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</si>
  <si>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</si>
  <si>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</si>
  <si>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</si>
  <si>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</si>
  <si>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</si>
  <si>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</si>
  <si>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</si>
  <si>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</si>
  <si>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</si>
  <si>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</si>
  <si>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</si>
  <si>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</si>
  <si>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</si>
  <si>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</si>
  <si>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</si>
  <si>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</si>
  <si>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</si>
  <si>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</si>
  <si>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</si>
  <si>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</si>
  <si>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</si>
  <si>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</si>
  <si>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</si>
  <si>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</si>
  <si>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</si>
  <si>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</si>
  <si>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</si>
  <si>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</si>
  <si>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</si>
  <si>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</si>
  <si>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</si>
  <si>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</si>
  <si>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</si>
  <si>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</si>
  <si>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</si>
  <si>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</si>
  <si>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</si>
  <si>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</si>
  <si>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</si>
  <si>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</si>
  <si>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</si>
  <si>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</si>
  <si>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</si>
  <si>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</si>
  <si>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</si>
  <si>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</si>
  <si>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</si>
  <si>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</si>
  <si>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</si>
  <si>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</si>
  <si>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</si>
  <si>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</si>
  <si>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</si>
  <si>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</si>
  <si>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</si>
  <si>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</si>
  <si>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</si>
  <si>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</si>
  <si>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</si>
  <si>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</si>
  <si>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</si>
  <si>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</si>
  <si>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</si>
  <si>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</si>
  <si>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</si>
  <si>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</si>
  <si>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</si>
  <si>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</si>
  <si>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</si>
  <si>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</si>
  <si>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</si>
  <si>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</si>
  <si>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</si>
  <si>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</si>
  <si>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</si>
  <si>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</si>
  <si>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</si>
  <si>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</si>
  <si>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</si>
  <si>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</si>
  <si>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</si>
  <si>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</si>
  <si>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</si>
  <si>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</si>
  <si>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</si>
  <si>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</si>
  <si>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</si>
  <si>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</si>
  <si>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</si>
  <si>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</si>
  <si>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</si>
  <si>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</si>
  <si>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</si>
  <si>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</si>
  <si>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</si>
  <si>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</si>
  <si>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</si>
  <si>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</si>
  <si>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</si>
  <si>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</si>
  <si>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</si>
  <si>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</si>
  <si>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</si>
  <si>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</si>
  <si>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</si>
  <si>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</si>
  <si>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</si>
  <si>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</si>
  <si>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</si>
  <si>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</si>
  <si>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</si>
  <si>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</si>
  <si>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</si>
  <si>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</si>
  <si>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</si>
  <si>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</si>
  <si>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</si>
  <si>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</si>
  <si>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</si>
  <si>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</si>
  <si>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</si>
  <si>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</si>
  <si>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</si>
  <si>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</si>
  <si>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</si>
  <si>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</si>
  <si>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</si>
  <si>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</si>
  <si>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</si>
  <si>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</si>
  <si>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</si>
  <si>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</si>
  <si>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</si>
  <si>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</si>
  <si>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</si>
  <si>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</si>
  <si>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</si>
  <si>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</si>
  <si>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</si>
  <si>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</si>
  <si>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</si>
  <si>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</si>
  <si>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</si>
  <si>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</si>
  <si>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</si>
  <si>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</si>
  <si>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</si>
  <si>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</si>
  <si>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</si>
  <si>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</si>
  <si>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</si>
  <si>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</si>
  <si>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</si>
  <si>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</si>
  <si>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</si>
  <si>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</si>
  <si>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</si>
  <si>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</si>
  <si>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</si>
  <si>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</si>
  <si>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</si>
  <si>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</si>
  <si>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</si>
  <si>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</si>
  <si>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</si>
  <si>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</si>
  <si>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</si>
  <si>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</si>
  <si>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</si>
  <si>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</si>
  <si>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</si>
  <si>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</si>
  <si>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</si>
  <si>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</si>
  <si>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</si>
  <si>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</si>
  <si>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</si>
  <si>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</si>
  <si>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</si>
  <si>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</si>
  <si>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</si>
  <si>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</si>
  <si>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</si>
  <si>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</si>
  <si>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</si>
  <si>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</si>
  <si>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</si>
  <si>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</si>
  <si>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</si>
  <si>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</si>
  <si>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</si>
  <si>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</si>
  <si>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</si>
  <si>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</si>
  <si>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</si>
  <si>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</si>
  <si>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</si>
  <si>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</si>
  <si>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</si>
  <si>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</si>
  <si>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</si>
  <si>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</si>
  <si>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</si>
  <si>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</si>
  <si>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</si>
  <si>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</si>
  <si>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</si>
  <si>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</si>
  <si>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</si>
  <si>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</si>
  <si>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</si>
  <si>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</si>
  <si>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</si>
  <si>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</si>
  <si>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</si>
  <si>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</si>
  <si>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</si>
  <si>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</si>
  <si>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</si>
  <si>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</si>
  <si>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</si>
  <si>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</si>
  <si>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</si>
  <si>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</si>
  <si>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</si>
  <si>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</si>
  <si>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</si>
  <si>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</si>
  <si>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</si>
  <si>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</si>
  <si>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</si>
  <si>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</si>
  <si>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</si>
  <si>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</si>
  <si>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</si>
  <si>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</si>
  <si>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</si>
  <si>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</si>
  <si>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</si>
  <si>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</si>
  <si>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</si>
  <si>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</si>
  <si>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</si>
  <si>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</si>
  <si>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</si>
  <si>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</si>
  <si>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</si>
  <si>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</si>
  <si>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</si>
  <si>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</si>
  <si>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</si>
  <si>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</si>
  <si>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</si>
  <si>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</si>
  <si>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</si>
  <si>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</si>
  <si>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</si>
  <si>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</si>
  <si>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</si>
  <si>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</si>
  <si>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</si>
  <si>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</si>
  <si>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</si>
  <si>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</si>
  <si>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</si>
  <si>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</si>
  <si>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</si>
  <si>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</si>
  <si>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</si>
  <si>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</si>
  <si>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</si>
  <si>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</si>
  <si>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</si>
  <si>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</si>
  <si>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</si>
  <si>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</si>
  <si>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</si>
  <si>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</si>
  <si>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</si>
  <si>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</si>
  <si>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</si>
  <si>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</si>
  <si>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</si>
  <si>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</si>
  <si>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</si>
  <si>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</si>
  <si>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</si>
  <si>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</si>
  <si>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</si>
  <si>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</si>
  <si>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</si>
  <si>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</si>
  <si>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</si>
  <si>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</si>
  <si>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</si>
  <si>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</si>
  <si>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</si>
  <si>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</si>
  <si>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</si>
  <si>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</si>
  <si>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</si>
  <si>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</si>
  <si>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</si>
  <si>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</si>
  <si>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</si>
  <si>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</si>
  <si>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</si>
  <si>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</si>
  <si>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</si>
  <si>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</si>
  <si>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</si>
  <si>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</si>
  <si>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</si>
  <si>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</si>
  <si>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</si>
  <si>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</si>
  <si>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</si>
  <si>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</si>
  <si>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</si>
  <si>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</si>
  <si>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</si>
  <si>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</si>
  <si>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</si>
  <si>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</si>
  <si>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</si>
  <si>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</si>
  <si>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</si>
  <si>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</si>
  <si>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</si>
  <si>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</si>
  <si>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</si>
  <si>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</si>
  <si>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</si>
  <si>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</si>
  <si>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</si>
  <si>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</si>
  <si>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</si>
  <si>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</si>
  <si>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</si>
  <si>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</si>
  <si>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</si>
  <si>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</si>
  <si>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</si>
  <si>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</si>
  <si>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</si>
  <si>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</si>
  <si>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</si>
  <si>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</si>
  <si>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</si>
  <si>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</si>
  <si>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</si>
  <si>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</si>
  <si>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</si>
  <si>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</si>
  <si>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</si>
  <si>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</si>
  <si>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</si>
  <si>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</si>
  <si>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</si>
  <si>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</si>
  <si>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</si>
  <si>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</si>
  <si>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</si>
  <si>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</si>
  <si>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</si>
  <si>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</si>
  <si>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</si>
  <si>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</si>
  <si>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</si>
  <si>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</si>
  <si>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</si>
  <si>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</si>
  <si>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</si>
  <si>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</si>
  <si>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</si>
  <si>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</si>
  <si>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</si>
  <si>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</si>
  <si>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</si>
  <si>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</si>
  <si>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</si>
  <si>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</si>
  <si>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</si>
  <si>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</si>
  <si>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</si>
  <si>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</si>
  <si>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</si>
  <si>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</si>
  <si>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</si>
  <si>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</si>
  <si>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</si>
  <si>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</si>
  <si>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</si>
  <si>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</si>
  <si>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</si>
  <si>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</si>
  <si>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</si>
  <si>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</si>
  <si>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</si>
  <si>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</si>
  <si>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</si>
  <si>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</si>
  <si>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</si>
  <si>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</si>
  <si>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</si>
  <si>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</si>
  <si>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</si>
  <si>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</si>
  <si>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</si>
  <si>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</si>
  <si>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</si>
  <si>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</si>
  <si>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</si>
  <si>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</si>
  <si>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</si>
  <si>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</si>
  <si>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</si>
  <si>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</si>
  <si>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</si>
  <si>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</si>
  <si>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</si>
  <si>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</si>
  <si>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</si>
  <si>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</si>
  <si>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</si>
  <si>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</si>
  <si>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</si>
  <si>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</si>
  <si>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</si>
  <si>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</si>
  <si>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</si>
  <si>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</si>
  <si>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</si>
  <si>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</si>
  <si>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</si>
  <si>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</si>
  <si>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</si>
  <si>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</si>
  <si>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</si>
  <si>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</si>
  <si>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</si>
  <si>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</si>
  <si>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</si>
  <si>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</si>
  <si>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</si>
  <si>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</si>
  <si>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</si>
  <si>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</si>
  <si>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</si>
  <si>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</si>
  <si>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</si>
  <si>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</si>
  <si>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</si>
  <si>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</si>
  <si>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</si>
  <si>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</si>
  <si>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</si>
  <si>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</si>
  <si>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</si>
  <si>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</si>
  <si>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</si>
  <si>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</si>
  <si>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</si>
  <si>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</si>
  <si>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</si>
  <si>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</si>
  <si>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</si>
  <si>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</si>
  <si>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</si>
  <si>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</si>
  <si>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</si>
  <si>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</si>
  <si>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</si>
  <si>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</si>
  <si>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</si>
  <si>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</si>
  <si>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</si>
  <si>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</si>
  <si>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</si>
  <si>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</si>
  <si>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</si>
  <si>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</si>
  <si>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</si>
  <si>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</si>
  <si>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</si>
  <si>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</si>
  <si>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</si>
  <si>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</si>
  <si>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</si>
  <si>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</si>
  <si>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</si>
  <si>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</si>
  <si>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</si>
  <si>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</si>
  <si>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</si>
  <si>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</si>
  <si>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</si>
  <si>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</si>
  <si>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</si>
  <si>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</si>
  <si>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</si>
  <si>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</si>
  <si>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</si>
  <si>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</si>
  <si>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</si>
  <si>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</si>
  <si>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</si>
  <si>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</si>
  <si>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</si>
  <si>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</si>
  <si>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</si>
  <si>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</si>
  <si>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</si>
  <si>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</si>
  <si>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</si>
  <si>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</si>
  <si>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</si>
  <si>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</si>
  <si>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</si>
  <si>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</si>
  <si>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</si>
  <si>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</si>
  <si>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</si>
  <si>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</si>
  <si>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</si>
  <si>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</si>
  <si>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</si>
  <si>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</si>
  <si>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</si>
  <si>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</si>
  <si>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</si>
  <si>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</si>
  <si>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</si>
  <si>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</si>
  <si>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</si>
  <si>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</si>
  <si>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</si>
  <si>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</si>
  <si>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</si>
  <si>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</si>
  <si>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</si>
  <si>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</si>
  <si>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</si>
  <si>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</si>
  <si>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</si>
  <si>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</si>
  <si>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</si>
  <si>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</si>
  <si>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</si>
  <si>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</si>
  <si>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</si>
  <si>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</si>
  <si>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</si>
  <si>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</si>
  <si>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</si>
  <si>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</si>
  <si>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</si>
  <si>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</si>
  <si>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</si>
  <si>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</si>
  <si>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</si>
  <si>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</si>
  <si>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</si>
  <si>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</si>
  <si>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</si>
  <si>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</si>
  <si>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</si>
  <si>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</si>
  <si>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</si>
  <si>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</si>
  <si>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</si>
  <si>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</si>
  <si>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</si>
  <si>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</si>
  <si>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</si>
  <si>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</si>
  <si>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</si>
  <si>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</si>
  <si>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</si>
  <si>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</si>
  <si>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</si>
  <si>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</si>
  <si>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</si>
  <si>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</si>
  <si>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</si>
  <si>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</si>
  <si>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</si>
  <si>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</si>
  <si>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</si>
  <si>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</si>
  <si>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</si>
  <si>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</si>
  <si>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</si>
  <si>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</si>
  <si>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</si>
  <si>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</si>
  <si>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</si>
  <si>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</si>
  <si>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</si>
  <si>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</si>
  <si>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</si>
  <si>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</si>
  <si>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</si>
  <si>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</si>
  <si>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</si>
  <si>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</si>
  <si>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</si>
  <si>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</si>
  <si>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</si>
  <si>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</si>
  <si>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</si>
  <si>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</si>
  <si>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</si>
  <si>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</si>
  <si>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</si>
  <si>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</si>
  <si>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</si>
  <si>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</si>
  <si>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</si>
  <si>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</si>
  <si>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</si>
  <si>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</si>
  <si>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</si>
  <si>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</si>
  <si>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</si>
  <si>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</si>
  <si>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</si>
  <si>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</si>
  <si>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</si>
  <si>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</si>
  <si>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</si>
  <si>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</si>
  <si>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</si>
  <si>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</si>
  <si>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</si>
  <si>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</si>
  <si>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</si>
  <si>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</si>
  <si>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</si>
  <si>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</si>
  <si>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</si>
  <si>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</si>
  <si>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</si>
  <si>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</si>
  <si>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</si>
  <si>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</si>
  <si>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</si>
  <si>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</si>
  <si>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</si>
  <si>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</si>
  <si>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</si>
  <si>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</si>
  <si>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</si>
  <si>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</si>
  <si>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</si>
  <si>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</si>
  <si>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</si>
  <si>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</si>
  <si>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</si>
  <si>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</si>
  <si>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</si>
  <si>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</si>
  <si>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</si>
  <si>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</si>
  <si>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</si>
  <si>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</si>
  <si>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</si>
  <si>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</si>
  <si>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</si>
  <si>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</si>
  <si>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</si>
  <si>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</si>
  <si>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</si>
  <si>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</si>
  <si>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</si>
  <si>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</si>
  <si>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</si>
  <si>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</si>
  <si>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</si>
  <si>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</si>
  <si>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</si>
  <si>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</si>
  <si>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</si>
  <si>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</si>
  <si>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</si>
  <si>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</si>
  <si>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</si>
  <si>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</si>
  <si>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</si>
  <si>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</si>
  <si>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</si>
  <si>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</si>
  <si>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</si>
  <si>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</si>
  <si>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</si>
  <si>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</si>
  <si>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</si>
  <si>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</si>
  <si>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</si>
  <si>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</si>
  <si>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</si>
  <si>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</si>
  <si>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</si>
  <si>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</si>
  <si>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</si>
  <si>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</si>
  <si>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</si>
  <si>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</si>
  <si>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</si>
  <si>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</si>
  <si>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</si>
  <si>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</si>
  <si>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</si>
  <si>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</si>
  <si>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</si>
  <si>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</si>
  <si>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</si>
  <si>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</si>
  <si>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</si>
  <si>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</si>
  <si>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</si>
  <si>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</si>
  <si>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</si>
  <si>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</si>
  <si>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</si>
  <si>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</si>
  <si>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</si>
  <si>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</si>
  <si>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</si>
  <si>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</si>
  <si>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</si>
  <si>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</si>
  <si>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</si>
  <si>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</si>
  <si>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</si>
  <si>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</si>
  <si>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</si>
  <si>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</si>
  <si>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</si>
  <si>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</si>
  <si>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</si>
  <si>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</si>
  <si>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</si>
  <si>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</si>
  <si>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</si>
  <si>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</si>
  <si>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</si>
  <si>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</si>
  <si>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</si>
  <si>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</si>
  <si>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</si>
  <si>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</si>
  <si>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</si>
  <si>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</si>
  <si>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</si>
  <si>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</si>
  <si>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</si>
  <si>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</si>
  <si>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</si>
  <si>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</si>
  <si>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</si>
  <si>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</si>
  <si>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</si>
  <si>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</si>
  <si>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</si>
  <si>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</si>
  <si>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</si>
  <si>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</si>
  <si>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</si>
  <si>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</si>
  <si>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</si>
  <si>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</si>
  <si>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</si>
  <si>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</si>
  <si>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</si>
  <si>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</si>
  <si>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</si>
  <si>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</si>
  <si>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</si>
  <si>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</si>
  <si>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</si>
  <si>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</si>
  <si>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</si>
  <si>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</si>
  <si>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</si>
  <si>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</si>
  <si>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</si>
  <si>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</si>
  <si>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</si>
  <si>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</si>
  <si>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</si>
  <si>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</si>
  <si>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</si>
  <si>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</si>
  <si>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</si>
  <si>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</si>
  <si>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</si>
  <si>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</si>
  <si>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</si>
  <si>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</si>
  <si>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</si>
  <si>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</si>
  <si>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</si>
  <si>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</si>
  <si>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</si>
  <si>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</si>
  <si>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</si>
  <si>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</si>
  <si>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</si>
  <si>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</si>
  <si>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</si>
  <si>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</si>
  <si>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</si>
  <si>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</si>
  <si>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</si>
  <si>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</si>
  <si>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</si>
  <si>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</si>
  <si>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</si>
  <si>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</si>
  <si>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</si>
  <si>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</si>
  <si>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</si>
  <si>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</si>
  <si>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</si>
  <si>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</si>
  <si>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</si>
  <si>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</si>
  <si>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</si>
  <si>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</si>
  <si>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</si>
  <si>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</si>
  <si>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</si>
  <si>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</si>
  <si>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</si>
  <si>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</si>
  <si>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</si>
  <si>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</si>
  <si>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</si>
  <si>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</si>
  <si>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</si>
  <si>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</si>
  <si>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</si>
  <si>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</si>
  <si>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</si>
  <si>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</si>
  <si>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</si>
  <si>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</si>
  <si>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</si>
  <si>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</si>
  <si>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</si>
  <si>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</si>
  <si>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</si>
  <si>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</si>
  <si>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</si>
  <si>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</si>
  <si>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</si>
  <si>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</si>
  <si>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</si>
  <si>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</si>
  <si>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</si>
  <si>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</si>
  <si>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</si>
  <si>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</si>
  <si>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</si>
  <si>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</si>
  <si>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</si>
  <si>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</si>
  <si>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</si>
  <si>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</si>
  <si>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</si>
  <si>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</si>
  <si>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</si>
  <si>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</si>
  <si>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</si>
  <si>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</si>
  <si>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</si>
  <si>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</si>
  <si>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</si>
  <si>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</si>
  <si>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</si>
  <si>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</si>
  <si>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</si>
  <si>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</si>
  <si>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</si>
  <si>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</si>
  <si>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</si>
  <si>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</si>
  <si>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</si>
  <si>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</si>
  <si>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</si>
  <si>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</si>
  <si>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</si>
  <si>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</si>
  <si>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</si>
  <si>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</si>
  <si>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</si>
  <si>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</si>
  <si>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</si>
  <si>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</si>
  <si>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</si>
  <si>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</si>
  <si>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</si>
  <si>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</si>
  <si>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</si>
  <si>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</si>
  <si>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</si>
  <si>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</si>
  <si>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</si>
  <si>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</si>
  <si>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</si>
  <si>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</si>
  <si>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</si>
  <si>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</si>
  <si>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</si>
  <si>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</si>
  <si>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</si>
  <si>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</si>
  <si>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</si>
  <si>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</si>
  <si>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</si>
  <si>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</si>
  <si>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</si>
  <si>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</si>
  <si>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</si>
  <si>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</si>
  <si>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</si>
  <si>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</si>
  <si>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</si>
  <si>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</si>
  <si>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</si>
  <si>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</si>
  <si>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</si>
  <si>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</si>
  <si>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</si>
  <si>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</si>
  <si>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</si>
  <si>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</si>
  <si>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</si>
  <si>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</si>
  <si>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</si>
  <si>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</si>
  <si>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</si>
  <si>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</si>
  <si>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</si>
  <si>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</si>
  <si>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</si>
  <si>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</si>
  <si>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</si>
  <si>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</si>
  <si>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</si>
  <si>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</si>
  <si>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</si>
  <si>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</si>
  <si>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</si>
  <si>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</si>
  <si>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</si>
  <si>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</si>
  <si>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</si>
  <si>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</si>
  <si>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</si>
  <si>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</si>
  <si>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</si>
  <si>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</si>
  <si>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</si>
  <si>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</si>
  <si>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</si>
  <si>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</si>
  <si>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</si>
  <si>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</si>
  <si>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</si>
  <si>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</si>
  <si>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</si>
  <si>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</si>
  <si>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</si>
  <si>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</si>
  <si>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</si>
  <si>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</si>
  <si>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</si>
  <si>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</si>
  <si>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</si>
  <si>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</si>
  <si>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</si>
  <si>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</si>
  <si>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</si>
  <si>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</si>
  <si>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</si>
  <si>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</si>
  <si>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</si>
  <si>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</si>
  <si>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</si>
  <si>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</si>
  <si>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</si>
  <si>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</si>
  <si>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</si>
  <si>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</si>
  <si>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</si>
  <si>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</si>
  <si>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</si>
  <si>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</si>
  <si>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</si>
  <si>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</si>
  <si>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</si>
  <si>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</si>
  <si>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</si>
  <si>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</si>
  <si>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</si>
  <si>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</si>
  <si>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</si>
  <si>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</si>
  <si>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</si>
  <si>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</si>
  <si>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</si>
  <si>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</si>
  <si>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</si>
  <si>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</si>
  <si>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</si>
  <si>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</si>
  <si>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</si>
  <si>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</si>
  <si>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</si>
  <si>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</si>
  <si>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</si>
  <si>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</si>
  <si>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</si>
  <si>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</si>
  <si>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</si>
  <si>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</si>
  <si>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</si>
  <si>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</si>
  <si>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</si>
  <si>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</si>
  <si>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</si>
  <si>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</si>
  <si>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</si>
  <si>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</si>
  <si>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</si>
  <si>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</si>
  <si>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</si>
  <si>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</si>
  <si>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</si>
  <si>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</si>
  <si>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</si>
  <si>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</si>
  <si>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</si>
  <si>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</si>
  <si>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</si>
  <si>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</si>
  <si>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</si>
  <si>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</si>
  <si>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</si>
  <si>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</si>
  <si>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</si>
  <si>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</si>
  <si>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</si>
  <si>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</si>
  <si>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</si>
  <si>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</si>
  <si>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</si>
  <si>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</si>
  <si>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</si>
  <si>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</si>
  <si>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</si>
  <si>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</si>
  <si>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</si>
  <si>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</si>
  <si>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</si>
  <si>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</si>
  <si>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</si>
  <si>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</si>
  <si>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</si>
  <si>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</si>
  <si>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</si>
  <si>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</si>
  <si>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</si>
  <si>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</si>
  <si>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</si>
  <si>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</si>
  <si>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</si>
  <si>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</si>
  <si>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</si>
  <si>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</si>
  <si>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</si>
  <si>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</si>
  <si>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</si>
  <si>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</si>
  <si>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</si>
  <si>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</si>
  <si>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</si>
  <si>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</si>
  <si>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</si>
  <si>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</si>
  <si>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</si>
  <si>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</si>
  <si>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</si>
  <si>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</si>
  <si>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</si>
  <si>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</si>
  <si>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</si>
  <si>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</si>
  <si>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</si>
  <si>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</si>
  <si>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</si>
  <si>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</si>
  <si>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</si>
  <si>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</si>
  <si>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</si>
  <si>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</si>
  <si>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</si>
  <si>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</si>
  <si>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</si>
  <si>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</si>
  <si>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</si>
  <si>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</si>
  <si>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</si>
  <si>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</si>
  <si>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</si>
  <si>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</si>
  <si>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</si>
  <si>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</si>
  <si>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</si>
  <si>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</si>
  <si>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</si>
  <si>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</si>
  <si>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</si>
  <si>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</si>
  <si>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</si>
  <si>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</si>
  <si>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</si>
  <si>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</si>
  <si>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</si>
  <si>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</si>
  <si>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</si>
  <si>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</si>
  <si>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</si>
  <si>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</si>
  <si>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</si>
  <si>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</si>
  <si>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</si>
  <si>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</si>
  <si>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</si>
  <si>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</si>
  <si>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</si>
  <si>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</si>
  <si>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</si>
  <si>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</si>
  <si>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</si>
  <si>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</si>
  <si>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</si>
  <si>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</si>
  <si>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</si>
  <si>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</si>
  <si>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</si>
  <si>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</si>
  <si>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</si>
  <si>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</si>
  <si>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</si>
  <si>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</si>
  <si>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</si>
  <si>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</si>
  <si>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</si>
  <si>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</si>
  <si>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</si>
  <si>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</si>
  <si>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</si>
  <si>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</si>
  <si>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</si>
  <si>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</si>
  <si>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</si>
  <si>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</si>
  <si>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</si>
  <si>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</si>
  <si>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</si>
  <si>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</si>
  <si>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</si>
  <si>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</si>
  <si>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</si>
  <si>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</si>
  <si>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</si>
  <si>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</si>
  <si>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</si>
  <si>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</si>
  <si>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</si>
  <si>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</si>
  <si>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</si>
  <si>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</si>
  <si>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</si>
  <si>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</si>
  <si>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</si>
  <si>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</si>
  <si>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</si>
  <si>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</si>
  <si>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</si>
  <si>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</si>
  <si>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</si>
  <si>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</si>
  <si>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</si>
  <si>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</si>
  <si>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</si>
  <si>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</si>
  <si>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</si>
  <si>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</si>
  <si>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</si>
  <si>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</si>
  <si>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</si>
  <si>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</si>
  <si>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</si>
  <si>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</si>
  <si>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</si>
  <si>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</si>
  <si>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</si>
  <si>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</si>
  <si>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</si>
  <si>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</si>
  <si>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</si>
  <si>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</si>
  <si>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</si>
  <si>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</si>
  <si>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</si>
  <si>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</si>
  <si>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</si>
  <si>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</si>
  <si>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</si>
  <si>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</si>
  <si>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</si>
  <si>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</si>
  <si>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</si>
  <si>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</si>
  <si>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</si>
  <si>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</si>
  <si>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</si>
  <si>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</si>
  <si>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</si>
  <si>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</si>
  <si>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</si>
  <si>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</si>
  <si>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</si>
  <si>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</si>
  <si>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</si>
  <si>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</si>
  <si>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</si>
  <si>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</si>
  <si>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</si>
  <si>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</si>
  <si>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</si>
  <si>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</si>
  <si>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</si>
  <si>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</si>
  <si>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</si>
  <si>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</si>
  <si>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</si>
  <si>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</si>
  <si>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</si>
  <si>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</si>
  <si>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</si>
  <si>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</si>
  <si>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</si>
  <si>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</si>
  <si>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</si>
  <si>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</si>
  <si>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</si>
  <si>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</si>
  <si>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</si>
  <si>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</si>
  <si>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</si>
  <si>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</si>
  <si>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</si>
  <si>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</si>
  <si>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</si>
  <si>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</si>
  <si>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</si>
  <si>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</si>
  <si>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</si>
  <si>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</si>
  <si>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</si>
  <si>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</si>
  <si>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</si>
  <si>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</si>
  <si>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</si>
  <si>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</si>
  <si>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</si>
  <si>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</si>
  <si>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</si>
  <si>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</si>
  <si>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</si>
  <si>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</si>
  <si>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</si>
  <si>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</si>
  <si>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</si>
  <si>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</si>
  <si>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</si>
  <si>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</si>
  <si>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</si>
  <si>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</si>
  <si>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</si>
  <si>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</si>
  <si>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</si>
  <si>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</si>
  <si>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</si>
  <si>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</si>
  <si>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</si>
  <si>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</si>
  <si>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</si>
  <si>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</si>
  <si>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</si>
  <si>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</si>
  <si>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</si>
  <si>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</si>
  <si>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</si>
  <si>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</si>
  <si>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</si>
  <si>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</si>
  <si>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</si>
  <si>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</si>
  <si>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</si>
  <si>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</si>
  <si>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</si>
  <si>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</si>
  <si>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</si>
  <si>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</si>
  <si>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</si>
  <si>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</si>
  <si>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</si>
  <si>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</si>
  <si>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</si>
  <si>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</si>
  <si>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</si>
  <si>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</si>
  <si>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</si>
  <si>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</si>
  <si>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</si>
  <si>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</si>
  <si>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</si>
  <si>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</si>
  <si>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</si>
  <si>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</si>
  <si>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</si>
  <si>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</si>
  <si>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</si>
  <si>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</si>
  <si>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</si>
  <si>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</si>
  <si>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</si>
  <si>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</si>
  <si>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</si>
  <si>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</si>
  <si>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</si>
  <si>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</si>
  <si>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</si>
  <si>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</si>
  <si>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</si>
  <si>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</si>
  <si>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</si>
  <si>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</si>
  <si>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</si>
  <si>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</si>
  <si>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</si>
  <si>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</si>
  <si>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</si>
  <si>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</si>
  <si>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</si>
  <si>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</si>
  <si>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</si>
  <si>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</si>
  <si>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</si>
  <si>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</si>
  <si>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</si>
  <si>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</si>
  <si>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</si>
  <si>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</si>
  <si>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</si>
  <si>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</si>
  <si>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</si>
  <si>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</si>
  <si>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</si>
  <si>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</si>
  <si>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</si>
  <si>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</si>
  <si>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</si>
  <si>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</si>
  <si>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</si>
  <si>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</si>
  <si>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</si>
  <si>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</si>
  <si>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</si>
  <si>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</si>
  <si>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</si>
  <si>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</si>
  <si>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</si>
  <si>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</si>
  <si>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</si>
  <si>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</si>
  <si>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</si>
  <si>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</si>
  <si>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</si>
  <si>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</si>
  <si>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</si>
  <si>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</si>
  <si>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</si>
  <si>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</si>
  <si>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</si>
  <si>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</si>
  <si>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</si>
  <si>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</si>
  <si>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</si>
  <si>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</si>
  <si>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</si>
  <si>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</si>
  <si>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</si>
  <si>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</si>
  <si>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</si>
  <si>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</si>
  <si>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</si>
  <si>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</si>
  <si>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</si>
  <si>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</si>
  <si>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</si>
  <si>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</si>
  <si>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</si>
  <si>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</si>
  <si>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</si>
  <si>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</si>
  <si>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</si>
  <si>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</si>
  <si>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</si>
  <si>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</si>
  <si>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</si>
  <si>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</si>
  <si>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</si>
  <si>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</si>
  <si>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</si>
  <si>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</si>
  <si>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</si>
  <si>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</si>
  <si>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</si>
  <si>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</si>
  <si>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</si>
  <si>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</si>
  <si>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</si>
  <si>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</si>
  <si>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</si>
  <si>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</si>
  <si>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</si>
  <si>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</si>
  <si>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</si>
  <si>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</si>
  <si>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</si>
  <si>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</si>
  <si>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</si>
  <si>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</si>
  <si>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</si>
  <si>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</si>
  <si>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</si>
  <si>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</si>
  <si>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</si>
  <si>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</si>
  <si>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</si>
  <si>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</si>
  <si>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</si>
  <si>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</si>
  <si>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</si>
  <si>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</si>
  <si>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</si>
  <si>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</si>
  <si>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</si>
  <si>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</si>
  <si>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</si>
  <si>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</si>
  <si>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</si>
  <si>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</si>
  <si>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</si>
  <si>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</si>
  <si>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</si>
  <si>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</si>
  <si>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</si>
  <si>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</si>
  <si>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</si>
  <si>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</si>
  <si>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</si>
  <si>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</si>
  <si>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</si>
  <si>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</si>
  <si>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</si>
  <si>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</si>
  <si>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</si>
  <si>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</si>
  <si>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</si>
  <si>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</si>
  <si>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</si>
  <si>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</si>
  <si>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</si>
  <si>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</si>
  <si>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</si>
  <si>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</si>
  <si>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</si>
  <si>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</si>
  <si>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</si>
  <si>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</si>
  <si>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</si>
  <si>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</si>
  <si>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</si>
  <si>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</si>
  <si>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</si>
  <si>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</si>
  <si>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</si>
  <si>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</si>
  <si>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</si>
  <si>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</si>
  <si>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</si>
  <si>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</si>
  <si>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</si>
  <si>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</si>
  <si>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</si>
  <si>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</si>
  <si>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</si>
  <si>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</si>
  <si>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</si>
  <si>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</si>
  <si>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</si>
  <si>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</si>
  <si>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</si>
  <si>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</si>
  <si>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</si>
  <si>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</si>
  <si>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</si>
  <si>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</si>
  <si>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</si>
  <si>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</si>
  <si>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</si>
  <si>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</si>
  <si>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</si>
  <si>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</si>
  <si>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</si>
  <si>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</si>
  <si>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</si>
  <si>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</si>
  <si>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</si>
  <si>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</si>
  <si>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</si>
  <si>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</si>
  <si>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</si>
  <si>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</si>
  <si>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</si>
  <si>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</si>
  <si>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</si>
  <si>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</si>
  <si>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</si>
  <si>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</si>
  <si>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</si>
  <si>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</si>
  <si>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</si>
  <si>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</si>
  <si>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</si>
  <si>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</si>
  <si>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</si>
  <si>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</si>
  <si>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</si>
  <si>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</si>
  <si>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</si>
  <si>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</si>
  <si>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</si>
  <si>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</si>
  <si>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</si>
  <si>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</si>
  <si>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</si>
  <si>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</si>
  <si>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</si>
  <si>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</si>
  <si>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</si>
  <si>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</si>
  <si>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</si>
  <si>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</si>
  <si>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</si>
  <si>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</si>
  <si>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</si>
  <si>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</si>
  <si>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</si>
  <si>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</si>
  <si>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</si>
  <si>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</si>
  <si>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</si>
  <si>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</si>
  <si>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</si>
  <si>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</si>
  <si>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</si>
  <si>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</si>
  <si>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</si>
  <si>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</si>
  <si>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</si>
  <si>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</si>
  <si>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</si>
  <si>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</si>
  <si>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</si>
  <si>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</si>
  <si>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</si>
  <si>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</si>
  <si>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</si>
  <si>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</si>
  <si>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</si>
  <si>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</si>
  <si>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</si>
  <si>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</si>
  <si>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</si>
  <si>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</si>
  <si>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</si>
  <si>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</si>
  <si>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</si>
  <si>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</si>
  <si>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</si>
  <si>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</si>
  <si>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</si>
  <si>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</si>
  <si>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</si>
  <si>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</si>
  <si>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</si>
  <si>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</si>
  <si>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</si>
  <si>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</si>
  <si>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</si>
  <si>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</si>
  <si>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</si>
  <si>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</si>
  <si>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</si>
  <si>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</si>
  <si>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</si>
  <si>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</si>
  <si>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</si>
  <si>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</si>
  <si>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</si>
  <si>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</si>
  <si>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</si>
  <si>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</si>
  <si>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</si>
  <si>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</si>
  <si>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</si>
  <si>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</si>
  <si>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</si>
  <si>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</si>
  <si>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</si>
  <si>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</si>
  <si>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</si>
  <si>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</si>
  <si>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</si>
  <si>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</si>
  <si>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</si>
  <si>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</si>
  <si>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</si>
  <si>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</si>
  <si>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</si>
  <si>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</si>
  <si>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</si>
  <si>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</si>
  <si>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</si>
  <si>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</si>
  <si>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</si>
  <si>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</si>
  <si>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</si>
  <si>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</si>
  <si>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</si>
  <si>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</si>
  <si>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</si>
  <si>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</si>
  <si>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</si>
  <si>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</si>
  <si>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</si>
  <si>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</si>
  <si>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</si>
  <si>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</si>
  <si>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</si>
  <si>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</si>
  <si>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</si>
  <si>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</si>
  <si>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</si>
  <si>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</si>
  <si>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</si>
  <si>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</si>
  <si>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</si>
  <si>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</si>
  <si>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</si>
  <si>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</si>
  <si>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</si>
  <si>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</si>
  <si>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</si>
  <si>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</si>
  <si>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</si>
  <si>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</si>
  <si>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</si>
  <si>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</si>
  <si>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</si>
  <si>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</si>
  <si>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</si>
  <si>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</si>
  <si>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</si>
  <si>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</si>
  <si>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</si>
  <si>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</si>
  <si>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</si>
  <si>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</si>
  <si>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</si>
  <si>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</si>
  <si>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</si>
  <si>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</si>
  <si>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</si>
  <si>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</si>
  <si>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</si>
  <si>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</si>
  <si>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</si>
  <si>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</si>
  <si>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</si>
  <si>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</si>
  <si>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</si>
  <si>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</si>
  <si>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</si>
  <si>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</si>
  <si>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</si>
  <si>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</si>
  <si>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</si>
  <si>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</si>
  <si>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</si>
  <si>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</si>
  <si>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</si>
  <si>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</si>
  <si>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</si>
  <si>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</si>
  <si>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</si>
  <si>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</si>
  <si>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</si>
  <si>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</si>
  <si>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</si>
  <si>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</si>
  <si>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</si>
  <si>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</si>
  <si>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</si>
  <si>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</si>
  <si>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</si>
  <si>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</si>
  <si>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</si>
  <si>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</si>
  <si>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</si>
  <si>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</si>
  <si>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</si>
  <si>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</si>
  <si>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</si>
  <si>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</si>
  <si>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</si>
  <si>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</si>
  <si>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</si>
  <si>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</si>
  <si>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</si>
  <si>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</si>
  <si>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</si>
  <si>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</si>
  <si>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</si>
  <si>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</si>
  <si>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</si>
  <si>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</si>
  <si>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</si>
  <si>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</si>
  <si>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</si>
  <si>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</si>
  <si>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</si>
  <si>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</si>
  <si>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</si>
  <si>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</si>
  <si>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</si>
  <si>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</si>
  <si>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</si>
  <si>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</si>
  <si>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</si>
  <si>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</si>
  <si>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</si>
  <si>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</si>
  <si>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</si>
  <si>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</si>
  <si>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</si>
  <si>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</si>
  <si>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</si>
  <si>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</si>
  <si>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</si>
  <si>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</si>
  <si>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</si>
  <si>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</si>
  <si>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</si>
  <si>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</si>
  <si>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</si>
  <si>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</si>
  <si>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</si>
  <si>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</si>
  <si>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</si>
  <si>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</si>
  <si>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</si>
  <si>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</si>
  <si>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</si>
  <si>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</si>
  <si>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</si>
  <si>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</si>
  <si>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</si>
  <si>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</si>
  <si>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</si>
  <si>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</si>
  <si>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</si>
  <si>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</si>
  <si>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</si>
  <si>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</si>
  <si>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</si>
  <si>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</si>
  <si>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</si>
  <si>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</si>
  <si>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</si>
  <si>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</si>
  <si>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</si>
  <si>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</si>
  <si>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</si>
  <si>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</si>
  <si>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</si>
  <si>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</si>
  <si>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</si>
  <si>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</si>
  <si>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</si>
  <si>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</si>
  <si>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</si>
  <si>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</si>
  <si>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</si>
  <si>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</si>
  <si>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</si>
  <si>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</si>
  <si>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</si>
  <si>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</si>
  <si>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</si>
  <si>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</si>
  <si>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</si>
  <si>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</si>
  <si>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</si>
  <si>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</si>
  <si>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</si>
  <si>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</si>
  <si>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</si>
  <si>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</si>
  <si>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</si>
  <si>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</si>
  <si>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</si>
  <si>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</si>
  <si>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</si>
  <si>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</si>
  <si>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</si>
  <si>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</si>
  <si>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</si>
  <si>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</si>
  <si>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</si>
  <si>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</si>
  <si>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</si>
  <si>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</si>
  <si>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</si>
  <si>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</si>
  <si>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</si>
  <si>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</si>
  <si>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</si>
  <si>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</si>
  <si>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</si>
  <si>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</si>
  <si>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</si>
  <si>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</si>
  <si>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</si>
  <si>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</si>
  <si>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</si>
  <si>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</si>
  <si>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</si>
  <si>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</si>
  <si>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</si>
  <si>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</si>
  <si>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</si>
  <si>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</si>
  <si>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</si>
  <si>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</si>
  <si>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</si>
  <si>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</si>
  <si>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</si>
  <si>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</si>
  <si>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</si>
  <si>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</si>
  <si>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</si>
  <si>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</si>
  <si>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</si>
  <si>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</si>
  <si>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</si>
  <si>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</si>
  <si>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</si>
  <si>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</si>
  <si>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</si>
  <si>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</si>
  <si>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</si>
  <si>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</si>
  <si>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</si>
  <si>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</si>
  <si>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</si>
  <si>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</si>
  <si>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</si>
  <si>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</si>
  <si>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</si>
  <si>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</si>
  <si>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</si>
  <si>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</si>
  <si>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</si>
  <si>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</si>
  <si>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</si>
  <si>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</si>
  <si>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</si>
  <si>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</si>
  <si>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</si>
  <si>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</si>
  <si>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</si>
  <si>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</si>
  <si>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</si>
  <si>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</si>
  <si>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</si>
  <si>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</si>
  <si>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</si>
  <si>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</si>
  <si>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</si>
  <si>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</si>
  <si>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</si>
  <si>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</si>
  <si>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</si>
  <si>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</si>
  <si>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</si>
  <si>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</si>
  <si>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</si>
  <si>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</si>
  <si>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</si>
  <si>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</si>
  <si>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</si>
  <si>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</si>
  <si>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</si>
  <si>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</si>
  <si>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</si>
  <si>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</si>
  <si>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</si>
  <si>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</si>
  <si>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</si>
  <si>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</si>
  <si>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</si>
  <si>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</si>
  <si>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</si>
  <si>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</si>
  <si>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</si>
  <si>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</si>
  <si>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</si>
  <si>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</si>
  <si>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</si>
  <si>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</si>
  <si>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</si>
  <si>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</si>
  <si>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</si>
  <si>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</si>
  <si>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</si>
  <si>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</si>
  <si>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</si>
  <si>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</si>
  <si>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</si>
  <si>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</si>
  <si>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</si>
  <si>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</si>
  <si>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</si>
  <si>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</si>
  <si>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</si>
  <si>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</si>
  <si>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</si>
  <si>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</si>
  <si>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</si>
  <si>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</si>
  <si>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</si>
  <si>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</si>
  <si>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</si>
  <si>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</si>
  <si>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</si>
  <si>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</si>
  <si>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</si>
  <si>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</si>
  <si>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</si>
  <si>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</si>
  <si>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</si>
  <si>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</si>
  <si>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</si>
  <si>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</si>
  <si>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</si>
  <si>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</si>
  <si>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</si>
  <si>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</si>
  <si>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</si>
  <si>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</si>
  <si>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</si>
  <si>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</si>
  <si>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</si>
  <si>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</si>
  <si>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</si>
  <si>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</si>
  <si>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</si>
  <si>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</si>
  <si>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</si>
  <si>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</si>
  <si>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</si>
  <si>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</si>
  <si>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</si>
  <si>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</si>
  <si>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</si>
  <si>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</si>
  <si>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</si>
  <si>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</si>
  <si>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</si>
  <si>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</si>
  <si>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</si>
  <si>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</si>
  <si>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</si>
  <si>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</si>
  <si>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</si>
  <si>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</si>
  <si>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</si>
  <si>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</si>
  <si>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</si>
  <si>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</si>
  <si>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</si>
  <si>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</si>
  <si>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</si>
  <si>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</si>
  <si>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</si>
  <si>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</si>
  <si>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</si>
  <si>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</si>
  <si>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</si>
  <si>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</si>
  <si>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</si>
  <si>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</si>
  <si>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</si>
  <si>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</si>
  <si>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</si>
  <si>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</si>
  <si>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</si>
  <si>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</si>
  <si>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</si>
  <si>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</si>
  <si>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</si>
  <si>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</si>
  <si>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</si>
  <si>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</si>
  <si>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</si>
  <si>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</si>
  <si>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</si>
  <si>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</si>
  <si>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</si>
  <si>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</si>
  <si>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</si>
  <si>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</si>
  <si>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</si>
  <si>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</si>
  <si>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</si>
  <si>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</si>
  <si>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</si>
  <si>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</si>
  <si>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</si>
  <si>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</si>
  <si>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</si>
  <si>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</si>
  <si>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</si>
  <si>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</si>
  <si>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</si>
  <si>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</si>
  <si>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</si>
  <si>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</si>
  <si>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</si>
  <si>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</si>
  <si>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</si>
  <si>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</si>
  <si>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</si>
  <si>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</si>
  <si>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</si>
  <si>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</si>
  <si>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</si>
  <si>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</si>
  <si>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</si>
  <si>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</si>
  <si>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</si>
  <si>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</si>
  <si>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</si>
  <si>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</si>
  <si>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</si>
  <si>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</si>
  <si>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</si>
  <si>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</si>
  <si>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</si>
  <si>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</si>
  <si>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</si>
  <si>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</si>
  <si>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</si>
  <si>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</si>
  <si>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</si>
  <si>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</si>
  <si>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</si>
  <si>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</si>
  <si>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</si>
  <si>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</si>
  <si>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</si>
  <si>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</si>
  <si>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</si>
  <si>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</si>
  <si>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</si>
  <si>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</si>
  <si>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</si>
  <si>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</si>
  <si>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</si>
  <si>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</si>
  <si>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</si>
  <si>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</si>
  <si>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</si>
  <si>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</si>
  <si>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</si>
  <si>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</si>
  <si>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</si>
  <si>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</si>
  <si>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</si>
  <si>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</si>
  <si>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</si>
  <si>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</si>
  <si>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</si>
  <si>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</si>
  <si>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</si>
  <si>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</si>
  <si>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</si>
  <si>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</si>
  <si>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</si>
  <si>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</si>
  <si>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</si>
  <si>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</si>
  <si>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</si>
  <si>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</si>
  <si>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</si>
  <si>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</si>
  <si>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</si>
  <si>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</si>
  <si>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</si>
  <si>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</si>
  <si>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</si>
  <si>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</si>
  <si>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</si>
  <si>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</si>
  <si>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</si>
  <si>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</si>
  <si>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</si>
  <si>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</si>
  <si>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</si>
  <si>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</si>
  <si>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</si>
  <si>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</si>
  <si>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</si>
  <si>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</si>
  <si>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</si>
  <si>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</si>
  <si>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</si>
  <si>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</si>
  <si>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</si>
  <si>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</si>
  <si>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</si>
  <si>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</si>
  <si>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</si>
  <si>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</si>
  <si>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</si>
  <si>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</si>
  <si>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</si>
  <si>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</si>
  <si>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</si>
  <si>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</si>
  <si>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</si>
  <si>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</si>
  <si>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</si>
  <si>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</si>
  <si>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</si>
  <si>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</si>
  <si>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</si>
  <si>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</si>
  <si>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</si>
  <si>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</si>
  <si>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</si>
  <si>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</si>
  <si>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</si>
  <si>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</si>
  <si>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</si>
  <si>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</si>
  <si>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</si>
  <si>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</si>
  <si>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</si>
  <si>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</si>
  <si>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</si>
  <si>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</si>
  <si>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</si>
  <si>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</si>
  <si>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</si>
  <si>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</si>
  <si>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</si>
  <si>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</si>
  <si>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</si>
  <si>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</si>
  <si>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</si>
  <si>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</si>
  <si>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</si>
  <si>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</si>
  <si>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</si>
  <si>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</si>
  <si>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</si>
  <si>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</si>
  <si>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</si>
  <si>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</si>
  <si>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</si>
  <si>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</si>
  <si>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</si>
  <si>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</si>
  <si>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</si>
  <si>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</si>
  <si>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</si>
  <si>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</si>
  <si>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</si>
  <si>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</si>
  <si>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</si>
  <si>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</si>
  <si>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</si>
  <si>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</si>
  <si>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</si>
  <si>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</si>
  <si>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</si>
  <si>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</si>
  <si>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</si>
  <si>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</si>
  <si>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</si>
  <si>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</si>
  <si>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</si>
  <si>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</si>
  <si>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</si>
  <si>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</si>
  <si>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</si>
  <si>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</si>
  <si>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</si>
  <si>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</si>
  <si>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</si>
  <si>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</si>
  <si>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</si>
  <si>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</si>
  <si>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</si>
  <si>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</si>
  <si>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</si>
  <si>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</si>
  <si>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</si>
  <si>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</si>
  <si>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</si>
  <si>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</si>
  <si>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</si>
  <si>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</si>
  <si>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</si>
  <si>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</si>
  <si>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</si>
  <si>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</si>
  <si>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</si>
  <si>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</si>
  <si>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</si>
  <si>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</si>
  <si>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</si>
  <si>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</si>
  <si>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</si>
  <si>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</si>
  <si>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</si>
  <si>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</si>
  <si>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</si>
  <si>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</si>
  <si>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</si>
  <si>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</si>
  <si>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</si>
  <si>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</si>
  <si>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</si>
  <si>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</si>
  <si>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</si>
  <si>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</si>
  <si>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</si>
  <si>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</si>
  <si>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</si>
  <si>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</si>
  <si>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</si>
  <si>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</si>
  <si>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</si>
  <si>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</si>
  <si>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</si>
  <si>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</si>
  <si>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</si>
  <si>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</si>
  <si>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</si>
  <si>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</si>
  <si>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</si>
  <si>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</si>
  <si>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</si>
  <si>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</si>
  <si>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</si>
  <si>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</si>
  <si>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</si>
  <si>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</si>
  <si>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</si>
  <si>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</si>
  <si>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</si>
  <si>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</si>
  <si>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</si>
  <si>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</si>
  <si>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</si>
  <si>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</si>
  <si>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</si>
  <si>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</si>
  <si>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</si>
  <si>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</si>
  <si>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</si>
  <si>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</si>
  <si>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</si>
  <si>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</si>
  <si>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</si>
  <si>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</si>
  <si>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</si>
  <si>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</si>
  <si>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</si>
  <si>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</si>
  <si>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</si>
  <si>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</si>
  <si>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</si>
  <si>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</si>
  <si>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</si>
  <si>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</si>
  <si>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</si>
  <si>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</si>
  <si>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</si>
  <si>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</si>
  <si>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</si>
  <si>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</si>
  <si>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</si>
  <si>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</si>
  <si>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</si>
  <si>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</si>
  <si>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</si>
  <si>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</si>
  <si>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</si>
  <si>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</si>
  <si>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</si>
  <si>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</si>
  <si>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</si>
  <si>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</si>
  <si>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</si>
  <si>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</si>
  <si>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</si>
  <si>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</si>
  <si>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</si>
  <si>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</si>
  <si>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</si>
  <si>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</si>
  <si>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</si>
  <si>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</si>
  <si>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</si>
  <si>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</si>
  <si>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</si>
  <si>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</si>
  <si>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</si>
  <si>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</si>
  <si>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</si>
  <si>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</si>
  <si>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</si>
  <si>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</si>
  <si>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</si>
  <si>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</si>
  <si>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</si>
  <si>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</si>
  <si>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</si>
  <si>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</si>
  <si>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</si>
  <si>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</si>
  <si>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</si>
  <si>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</si>
  <si>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</si>
  <si>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</si>
  <si>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</si>
  <si>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</si>
  <si>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</si>
  <si>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</si>
  <si>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</si>
  <si>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</si>
  <si>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</si>
  <si>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</si>
  <si>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</si>
  <si>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</si>
  <si>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</si>
  <si>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</si>
  <si>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</si>
  <si>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</si>
  <si>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</si>
  <si>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</si>
  <si>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</si>
  <si>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</si>
  <si>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</si>
  <si>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</si>
  <si>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</si>
  <si>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</si>
  <si>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</si>
  <si>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</si>
  <si>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</si>
  <si>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</si>
  <si>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</si>
  <si>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</si>
  <si>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</si>
  <si>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</si>
  <si>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</si>
  <si>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</si>
  <si>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</si>
  <si>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</si>
  <si>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</si>
  <si>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</si>
  <si>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</si>
  <si>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</si>
  <si>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</si>
  <si>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</si>
  <si>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</si>
  <si>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</si>
  <si>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</si>
  <si>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</si>
  <si>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</si>
  <si>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</si>
  <si>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</si>
  <si>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</si>
  <si>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</si>
  <si>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</si>
  <si>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</si>
  <si>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</si>
  <si>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</si>
  <si>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</si>
  <si>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</si>
  <si>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</si>
  <si>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</si>
  <si>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</si>
  <si>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</si>
  <si>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</si>
  <si>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</si>
  <si>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</si>
  <si>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</si>
  <si>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</si>
  <si>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</si>
  <si>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</si>
  <si>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</si>
  <si>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</si>
  <si>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</si>
  <si>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</si>
  <si>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</si>
  <si>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</si>
  <si>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</si>
  <si>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</si>
  <si>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</si>
  <si>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</si>
  <si>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</si>
  <si>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</si>
  <si>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</si>
  <si>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</si>
  <si>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</si>
  <si>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</si>
  <si>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</si>
  <si>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</si>
  <si>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</si>
  <si>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</si>
  <si>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</si>
  <si>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</si>
  <si>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</si>
  <si>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</si>
  <si>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</si>
  <si>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</si>
  <si>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</si>
  <si>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</si>
  <si>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</si>
  <si>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</si>
  <si>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</si>
  <si>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</si>
  <si>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</si>
  <si>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</si>
  <si>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</si>
  <si>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</si>
  <si>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</si>
  <si>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</si>
  <si>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</si>
  <si>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</si>
  <si>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</si>
  <si>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</si>
  <si>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</si>
  <si>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</si>
  <si>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</si>
  <si>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</si>
  <si>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</si>
  <si>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</si>
  <si>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</si>
  <si>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</si>
  <si>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</si>
  <si>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</si>
  <si>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</si>
  <si>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</si>
  <si>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</si>
  <si>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</si>
  <si>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</si>
  <si>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</si>
  <si>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</si>
  <si>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</si>
  <si>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</si>
  <si>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</si>
  <si>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</si>
  <si>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</si>
  <si>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</si>
  <si>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</si>
  <si>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</si>
  <si>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</si>
  <si>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</si>
  <si>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</si>
  <si>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</si>
  <si>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</si>
  <si>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</si>
  <si>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</si>
  <si>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</si>
  <si>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</si>
  <si>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</si>
  <si>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</si>
  <si>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</si>
  <si>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</si>
  <si>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</si>
  <si>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</si>
  <si>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</si>
  <si>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</si>
  <si>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</si>
  <si>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</si>
  <si>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</si>
  <si>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</si>
  <si>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</si>
  <si>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</si>
  <si>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</si>
  <si>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</si>
  <si>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</si>
  <si>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</si>
  <si>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</si>
  <si>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</si>
  <si>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</si>
  <si>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</si>
  <si>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</si>
  <si>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</si>
  <si>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</si>
  <si>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</si>
  <si>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</si>
  <si>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</si>
  <si>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</si>
  <si>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</si>
  <si>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</si>
  <si>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</si>
  <si>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</si>
  <si>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</si>
  <si>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</si>
  <si>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</si>
  <si>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</si>
  <si>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</si>
  <si>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</si>
  <si>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</si>
  <si>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</si>
  <si>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</si>
  <si>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</si>
  <si>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</si>
  <si>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</si>
  <si>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</si>
  <si>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</si>
  <si>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</si>
  <si>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</si>
  <si>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</si>
  <si>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</si>
  <si>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</si>
  <si>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</si>
  <si>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</si>
  <si>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</si>
  <si>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</si>
  <si>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</si>
  <si>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</si>
  <si>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</si>
  <si>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</si>
  <si>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</si>
  <si>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</si>
  <si>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</si>
  <si>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</si>
  <si>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</si>
  <si>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</si>
  <si>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</si>
  <si>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</si>
  <si>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</si>
  <si>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</si>
  <si>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</si>
  <si>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</si>
  <si>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</si>
  <si>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</si>
  <si>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</si>
  <si>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</si>
  <si>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</si>
  <si>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</si>
  <si>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</si>
  <si>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</si>
  <si>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</si>
  <si>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</si>
  <si>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</si>
  <si>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</si>
  <si>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</si>
  <si>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</si>
  <si>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</si>
  <si>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</si>
  <si>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</si>
  <si>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</si>
  <si>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</si>
  <si>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</si>
  <si>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</si>
  <si>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</si>
  <si>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</si>
  <si>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</si>
  <si>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</si>
  <si>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</si>
  <si>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</si>
  <si>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</si>
  <si>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</si>
  <si>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</si>
  <si>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</si>
  <si>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</si>
  <si>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</si>
  <si>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</si>
  <si>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</si>
  <si>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</si>
  <si>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</si>
  <si>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</si>
  <si>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</si>
  <si>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</si>
  <si>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</si>
  <si>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</si>
  <si>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</si>
  <si>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</si>
  <si>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</si>
  <si>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</si>
  <si>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</si>
  <si>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</si>
  <si>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</si>
  <si>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</si>
  <si>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</si>
  <si>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</si>
  <si>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</si>
  <si>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</si>
  <si>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</si>
  <si>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</si>
  <si>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</si>
  <si>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</si>
  <si>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</si>
  <si>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</si>
  <si>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</si>
  <si>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</si>
  <si>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</si>
  <si>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</si>
  <si>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</si>
  <si>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</si>
  <si>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</si>
  <si>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</si>
  <si>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</si>
  <si>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</si>
  <si>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</si>
  <si>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</si>
  <si>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</si>
  <si>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</si>
  <si>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</si>
  <si>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</si>
  <si>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</si>
  <si>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</si>
  <si>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</si>
  <si>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</si>
  <si>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</si>
  <si>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</si>
  <si>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</si>
  <si>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</si>
  <si>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</si>
  <si>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</si>
  <si>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</si>
  <si>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</si>
  <si>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</si>
  <si>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</si>
  <si>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</si>
  <si>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</si>
  <si>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</si>
  <si>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</si>
  <si>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</si>
  <si>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</si>
  <si>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</si>
  <si>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</si>
  <si>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</si>
  <si>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</si>
  <si>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</si>
  <si>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</si>
  <si>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</si>
  <si>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</si>
  <si>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</si>
  <si>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</si>
  <si>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</si>
  <si>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</si>
  <si>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</si>
  <si>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</si>
  <si>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</si>
  <si>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</si>
  <si>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</si>
  <si>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</si>
  <si>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</si>
  <si>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</si>
  <si>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</si>
  <si>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</si>
  <si>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</si>
  <si>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</si>
  <si>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</si>
  <si>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</si>
  <si>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</si>
  <si>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</si>
  <si>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</si>
  <si>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</si>
  <si>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</si>
  <si>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</si>
  <si>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</si>
  <si>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</si>
  <si>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</si>
  <si>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</si>
  <si>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</si>
  <si>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</si>
  <si>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</si>
  <si>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</si>
  <si>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</si>
  <si>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</si>
  <si>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</si>
  <si>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</si>
  <si>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</si>
  <si>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</si>
  <si>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</si>
  <si>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</si>
  <si>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</si>
  <si>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</si>
  <si>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</si>
  <si>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</si>
  <si>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</si>
  <si>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</si>
  <si>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</si>
  <si>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</si>
  <si>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</si>
  <si>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</si>
  <si>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</si>
  <si>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</si>
  <si>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</si>
  <si>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</si>
  <si>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</si>
  <si>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</si>
  <si>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</si>
  <si>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</si>
  <si>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</si>
  <si>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</si>
  <si>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</si>
  <si>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</si>
  <si>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</si>
  <si>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</si>
  <si>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</si>
  <si>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</si>
  <si>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</si>
  <si>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</si>
  <si>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</si>
  <si>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</si>
  <si>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</si>
  <si>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</si>
  <si>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</si>
  <si>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</si>
  <si>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</si>
  <si>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</si>
  <si>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</si>
  <si>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</si>
  <si>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</si>
  <si>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</si>
  <si>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</si>
  <si>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</si>
  <si>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</si>
  <si>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</si>
  <si>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</si>
  <si>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</si>
  <si>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</si>
  <si>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</si>
  <si>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</si>
  <si>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</si>
  <si>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</si>
  <si>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</si>
  <si>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</si>
  <si>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</si>
  <si>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</si>
  <si>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</si>
  <si>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</si>
  <si>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</si>
  <si>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</si>
  <si>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</si>
  <si>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</si>
  <si>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</si>
  <si>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</si>
  <si>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</si>
  <si>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</si>
  <si>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</si>
  <si>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</si>
  <si>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</si>
  <si>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</si>
  <si>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</si>
  <si>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</si>
  <si>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</si>
  <si>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</si>
  <si>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</si>
  <si>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</si>
  <si>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</si>
  <si>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</si>
  <si>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</si>
  <si>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</si>
  <si>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</si>
  <si>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</si>
  <si>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</si>
  <si>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</si>
  <si>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</si>
  <si>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</si>
  <si>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</si>
  <si>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</si>
  <si>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</si>
  <si>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</si>
  <si>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</si>
  <si>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</si>
  <si>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</si>
  <si>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</si>
  <si>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</si>
  <si>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</si>
  <si>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</si>
  <si>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</si>
  <si>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</si>
  <si>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</si>
  <si>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</si>
  <si>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</si>
  <si>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</si>
  <si>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</si>
  <si>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</si>
  <si>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</si>
  <si>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</si>
  <si>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</si>
  <si>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</si>
  <si>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</si>
  <si>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</si>
  <si>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</si>
  <si>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</si>
  <si>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</si>
  <si>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</si>
  <si>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</si>
  <si>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</si>
  <si>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</si>
  <si>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</si>
  <si>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</si>
  <si>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</si>
  <si>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</si>
  <si>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</si>
  <si>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</si>
  <si>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</si>
  <si>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</si>
  <si>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</si>
  <si>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</si>
  <si>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</si>
  <si>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</si>
  <si>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</si>
  <si>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</si>
  <si>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</si>
  <si>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</si>
  <si>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</si>
  <si>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</si>
  <si>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</si>
  <si>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</si>
  <si>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</si>
  <si>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</si>
  <si>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</si>
  <si>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</si>
  <si>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</si>
  <si>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</si>
  <si>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</si>
  <si>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</si>
  <si>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</si>
  <si>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</si>
  <si>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</si>
  <si>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</si>
  <si>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</si>
  <si>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</si>
  <si>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</si>
  <si>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</si>
  <si>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</si>
  <si>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</si>
  <si>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</si>
  <si>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</si>
  <si>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</si>
  <si>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</si>
  <si>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</si>
  <si>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</si>
  <si>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</si>
  <si>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</si>
  <si>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</si>
  <si>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</si>
  <si>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</si>
  <si>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</si>
  <si>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</si>
  <si>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</si>
  <si>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</si>
  <si>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</si>
  <si>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</si>
  <si>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</si>
  <si>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</si>
  <si>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</si>
  <si>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</si>
  <si>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</si>
  <si>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</si>
  <si>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</si>
  <si>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</si>
  <si>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</si>
  <si>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</si>
  <si>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</si>
  <si>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</si>
  <si>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</si>
  <si>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</si>
  <si>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</si>
  <si>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</si>
  <si>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</si>
  <si>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</si>
  <si>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</si>
  <si>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</si>
  <si>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</si>
  <si>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</si>
  <si>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</si>
  <si>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</si>
  <si>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</si>
  <si>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</si>
  <si>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</si>
  <si>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</si>
  <si>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</si>
  <si>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</si>
  <si>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</si>
  <si>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</si>
  <si>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</si>
  <si>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</si>
  <si>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</si>
  <si>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</si>
  <si>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</si>
  <si>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</si>
  <si>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</si>
  <si>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</si>
  <si>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</si>
  <si>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</si>
  <si>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</si>
  <si>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</si>
  <si>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</si>
  <si>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</si>
  <si>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</si>
  <si>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</si>
  <si>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</si>
  <si>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</si>
  <si>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</si>
  <si>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</si>
  <si>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</si>
  <si>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</si>
  <si>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</si>
  <si>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</si>
  <si>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</si>
  <si>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</si>
  <si>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</si>
  <si>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</si>
  <si>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</si>
  <si>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</si>
  <si>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</si>
  <si>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</si>
  <si>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</si>
  <si>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</si>
  <si>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</si>
  <si>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</si>
  <si>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</si>
  <si>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</si>
  <si>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</si>
  <si>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</si>
  <si>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</si>
  <si>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</si>
  <si>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</si>
  <si>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</si>
  <si>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</si>
  <si>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</si>
  <si>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</si>
  <si>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</si>
  <si>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</si>
  <si>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</si>
  <si>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</si>
  <si>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</si>
  <si>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</si>
  <si>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</si>
  <si>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</si>
  <si>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</si>
  <si>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</si>
  <si>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</si>
  <si>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</si>
  <si>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</si>
  <si>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</si>
  <si>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</si>
  <si>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</si>
  <si>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</si>
  <si>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</si>
  <si>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</si>
  <si>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</si>
  <si>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</si>
  <si>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</si>
  <si>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</si>
  <si>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</si>
  <si>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</si>
  <si>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</si>
  <si>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</si>
  <si>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</si>
  <si>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</si>
  <si>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</si>
  <si>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</si>
  <si>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</si>
  <si>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</si>
  <si>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</si>
  <si>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</si>
  <si>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</si>
  <si>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</si>
  <si>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</si>
  <si>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</si>
  <si>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</si>
  <si>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</si>
  <si>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</si>
  <si>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</si>
  <si>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</si>
  <si>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</si>
  <si>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</si>
  <si>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</si>
  <si>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</si>
  <si>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</si>
  <si>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</si>
  <si>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</si>
  <si>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</si>
  <si>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</si>
  <si>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</si>
  <si>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</si>
  <si>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</si>
  <si>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</si>
  <si>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</si>
  <si>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</si>
  <si>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</si>
  <si>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</si>
  <si>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</si>
  <si>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</si>
  <si>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</si>
  <si>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</si>
  <si>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</si>
  <si>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</si>
  <si>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</si>
  <si>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</si>
  <si>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</si>
  <si>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</si>
  <si>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</si>
  <si>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</si>
  <si>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</si>
  <si>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</si>
  <si>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</si>
  <si>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</si>
  <si>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</si>
  <si>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</si>
  <si>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</si>
  <si>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</si>
  <si>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</si>
  <si>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</si>
  <si>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</si>
  <si>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</si>
  <si>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</si>
  <si>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</si>
  <si>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</si>
  <si>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</si>
  <si>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</si>
  <si>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</si>
  <si>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</si>
  <si>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</si>
  <si>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</si>
  <si>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</si>
  <si>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</si>
  <si>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</si>
  <si>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</si>
  <si>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</si>
  <si>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</si>
  <si>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</si>
  <si>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</si>
  <si>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</si>
  <si>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</si>
  <si>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</si>
  <si>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</si>
  <si>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</si>
  <si>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</si>
  <si>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</si>
  <si>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</si>
  <si>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</si>
  <si>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</si>
  <si>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</si>
  <si>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</si>
  <si>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</si>
  <si>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</si>
  <si>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</si>
  <si>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</si>
  <si>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</si>
  <si>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</si>
  <si>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</si>
  <si>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</si>
  <si>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</si>
  <si>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</si>
  <si>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</si>
  <si>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</si>
  <si>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</si>
  <si>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</si>
  <si>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</si>
  <si>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</si>
  <si>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</si>
  <si>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</si>
  <si>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</si>
  <si>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</si>
  <si>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</si>
  <si>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</si>
  <si>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</si>
  <si>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</si>
  <si>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</si>
  <si>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</si>
  <si>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</si>
  <si>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</si>
  <si>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</si>
  <si>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</si>
  <si>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</si>
  <si>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</si>
  <si>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</si>
  <si>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</si>
  <si>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</si>
  <si>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</si>
  <si>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</si>
  <si>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</si>
  <si>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</si>
  <si>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</si>
  <si>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</si>
  <si>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</si>
  <si>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</si>
  <si>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</si>
  <si>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</si>
  <si>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</si>
  <si>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</si>
  <si>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</si>
  <si>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</si>
  <si>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</si>
  <si>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</si>
  <si>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</si>
  <si>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</si>
  <si>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</si>
  <si>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</si>
  <si>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</si>
  <si>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</si>
  <si>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</si>
  <si>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</si>
  <si>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</si>
  <si>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</si>
  <si>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</si>
  <si>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</si>
  <si>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</si>
  <si>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</si>
  <si>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</si>
  <si>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</si>
  <si>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</si>
  <si>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</si>
  <si>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</si>
  <si>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</si>
  <si>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</si>
  <si>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</si>
  <si>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</si>
  <si>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</si>
  <si>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</si>
  <si>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</si>
  <si>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</si>
  <si>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</si>
  <si>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</si>
  <si>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</si>
  <si>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</si>
  <si>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</si>
  <si>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</si>
  <si>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</si>
  <si>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</si>
  <si>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</si>
  <si>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</si>
  <si>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</si>
  <si>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</si>
  <si>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</si>
  <si>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</si>
  <si>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</si>
  <si>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</si>
  <si>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</si>
  <si>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</si>
  <si>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</si>
  <si>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</si>
  <si>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</si>
  <si>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</si>
  <si>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</si>
  <si>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</si>
  <si>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</si>
  <si>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</si>
  <si>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</si>
  <si>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</si>
  <si>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</si>
  <si>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</si>
  <si>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</si>
  <si>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</si>
  <si>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</si>
  <si>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</si>
  <si>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</si>
  <si>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</si>
  <si>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</si>
  <si>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</si>
  <si>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</si>
  <si>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</si>
  <si>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</si>
  <si>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</si>
  <si>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</si>
  <si>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</si>
  <si>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</si>
  <si>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</si>
  <si>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</si>
  <si>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</si>
  <si>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</si>
  <si>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</si>
  <si>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</si>
  <si>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</si>
  <si>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</si>
  <si>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</si>
  <si>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</si>
  <si>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</si>
  <si>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</si>
  <si>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</si>
  <si>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</si>
  <si>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</si>
  <si>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</si>
  <si>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</si>
  <si>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</si>
  <si>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</si>
  <si>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</si>
  <si>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</si>
  <si>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</si>
  <si>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</si>
  <si>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</si>
  <si>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</si>
  <si>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</si>
  <si>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</si>
  <si>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</si>
  <si>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</si>
  <si>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</si>
  <si>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</si>
  <si>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</si>
  <si>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</si>
  <si>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</si>
  <si>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</si>
  <si>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</si>
  <si>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</si>
  <si>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</si>
  <si>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</si>
  <si>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</si>
  <si>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</si>
  <si>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</si>
  <si>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</si>
  <si>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</si>
  <si>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</si>
  <si>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</si>
  <si>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</si>
  <si>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</si>
  <si>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</si>
  <si>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</si>
  <si>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</si>
  <si>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</si>
  <si>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</si>
  <si>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</si>
  <si>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</si>
  <si>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</si>
  <si>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</si>
  <si>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</si>
  <si>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</si>
  <si>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</si>
  <si>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</si>
  <si>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</si>
  <si>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</si>
  <si>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</si>
  <si>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</si>
  <si>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</si>
  <si>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</si>
  <si>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</si>
  <si>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</si>
  <si>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</si>
  <si>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</si>
  <si>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</si>
  <si>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</si>
  <si>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</si>
  <si>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</si>
  <si>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</si>
  <si>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</si>
  <si>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</si>
  <si>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</si>
  <si>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</si>
  <si>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</si>
  <si>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</si>
  <si>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</si>
  <si>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</si>
  <si>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</si>
  <si>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</si>
  <si>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</si>
  <si>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</si>
  <si>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</si>
  <si>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</si>
  <si>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</si>
  <si>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</si>
  <si>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</si>
  <si>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</si>
  <si>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</si>
  <si>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</si>
  <si>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</si>
  <si>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</si>
  <si>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</si>
  <si>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</si>
  <si>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</si>
  <si>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</si>
  <si>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</si>
  <si>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</si>
  <si>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</si>
  <si>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</si>
  <si>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</si>
  <si>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</si>
  <si>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</si>
  <si>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</si>
  <si>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</si>
  <si>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</si>
  <si>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</si>
  <si>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</si>
  <si>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</si>
  <si>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</si>
  <si>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</si>
  <si>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</si>
  <si>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</si>
  <si>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</si>
  <si>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</si>
  <si>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</si>
  <si>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</si>
  <si>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</si>
  <si>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</si>
  <si>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</si>
  <si>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</si>
  <si>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</si>
  <si>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</si>
  <si>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</si>
  <si>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</si>
  <si>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</si>
  <si>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</si>
  <si>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</si>
  <si>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</si>
  <si>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</si>
  <si>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</si>
  <si>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</si>
  <si>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</si>
  <si>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</si>
  <si>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</si>
  <si>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</si>
  <si>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</si>
  <si>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</si>
  <si>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</si>
  <si>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</si>
  <si>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</si>
  <si>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</si>
  <si>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</si>
  <si>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</si>
  <si>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</si>
  <si>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</si>
  <si>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</si>
  <si>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</si>
  <si>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</si>
  <si>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</si>
  <si>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</si>
  <si>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</si>
  <si>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</si>
  <si>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</si>
  <si>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</si>
  <si>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</si>
  <si>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</si>
  <si>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</si>
  <si>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</si>
  <si>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</si>
  <si>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</si>
  <si>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</si>
  <si>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</si>
  <si>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</si>
  <si>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</si>
  <si>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</si>
  <si>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</si>
  <si>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</si>
  <si>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</si>
  <si>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</si>
  <si>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</si>
  <si>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</si>
  <si>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</si>
  <si>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</si>
  <si>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</si>
  <si>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</si>
  <si>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</si>
  <si>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</si>
  <si>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</si>
  <si>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</si>
  <si>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</si>
  <si>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</si>
  <si>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</si>
  <si>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</si>
  <si>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</si>
  <si>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</si>
  <si>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</si>
  <si>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</si>
  <si>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</si>
  <si>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</si>
  <si>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</si>
  <si>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</si>
  <si>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</si>
  <si>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</si>
  <si>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</si>
  <si>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</si>
  <si>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</si>
  <si>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</si>
  <si>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</si>
  <si>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</si>
  <si>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</si>
  <si>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</si>
  <si>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</si>
  <si>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</si>
  <si>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</si>
  <si>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</si>
  <si>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</si>
  <si>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</si>
  <si>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</si>
  <si>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</si>
  <si>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</si>
  <si>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</si>
  <si>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</si>
  <si>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</si>
  <si>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</si>
  <si>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</si>
  <si>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</si>
  <si>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</si>
  <si>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</si>
  <si>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</si>
  <si>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</si>
  <si>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</si>
  <si>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</si>
  <si>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</si>
  <si>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</si>
  <si>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</si>
  <si>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</si>
  <si>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</si>
  <si>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</si>
  <si>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</si>
  <si>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</si>
  <si>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</si>
  <si>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</si>
  <si>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</si>
  <si>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</si>
  <si>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</si>
  <si>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</si>
  <si>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</si>
  <si>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</si>
  <si>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</si>
  <si>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</si>
  <si>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</si>
  <si>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</si>
  <si>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</si>
  <si>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</si>
  <si>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</si>
  <si>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</si>
  <si>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</si>
  <si>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</si>
  <si>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</si>
  <si>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</si>
  <si>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</si>
  <si>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</si>
  <si>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</si>
  <si>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</si>
  <si>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</si>
  <si>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</si>
  <si>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</si>
  <si>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</si>
  <si>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</si>
  <si>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</si>
  <si>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</si>
  <si>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</si>
  <si>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</si>
  <si>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</si>
  <si>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</si>
  <si>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</si>
  <si>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</si>
  <si>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</si>
  <si>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</si>
  <si>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</si>
  <si>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</si>
  <si>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</si>
  <si>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</si>
  <si>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</si>
  <si>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</si>
  <si>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</si>
  <si>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</si>
  <si>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</si>
  <si>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</si>
  <si>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</si>
  <si>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</si>
  <si>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</si>
  <si>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</si>
  <si>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</si>
  <si>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</si>
  <si>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</si>
  <si>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</si>
  <si>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</si>
  <si>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</si>
  <si>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</si>
  <si>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</si>
  <si>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</si>
  <si>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</si>
  <si>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</si>
  <si>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</si>
  <si>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</si>
  <si>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</si>
  <si>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</si>
  <si>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</si>
  <si>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</si>
  <si>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</si>
  <si>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</si>
  <si>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</si>
  <si>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</si>
  <si>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</si>
  <si>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</si>
  <si>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</si>
  <si>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</si>
  <si>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</si>
  <si>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</si>
  <si>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</si>
  <si>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</si>
  <si>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</si>
  <si>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</si>
  <si>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</si>
  <si>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</si>
  <si>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</si>
  <si>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</si>
  <si>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</si>
  <si>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</si>
  <si>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</si>
  <si>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</si>
  <si>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</si>
  <si>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</si>
  <si>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</si>
  <si>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</si>
  <si>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</si>
  <si>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</si>
  <si>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</si>
  <si>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</si>
  <si>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</si>
  <si>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</si>
  <si>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</si>
  <si>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</si>
  <si>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</si>
  <si>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</si>
  <si>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</si>
  <si>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</si>
  <si>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</si>
  <si>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</si>
  <si>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</si>
  <si>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</si>
  <si>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</si>
  <si>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</si>
  <si>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</si>
  <si>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</si>
  <si>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</si>
  <si>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</si>
  <si>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</si>
  <si>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</si>
  <si>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</si>
  <si>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</si>
  <si>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</si>
  <si>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</si>
  <si>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</si>
  <si>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</si>
  <si>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</si>
  <si>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</si>
  <si>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</si>
  <si>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</si>
  <si>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</si>
  <si>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</si>
  <si>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</si>
  <si>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</si>
  <si>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</si>
  <si>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</si>
  <si>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</si>
  <si>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</si>
  <si>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</si>
  <si>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</si>
  <si>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</si>
  <si>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</si>
  <si>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</si>
  <si>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</si>
  <si>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</si>
  <si>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</si>
  <si>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</si>
  <si>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</si>
  <si>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</si>
  <si>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</si>
  <si>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</si>
  <si>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</si>
  <si>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</si>
  <si>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</si>
  <si>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</si>
  <si>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</si>
  <si>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</si>
  <si>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</si>
  <si>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</si>
  <si>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</si>
  <si>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</si>
  <si>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</si>
  <si>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</si>
  <si>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</si>
  <si>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</si>
  <si>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</si>
  <si>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</si>
  <si>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</si>
  <si>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</si>
  <si>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</si>
  <si>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</si>
  <si>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</si>
  <si>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</si>
  <si>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</si>
  <si>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</si>
  <si>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</si>
  <si>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</si>
  <si>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</si>
  <si>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</si>
  <si>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</si>
  <si>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</si>
  <si>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</si>
  <si>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</si>
  <si>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</si>
  <si>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</si>
  <si>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</si>
  <si>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</si>
  <si>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</si>
  <si>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</si>
  <si>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</si>
  <si>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</si>
  <si>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</si>
  <si>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</si>
  <si>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</si>
  <si>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</si>
  <si>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</si>
  <si>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</si>
  <si>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</si>
  <si>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</si>
  <si>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</si>
  <si>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</si>
  <si>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</si>
  <si>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</si>
  <si>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</si>
  <si>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</si>
  <si>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</si>
  <si>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</si>
  <si>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</si>
  <si>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</si>
  <si>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</si>
  <si>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</si>
  <si>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</si>
  <si>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</si>
  <si>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</si>
  <si>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</si>
  <si>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</si>
  <si>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</si>
  <si>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</si>
  <si>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</si>
  <si>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</si>
  <si>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</si>
  <si>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</si>
  <si>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</si>
  <si>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</si>
  <si>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</si>
  <si>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</si>
  <si>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</si>
  <si>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</si>
  <si>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</si>
  <si>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</si>
  <si>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</si>
  <si>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</si>
  <si>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</si>
  <si>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</si>
  <si>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</si>
  <si>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</si>
  <si>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</si>
  <si>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</si>
  <si>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</si>
  <si>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</si>
  <si>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</si>
  <si>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</si>
  <si>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</si>
  <si>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</si>
  <si>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</si>
  <si>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</si>
  <si>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</si>
  <si>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</si>
  <si>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</si>
  <si>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</si>
  <si>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</si>
  <si>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</si>
  <si>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</si>
  <si>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</si>
  <si>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</si>
  <si>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</si>
  <si>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</si>
  <si>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</si>
  <si>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</si>
  <si>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</si>
  <si>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</si>
  <si>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</si>
  <si>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</si>
  <si>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</si>
  <si>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</si>
  <si>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</si>
  <si>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</si>
  <si>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</si>
  <si>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</si>
  <si>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</si>
  <si>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</si>
  <si>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</si>
  <si>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</si>
  <si>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</si>
  <si>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</si>
  <si>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</si>
  <si>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</si>
  <si>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</si>
  <si>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</si>
  <si>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</si>
  <si>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</si>
  <si>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</si>
  <si>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</si>
  <si>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</si>
  <si>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</si>
  <si>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</si>
  <si>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</si>
  <si>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</si>
  <si>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</si>
  <si>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</si>
  <si>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</si>
  <si>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</si>
  <si>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</si>
  <si>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</si>
  <si>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</si>
  <si>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</si>
  <si>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</si>
  <si>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</si>
  <si>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</si>
  <si>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</si>
  <si>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</si>
  <si>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</si>
  <si>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</si>
  <si>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</si>
  <si>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</si>
  <si>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</si>
  <si>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</si>
  <si>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</si>
  <si>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</si>
  <si>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</si>
  <si>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</si>
  <si>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</si>
  <si>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</si>
  <si>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</si>
  <si>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</si>
  <si>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</si>
  <si>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</si>
  <si>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</si>
  <si>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</si>
  <si>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</si>
  <si>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</si>
  <si>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</si>
  <si>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</si>
  <si>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</si>
  <si>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</si>
  <si>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</si>
  <si>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</si>
  <si>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</si>
  <si>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</si>
  <si>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</si>
  <si>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</si>
  <si>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</si>
  <si>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</si>
  <si>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</si>
  <si>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</si>
  <si>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</si>
  <si>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</si>
  <si>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</si>
  <si>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</si>
  <si>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</si>
  <si>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</si>
  <si>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</si>
  <si>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</si>
  <si>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</si>
  <si>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</si>
  <si>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</si>
  <si>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</si>
  <si>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</si>
  <si>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</si>
  <si>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</si>
  <si>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</si>
  <si>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</si>
  <si>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</si>
  <si>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</si>
  <si>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</si>
  <si>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</si>
  <si>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</si>
  <si>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</si>
  <si>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</si>
  <si>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</si>
  <si>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</si>
  <si>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</si>
  <si>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</si>
  <si>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</si>
  <si>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</si>
  <si>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</si>
  <si>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</si>
  <si>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</si>
  <si>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</si>
  <si>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</si>
  <si>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</si>
  <si>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</si>
  <si>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</si>
  <si>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</si>
  <si>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</si>
  <si>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</si>
  <si>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</si>
  <si>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</si>
  <si>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</si>
  <si>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</si>
  <si>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</si>
  <si>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</si>
  <si>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</si>
  <si>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</si>
  <si>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</si>
  <si>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</si>
  <si>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</si>
  <si>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</si>
  <si>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</si>
  <si>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</si>
  <si>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</si>
  <si>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</si>
  <si>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</si>
  <si>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</si>
  <si>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</si>
  <si>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</si>
  <si>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</si>
  <si>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</si>
  <si>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</si>
  <si>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</si>
  <si>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</si>
  <si>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</si>
  <si>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</si>
  <si>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</si>
  <si>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</si>
  <si>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</si>
  <si>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</si>
  <si>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</si>
  <si>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</si>
  <si>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</si>
  <si>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</si>
  <si>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</si>
  <si>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</si>
  <si>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</si>
  <si>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</si>
  <si>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</si>
  <si>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</si>
  <si>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</si>
  <si>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</si>
  <si>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</si>
  <si>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</si>
  <si>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</si>
  <si>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</si>
  <si>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</si>
  <si>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</si>
  <si>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</si>
  <si>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</si>
  <si>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</si>
  <si>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</si>
  <si>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</si>
  <si>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</si>
  <si>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</si>
  <si>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</si>
  <si>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</si>
  <si>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</si>
  <si>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</si>
  <si>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</si>
  <si>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</si>
  <si>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</si>
  <si>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</si>
  <si>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</si>
  <si>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</si>
  <si>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</si>
  <si>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</si>
  <si>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</si>
  <si>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</si>
  <si>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</si>
  <si>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</si>
  <si>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</si>
  <si>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</si>
  <si>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</si>
  <si>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</si>
  <si>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</si>
  <si>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</si>
  <si>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</si>
  <si>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</si>
  <si>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</si>
  <si>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</si>
  <si>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</si>
  <si>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</si>
  <si>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</si>
  <si>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</si>
  <si>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</si>
  <si>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</si>
  <si>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</si>
  <si>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</si>
  <si>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</si>
  <si>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</si>
  <si>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</si>
  <si>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</si>
  <si>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</si>
  <si>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</si>
  <si>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</si>
  <si>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</si>
  <si>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</si>
  <si>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</si>
  <si>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</si>
  <si>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</si>
  <si>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</si>
  <si>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</si>
  <si>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</si>
  <si>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</si>
  <si>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</si>
  <si>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</si>
  <si>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</si>
  <si>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</si>
  <si>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</si>
  <si>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</si>
  <si>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</si>
  <si>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</si>
  <si>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</si>
  <si>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</si>
  <si>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</si>
  <si>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</si>
  <si>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</si>
  <si>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</si>
  <si>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</si>
  <si>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</si>
  <si>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</si>
  <si>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</si>
  <si>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</si>
  <si>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</si>
  <si>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</si>
  <si>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</si>
  <si>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</si>
  <si>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</si>
  <si>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</si>
  <si>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</si>
  <si>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</si>
  <si>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</si>
  <si>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</si>
  <si>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</si>
  <si>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</si>
  <si>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</si>
  <si>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</si>
  <si>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</si>
  <si>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</si>
  <si>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</si>
  <si>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</si>
  <si>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</si>
  <si>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</si>
  <si>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</si>
  <si>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</si>
  <si>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</si>
  <si>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</si>
  <si>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</si>
  <si>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</si>
  <si>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</si>
  <si>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</si>
  <si>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</si>
  <si>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</si>
  <si>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</si>
  <si>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</si>
  <si>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</si>
  <si>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</si>
  <si>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</si>
  <si>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</si>
  <si>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</si>
  <si>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</si>
  <si>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</si>
  <si>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</si>
  <si>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</si>
  <si>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</si>
  <si>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</si>
  <si>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</si>
  <si>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</si>
  <si>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</si>
  <si>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</si>
  <si>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</si>
  <si>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</si>
  <si>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</si>
  <si>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</si>
  <si>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</si>
  <si>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</si>
  <si>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</si>
  <si>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</si>
  <si>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</si>
  <si>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</si>
  <si>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</si>
  <si>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</si>
  <si>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</si>
  <si>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</si>
  <si>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</si>
  <si>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</si>
  <si>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</si>
  <si>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</si>
  <si>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</si>
  <si>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</si>
  <si>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</si>
  <si>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</si>
  <si>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</si>
  <si>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</si>
  <si>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</si>
  <si>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</si>
  <si>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</si>
  <si>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</si>
  <si>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</si>
  <si>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</si>
  <si>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</si>
  <si>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</si>
  <si>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</si>
  <si>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</si>
  <si>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</si>
  <si>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</si>
  <si>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</si>
  <si>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</si>
  <si>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</si>
  <si>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</si>
  <si>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</si>
  <si>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</si>
  <si>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</si>
  <si>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</si>
  <si>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</si>
  <si>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</si>
  <si>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</si>
  <si>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</si>
  <si>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</si>
  <si>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</si>
  <si>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</si>
  <si>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</si>
  <si>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</si>
  <si>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</si>
  <si>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</si>
  <si>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</si>
  <si>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</si>
  <si>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</si>
  <si>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</si>
  <si>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</si>
  <si>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</si>
  <si>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</si>
  <si>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</si>
  <si>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</si>
  <si>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</si>
  <si>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</si>
  <si>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</si>
  <si>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</si>
  <si>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</si>
  <si>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</si>
  <si>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</si>
  <si>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</si>
  <si>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</si>
  <si>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</si>
  <si>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</si>
  <si>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</si>
  <si>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</si>
  <si>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</si>
  <si>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</si>
  <si>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</si>
  <si>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</si>
  <si>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</si>
  <si>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</si>
  <si>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</si>
  <si>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</si>
  <si>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</si>
  <si>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</si>
  <si>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</si>
  <si>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</si>
  <si>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</si>
  <si>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</si>
  <si>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</si>
  <si>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</si>
  <si>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</si>
  <si>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</si>
  <si>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</si>
  <si>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</si>
  <si>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</si>
  <si>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</si>
  <si>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</si>
  <si>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</si>
  <si>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</si>
  <si>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</si>
  <si>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</si>
  <si>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</si>
  <si>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</si>
  <si>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</si>
  <si>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</si>
  <si>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</si>
  <si>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</si>
  <si>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</si>
  <si>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</si>
  <si>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</si>
  <si>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</si>
  <si>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</si>
  <si>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</si>
  <si>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</si>
  <si>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</si>
  <si>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</si>
  <si>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</si>
  <si>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</si>
  <si>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</si>
  <si>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</si>
  <si>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</si>
  <si>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</si>
  <si>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</si>
  <si>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</si>
  <si>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</si>
  <si>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</si>
  <si>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</si>
  <si>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</si>
  <si>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</si>
  <si>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</si>
  <si>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</si>
  <si>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</si>
  <si>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</si>
  <si>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</si>
  <si>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</si>
  <si>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</si>
  <si>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</si>
  <si>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</si>
  <si>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</si>
  <si>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</si>
  <si>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</si>
  <si>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</si>
  <si>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</si>
  <si>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</si>
  <si>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</si>
  <si>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</si>
  <si>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</si>
  <si>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</si>
  <si>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</si>
  <si>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</si>
  <si>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</si>
  <si>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</si>
  <si>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</si>
  <si>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</si>
  <si>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</si>
  <si>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</si>
  <si>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</si>
  <si>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</si>
  <si>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</si>
  <si>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</si>
  <si>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</si>
  <si>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</si>
  <si>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</si>
  <si>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</si>
  <si>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</si>
  <si>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</si>
  <si>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</si>
  <si>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</si>
  <si>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</si>
  <si>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</si>
  <si>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</si>
  <si>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</si>
  <si>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</si>
  <si>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</si>
  <si>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</si>
  <si>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</si>
  <si>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</si>
  <si>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</si>
  <si>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</si>
  <si>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</si>
  <si>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</si>
  <si>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</si>
  <si>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</si>
  <si>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</si>
  <si>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</si>
  <si>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</si>
  <si>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</si>
  <si>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</si>
  <si>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</si>
  <si>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</si>
  <si>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</si>
  <si>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</si>
  <si>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</si>
  <si>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</si>
  <si>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</si>
  <si>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</si>
  <si>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</si>
  <si>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</si>
  <si>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</si>
  <si>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</si>
  <si>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</si>
  <si>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</si>
  <si>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</si>
  <si>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</si>
  <si>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</si>
  <si>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</si>
  <si>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</si>
  <si>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</si>
  <si>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</si>
  <si>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</si>
  <si>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</si>
  <si>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</si>
  <si>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</si>
  <si>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</si>
  <si>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</si>
  <si>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</si>
  <si>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</si>
  <si>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</si>
  <si>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</si>
  <si>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</si>
  <si>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</si>
  <si>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</si>
  <si>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</si>
  <si>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</si>
  <si>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</si>
  <si>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</si>
  <si>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</si>
  <si>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</si>
  <si>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</si>
  <si>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</si>
  <si>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</si>
  <si>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</si>
  <si>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</si>
  <si>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</si>
  <si>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</si>
  <si>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</si>
  <si>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</si>
  <si>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</si>
  <si>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</si>
  <si>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</si>
  <si>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</si>
  <si>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</si>
  <si>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</si>
  <si>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</si>
  <si>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</si>
  <si>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</si>
  <si>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</si>
  <si>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</si>
  <si>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</si>
  <si>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</si>
  <si>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</si>
  <si>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</si>
  <si>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</si>
  <si>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</si>
  <si>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</si>
  <si>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</si>
  <si>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</si>
  <si>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</si>
  <si>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</si>
  <si>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</si>
  <si>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</si>
  <si>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</si>
  <si>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</si>
  <si>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</si>
  <si>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</si>
  <si>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</si>
  <si>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</si>
  <si>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</si>
  <si>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</si>
  <si>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</si>
  <si>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</si>
  <si>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</si>
  <si>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</si>
  <si>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</si>
  <si>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</si>
  <si>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</si>
  <si>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</si>
  <si>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</si>
  <si>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</si>
  <si>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</si>
  <si>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</si>
  <si>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</si>
  <si>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</si>
  <si>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</si>
  <si>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</si>
  <si>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</si>
  <si>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</si>
  <si>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</si>
  <si>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</si>
  <si>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</si>
  <si>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</si>
  <si>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</si>
  <si>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</si>
  <si>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</si>
  <si>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</si>
  <si>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</si>
  <si>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</si>
  <si>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</si>
  <si>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</si>
  <si>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</si>
  <si>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</si>
  <si>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</si>
  <si>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</si>
  <si>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</si>
  <si>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</si>
  <si>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</si>
  <si>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</si>
  <si>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</si>
  <si>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</si>
  <si>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</si>
  <si>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</si>
  <si>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</si>
  <si>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</si>
  <si>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</si>
  <si>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</si>
  <si>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</si>
  <si>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</si>
  <si>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</si>
  <si>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</si>
  <si>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</si>
  <si>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</si>
  <si>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</si>
  <si>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</si>
  <si>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</si>
  <si>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</si>
  <si>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</si>
  <si>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</si>
  <si>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</si>
  <si>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</si>
  <si>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</si>
  <si>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</si>
  <si>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</si>
  <si>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</si>
  <si>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</si>
  <si>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</si>
  <si>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</si>
  <si>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</si>
  <si>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</si>
  <si>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</si>
  <si>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</si>
  <si>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</si>
  <si>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</si>
  <si>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</si>
  <si>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</si>
  <si>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</si>
  <si>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</si>
  <si>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</si>
  <si>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</si>
  <si>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</si>
  <si>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</si>
  <si>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</si>
  <si>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</si>
  <si>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</si>
  <si>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</si>
  <si>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</si>
  <si>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</si>
  <si>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</si>
  <si>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</si>
  <si>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</si>
  <si>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</si>
  <si>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</si>
  <si>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</si>
  <si>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</si>
  <si>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</si>
  <si>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</si>
  <si>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</si>
  <si>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</si>
  <si>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</si>
  <si>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</si>
  <si>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</si>
  <si>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</si>
  <si>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</si>
  <si>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</si>
  <si>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</si>
  <si>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</si>
  <si>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</si>
  <si>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</si>
  <si>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</si>
  <si>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</si>
  <si>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</si>
  <si>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</si>
  <si>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</si>
  <si>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</si>
  <si>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</si>
  <si>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</si>
  <si>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</si>
  <si>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</si>
  <si>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</si>
  <si>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</si>
  <si>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</si>
  <si>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</si>
  <si>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</si>
  <si>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</si>
  <si>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</si>
  <si>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</si>
  <si>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</si>
  <si>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</si>
  <si>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</si>
  <si>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</si>
  <si>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</si>
  <si>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</si>
  <si>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</si>
  <si>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</si>
  <si>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</si>
  <si>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</si>
  <si>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</si>
  <si>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</si>
  <si>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</si>
  <si>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</si>
  <si>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</si>
  <si>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</si>
  <si>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</si>
  <si>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</si>
  <si>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</si>
  <si>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</si>
  <si>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</si>
  <si>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</si>
  <si>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</si>
  <si>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</si>
  <si>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</si>
  <si>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</si>
  <si>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</si>
  <si>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</si>
  <si>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</si>
  <si>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</si>
  <si>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</si>
  <si>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</si>
  <si>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</si>
  <si>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</si>
  <si>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</si>
  <si>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</si>
  <si>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</si>
  <si>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</si>
  <si>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</si>
  <si>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</si>
  <si>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</si>
  <si>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</si>
  <si>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</si>
  <si>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</si>
  <si>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</si>
  <si>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</si>
  <si>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</si>
  <si>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</si>
  <si>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</si>
  <si>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</si>
  <si>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</si>
  <si>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</si>
  <si>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</si>
  <si>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</si>
  <si>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</si>
  <si>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</si>
  <si>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</si>
  <si>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</si>
  <si>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</si>
  <si>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</si>
  <si>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</si>
  <si>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</si>
  <si>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</si>
  <si>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</si>
  <si>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</si>
  <si>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</si>
  <si>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</si>
  <si>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</si>
  <si>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</si>
  <si>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</si>
  <si>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</si>
  <si>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</si>
  <si>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</si>
  <si>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</si>
  <si>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</si>
  <si>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</si>
  <si>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</si>
  <si>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</si>
  <si>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</si>
  <si>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</si>
  <si>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</si>
  <si>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</si>
  <si>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</si>
  <si>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</si>
  <si>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</si>
  <si>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</si>
  <si>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</si>
  <si>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</si>
  <si>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</si>
  <si>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</si>
  <si>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</si>
  <si>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</si>
  <si>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</si>
  <si>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</si>
  <si>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</si>
  <si>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</si>
  <si>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</si>
  <si>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</si>
  <si>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</si>
  <si>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</si>
  <si>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</si>
  <si>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</si>
  <si>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</si>
  <si>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</si>
  <si>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</si>
  <si>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</si>
  <si>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</si>
  <si>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</si>
  <si>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</si>
  <si>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</si>
  <si>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</si>
  <si>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</si>
  <si>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</si>
  <si>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</si>
  <si>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</si>
  <si>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</si>
  <si>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</si>
  <si>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</si>
  <si>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</si>
  <si>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</si>
  <si>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</si>
  <si>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</si>
  <si>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</si>
  <si>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</si>
  <si>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</si>
  <si>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</si>
  <si>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</si>
  <si>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</si>
  <si>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</si>
  <si>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</si>
  <si>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</si>
  <si>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</si>
  <si>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</si>
  <si>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</si>
  <si>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</si>
  <si>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</si>
  <si>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</si>
  <si>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</si>
  <si>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</si>
  <si>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</si>
  <si>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</si>
  <si>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</si>
  <si>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</si>
  <si>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</si>
  <si>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</si>
  <si>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</si>
  <si>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</si>
  <si>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</si>
  <si>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</si>
  <si>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</si>
  <si>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</si>
  <si>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</si>
  <si>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</si>
  <si>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</si>
  <si>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</si>
  <si>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</si>
  <si>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</si>
  <si>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</si>
  <si>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</si>
  <si>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</si>
  <si>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</si>
  <si>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</si>
  <si>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</si>
  <si>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</si>
  <si>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</si>
  <si>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</si>
  <si>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</si>
  <si>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</si>
  <si>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</si>
  <si>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</si>
  <si>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</si>
  <si>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</si>
  <si>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</si>
  <si>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</si>
  <si>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</si>
  <si>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</si>
  <si>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</si>
  <si>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</si>
  <si>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</si>
  <si>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</si>
  <si>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</si>
  <si>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</si>
  <si>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</si>
  <si>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</si>
  <si>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</si>
  <si>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</si>
  <si>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</si>
  <si>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</si>
  <si>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</si>
  <si>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</si>
  <si>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</si>
  <si>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</si>
  <si>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</si>
  <si>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</si>
  <si>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</si>
  <si>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</si>
  <si>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</si>
  <si>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</si>
  <si>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</si>
  <si>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</si>
  <si>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</si>
  <si>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</si>
  <si>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</si>
  <si>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</si>
  <si>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</si>
  <si>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</si>
  <si>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</si>
  <si>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</si>
  <si>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</si>
  <si>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</si>
  <si>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</si>
  <si>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</si>
  <si>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</si>
  <si>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</si>
  <si>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</si>
  <si>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</si>
  <si>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</si>
  <si>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</si>
  <si>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</si>
  <si>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</si>
  <si>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</si>
  <si>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</si>
  <si>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</si>
  <si>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</si>
  <si>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</si>
  <si>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</si>
  <si>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</si>
  <si>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</si>
  <si>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</si>
  <si>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</si>
  <si>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</si>
  <si>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</si>
  <si>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</si>
  <si>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</si>
  <si>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</si>
  <si>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</si>
  <si>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</si>
  <si>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</si>
  <si>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</si>
  <si>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</si>
  <si>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</si>
  <si>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</si>
  <si>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</si>
  <si>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</si>
  <si>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</si>
  <si>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</si>
  <si>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</si>
  <si>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</si>
  <si>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</si>
  <si>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</si>
  <si>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</si>
  <si>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</si>
  <si>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</si>
  <si>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</si>
  <si>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</si>
  <si>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</si>
  <si>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</si>
  <si>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</si>
  <si>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</si>
  <si>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</si>
  <si>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</si>
  <si>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</si>
  <si>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</si>
  <si>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</si>
  <si>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</si>
  <si>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</si>
  <si>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</si>
  <si>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</si>
  <si>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</si>
  <si>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</si>
  <si>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</si>
  <si>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</si>
  <si>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</si>
  <si>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</si>
  <si>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</si>
  <si>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</si>
  <si>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</si>
  <si>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</si>
  <si>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</si>
  <si>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</si>
  <si>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</si>
  <si>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</si>
  <si>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</si>
  <si>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</si>
  <si>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</si>
  <si>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</si>
  <si>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</si>
  <si>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</si>
  <si>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</si>
  <si>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</si>
  <si>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</si>
  <si>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</si>
  <si>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</si>
  <si>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</si>
  <si>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</si>
  <si>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</si>
  <si>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</si>
  <si>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</si>
  <si>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</si>
  <si>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</si>
  <si>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</si>
  <si>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</si>
  <si>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</si>
  <si>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</si>
  <si>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</si>
  <si>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</si>
  <si>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</si>
  <si>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</si>
  <si>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</si>
  <si>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</si>
  <si>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</si>
  <si>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</si>
  <si>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</si>
  <si>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</si>
  <si>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</si>
  <si>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</si>
  <si>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</si>
  <si>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</si>
  <si>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</si>
  <si>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</si>
  <si>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</si>
  <si>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</si>
  <si>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</si>
  <si>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</si>
  <si>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</si>
  <si>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</si>
  <si>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</si>
  <si>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</si>
  <si>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</si>
  <si>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</si>
  <si>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</si>
  <si>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</si>
  <si>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</si>
  <si>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</si>
  <si>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</si>
  <si>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</si>
  <si>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</si>
  <si>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</si>
  <si>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</si>
  <si>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</si>
  <si>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</si>
  <si>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</si>
  <si>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</si>
  <si>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</si>
  <si>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</si>
  <si>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</si>
  <si>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</si>
  <si>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</si>
  <si>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</si>
  <si>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</si>
  <si>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</si>
  <si>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</si>
  <si>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</si>
  <si>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</si>
  <si>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</si>
  <si>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</si>
  <si>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</si>
  <si>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</si>
  <si>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</si>
  <si>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</si>
  <si>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</si>
  <si>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</si>
  <si>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</si>
  <si>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</si>
  <si>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</si>
  <si>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</si>
  <si>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</si>
  <si>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</si>
  <si>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</si>
  <si>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</si>
  <si>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</si>
  <si>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</si>
  <si>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</si>
  <si>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</si>
  <si>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</si>
  <si>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</si>
  <si>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</si>
  <si>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</si>
  <si>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</si>
  <si>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</si>
  <si>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</si>
  <si>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</si>
  <si>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</si>
  <si>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</si>
  <si>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</si>
  <si>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</si>
  <si>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</si>
  <si>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</si>
  <si>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</si>
  <si>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</si>
  <si>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</si>
  <si>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</si>
  <si>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</si>
  <si>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</si>
  <si>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</si>
  <si>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</si>
  <si>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</si>
  <si>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</si>
  <si>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</si>
  <si>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</si>
  <si>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</si>
  <si>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</si>
  <si>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</si>
  <si>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</si>
  <si>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</si>
  <si>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</si>
  <si>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</si>
  <si>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</si>
  <si>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</si>
  <si>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</si>
  <si>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</si>
  <si>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</si>
  <si>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</si>
  <si>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</si>
  <si>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</si>
  <si>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</si>
  <si>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</si>
  <si>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</si>
  <si>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</si>
  <si>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</si>
  <si>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</si>
  <si>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</si>
  <si>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</si>
  <si>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</si>
  <si>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</si>
  <si>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</si>
  <si>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</si>
  <si>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</si>
  <si>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</si>
  <si>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</si>
  <si>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</si>
  <si>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</si>
  <si>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</si>
  <si>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</si>
  <si>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</si>
  <si>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</si>
  <si>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</si>
  <si>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</si>
  <si>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</si>
  <si>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</si>
  <si>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</si>
  <si>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</si>
  <si>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</si>
  <si>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</si>
  <si>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</si>
  <si>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</si>
  <si>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</si>
  <si>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</si>
  <si>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</si>
  <si>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</si>
  <si>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</si>
  <si>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</si>
  <si>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</si>
  <si>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</si>
  <si>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</si>
  <si>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</si>
  <si>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</si>
  <si>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</si>
  <si>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</si>
  <si>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</si>
  <si>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</si>
  <si>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</si>
  <si>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</si>
  <si>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</si>
  <si>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</si>
  <si>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</si>
  <si>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</si>
  <si>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</si>
  <si>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</si>
  <si>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</si>
  <si>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</si>
  <si>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</si>
  <si>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</si>
  <si>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</si>
  <si>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</si>
  <si>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</si>
  <si>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</si>
  <si>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</si>
  <si>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</si>
  <si>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</si>
  <si>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</si>
  <si>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</si>
  <si>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</si>
  <si>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</si>
  <si>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</si>
  <si>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</si>
  <si>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</si>
  <si>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</si>
  <si>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</si>
  <si>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</si>
  <si>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</si>
  <si>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</si>
  <si>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</si>
  <si>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</si>
  <si>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</si>
  <si>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</si>
  <si>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</si>
  <si>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</si>
  <si>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</si>
  <si>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</si>
  <si>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</si>
  <si>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</si>
  <si>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</si>
  <si>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</si>
  <si>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</si>
  <si>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</si>
  <si>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</si>
  <si>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</si>
  <si>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</si>
  <si>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</si>
  <si>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</si>
  <si>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</si>
  <si>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</si>
  <si>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</si>
  <si>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</si>
  <si>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</si>
  <si>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</si>
  <si>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</si>
  <si>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</si>
  <si>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</si>
  <si>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</si>
  <si>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</si>
  <si>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</si>
  <si>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</si>
  <si>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</si>
  <si>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</si>
  <si>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</si>
  <si>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</si>
  <si>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</si>
  <si>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</si>
  <si>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</si>
  <si>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</si>
  <si>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</si>
  <si>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</si>
  <si>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</si>
  <si>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</si>
  <si>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</si>
  <si>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</si>
  <si>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</si>
  <si>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</si>
  <si>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</si>
  <si>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</si>
  <si>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</si>
  <si>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</si>
  <si>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</si>
  <si>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</si>
  <si>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</si>
  <si>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</si>
  <si>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</si>
  <si>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</si>
  <si>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</si>
  <si>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</si>
  <si>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</si>
  <si>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</si>
  <si>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</si>
  <si>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</si>
  <si>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</si>
  <si>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</si>
  <si>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</si>
  <si>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</si>
  <si>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</si>
  <si>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</si>
  <si>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</si>
  <si>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</si>
  <si>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</si>
  <si>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</si>
  <si>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</si>
  <si>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</si>
  <si>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</si>
  <si>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</si>
  <si>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</si>
  <si>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</si>
  <si>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</si>
  <si>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</si>
  <si>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</si>
  <si>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</si>
  <si>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</si>
  <si>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</si>
  <si>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</si>
  <si>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</si>
  <si>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</si>
  <si>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</si>
  <si>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</si>
  <si>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</si>
  <si>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</si>
  <si>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</si>
  <si>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</si>
  <si>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</si>
  <si>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</si>
  <si>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</si>
  <si>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</si>
  <si>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</si>
  <si>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</si>
  <si>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</si>
  <si>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</si>
  <si>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</si>
  <si>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</si>
  <si>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</si>
  <si>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</si>
  <si>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</si>
  <si>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</si>
  <si>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</si>
  <si>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</si>
  <si>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</si>
  <si>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</si>
  <si>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</si>
  <si>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</si>
  <si>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</si>
  <si>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</si>
  <si>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</si>
  <si>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</si>
  <si>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</si>
  <si>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</si>
  <si>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</si>
  <si>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</si>
  <si>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</si>
  <si>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</si>
  <si>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</si>
  <si>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</si>
  <si>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</si>
  <si>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</si>
  <si>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</si>
  <si>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</si>
  <si>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</si>
  <si>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</si>
  <si>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</si>
  <si>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</si>
  <si>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</si>
  <si>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</si>
  <si>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</si>
  <si>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</si>
  <si>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</si>
  <si>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</si>
  <si>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</si>
  <si>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</si>
  <si>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</si>
  <si>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</si>
  <si>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</si>
  <si>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</si>
  <si>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</si>
  <si>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</si>
  <si>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</si>
  <si>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</si>
  <si>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</si>
  <si>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</si>
  <si>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</si>
  <si>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</si>
  <si>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</si>
  <si>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</si>
  <si>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</si>
  <si>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</si>
  <si>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</si>
  <si>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</si>
  <si>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</si>
  <si>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</si>
  <si>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</si>
  <si>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</si>
  <si>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</si>
  <si>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</si>
  <si>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</si>
  <si>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</si>
  <si>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</si>
  <si>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</si>
  <si>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</si>
  <si>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</si>
  <si>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</si>
  <si>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</si>
  <si>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</si>
  <si>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</si>
  <si>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</si>
  <si>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</si>
  <si>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</si>
  <si>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</si>
  <si>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</si>
  <si>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</si>
  <si>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</si>
  <si>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</si>
  <si>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</si>
  <si>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</si>
  <si>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</si>
  <si>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</si>
  <si>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</si>
  <si>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</si>
  <si>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</si>
  <si>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</si>
  <si>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</si>
  <si>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</si>
  <si>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</si>
  <si>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</si>
  <si>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</si>
  <si>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</si>
  <si>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</si>
  <si>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</si>
  <si>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</si>
  <si>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</si>
  <si>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</si>
  <si>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</si>
  <si>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</si>
  <si>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</si>
  <si>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</si>
  <si>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</si>
  <si>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</si>
  <si>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</si>
  <si>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</si>
  <si>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</si>
  <si>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</si>
  <si>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</si>
  <si>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</si>
  <si>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</si>
  <si>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</si>
  <si>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</si>
  <si>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</si>
  <si>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</si>
  <si>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</si>
  <si>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</si>
  <si>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</si>
  <si>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</si>
  <si>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</si>
  <si>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</si>
  <si>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</si>
  <si>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</si>
  <si>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</si>
  <si>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</si>
  <si>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</si>
  <si>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</si>
  <si>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</si>
  <si>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</si>
  <si>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</si>
  <si>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</si>
  <si>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</si>
  <si>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</si>
  <si>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</si>
  <si>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</si>
  <si>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</si>
  <si>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</si>
  <si>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</si>
  <si>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</si>
  <si>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</si>
  <si>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</si>
  <si>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</si>
  <si>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</si>
  <si>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</si>
  <si>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</si>
  <si>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</si>
  <si>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</si>
  <si>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</si>
  <si>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</si>
  <si>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</si>
  <si>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</si>
  <si>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</si>
  <si>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</si>
  <si>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</si>
  <si>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</si>
  <si>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</si>
  <si>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</si>
  <si>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</si>
  <si>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</si>
  <si>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</si>
  <si>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</si>
  <si>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</si>
  <si>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</si>
  <si>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</si>
  <si>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</si>
  <si>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</si>
  <si>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</si>
  <si>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</si>
  <si>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</si>
  <si>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</si>
  <si>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</si>
  <si>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</si>
  <si>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</si>
  <si>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</si>
  <si>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</si>
  <si>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</si>
  <si>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</si>
  <si>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</si>
  <si>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</si>
  <si>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</si>
  <si>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</si>
  <si>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</si>
  <si>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</si>
  <si>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</si>
  <si>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</si>
  <si>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</si>
  <si>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</si>
  <si>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</si>
  <si>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</si>
  <si>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</si>
  <si>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</si>
  <si>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</si>
  <si>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</si>
  <si>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</si>
  <si>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</si>
  <si>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</si>
  <si>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</si>
  <si>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</si>
  <si>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</si>
  <si>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</si>
  <si>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</si>
  <si>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</si>
  <si>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</si>
  <si>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</si>
  <si>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</si>
  <si>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</si>
  <si>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</si>
  <si>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</si>
  <si>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</si>
  <si>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</si>
  <si>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</si>
  <si>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</si>
  <si>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</si>
  <si>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</si>
  <si>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</si>
  <si>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</si>
  <si>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</si>
  <si>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</si>
  <si>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</si>
  <si>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</si>
  <si>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</si>
  <si>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</si>
  <si>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</si>
  <si>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</si>
  <si>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</si>
  <si>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</si>
  <si>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</si>
  <si>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</si>
  <si>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</si>
  <si>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</si>
  <si>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</si>
  <si>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</si>
  <si>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</si>
  <si>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</si>
  <si>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</si>
  <si>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</si>
  <si>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</si>
  <si>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</si>
  <si>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</si>
  <si>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</si>
  <si>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</si>
  <si>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</si>
  <si>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</si>
  <si>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</si>
  <si>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</si>
  <si>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</si>
  <si>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</si>
  <si>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</si>
  <si>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</si>
  <si>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</si>
  <si>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</si>
  <si>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</si>
  <si>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</si>
  <si>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</si>
  <si>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</si>
  <si>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</si>
  <si>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</si>
  <si>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</si>
  <si>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</si>
  <si>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</si>
  <si>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</si>
  <si>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</si>
  <si>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</si>
  <si>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</si>
  <si>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</si>
  <si>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</si>
  <si>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</si>
  <si>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</si>
  <si>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</si>
  <si>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</si>
  <si>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</si>
  <si>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</si>
  <si>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</si>
  <si>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</si>
  <si>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</si>
  <si>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</si>
  <si>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</si>
  <si>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</si>
  <si>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</si>
  <si>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</si>
  <si>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</si>
  <si>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</si>
  <si>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</si>
  <si>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</si>
  <si>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</si>
  <si>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</si>
  <si>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</si>
  <si>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</si>
  <si>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</si>
  <si>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</si>
  <si>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</si>
  <si>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</si>
  <si>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</si>
  <si>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</si>
  <si>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</si>
  <si>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</si>
  <si>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</si>
  <si>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</si>
  <si>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</si>
  <si>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</si>
  <si>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</si>
  <si>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</si>
  <si>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</si>
  <si>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</si>
  <si>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</si>
  <si>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</si>
  <si>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</si>
  <si>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</si>
  <si>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</si>
  <si>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</si>
  <si>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</si>
  <si>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</si>
  <si>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</si>
  <si>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</si>
  <si>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</si>
  <si>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</si>
  <si>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</si>
  <si>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</si>
  <si>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</si>
  <si>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</si>
  <si>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</si>
  <si>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</si>
  <si>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</si>
  <si>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</si>
  <si>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</si>
  <si>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</si>
  <si>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</si>
  <si>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</si>
  <si>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</si>
  <si>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</si>
  <si>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</si>
  <si>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</si>
  <si>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</si>
  <si>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</si>
  <si>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</si>
  <si>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</si>
  <si>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</si>
  <si>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</si>
  <si>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</si>
  <si>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</si>
  <si>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</si>
  <si>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</si>
  <si>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</si>
  <si>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</si>
  <si>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</si>
  <si>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</si>
  <si>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</si>
  <si>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</si>
  <si>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</si>
  <si>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</si>
  <si>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</si>
  <si>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</si>
  <si>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</si>
  <si>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</si>
  <si>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</si>
  <si>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</si>
  <si>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</si>
  <si>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</si>
  <si>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</si>
  <si>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</si>
  <si>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</si>
  <si>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</si>
  <si>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</si>
  <si>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</si>
  <si>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</si>
  <si>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</si>
  <si>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</si>
  <si>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</si>
  <si>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</si>
  <si>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</si>
  <si>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</si>
  <si>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</si>
  <si>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</si>
  <si>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</si>
  <si>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</si>
  <si>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</si>
  <si>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</si>
  <si>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</si>
  <si>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</si>
  <si>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</si>
  <si>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</si>
  <si>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</si>
  <si>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</si>
  <si>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</si>
  <si>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</si>
  <si>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</si>
  <si>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</si>
  <si>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</si>
  <si>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</si>
  <si>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</si>
  <si>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</si>
  <si>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</si>
  <si>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</si>
  <si>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</si>
  <si>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</si>
  <si>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</si>
  <si>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</si>
  <si>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</si>
  <si>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</si>
  <si>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</si>
  <si>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</si>
  <si>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</si>
  <si>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</si>
  <si>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</si>
  <si>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</si>
  <si>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</si>
  <si>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</si>
  <si>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</si>
  <si>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</si>
  <si>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</si>
  <si>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</si>
  <si>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</si>
  <si>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</si>
  <si>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</si>
  <si>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</si>
  <si>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</si>
  <si>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</si>
  <si>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</si>
  <si>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</si>
  <si>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</si>
  <si>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</si>
  <si>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</si>
  <si>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</si>
  <si>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</si>
  <si>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</si>
  <si>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</si>
  <si>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</si>
  <si>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</si>
  <si>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</si>
  <si>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</si>
  <si>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</si>
  <si>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</si>
  <si>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</si>
  <si>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</si>
  <si>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</si>
  <si>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</si>
  <si>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</si>
  <si>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</si>
  <si>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</si>
  <si>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</si>
  <si>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</si>
  <si>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</si>
  <si>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</si>
  <si>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</si>
  <si>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</si>
  <si>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</si>
  <si>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</si>
  <si>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</si>
  <si>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</si>
  <si>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</si>
  <si>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</si>
  <si>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</si>
  <si>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</si>
  <si>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</si>
  <si>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</si>
  <si>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</si>
  <si>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</si>
  <si>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</si>
  <si>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</si>
  <si>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</si>
  <si>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</si>
  <si>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</si>
  <si>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</si>
  <si>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</si>
  <si>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</si>
  <si>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</si>
  <si>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</si>
  <si>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</si>
  <si>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</si>
  <si>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</si>
  <si>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</si>
  <si>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</si>
  <si>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</si>
  <si>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</si>
  <si>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</si>
  <si>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</si>
  <si>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</si>
  <si>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</si>
  <si>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</si>
  <si>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</si>
  <si>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</si>
  <si>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</si>
  <si>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</si>
  <si>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</si>
  <si>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</si>
  <si>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</si>
  <si>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</si>
  <si>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</si>
  <si>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</si>
  <si>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</si>
  <si>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</si>
  <si>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</si>
  <si>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</si>
  <si>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</si>
  <si>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</si>
  <si>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</si>
  <si>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</si>
  <si>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</si>
  <si>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</si>
  <si>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</si>
  <si>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</si>
  <si>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</si>
  <si>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</si>
  <si>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</si>
  <si>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</si>
  <si>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</si>
  <si>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</si>
  <si>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</si>
  <si>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</si>
  <si>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</si>
  <si>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</si>
  <si>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</si>
  <si>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</si>
  <si>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</si>
  <si>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</si>
  <si>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</si>
  <si>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</si>
  <si>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</si>
  <si>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</si>
  <si>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</si>
  <si>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</si>
  <si>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</si>
  <si>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</si>
  <si>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</si>
  <si>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</si>
  <si>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</si>
  <si>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</si>
  <si>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</si>
  <si>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</si>
  <si>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</si>
  <si>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</si>
  <si>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</si>
  <si>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</si>
  <si>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</si>
  <si>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</si>
  <si>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</si>
  <si>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</si>
  <si>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</si>
  <si>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</si>
  <si>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</si>
  <si>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</si>
  <si>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</si>
  <si>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</si>
  <si>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</si>
  <si>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</si>
  <si>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</si>
  <si>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</si>
  <si>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</si>
  <si>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</si>
  <si>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</si>
  <si>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</si>
  <si>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</si>
  <si>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</si>
  <si>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</si>
  <si>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</si>
  <si>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</si>
  <si>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</si>
  <si>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</si>
  <si>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</si>
  <si>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</si>
  <si>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</si>
  <si>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</si>
  <si>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</si>
  <si>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</si>
  <si>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</si>
  <si>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</si>
  <si>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</si>
  <si>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</si>
  <si>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</si>
  <si>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</si>
  <si>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</si>
  <si>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</si>
  <si>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</si>
  <si>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</si>
  <si>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</si>
  <si>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</si>
  <si>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</si>
  <si>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</si>
  <si>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</si>
  <si>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</si>
  <si>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</si>
  <si>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</si>
  <si>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</si>
  <si>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</si>
  <si>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</si>
  <si>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</si>
  <si>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</si>
  <si>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</si>
  <si>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</si>
  <si>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</si>
  <si>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</si>
  <si>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</si>
  <si>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</si>
  <si>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</si>
  <si>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</si>
  <si>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</si>
  <si>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</si>
  <si>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</si>
  <si>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</si>
  <si>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</si>
  <si>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</si>
  <si>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</si>
  <si>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</si>
  <si>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</si>
  <si>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</si>
  <si>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</si>
  <si>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</si>
  <si>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</si>
  <si>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</si>
  <si>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</si>
  <si>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</si>
  <si>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</si>
  <si>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</si>
  <si>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</si>
  <si>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</si>
  <si>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</si>
  <si>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</si>
  <si>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</si>
  <si>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</si>
  <si>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</si>
  <si>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</si>
  <si>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</si>
  <si>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</si>
  <si>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</si>
  <si>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</si>
  <si>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</si>
  <si>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</si>
  <si>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</si>
  <si>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</si>
  <si>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</si>
  <si>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</si>
  <si>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</si>
  <si>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</si>
  <si>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</si>
  <si>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</si>
  <si>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</si>
  <si>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</si>
  <si>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</si>
  <si>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</si>
  <si>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</si>
  <si>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</si>
  <si>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</si>
  <si>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</si>
  <si>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</si>
  <si>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</si>
  <si>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</si>
  <si>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</si>
  <si>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</si>
  <si>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</si>
  <si>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</si>
  <si>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</si>
  <si>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</si>
  <si>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</si>
  <si>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</si>
  <si>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</si>
  <si>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</si>
  <si>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</si>
  <si>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</si>
  <si>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</si>
  <si>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</si>
  <si>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</si>
  <si>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</si>
  <si>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</si>
  <si>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</si>
  <si>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</si>
  <si>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</si>
  <si>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</si>
  <si>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</si>
  <si>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</si>
  <si>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</si>
  <si>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</si>
  <si>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</si>
  <si>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</si>
  <si>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</si>
  <si>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</si>
  <si>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</si>
  <si>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</si>
  <si>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</si>
  <si>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</si>
  <si>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</si>
  <si>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</si>
  <si>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</si>
  <si>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</si>
  <si>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</si>
  <si>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</si>
  <si>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</si>
  <si>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</si>
  <si>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</si>
  <si>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</si>
  <si>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</si>
  <si>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</si>
  <si>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</si>
  <si>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</si>
  <si>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</si>
  <si>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</si>
  <si>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</si>
  <si>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</si>
  <si>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</si>
  <si>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</si>
  <si>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</si>
  <si>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</si>
  <si>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</si>
  <si>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</si>
  <si>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</si>
  <si>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</si>
  <si>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</si>
  <si>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</si>
  <si>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</si>
  <si>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</si>
  <si>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</si>
  <si>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</si>
  <si>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</si>
  <si>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</si>
  <si>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</si>
  <si>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</si>
  <si>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</si>
  <si>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</si>
  <si>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</si>
  <si>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</si>
  <si>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</si>
  <si>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</si>
  <si>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</si>
  <si>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</si>
  <si>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</si>
  <si>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</si>
  <si>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</si>
  <si>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</si>
  <si>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</si>
  <si>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</si>
  <si>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</si>
  <si>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</si>
  <si>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</si>
  <si>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</si>
  <si>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</si>
  <si>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</si>
  <si>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</si>
  <si>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</si>
  <si>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</si>
  <si>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</si>
  <si>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</si>
  <si>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</si>
  <si>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</si>
  <si>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</si>
  <si>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</si>
  <si>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</si>
  <si>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</si>
  <si>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</si>
  <si>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</si>
  <si>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</si>
  <si>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</si>
  <si>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</si>
  <si>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</si>
  <si>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</si>
  <si>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</si>
  <si>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</si>
  <si>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</si>
  <si>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</si>
  <si>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</si>
  <si>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</si>
  <si>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</si>
  <si>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</si>
  <si>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</si>
  <si>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</si>
  <si>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</si>
  <si>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</si>
  <si>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</si>
  <si>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</si>
  <si>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</si>
  <si>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</si>
  <si>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</si>
  <si>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</si>
  <si>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</si>
  <si>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</si>
  <si>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</si>
  <si>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</si>
  <si>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</si>
  <si>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</si>
  <si>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</si>
  <si>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</si>
  <si>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</si>
  <si>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</si>
  <si>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</si>
  <si>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</si>
  <si>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</si>
  <si>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</si>
  <si>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</si>
  <si>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</si>
  <si>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</si>
  <si>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</si>
  <si>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</si>
  <si>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</si>
  <si>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</si>
  <si>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</si>
  <si>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</si>
  <si>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</si>
  <si>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</si>
  <si>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</si>
  <si>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</si>
  <si>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</si>
  <si>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</si>
  <si>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</si>
  <si>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</si>
  <si>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</si>
  <si>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</si>
  <si>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</si>
  <si>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</si>
  <si>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</si>
  <si>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</si>
  <si>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</si>
  <si>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</si>
  <si>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</si>
  <si>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</si>
  <si>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</si>
  <si>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</si>
  <si>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</si>
  <si>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</si>
  <si>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</si>
  <si>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</si>
  <si>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</si>
  <si>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</si>
  <si>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</si>
  <si>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</si>
  <si>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</si>
  <si>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</si>
  <si>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</si>
  <si>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</si>
  <si>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</si>
  <si>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</si>
  <si>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</si>
  <si>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</si>
  <si>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</si>
  <si>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</si>
  <si>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</si>
  <si>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</si>
  <si>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</si>
  <si>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</si>
  <si>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</si>
  <si>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</si>
  <si>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</si>
  <si>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</si>
  <si>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</si>
  <si>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</si>
  <si>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</si>
  <si>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</si>
  <si>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</si>
  <si>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</si>
  <si>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</si>
  <si>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</si>
  <si>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</si>
  <si>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</si>
  <si>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</si>
  <si>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</si>
  <si>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</si>
  <si>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</si>
  <si>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</si>
  <si>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</si>
  <si>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</si>
  <si>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</si>
  <si>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</si>
  <si>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</si>
  <si>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</si>
  <si>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</si>
  <si>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</si>
  <si>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</si>
  <si>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</si>
  <si>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</si>
  <si>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</si>
  <si>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</si>
  <si>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</si>
  <si>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</si>
  <si>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</si>
  <si>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</si>
  <si>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</si>
  <si>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</si>
  <si>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</si>
  <si>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</si>
  <si>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</si>
  <si>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</si>
  <si>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</si>
  <si>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</si>
  <si>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</si>
  <si>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</si>
  <si>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</si>
  <si>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</si>
  <si>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</si>
  <si>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</si>
  <si>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</si>
  <si>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</si>
  <si>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</si>
  <si>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</si>
  <si>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</si>
  <si>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</si>
  <si>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</si>
  <si>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</si>
  <si>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</si>
  <si>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</si>
  <si>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</si>
  <si>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</si>
  <si>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</si>
  <si>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</si>
  <si>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</si>
  <si>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</si>
  <si>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</si>
  <si>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</si>
  <si>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</si>
  <si>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</si>
  <si>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</si>
  <si>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</si>
  <si>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</si>
  <si>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</si>
  <si>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</si>
  <si>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</si>
  <si>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</si>
  <si>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</si>
  <si>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</si>
  <si>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</si>
  <si>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</si>
  <si>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</si>
  <si>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</si>
  <si>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</si>
  <si>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</si>
  <si>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</si>
  <si>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</si>
  <si>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</si>
  <si>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</si>
  <si>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</si>
  <si>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</si>
  <si>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</si>
  <si>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</si>
  <si>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</si>
  <si>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</si>
  <si>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</si>
  <si>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</si>
  <si>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</si>
  <si>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</si>
  <si>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</si>
  <si>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</si>
  <si>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</si>
  <si>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</si>
  <si>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</si>
  <si>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</si>
  <si>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</si>
  <si>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</si>
  <si>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</si>
  <si>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</si>
  <si>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</si>
  <si>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</si>
  <si>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</si>
  <si>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</si>
  <si>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</si>
  <si>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</si>
  <si>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</si>
  <si>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</si>
  <si>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</si>
  <si>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</si>
  <si>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</si>
  <si>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</si>
  <si>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</si>
  <si>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</si>
  <si>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</si>
  <si>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</si>
  <si>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</si>
  <si>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</si>
  <si>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</si>
  <si>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</si>
  <si>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</si>
  <si>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</si>
  <si>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</si>
  <si>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</si>
  <si>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</si>
  <si>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</si>
  <si>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</si>
  <si>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</si>
  <si>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</si>
  <si>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</si>
  <si>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</si>
  <si>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</si>
  <si>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</si>
  <si>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</si>
  <si>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</si>
  <si>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</si>
  <si>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</si>
  <si>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</si>
  <si>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</si>
  <si>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</si>
  <si>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</si>
  <si>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</si>
  <si>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</si>
  <si>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</si>
  <si>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</si>
  <si>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</si>
  <si>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</si>
  <si>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</si>
  <si>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</si>
  <si>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</si>
  <si>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</si>
  <si>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</si>
  <si>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</si>
  <si>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</si>
  <si>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</si>
  <si>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</si>
  <si>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</si>
  <si>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</si>
  <si>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</si>
  <si>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</si>
  <si>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</si>
  <si>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</si>
  <si>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</si>
  <si>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</si>
  <si>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</si>
  <si>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</si>
  <si>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</si>
  <si>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</si>
  <si>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</si>
  <si>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</si>
  <si>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</si>
  <si>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</si>
  <si>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</si>
  <si>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</si>
  <si>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</si>
  <si>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</si>
  <si>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</si>
  <si>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</si>
  <si>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</si>
  <si>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</si>
  <si>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</si>
  <si>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</si>
  <si>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</si>
  <si>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</si>
  <si>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</si>
  <si>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</si>
  <si>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</si>
  <si>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</si>
  <si>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</si>
  <si>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</si>
  <si>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</si>
  <si>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</si>
  <si>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</si>
  <si>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</si>
  <si>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</si>
  <si>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</si>
  <si>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</si>
  <si>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</si>
  <si>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</si>
  <si>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</si>
  <si>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</si>
  <si>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</si>
  <si>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</si>
  <si>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</si>
  <si>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</si>
  <si>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</si>
  <si>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</si>
  <si>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</si>
  <si>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</si>
  <si>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</si>
  <si>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</si>
  <si>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</si>
  <si>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</si>
  <si>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</si>
  <si>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</si>
  <si>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</si>
  <si>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</si>
  <si>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</si>
  <si>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</si>
  <si>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</si>
  <si>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</si>
  <si>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</si>
  <si>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</si>
  <si>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</si>
  <si>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</si>
  <si>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</si>
  <si>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</si>
  <si>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</si>
  <si>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</si>
  <si>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</si>
  <si>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</si>
  <si>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</si>
  <si>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</si>
  <si>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</si>
  <si>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</si>
  <si>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</si>
  <si>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</si>
  <si>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</si>
  <si>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</si>
  <si>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</si>
  <si>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</si>
  <si>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</si>
  <si>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</si>
  <si>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</si>
  <si>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</si>
  <si>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</si>
  <si>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</si>
  <si>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</si>
  <si>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</si>
  <si>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</si>
  <si>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</si>
  <si>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</si>
  <si>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</si>
  <si>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</si>
  <si>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</si>
  <si>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</si>
  <si>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</si>
  <si>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</si>
  <si>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</si>
  <si>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</si>
  <si>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</si>
  <si>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</si>
  <si>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</si>
  <si>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</si>
  <si>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</si>
  <si>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</si>
  <si>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</si>
  <si>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</si>
  <si>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</si>
  <si>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</si>
  <si>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</si>
  <si>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</si>
  <si>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</si>
  <si>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</si>
  <si>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</si>
  <si>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</si>
  <si>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</si>
  <si>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</si>
  <si>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</si>
  <si>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</si>
  <si>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</si>
  <si>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</si>
  <si>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</si>
  <si>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</si>
  <si>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</si>
  <si>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</si>
  <si>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</si>
  <si>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</si>
  <si>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</si>
  <si>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</si>
  <si>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</si>
  <si>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</si>
  <si>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</si>
  <si>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</si>
  <si>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</si>
  <si>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</si>
  <si>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</si>
  <si>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</si>
  <si>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</si>
  <si>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</si>
  <si>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</si>
  <si>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</si>
  <si>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</si>
  <si>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</si>
  <si>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</si>
  <si>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</si>
  <si>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</si>
  <si>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</si>
  <si>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</si>
  <si>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</si>
  <si>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</si>
  <si>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</si>
  <si>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</si>
  <si>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</si>
  <si>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</si>
  <si>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</si>
  <si>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</si>
  <si>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</si>
  <si>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</si>
  <si>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</si>
  <si>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</si>
  <si>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</si>
  <si>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</si>
  <si>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</si>
  <si>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</si>
  <si>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</si>
  <si>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</si>
  <si>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</si>
  <si>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</si>
  <si>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</si>
  <si>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</si>
  <si>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</si>
  <si>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</si>
  <si>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</si>
  <si>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</si>
  <si>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</si>
  <si>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</si>
  <si>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</si>
  <si>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</si>
  <si>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</si>
  <si>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</si>
  <si>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</si>
  <si>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</si>
  <si>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</si>
  <si>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</si>
  <si>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</si>
  <si>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</si>
  <si>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</si>
  <si>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</si>
  <si>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</si>
  <si>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</si>
  <si>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</si>
  <si>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</si>
  <si>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</si>
  <si>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</si>
  <si>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</si>
  <si>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</si>
  <si>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</si>
  <si>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</si>
  <si>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</si>
  <si>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</si>
  <si>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</si>
  <si>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</si>
  <si>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</si>
  <si>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</si>
  <si>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</si>
  <si>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</si>
  <si>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</si>
  <si>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</si>
  <si>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</si>
  <si>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</si>
  <si>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</si>
  <si>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</si>
  <si>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</si>
  <si>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</si>
  <si>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</si>
  <si>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</si>
  <si>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</si>
  <si>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</si>
  <si>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</si>
  <si>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</si>
  <si>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</si>
  <si>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</si>
  <si>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</si>
  <si>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</si>
  <si>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</si>
  <si>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</si>
  <si>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</si>
  <si>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</si>
  <si>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</si>
  <si>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</si>
  <si>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</si>
  <si>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</si>
  <si>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</si>
  <si>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</si>
  <si>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</si>
  <si>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</si>
  <si>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</si>
  <si>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</si>
  <si>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</si>
  <si>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</si>
  <si>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</si>
  <si>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</si>
  <si>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</si>
  <si>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</si>
  <si>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</si>
  <si>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</si>
  <si>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</si>
  <si>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</si>
  <si>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</si>
  <si>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</si>
  <si>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</si>
  <si>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</si>
  <si>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</si>
  <si>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</si>
  <si>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</si>
  <si>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</si>
  <si>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</si>
  <si>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</si>
  <si>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</si>
  <si>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</si>
  <si>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</si>
  <si>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</si>
  <si>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</si>
  <si>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</si>
  <si>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</si>
  <si>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</si>
  <si>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</si>
  <si>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</si>
  <si>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</si>
  <si>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</si>
  <si>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</si>
  <si>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</si>
  <si>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</si>
  <si>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</si>
  <si>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</si>
  <si>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</si>
  <si>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</si>
  <si>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</si>
  <si>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</si>
  <si>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</si>
  <si>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</si>
  <si>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</si>
  <si>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</si>
  <si>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</si>
  <si>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</si>
  <si>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</si>
  <si>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</si>
  <si>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</si>
  <si>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</si>
  <si>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</si>
  <si>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</si>
  <si>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</si>
  <si>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</si>
  <si>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</si>
  <si>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</si>
  <si>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</si>
  <si>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</si>
  <si>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</si>
  <si>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</si>
  <si>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</si>
  <si>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</si>
  <si>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</si>
  <si>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</si>
  <si>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</si>
  <si>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</si>
  <si>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</si>
  <si>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</si>
  <si>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</si>
  <si>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</si>
  <si>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</si>
  <si>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</si>
  <si>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</si>
  <si>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</si>
  <si>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</si>
  <si>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</si>
  <si>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</si>
  <si>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</si>
  <si>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</si>
  <si>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</si>
  <si>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</si>
  <si>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</si>
  <si>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</si>
  <si>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</si>
  <si>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</si>
  <si>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</si>
  <si>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</si>
  <si>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</si>
  <si>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</si>
  <si>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</si>
  <si>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</si>
  <si>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</si>
  <si>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</si>
  <si>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</si>
  <si>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</si>
  <si>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</si>
  <si>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</si>
  <si>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</si>
  <si>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</si>
  <si>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</si>
  <si>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</si>
  <si>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</si>
  <si>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</si>
  <si>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</si>
  <si>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</si>
  <si>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</si>
  <si>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</si>
  <si>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</si>
  <si>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</si>
  <si>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</si>
  <si>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</si>
  <si>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</si>
  <si>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</si>
  <si>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</si>
  <si>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</si>
  <si>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</si>
  <si>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</si>
  <si>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</si>
  <si>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</si>
  <si>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</si>
  <si>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</si>
  <si>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</si>
  <si>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</si>
  <si>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</si>
  <si>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</si>
  <si>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</si>
  <si>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</si>
  <si>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</si>
  <si>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</si>
  <si>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</si>
  <si>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</si>
  <si>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</si>
  <si>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</si>
  <si>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</si>
  <si>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</si>
  <si>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</si>
  <si>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</si>
  <si>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</si>
  <si>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</si>
  <si>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</si>
  <si>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</si>
  <si>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</si>
  <si>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</si>
  <si>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</si>
  <si>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</si>
  <si>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</si>
  <si>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</si>
  <si>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</si>
  <si>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</si>
  <si>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</si>
  <si>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</si>
  <si>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</si>
  <si>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</si>
  <si>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</si>
  <si>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</si>
  <si>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</si>
  <si>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</si>
  <si>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</si>
  <si>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</si>
  <si>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</si>
  <si>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</si>
  <si>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</si>
  <si>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</si>
  <si>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</si>
  <si>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</si>
  <si>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</si>
  <si>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</si>
  <si>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</si>
  <si>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</si>
  <si>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</si>
  <si>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</si>
  <si>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</si>
  <si>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</si>
  <si>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</si>
  <si>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</si>
  <si>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</si>
  <si>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</si>
  <si>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</si>
  <si>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</si>
  <si>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</si>
  <si>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</si>
  <si>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</si>
  <si>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</si>
  <si>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</si>
  <si>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</si>
  <si>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</si>
  <si>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</si>
  <si>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</si>
  <si>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</si>
  <si>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</si>
  <si>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</si>
  <si>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</si>
  <si>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</si>
  <si>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</si>
  <si>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</si>
  <si>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</si>
  <si>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</si>
  <si>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</si>
  <si>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</si>
  <si>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</si>
  <si>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</si>
  <si>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</si>
  <si>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</si>
  <si>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</si>
  <si>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</si>
  <si>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</si>
  <si>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</si>
  <si>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</si>
  <si>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</si>
  <si>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</si>
  <si>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</si>
  <si>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</si>
  <si>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</si>
  <si>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</si>
  <si>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</si>
  <si>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</si>
  <si>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</si>
  <si>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</si>
  <si>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</si>
  <si>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</si>
  <si>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</si>
  <si>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</si>
  <si>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</si>
  <si>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</si>
  <si>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</si>
  <si>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</si>
  <si>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</si>
  <si>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</si>
  <si>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</si>
  <si>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</si>
  <si>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</si>
  <si>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</si>
  <si>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</si>
  <si>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</si>
  <si>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</si>
  <si>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</si>
  <si>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</si>
  <si>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</si>
  <si>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</si>
  <si>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</si>
  <si>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</si>
  <si>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</si>
  <si>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</si>
  <si>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</si>
  <si>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</si>
  <si>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</si>
  <si>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</si>
  <si>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</si>
  <si>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</si>
  <si>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</si>
  <si>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</si>
  <si>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</si>
  <si>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</si>
  <si>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</si>
  <si>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</si>
  <si>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</si>
  <si>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</si>
  <si>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</si>
  <si>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</si>
  <si>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</si>
  <si>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</si>
  <si>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</si>
  <si>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</si>
  <si>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</si>
  <si>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</si>
  <si>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</si>
  <si>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</si>
  <si>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</si>
  <si>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</si>
  <si>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</si>
  <si>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</si>
  <si>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</si>
  <si>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</si>
  <si>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</si>
  <si>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</si>
  <si>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</si>
  <si>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</si>
  <si>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</si>
  <si>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</si>
  <si>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</si>
  <si>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</si>
  <si>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</si>
  <si>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</si>
  <si>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</si>
  <si>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</si>
  <si>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</si>
  <si>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</si>
  <si>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</si>
  <si>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</si>
  <si>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</si>
  <si>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</si>
  <si>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</si>
  <si>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</si>
  <si>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</si>
  <si>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</si>
  <si>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</si>
  <si>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</si>
  <si>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</si>
  <si>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</si>
  <si>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</si>
  <si>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</si>
  <si>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</si>
  <si>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</si>
  <si>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</si>
  <si>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</si>
  <si>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</si>
  <si>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</si>
  <si>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</si>
  <si>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</si>
  <si>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</si>
  <si>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</si>
  <si>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</si>
  <si>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</si>
  <si>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</si>
  <si>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</si>
  <si>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</si>
  <si>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</si>
  <si>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</si>
  <si>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</si>
  <si>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</si>
  <si>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</si>
  <si>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</si>
  <si>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</si>
  <si>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</si>
  <si>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</si>
  <si>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</si>
  <si>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</si>
  <si>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</si>
  <si>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</si>
  <si>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</si>
  <si>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</si>
  <si>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</si>
  <si>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</si>
  <si>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</si>
  <si>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</si>
  <si>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</si>
  <si>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</si>
  <si>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</si>
  <si>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</si>
  <si>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</si>
  <si>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</si>
  <si>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</si>
  <si>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</si>
  <si>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</si>
  <si>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</si>
  <si>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</si>
  <si>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</si>
  <si>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</si>
  <si>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</si>
  <si>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</si>
  <si>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</si>
  <si>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</si>
  <si>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</si>
  <si>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</si>
  <si>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</si>
  <si>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</si>
  <si>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</si>
  <si>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</si>
  <si>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</si>
  <si>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</si>
  <si>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</si>
  <si>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</si>
  <si>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</si>
  <si>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</si>
  <si>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</si>
  <si>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</si>
  <si>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</si>
  <si>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</si>
  <si>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</si>
  <si>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</si>
  <si>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</si>
  <si>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</si>
  <si>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</si>
  <si>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</si>
  <si>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</si>
  <si>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</si>
  <si>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</si>
  <si>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</si>
  <si>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</si>
  <si>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</si>
  <si>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</si>
  <si>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</si>
  <si>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</si>
  <si>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</si>
  <si>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</si>
  <si>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</si>
  <si>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</si>
  <si>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</si>
  <si>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</si>
  <si>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</si>
  <si>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</si>
  <si>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</si>
  <si>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</si>
  <si>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</si>
  <si>
    <t>Name/Level</t>
  </si>
  <si>
    <t>Substat 1</t>
  </si>
  <si>
    <t>Substat 2</t>
  </si>
  <si>
    <t>Substat 3</t>
  </si>
  <si>
    <t>Components</t>
  </si>
  <si>
    <t>待定</t>
  </si>
  <si>
    <t>白装</t>
  </si>
  <si>
    <t>蓝装</t>
  </si>
  <si>
    <t>绿装</t>
  </si>
  <si>
    <t>金装</t>
  </si>
  <si>
    <t>无甲特化</t>
  </si>
  <si>
    <t>轻武器对无甲敌人伤害提升20%。</t>
  </si>
  <si>
    <t>人形特化</t>
  </si>
  <si>
    <t>轻武器对人形敌人伤害提升20%。</t>
  </si>
  <si>
    <t>单编特化</t>
  </si>
  <si>
    <t>轻武器对单编制敌人伤害提升20%。</t>
  </si>
  <si>
    <t>近身打击</t>
  </si>
  <si>
    <t>轻武器每次攻击会对目标身后3范围单位额外造成10%轻武器伤害。</t>
  </si>
  <si>
    <t>急速强化</t>
  </si>
  <si>
    <t>轻武器伤害提升15%，机动装甲的护甲和回避下降10%。</t>
  </si>
  <si>
    <t>轻武支援</t>
  </si>
  <si>
    <t>每装配一个轻武器，轻武器伤害提升5%。</t>
  </si>
  <si>
    <t>有甲特化</t>
  </si>
  <si>
    <t>重武器对有甲敌人伤害提升20%。</t>
  </si>
  <si>
    <t>机械特化</t>
  </si>
  <si>
    <t>重武器对机械敌人伤害提升20%。</t>
  </si>
  <si>
    <t>多编特化</t>
  </si>
  <si>
    <t>重武器对多编制敌人伤害提升20%。</t>
  </si>
  <si>
    <t>弱点突破</t>
  </si>
  <si>
    <t>重武器每次造成伤害额外附加一层5%的易伤，持续5秒，上限2层。</t>
  </si>
  <si>
    <t>精英打击</t>
  </si>
  <si>
    <t>重武支援</t>
  </si>
  <si>
    <t>每装配一个重武器，重武器伤害提升5%。</t>
  </si>
  <si>
    <t>轻武护盾</t>
  </si>
  <si>
    <t>重武护盾</t>
  </si>
  <si>
    <t>护盾预防</t>
  </si>
  <si>
    <t>护盾偏折</t>
  </si>
  <si>
    <t>护盾增伤</t>
  </si>
  <si>
    <t>护盾净化</t>
  </si>
  <si>
    <t>连携减伤</t>
  </si>
  <si>
    <t>近身威慑</t>
  </si>
  <si>
    <t>机动装甲对周围5范围内的敌方单位进行威慑，降低其伤害和回避20%。</t>
  </si>
  <si>
    <t>精英增幅</t>
  </si>
  <si>
    <t>轻/重武器对精英敌人伤害提升20%。</t>
  </si>
  <si>
    <t>帕拉蒂斯增幅</t>
  </si>
  <si>
    <t>正规军增幅</t>
  </si>
  <si>
    <t>铁血工造增幅</t>
  </si>
  <si>
    <t>减益增幅</t>
  </si>
  <si>
    <t>印记增幅</t>
  </si>
  <si>
    <t>应急增幅</t>
  </si>
  <si>
    <t>轻武弱化</t>
  </si>
  <si>
    <t>重武弱化</t>
  </si>
  <si>
    <t>重武器攻击命中敌人后赋予目标随机一种属性下降20%的效果，持续5秒。</t>
  </si>
  <si>
    <t>随机弱化</t>
  </si>
  <si>
    <t>每隔8秒随机赋予敌方三个单位两种属性下降20%的效果，持续5秒。</t>
  </si>
  <si>
    <t>故障晕眩</t>
  </si>
  <si>
    <t>晕眩打击</t>
  </si>
  <si>
    <t>晕眩惩罚</t>
  </si>
  <si>
    <t>晕眩暴露</t>
  </si>
  <si>
    <t>晕眩自爆</t>
  </si>
  <si>
    <t>预防压制</t>
  </si>
  <si>
    <t>轻武引爆</t>
  </si>
  <si>
    <t>轻武器每次攻击有50%的概率赋予一个目标两层引爆标记(上限十层)。</t>
  </si>
  <si>
    <t>重武引爆</t>
  </si>
  <si>
    <t>重武器攻击命中敌人后赋予目标引爆标记两层(上限十层)。</t>
  </si>
  <si>
    <t>标记引爆</t>
  </si>
  <si>
    <t>每隔8秒敌方单位每有一层引爆标记，受到200点编制伤害并清空引爆标记。</t>
  </si>
  <si>
    <t>轻武蓄能</t>
  </si>
  <si>
    <t>重武蓄能</t>
  </si>
  <si>
    <t>蓄能转化</t>
  </si>
  <si>
    <t>For every Elite Enemy killed, raise Heavy Weapon Firepower by 10%, for 15s, max 3 stacks.</t>
  </si>
  <si>
    <t>Every Light Weapon attack has a 30% chance of giving a 10pt Shield that lasts for 5s.</t>
  </si>
  <si>
    <t>For every Heavy Weapon attack that hits, gain a 10pt Shield that lats for 5s.</t>
  </si>
  <si>
    <t>Gain a 10% Max HP shield at the start of battle.</t>
  </si>
  <si>
    <t>Gain 20% Damage Reduction when this Mobile Armor has a shield.</t>
  </si>
  <si>
    <t>Raise Light and Heavy Weapon Firepower by 10% when this Mobile Armor has a shield.</t>
  </si>
  <si>
    <t>When this Mobile Armor has Shields that exceed 200pts, cleanse all debuffs.</t>
  </si>
  <si>
    <t>For every enemy group in front of this Mobile Armor (within 5 Units), gain 5% Damage Reduction, up to 30%.</t>
  </si>
  <si>
    <t>Every 8s, gain a shield equal to 10% Missing HP.</t>
  </si>
  <si>
    <t>Light/Heavy Weapons deal 10% more Damage to Paradeus enemies.</t>
  </si>
  <si>
    <t>Light/Heavy Weapons deal 10% more Damage to KCCO enemies.</t>
  </si>
  <si>
    <t>Light/Heavy Weapons deal 10% more Damage to Sangvis Ferri enemies.</t>
  </si>
  <si>
    <t>Light/Heavy Weapons deal 20% more damage to enemies with debuffs.</t>
  </si>
  <si>
    <t>Every 3s, give a Mark to the highest HP enemy without 10 Marks, up to 10 Marks. The enemy take 10 more Damage for each Mark.</t>
  </si>
  <si>
    <t>Raise Firepower inversely with HP, up to 50% with the most Missing HP.</t>
  </si>
  <si>
    <t>Every Light Weapon attack has a 50% chance of giving a 20% debuff that lasts 5s to an enemy without debuffs.</t>
  </si>
  <si>
    <t>When enemies have 4 or more debuffs, stun for 3s and cleanse all debuffs [??? mica what ???].</t>
  </si>
  <si>
    <t>Every Heavy Weapon attack has a 10% chance of stunning the target(s) for 2s. This can only proc once.</t>
  </si>
  <si>
    <t>Enemies take 30% more damage while stunned.</t>
  </si>
  <si>
    <t>While stunned, enemies have 0 Evasion.</t>
  </si>
  <si>
    <t>Enemies take an instance of 2000pt linksplash damage after every stun.</t>
  </si>
  <si>
    <t>At the start of battle, knock back enemies by 5 Distance[Units?] and lower their MSpd by 50%, for 3s.</t>
  </si>
  <si>
    <t>Every Light Weapon attack accumulates 2 points of Stored Laser Energy. At 100 points, fire a laser straight ahead that deals 200% linksplash damage, and clear all points.</t>
  </si>
  <si>
    <t>For every Heavy Weapon attack that hits, gain 1 point of Stored Laser Energy and lower that enemy's Firepower by 10% for 5s.</t>
  </si>
  <si>
    <t>Every instance of damage taken has a 20% chance of accumulating 1 point of Stored Laser Energy, and also raising Armor for 10%, for 3s, max 3 stacks.</t>
  </si>
  <si>
    <t>Weakness Breakthrough</t>
  </si>
  <si>
    <t>Elite Amplification</t>
  </si>
  <si>
    <t>Paradis Amplification</t>
  </si>
  <si>
    <t>Debuff Amplification</t>
  </si>
  <si>
    <t>The damage of small weapons to unarmored enemies is increased by 20%.</t>
  </si>
  <si>
    <t>The damage of small weapons to humanoid enemies is increased by 20%.</t>
  </si>
  <si>
    <t>The damage of small weapons against single organized enemies is increased by 20%.</t>
  </si>
  <si>
    <t>Each light weapon attack will cause an additional 10% light weapon damage to units within 3 ranges behind the target.</t>
  </si>
  <si>
    <t>The damage of heavy weapons to armored enemies is increased by 20%.</t>
  </si>
  <si>
    <t>Heavy weapon damage against mechanical enemies is increased by 20%.</t>
  </si>
  <si>
    <t>The damage of heavy weapons to enemies of multiple formations is increased by 20%.</t>
  </si>
  <si>
    <t>The damage of small weapons is increased by 15%, and the armor and evasion of mobile armor are reduced by 10%.</t>
  </si>
  <si>
    <t>For each light weapon equipped, light weapon damage increases by 5%.</t>
  </si>
  <si>
    <t>Each time a heavy weapon causes damage, an additional layer of 5% vulnerability will be added, lasting 5 seconds, with a maximum limit of 2 layers.</t>
  </si>
  <si>
    <t>For each heavy weapon equipped, heavy weapon damage increases by 5%.</t>
  </si>
  <si>
    <t>The mobile armor deters enemy units within 5 range, reducing their damage and avoidance by 20%.</t>
  </si>
  <si>
    <t>The damage of light/heavy weapons to elite enemies is increased by 20%.</t>
  </si>
  <si>
    <t>After a heavy weapon attack hits an enemy, it will give the target a random attribute reduction effect of 20%, which lasts for 5 seconds.</t>
  </si>
  <si>
    <t>Every 8 seconds, three enemy units are randomly given the effect of reducing two attributes by 20%, lasting 5 seconds.</t>
  </si>
  <si>
    <t>Each attack by a small weapon has a 50% probability of giving a target two layers of detonation marks (maximum of ten layers).</t>
  </si>
  <si>
    <t>After a heavy weapon attack hits an enemy, the target will be detonated with two layers of detonation marks (maximum of ten layers).</t>
  </si>
  <si>
    <t>Every 8 seconds, for each layer of detonation marks on the enemy unit, it will suffer 200 points of organizational damage and clear the detonation marks.</t>
  </si>
  <si>
    <t>Energy Storage Conversion</t>
  </si>
  <si>
    <t>Heavy Weapon Storage</t>
  </si>
  <si>
    <t>Light Weapon Energy Storage</t>
  </si>
  <si>
    <t>Mark Detonation</t>
  </si>
  <si>
    <t>Heavy Weapon Detonation</t>
  </si>
  <si>
    <t>Light Weapon Detonation</t>
  </si>
  <si>
    <t>Prevent Suppression</t>
  </si>
  <si>
    <t>Dizziness And Self-Destruction</t>
  </si>
  <si>
    <t>Dizziness Exposure</t>
  </si>
  <si>
    <t>Stun Penalty</t>
  </si>
  <si>
    <t>Stun Strike</t>
  </si>
  <si>
    <t>Glitch Dizziness</t>
  </si>
  <si>
    <t>Random Weakening</t>
  </si>
  <si>
    <t>Heavy Weapons And Weakened</t>
  </si>
  <si>
    <t>Weakening Of Light Weapons</t>
  </si>
  <si>
    <t>Emergency Increase</t>
  </si>
  <si>
    <t>Mark Increase</t>
  </si>
  <si>
    <t>Iron-Blooded Craftsmanship Increase</t>
  </si>
  <si>
    <t>Regular Army Increase</t>
  </si>
  <si>
    <t>Close Deterrence</t>
  </si>
  <si>
    <t>Joint Damage Reduction</t>
  </si>
  <si>
    <t>Shield Purification</t>
  </si>
  <si>
    <t>Shield Damage Increase</t>
  </si>
  <si>
    <t>Shield Deflection</t>
  </si>
  <si>
    <t>Shield Prevention</t>
  </si>
  <si>
    <t>Heavy Shield</t>
  </si>
  <si>
    <t>Light Weapon Shield</t>
  </si>
  <si>
    <t>Heavy Military Support</t>
  </si>
  <si>
    <t>Elite Strike</t>
  </si>
  <si>
    <t>Multi-Link Specializations</t>
  </si>
  <si>
    <t>Mechanical Specialization</t>
  </si>
  <si>
    <t>Armor Specialization</t>
  </si>
  <si>
    <t>Light Weapon Support</t>
  </si>
  <si>
    <t>Rapid Strengthening</t>
  </si>
  <si>
    <t>Close Strike</t>
  </si>
  <si>
    <t>Humanoid Specialization</t>
  </si>
  <si>
    <t>Unarmored Specialization</t>
  </si>
  <si>
    <t>Pengu TL</t>
  </si>
  <si>
    <t>Pengu Desc</t>
  </si>
  <si>
    <t>MTL Text</t>
  </si>
  <si>
    <t>MTL Name</t>
  </si>
  <si>
    <t>n/a</t>
  </si>
  <si>
    <t>Single-Link Specialization</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</si>
  <si>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</si>
  <si>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</si>
  <si>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</si>
  <si>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</si>
  <si>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</si>
  <si>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</si>
  <si>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</si>
  <si>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</si>
  <si>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</si>
  <si>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</si>
  <si>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</si>
  <si>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</si>
  <si>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</si>
  <si>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</si>
  <si>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</si>
  <si>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</si>
  <si>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</si>
  <si>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</si>
  <si>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</si>
  <si>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</si>
  <si>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</si>
  <si>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</si>
  <si>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</si>
  <si>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</si>
  <si>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</si>
  <si>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</si>
  <si>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</si>
  <si>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</si>
  <si>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</si>
  <si>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</si>
  <si>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</si>
  <si>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</si>
  <si>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</si>
  <si>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</si>
  <si>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</si>
  <si>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</si>
  <si>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</si>
  <si>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</si>
  <si>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</si>
  <si>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</si>
  <si>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</si>
  <si>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</si>
  <si>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</si>
  <si>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</si>
  <si>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</si>
  <si>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</si>
  <si>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</si>
  <si>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</si>
  <si>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</si>
  <si>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</si>
  <si>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</si>
  <si>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</si>
  <si>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</si>
  <si>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</si>
  <si>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</si>
  <si>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</si>
  <si>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</si>
  <si>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</si>
  <si>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</si>
  <si>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</si>
  <si>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</si>
  <si>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</si>
  <si>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</si>
  <si>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</si>
  <si>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</si>
  <si>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</si>
  <si>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</si>
  <si>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</si>
  <si>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</si>
  <si>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</si>
  <si>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</si>
  <si>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</si>
  <si>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</si>
  <si>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</si>
  <si>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</si>
  <si>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</si>
  <si>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</si>
  <si>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</si>
  <si>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</si>
  <si>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</si>
  <si>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</si>
  <si>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</si>
  <si>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</si>
  <si>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</si>
  <si>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</si>
  <si>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</si>
  <si>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</si>
  <si>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</si>
  <si>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</si>
  <si>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</si>
  <si>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</si>
  <si>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</si>
  <si>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</si>
  <si>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</si>
  <si>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</si>
  <si>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</si>
  <si>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</si>
  <si>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</si>
  <si>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</si>
  <si>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</si>
  <si>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</si>
  <si>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</si>
  <si>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</si>
  <si>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</si>
  <si>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</si>
  <si>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</si>
  <si>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</si>
  <si>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</si>
  <si>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</si>
  <si>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</si>
  <si>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</si>
  <si>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</si>
  <si>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</si>
  <si>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</si>
  <si>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</si>
  <si>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</si>
  <si>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</si>
  <si>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</si>
  <si>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</si>
  <si>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</si>
  <si>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</si>
  <si>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</si>
  <si>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</si>
  <si>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</si>
  <si>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</si>
  <si>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</si>
  <si>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</si>
  <si>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</si>
  <si>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</si>
  <si>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</si>
  <si>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</si>
  <si>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</si>
  <si>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</si>
  <si>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</si>
  <si>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</si>
  <si>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</si>
  <si>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</si>
  <si>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</si>
  <si>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</si>
  <si>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</si>
  <si>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</si>
  <si>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</si>
  <si>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</si>
  <si>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</si>
  <si>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</si>
  <si>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</si>
  <si>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</si>
  <si>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</si>
  <si>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</si>
  <si>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</si>
  <si>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</si>
  <si>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</si>
  <si>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</si>
  <si>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</si>
  <si>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</si>
  <si>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</si>
  <si>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</si>
  <si>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</si>
  <si>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</si>
  <si>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</si>
  <si>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</si>
  <si>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</si>
  <si>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</si>
  <si>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</si>
  <si>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</si>
  <si>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</si>
  <si>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</si>
  <si>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</si>
  <si>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</si>
  <si>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</si>
  <si>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</si>
  <si>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</si>
  <si>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</si>
  <si>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</si>
  <si>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</si>
  <si>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</si>
  <si>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</si>
  <si>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</si>
  <si>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</si>
  <si>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</si>
  <si>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</si>
  <si>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</si>
  <si>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</si>
  <si>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</si>
  <si>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</si>
  <si>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</si>
  <si>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</si>
  <si>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</si>
  <si>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</si>
  <si>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</si>
  <si>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</si>
  <si>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</si>
  <si>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</si>
  <si>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</si>
  <si>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</si>
  <si>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</si>
  <si>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</si>
  <si>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</si>
  <si>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</si>
  <si>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</si>
  <si>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</si>
  <si>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</si>
  <si>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</si>
  <si>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</si>
  <si>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</si>
  <si>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</si>
  <si>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</si>
  <si>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</si>
  <si>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</si>
  <si>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</si>
  <si>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</si>
  <si>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</si>
  <si>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</si>
  <si>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</si>
  <si>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</si>
  <si>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</si>
  <si>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</si>
  <si>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</si>
  <si>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</si>
  <si>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</si>
  <si>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</si>
  <si>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</si>
  <si>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</si>
  <si>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</si>
  <si>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</si>
  <si>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</si>
  <si>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</si>
  <si>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</si>
  <si>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</si>
  <si>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</si>
  <si>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</si>
  <si>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</si>
  <si>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</si>
  <si>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</si>
  <si>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</si>
  <si>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</si>
  <si>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</si>
  <si>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</si>
  <si>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</si>
  <si>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</si>
  <si>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</si>
  <si>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</si>
  <si>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</si>
  <si>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</si>
  <si>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</si>
  <si>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</si>
  <si>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</si>
  <si>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</si>
  <si>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</si>
  <si>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</si>
  <si>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</si>
  <si>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</si>
  <si>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</si>
  <si>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</si>
  <si>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</si>
  <si>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</si>
  <si>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</si>
  <si>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</si>
  <si>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</si>
  <si>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</si>
  <si>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</si>
  <si>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</si>
  <si>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</si>
  <si>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</si>
  <si>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</si>
  <si>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</si>
  <si>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</si>
  <si>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</si>
  <si>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</si>
  <si>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</si>
  <si>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</si>
  <si>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</si>
  <si>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</si>
  <si>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</si>
  <si>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</si>
  <si>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</si>
  <si>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</si>
  <si>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</si>
  <si>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</si>
  <si>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</si>
  <si>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</si>
  <si>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</si>
  <si>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</si>
  <si>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</si>
  <si>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</si>
  <si>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</si>
  <si>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</si>
  <si>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</si>
  <si>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</si>
  <si>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</si>
  <si>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</si>
  <si>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</si>
  <si>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</si>
  <si>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</si>
  <si>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</si>
  <si>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</si>
  <si>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</si>
  <si>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</si>
  <si>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</si>
  <si>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</si>
  <si>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</si>
  <si>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</si>
  <si>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</si>
  <si>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</si>
  <si>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</si>
  <si>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</si>
  <si>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</si>
  <si>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</si>
  <si>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</si>
  <si>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</si>
  <si>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</si>
  <si>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</si>
  <si>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</si>
  <si>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</si>
  <si>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</si>
  <si>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</si>
  <si>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</si>
  <si>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</si>
  <si>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</si>
  <si>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</si>
  <si>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</si>
  <si>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</si>
  <si>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</si>
  <si>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</si>
  <si>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</si>
  <si>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</si>
  <si>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</si>
  <si>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</si>
  <si>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</si>
  <si>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</si>
  <si>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</si>
  <si>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</si>
  <si>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</si>
  <si>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</si>
  <si>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</si>
  <si>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</si>
  <si>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</si>
  <si>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</si>
  <si>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</si>
  <si>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</si>
  <si>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</si>
  <si>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</si>
  <si>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</si>
  <si>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</si>
  <si>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</si>
  <si>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</si>
  <si>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</si>
  <si>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</si>
  <si>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</si>
  <si>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</si>
  <si>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</si>
  <si>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</si>
  <si>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</si>
  <si>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</si>
  <si>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</si>
  <si>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</si>
  <si>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</si>
  <si>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</si>
  <si>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</si>
  <si>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</si>
  <si>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</si>
  <si>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</si>
  <si>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</si>
  <si>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</si>
  <si>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</si>
  <si>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</si>
  <si>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</si>
  <si>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</si>
  <si>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</si>
  <si>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</si>
  <si>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</si>
  <si>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</si>
  <si>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</si>
  <si>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</si>
  <si>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</si>
  <si>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</si>
  <si>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</si>
  <si>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</si>
  <si>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</si>
  <si>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</si>
  <si>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</si>
  <si>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</si>
  <si>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</si>
  <si>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</si>
  <si>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</si>
  <si>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</si>
  <si>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</si>
  <si>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</si>
  <si>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r>
      <t xml:space="preserve">GFL KR Battle Sim - JSON Creator </t>
    </r>
    <r>
      <rPr>
        <b/>
        <sz val="12"/>
        <rFont val="Calibri"/>
        <family val="2"/>
        <scheme val="minor"/>
      </rPr>
      <t>(last updated March 28,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</si>
</sst>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8890</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8739</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8302</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8257</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8256</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8258</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8259</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8284</v>
      </c>
    </row>
    <row r="72" spans="1:19" outlineLevel="1" x14ac:dyDescent="0.25">
      <c r="A72" s="159" t="s">
        <v>8285</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8286</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8269</v>
      </c>
      <c r="K78" s="299" t="s">
        <v>8270</v>
      </c>
      <c r="M78" s="151"/>
    </row>
    <row r="79" spans="1:19" outlineLevel="1" x14ac:dyDescent="0.25">
      <c r="A79" s="155" t="s">
        <v>8502</v>
      </c>
    </row>
    <row r="80" spans="1:19" outlineLevel="1" x14ac:dyDescent="0.25">
      <c r="A80" s="279" t="s">
        <v>8244</v>
      </c>
      <c r="B80" s="277" t="s">
        <v>8260</v>
      </c>
      <c r="C80" s="278"/>
      <c r="D80" s="277" t="s">
        <v>8261</v>
      </c>
      <c r="E80" s="278"/>
      <c r="F80" s="277" t="s">
        <v>8262</v>
      </c>
      <c r="G80" s="278"/>
      <c r="H80" s="277" t="s">
        <v>8263</v>
      </c>
      <c r="I80" s="278"/>
      <c r="J80" s="277" t="s">
        <v>8264</v>
      </c>
      <c r="K80" s="278"/>
      <c r="L80" s="277" t="s">
        <v>8265</v>
      </c>
      <c r="M80" s="278"/>
      <c r="N80" s="277" t="s">
        <v>8266</v>
      </c>
      <c r="O80" s="278"/>
      <c r="P80" s="277" t="s">
        <v>8267</v>
      </c>
      <c r="Q80" s="278"/>
      <c r="R80" s="277" t="s">
        <v>8268</v>
      </c>
      <c r="S80" s="278"/>
    </row>
    <row r="81" spans="1:19" outlineLevel="1" x14ac:dyDescent="0.25">
      <c r="A81" s="164" t="s">
        <v>8346</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8342</v>
      </c>
      <c r="B82" s="315" t="s">
        <v>8303</v>
      </c>
      <c r="C82" s="316">
        <v>10</v>
      </c>
      <c r="D82" s="315" t="s">
        <v>8329</v>
      </c>
      <c r="E82" s="316">
        <v>10</v>
      </c>
      <c r="F82" s="315" t="s">
        <v>8312</v>
      </c>
      <c r="G82" s="316">
        <v>10</v>
      </c>
      <c r="H82" s="315" t="s">
        <v>8320</v>
      </c>
      <c r="I82" s="316">
        <v>10</v>
      </c>
      <c r="J82" s="315" t="s">
        <v>8332</v>
      </c>
      <c r="K82" s="316">
        <v>10</v>
      </c>
      <c r="L82" s="315" t="s">
        <v>638</v>
      </c>
      <c r="M82" s="316">
        <v>10</v>
      </c>
      <c r="N82" s="315" t="s">
        <v>8305</v>
      </c>
      <c r="O82" s="316">
        <v>10</v>
      </c>
      <c r="P82" s="315" t="s">
        <v>640</v>
      </c>
      <c r="Q82" s="316">
        <v>10</v>
      </c>
      <c r="R82" s="315" t="s">
        <v>8308</v>
      </c>
      <c r="S82" s="316">
        <v>10</v>
      </c>
    </row>
    <row r="83" spans="1:19" s="256" customFormat="1" outlineLevel="1" x14ac:dyDescent="0.25">
      <c r="A83" s="132" t="s">
        <v>8343</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8344</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8345</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8260</v>
      </c>
      <c r="C87" s="278"/>
      <c r="D87" s="277" t="s">
        <v>8261</v>
      </c>
      <c r="E87" s="278"/>
      <c r="F87" s="277" t="s">
        <v>8262</v>
      </c>
      <c r="G87" s="278"/>
      <c r="H87" s="277" t="s">
        <v>8263</v>
      </c>
      <c r="I87" s="278"/>
      <c r="J87" s="277" t="s">
        <v>8264</v>
      </c>
      <c r="K87" s="278"/>
      <c r="L87" s="277" t="s">
        <v>8265</v>
      </c>
      <c r="M87" s="278"/>
      <c r="N87" s="277" t="s">
        <v>8266</v>
      </c>
      <c r="O87" s="278"/>
      <c r="P87" s="277" t="s">
        <v>8267</v>
      </c>
      <c r="Q87" s="278"/>
      <c r="R87" s="277" t="s">
        <v>8268</v>
      </c>
      <c r="S87" s="278"/>
    </row>
    <row r="88" spans="1:19" s="256" customFormat="1" outlineLevel="1" x14ac:dyDescent="0.25">
      <c r="A88" s="164" t="s">
        <v>8346</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8342</v>
      </c>
      <c r="B89" s="306" t="s">
        <v>8303</v>
      </c>
      <c r="C89" s="154">
        <v>10</v>
      </c>
      <c r="D89" s="307" t="s">
        <v>8320</v>
      </c>
      <c r="E89" s="154">
        <v>10</v>
      </c>
      <c r="F89" s="307" t="s">
        <v>8321</v>
      </c>
      <c r="G89" s="154">
        <v>10</v>
      </c>
      <c r="H89" s="307" t="s">
        <v>8330</v>
      </c>
      <c r="I89" s="154">
        <v>10</v>
      </c>
      <c r="J89" s="307" t="s">
        <v>8333</v>
      </c>
      <c r="K89" s="154">
        <v>10</v>
      </c>
      <c r="L89" s="307" t="s">
        <v>638</v>
      </c>
      <c r="M89" s="154">
        <v>10</v>
      </c>
      <c r="N89" s="307" t="s">
        <v>8305</v>
      </c>
      <c r="O89" s="154">
        <v>10</v>
      </c>
      <c r="P89" s="307" t="s">
        <v>640</v>
      </c>
      <c r="Q89" s="154">
        <v>10</v>
      </c>
      <c r="R89" s="307" t="s">
        <v>8308</v>
      </c>
      <c r="S89" s="154">
        <v>10</v>
      </c>
    </row>
    <row r="90" spans="1:19" s="256" customFormat="1" outlineLevel="1" x14ac:dyDescent="0.25">
      <c r="A90" s="132" t="s">
        <v>8343</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8344</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8345</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8534</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8661</v>
      </c>
      <c r="E97" s="161"/>
      <c r="F97" s="162"/>
      <c r="G97" s="163" t="s">
        <v>769</v>
      </c>
      <c r="H97" s="161"/>
      <c r="I97" s="162"/>
      <c r="J97" s="163" t="s">
        <v>8536</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8662</v>
      </c>
      <c r="G98" s="165">
        <v>1</v>
      </c>
      <c r="H98" s="165">
        <v>2</v>
      </c>
      <c r="I98" s="166">
        <v>3</v>
      </c>
      <c r="J98" s="167" t="s">
        <v>8537</v>
      </c>
      <c r="K98" s="165" t="s">
        <v>8538</v>
      </c>
      <c r="L98" s="165" t="s">
        <v>8539</v>
      </c>
      <c r="M98" s="165" t="s">
        <v>8540</v>
      </c>
      <c r="N98" s="165" t="s">
        <v>8541</v>
      </c>
      <c r="O98" s="165" t="s">
        <v>8542</v>
      </c>
      <c r="P98" s="165" t="s">
        <v>8543</v>
      </c>
      <c r="Q98" s="165" t="s">
        <v>8544</v>
      </c>
      <c r="R98" s="165" t="s">
        <v>8545</v>
      </c>
      <c r="S98" s="166" t="s">
        <v>8546</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8510</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8535</v>
      </c>
    </row>
    <row r="123" spans="1:16" outlineLevel="1" x14ac:dyDescent="0.25">
      <c r="A123" s="159" t="s">
        <v>8728</v>
      </c>
      <c r="B123" s="159"/>
      <c r="C123" s="159"/>
      <c r="E123" s="214"/>
    </row>
    <row r="124" spans="1:16" outlineLevel="1" x14ac:dyDescent="0.25">
      <c r="A124" s="193" t="s">
        <v>8726</v>
      </c>
      <c r="B124" s="181" t="s">
        <v>783</v>
      </c>
      <c r="C124" s="182" t="s">
        <v>769</v>
      </c>
      <c r="D124" s="181" t="s">
        <v>6591</v>
      </c>
      <c r="E124" s="182" t="s">
        <v>769</v>
      </c>
      <c r="F124" s="181" t="s">
        <v>7095</v>
      </c>
      <c r="G124" s="182" t="s">
        <v>1767</v>
      </c>
      <c r="H124" s="181" t="s">
        <v>8727</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04B70D2-C0BE-4876-AD0C-DE38628E412E}">
      <formula1>"1,2,3,4,5"</formula1>
    </dataValidation>
    <dataValidation type="list" allowBlank="1" showInputMessage="1" showErrorMessage="1" sqref="C125:C127" xr:uid="{712A14D6-A691-48E3-B11F-4D436FF99545}">
      <formula1>"1,2,3,4,5,6,7,8,9,10"</formula1>
    </dataValidation>
    <dataValidation type="whole" allowBlank="1" showInputMessage="1" showErrorMessage="1" sqref="D59:D67 D114:D119 D30 E9" xr:uid="{B5EA5A1F-D2B4-475B-A59A-ABE4B9861262}">
      <formula1>1</formula1>
      <formula2>100</formula2>
    </dataValidation>
    <dataValidation type="custom" allowBlank="1" showInputMessage="1" showErrorMessage="1" sqref="H28:J30" xr:uid="{F6730526-4600-46A7-B78C-B4000BB36225}">
      <formula1>AND(COUNTA($H$28:$J$30)&lt;=5,COUNTIF($H$28:$J$30,1)&lt;=1,COUNTIF($H$28:$J$30,2)&lt;=1,COUNTIF($H$28:$J$30,3)&lt;=1,COUNTIF($H$28:$J$30,4)&lt;=1,COUNTIF($H$28:$J$30,5)&lt;=1)</formula1>
    </dataValidation>
    <dataValidation type="list" allowBlank="1" showInputMessage="1" showErrorMessage="1" sqref="B9" xr:uid="{CD960017-1F6A-4509-86E6-D88A256EAF90}">
      <formula1>"Yellow,Red,Blue,White"</formula1>
    </dataValidation>
    <dataValidation type="list" allowBlank="1" showInputMessage="1" showErrorMessage="1" sqref="Q58 AC19 E10:E11" xr:uid="{8AFB6DF4-6729-4FF0-8D57-B8BC9702D1C9}">
      <formula1>"TRUE,FALSE"</formula1>
    </dataValidation>
    <dataValidation type="list" allowBlank="1" showInputMessage="1" showErrorMessage="1" sqref="B8" xr:uid="{4D1173CC-29C1-4354-B866-82ADFA8D3024}">
      <formula1>"Day,Night,TargetTrain"</formula1>
    </dataValidation>
    <dataValidation type="whole" allowBlank="1" showInputMessage="1" showErrorMessage="1" sqref="B10" xr:uid="{4444661D-282A-4015-9F22-8F24AD06D7E8}">
      <formula1>1</formula1>
      <formula2>99</formula2>
    </dataValidation>
    <dataValidation type="whole" operator="greaterThan" allowBlank="1" showInputMessage="1" showErrorMessage="1" sqref="E8" xr:uid="{AE8B411E-3721-420B-93B9-44027ACF39B0}">
      <formula1>0</formula1>
    </dataValidation>
    <dataValidation type="whole" operator="greaterThanOrEqual" allowBlank="1" showInputMessage="1" showErrorMessage="1" sqref="Y21:AC25 Y34:AC34 D109:I109" xr:uid="{3224C8E7-8CF4-44A7-837A-400456166B91}">
      <formula1>0</formula1>
    </dataValidation>
    <dataValidation type="list" allowBlank="1" showInputMessage="1" showErrorMessage="1" sqref="B16" xr:uid="{8CFD4DB3-65C8-4A3D-882A-BBAB886FBE00}">
      <formula1>ListOfPresets</formula1>
    </dataValidation>
    <dataValidation type="list" allowBlank="1" showInputMessage="1" showErrorMessage="1" sqref="F59:F67 F114:F119 I34 I21:I25" xr:uid="{6F7E3C18-400B-4920-91AC-90E413EBCCF2}">
      <formula1>"0,1,2,3,4"</formula1>
    </dataValidation>
    <dataValidation type="list" allowBlank="1" showInputMessage="1" showErrorMessage="1" sqref="E125:E127 E30 E89 N34 N21:N25 G34:H34 G21:H25 R34 R21:R25 V34 V21:V25 G89 I89 K89 M89 O89 Q89 S89 C89 S82 Q82 O82 M82 K82 I82 G82 E82 C82 J109:S109 D109 E99:I109" xr:uid="{96A24C9B-1E87-4373-A394-A29809CFC82E}">
      <formula1>"0,1,2,3,4,5,6,7,8,9,10"</formula1>
    </dataValidation>
    <dataValidation type="custom" allowBlank="1" showInputMessage="1" showErrorMessage="1" errorTitle="Error:" error="Input must:_x000a_- Be an integer from 1 to 5_x000a_- Not be smaller than the base rarity" sqref="E59:E67" xr:uid="{3325DF64-D539-4275-9C79-FEF7FCE937C1}">
      <formula1>AND(OR(E59=1,E59=2,E59=3,E59=4,E59=5),E59&gt;=B59)</formula1>
    </dataValidation>
    <dataValidation type="list" allowBlank="1" showInputMessage="1" showErrorMessage="1" sqref="G59:G67" xr:uid="{FBA56B65-E322-40D7-BB85-9216452A4ADA}">
      <formula1>"XS,S,M,L,XL"</formula1>
    </dataValidation>
    <dataValidation type="list" allowBlank="1" showInputMessage="1" showErrorMessage="1" sqref="B7" xr:uid="{E048D486-A578-466A-AA77-44AE6EAB4849}">
      <formula1>"G&amp;K,SF"</formula1>
    </dataValidation>
    <dataValidation type="custom" allowBlank="1" showInputMessage="1" showErrorMessage="1" sqref="H59:H67" xr:uid="{00185071-82C9-44C2-B1B7-92830B0630B8}">
      <formula1>IF($B59&lt;3,AND(H59&gt;=0,H59&lt;=100,H59=INT(H59)),AND(H59&gt;=0,H59&lt;=150,H59=INT(H59)))</formula1>
    </dataValidation>
    <dataValidation type="custom" allowBlank="1" showInputMessage="1" showErrorMessage="1" sqref="S60:U62" xr:uid="{B87D397C-ED1F-40E3-8A3A-9C0D7AECA903}">
      <formula1>AND(S60&gt;=1,S60&lt;=9,S60=INT(S60),COUNTIF($S$60:$U$62,S60)&lt;=1)</formula1>
    </dataValidation>
    <dataValidation type="custom" allowBlank="1" showInputMessage="1" showErrorMessage="1" sqref="A99:A109 A114:A119 B75:B76" xr:uid="{F72BF0A7-1672-4661-8177-FD5BA30CEE38}">
      <formula1>A75="X"</formula1>
    </dataValidation>
    <dataValidation type="custom" allowBlank="1" showInputMessage="1" showErrorMessage="1" sqref="I59:J67" xr:uid="{73524C6C-8B8B-4996-8E6F-7269741222D5}">
      <formula1>IF($B59=3,AND(I59&gt;=0,I59&lt;=10,I59=INT(I59)),AND(I59&gt;=0,I59&lt;=5,I59=INT(I59)))</formula1>
    </dataValidation>
    <dataValidation type="custom" allowBlank="1" showInputMessage="1" showErrorMessage="1" sqref="K59:L67 J114:K119" xr:uid="{814C1DE1-3AEF-4077-9D2C-152C3A47E750}">
      <formula1>AND(J59&gt;=0,J59&lt;=5,J59=INT(J59))</formula1>
    </dataValidation>
    <dataValidation type="custom" allowBlank="1" showInputMessage="1" showErrorMessage="1" errorTitle="Error:" error="Input must:_x000a_- Be an integer from 1 to 5_x000a_- Not be smaller than the base rarity" sqref="E114:E119" xr:uid="{EE38A454-8673-4F22-9642-4F6B38C06F44}">
      <formula1>AND(OR(E114=1,E114=2,E114=3,E114=4,E114=5),E114&gt;=3)</formula1>
    </dataValidation>
    <dataValidation type="custom" allowBlank="1" showInputMessage="1" showErrorMessage="1" sqref="G114:G119" xr:uid="{BF163583-4330-4956-85A8-35B2AE66BB23}">
      <formula1>AND(G114&gt;=0,G114&lt;=150,G114=INT(G114))</formula1>
    </dataValidation>
    <dataValidation type="custom" allowBlank="1" showInputMessage="1" showErrorMessage="1" sqref="H114:I119" xr:uid="{3A092952-C854-4956-AF44-54EDEABE5063}">
      <formula1>AND(H114&gt;=0,H114&lt;=10,H114=INT(H114))</formula1>
    </dataValidation>
    <dataValidation operator="greaterThan" allowBlank="1" showInputMessage="1" showErrorMessage="1" sqref="E7" xr:uid="{4CDC25A4-CE7F-4506-BFE4-7073E26DC96B}"/>
    <dataValidation type="list" allowBlank="1" showInputMessage="1" showErrorMessage="1" sqref="B54:C54" xr:uid="{11603FEC-74BF-4555-989A-3B4F979DF5C4}">
      <formula1>ListOfPresetsSF</formula1>
    </dataValidation>
    <dataValidation type="whole" allowBlank="1" showInputMessage="1" showErrorMessage="1" sqref="B11" xr:uid="{6DE06F07-D077-469B-B72E-FF7699E8563C}">
      <formula1>1</formula1>
      <formula2>9999</formula2>
    </dataValidation>
    <dataValidation type="whole" operator="greaterThanOrEqual" allowBlank="1" showInputMessage="1" showErrorMessage="1" sqref="F125:F127" xr:uid="{E15668A0-3A7F-43F8-B5B1-79B638E6F743}">
      <formula1>1</formula1>
    </dataValidation>
    <dataValidation type="whole" allowBlank="1" showInputMessage="1" showErrorMessage="1" sqref="E21:E25 E34 D75:D76 K75 F75 H75 D99:D108" xr:uid="{AB5B9B81-1644-43E3-8F53-ECCE4B1199AE}">
      <formula1>1</formula1>
      <formula2>120</formula2>
    </dataValidation>
    <dataValidation type="whole" allowBlank="1" showInputMessage="1" showErrorMessage="1" sqref="J21:J25 J34" xr:uid="{6B8DF43A-C3DB-4AF8-A8B0-B33EED64B254}">
      <formula1>0</formula1>
      <formula2>200</formula2>
    </dataValidation>
    <dataValidation type="list" allowBlank="1" showInputMessage="1" showErrorMessage="1" sqref="B12" xr:uid="{A3B47A67-BD63-4A84-8BC6-80562A4E6D1F}">
      <formula1>"Off,Support,RangeCombat,Combat"</formula1>
    </dataValidation>
    <dataValidation type="list" allowBlank="1" showInputMessage="1" showErrorMessage="1" sqref="J75" xr:uid="{F7740829-0840-475F-AE02-87A341C1B172}">
      <formula1>"Doll,SF,HOC"</formula1>
    </dataValidation>
    <dataValidation type="list" allowBlank="1" showInputMessage="1" showErrorMessage="1" sqref="C75:C76" xr:uid="{155640BC-F4A5-4726-93F5-EE855F2BE7B2}">
      <formula1>"1,2,3,4,5,6,7,8,9,10,11,12,13,14,15"</formula1>
    </dataValidation>
    <dataValidation type="list" allowBlank="1" showInputMessage="1" showErrorMessage="1" sqref="J99:S108" xr:uid="{C9D59413-E07D-4898-9931-18DC7ED9BBD9}">
      <formula1>"0,1,2,3,4,5,6,7,8,9,10,11,12,13,14,15,16,17,18,19,20"</formula1>
    </dataValidation>
    <dataValidation type="list" operator="greaterThanOrEqual" allowBlank="1" showInputMessage="1" showErrorMessage="1" sqref="F99:I108" xr:uid="{00193047-94F6-4DF2-B451-B6545FBA9E67}">
      <formula1>"0,1,2,3,4,5,6,7,8,9,10"</formula1>
    </dataValidation>
    <dataValidation type="list" operator="greaterThanOrEqual" allowBlank="1" showInputMessage="1" showErrorMessage="1" sqref="E99:E108" xr:uid="{7FC10EDC-F6F8-426E-8FBA-B5849D23423D}">
      <formula1>"1,2,3,4,5"</formula1>
    </dataValidation>
  </dataValidations>
  <hyperlinks>
    <hyperlink ref="N11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2">
        <x14:dataValidation type="list" allowBlank="1" showInputMessage="1" showErrorMessage="1" xr:uid="{EE133C25-4886-4E68-A573-001BC9289508}">
          <x14:formula1>
            <xm:f>'Fairy Data'!$B$2:$B$101</xm:f>
          </x14:formula1>
          <xm:sqref>B30</xm:sqref>
        </x14:dataValidation>
        <x14:dataValidation type="list" allowBlank="1" showInputMessage="1" showErrorMessage="1" xr:uid="{F3B368A5-7FE8-42AE-A47C-515E3BF251F1}">
          <x14:formula1>
            <xm:f>'Talent Data'!$A$2:$A$100</xm:f>
          </x14:formula1>
          <xm:sqref>F30</xm:sqref>
        </x14:dataValidation>
        <x14:dataValidation type="list" allowBlank="1" showInputMessage="1" showErrorMessage="1" xr:uid="{1818F704-50B0-45B0-8F36-608E11A58012}">
          <x14:formula1>
            <xm:f>'SF Data'!$C$2:$C$1048576</xm:f>
          </x14:formula1>
          <xm:sqref>C59:C67</xm:sqref>
        </x14:dataValidation>
        <x14:dataValidation type="list" allowBlank="1" showInputMessage="1" showErrorMessage="1" xr:uid="{BF5D494E-98E1-4EB5-8522-E981FEE11ADC}">
          <x14:formula1>
            <xm:f>'SF Chip Data'!$B$2:$B$1048576</xm:f>
          </x14:formula1>
          <xm:sqref>M59:N67 L114:M119</xm:sqref>
        </x14:dataValidation>
        <x14:dataValidation type="list" allowBlank="1" showInputMessage="1" showErrorMessage="1" xr:uid="{3229B3FA-CB1C-41C6-93FF-7D6F4B5D5178}">
          <x14:formula1>
            <xm:f>Dropdowns!$AZ$3:$AZ$300</xm:f>
          </x14:formula1>
          <xm:sqref>D21</xm:sqref>
        </x14:dataValidation>
        <x14:dataValidation type="list" allowBlank="1" showInputMessage="1" showErrorMessage="1" xr:uid="{38E2B01D-CCEA-4D04-8729-7B08AD3FA005}">
          <x14:formula1>
            <xm:f>Dropdowns!$BA$3:$BA$300</xm:f>
          </x14:formula1>
          <xm:sqref>D22</xm:sqref>
        </x14:dataValidation>
        <x14:dataValidation type="list" allowBlank="1" showInputMessage="1" showErrorMessage="1" xr:uid="{F0860B6B-AE45-4F28-B13D-1387B5710B22}">
          <x14:formula1>
            <xm:f>Dropdowns!$BB$3:$BB$300</xm:f>
          </x14:formula1>
          <xm:sqref>D23</xm:sqref>
        </x14:dataValidation>
        <x14:dataValidation type="list" allowBlank="1" showInputMessage="1" showErrorMessage="1" xr:uid="{71AAB46E-9D8D-4805-A69E-0B14BAEAFF4A}">
          <x14:formula1>
            <xm:f>Dropdowns!$BC$3:$BC$300</xm:f>
          </x14:formula1>
          <xm:sqref>D24</xm:sqref>
        </x14:dataValidation>
        <x14:dataValidation type="list" allowBlank="1" showInputMessage="1" showErrorMessage="1" xr:uid="{20A1C289-862D-4539-81B6-81AB9E1085BA}">
          <x14:formula1>
            <xm:f>Dropdowns!$BE$2:$BE$300</xm:f>
          </x14:formula1>
          <xm:sqref>M21</xm:sqref>
        </x14:dataValidation>
        <x14:dataValidation type="list" allowBlank="1" showInputMessage="1" showErrorMessage="1" xr:uid="{A714C470-376B-4F88-AFA5-3BEB6DCB78A8}">
          <x14:formula1>
            <xm:f>Dropdowns!$BF$3:$BF$300</xm:f>
          </x14:formula1>
          <xm:sqref>M22</xm:sqref>
        </x14:dataValidation>
        <x14:dataValidation type="list" allowBlank="1" showInputMessage="1" showErrorMessage="1" xr:uid="{936813E4-9421-495F-846C-E2EB82432814}">
          <x14:formula1>
            <xm:f>Dropdowns!$BG$3:$BG$300</xm:f>
          </x14:formula1>
          <xm:sqref>M23</xm:sqref>
        </x14:dataValidation>
        <x14:dataValidation type="list" allowBlank="1" showInputMessage="1" showErrorMessage="1" xr:uid="{6CC61CDF-3E9E-4BCD-BBF4-3E2E78E55A63}">
          <x14:formula1>
            <xm:f>Dropdowns!$BH$3:$BH$300</xm:f>
          </x14:formula1>
          <xm:sqref>M24</xm:sqref>
        </x14:dataValidation>
        <x14:dataValidation type="list" allowBlank="1" showInputMessage="1" showErrorMessage="1" xr:uid="{FB5AC7DF-6043-4CD9-A4A4-5115CD3CCA3B}">
          <x14:formula1>
            <xm:f>Dropdowns!$BJ$3:$BJ$300</xm:f>
          </x14:formula1>
          <xm:sqref>Q21</xm:sqref>
        </x14:dataValidation>
        <x14:dataValidation type="list" allowBlank="1" showInputMessage="1" showErrorMessage="1" xr:uid="{63E95F66-2C1F-4B73-A638-2B5CDB7E7C95}">
          <x14:formula1>
            <xm:f>Dropdowns!$BK$3:$BK$300</xm:f>
          </x14:formula1>
          <xm:sqref>Q22</xm:sqref>
        </x14:dataValidation>
        <x14:dataValidation type="list" allowBlank="1" showInputMessage="1" showErrorMessage="1" xr:uid="{063EBFFE-B406-4D86-B2AC-E3FA9A3C39C1}">
          <x14:formula1>
            <xm:f>Dropdowns!$BL$3:$BL$300</xm:f>
          </x14:formula1>
          <xm:sqref>Q23</xm:sqref>
        </x14:dataValidation>
        <x14:dataValidation type="list" allowBlank="1" showInputMessage="1" showErrorMessage="1" xr:uid="{8807D703-2F73-499C-B0BC-1DC86189FF90}">
          <x14:formula1>
            <xm:f>Dropdowns!$BM$3:$BM$300</xm:f>
          </x14:formula1>
          <xm:sqref>Q24</xm:sqref>
        </x14:dataValidation>
        <x14:dataValidation type="list" allowBlank="1" showInputMessage="1" showErrorMessage="1" xr:uid="{667DD2D5-1617-483B-9C95-4FE6A879A1D7}">
          <x14:formula1>
            <xm:f>Dropdowns!$BO$3:$BO$300</xm:f>
          </x14:formula1>
          <xm:sqref>U21</xm:sqref>
        </x14:dataValidation>
        <x14:dataValidation type="list" allowBlank="1" showInputMessage="1" showErrorMessage="1" xr:uid="{C3161BC7-533F-4C45-8957-A1DE57586173}">
          <x14:formula1>
            <xm:f>Dropdowns!$BP$3:$BP$300</xm:f>
          </x14:formula1>
          <xm:sqref>U22</xm:sqref>
        </x14:dataValidation>
        <x14:dataValidation type="list" allowBlank="1" showInputMessage="1" showErrorMessage="1" xr:uid="{1FDB4C4F-8348-47AC-BAFD-3373AD583E8A}">
          <x14:formula1>
            <xm:f>Dropdowns!$BQ$3:$BQ$300</xm:f>
          </x14:formula1>
          <xm:sqref>U23</xm:sqref>
        </x14:dataValidation>
        <x14:dataValidation type="list" allowBlank="1" showInputMessage="1" showErrorMessage="1" xr:uid="{882FEEDF-D3F0-434B-A57D-4AEFD61D3C06}">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9FC1AE2E-A4B8-44AF-B6FA-B0962F029B71}">
          <x14:formula1>
            <xm:f>Dropdowns!$BU$2:$BU$50</xm:f>
          </x14:formula1>
          <xm:sqref>N114:N119 G125:G127 I125:I127</xm:sqref>
        </x14:dataValidation>
        <x14:dataValidation type="list" allowBlank="1" showInputMessage="1" showErrorMessage="1" xr:uid="{169271DB-DADF-49C4-8DA0-8E00FB129B04}">
          <x14:formula1>
            <xm:f>'Strat Buff Data'!$A$2:$A$1048576</xm:f>
          </x14:formula1>
          <xm:sqref>B125:B127</xm:sqref>
        </x14:dataValidation>
        <x14:dataValidation type="list" allowBlank="1" showInputMessage="1" showErrorMessage="1" xr:uid="{DA3EE425-AC1D-40D0-A316-9DF88CD3FE9C}">
          <x14:formula1>
            <xm:f>'Strat Buff Data'!$E$2:$E$1048576</xm:f>
          </x14:formula1>
          <xm:sqref>D125:D127</xm:sqref>
        </x14:dataValidation>
        <x14:dataValidation type="list" allowBlank="1" showInputMessage="1" showErrorMessage="1" xr:uid="{24DA74FC-F29C-4665-BC8F-B8B3AB1D3185}">
          <x14:formula1>
            <xm:f>Dropdowns!$BD$3:$BD$252</xm:f>
          </x14:formula1>
          <xm:sqref>D34</xm:sqref>
        </x14:dataValidation>
        <x14:dataValidation type="list" allowBlank="1" showInputMessage="1" showErrorMessage="1" xr:uid="{3B2EF058-F9FC-49E8-A0AD-BEF6D9924AA5}">
          <x14:formula1>
            <xm:f>Dropdowns!$BS$3:$BS$252</xm:f>
          </x14:formula1>
          <xm:sqref>U34</xm:sqref>
        </x14:dataValidation>
        <x14:dataValidation type="list" allowBlank="1" showInputMessage="1" showErrorMessage="1" xr:uid="{57E24554-D499-4AC6-8026-5DDD15414B4A}">
          <x14:formula1>
            <xm:f>Dropdowns!$B$2:$B$7</xm:f>
          </x14:formula1>
          <xm:sqref>C21:C25 C34</xm:sqref>
        </x14:dataValidation>
        <x14:dataValidation type="list" allowBlank="1" showInputMessage="1" showErrorMessage="1" xr:uid="{CE1C5CDF-C4C7-4636-9C78-F88EBE4D7030}">
          <x14:formula1>
            <xm:f>Dropdowns!$A$2:$A$6</xm:f>
          </x14:formula1>
          <xm:sqref>B21:B25 B34</xm:sqref>
        </x14:dataValidation>
        <x14:dataValidation type="list" allowBlank="1" showInputMessage="1" showErrorMessage="1" xr:uid="{0FF662B7-B617-45B8-88A5-7133A5C67222}">
          <x14:formula1>
            <xm:f>Dropdowns!$AH$1:$AV$1</xm:f>
          </x14:formula1>
          <xm:sqref>T21:T25 L34 L21:L25 P34 P21:P25 T34</xm:sqref>
        </x14:dataValidation>
        <x14:dataValidation type="list" allowBlank="1" showInputMessage="1" showErrorMessage="1" xr:uid="{D9923223-C45F-4B48-829F-98F102A18122}">
          <x14:formula1>
            <xm:f>Dropdowns!$BI$3:$BI$252</xm:f>
          </x14:formula1>
          <xm:sqref>M34</xm:sqref>
        </x14:dataValidation>
        <x14:dataValidation type="list" allowBlank="1" showInputMessage="1" showErrorMessage="1" xr:uid="{910F897C-9A45-4E5B-9F2B-21529EF8C3C9}">
          <x14:formula1>
            <xm:f>Dropdowns!$BN$3:$BN$252</xm:f>
          </x14:formula1>
          <xm:sqref>Q34</xm:sqref>
        </x14:dataValidation>
        <x14:dataValidation type="list" allowBlank="1" showInputMessage="1" showErrorMessage="1" xr:uid="{E08FBC32-8278-4660-9C52-D4DAAA021100}">
          <x14:formula1>
            <xm:f>'Vehicle Comp'!$B$15:$B$23</xm:f>
          </x14:formula1>
          <xm:sqref>B82</xm:sqref>
        </x14:dataValidation>
        <x14:dataValidation type="list" allowBlank="1" showInputMessage="1" showErrorMessage="1" xr:uid="{763B3961-E67B-4BF9-BCE9-35ACF59B77F7}">
          <x14:formula1>
            <xm:f>'Vehicle Comp'!$B$15:$B$32</xm:f>
          </x14:formula1>
          <xm:sqref>F82 B89</xm:sqref>
        </x14:dataValidation>
        <x14:dataValidation type="list" allowBlank="1" showInputMessage="1" showErrorMessage="1" xr:uid="{EA8ECA84-5945-447D-B2CD-DD861AF626B6}">
          <x14:formula1>
            <xm:f>'Vehicle Comp'!$B$33:$B$43</xm:f>
          </x14:formula1>
          <xm:sqref>D82 H89</xm:sqref>
        </x14:dataValidation>
        <x14:dataValidation type="list" allowBlank="1" showInputMessage="1" showErrorMessage="1" xr:uid="{6BA7EF57-BCA5-43F0-8051-7CAE6451B9C6}">
          <x14:formula1>
            <xm:f>'Vehicle Comp'!$B$24:$B$32</xm:f>
          </x14:formula1>
          <xm:sqref>F89 H82 D89</xm:sqref>
        </x14:dataValidation>
        <x14:dataValidation type="list" allowBlank="1" showInputMessage="1" showErrorMessage="1" xr:uid="{9246FABF-E0DC-48A9-A3A3-8986361C7617}">
          <x14:formula1>
            <xm:f>'Vehicle Comp'!$B$36:$B$43</xm:f>
          </x14:formula1>
          <xm:sqref>J82 J89</xm:sqref>
        </x14:dataValidation>
        <x14:dataValidation type="list" allowBlank="1" showInputMessage="1" showErrorMessage="1" xr:uid="{6563A851-416C-4EBE-A368-4826DAD32CFB}">
          <x14:formula1>
            <xm:f>'Vehicle Comp'!$B$2:$B$14</xm:f>
          </x14:formula1>
          <xm:sqref>P89 R89 L89 R82 P82 N82 L82 N89</xm:sqref>
        </x14:dataValidation>
        <x14:dataValidation type="list" allowBlank="1" showInputMessage="1" showErrorMessage="1" xr:uid="{04AC28A1-8023-445B-81D0-4108AE8BBA5A}">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217D4A0B-A7E4-4B51-AF37-7886D6660EE5}">
          <x14:formula1>
            <xm:f>'Vehicle Substats'!$H$2:$H$44</xm:f>
          </x14:formula1>
          <xm:sqref>C83:C85 E83:E85 G83:G85 I83:I85 K83:K85 M83:M85 O83:O85 Q83:Q85 S83:S85 C90:C92 E90:E92 G90:G92 I90:I92 K90:K92 M90:M92 O90:O92 Q90:Q92 S90:S92</xm:sqref>
        </x14:dataValidation>
        <x14:dataValidation type="list" allowBlank="1" showInputMessage="1" showErrorMessage="1" xr:uid="{3460A028-D95A-4D01-98C3-AB670E4D5C51}">
          <x14:formula1>
            <xm:f>Dropdowns!$BD$3:$BD$300</xm:f>
          </x14:formula1>
          <xm:sqref>D25</xm:sqref>
        </x14:dataValidation>
        <x14:dataValidation type="list" allowBlank="1" showInputMessage="1" showErrorMessage="1" xr:uid="{C167C6A1-877F-43B8-8FD9-C089E80D17FD}">
          <x14:formula1>
            <xm:f>Dropdowns!$BI$3:$BI$300</xm:f>
          </x14:formula1>
          <xm:sqref>M25</xm:sqref>
        </x14:dataValidation>
        <x14:dataValidation type="list" allowBlank="1" showInputMessage="1" showErrorMessage="1" xr:uid="{4D242704-90F9-48A2-8C14-C06E29B55541}">
          <x14:formula1>
            <xm:f>Dropdowns!$BN$3:$BN$300</xm:f>
          </x14:formula1>
          <xm:sqref>Q25</xm:sqref>
        </x14:dataValidation>
        <x14:dataValidation type="list" allowBlank="1" showInputMessage="1" showErrorMessage="1" xr:uid="{5B99E5D9-855F-47CE-879D-22F6AED068AA}">
          <x14:formula1>
            <xm:f>Dropdowns!$BS$3:$BS$300</xm:f>
          </x14:formula1>
          <xm:sqref>U25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M44"/>
  <sheetViews>
    <sheetView topLeftCell="A20" workbookViewId="0">
      <selection activeCell="A2" sqref="A2"/>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34.5703125" bestFit="1" customWidth="1"/>
    <col min="9" max="9" width="14.85546875" bestFit="1" customWidth="1"/>
    <col min="12" max="13" width="152.5703125" bestFit="1" customWidth="1"/>
  </cols>
  <sheetData>
    <row r="1" spans="1:13" x14ac:dyDescent="0.25">
      <c r="A1" t="s">
        <v>25</v>
      </c>
      <c r="B1">
        <v>1</v>
      </c>
      <c r="C1">
        <v>2</v>
      </c>
      <c r="D1">
        <v>3</v>
      </c>
      <c r="E1">
        <v>4</v>
      </c>
      <c r="F1">
        <v>5</v>
      </c>
      <c r="H1" t="s">
        <v>8499</v>
      </c>
      <c r="I1" t="s">
        <v>8497</v>
      </c>
      <c r="J1" t="s">
        <v>25</v>
      </c>
      <c r="K1" t="s">
        <v>581</v>
      </c>
      <c r="L1" t="s">
        <v>8498</v>
      </c>
      <c r="M1" t="s">
        <v>8496</v>
      </c>
    </row>
    <row r="2" spans="1:13" x14ac:dyDescent="0.25">
      <c r="A2" t="s">
        <v>1778</v>
      </c>
      <c r="B2" t="s">
        <v>8347</v>
      </c>
      <c r="C2" t="s">
        <v>8348</v>
      </c>
      <c r="D2" t="s">
        <v>8349</v>
      </c>
      <c r="E2" t="s">
        <v>8350</v>
      </c>
      <c r="F2" t="s">
        <v>8351</v>
      </c>
      <c r="H2" t="s">
        <v>8495</v>
      </c>
      <c r="I2" t="s">
        <v>8352</v>
      </c>
      <c r="J2">
        <v>2001</v>
      </c>
      <c r="K2">
        <v>770036</v>
      </c>
      <c r="L2" t="s">
        <v>8441</v>
      </c>
      <c r="M2" t="s">
        <v>8353</v>
      </c>
    </row>
    <row r="3" spans="1:13" x14ac:dyDescent="0.25">
      <c r="A3" t="s">
        <v>8187</v>
      </c>
      <c r="B3">
        <v>24</v>
      </c>
      <c r="C3">
        <v>28</v>
      </c>
      <c r="D3">
        <v>33</v>
      </c>
      <c r="E3">
        <v>38</v>
      </c>
      <c r="F3">
        <v>48</v>
      </c>
      <c r="H3" t="s">
        <v>8494</v>
      </c>
      <c r="I3" t="s">
        <v>8354</v>
      </c>
      <c r="J3">
        <v>2002</v>
      </c>
      <c r="K3">
        <v>770038</v>
      </c>
      <c r="L3" t="s">
        <v>8442</v>
      </c>
      <c r="M3" t="s">
        <v>8355</v>
      </c>
    </row>
    <row r="4" spans="1:13" x14ac:dyDescent="0.25">
      <c r="A4" t="s">
        <v>8188</v>
      </c>
      <c r="B4">
        <v>24</v>
      </c>
      <c r="C4">
        <v>28</v>
      </c>
      <c r="D4">
        <v>33</v>
      </c>
      <c r="E4">
        <v>38</v>
      </c>
      <c r="F4">
        <v>48</v>
      </c>
      <c r="H4" t="s">
        <v>8501</v>
      </c>
      <c r="I4" t="s">
        <v>8356</v>
      </c>
      <c r="J4">
        <v>2003</v>
      </c>
      <c r="K4">
        <v>770125</v>
      </c>
      <c r="L4" t="s">
        <v>8443</v>
      </c>
      <c r="M4" t="s">
        <v>8357</v>
      </c>
    </row>
    <row r="5" spans="1:13" x14ac:dyDescent="0.25">
      <c r="A5" t="s">
        <v>8189</v>
      </c>
      <c r="B5">
        <v>8</v>
      </c>
      <c r="C5">
        <v>9</v>
      </c>
      <c r="D5">
        <v>11</v>
      </c>
      <c r="E5">
        <v>12</v>
      </c>
      <c r="F5">
        <v>16</v>
      </c>
      <c r="H5" t="s">
        <v>8493</v>
      </c>
      <c r="I5" t="s">
        <v>8358</v>
      </c>
      <c r="J5">
        <v>2004</v>
      </c>
      <c r="K5">
        <v>770106</v>
      </c>
      <c r="L5" t="s">
        <v>8444</v>
      </c>
      <c r="M5" t="s">
        <v>8359</v>
      </c>
    </row>
    <row r="6" spans="1:13" x14ac:dyDescent="0.25">
      <c r="A6" t="s">
        <v>7738</v>
      </c>
      <c r="B6">
        <v>16</v>
      </c>
      <c r="C6">
        <v>19</v>
      </c>
      <c r="D6">
        <v>22</v>
      </c>
      <c r="E6">
        <v>25</v>
      </c>
      <c r="F6">
        <v>32</v>
      </c>
      <c r="H6" t="s">
        <v>8492</v>
      </c>
      <c r="I6" t="s">
        <v>8360</v>
      </c>
      <c r="J6">
        <v>2005</v>
      </c>
      <c r="K6">
        <v>220187</v>
      </c>
      <c r="L6" t="s">
        <v>8448</v>
      </c>
      <c r="M6" t="s">
        <v>8361</v>
      </c>
    </row>
    <row r="7" spans="1:13" x14ac:dyDescent="0.25">
      <c r="A7" t="s">
        <v>878</v>
      </c>
      <c r="B7">
        <v>5</v>
      </c>
      <c r="C7">
        <v>6</v>
      </c>
      <c r="D7">
        <v>7</v>
      </c>
      <c r="E7">
        <v>8</v>
      </c>
      <c r="F7">
        <v>10</v>
      </c>
      <c r="H7" t="s">
        <v>8491</v>
      </c>
      <c r="I7" t="s">
        <v>8362</v>
      </c>
      <c r="J7">
        <v>2006</v>
      </c>
      <c r="K7">
        <v>770113</v>
      </c>
      <c r="L7" t="s">
        <v>8449</v>
      </c>
      <c r="M7" t="s">
        <v>8363</v>
      </c>
    </row>
    <row r="8" spans="1:13" x14ac:dyDescent="0.25">
      <c r="A8" t="s">
        <v>38</v>
      </c>
      <c r="B8">
        <v>5</v>
      </c>
      <c r="C8">
        <v>6</v>
      </c>
      <c r="D8">
        <v>7</v>
      </c>
      <c r="E8">
        <v>8</v>
      </c>
      <c r="F8">
        <v>10</v>
      </c>
      <c r="H8" t="s">
        <v>8490</v>
      </c>
      <c r="I8" t="s">
        <v>8364</v>
      </c>
      <c r="J8">
        <v>3001</v>
      </c>
      <c r="K8">
        <v>220173</v>
      </c>
      <c r="L8" t="s">
        <v>8445</v>
      </c>
      <c r="M8" t="s">
        <v>8365</v>
      </c>
    </row>
    <row r="9" spans="1:13" x14ac:dyDescent="0.25">
      <c r="A9" t="s">
        <v>278</v>
      </c>
      <c r="B9">
        <v>2</v>
      </c>
      <c r="C9">
        <v>3</v>
      </c>
      <c r="D9">
        <v>4</v>
      </c>
      <c r="E9">
        <v>5</v>
      </c>
      <c r="F9">
        <v>6</v>
      </c>
      <c r="H9" t="s">
        <v>8489</v>
      </c>
      <c r="I9" t="s">
        <v>8366</v>
      </c>
      <c r="J9">
        <v>3002</v>
      </c>
      <c r="K9">
        <v>220175</v>
      </c>
      <c r="L9" t="s">
        <v>8446</v>
      </c>
      <c r="M9" t="s">
        <v>8367</v>
      </c>
    </row>
    <row r="10" spans="1:13" x14ac:dyDescent="0.25">
      <c r="A10" t="s">
        <v>39</v>
      </c>
      <c r="B10">
        <v>2</v>
      </c>
      <c r="C10">
        <v>3</v>
      </c>
      <c r="D10">
        <v>4</v>
      </c>
      <c r="E10">
        <v>5</v>
      </c>
      <c r="F10">
        <v>6</v>
      </c>
      <c r="H10" t="s">
        <v>8488</v>
      </c>
      <c r="I10" t="s">
        <v>8368</v>
      </c>
      <c r="J10">
        <v>3003</v>
      </c>
      <c r="K10">
        <v>220181</v>
      </c>
      <c r="L10" t="s">
        <v>8447</v>
      </c>
      <c r="M10" t="s">
        <v>8369</v>
      </c>
    </row>
    <row r="11" spans="1:13" x14ac:dyDescent="0.25">
      <c r="A11" t="s">
        <v>8279</v>
      </c>
      <c r="B11">
        <v>10</v>
      </c>
      <c r="C11">
        <v>12</v>
      </c>
      <c r="D11">
        <v>14</v>
      </c>
      <c r="E11">
        <v>16</v>
      </c>
      <c r="F11">
        <v>20</v>
      </c>
      <c r="H11" t="s">
        <v>8437</v>
      </c>
      <c r="I11" t="s">
        <v>8370</v>
      </c>
      <c r="J11">
        <v>3004</v>
      </c>
      <c r="K11">
        <v>220180</v>
      </c>
      <c r="L11" t="s">
        <v>8450</v>
      </c>
      <c r="M11" t="s">
        <v>8371</v>
      </c>
    </row>
    <row r="12" spans="1:13" x14ac:dyDescent="0.25">
      <c r="A12" t="s">
        <v>8280</v>
      </c>
      <c r="B12">
        <v>10</v>
      </c>
      <c r="C12">
        <v>12</v>
      </c>
      <c r="D12">
        <v>14</v>
      </c>
      <c r="E12">
        <v>16</v>
      </c>
      <c r="F12">
        <v>20</v>
      </c>
      <c r="H12" t="s">
        <v>8487</v>
      </c>
      <c r="I12" t="s">
        <v>8372</v>
      </c>
      <c r="J12">
        <v>3005</v>
      </c>
      <c r="K12">
        <v>220167</v>
      </c>
      <c r="L12" t="s">
        <v>8412</v>
      </c>
      <c r="M12" t="s">
        <v>8412</v>
      </c>
    </row>
    <row r="13" spans="1:13" x14ac:dyDescent="0.25">
      <c r="A13" t="s">
        <v>8191</v>
      </c>
      <c r="B13">
        <v>13</v>
      </c>
      <c r="C13">
        <v>15</v>
      </c>
      <c r="D13">
        <v>18</v>
      </c>
      <c r="E13">
        <v>20</v>
      </c>
      <c r="F13">
        <v>26</v>
      </c>
      <c r="H13" t="s">
        <v>8486</v>
      </c>
      <c r="I13" t="s">
        <v>8373</v>
      </c>
      <c r="J13">
        <v>3006</v>
      </c>
      <c r="K13">
        <v>220185</v>
      </c>
      <c r="L13" t="s">
        <v>8451</v>
      </c>
      <c r="M13" t="s">
        <v>8374</v>
      </c>
    </row>
    <row r="14" spans="1:13" x14ac:dyDescent="0.25">
      <c r="A14" t="s">
        <v>8192</v>
      </c>
      <c r="B14">
        <v>38</v>
      </c>
      <c r="C14">
        <v>45</v>
      </c>
      <c r="D14">
        <v>53</v>
      </c>
      <c r="E14">
        <v>60</v>
      </c>
      <c r="F14">
        <v>76</v>
      </c>
      <c r="H14" t="s">
        <v>8485</v>
      </c>
      <c r="I14" t="s">
        <v>8375</v>
      </c>
      <c r="J14">
        <v>4001</v>
      </c>
      <c r="K14">
        <v>770090</v>
      </c>
      <c r="L14" t="s">
        <v>8413</v>
      </c>
      <c r="M14" t="s">
        <v>8413</v>
      </c>
    </row>
    <row r="15" spans="1:13" x14ac:dyDescent="0.25">
      <c r="A15" t="s">
        <v>8190</v>
      </c>
      <c r="B15">
        <v>19</v>
      </c>
      <c r="C15">
        <v>22</v>
      </c>
      <c r="D15">
        <v>26</v>
      </c>
      <c r="E15">
        <v>30</v>
      </c>
      <c r="F15">
        <v>38</v>
      </c>
      <c r="H15" t="s">
        <v>8484</v>
      </c>
      <c r="I15" t="s">
        <v>8376</v>
      </c>
      <c r="J15">
        <v>4002</v>
      </c>
      <c r="K15">
        <v>770091</v>
      </c>
      <c r="L15" t="s">
        <v>8414</v>
      </c>
      <c r="M15" t="s">
        <v>8414</v>
      </c>
    </row>
    <row r="16" spans="1:13" x14ac:dyDescent="0.25">
      <c r="A16" t="s">
        <v>1798</v>
      </c>
      <c r="B16" t="s">
        <v>8500</v>
      </c>
      <c r="C16" t="s">
        <v>8500</v>
      </c>
      <c r="D16" t="s">
        <v>8500</v>
      </c>
      <c r="E16" t="s">
        <v>8500</v>
      </c>
      <c r="F16" t="s">
        <v>8500</v>
      </c>
      <c r="H16" t="s">
        <v>8483</v>
      </c>
      <c r="I16" t="s">
        <v>8377</v>
      </c>
      <c r="J16">
        <v>4003</v>
      </c>
      <c r="K16">
        <v>770014</v>
      </c>
      <c r="L16" t="s">
        <v>8415</v>
      </c>
      <c r="M16" t="s">
        <v>8415</v>
      </c>
    </row>
    <row r="17" spans="8:13" x14ac:dyDescent="0.25">
      <c r="H17" t="s">
        <v>8482</v>
      </c>
      <c r="I17" t="s">
        <v>8378</v>
      </c>
      <c r="J17">
        <v>4004</v>
      </c>
      <c r="K17">
        <v>770016</v>
      </c>
      <c r="L17" t="s">
        <v>8416</v>
      </c>
      <c r="M17" t="s">
        <v>8416</v>
      </c>
    </row>
    <row r="18" spans="8:13" x14ac:dyDescent="0.25">
      <c r="H18" t="s">
        <v>8481</v>
      </c>
      <c r="I18" t="s">
        <v>8379</v>
      </c>
      <c r="J18">
        <v>4005</v>
      </c>
      <c r="K18">
        <v>770019</v>
      </c>
      <c r="L18" t="s">
        <v>8417</v>
      </c>
      <c r="M18" t="s">
        <v>8417</v>
      </c>
    </row>
    <row r="19" spans="8:13" x14ac:dyDescent="0.25">
      <c r="H19" t="s">
        <v>8480</v>
      </c>
      <c r="I19" t="s">
        <v>8380</v>
      </c>
      <c r="J19">
        <v>4006</v>
      </c>
      <c r="K19">
        <v>770024</v>
      </c>
      <c r="L19" t="s">
        <v>8418</v>
      </c>
      <c r="M19" t="s">
        <v>8418</v>
      </c>
    </row>
    <row r="20" spans="8:13" x14ac:dyDescent="0.25">
      <c r="H20" t="s">
        <v>8479</v>
      </c>
      <c r="I20" t="s">
        <v>8381</v>
      </c>
      <c r="J20">
        <v>4007</v>
      </c>
      <c r="K20">
        <v>770096</v>
      </c>
      <c r="L20" t="s">
        <v>8419</v>
      </c>
      <c r="M20" t="s">
        <v>8419</v>
      </c>
    </row>
    <row r="21" spans="8:13" x14ac:dyDescent="0.25">
      <c r="H21" t="s">
        <v>8478</v>
      </c>
      <c r="I21" t="s">
        <v>8382</v>
      </c>
      <c r="J21">
        <v>4008</v>
      </c>
      <c r="K21">
        <v>770107</v>
      </c>
      <c r="L21" t="s">
        <v>8452</v>
      </c>
      <c r="M21" t="s">
        <v>8383</v>
      </c>
    </row>
    <row r="22" spans="8:13" x14ac:dyDescent="0.25">
      <c r="H22" t="s">
        <v>7380</v>
      </c>
      <c r="I22" t="s">
        <v>7437</v>
      </c>
      <c r="J22">
        <v>4009</v>
      </c>
      <c r="K22">
        <v>770109</v>
      </c>
      <c r="L22" t="s">
        <v>8420</v>
      </c>
      <c r="M22" t="s">
        <v>8420</v>
      </c>
    </row>
    <row r="23" spans="8:13" x14ac:dyDescent="0.25">
      <c r="H23" t="s">
        <v>8438</v>
      </c>
      <c r="I23" t="s">
        <v>8384</v>
      </c>
      <c r="J23">
        <v>5001</v>
      </c>
      <c r="K23">
        <v>770037</v>
      </c>
      <c r="L23" t="s">
        <v>8453</v>
      </c>
      <c r="M23" t="s">
        <v>8385</v>
      </c>
    </row>
    <row r="24" spans="8:13" x14ac:dyDescent="0.25">
      <c r="H24" t="s">
        <v>8439</v>
      </c>
      <c r="I24" t="s">
        <v>8386</v>
      </c>
      <c r="J24">
        <v>5002</v>
      </c>
      <c r="K24">
        <v>770039</v>
      </c>
      <c r="L24" t="s">
        <v>8421</v>
      </c>
      <c r="M24" t="s">
        <v>8421</v>
      </c>
    </row>
    <row r="25" spans="8:13" x14ac:dyDescent="0.25">
      <c r="H25" t="s">
        <v>8477</v>
      </c>
      <c r="I25" t="s">
        <v>8387</v>
      </c>
      <c r="J25">
        <v>5003</v>
      </c>
      <c r="K25">
        <v>770040</v>
      </c>
      <c r="L25" t="s">
        <v>8422</v>
      </c>
      <c r="M25" t="s">
        <v>8422</v>
      </c>
    </row>
    <row r="26" spans="8:13" x14ac:dyDescent="0.25">
      <c r="H26" t="s">
        <v>8476</v>
      </c>
      <c r="I26" t="s">
        <v>8388</v>
      </c>
      <c r="J26">
        <v>5004</v>
      </c>
      <c r="K26">
        <v>770041</v>
      </c>
      <c r="L26" t="s">
        <v>8423</v>
      </c>
      <c r="M26" t="s">
        <v>8423</v>
      </c>
    </row>
    <row r="27" spans="8:13" x14ac:dyDescent="0.25">
      <c r="H27" t="s">
        <v>8440</v>
      </c>
      <c r="I27" t="s">
        <v>8389</v>
      </c>
      <c r="J27">
        <v>5005</v>
      </c>
      <c r="K27">
        <v>220183</v>
      </c>
      <c r="L27" t="s">
        <v>8424</v>
      </c>
      <c r="M27" t="s">
        <v>8424</v>
      </c>
    </row>
    <row r="28" spans="8:13" x14ac:dyDescent="0.25">
      <c r="H28" t="s">
        <v>8475</v>
      </c>
      <c r="I28" t="s">
        <v>8390</v>
      </c>
      <c r="J28">
        <v>5006</v>
      </c>
      <c r="K28">
        <v>770114</v>
      </c>
      <c r="L28" t="s">
        <v>8425</v>
      </c>
      <c r="M28" t="s">
        <v>8425</v>
      </c>
    </row>
    <row r="29" spans="8:13" x14ac:dyDescent="0.25">
      <c r="H29" t="s">
        <v>8474</v>
      </c>
      <c r="I29" t="s">
        <v>8391</v>
      </c>
      <c r="J29">
        <v>5007</v>
      </c>
      <c r="K29">
        <v>770104</v>
      </c>
      <c r="L29" t="s">
        <v>8426</v>
      </c>
      <c r="M29" t="s">
        <v>8426</v>
      </c>
    </row>
    <row r="30" spans="8:13" x14ac:dyDescent="0.25">
      <c r="H30" t="s">
        <v>8473</v>
      </c>
      <c r="I30" t="s">
        <v>8392</v>
      </c>
      <c r="J30">
        <v>6001</v>
      </c>
      <c r="K30">
        <v>770092</v>
      </c>
      <c r="L30" t="s">
        <v>8427</v>
      </c>
      <c r="M30" t="s">
        <v>8427</v>
      </c>
    </row>
    <row r="31" spans="8:13" x14ac:dyDescent="0.25">
      <c r="H31" t="s">
        <v>8472</v>
      </c>
      <c r="I31" t="s">
        <v>8393</v>
      </c>
      <c r="J31">
        <v>6002</v>
      </c>
      <c r="K31">
        <v>770093</v>
      </c>
      <c r="L31" t="s">
        <v>8454</v>
      </c>
      <c r="M31" t="s">
        <v>8394</v>
      </c>
    </row>
    <row r="32" spans="8:13" x14ac:dyDescent="0.25">
      <c r="H32" t="s">
        <v>8471</v>
      </c>
      <c r="I32" t="s">
        <v>8395</v>
      </c>
      <c r="J32">
        <v>6003</v>
      </c>
      <c r="K32">
        <v>770026</v>
      </c>
      <c r="L32" t="s">
        <v>8455</v>
      </c>
      <c r="M32" t="s">
        <v>8396</v>
      </c>
    </row>
    <row r="33" spans="8:13" x14ac:dyDescent="0.25">
      <c r="H33" t="s">
        <v>8470</v>
      </c>
      <c r="I33" t="s">
        <v>8397</v>
      </c>
      <c r="J33">
        <v>6004</v>
      </c>
      <c r="K33">
        <v>770028</v>
      </c>
      <c r="L33" t="s">
        <v>8428</v>
      </c>
      <c r="M33" t="s">
        <v>8428</v>
      </c>
    </row>
    <row r="34" spans="8:13" x14ac:dyDescent="0.25">
      <c r="H34" t="s">
        <v>8469</v>
      </c>
      <c r="I34" t="s">
        <v>8398</v>
      </c>
      <c r="J34">
        <v>6005</v>
      </c>
      <c r="K34">
        <v>220182</v>
      </c>
      <c r="L34" t="s">
        <v>8429</v>
      </c>
      <c r="M34" t="s">
        <v>8429</v>
      </c>
    </row>
    <row r="35" spans="8:13" x14ac:dyDescent="0.25">
      <c r="H35" t="s">
        <v>8468</v>
      </c>
      <c r="I35" t="s">
        <v>8399</v>
      </c>
      <c r="J35">
        <v>6006</v>
      </c>
      <c r="K35">
        <v>770030</v>
      </c>
      <c r="L35" t="s">
        <v>8430</v>
      </c>
      <c r="M35" t="s">
        <v>8430</v>
      </c>
    </row>
    <row r="36" spans="8:13" x14ac:dyDescent="0.25">
      <c r="H36" t="s">
        <v>8467</v>
      </c>
      <c r="I36" t="s">
        <v>8400</v>
      </c>
      <c r="J36">
        <v>6007</v>
      </c>
      <c r="K36">
        <v>770032</v>
      </c>
      <c r="L36" t="s">
        <v>8431</v>
      </c>
      <c r="M36" t="s">
        <v>8431</v>
      </c>
    </row>
    <row r="37" spans="8:13" x14ac:dyDescent="0.25">
      <c r="H37" t="s">
        <v>8466</v>
      </c>
      <c r="I37" t="s">
        <v>8401</v>
      </c>
      <c r="J37">
        <v>6008</v>
      </c>
      <c r="K37">
        <v>770034</v>
      </c>
      <c r="L37" t="s">
        <v>8432</v>
      </c>
      <c r="M37" t="s">
        <v>8432</v>
      </c>
    </row>
    <row r="38" spans="8:13" x14ac:dyDescent="0.25">
      <c r="H38" t="s">
        <v>8465</v>
      </c>
      <c r="I38" t="s">
        <v>8402</v>
      </c>
      <c r="J38">
        <v>6009</v>
      </c>
      <c r="K38">
        <v>770100</v>
      </c>
      <c r="L38" t="s">
        <v>8433</v>
      </c>
      <c r="M38" t="s">
        <v>8433</v>
      </c>
    </row>
    <row r="39" spans="8:13" x14ac:dyDescent="0.25">
      <c r="H39" t="s">
        <v>8464</v>
      </c>
      <c r="I39" t="s">
        <v>8403</v>
      </c>
      <c r="J39">
        <v>7001</v>
      </c>
      <c r="K39">
        <v>770046</v>
      </c>
      <c r="L39" t="s">
        <v>8456</v>
      </c>
      <c r="M39" t="s">
        <v>8404</v>
      </c>
    </row>
    <row r="40" spans="8:13" x14ac:dyDescent="0.25">
      <c r="H40" t="s">
        <v>8463</v>
      </c>
      <c r="I40" t="s">
        <v>8405</v>
      </c>
      <c r="J40">
        <v>7002</v>
      </c>
      <c r="K40">
        <v>770045</v>
      </c>
      <c r="L40" t="s">
        <v>8457</v>
      </c>
      <c r="M40" t="s">
        <v>8406</v>
      </c>
    </row>
    <row r="41" spans="8:13" x14ac:dyDescent="0.25">
      <c r="H41" t="s">
        <v>8462</v>
      </c>
      <c r="I41" t="s">
        <v>8407</v>
      </c>
      <c r="J41">
        <v>7003</v>
      </c>
      <c r="K41">
        <v>770047</v>
      </c>
      <c r="L41" t="s">
        <v>8458</v>
      </c>
      <c r="M41" t="s">
        <v>8408</v>
      </c>
    </row>
    <row r="42" spans="8:13" x14ac:dyDescent="0.25">
      <c r="H42" t="s">
        <v>8461</v>
      </c>
      <c r="I42" t="s">
        <v>8409</v>
      </c>
      <c r="J42">
        <v>7004</v>
      </c>
      <c r="K42">
        <v>770082</v>
      </c>
      <c r="L42" t="s">
        <v>8434</v>
      </c>
      <c r="M42" t="s">
        <v>8434</v>
      </c>
    </row>
    <row r="43" spans="8:13" x14ac:dyDescent="0.25">
      <c r="H43" t="s">
        <v>8460</v>
      </c>
      <c r="I43" t="s">
        <v>8410</v>
      </c>
      <c r="J43">
        <v>7005</v>
      </c>
      <c r="K43">
        <v>770081</v>
      </c>
      <c r="L43" t="s">
        <v>8435</v>
      </c>
      <c r="M43" t="s">
        <v>8435</v>
      </c>
    </row>
    <row r="44" spans="8:13" x14ac:dyDescent="0.25">
      <c r="H44" t="s">
        <v>8459</v>
      </c>
      <c r="I44" t="s">
        <v>8411</v>
      </c>
      <c r="J44">
        <v>7006</v>
      </c>
      <c r="K44">
        <v>770084</v>
      </c>
      <c r="L44" t="s">
        <v>8436</v>
      </c>
      <c r="M44" t="s">
        <v>8436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8547</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8548</v>
      </c>
      <c r="X1" s="91" t="s">
        <v>8549</v>
      </c>
      <c r="Y1" s="91" t="s">
        <v>8550</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8551</v>
      </c>
      <c r="D1" s="91" t="s">
        <v>8552</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activeCell="B2" sqref="B2:B19"/>
    </sheetView>
  </sheetViews>
  <sheetFormatPr defaultRowHeight="15" x14ac:dyDescent="0.25"/>
  <sheetData>
    <row r="1" spans="1:29" s="10" customFormat="1" x14ac:dyDescent="0.25">
      <c r="A1" s="40" t="s">
        <v>25</v>
      </c>
      <c r="B1" s="40" t="s">
        <v>26</v>
      </c>
      <c r="C1" s="40" t="s">
        <v>8271</v>
      </c>
      <c r="D1" s="40" t="s">
        <v>8177</v>
      </c>
      <c r="E1" s="40" t="s">
        <v>8272</v>
      </c>
      <c r="F1" s="40" t="s">
        <v>54</v>
      </c>
      <c r="G1" s="40" t="s">
        <v>44</v>
      </c>
      <c r="H1" s="40" t="s">
        <v>8273</v>
      </c>
      <c r="I1" s="40" t="s">
        <v>8274</v>
      </c>
      <c r="J1" s="40" t="s">
        <v>8275</v>
      </c>
      <c r="K1" s="40" t="s">
        <v>8276</v>
      </c>
      <c r="L1" s="40" t="s">
        <v>8277</v>
      </c>
      <c r="M1" s="40" t="s">
        <v>8278</v>
      </c>
      <c r="N1" s="40" t="s">
        <v>8187</v>
      </c>
      <c r="O1" s="40" t="s">
        <v>8188</v>
      </c>
      <c r="P1" s="40" t="s">
        <v>8189</v>
      </c>
      <c r="Q1" s="40" t="s">
        <v>7738</v>
      </c>
      <c r="R1" s="40" t="s">
        <v>878</v>
      </c>
      <c r="S1" s="40" t="s">
        <v>38</v>
      </c>
      <c r="T1" s="40" t="s">
        <v>278</v>
      </c>
      <c r="U1" s="40" t="s">
        <v>39</v>
      </c>
      <c r="V1" s="40" t="s">
        <v>8279</v>
      </c>
      <c r="W1" s="40" t="s">
        <v>8280</v>
      </c>
      <c r="X1" s="40" t="s">
        <v>8191</v>
      </c>
      <c r="Y1" s="40" t="s">
        <v>8192</v>
      </c>
      <c r="Z1" s="40" t="s">
        <v>8190</v>
      </c>
      <c r="AA1" s="40" t="s">
        <v>8178</v>
      </c>
      <c r="AB1" s="40" t="s">
        <v>8179</v>
      </c>
      <c r="AC1" s="40" t="s">
        <v>1798</v>
      </c>
    </row>
    <row r="2" spans="1:29" x14ac:dyDescent="0.25">
      <c r="A2" s="47">
        <f>IF(Main!B82="","",ROW()-1)</f>
        <v>1</v>
      </c>
      <c r="B2" s="47">
        <v>1234567</v>
      </c>
      <c r="C2" s="47">
        <f>VLOOKUP(Main!B82,'Vehicle Comp'!$B:$E,4,FALSE)</f>
        <v>1113</v>
      </c>
      <c r="D2" s="47">
        <f>VLOOKUP(E2,'Exp Tables'!$X$3:$Z$13,3,FALSE)</f>
        <v>32660</v>
      </c>
      <c r="E2" s="47">
        <f>Main!C82</f>
        <v>10</v>
      </c>
      <c r="F2" s="47">
        <v>0</v>
      </c>
      <c r="G2" s="47">
        <v>0</v>
      </c>
      <c r="H2" s="47" t="str">
        <f>IFERROR(Main!B83&amp;":"&amp;IF(Main!B83="skill",VLOOKUP(Main!C83,'Vehicle Substats'!$H$2:$K$44,4,FALSE),VLOOKUP(Main!B83,'Vehicle Substats'!$A$1:$F$16,6,FALSE)),"")</f>
        <v/>
      </c>
      <c r="I2" s="47" t="str">
        <f>IFERROR(Main!B84&amp;":"&amp;IF(Main!B84="skill",VLOOKUP(Main!C84,'Vehicle Substats'!$H$2:$K$44,4,FALSE),VLOOKUP(Main!B84,'Vehicle Substats'!$A$1:$F$16,6,FALSE)),"")</f>
        <v/>
      </c>
      <c r="J2" s="47" t="str">
        <f>IFERROR(Main!B85&amp;":"&amp;IF(Main!B85="skill",VLOOKUP(Main!C85,'Vehicle Substats'!$H$2:$K$44,4,FALSE),VLOOKUP(Main!B85,'Vehicle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1"/>
    </row>
    <row r="3" spans="1:29" x14ac:dyDescent="0.25">
      <c r="A3" s="48">
        <f>IF(Main!B89="","",ROW()-1)</f>
        <v>2</v>
      </c>
      <c r="B3" s="48">
        <v>1234567</v>
      </c>
      <c r="C3" s="48">
        <f>VLOOKUP(Main!B89,'Vehicle Comp'!$B:$E,4,FALSE)</f>
        <v>1113</v>
      </c>
      <c r="D3" s="48">
        <f>VLOOKUP(E3,'Exp Tables'!$X$3:$Z$13,3,FALSE)</f>
        <v>32660</v>
      </c>
      <c r="E3" s="48">
        <f>Main!C89</f>
        <v>10</v>
      </c>
      <c r="F3" s="48">
        <v>0</v>
      </c>
      <c r="G3" s="48">
        <v>0</v>
      </c>
      <c r="H3" s="48" t="str">
        <f>IFERROR(Main!B90&amp;":"&amp;IF(Main!B90="skill",VLOOKUP(Main!C90,'Vehicle Substats'!$H$2:$K$44,4,FALSE),VLOOKUP(Main!B90,'Vehicle Substats'!$A$1:$F$16,6,FALSE)),"")</f>
        <v/>
      </c>
      <c r="I3" s="48" t="str">
        <f>IFERROR(Main!B91&amp;":"&amp;IF(Main!B91="skill",VLOOKUP(Main!C91,'Vehicle Substats'!$H$2:$K$44,4,FALSE),VLOOKUP(Main!B91,'Vehicle Substats'!$A$1:$F$16,6,FALSE)),"")</f>
        <v/>
      </c>
      <c r="J3" s="48" t="str">
        <f>IFERROR(Main!B92&amp;":"&amp;IF(Main!B92="skill",VLOOKUP(Main!C92,'Vehicle Substats'!$H$2:$K$44,4,FALSE),VLOOKUP(Main!B92,'Vehicle Substats'!$A$1:$F$16,6,FALSE)),"")</f>
        <v/>
      </c>
      <c r="K3" s="48"/>
      <c r="L3" s="48"/>
      <c r="M3" s="48" t="str">
        <f t="shared" ref="M3:M19" si="1">IF(H3&lt;&gt;"",1,"")&amp;IF(I3&lt;&gt;"",",2","")&amp;IF(J3&lt;&gt;"",",3","")</f>
        <v/>
      </c>
      <c r="N3" s="48">
        <f t="shared" ref="N3:AB18" si="2">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1"/>
    </row>
    <row r="4" spans="1:29" x14ac:dyDescent="0.25">
      <c r="A4" s="47">
        <f>IF(Main!D82="","",ROW()-1)</f>
        <v>3</v>
      </c>
      <c r="B4" s="47">
        <v>1234567</v>
      </c>
      <c r="C4" s="47">
        <f>VLOOKUP(Main!D82,'Vehicle Comp'!$B:$E,4,FALSE)</f>
        <v>1127</v>
      </c>
      <c r="D4" s="47">
        <f>VLOOKUP(E4,'Exp Tables'!$X$3:$Z$13,3,FALSE)</f>
        <v>32660</v>
      </c>
      <c r="E4" s="47">
        <f>Main!E82</f>
        <v>10</v>
      </c>
      <c r="F4" s="47">
        <v>0</v>
      </c>
      <c r="G4" s="47">
        <v>0</v>
      </c>
      <c r="H4" s="47" t="str">
        <f>IFERROR(Main!D83&amp;":"&amp;IF(Main!D83="skill",VLOOKUP(Main!E83,'Vehicle Substats'!$H$2:$K$44,4,FALSE),VLOOKUP(Main!D83,'Vehicle Substats'!$A$1:$F$16,6,FALSE)),"")</f>
        <v/>
      </c>
      <c r="I4" s="47" t="str">
        <f>IFERROR(Main!D84&amp;":"&amp;IF(Main!D84="skill",VLOOKUP(Main!E84,'Vehicle Substats'!$H$2:$K$44,4,FALSE),VLOOKUP(Main!D84,'Vehicle Substats'!$A$1:$F$16,6,FALSE)),"")</f>
        <v/>
      </c>
      <c r="J4" s="47" t="str">
        <f>IFERROR(Main!D85&amp;":"&amp;IF(Main!D85="skill",VLOOKUP(Main!E85,'Vehicle Substats'!$H$2:$K$44,4,FALSE),VLOOKUP(Main!D85,'Vehicle Substats'!$A$1:$F$16,6,FALSE)),"")</f>
        <v/>
      </c>
      <c r="K4" s="47"/>
      <c r="L4" s="47"/>
      <c r="M4" s="47" t="str">
        <f t="shared" si="1"/>
        <v/>
      </c>
      <c r="N4" s="47">
        <f t="shared" si="2"/>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1"/>
    </row>
    <row r="5" spans="1:29" x14ac:dyDescent="0.25">
      <c r="A5" s="48">
        <f>IF(Main!D89="","",ROW()-1)</f>
        <v>4</v>
      </c>
      <c r="B5" s="48">
        <v>1234567</v>
      </c>
      <c r="C5" s="48">
        <f>VLOOKUP(Main!D89,'Vehicle Comp'!$B:$E,4,FALSE)</f>
        <v>1102</v>
      </c>
      <c r="D5" s="48">
        <f>VLOOKUP(E5,'Exp Tables'!$X$3:$Z$13,3,FALSE)</f>
        <v>32660</v>
      </c>
      <c r="E5" s="48">
        <f>Main!E89</f>
        <v>10</v>
      </c>
      <c r="F5" s="48">
        <v>0</v>
      </c>
      <c r="G5" s="48">
        <v>0</v>
      </c>
      <c r="H5" s="48" t="str">
        <f>IFERROR(Main!D90&amp;":"&amp;IF(Main!D90="skill",VLOOKUP(Main!E90,'Vehicle Substats'!$H$2:$K$44,4,FALSE),VLOOKUP(Main!D90,'Vehicle Substats'!$A$1:$F$16,6,FALSE)),"")</f>
        <v/>
      </c>
      <c r="I5" s="48" t="str">
        <f>IFERROR(Main!D91&amp;":"&amp;IF(Main!D91="skill",VLOOKUP(Main!E91,'Vehicle Substats'!$H$2:$K$44,4,FALSE),VLOOKUP(Main!D91,'Vehicle Substats'!$A$1:$F$16,6,FALSE)),"")</f>
        <v/>
      </c>
      <c r="J5" s="48" t="str">
        <f>IFERROR(Main!D92&amp;":"&amp;IF(Main!D92="skill",VLOOKUP(Main!E92,'Vehicle Substats'!$H$2:$K$44,4,FALSE),VLOOKUP(Main!D92,'Vehicle Substats'!$A$1:$F$16,6,FALSE)),"")</f>
        <v/>
      </c>
      <c r="K5" s="48"/>
      <c r="L5" s="48"/>
      <c r="M5" s="48" t="str">
        <f t="shared" si="1"/>
        <v/>
      </c>
      <c r="N5" s="48">
        <f t="shared" si="2"/>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1"/>
    </row>
    <row r="6" spans="1:29" x14ac:dyDescent="0.25">
      <c r="A6" s="47">
        <f>IF(Main!F82="","",ROW()-1)</f>
        <v>5</v>
      </c>
      <c r="B6" s="47">
        <v>1234567</v>
      </c>
      <c r="C6" s="47">
        <f>VLOOKUP(Main!F82,'Vehicle Comp'!$B:$E,4,FALSE)</f>
        <v>1110</v>
      </c>
      <c r="D6" s="47">
        <f>VLOOKUP(E6,'Exp Tables'!$X$3:$Z$13,3,FALSE)</f>
        <v>32660</v>
      </c>
      <c r="E6" s="47">
        <f>Main!G82</f>
        <v>10</v>
      </c>
      <c r="F6" s="47">
        <v>0</v>
      </c>
      <c r="G6" s="47">
        <v>0</v>
      </c>
      <c r="H6" s="47" t="str">
        <f>IFERROR(Main!F83&amp;":"&amp;IF(Main!F83="skill",VLOOKUP(Main!G83,'Vehicle Substats'!$H$2:$K$44,4,FALSE),VLOOKUP(Main!F83,'Vehicle Substats'!$A$1:$F$16,6,FALSE)),"")</f>
        <v/>
      </c>
      <c r="I6" s="47" t="str">
        <f>IFERROR(Main!F84&amp;":"&amp;IF(Main!F84="skill",VLOOKUP(Main!G84,'Vehicle Substats'!$H$2:$K$44,4,FALSE),VLOOKUP(Main!F84,'Vehicle Substats'!$A$1:$F$16,6,FALSE)),"")</f>
        <v/>
      </c>
      <c r="J6" s="47" t="str">
        <f>IFERROR(Main!F85&amp;":"&amp;IF(Main!F85="skill",VLOOKUP(Main!G85,'Vehicle Substats'!$H$2:$K$44,4,FALSE),VLOOKUP(Main!F85,'Vehicle Substats'!$A$1:$F$16,6,FALSE)),"")</f>
        <v/>
      </c>
      <c r="K6" s="47"/>
      <c r="L6" s="47"/>
      <c r="M6" s="47" t="str">
        <f t="shared" si="1"/>
        <v/>
      </c>
      <c r="N6" s="47">
        <f t="shared" si="2"/>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1"/>
    </row>
    <row r="7" spans="1:29" x14ac:dyDescent="0.25">
      <c r="A7" s="48">
        <f>IF(Main!F89="","",ROW()-1)</f>
        <v>6</v>
      </c>
      <c r="B7" s="48">
        <v>1234567</v>
      </c>
      <c r="C7" s="48">
        <f>VLOOKUP(Main!F89,'Vehicle Comp'!$B:$E,4,FALSE)</f>
        <v>1107</v>
      </c>
      <c r="D7" s="48">
        <f>VLOOKUP(E7,'Exp Tables'!$X$3:$Z$13,3,FALSE)</f>
        <v>32660</v>
      </c>
      <c r="E7" s="48">
        <f>Main!G89</f>
        <v>10</v>
      </c>
      <c r="F7" s="48">
        <v>0</v>
      </c>
      <c r="G7" s="48">
        <v>0</v>
      </c>
      <c r="H7" s="48" t="str">
        <f>IFERROR(Main!F90&amp;":"&amp;IF(Main!F90="skill",VLOOKUP(Main!G90,'Vehicle Substats'!$H$2:$K$44,4,FALSE),VLOOKUP(Main!F90,'Vehicle Substats'!$A$1:$F$16,6,FALSE)),"")</f>
        <v/>
      </c>
      <c r="I7" s="48" t="str">
        <f>IFERROR(Main!F91&amp;":"&amp;IF(Main!F91="skill",VLOOKUP(Main!G91,'Vehicle Substats'!$H$2:$K$44,4,FALSE),VLOOKUP(Main!F91,'Vehicle Substats'!$A$1:$F$16,6,FALSE)),"")</f>
        <v/>
      </c>
      <c r="J7" s="48" t="str">
        <f>IFERROR(Main!F92&amp;":"&amp;IF(Main!F92="skill",VLOOKUP(Main!G92,'Vehicle Substats'!$H$2:$K$44,4,FALSE),VLOOKUP(Main!F92,'Vehicle Substats'!$A$1:$F$16,6,FALSE)),"")</f>
        <v/>
      </c>
      <c r="K7" s="48"/>
      <c r="L7" s="48"/>
      <c r="M7" s="48" t="str">
        <f t="shared" si="1"/>
        <v/>
      </c>
      <c r="N7" s="48">
        <f t="shared" si="2"/>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1"/>
    </row>
    <row r="8" spans="1:29" x14ac:dyDescent="0.25">
      <c r="A8" s="311">
        <f>IF(Main!H82="","",IF(Main!C75&lt;7,"",ROW()-1))</f>
        <v>7</v>
      </c>
      <c r="B8" s="47">
        <v>1234567</v>
      </c>
      <c r="C8" s="47">
        <f>VLOOKUP(Main!H82,'Vehicle Comp'!$B:$E,4,FALSE)</f>
        <v>1102</v>
      </c>
      <c r="D8" s="47">
        <f>VLOOKUP(E8,'Exp Tables'!$X$3:$Z$13,3,FALSE)</f>
        <v>32660</v>
      </c>
      <c r="E8" s="47">
        <f>Main!I82</f>
        <v>10</v>
      </c>
      <c r="F8" s="47">
        <v>0</v>
      </c>
      <c r="G8" s="47">
        <v>0</v>
      </c>
      <c r="H8" s="47" t="str">
        <f>IFERROR(Main!H83&amp;":"&amp;IF(Main!H83="skill",VLOOKUP(Main!I83,'Vehicle Substats'!$H$2:$K$44,4,FALSE),VLOOKUP(Main!H83,'Vehicle Substats'!$A$1:$F$16,6,FALSE)),"")</f>
        <v/>
      </c>
      <c r="I8" s="47" t="str">
        <f>IFERROR(Main!H84&amp;":"&amp;IF(Main!H84="skill",VLOOKUP(Main!I84,'Vehicle Substats'!$H$2:$K$44,4,FALSE),VLOOKUP(Main!H84,'Vehicle Substats'!$A$1:$F$16,6,FALSE)),"")</f>
        <v/>
      </c>
      <c r="J8" s="47" t="str">
        <f>IFERROR(Main!H85&amp;":"&amp;IF(Main!H85="skill",VLOOKUP(Main!I85,'Vehicle Substats'!$H$2:$K$44,4,FALSE),VLOOKUP(Main!H85,'Vehicle Substats'!$A$1:$F$16,6,FALSE)),"")</f>
        <v/>
      </c>
      <c r="K8" s="47"/>
      <c r="L8" s="47"/>
      <c r="M8" s="47" t="str">
        <f t="shared" si="1"/>
        <v/>
      </c>
      <c r="N8" s="47">
        <f t="shared" si="2"/>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1"/>
    </row>
    <row r="9" spans="1:29" x14ac:dyDescent="0.25">
      <c r="A9" s="312">
        <f>IF(Main!H89="","",IF(Main!C76&lt;7,"",ROW()-1))</f>
        <v>8</v>
      </c>
      <c r="B9" s="48">
        <v>1234567</v>
      </c>
      <c r="C9" s="48">
        <f>VLOOKUP(Main!H89,'Vehicle Comp'!$B:$E,4,FALSE)</f>
        <v>1124</v>
      </c>
      <c r="D9" s="48">
        <f>VLOOKUP(E9,'Exp Tables'!$X$3:$Z$13,3,FALSE)</f>
        <v>32660</v>
      </c>
      <c r="E9" s="48">
        <f>Main!I89</f>
        <v>10</v>
      </c>
      <c r="F9" s="48">
        <v>0</v>
      </c>
      <c r="G9" s="48">
        <v>0</v>
      </c>
      <c r="H9" s="48" t="str">
        <f>IFERROR(Main!H90&amp;":"&amp;IF(Main!H90="skill",VLOOKUP(Main!I90,'Vehicle Substats'!$H$2:$K$44,4,FALSE),VLOOKUP(Main!H90,'Vehicle Substats'!$A$1:$F$16,6,FALSE)),"")</f>
        <v/>
      </c>
      <c r="I9" s="48" t="str">
        <f>IFERROR(Main!H91&amp;":"&amp;IF(Main!H91="skill",VLOOKUP(Main!I91,'Vehicle Substats'!$H$2:$K$44,4,FALSE),VLOOKUP(Main!H91,'Vehicle Substats'!$A$1:$F$16,6,FALSE)),"")</f>
        <v/>
      </c>
      <c r="J9" s="48" t="str">
        <f>IFERROR(Main!H92&amp;":"&amp;IF(Main!H92="skill",VLOOKUP(Main!I92,'Vehicle Substats'!$H$2:$K$44,4,FALSE),VLOOKUP(Main!H92,'Vehicle Substats'!$A$1:$F$16,6,FALSE)),"")</f>
        <v/>
      </c>
      <c r="K9" s="48"/>
      <c r="L9" s="48"/>
      <c r="M9" s="48" t="str">
        <f t="shared" si="1"/>
        <v/>
      </c>
      <c r="N9" s="48">
        <f t="shared" si="2"/>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1"/>
    </row>
    <row r="10" spans="1:29" x14ac:dyDescent="0.25">
      <c r="A10" s="311">
        <f>IF(Main!J82="","",IF(Main!C75&lt;12,"",ROW()-1))</f>
        <v>9</v>
      </c>
      <c r="B10" s="47">
        <v>1234567</v>
      </c>
      <c r="C10" s="47">
        <f>VLOOKUP(Main!J82,'Vehicle Comp'!$B:$E,4,FALSE)</f>
        <v>1115</v>
      </c>
      <c r="D10" s="47">
        <f>VLOOKUP(E10,'Exp Tables'!$X$3:$Z$13,3,FALSE)</f>
        <v>32660</v>
      </c>
      <c r="E10" s="47">
        <f>Main!K82</f>
        <v>10</v>
      </c>
      <c r="F10" s="47">
        <v>0</v>
      </c>
      <c r="G10" s="47">
        <v>0</v>
      </c>
      <c r="H10" s="47" t="str">
        <f>IFERROR(Main!J83&amp;":"&amp;IF(Main!J83="skill",VLOOKUP(Main!K83,'Vehicle Substats'!$H$2:$K$44,4,FALSE),VLOOKUP(Main!J83,'Vehicle Substats'!$A$1:$F$16,6,FALSE)),"")</f>
        <v/>
      </c>
      <c r="I10" s="47" t="str">
        <f>IFERROR(Main!J84&amp;":"&amp;IF(Main!J84="skill",VLOOKUP(Main!K84,'Vehicle Substats'!$H$2:$K$44,4,FALSE),VLOOKUP(Main!J84,'Vehicle Substats'!$A$1:$F$16,6,FALSE)),"")</f>
        <v/>
      </c>
      <c r="J10" s="47" t="str">
        <f>IFERROR(Main!J85&amp;":"&amp;IF(Main!J85="skill",VLOOKUP(Main!K85,'Vehicle Substats'!$H$2:$K$44,4,FALSE),VLOOKUP(Main!J85,'Vehicle Substats'!$A$1:$F$16,6,FALSE)),"")</f>
        <v/>
      </c>
      <c r="K10" s="47"/>
      <c r="L10" s="47"/>
      <c r="M10" s="47" t="str">
        <f t="shared" si="1"/>
        <v/>
      </c>
      <c r="N10" s="47">
        <f t="shared" si="2"/>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1"/>
    </row>
    <row r="11" spans="1:29" x14ac:dyDescent="0.25">
      <c r="A11" s="312">
        <f>IF(Main!J89="","",IF(Main!C76&lt;12,"",ROW()-1))</f>
        <v>10</v>
      </c>
      <c r="B11" s="48">
        <v>1234567</v>
      </c>
      <c r="C11" s="48">
        <f>VLOOKUP(Main!J89,'Vehicle Comp'!$B:$E,4,FALSE)</f>
        <v>1114</v>
      </c>
      <c r="D11" s="48">
        <f>VLOOKUP(E11,'Exp Tables'!$X$3:$Z$13,3,FALSE)</f>
        <v>32660</v>
      </c>
      <c r="E11" s="48">
        <f>Main!K89</f>
        <v>10</v>
      </c>
      <c r="F11" s="48">
        <v>0</v>
      </c>
      <c r="G11" s="48">
        <v>0</v>
      </c>
      <c r="H11" s="308" t="str">
        <f>IFERROR(Main!J90&amp;":"&amp;IF(Main!J90="skill",VLOOKUP(Main!K90,'Vehicle Substats'!$H$2:$K$44,4,FALSE),VLOOKUP(Main!J90,'Vehicle Substats'!$A$1:$F$16,6,FALSE)),"")</f>
        <v/>
      </c>
      <c r="I11" s="308" t="str">
        <f>IFERROR(Main!J91&amp;":"&amp;IF(Main!J91="skill",VLOOKUP(Main!K91,'Vehicle Substats'!$H$2:$K$44,4,FALSE),VLOOKUP(Main!J91,'Vehicle Substats'!$A$1:$F$16,6,FALSE)),"")</f>
        <v/>
      </c>
      <c r="J11" s="308" t="str">
        <f>IFERROR(Main!J92&amp;":"&amp;IF(Main!J92="skill",VLOOKUP(Main!K92,'Vehicle Substats'!$H$2:$K$44,4,FALSE),VLOOKUP(Main!J92,'Vehicle Substats'!$A$1:$F$16,6,FALSE)),"")</f>
        <v/>
      </c>
      <c r="K11" s="308"/>
      <c r="L11" s="308"/>
      <c r="M11" s="308" t="str">
        <f t="shared" si="1"/>
        <v/>
      </c>
      <c r="N11" s="48">
        <f t="shared" si="2"/>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1"/>
    </row>
    <row r="12" spans="1:29" x14ac:dyDescent="0.25">
      <c r="A12" s="47">
        <f>IF(Main!L82="","",ROW()-1)</f>
        <v>11</v>
      </c>
      <c r="B12" s="47">
        <v>1234567</v>
      </c>
      <c r="C12" s="47">
        <f>VLOOKUP(Main!L82,'Vehicle Comp'!$B:$E,4,FALSE)</f>
        <v>1005</v>
      </c>
      <c r="D12" s="47">
        <f>VLOOKUP(E12,'Exp Tables'!$X$3:$Z$13,3,FALSE)</f>
        <v>32660</v>
      </c>
      <c r="E12" s="47">
        <f>Main!M82</f>
        <v>10</v>
      </c>
      <c r="F12" s="47">
        <v>0</v>
      </c>
      <c r="G12" s="47">
        <v>0</v>
      </c>
      <c r="H12" s="309" t="str">
        <f>IFERROR(Main!L83&amp;":"&amp;IF(Main!L83="skill",VLOOKUP(Main!M83,'Vehicle Substats'!$H$2:$K$44,4,FALSE),VLOOKUP(Main!L83,'Vehicle Substats'!$A$1:$F$16,6,FALSE)),"")</f>
        <v/>
      </c>
      <c r="I12" s="309" t="str">
        <f>IFERROR(Main!L84&amp;":"&amp;IF(Main!L84="skill",VLOOKUP(Main!M84,'Vehicle Substats'!$H$2:$K$44,4,FALSE),VLOOKUP(Main!L84,'Vehicle Substats'!$A$1:$F$16,6,FALSE)),"")</f>
        <v/>
      </c>
      <c r="J12" s="309" t="str">
        <f>IFERROR(Main!L85&amp;":"&amp;IF(Main!L85="skill",VLOOKUP(Main!M85,'Vehicle Substats'!$H$2:$K$44,4,FALSE),VLOOKUP(Main!L85,'Vehicle Substats'!$A$1:$F$16,6,FALSE)),"")</f>
        <v/>
      </c>
      <c r="K12" s="309"/>
      <c r="L12" s="309"/>
      <c r="M12" s="309" t="str">
        <f t="shared" si="1"/>
        <v/>
      </c>
      <c r="N12" s="47">
        <f t="shared" si="2"/>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1"/>
    </row>
    <row r="13" spans="1:29" x14ac:dyDescent="0.25">
      <c r="A13" s="48">
        <f>IF(Main!L89="","",ROW()-1)</f>
        <v>12</v>
      </c>
      <c r="B13" s="48">
        <v>1234567</v>
      </c>
      <c r="C13" s="48">
        <f>VLOOKUP(Main!L89,'Vehicle Comp'!$B:$E,4,FALSE)</f>
        <v>1005</v>
      </c>
      <c r="D13" s="48">
        <f>VLOOKUP(E13,'Exp Tables'!$X$3:$Z$13,3,FALSE)</f>
        <v>32660</v>
      </c>
      <c r="E13" s="48">
        <f>Main!M89</f>
        <v>10</v>
      </c>
      <c r="F13" s="48">
        <v>0</v>
      </c>
      <c r="G13" s="48">
        <v>0</v>
      </c>
      <c r="H13" s="308" t="str">
        <f>IFERROR(Main!L90&amp;":"&amp;IF(Main!L90="skill",VLOOKUP(Main!M90,'Vehicle Substats'!$H$2:$K$44,4,FALSE),VLOOKUP(Main!L90,'Vehicle Substats'!$A$1:$F$16,6,FALSE)),"")</f>
        <v/>
      </c>
      <c r="I13" s="308" t="str">
        <f>IFERROR(Main!L91&amp;":"&amp;IF(Main!L91="skill",VLOOKUP(Main!M91,'Vehicle Substats'!$H$2:$K$44,4,FALSE),VLOOKUP(Main!L91,'Vehicle Substats'!$A$1:$F$16,6,FALSE)),"")</f>
        <v/>
      </c>
      <c r="J13" s="308" t="str">
        <f>IFERROR(Main!L92&amp;":"&amp;IF(Main!L92="skill",VLOOKUP(Main!M92,'Vehicle Substats'!$H$2:$K$44,4,FALSE),VLOOKUP(Main!L92,'Vehicle Substats'!$A$1:$F$16,6,FALSE)),"")</f>
        <v/>
      </c>
      <c r="K13" s="308"/>
      <c r="L13" s="308"/>
      <c r="M13" s="308" t="str">
        <f t="shared" si="1"/>
        <v/>
      </c>
      <c r="N13" s="48">
        <f t="shared" si="2"/>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1"/>
    </row>
    <row r="14" spans="1:29" x14ac:dyDescent="0.25">
      <c r="A14" s="47">
        <f>IF(Main!N82="","",ROW()-1)</f>
        <v>13</v>
      </c>
      <c r="B14" s="47">
        <v>1234567</v>
      </c>
      <c r="C14" s="47">
        <f>VLOOKUP(Main!N82,'Vehicle Comp'!$B:$E,4,FALSE)</f>
        <v>1010</v>
      </c>
      <c r="D14" s="47">
        <f>VLOOKUP(E14,'Exp Tables'!$X$3:$Z$13,3,FALSE)</f>
        <v>32660</v>
      </c>
      <c r="E14" s="47">
        <f>Main!O82</f>
        <v>10</v>
      </c>
      <c r="F14" s="47">
        <v>0</v>
      </c>
      <c r="G14" s="47">
        <v>0</v>
      </c>
      <c r="H14" s="309" t="str">
        <f>IFERROR(Main!N83&amp;":"&amp;IF(Main!N83="skill",VLOOKUP(Main!O83,'Vehicle Substats'!$H$2:$K$44,4,FALSE),VLOOKUP(Main!N83,'Vehicle Substats'!$A$1:$F$16,6,FALSE)),"")</f>
        <v/>
      </c>
      <c r="I14" s="309" t="str">
        <f>IFERROR(Main!N84&amp;":"&amp;IF(Main!N84="skill",VLOOKUP(Main!O84,'Vehicle Substats'!$H$2:$K$44,4,FALSE),VLOOKUP(Main!N84,'Vehicle Substats'!$A$1:$F$16,6,FALSE)),"")</f>
        <v/>
      </c>
      <c r="J14" s="309" t="str">
        <f>IFERROR(Main!N85&amp;":"&amp;IF(Main!N85="skill",VLOOKUP(Main!O85,'Vehicle Substats'!$H$2:$K$44,4,FALSE),VLOOKUP(Main!N85,'Vehicle Substats'!$A$1:$F$16,6,FALSE)),"")</f>
        <v/>
      </c>
      <c r="K14" s="309"/>
      <c r="L14" s="309"/>
      <c r="M14" s="309" t="str">
        <f t="shared" si="1"/>
        <v/>
      </c>
      <c r="N14" s="47">
        <f t="shared" si="2"/>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1"/>
    </row>
    <row r="15" spans="1:29" x14ac:dyDescent="0.25">
      <c r="A15" s="48">
        <f>IF(Main!N89="","",ROW()-1)</f>
        <v>14</v>
      </c>
      <c r="B15" s="48">
        <v>1234567</v>
      </c>
      <c r="C15" s="48">
        <f>VLOOKUP(Main!N89,'Vehicle Comp'!$B:$E,4,FALSE)</f>
        <v>1010</v>
      </c>
      <c r="D15" s="48">
        <f>VLOOKUP(E15,'Exp Tables'!$X$3:$Z$13,3,FALSE)</f>
        <v>32660</v>
      </c>
      <c r="E15" s="48">
        <f>Main!O89</f>
        <v>10</v>
      </c>
      <c r="F15" s="48">
        <v>0</v>
      </c>
      <c r="G15" s="48">
        <v>0</v>
      </c>
      <c r="H15" s="308" t="str">
        <f>IFERROR(Main!N90&amp;":"&amp;IF(Main!N90="skill",VLOOKUP(Main!O90,'Vehicle Substats'!$H$2:$K$44,4,FALSE),VLOOKUP(Main!N90,'Vehicle Substats'!$A$1:$F$16,6,FALSE)),"")</f>
        <v/>
      </c>
      <c r="I15" s="308" t="str">
        <f>IFERROR(Main!N91&amp;":"&amp;IF(Main!N91="skill",VLOOKUP(Main!O91,'Vehicle Substats'!$H$2:$K$44,4,FALSE),VLOOKUP(Main!N91,'Vehicle Substats'!$A$1:$F$16,6,FALSE)),"")</f>
        <v/>
      </c>
      <c r="J15" s="308" t="str">
        <f>IFERROR(Main!N92&amp;":"&amp;IF(Main!N92="skill",VLOOKUP(Main!O92,'Vehicle Substats'!$H$2:$K$44,4,FALSE),VLOOKUP(Main!N92,'Vehicle Substats'!$A$1:$F$16,6,FALSE)),"")</f>
        <v/>
      </c>
      <c r="K15" s="308"/>
      <c r="L15" s="308"/>
      <c r="M15" s="308" t="str">
        <f t="shared" si="1"/>
        <v/>
      </c>
      <c r="N15" s="48">
        <f t="shared" si="2"/>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1"/>
    </row>
    <row r="16" spans="1:29" x14ac:dyDescent="0.25">
      <c r="A16" s="47">
        <f>IF(Main!P82="","",ROW()-1)</f>
        <v>15</v>
      </c>
      <c r="B16" s="47">
        <v>1234567</v>
      </c>
      <c r="C16" s="47">
        <f>VLOOKUP(Main!P82,'Vehicle Comp'!$B:$E,4,FALSE)</f>
        <v>1011</v>
      </c>
      <c r="D16" s="47">
        <f>VLOOKUP(E16,'Exp Tables'!$X$3:$Z$13,3,FALSE)</f>
        <v>32660</v>
      </c>
      <c r="E16" s="47">
        <f>Main!Q82</f>
        <v>10</v>
      </c>
      <c r="F16" s="47">
        <v>0</v>
      </c>
      <c r="G16" s="47">
        <v>0</v>
      </c>
      <c r="H16" s="309" t="str">
        <f>IFERROR(Main!P83&amp;":"&amp;IF(Main!P83="skill",VLOOKUP(Main!Q83,'Vehicle Substats'!$H$2:$K$44,4,FALSE),VLOOKUP(Main!P83,'Vehicle Substats'!$A$1:$F$16,6,FALSE)),"")</f>
        <v/>
      </c>
      <c r="I16" s="309" t="str">
        <f>IFERROR(Main!P84&amp;":"&amp;IF(Main!P84="skill",VLOOKUP(Main!Q84,'Vehicle Substats'!$H$2:$K$44,4,FALSE),VLOOKUP(Main!P84,'Vehicle Substats'!$A$1:$F$16,6,FALSE)),"")</f>
        <v/>
      </c>
      <c r="J16" s="309" t="str">
        <f>IFERROR(Main!P85&amp;":"&amp;IF(Main!P85="skill",VLOOKUP(Main!Q85,'Vehicle Substats'!$H$2:$K$44,4,FALSE),VLOOKUP(Main!P85,'Vehicle Substats'!$A$1:$F$16,6,FALSE)),"")</f>
        <v/>
      </c>
      <c r="K16" s="309"/>
      <c r="L16" s="309"/>
      <c r="M16" s="309" t="str">
        <f t="shared" si="1"/>
        <v/>
      </c>
      <c r="N16" s="47">
        <f t="shared" si="2"/>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1"/>
    </row>
    <row r="17" spans="1:29" x14ac:dyDescent="0.25">
      <c r="A17" s="48">
        <f>IF(Main!P89="","",ROW()-1)</f>
        <v>16</v>
      </c>
      <c r="B17" s="48">
        <v>1234567</v>
      </c>
      <c r="C17" s="48">
        <f>VLOOKUP(Main!P89,'Vehicle Comp'!$B:$E,4,FALSE)</f>
        <v>1011</v>
      </c>
      <c r="D17" s="48">
        <f>VLOOKUP(E17,'Exp Tables'!$X$3:$Z$13,3,FALSE)</f>
        <v>32660</v>
      </c>
      <c r="E17" s="48">
        <f>Main!Q89</f>
        <v>10</v>
      </c>
      <c r="F17" s="48">
        <v>0</v>
      </c>
      <c r="G17" s="48">
        <v>0</v>
      </c>
      <c r="H17" s="308" t="str">
        <f>IFERROR(Main!P90&amp;":"&amp;IF(Main!P90="skill",VLOOKUP(Main!Q90,'Vehicle Substats'!$H$2:$K$44,4,FALSE),VLOOKUP(Main!P90,'Vehicle Substats'!$A$1:$F$16,6,FALSE)),"")</f>
        <v/>
      </c>
      <c r="I17" s="308" t="str">
        <f>IFERROR(Main!P91&amp;":"&amp;IF(Main!P91="skill",VLOOKUP(Main!Q91,'Vehicle Substats'!$H$2:$K$44,4,FALSE),VLOOKUP(Main!P91,'Vehicle Substats'!$A$1:$F$16,6,FALSE)),"")</f>
        <v/>
      </c>
      <c r="J17" s="308" t="str">
        <f>IFERROR(Main!P92&amp;":"&amp;IF(Main!P92="skill",VLOOKUP(Main!Q92,'Vehicle Substats'!$H$2:$K$44,4,FALSE),VLOOKUP(Main!P92,'Vehicle Substats'!$A$1:$F$16,6,FALSE)),"")</f>
        <v/>
      </c>
      <c r="K17" s="308"/>
      <c r="L17" s="308"/>
      <c r="M17" s="308" t="str">
        <f t="shared" si="1"/>
        <v/>
      </c>
      <c r="N17" s="48">
        <f t="shared" si="2"/>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1"/>
    </row>
    <row r="18" spans="1:29" x14ac:dyDescent="0.25">
      <c r="A18" s="47">
        <f>IF(Main!R82="","",ROW()-1)</f>
        <v>17</v>
      </c>
      <c r="B18" s="47">
        <v>1234567</v>
      </c>
      <c r="C18" s="47">
        <f>VLOOKUP(Main!R82,'Vehicle Comp'!$B:$E,4,FALSE)</f>
        <v>1007</v>
      </c>
      <c r="D18" s="47">
        <f>VLOOKUP(E18,'Exp Tables'!$X$3:$Z$13,3,FALSE)</f>
        <v>32660</v>
      </c>
      <c r="E18" s="47">
        <f>Main!S82</f>
        <v>10</v>
      </c>
      <c r="F18" s="47">
        <v>0</v>
      </c>
      <c r="G18" s="47">
        <v>0</v>
      </c>
      <c r="H18" s="309" t="str">
        <f>IFERROR(Main!R83&amp;":"&amp;IF(Main!R83="skill",VLOOKUP(Main!S83,'Vehicle Substats'!$H$2:$K$44,4,FALSE),VLOOKUP(Main!R83,'Vehicle Substats'!$A$1:$F$16,6,FALSE)),"")</f>
        <v/>
      </c>
      <c r="I18" s="309" t="str">
        <f>IFERROR(Main!R84&amp;":"&amp;IF(Main!R84="skill",VLOOKUP(Main!S84,'Vehicle Substats'!$H$2:$K$44,4,FALSE),VLOOKUP(Main!R84,'Vehicle Substats'!$A$1:$F$16,6,FALSE)),"")</f>
        <v/>
      </c>
      <c r="J18" s="309" t="str">
        <f>IFERROR(Main!R85&amp;":"&amp;IF(Main!R85="skill",VLOOKUP(Main!S85,'Vehicle Substats'!$H$2:$K$44,4,FALSE),VLOOKUP(Main!R85,'Vehicle Substats'!$A$1:$F$16,6,FALSE)),"")</f>
        <v/>
      </c>
      <c r="K18" s="309"/>
      <c r="L18" s="309"/>
      <c r="M18" s="309" t="str">
        <f t="shared" si="1"/>
        <v/>
      </c>
      <c r="N18" s="47">
        <f t="shared" si="2"/>
        <v>0</v>
      </c>
      <c r="O18" s="47">
        <f t="shared" si="2"/>
        <v>0</v>
      </c>
      <c r="P18" s="47">
        <f t="shared" si="2"/>
        <v>0</v>
      </c>
      <c r="Q18" s="47">
        <f t="shared" si="2"/>
        <v>0</v>
      </c>
      <c r="R18" s="47">
        <f t="shared" si="2"/>
        <v>0</v>
      </c>
      <c r="S18" s="47">
        <f t="shared" si="2"/>
        <v>0</v>
      </c>
      <c r="T18" s="47">
        <f t="shared" si="2"/>
        <v>0</v>
      </c>
      <c r="U18" s="47">
        <f t="shared" si="2"/>
        <v>0</v>
      </c>
      <c r="V18" s="47">
        <f t="shared" si="2"/>
        <v>0</v>
      </c>
      <c r="W18" s="47">
        <f t="shared" si="2"/>
        <v>0</v>
      </c>
      <c r="X18" s="47">
        <f t="shared" si="2"/>
        <v>0</v>
      </c>
      <c r="Y18" s="47">
        <f t="shared" si="2"/>
        <v>0</v>
      </c>
      <c r="Z18" s="47">
        <f t="shared" si="2"/>
        <v>0</v>
      </c>
      <c r="AA18" s="47">
        <f t="shared" si="2"/>
        <v>0</v>
      </c>
      <c r="AB18" s="47">
        <f t="shared" si="2"/>
        <v>0</v>
      </c>
      <c r="AC18" s="1"/>
    </row>
    <row r="19" spans="1:29" x14ac:dyDescent="0.25">
      <c r="A19" s="48">
        <f>IF(Main!R89="","",ROW()-1)</f>
        <v>18</v>
      </c>
      <c r="B19" s="48">
        <v>1234567</v>
      </c>
      <c r="C19" s="48">
        <f>VLOOKUP(Main!R89,'Vehicle Comp'!$B:$E,4,FALSE)</f>
        <v>1007</v>
      </c>
      <c r="D19" s="48">
        <f>VLOOKUP(E19,'Exp Tables'!$X$3:$Z$13,3,FALSE)</f>
        <v>32660</v>
      </c>
      <c r="E19" s="48">
        <f>Main!S89</f>
        <v>10</v>
      </c>
      <c r="F19" s="48">
        <v>0</v>
      </c>
      <c r="G19" s="48">
        <v>0</v>
      </c>
      <c r="H19" s="308" t="str">
        <f>IFERROR(Main!R90&amp;":"&amp;IF(Main!R90="skill",VLOOKUP(Main!S90,'Vehicle Substats'!$H$2:$K$44,4,FALSE),VLOOKUP(Main!R90,'Vehicle Substats'!$A$1:$F$16,6,FALSE)),"")</f>
        <v/>
      </c>
      <c r="I19" s="308" t="str">
        <f>IFERROR(Main!R91&amp;":"&amp;IF(Main!R91="skill",VLOOKUP(Main!S91,'Vehicle Substats'!$H$2:$K$44,4,FALSE),VLOOKUP(Main!R91,'Vehicle Substats'!$A$1:$F$16,6,FALSE)),"")</f>
        <v/>
      </c>
      <c r="J19" s="308" t="str">
        <f>IFERROR(Main!R92&amp;":"&amp;IF(Main!R92="skill",VLOOKUP(Main!S92,'Vehicle Substats'!$H$2:$K$44,4,FALSE),VLOOKUP(Main!R92,'Vehicle Substats'!$A$1:$F$16,6,FALSE)),"")</f>
        <v/>
      </c>
      <c r="K19" s="308"/>
      <c r="L19" s="308"/>
      <c r="M19" s="308" t="str">
        <f t="shared" si="1"/>
        <v/>
      </c>
      <c r="N19" s="48">
        <f t="shared" ref="N19:AB19" si="3">IFERROR(IF(LEFT($H19,FIND(":",$H19)-1)=N$1,SUBSTITUTE($H19,N$1&amp;":",""),0)+
IF(LEFT($I19,FIND(":",$I19)-1)=N$1,SUBSTITUTE($I19,N$1&amp;":",""),0)+
IF(LEFT($J19,FIND(":",$J19)-1)=N$1,SUBSTITUTE($J19,N$1&amp;":",""),0),0)</f>
        <v>0</v>
      </c>
      <c r="O19" s="48">
        <f t="shared" si="3"/>
        <v>0</v>
      </c>
      <c r="P19" s="48">
        <f t="shared" si="3"/>
        <v>0</v>
      </c>
      <c r="Q19" s="48">
        <f t="shared" si="3"/>
        <v>0</v>
      </c>
      <c r="R19" s="48">
        <f t="shared" si="3"/>
        <v>0</v>
      </c>
      <c r="S19" s="48">
        <f t="shared" si="3"/>
        <v>0</v>
      </c>
      <c r="T19" s="48">
        <f t="shared" si="3"/>
        <v>0</v>
      </c>
      <c r="U19" s="48">
        <f t="shared" si="3"/>
        <v>0</v>
      </c>
      <c r="V19" s="48">
        <f t="shared" si="3"/>
        <v>0</v>
      </c>
      <c r="W19" s="48">
        <f t="shared" si="3"/>
        <v>0</v>
      </c>
      <c r="X19" s="48">
        <f t="shared" si="3"/>
        <v>0</v>
      </c>
      <c r="Y19" s="48">
        <f t="shared" si="3"/>
        <v>0</v>
      </c>
      <c r="Z19" s="48">
        <f t="shared" si="3"/>
        <v>0</v>
      </c>
      <c r="AA19" s="48">
        <f t="shared" si="3"/>
        <v>0</v>
      </c>
      <c r="AB19" s="48">
        <f t="shared" si="3"/>
        <v>0</v>
      </c>
      <c r="AC19" s="1"/>
    </row>
    <row r="21" spans="1:29" x14ac:dyDescent="0.25">
      <c r="G21" s="220"/>
    </row>
    <row r="27" spans="1:29" x14ac:dyDescent="0.25">
      <c r="A27" s="310"/>
      <c r="B27" s="310"/>
      <c r="C27" s="310"/>
      <c r="D27" s="310"/>
      <c r="E27" s="310"/>
    </row>
    <row r="28" spans="1:29" x14ac:dyDescent="0.25">
      <c r="A28" s="310"/>
      <c r="B28" s="310"/>
      <c r="C28" s="310"/>
      <c r="D28" s="310"/>
      <c r="E28" s="310"/>
    </row>
    <row r="29" spans="1:29" x14ac:dyDescent="0.25">
      <c r="A29" s="310"/>
      <c r="B29" s="310"/>
      <c r="C29" s="310"/>
      <c r="D29" s="310"/>
      <c r="E29" s="310"/>
    </row>
    <row r="30" spans="1:29"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8737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8738</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8738</v>
      </c>
      <c r="E12" s="1" t="str">
        <f>IF(DayNight&lt;&gt;"Day","",_xlfn.IFNA(MATCH(A12,Main!$I$125:$I$127,0),""))</f>
        <v/>
      </c>
    </row>
    <row r="13" spans="1:6" x14ac:dyDescent="0.25">
      <c r="A13" s="1">
        <f t="shared" ref="A13" si="5">A4</f>
        <v>102</v>
      </c>
      <c r="B13" s="1">
        <f t="shared" si="3"/>
        <v>64</v>
      </c>
      <c r="C13" s="9" t="str">
        <f t="shared" si="4"/>
        <v>"ally_instance_ids": [],</v>
      </c>
      <c r="D13" s="1" t="s">
        <v>8738</v>
      </c>
      <c r="E13" s="1" t="str">
        <f>IF(DayNight&lt;&gt;"Day","",_xlfn.IFNA(MATCH(A13,Main!$I$125:$I$127,0),""))</f>
        <v/>
      </c>
    </row>
    <row r="14" spans="1:6" x14ac:dyDescent="0.25">
      <c r="A14" s="1">
        <f t="shared" ref="A14" si="6">A5</f>
        <v>104</v>
      </c>
      <c r="B14" s="1">
        <f t="shared" si="3"/>
        <v>112</v>
      </c>
      <c r="C14" s="9" t="str">
        <f t="shared" si="4"/>
        <v>"ally_instance_ids": [],</v>
      </c>
      <c r="D14" s="1" t="s">
        <v>8738</v>
      </c>
      <c r="E14" s="1" t="str">
        <f>IF(DayNight&lt;&gt;"Day","",_xlfn.IFNA(MATCH(A14,Main!$I$125:$I$127,0),""))</f>
        <v/>
      </c>
    </row>
    <row r="15" spans="1:6" x14ac:dyDescent="0.25">
      <c r="A15" s="1">
        <f t="shared" ref="A15" si="7">A6</f>
        <v>105</v>
      </c>
      <c r="B15" s="1">
        <f t="shared" si="3"/>
        <v>136</v>
      </c>
      <c r="C15" s="9" t="str">
        <f t="shared" si="4"/>
        <v>"ally_instance_ids": [],</v>
      </c>
      <c r="D15" s="1" t="s">
        <v>8738</v>
      </c>
      <c r="E15" s="1" t="str">
        <f>IF(DayNight&lt;&gt;"Day","",_xlfn.IFNA(MATCH(A15,Main!$I$125:$I$127,0),""))</f>
        <v/>
      </c>
    </row>
    <row r="16" spans="1:6" x14ac:dyDescent="0.25">
      <c r="A16" s="1">
        <f t="shared" ref="A16" si="8">A7</f>
        <v>106</v>
      </c>
      <c r="B16" s="1">
        <f t="shared" si="3"/>
        <v>160</v>
      </c>
      <c r="C16" s="9" t="str">
        <f t="shared" si="4"/>
        <v>"ally_instance_ids": [],</v>
      </c>
      <c r="D16" s="1" t="s">
        <v>8738</v>
      </c>
      <c r="E16" s="1" t="str">
        <f>IF(DayNight&lt;&gt;"Day","",_xlfn.IFNA(MATCH(A16,Main!$I$125:$I$127,0),""))</f>
        <v/>
      </c>
    </row>
    <row r="17" spans="1:5" x14ac:dyDescent="0.25">
      <c r="A17" s="1">
        <f t="shared" ref="A17" si="9">A8</f>
        <v>107</v>
      </c>
      <c r="B17" s="1">
        <f t="shared" si="3"/>
        <v>184</v>
      </c>
      <c r="C17" s="9" t="str">
        <f t="shared" si="4"/>
        <v>"ally_instance_ids": [],</v>
      </c>
      <c r="D17" s="1" t="s">
        <v>8738</v>
      </c>
      <c r="E17" s="1" t="str">
        <f>IF(DayNight&lt;&gt;"Day","",_xlfn.IFNA(MATCH(A17,Main!$I$125:$I$127,0),""))</f>
        <v/>
      </c>
    </row>
    <row r="18" spans="1:5" x14ac:dyDescent="0.25">
      <c r="A18" s="1">
        <f t="shared" ref="A18" si="10">A9</f>
        <v>99</v>
      </c>
      <c r="B18" s="1">
        <f t="shared" si="3"/>
        <v>203</v>
      </c>
      <c r="C18" s="9" t="str">
        <f t="shared" si="4"/>
        <v>"ally_instance_ids": [],</v>
      </c>
      <c r="D18" s="1" t="s">
        <v>8738</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8738</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8738</v>
      </c>
      <c r="E34" s="1" t="str">
        <f>IF(DayNight&lt;&gt;"Night","",_xlfn.IFNA(MATCH(A34,Main!$I$125:$I$127,0),""))</f>
        <v/>
      </c>
    </row>
    <row r="35" spans="1:5" x14ac:dyDescent="0.25">
      <c r="A35" s="1">
        <f t="shared" ref="A35" si="4">A4</f>
        <v>7119</v>
      </c>
      <c r="B35" s="1">
        <f t="shared" si="2"/>
        <v>64</v>
      </c>
      <c r="C35" s="9" t="str">
        <f t="shared" si="3"/>
        <v>"ally_instance_ids": [],</v>
      </c>
      <c r="D35" s="1" t="s">
        <v>8738</v>
      </c>
      <c r="E35" s="1" t="str">
        <f>IF(DayNight&lt;&gt;"Night","",_xlfn.IFNA(MATCH(A35,Main!$I$125:$I$127,0),""))</f>
        <v/>
      </c>
    </row>
    <row r="36" spans="1:5" x14ac:dyDescent="0.25">
      <c r="A36" s="1">
        <f t="shared" ref="A36" si="5">A5</f>
        <v>7120</v>
      </c>
      <c r="B36" s="1">
        <f t="shared" si="2"/>
        <v>88</v>
      </c>
      <c r="C36" s="9" t="str">
        <f t="shared" si="3"/>
        <v>"ally_instance_ids": [],</v>
      </c>
      <c r="D36" s="1" t="s">
        <v>8738</v>
      </c>
      <c r="E36" s="1" t="str">
        <f>IF(DayNight&lt;&gt;"Night","",_xlfn.IFNA(MATCH(A36,Main!$I$125:$I$127,0),""))</f>
        <v/>
      </c>
    </row>
    <row r="37" spans="1:5" x14ac:dyDescent="0.25">
      <c r="A37" s="1">
        <f t="shared" ref="A37" si="6">A6</f>
        <v>7121</v>
      </c>
      <c r="B37" s="1">
        <f t="shared" si="2"/>
        <v>112</v>
      </c>
      <c r="C37" s="9" t="str">
        <f t="shared" si="3"/>
        <v>"ally_instance_ids": [],</v>
      </c>
      <c r="D37" s="1" t="s">
        <v>8738</v>
      </c>
      <c r="E37" s="1" t="str">
        <f>IF(DayNight&lt;&gt;"Night","",_xlfn.IFNA(MATCH(A37,Main!$I$125:$I$127,0),""))</f>
        <v/>
      </c>
    </row>
    <row r="38" spans="1:5" x14ac:dyDescent="0.25">
      <c r="A38" s="1">
        <f t="shared" ref="A38" si="7">A7</f>
        <v>7122</v>
      </c>
      <c r="B38" s="1">
        <f t="shared" si="2"/>
        <v>136</v>
      </c>
      <c r="C38" s="9" t="str">
        <f t="shared" si="3"/>
        <v>"ally_instance_ids": [],</v>
      </c>
      <c r="D38" s="1" t="s">
        <v>8738</v>
      </c>
      <c r="E38" s="1" t="str">
        <f>IF(DayNight&lt;&gt;"Night","",_xlfn.IFNA(MATCH(A38,Main!$I$125:$I$127,0),""))</f>
        <v/>
      </c>
    </row>
    <row r="39" spans="1:5" x14ac:dyDescent="0.25">
      <c r="A39" s="1">
        <f t="shared" ref="A39" si="8">A8</f>
        <v>7123</v>
      </c>
      <c r="B39" s="1">
        <f t="shared" si="2"/>
        <v>160</v>
      </c>
      <c r="C39" s="9" t="str">
        <f t="shared" si="3"/>
        <v>"ally_instance_ids": [],</v>
      </c>
      <c r="D39" s="1" t="s">
        <v>8738</v>
      </c>
      <c r="E39" s="1" t="str">
        <f>IF(DayNight&lt;&gt;"Night","",_xlfn.IFNA(MATCH(A39,Main!$I$125:$I$127,0),""))</f>
        <v/>
      </c>
    </row>
    <row r="40" spans="1:5" x14ac:dyDescent="0.25">
      <c r="A40" s="1">
        <f t="shared" ref="A40" si="9">A9</f>
        <v>7124</v>
      </c>
      <c r="B40" s="1">
        <f t="shared" si="2"/>
        <v>184</v>
      </c>
      <c r="C40" s="9" t="str">
        <f t="shared" si="3"/>
        <v>"ally_instance_ids": [],</v>
      </c>
      <c r="D40" s="1" t="s">
        <v>8738</v>
      </c>
      <c r="E40" s="1" t="str">
        <f>IF(DayNight&lt;&gt;"Night","",_xlfn.IFNA(MATCH(A40,Main!$I$125:$I$127,0),""))</f>
        <v/>
      </c>
    </row>
    <row r="41" spans="1:5" x14ac:dyDescent="0.25">
      <c r="A41" s="1">
        <f t="shared" ref="A41" si="10">A10</f>
        <v>7126</v>
      </c>
      <c r="B41" s="1">
        <f t="shared" si="2"/>
        <v>208</v>
      </c>
      <c r="C41" s="9" t="str">
        <f t="shared" si="3"/>
        <v>"ally_instance_ids": [],</v>
      </c>
      <c r="D41" s="1" t="s">
        <v>8738</v>
      </c>
      <c r="E41" s="1" t="str">
        <f>IF(DayNight&lt;&gt;"Night","",_xlfn.IFNA(MATCH(A41,Main!$I$125:$I$127,0),""))</f>
        <v/>
      </c>
    </row>
    <row r="42" spans="1:5" x14ac:dyDescent="0.25">
      <c r="A42" s="1">
        <f t="shared" ref="A42" si="11">A11</f>
        <v>7127</v>
      </c>
      <c r="B42" s="1">
        <f t="shared" si="2"/>
        <v>232</v>
      </c>
      <c r="C42" s="9" t="str">
        <f t="shared" si="3"/>
        <v>"ally_instance_ids": [],</v>
      </c>
      <c r="D42" s="1" t="s">
        <v>8738</v>
      </c>
      <c r="E42" s="1" t="str">
        <f>IF(DayNight&lt;&gt;"Night","",_xlfn.IFNA(MATCH(A42,Main!$I$125:$I$127,0),""))</f>
        <v/>
      </c>
    </row>
    <row r="43" spans="1:5" x14ac:dyDescent="0.25">
      <c r="A43" s="1">
        <f t="shared" ref="A43" si="12">A12</f>
        <v>7128</v>
      </c>
      <c r="B43" s="1">
        <f t="shared" si="2"/>
        <v>256</v>
      </c>
      <c r="C43" s="9" t="str">
        <f t="shared" si="3"/>
        <v>"ally_instance_ids": [],</v>
      </c>
      <c r="D43" s="1" t="s">
        <v>8738</v>
      </c>
      <c r="E43" s="1" t="str">
        <f>IF(DayNight&lt;&gt;"Night","",_xlfn.IFNA(MATCH(A43,Main!$I$125:$I$127,0),""))</f>
        <v/>
      </c>
    </row>
    <row r="44" spans="1:5" x14ac:dyDescent="0.25">
      <c r="A44" s="1">
        <f t="shared" ref="A44" si="13">A13</f>
        <v>7129</v>
      </c>
      <c r="B44" s="1">
        <f t="shared" si="2"/>
        <v>280</v>
      </c>
      <c r="C44" s="9" t="str">
        <f t="shared" si="3"/>
        <v>"ally_instance_ids": [],</v>
      </c>
      <c r="D44" s="1" t="s">
        <v>8738</v>
      </c>
      <c r="E44" s="1" t="str">
        <f>IF(DayNight&lt;&gt;"Night","",_xlfn.IFNA(MATCH(A44,Main!$I$125:$I$127,0),""))</f>
        <v/>
      </c>
    </row>
    <row r="45" spans="1:5" x14ac:dyDescent="0.25">
      <c r="A45" s="1">
        <f t="shared" ref="A45" si="14">A14</f>
        <v>7130</v>
      </c>
      <c r="B45" s="1">
        <f t="shared" si="2"/>
        <v>304</v>
      </c>
      <c r="C45" s="9" t="str">
        <f t="shared" si="3"/>
        <v>"ally_instance_ids": [],</v>
      </c>
      <c r="D45" s="1" t="s">
        <v>8738</v>
      </c>
      <c r="E45" s="1" t="str">
        <f>IF(DayNight&lt;&gt;"Night","",_xlfn.IFNA(MATCH(A45,Main!$I$125:$I$127,0),""))</f>
        <v/>
      </c>
    </row>
    <row r="46" spans="1:5" x14ac:dyDescent="0.25">
      <c r="A46" s="1">
        <f t="shared" ref="A46" si="15">A15</f>
        <v>7131</v>
      </c>
      <c r="B46" s="1">
        <f t="shared" si="2"/>
        <v>328</v>
      </c>
      <c r="C46" s="9" t="str">
        <f t="shared" si="3"/>
        <v>"ally_instance_ids": [],</v>
      </c>
      <c r="D46" s="1" t="s">
        <v>8738</v>
      </c>
      <c r="E46" s="1" t="str">
        <f>IF(DayNight&lt;&gt;"Night","",_xlfn.IFNA(MATCH(A46,Main!$I$125:$I$127,0),""))</f>
        <v/>
      </c>
    </row>
    <row r="47" spans="1:5" x14ac:dyDescent="0.25">
      <c r="A47" s="1">
        <f t="shared" ref="A47" si="16">A16</f>
        <v>7132</v>
      </c>
      <c r="B47" s="1">
        <f t="shared" si="2"/>
        <v>352</v>
      </c>
      <c r="C47" s="9" t="str">
        <f t="shared" si="3"/>
        <v>"ally_instance_ids": [],</v>
      </c>
      <c r="D47" s="1" t="s">
        <v>8738</v>
      </c>
      <c r="E47" s="1" t="str">
        <f>IF(DayNight&lt;&gt;"Night","",_xlfn.IFNA(MATCH(A47,Main!$I$125:$I$127,0),""))</f>
        <v/>
      </c>
    </row>
    <row r="48" spans="1:5" x14ac:dyDescent="0.25">
      <c r="A48" s="1">
        <f t="shared" ref="A48" si="17">A17</f>
        <v>7133</v>
      </c>
      <c r="B48" s="1">
        <f t="shared" si="2"/>
        <v>376</v>
      </c>
      <c r="C48" s="9" t="str">
        <f t="shared" si="3"/>
        <v>"ally_instance_ids": [],</v>
      </c>
      <c r="D48" s="1" t="s">
        <v>8738</v>
      </c>
      <c r="E48" s="1" t="str">
        <f>IF(DayNight&lt;&gt;"Night","",_xlfn.IFNA(MATCH(A48,Main!$I$125:$I$127,0),""))</f>
        <v/>
      </c>
    </row>
    <row r="49" spans="1:5" x14ac:dyDescent="0.25">
      <c r="A49" s="1">
        <f t="shared" ref="A49" si="18">A18</f>
        <v>7134</v>
      </c>
      <c r="B49" s="1">
        <f t="shared" si="2"/>
        <v>400</v>
      </c>
      <c r="C49" s="9" t="str">
        <f t="shared" si="3"/>
        <v>"ally_instance_ids": [],</v>
      </c>
      <c r="D49" s="1" t="s">
        <v>8738</v>
      </c>
      <c r="E49" s="1" t="str">
        <f>IF(DayNight&lt;&gt;"Night","",_xlfn.IFNA(MATCH(A49,Main!$I$125:$I$127,0),""))</f>
        <v/>
      </c>
    </row>
    <row r="50" spans="1:5" x14ac:dyDescent="0.25">
      <c r="A50" s="1">
        <f t="shared" ref="A50" si="19">A19</f>
        <v>7135</v>
      </c>
      <c r="B50" s="1">
        <f t="shared" si="2"/>
        <v>424</v>
      </c>
      <c r="C50" s="9" t="str">
        <f t="shared" si="3"/>
        <v>"ally_instance_ids": [],</v>
      </c>
      <c r="D50" s="1" t="s">
        <v>8738</v>
      </c>
      <c r="E50" s="1" t="str">
        <f>IF(DayNight&lt;&gt;"Night","",_xlfn.IFNA(MATCH(A50,Main!$I$125:$I$127,0),""))</f>
        <v/>
      </c>
    </row>
    <row r="51" spans="1:5" x14ac:dyDescent="0.25">
      <c r="A51" s="1">
        <f t="shared" ref="A51" si="20">A20</f>
        <v>7136</v>
      </c>
      <c r="B51" s="1">
        <f t="shared" si="2"/>
        <v>448</v>
      </c>
      <c r="C51" s="9" t="str">
        <f t="shared" si="3"/>
        <v>"ally_instance_ids": [],</v>
      </c>
      <c r="D51" s="1" t="s">
        <v>8738</v>
      </c>
      <c r="E51" s="1" t="str">
        <f>IF(DayNight&lt;&gt;"Night","",_xlfn.IFNA(MATCH(A51,Main!$I$125:$I$127,0),""))</f>
        <v/>
      </c>
    </row>
    <row r="52" spans="1:5" x14ac:dyDescent="0.25">
      <c r="A52" s="1">
        <f t="shared" ref="A52" si="21">A21</f>
        <v>7137</v>
      </c>
      <c r="B52" s="1">
        <f t="shared" si="2"/>
        <v>472</v>
      </c>
      <c r="C52" s="9" t="str">
        <f t="shared" si="3"/>
        <v>"ally_instance_ids": [],</v>
      </c>
      <c r="D52" s="1" t="s">
        <v>8738</v>
      </c>
      <c r="E52" s="1" t="str">
        <f>IF(DayNight&lt;&gt;"Night","",_xlfn.IFNA(MATCH(A52,Main!$I$125:$I$127,0),""))</f>
        <v/>
      </c>
    </row>
    <row r="53" spans="1:5" x14ac:dyDescent="0.25">
      <c r="A53" s="1">
        <f t="shared" ref="A53" si="22">A22</f>
        <v>7138</v>
      </c>
      <c r="B53" s="1">
        <f t="shared" si="2"/>
        <v>496</v>
      </c>
      <c r="C53" s="9" t="str">
        <f t="shared" si="3"/>
        <v>"ally_instance_ids": [],</v>
      </c>
      <c r="D53" s="1" t="s">
        <v>8738</v>
      </c>
      <c r="E53" s="1" t="str">
        <f>IF(DayNight&lt;&gt;"Night","",_xlfn.IFNA(MATCH(A53,Main!$I$125:$I$127,0),""))</f>
        <v/>
      </c>
    </row>
    <row r="54" spans="1:5" x14ac:dyDescent="0.25">
      <c r="A54" s="1">
        <f t="shared" ref="A54" si="23">A23</f>
        <v>7139</v>
      </c>
      <c r="B54" s="1">
        <f t="shared" si="2"/>
        <v>520</v>
      </c>
      <c r="C54" s="9" t="str">
        <f t="shared" si="3"/>
        <v>"ally_instance_ids": [],</v>
      </c>
      <c r="D54" s="1" t="s">
        <v>8738</v>
      </c>
      <c r="E54" s="1" t="str">
        <f>IF(DayNight&lt;&gt;"Night","",_xlfn.IFNA(MATCH(A54,Main!$I$125:$I$127,0),""))</f>
        <v/>
      </c>
    </row>
    <row r="55" spans="1:5" x14ac:dyDescent="0.25">
      <c r="A55" s="1">
        <f t="shared" ref="A55" si="24">A24</f>
        <v>7140</v>
      </c>
      <c r="B55" s="1">
        <f t="shared" si="2"/>
        <v>544</v>
      </c>
      <c r="C55" s="9" t="str">
        <f t="shared" si="3"/>
        <v>"ally_instance_ids": [],</v>
      </c>
      <c r="D55" s="1" t="s">
        <v>8738</v>
      </c>
      <c r="E55" s="1" t="str">
        <f>IF(DayNight&lt;&gt;"Night","",_xlfn.IFNA(MATCH(A55,Main!$I$125:$I$127,0),""))</f>
        <v/>
      </c>
    </row>
    <row r="56" spans="1:5" x14ac:dyDescent="0.25">
      <c r="A56" s="1">
        <f t="shared" ref="A56" si="25">A25</f>
        <v>7141</v>
      </c>
      <c r="B56" s="1">
        <f t="shared" si="2"/>
        <v>568</v>
      </c>
      <c r="C56" s="9" t="str">
        <f t="shared" si="3"/>
        <v>"ally_instance_ids": [],</v>
      </c>
      <c r="D56" s="1" t="s">
        <v>8738</v>
      </c>
      <c r="E56" s="1" t="str">
        <f>IF(DayNight&lt;&gt;"Night","",_xlfn.IFNA(MATCH(A56,Main!$I$125:$I$127,0),""))</f>
        <v/>
      </c>
    </row>
    <row r="57" spans="1:5" x14ac:dyDescent="0.25">
      <c r="A57" s="1">
        <f t="shared" ref="A57" si="26">A26</f>
        <v>7142</v>
      </c>
      <c r="B57" s="1">
        <f t="shared" si="2"/>
        <v>592</v>
      </c>
      <c r="C57" s="9" t="str">
        <f t="shared" si="3"/>
        <v>"ally_instance_ids": [],</v>
      </c>
      <c r="D57" s="1" t="s">
        <v>8738</v>
      </c>
      <c r="E57" s="1" t="str">
        <f>IF(DayNight&lt;&gt;"Night","",_xlfn.IFNA(MATCH(A57,Main!$I$125:$I$127,0),""))</f>
        <v/>
      </c>
    </row>
    <row r="58" spans="1:5" x14ac:dyDescent="0.25">
      <c r="A58" s="1">
        <f t="shared" ref="A58" si="27">A27</f>
        <v>7143</v>
      </c>
      <c r="B58" s="1">
        <f t="shared" si="2"/>
        <v>616</v>
      </c>
      <c r="C58" s="9" t="str">
        <f t="shared" si="3"/>
        <v>"ally_instance_ids": [],</v>
      </c>
      <c r="D58" s="1" t="s">
        <v>8738</v>
      </c>
      <c r="E58" s="1" t="str">
        <f>IF(DayNight&lt;&gt;"Night","",_xlfn.IFNA(MATCH(A58,Main!$I$125:$I$127,0),""))</f>
        <v/>
      </c>
    </row>
    <row r="59" spans="1:5" x14ac:dyDescent="0.25">
      <c r="A59" s="1">
        <f t="shared" ref="A59" si="28">A28</f>
        <v>7144</v>
      </c>
      <c r="B59" s="1">
        <f t="shared" si="2"/>
        <v>640</v>
      </c>
      <c r="C59" s="9" t="str">
        <f t="shared" si="3"/>
        <v>"ally_instance_ids": [],</v>
      </c>
      <c r="D59" s="1" t="s">
        <v>8738</v>
      </c>
      <c r="E59" s="1" t="str">
        <f>IF(DayNight&lt;&gt;"Night","",_xlfn.IFNA(MATCH(A59,Main!$I$125:$I$127,0),""))</f>
        <v/>
      </c>
    </row>
    <row r="60" spans="1:5" x14ac:dyDescent="0.25">
      <c r="A60" s="1">
        <f t="shared" ref="A60" si="29">A29</f>
        <v>7145</v>
      </c>
      <c r="B60" s="1">
        <f t="shared" si="2"/>
        <v>664</v>
      </c>
      <c r="C60" s="9" t="str">
        <f t="shared" si="3"/>
        <v>"ally_instance_ids": [],</v>
      </c>
      <c r="D60" s="1" t="s">
        <v>8738</v>
      </c>
      <c r="E60" s="1" t="str">
        <f>IF(DayNight&lt;&gt;"Night","",_xlfn.IFNA(MATCH(A60,Main!$I$125:$I$127,0),""))</f>
        <v/>
      </c>
    </row>
    <row r="61" spans="1:5" x14ac:dyDescent="0.25">
      <c r="A61" s="1">
        <f t="shared" ref="A61" si="30">A30</f>
        <v>7146</v>
      </c>
      <c r="B61" s="1">
        <f t="shared" si="2"/>
        <v>688</v>
      </c>
      <c r="C61" s="9" t="str">
        <f t="shared" si="3"/>
        <v>"ally_instance_ids": [],</v>
      </c>
      <c r="D61" s="1" t="s">
        <v>8738</v>
      </c>
      <c r="E61" s="1" t="str">
        <f>IF(DayNight&lt;&gt;"Night","",_xlfn.IFNA(MATCH(A61,Main!$I$125:$I$127,0),""))</f>
        <v/>
      </c>
    </row>
    <row r="62" spans="1:5" x14ac:dyDescent="0.25">
      <c r="A62" s="1">
        <f t="shared" ref="A62" si="31">A31</f>
        <v>7125</v>
      </c>
      <c r="B62" s="1">
        <f t="shared" si="2"/>
        <v>712</v>
      </c>
      <c r="C62" s="9" t="str">
        <f t="shared" si="3"/>
        <v>"ally_instance_ids": [],</v>
      </c>
      <c r="D62" s="1" t="s">
        <v>8738</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8283</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8287</v>
      </c>
      <c r="B2" s="1">
        <v>10</v>
      </c>
      <c r="C2" s="9" t="str">
        <f>CHAR(34)&amp;A2&amp;CHAR(34)&amp;": "&amp;CHAR(34)&amp;IF(DayNight="Day",107,7173)&amp;CHAR(34)&amp;","</f>
        <v>"from_spot_id": "107",</v>
      </c>
    </row>
    <row r="3" spans="1:3" x14ac:dyDescent="0.25">
      <c r="A3" t="s">
        <v>8288</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8510</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91"/>
  <sheetViews>
    <sheetView topLeftCell="AE1" workbookViewId="0">
      <pane ySplit="1" topLeftCell="A371" activePane="bottomLeft" state="frozen"/>
      <selection activeCell="AV2" sqref="AV2"/>
      <selection pane="bottomLeft" activeCell="AV2" sqref="AV2"/>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8290</v>
      </c>
      <c r="C364" t="s">
        <v>8291</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8341</v>
      </c>
      <c r="AH364" s="1">
        <v>3360</v>
      </c>
      <c r="AI364" t="s">
        <v>1844</v>
      </c>
      <c r="AJ364">
        <v>0</v>
      </c>
      <c r="AK364" s="1" t="s">
        <v>8292</v>
      </c>
      <c r="AL364" s="1" t="s">
        <v>8293</v>
      </c>
      <c r="AM364" s="1">
        <v>0.55000000000000004</v>
      </c>
      <c r="AN364" s="1">
        <v>0.16</v>
      </c>
      <c r="AO364" s="1">
        <v>0.6</v>
      </c>
      <c r="AP364" s="1">
        <v>0.16</v>
      </c>
      <c r="AQ364" s="1">
        <v>3</v>
      </c>
      <c r="AR364" t="s">
        <v>8294</v>
      </c>
      <c r="AS364">
        <v>0</v>
      </c>
      <c r="AT364" t="s">
        <v>8295</v>
      </c>
      <c r="AU364">
        <v>10</v>
      </c>
      <c r="AV364">
        <v>20070</v>
      </c>
      <c r="AX364">
        <v>0</v>
      </c>
    </row>
    <row r="365" spans="1:50" x14ac:dyDescent="0.25">
      <c r="A365">
        <v>366</v>
      </c>
      <c r="B365" t="s">
        <v>8296</v>
      </c>
      <c r="C365" t="s">
        <v>8297</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8340</v>
      </c>
      <c r="AH365" s="1">
        <v>3300</v>
      </c>
      <c r="AI365" t="s">
        <v>1844</v>
      </c>
      <c r="AJ365">
        <v>0</v>
      </c>
      <c r="AK365" s="1" t="s">
        <v>8298</v>
      </c>
      <c r="AL365" s="1" t="s">
        <v>8299</v>
      </c>
      <c r="AM365" s="1">
        <v>0.08</v>
      </c>
      <c r="AN365" s="1">
        <v>0.5</v>
      </c>
      <c r="AO365" s="1">
        <v>0.3</v>
      </c>
      <c r="AP365" s="1">
        <v>0.3</v>
      </c>
      <c r="AQ365" s="1">
        <v>3</v>
      </c>
      <c r="AR365" t="s">
        <v>8300</v>
      </c>
      <c r="AS365">
        <v>0</v>
      </c>
      <c r="AT365" t="s">
        <v>8301</v>
      </c>
      <c r="AU365">
        <v>10</v>
      </c>
      <c r="AV365">
        <v>19066</v>
      </c>
      <c r="AX365">
        <v>0</v>
      </c>
    </row>
    <row r="366" spans="1:50" x14ac:dyDescent="0.25">
      <c r="A366">
        <v>367</v>
      </c>
      <c r="B366" t="s">
        <v>8503</v>
      </c>
      <c r="C366" t="s">
        <v>8504</v>
      </c>
      <c r="D366">
        <v>5</v>
      </c>
      <c r="E366">
        <v>3</v>
      </c>
      <c r="F366">
        <v>20</v>
      </c>
      <c r="G366" s="1" t="s">
        <v>329</v>
      </c>
      <c r="H366" s="1" t="s">
        <v>332</v>
      </c>
      <c r="I366" s="1" t="s">
        <v>8505</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8506</v>
      </c>
      <c r="AL366" s="1" t="s">
        <v>8507</v>
      </c>
      <c r="AM366" s="1">
        <v>0.3</v>
      </c>
      <c r="AN366" s="1">
        <v>0.25</v>
      </c>
      <c r="AO366" s="1">
        <v>0.12</v>
      </c>
      <c r="AP366" s="1">
        <v>0.38</v>
      </c>
      <c r="AQ366" s="1">
        <v>3</v>
      </c>
      <c r="AR366" t="s">
        <v>8508</v>
      </c>
      <c r="AS366">
        <v>0</v>
      </c>
      <c r="AT366" t="s">
        <v>8509</v>
      </c>
      <c r="AU366">
        <v>10</v>
      </c>
      <c r="AV366">
        <v>20071</v>
      </c>
      <c r="AX366">
        <v>0</v>
      </c>
    </row>
    <row r="367" spans="1:50" x14ac:dyDescent="0.25">
      <c r="A367">
        <v>368</v>
      </c>
      <c r="B367" t="s">
        <v>8522</v>
      </c>
      <c r="C367" t="s">
        <v>8523</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8533</v>
      </c>
      <c r="AH367" s="1">
        <v>3600</v>
      </c>
      <c r="AI367" t="s">
        <v>1844</v>
      </c>
      <c r="AJ367">
        <v>0</v>
      </c>
      <c r="AK367" s="1" t="s">
        <v>8524</v>
      </c>
      <c r="AL367" s="1" t="s">
        <v>8525</v>
      </c>
      <c r="AM367" s="1">
        <v>0.15</v>
      </c>
      <c r="AN367" s="1">
        <v>0.6</v>
      </c>
      <c r="AO367" s="1">
        <v>0.38</v>
      </c>
      <c r="AP367" s="1">
        <v>0.23</v>
      </c>
      <c r="AQ367" s="1">
        <v>3</v>
      </c>
      <c r="AR367" t="s">
        <v>1530</v>
      </c>
      <c r="AS367">
        <v>0</v>
      </c>
      <c r="AT367" t="s">
        <v>8526</v>
      </c>
      <c r="AU367">
        <v>10</v>
      </c>
      <c r="AV367">
        <v>19067</v>
      </c>
      <c r="AX367">
        <v>0</v>
      </c>
    </row>
    <row r="368" spans="1:50" x14ac:dyDescent="0.25">
      <c r="A368">
        <v>369</v>
      </c>
      <c r="B368" t="s">
        <v>8527</v>
      </c>
      <c r="C368" t="s">
        <v>8528</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8532</v>
      </c>
      <c r="AH368" s="1">
        <v>3300</v>
      </c>
      <c r="AI368" t="s">
        <v>1844</v>
      </c>
      <c r="AJ368">
        <v>0</v>
      </c>
      <c r="AK368" s="1" t="s">
        <v>8529</v>
      </c>
      <c r="AL368" s="1" t="s">
        <v>8530</v>
      </c>
      <c r="AM368" s="1">
        <v>0.08</v>
      </c>
      <c r="AN368" s="1">
        <v>0.5</v>
      </c>
      <c r="AO368" s="1">
        <v>0.3</v>
      </c>
      <c r="AP368" s="1">
        <v>0.3</v>
      </c>
      <c r="AQ368" s="1">
        <v>3</v>
      </c>
      <c r="AR368" t="s">
        <v>6948</v>
      </c>
      <c r="AS368">
        <v>0</v>
      </c>
      <c r="AT368" t="s">
        <v>8531</v>
      </c>
      <c r="AU368">
        <v>10</v>
      </c>
      <c r="AV368">
        <v>19068</v>
      </c>
      <c r="AX368">
        <v>0</v>
      </c>
    </row>
    <row r="369" spans="1:50" x14ac:dyDescent="0.25">
      <c r="A369">
        <v>370</v>
      </c>
      <c r="B369" t="s">
        <v>8692</v>
      </c>
      <c r="C369" t="s">
        <v>8693</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8694</v>
      </c>
      <c r="AL369" s="1" t="s">
        <v>8695</v>
      </c>
      <c r="AM369" s="1">
        <v>0.15</v>
      </c>
      <c r="AN369" s="1">
        <v>0.6</v>
      </c>
      <c r="AO369" s="1">
        <v>0.38</v>
      </c>
      <c r="AP369" s="1">
        <v>0.23</v>
      </c>
      <c r="AQ369" s="1">
        <v>3</v>
      </c>
      <c r="AR369" t="s">
        <v>1474</v>
      </c>
      <c r="AS369">
        <v>0</v>
      </c>
      <c r="AT369" t="s">
        <v>8696</v>
      </c>
      <c r="AU369">
        <v>10</v>
      </c>
      <c r="AV369">
        <v>19069</v>
      </c>
      <c r="AX369">
        <v>0</v>
      </c>
    </row>
    <row r="370" spans="1:50" x14ac:dyDescent="0.25">
      <c r="A370">
        <v>371</v>
      </c>
      <c r="B370" t="s">
        <v>8697</v>
      </c>
      <c r="C370" t="s">
        <v>8698</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8708</v>
      </c>
      <c r="AH370" s="1">
        <v>3360</v>
      </c>
      <c r="AI370" t="s">
        <v>1844</v>
      </c>
      <c r="AJ370">
        <v>0</v>
      </c>
      <c r="AK370" s="1" t="s">
        <v>8699</v>
      </c>
      <c r="AL370" s="1" t="s">
        <v>8700</v>
      </c>
      <c r="AM370" s="1">
        <v>0.55000000000000004</v>
      </c>
      <c r="AN370" s="1">
        <v>0.16</v>
      </c>
      <c r="AO370" s="1">
        <v>0.6</v>
      </c>
      <c r="AP370" s="1">
        <v>0.16</v>
      </c>
      <c r="AQ370" s="1">
        <v>3</v>
      </c>
      <c r="AR370" t="s">
        <v>8701</v>
      </c>
      <c r="AS370">
        <v>0</v>
      </c>
      <c r="AT370" t="s">
        <v>8702</v>
      </c>
      <c r="AU370">
        <v>10</v>
      </c>
      <c r="AV370">
        <v>20072</v>
      </c>
      <c r="AX370">
        <v>0</v>
      </c>
    </row>
    <row r="371" spans="1:50" x14ac:dyDescent="0.25">
      <c r="A371">
        <v>372</v>
      </c>
      <c r="B371" t="s">
        <v>8703</v>
      </c>
      <c r="C371" t="s">
        <v>8704</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8709</v>
      </c>
      <c r="AH371" s="1">
        <v>3420</v>
      </c>
      <c r="AI371" t="s">
        <v>1844</v>
      </c>
      <c r="AJ371">
        <v>0</v>
      </c>
      <c r="AK371" s="1" t="s">
        <v>8705</v>
      </c>
      <c r="AL371" s="1" t="s">
        <v>8706</v>
      </c>
      <c r="AM371" s="1">
        <v>0.08</v>
      </c>
      <c r="AN371" s="1">
        <v>0.39</v>
      </c>
      <c r="AO371" s="1">
        <v>0.08</v>
      </c>
      <c r="AP371" s="1">
        <v>0.48</v>
      </c>
      <c r="AQ371" s="1">
        <v>3</v>
      </c>
      <c r="AR371" t="s">
        <v>1471</v>
      </c>
      <c r="AS371">
        <v>0</v>
      </c>
      <c r="AT371" t="s">
        <v>8707</v>
      </c>
      <c r="AU371">
        <v>10</v>
      </c>
      <c r="AV371">
        <v>19070</v>
      </c>
      <c r="AX371">
        <v>0</v>
      </c>
    </row>
    <row r="372" spans="1:50" x14ac:dyDescent="0.25">
      <c r="A372">
        <v>373</v>
      </c>
      <c r="B372" t="s">
        <v>8710</v>
      </c>
      <c r="C372" t="s">
        <v>8711</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8712</v>
      </c>
      <c r="AM372" s="1">
        <v>0.08</v>
      </c>
      <c r="AN372" s="1">
        <v>0.5</v>
      </c>
      <c r="AO372" s="1">
        <v>0.3</v>
      </c>
      <c r="AP372" s="1">
        <v>0.3</v>
      </c>
      <c r="AQ372" s="1">
        <v>3</v>
      </c>
      <c r="AR372" t="s">
        <v>1553</v>
      </c>
      <c r="AS372">
        <v>759303</v>
      </c>
      <c r="AT372" t="s">
        <v>8713</v>
      </c>
      <c r="AU372">
        <v>10</v>
      </c>
      <c r="AV372">
        <v>19071</v>
      </c>
      <c r="AX372">
        <v>0</v>
      </c>
    </row>
    <row r="373" spans="1:50" x14ac:dyDescent="0.25">
      <c r="A373">
        <v>374</v>
      </c>
      <c r="B373" t="s">
        <v>8714</v>
      </c>
      <c r="C373" t="s">
        <v>8715</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8724</v>
      </c>
      <c r="AH373" s="1">
        <v>3060</v>
      </c>
      <c r="AI373" t="s">
        <v>1844</v>
      </c>
      <c r="AJ373">
        <v>0</v>
      </c>
      <c r="AK373" s="1" t="s">
        <v>8716</v>
      </c>
      <c r="AL373" s="1" t="s">
        <v>8717</v>
      </c>
      <c r="AM373" s="1">
        <v>0.3</v>
      </c>
      <c r="AN373" s="1">
        <v>0.23</v>
      </c>
      <c r="AO373" s="1">
        <v>0.15</v>
      </c>
      <c r="AP373" s="1">
        <v>0.38</v>
      </c>
      <c r="AQ373" s="1">
        <v>3</v>
      </c>
      <c r="AR373" t="s">
        <v>7083</v>
      </c>
      <c r="AS373">
        <v>0</v>
      </c>
      <c r="AT373" t="s">
        <v>8718</v>
      </c>
      <c r="AU373">
        <v>10</v>
      </c>
      <c r="AV373">
        <v>20073</v>
      </c>
      <c r="AX373">
        <v>0</v>
      </c>
    </row>
    <row r="374" spans="1:50" x14ac:dyDescent="0.25">
      <c r="A374">
        <v>375</v>
      </c>
      <c r="B374" t="s">
        <v>8719</v>
      </c>
      <c r="C374" t="s">
        <v>8720</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8725</v>
      </c>
      <c r="AH374" s="1">
        <v>3540</v>
      </c>
      <c r="AI374" t="s">
        <v>1844</v>
      </c>
      <c r="AJ374">
        <v>0</v>
      </c>
      <c r="AK374" s="1" t="s">
        <v>8721</v>
      </c>
      <c r="AL374" s="1" t="s">
        <v>8722</v>
      </c>
      <c r="AM374" s="1">
        <v>0.45</v>
      </c>
      <c r="AN374" s="1">
        <v>0.15</v>
      </c>
      <c r="AO374" s="1">
        <v>0.3</v>
      </c>
      <c r="AP374" s="1">
        <v>0.15</v>
      </c>
      <c r="AQ374" s="1">
        <v>3</v>
      </c>
      <c r="AR374" t="s">
        <v>1578</v>
      </c>
      <c r="AS374">
        <v>0</v>
      </c>
      <c r="AT374" t="s">
        <v>8723</v>
      </c>
      <c r="AU374">
        <v>10</v>
      </c>
      <c r="AV374">
        <v>18116</v>
      </c>
      <c r="AX374">
        <v>0</v>
      </c>
    </row>
    <row r="375" spans="1:50" x14ac:dyDescent="0.25">
      <c r="A375">
        <v>376</v>
      </c>
      <c r="B375" t="s">
        <v>8740</v>
      </c>
      <c r="C375" t="s">
        <v>8741</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8742</v>
      </c>
      <c r="AL375" s="1" t="s">
        <v>8743</v>
      </c>
      <c r="AM375" s="1">
        <v>0.23</v>
      </c>
      <c r="AN375" s="1">
        <v>0.23</v>
      </c>
      <c r="AO375" s="1">
        <v>0.33</v>
      </c>
      <c r="AP375" s="1">
        <v>0.38</v>
      </c>
      <c r="AQ375" s="1">
        <v>3</v>
      </c>
      <c r="AR375" t="s">
        <v>1478</v>
      </c>
      <c r="AS375">
        <v>0</v>
      </c>
      <c r="AT375" t="s">
        <v>8744</v>
      </c>
      <c r="AU375">
        <v>10</v>
      </c>
      <c r="AV375">
        <v>20074</v>
      </c>
      <c r="AX375">
        <v>0</v>
      </c>
    </row>
    <row r="376" spans="1:50" x14ac:dyDescent="0.25">
      <c r="A376">
        <v>377</v>
      </c>
      <c r="B376" t="s">
        <v>8745</v>
      </c>
      <c r="C376" t="s">
        <v>8746</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8747</v>
      </c>
      <c r="AM376" s="1">
        <v>0.3</v>
      </c>
      <c r="AN376" s="1">
        <v>0.23</v>
      </c>
      <c r="AO376" s="1">
        <v>0.15</v>
      </c>
      <c r="AP376" s="1">
        <v>0.38</v>
      </c>
      <c r="AQ376" s="1">
        <v>3</v>
      </c>
      <c r="AR376" t="s">
        <v>1584</v>
      </c>
      <c r="AS376">
        <v>0</v>
      </c>
      <c r="AT376" t="s">
        <v>1807</v>
      </c>
      <c r="AU376">
        <v>10</v>
      </c>
      <c r="AV376">
        <v>20075</v>
      </c>
      <c r="AX376">
        <v>0</v>
      </c>
    </row>
    <row r="377" spans="1:50" x14ac:dyDescent="0.25">
      <c r="A377">
        <v>378</v>
      </c>
      <c r="B377" t="s">
        <v>8748</v>
      </c>
      <c r="C377" t="s">
        <v>8749</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8750</v>
      </c>
      <c r="AL377" s="1" t="s">
        <v>8751</v>
      </c>
      <c r="AM377" s="1">
        <v>0.48</v>
      </c>
      <c r="AN377" s="1">
        <v>0.48</v>
      </c>
      <c r="AO377" s="1">
        <v>0.08</v>
      </c>
      <c r="AP377" s="1">
        <v>0.25</v>
      </c>
      <c r="AQ377" s="1">
        <v>3</v>
      </c>
      <c r="AR377" t="s">
        <v>1474</v>
      </c>
      <c r="AS377">
        <v>0</v>
      </c>
      <c r="AT377" t="s">
        <v>1807</v>
      </c>
      <c r="AU377">
        <v>10</v>
      </c>
      <c r="AV377">
        <v>19072</v>
      </c>
      <c r="AX377">
        <v>0</v>
      </c>
    </row>
    <row r="378" spans="1:50" x14ac:dyDescent="0.25">
      <c r="A378">
        <v>379</v>
      </c>
      <c r="B378" t="s">
        <v>8752</v>
      </c>
      <c r="C378" t="s">
        <v>8753</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8754</v>
      </c>
      <c r="AL378" s="1" t="s">
        <v>8755</v>
      </c>
      <c r="AM378" s="1">
        <v>0.3</v>
      </c>
      <c r="AN378" s="1">
        <v>0.25</v>
      </c>
      <c r="AO378" s="1">
        <v>0.12</v>
      </c>
      <c r="AP378" s="1">
        <v>0.38</v>
      </c>
      <c r="AQ378" s="1">
        <v>3</v>
      </c>
      <c r="AR378" t="s">
        <v>1758</v>
      </c>
      <c r="AS378">
        <v>0</v>
      </c>
      <c r="AT378" t="s">
        <v>1807</v>
      </c>
      <c r="AU378">
        <v>10</v>
      </c>
      <c r="AV378">
        <v>20076</v>
      </c>
      <c r="AX378">
        <v>0</v>
      </c>
    </row>
    <row r="379" spans="1:50" x14ac:dyDescent="0.25">
      <c r="A379">
        <v>380</v>
      </c>
      <c r="B379" t="s">
        <v>8790</v>
      </c>
      <c r="C379" t="s">
        <v>8791</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8806</v>
      </c>
      <c r="AH379" s="1">
        <v>3120</v>
      </c>
      <c r="AI379" t="s">
        <v>1844</v>
      </c>
      <c r="AJ379">
        <v>0</v>
      </c>
      <c r="AK379" s="1" t="s">
        <v>8789</v>
      </c>
      <c r="AL379" s="1" t="s">
        <v>8792</v>
      </c>
      <c r="AM379" s="1">
        <v>0.3</v>
      </c>
      <c r="AN379" s="1">
        <v>0.25</v>
      </c>
      <c r="AO379" s="1">
        <v>0.12</v>
      </c>
      <c r="AP379" s="1">
        <v>0.38</v>
      </c>
      <c r="AQ379" s="1">
        <v>3</v>
      </c>
      <c r="AR379" t="s">
        <v>1476</v>
      </c>
      <c r="AS379">
        <v>0</v>
      </c>
      <c r="AT379" t="s">
        <v>1807</v>
      </c>
      <c r="AU379">
        <v>10</v>
      </c>
      <c r="AV379">
        <v>20062</v>
      </c>
      <c r="AX379">
        <v>0</v>
      </c>
    </row>
    <row r="380" spans="1:50" x14ac:dyDescent="0.25">
      <c r="A380">
        <v>381</v>
      </c>
      <c r="B380" t="s">
        <v>8793</v>
      </c>
      <c r="C380" t="s">
        <v>8794</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8807</v>
      </c>
      <c r="AH380" s="1">
        <v>3120</v>
      </c>
      <c r="AI380" t="s">
        <v>1844</v>
      </c>
      <c r="AJ380">
        <v>0</v>
      </c>
      <c r="AK380" s="1" t="s">
        <v>8788</v>
      </c>
      <c r="AL380" s="1" t="s">
        <v>8795</v>
      </c>
      <c r="AM380" s="1">
        <v>0.3</v>
      </c>
      <c r="AN380" s="1">
        <v>0.25</v>
      </c>
      <c r="AO380" s="1">
        <v>0.12</v>
      </c>
      <c r="AP380" s="1">
        <v>0.38</v>
      </c>
      <c r="AQ380" s="1">
        <v>3</v>
      </c>
      <c r="AR380" t="s">
        <v>1479</v>
      </c>
      <c r="AS380">
        <v>0</v>
      </c>
      <c r="AT380" t="s">
        <v>1807</v>
      </c>
      <c r="AU380">
        <v>10</v>
      </c>
      <c r="AV380">
        <v>20079</v>
      </c>
      <c r="AX380">
        <v>0</v>
      </c>
    </row>
    <row r="381" spans="1:50" x14ac:dyDescent="0.25">
      <c r="A381">
        <v>382</v>
      </c>
      <c r="B381" t="s">
        <v>8796</v>
      </c>
      <c r="C381" t="s">
        <v>8797</v>
      </c>
      <c r="D381">
        <v>5</v>
      </c>
      <c r="E381">
        <v>2</v>
      </c>
      <c r="F381">
        <v>19</v>
      </c>
      <c r="G381" s="1" t="s">
        <v>329</v>
      </c>
      <c r="H381" s="1" t="s">
        <v>329</v>
      </c>
      <c r="I381" s="1" t="s">
        <v>329</v>
      </c>
      <c r="J381" s="1" t="s">
        <v>329</v>
      </c>
      <c r="K381" s="1" t="s">
        <v>329</v>
      </c>
      <c r="L381" s="1" t="s">
        <v>339</v>
      </c>
      <c r="M381" s="1" t="s">
        <v>329</v>
      </c>
      <c r="N381" s="1" t="s">
        <v>8798</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8775</v>
      </c>
      <c r="AH381" s="1">
        <v>3300</v>
      </c>
      <c r="AI381" t="s">
        <v>1844</v>
      </c>
      <c r="AJ381">
        <v>0</v>
      </c>
      <c r="AK381" s="1" t="s">
        <v>8799</v>
      </c>
      <c r="AL381" s="1" t="s">
        <v>8800</v>
      </c>
      <c r="AM381" s="1">
        <v>0.08</v>
      </c>
      <c r="AN381" s="1">
        <v>0.5</v>
      </c>
      <c r="AO381" s="1">
        <v>0.3</v>
      </c>
      <c r="AP381" s="1">
        <v>0.3</v>
      </c>
      <c r="AQ381" s="1">
        <v>3</v>
      </c>
      <c r="AR381" t="s">
        <v>8300</v>
      </c>
      <c r="AS381">
        <v>0</v>
      </c>
      <c r="AT381" t="s">
        <v>1807</v>
      </c>
      <c r="AU381">
        <v>10</v>
      </c>
      <c r="AV381">
        <v>19073</v>
      </c>
      <c r="AX381">
        <v>0</v>
      </c>
    </row>
    <row r="382" spans="1:50" x14ac:dyDescent="0.25">
      <c r="A382">
        <v>383</v>
      </c>
      <c r="B382" t="s">
        <v>8801</v>
      </c>
      <c r="C382" t="s">
        <v>8802</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8781</v>
      </c>
      <c r="AH382" s="1">
        <v>3060</v>
      </c>
      <c r="AI382" t="s">
        <v>1844</v>
      </c>
      <c r="AJ382">
        <v>0</v>
      </c>
      <c r="AK382" s="1" t="s">
        <v>8803</v>
      </c>
      <c r="AL382" s="1" t="s">
        <v>8804</v>
      </c>
      <c r="AM382" s="1">
        <v>0.3</v>
      </c>
      <c r="AN382" s="1">
        <v>0.23</v>
      </c>
      <c r="AO382" s="1">
        <v>0.15</v>
      </c>
      <c r="AP382" s="1">
        <v>0.38</v>
      </c>
      <c r="AQ382" s="1">
        <v>3</v>
      </c>
      <c r="AR382" t="s">
        <v>8805</v>
      </c>
      <c r="AS382">
        <v>0</v>
      </c>
      <c r="AT382" t="s">
        <v>1807</v>
      </c>
      <c r="AU382">
        <v>10</v>
      </c>
      <c r="AV382">
        <v>20080</v>
      </c>
      <c r="AX382">
        <v>0</v>
      </c>
    </row>
    <row r="383" spans="1:50" x14ac:dyDescent="0.25">
      <c r="A383">
        <v>384</v>
      </c>
      <c r="B383" t="s">
        <v>8818</v>
      </c>
      <c r="C383" t="s">
        <v>8819</v>
      </c>
      <c r="D383">
        <v>5</v>
      </c>
      <c r="E383">
        <v>3</v>
      </c>
      <c r="F383">
        <v>20</v>
      </c>
      <c r="G383" s="1" t="s">
        <v>329</v>
      </c>
      <c r="H383" s="1" t="s">
        <v>409</v>
      </c>
      <c r="I383" s="1" t="s">
        <v>364</v>
      </c>
      <c r="J383" s="1" t="s">
        <v>329</v>
      </c>
      <c r="K383" s="1" t="s">
        <v>329</v>
      </c>
      <c r="L383" s="1" t="s">
        <v>329</v>
      </c>
      <c r="M383" s="1" t="s">
        <v>329</v>
      </c>
      <c r="N383" s="1" t="s">
        <v>329</v>
      </c>
      <c r="O383" s="1" t="s">
        <v>329</v>
      </c>
      <c r="P383" s="1" t="s">
        <v>329</v>
      </c>
      <c r="Q383" s="1" t="s">
        <v>329</v>
      </c>
      <c r="R383" s="1" t="s">
        <v>329</v>
      </c>
      <c r="S383" s="1" t="s">
        <v>329</v>
      </c>
      <c r="T383" s="1" t="s">
        <v>329</v>
      </c>
      <c r="U383" s="1">
        <v>0</v>
      </c>
      <c r="V383" s="1">
        <v>0</v>
      </c>
      <c r="W383" s="1">
        <v>0</v>
      </c>
      <c r="X383" s="1">
        <v>0</v>
      </c>
      <c r="Y383" s="1">
        <v>0</v>
      </c>
      <c r="Z383" s="1">
        <v>0</v>
      </c>
      <c r="AA383" s="1">
        <v>0</v>
      </c>
      <c r="AB383" s="1">
        <v>0</v>
      </c>
      <c r="AC383" s="1">
        <v>4</v>
      </c>
      <c r="AD383" s="1">
        <v>2</v>
      </c>
      <c r="AE383" s="1">
        <v>0</v>
      </c>
      <c r="AF383" s="1">
        <v>4</v>
      </c>
      <c r="AG383" s="242" t="s">
        <v>8829</v>
      </c>
      <c r="AH383" s="1">
        <v>3120</v>
      </c>
      <c r="AI383" t="s">
        <v>1844</v>
      </c>
      <c r="AJ383">
        <v>0</v>
      </c>
      <c r="AK383" s="1" t="s">
        <v>8820</v>
      </c>
      <c r="AL383" s="1" t="s">
        <v>8821</v>
      </c>
      <c r="AM383" s="1">
        <v>0.3</v>
      </c>
      <c r="AN383" s="1">
        <v>0.25</v>
      </c>
      <c r="AO383" s="1">
        <v>0.12</v>
      </c>
      <c r="AP383" s="1">
        <v>0.38</v>
      </c>
      <c r="AQ383" s="1">
        <v>3</v>
      </c>
      <c r="AR383" t="s">
        <v>1479</v>
      </c>
      <c r="AS383">
        <v>0</v>
      </c>
      <c r="AT383" t="s">
        <v>8822</v>
      </c>
      <c r="AU383">
        <v>10</v>
      </c>
      <c r="AV383">
        <v>20081</v>
      </c>
      <c r="AX383">
        <v>0</v>
      </c>
    </row>
    <row r="384" spans="1:50" x14ac:dyDescent="0.25">
      <c r="A384">
        <v>385</v>
      </c>
      <c r="B384" t="s">
        <v>8823</v>
      </c>
      <c r="C384" t="s">
        <v>8824</v>
      </c>
      <c r="D384">
        <v>5</v>
      </c>
      <c r="E384">
        <v>3</v>
      </c>
      <c r="F384">
        <v>20</v>
      </c>
      <c r="G384" s="1" t="s">
        <v>329</v>
      </c>
      <c r="H384" s="1" t="s">
        <v>329</v>
      </c>
      <c r="I384" s="1" t="s">
        <v>329</v>
      </c>
      <c r="J384" s="1" t="s">
        <v>329</v>
      </c>
      <c r="K384" s="1" t="s">
        <v>329</v>
      </c>
      <c r="L384" s="1" t="s">
        <v>339</v>
      </c>
      <c r="M384" s="1" t="s">
        <v>329</v>
      </c>
      <c r="N384" s="1" t="s">
        <v>329</v>
      </c>
      <c r="O384" s="1" t="s">
        <v>329</v>
      </c>
      <c r="P384" s="1" t="s">
        <v>329</v>
      </c>
      <c r="Q384" s="1" t="s">
        <v>329</v>
      </c>
      <c r="R384" s="1" t="s">
        <v>329</v>
      </c>
      <c r="S384" s="1" t="s">
        <v>329</v>
      </c>
      <c r="T384" s="1" t="s">
        <v>355</v>
      </c>
      <c r="U384" s="1">
        <v>0</v>
      </c>
      <c r="V384" s="1">
        <v>0</v>
      </c>
      <c r="W384" s="1">
        <v>0</v>
      </c>
      <c r="X384" s="1">
        <v>0</v>
      </c>
      <c r="Y384" s="1">
        <v>0</v>
      </c>
      <c r="Z384" s="1">
        <v>0</v>
      </c>
      <c r="AA384" s="1">
        <v>0</v>
      </c>
      <c r="AB384" s="1">
        <v>0</v>
      </c>
      <c r="AC384" s="1">
        <v>1</v>
      </c>
      <c r="AD384" s="1">
        <v>1</v>
      </c>
      <c r="AE384" s="1">
        <v>1</v>
      </c>
      <c r="AF384" s="1">
        <v>5</v>
      </c>
      <c r="AG384" s="242" t="s">
        <v>8830</v>
      </c>
      <c r="AH384" s="1">
        <v>3420</v>
      </c>
      <c r="AI384" t="s">
        <v>1844</v>
      </c>
      <c r="AJ384">
        <v>0</v>
      </c>
      <c r="AK384" s="1" t="s">
        <v>8825</v>
      </c>
      <c r="AL384" s="1" t="s">
        <v>8826</v>
      </c>
      <c r="AM384" s="1">
        <v>0.1</v>
      </c>
      <c r="AN384" s="1">
        <v>0.1</v>
      </c>
      <c r="AO384" s="1">
        <v>0.1</v>
      </c>
      <c r="AP384" s="1">
        <v>0.55000000000000004</v>
      </c>
      <c r="AQ384" s="1">
        <v>3</v>
      </c>
      <c r="AR384" t="s">
        <v>8827</v>
      </c>
      <c r="AS384">
        <v>0</v>
      </c>
      <c r="AT384" t="s">
        <v>8828</v>
      </c>
      <c r="AU384">
        <v>10</v>
      </c>
      <c r="AV384">
        <v>20082</v>
      </c>
      <c r="AX384">
        <v>0</v>
      </c>
    </row>
    <row r="385" spans="1:50" x14ac:dyDescent="0.25">
      <c r="A385">
        <v>386</v>
      </c>
      <c r="B385" t="s">
        <v>8854</v>
      </c>
      <c r="C385" t="s">
        <v>8855</v>
      </c>
      <c r="D385">
        <v>5</v>
      </c>
      <c r="E385">
        <v>1</v>
      </c>
      <c r="F385">
        <v>18</v>
      </c>
      <c r="G385" s="1" t="s">
        <v>329</v>
      </c>
      <c r="H385" s="1" t="s">
        <v>362</v>
      </c>
      <c r="I385" s="1" t="s">
        <v>329</v>
      </c>
      <c r="J385" s="1" t="s">
        <v>329</v>
      </c>
      <c r="K385" s="1" t="s">
        <v>329</v>
      </c>
      <c r="L385" s="1" t="s">
        <v>329</v>
      </c>
      <c r="M385" s="1" t="s">
        <v>1739</v>
      </c>
      <c r="N385" s="1" t="s">
        <v>329</v>
      </c>
      <c r="O385" s="1" t="s">
        <v>329</v>
      </c>
      <c r="P385" s="1" t="s">
        <v>329</v>
      </c>
      <c r="Q385" s="1" t="s">
        <v>329</v>
      </c>
      <c r="R385" s="1" t="s">
        <v>329</v>
      </c>
      <c r="S385" s="1" t="s">
        <v>329</v>
      </c>
      <c r="T385" s="1" t="s">
        <v>329</v>
      </c>
      <c r="U385" s="1">
        <v>0</v>
      </c>
      <c r="V385" s="1">
        <v>0</v>
      </c>
      <c r="W385" s="1">
        <v>0</v>
      </c>
      <c r="X385" s="1">
        <v>0</v>
      </c>
      <c r="Y385" s="1">
        <v>0</v>
      </c>
      <c r="Z385" s="1">
        <v>0</v>
      </c>
      <c r="AA385" s="1">
        <v>0</v>
      </c>
      <c r="AB385" s="1">
        <v>0</v>
      </c>
      <c r="AC385" s="1">
        <v>4</v>
      </c>
      <c r="AD385" s="1">
        <v>0</v>
      </c>
      <c r="AE385" s="1">
        <v>3</v>
      </c>
      <c r="AF385" s="1">
        <v>2</v>
      </c>
      <c r="AG385" s="242" t="s">
        <v>301</v>
      </c>
      <c r="AH385" s="1">
        <v>3600</v>
      </c>
      <c r="AI385" t="s">
        <v>1844</v>
      </c>
      <c r="AJ385">
        <v>0</v>
      </c>
      <c r="AK385" s="1" t="s">
        <v>8856</v>
      </c>
      <c r="AL385" s="1" t="s">
        <v>8857</v>
      </c>
      <c r="AM385" s="1">
        <v>0.45</v>
      </c>
      <c r="AN385" s="1">
        <v>0.15</v>
      </c>
      <c r="AO385" s="1">
        <v>0.3</v>
      </c>
      <c r="AP385" s="1">
        <v>0.15</v>
      </c>
      <c r="AQ385" s="1">
        <v>3</v>
      </c>
      <c r="AR385" t="s">
        <v>1515</v>
      </c>
      <c r="AS385">
        <v>0</v>
      </c>
      <c r="AT385" t="s">
        <v>8858</v>
      </c>
      <c r="AU385">
        <v>10</v>
      </c>
      <c r="AV385">
        <v>18118</v>
      </c>
      <c r="AX385">
        <v>0</v>
      </c>
    </row>
    <row r="386" spans="1:50" x14ac:dyDescent="0.25">
      <c r="A386">
        <v>387</v>
      </c>
      <c r="B386" t="s">
        <v>8859</v>
      </c>
      <c r="C386" t="s">
        <v>8860</v>
      </c>
      <c r="D386">
        <v>5</v>
      </c>
      <c r="E386">
        <v>3</v>
      </c>
      <c r="F386">
        <v>20</v>
      </c>
      <c r="G386" s="1" t="s">
        <v>343</v>
      </c>
      <c r="H386" s="1" t="s">
        <v>329</v>
      </c>
      <c r="I386" s="1" t="s">
        <v>439</v>
      </c>
      <c r="J386" s="1" t="s">
        <v>329</v>
      </c>
      <c r="K386" s="1" t="s">
        <v>329</v>
      </c>
      <c r="L386" s="1" t="s">
        <v>329</v>
      </c>
      <c r="M386" s="1" t="s">
        <v>329</v>
      </c>
      <c r="N386" s="1" t="s">
        <v>329</v>
      </c>
      <c r="O386" s="1" t="s">
        <v>329</v>
      </c>
      <c r="P386" s="1" t="s">
        <v>329</v>
      </c>
      <c r="Q386" s="1" t="s">
        <v>329</v>
      </c>
      <c r="R386" s="1" t="s">
        <v>329</v>
      </c>
      <c r="S386" s="1" t="s">
        <v>329</v>
      </c>
      <c r="T386" s="1" t="s">
        <v>329</v>
      </c>
      <c r="U386" s="1">
        <v>0</v>
      </c>
      <c r="V386" s="1">
        <v>0</v>
      </c>
      <c r="W386" s="1">
        <v>0</v>
      </c>
      <c r="X386" s="1">
        <v>0</v>
      </c>
      <c r="Y386" s="1">
        <v>0</v>
      </c>
      <c r="Z386" s="1">
        <v>0</v>
      </c>
      <c r="AA386" s="1">
        <v>0</v>
      </c>
      <c r="AB386" s="1">
        <v>0</v>
      </c>
      <c r="AC386" s="1">
        <v>4</v>
      </c>
      <c r="AD386" s="1">
        <v>2</v>
      </c>
      <c r="AE386" s="1">
        <v>0</v>
      </c>
      <c r="AF386" s="1">
        <v>4</v>
      </c>
      <c r="AG386" s="242" t="s">
        <v>8832</v>
      </c>
      <c r="AH386" s="1">
        <v>3600</v>
      </c>
      <c r="AI386" t="s">
        <v>1844</v>
      </c>
      <c r="AJ386">
        <v>0</v>
      </c>
      <c r="AK386" s="1" t="s">
        <v>8861</v>
      </c>
      <c r="AL386" s="1" t="s">
        <v>8862</v>
      </c>
      <c r="AM386" s="1">
        <v>0.3</v>
      </c>
      <c r="AN386" s="1">
        <v>0.23</v>
      </c>
      <c r="AO386" s="1">
        <v>0.15</v>
      </c>
      <c r="AP386" s="1">
        <v>0.38</v>
      </c>
      <c r="AQ386" s="1">
        <v>3</v>
      </c>
      <c r="AR386" t="s">
        <v>1758</v>
      </c>
      <c r="AS386">
        <v>0</v>
      </c>
      <c r="AT386" t="s">
        <v>1807</v>
      </c>
      <c r="AU386">
        <v>10</v>
      </c>
      <c r="AV386">
        <v>20077</v>
      </c>
      <c r="AX386">
        <v>0</v>
      </c>
    </row>
    <row r="387" spans="1:50" x14ac:dyDescent="0.25">
      <c r="A387">
        <v>388</v>
      </c>
      <c r="B387" t="s">
        <v>8863</v>
      </c>
      <c r="C387" t="s">
        <v>8864</v>
      </c>
      <c r="D387">
        <v>5</v>
      </c>
      <c r="E387">
        <v>3</v>
      </c>
      <c r="F387">
        <v>20</v>
      </c>
      <c r="G387" s="1" t="s">
        <v>325</v>
      </c>
      <c r="H387" s="1" t="s">
        <v>329</v>
      </c>
      <c r="I387" s="1" t="s">
        <v>329</v>
      </c>
      <c r="J387" s="1" t="s">
        <v>329</v>
      </c>
      <c r="K387" s="1" t="s">
        <v>377</v>
      </c>
      <c r="L387" s="1" t="s">
        <v>398</v>
      </c>
      <c r="M387" s="1" t="s">
        <v>329</v>
      </c>
      <c r="N387" s="1" t="s">
        <v>329</v>
      </c>
      <c r="O387" s="1" t="s">
        <v>329</v>
      </c>
      <c r="P387" s="1" t="s">
        <v>329</v>
      </c>
      <c r="Q387" s="1" t="s">
        <v>329</v>
      </c>
      <c r="R387" s="1" t="s">
        <v>329</v>
      </c>
      <c r="S387" s="1" t="s">
        <v>329</v>
      </c>
      <c r="T387" s="1" t="s">
        <v>329</v>
      </c>
      <c r="U387" s="1">
        <v>0</v>
      </c>
      <c r="V387" s="1">
        <v>0</v>
      </c>
      <c r="W387" s="1">
        <v>0</v>
      </c>
      <c r="X387" s="1">
        <v>0</v>
      </c>
      <c r="Y387" s="1">
        <v>0</v>
      </c>
      <c r="Z387" s="1">
        <v>0</v>
      </c>
      <c r="AA387" s="1">
        <v>0</v>
      </c>
      <c r="AB387" s="1">
        <v>0</v>
      </c>
      <c r="AC387" s="1">
        <v>4</v>
      </c>
      <c r="AD387" s="1">
        <v>3</v>
      </c>
      <c r="AE387" s="1">
        <v>0</v>
      </c>
      <c r="AF387" s="1">
        <v>2</v>
      </c>
      <c r="AG387" s="242" t="s">
        <v>8840</v>
      </c>
      <c r="AH387" s="1">
        <v>3060</v>
      </c>
      <c r="AI387" t="s">
        <v>1844</v>
      </c>
      <c r="AJ387">
        <v>0</v>
      </c>
      <c r="AK387" s="1" t="s">
        <v>8865</v>
      </c>
      <c r="AL387" s="1" t="s">
        <v>8866</v>
      </c>
      <c r="AM387" s="1">
        <v>0.3</v>
      </c>
      <c r="AN387" s="1">
        <v>0.23</v>
      </c>
      <c r="AO387" s="1">
        <v>0.15</v>
      </c>
      <c r="AP387" s="1">
        <v>0.38</v>
      </c>
      <c r="AQ387" s="1">
        <v>3</v>
      </c>
      <c r="AR387" t="s">
        <v>7083</v>
      </c>
      <c r="AS387">
        <v>0</v>
      </c>
      <c r="AT387" t="s">
        <v>1807</v>
      </c>
      <c r="AU387">
        <v>10</v>
      </c>
      <c r="AV387">
        <v>20078</v>
      </c>
      <c r="AX387">
        <v>0</v>
      </c>
    </row>
    <row r="388" spans="1:50" x14ac:dyDescent="0.25">
      <c r="A388">
        <v>389</v>
      </c>
      <c r="B388" t="s">
        <v>8867</v>
      </c>
      <c r="C388" t="s">
        <v>8868</v>
      </c>
      <c r="D388">
        <v>5</v>
      </c>
      <c r="E388">
        <v>1</v>
      </c>
      <c r="F388">
        <v>18</v>
      </c>
      <c r="G388" s="1" t="s">
        <v>336</v>
      </c>
      <c r="H388" s="1" t="s">
        <v>471</v>
      </c>
      <c r="I388" s="1" t="s">
        <v>329</v>
      </c>
      <c r="J388" s="1" t="s">
        <v>329</v>
      </c>
      <c r="K388" s="1" t="s">
        <v>329</v>
      </c>
      <c r="L388" s="1" t="s">
        <v>329</v>
      </c>
      <c r="M388" s="1" t="s">
        <v>398</v>
      </c>
      <c r="N388" s="1" t="s">
        <v>329</v>
      </c>
      <c r="O388" s="1" t="s">
        <v>329</v>
      </c>
      <c r="P388" s="1" t="s">
        <v>329</v>
      </c>
      <c r="Q388" s="1" t="s">
        <v>329</v>
      </c>
      <c r="R388" s="1" t="s">
        <v>329</v>
      </c>
      <c r="S388" s="1" t="s">
        <v>329</v>
      </c>
      <c r="T388" s="1" t="s">
        <v>329</v>
      </c>
      <c r="U388" s="1">
        <v>0</v>
      </c>
      <c r="V388" s="1">
        <v>0</v>
      </c>
      <c r="W388" s="1">
        <v>0</v>
      </c>
      <c r="X388" s="1">
        <v>0</v>
      </c>
      <c r="Y388" s="1">
        <v>0</v>
      </c>
      <c r="Z388" s="1">
        <v>0</v>
      </c>
      <c r="AA388" s="1">
        <v>0</v>
      </c>
      <c r="AB388" s="1">
        <v>0</v>
      </c>
      <c r="AC388" s="1">
        <v>4</v>
      </c>
      <c r="AD388" s="1">
        <v>0</v>
      </c>
      <c r="AE388" s="1">
        <v>3</v>
      </c>
      <c r="AF388" s="1">
        <v>2</v>
      </c>
      <c r="AG388" s="242" t="s">
        <v>8871</v>
      </c>
      <c r="AH388" s="1">
        <v>2700</v>
      </c>
      <c r="AI388" t="s">
        <v>1844</v>
      </c>
      <c r="AJ388">
        <v>0</v>
      </c>
      <c r="AK388" s="1" t="s">
        <v>8869</v>
      </c>
      <c r="AL388" s="1" t="s">
        <v>8870</v>
      </c>
      <c r="AM388" s="1">
        <v>0.45</v>
      </c>
      <c r="AN388" s="1">
        <v>0.15</v>
      </c>
      <c r="AO388" s="1">
        <v>0.3</v>
      </c>
      <c r="AP388" s="1">
        <v>0.15</v>
      </c>
      <c r="AQ388" s="1">
        <v>3</v>
      </c>
      <c r="AR388" t="s">
        <v>1562</v>
      </c>
      <c r="AS388">
        <v>0</v>
      </c>
      <c r="AT388" t="s">
        <v>1807</v>
      </c>
      <c r="AU388">
        <v>10</v>
      </c>
      <c r="AV388">
        <v>18117</v>
      </c>
      <c r="AX388">
        <v>0</v>
      </c>
    </row>
    <row r="389" spans="1:50" x14ac:dyDescent="0.25">
      <c r="A389">
        <v>390</v>
      </c>
      <c r="B389" t="s">
        <v>8872</v>
      </c>
      <c r="C389" t="s">
        <v>8873</v>
      </c>
      <c r="D389">
        <v>5</v>
      </c>
      <c r="E389">
        <v>3</v>
      </c>
      <c r="F389">
        <v>20</v>
      </c>
      <c r="G389" s="1" t="s">
        <v>390</v>
      </c>
      <c r="H389" s="1" t="s">
        <v>336</v>
      </c>
      <c r="I389" s="1" t="s">
        <v>403</v>
      </c>
      <c r="J389" s="1" t="s">
        <v>329</v>
      </c>
      <c r="K389" s="1" t="s">
        <v>329</v>
      </c>
      <c r="L389" s="1" t="s">
        <v>329</v>
      </c>
      <c r="M389" s="1" t="s">
        <v>329</v>
      </c>
      <c r="N389" s="1" t="s">
        <v>329</v>
      </c>
      <c r="O389" s="1" t="s">
        <v>329</v>
      </c>
      <c r="P389" s="1" t="s">
        <v>329</v>
      </c>
      <c r="Q389" s="1" t="s">
        <v>329</v>
      </c>
      <c r="R389" s="1" t="s">
        <v>329</v>
      </c>
      <c r="S389" s="1" t="s">
        <v>329</v>
      </c>
      <c r="T389" s="1" t="s">
        <v>329</v>
      </c>
      <c r="U389" s="1">
        <v>0</v>
      </c>
      <c r="V389" s="1">
        <v>0</v>
      </c>
      <c r="W389" s="1">
        <v>0</v>
      </c>
      <c r="X389" s="1">
        <v>0</v>
      </c>
      <c r="Y389" s="1">
        <v>0</v>
      </c>
      <c r="Z389" s="1">
        <v>0</v>
      </c>
      <c r="AA389" s="1">
        <v>0</v>
      </c>
      <c r="AB389" s="1">
        <v>0</v>
      </c>
      <c r="AC389" s="1">
        <v>4</v>
      </c>
      <c r="AD389" s="1">
        <v>2</v>
      </c>
      <c r="AE389" s="1">
        <v>0</v>
      </c>
      <c r="AF389" s="1">
        <v>4</v>
      </c>
      <c r="AG389" s="242" t="s">
        <v>8883</v>
      </c>
      <c r="AH389" s="1">
        <v>3600</v>
      </c>
      <c r="AI389" t="s">
        <v>1844</v>
      </c>
      <c r="AJ389">
        <v>0</v>
      </c>
      <c r="AK389" s="1" t="s">
        <v>8874</v>
      </c>
      <c r="AL389" s="1" t="s">
        <v>8875</v>
      </c>
      <c r="AM389" s="1">
        <v>0.3</v>
      </c>
      <c r="AN389" s="1">
        <v>0.25</v>
      </c>
      <c r="AO389" s="1">
        <v>0.12</v>
      </c>
      <c r="AP389" s="1">
        <v>0.38</v>
      </c>
      <c r="AQ389" s="1">
        <v>3</v>
      </c>
      <c r="AR389" t="s">
        <v>8876</v>
      </c>
      <c r="AS389">
        <v>0</v>
      </c>
      <c r="AT389" t="s">
        <v>8877</v>
      </c>
      <c r="AU389">
        <v>10</v>
      </c>
      <c r="AV389">
        <v>20079</v>
      </c>
      <c r="AX389">
        <v>0</v>
      </c>
    </row>
    <row r="390" spans="1:50" x14ac:dyDescent="0.25">
      <c r="A390">
        <v>391</v>
      </c>
      <c r="B390" t="s">
        <v>8878</v>
      </c>
      <c r="C390" t="s">
        <v>8879</v>
      </c>
      <c r="D390">
        <v>5</v>
      </c>
      <c r="E390">
        <v>2</v>
      </c>
      <c r="F390">
        <v>19</v>
      </c>
      <c r="G390" s="1" t="s">
        <v>329</v>
      </c>
      <c r="H390" s="1" t="s">
        <v>386</v>
      </c>
      <c r="I390" s="1" t="s">
        <v>329</v>
      </c>
      <c r="J390" s="1" t="s">
        <v>329</v>
      </c>
      <c r="K390" s="1" t="s">
        <v>329</v>
      </c>
      <c r="L390" s="1" t="s">
        <v>329</v>
      </c>
      <c r="M390" s="1" t="s">
        <v>329</v>
      </c>
      <c r="N390" s="1" t="s">
        <v>329</v>
      </c>
      <c r="O390" s="1" t="s">
        <v>329</v>
      </c>
      <c r="P390" s="1" t="s">
        <v>329</v>
      </c>
      <c r="Q390" s="1" t="s">
        <v>329</v>
      </c>
      <c r="R390" s="1" t="s">
        <v>329</v>
      </c>
      <c r="S390" s="1" t="s">
        <v>329</v>
      </c>
      <c r="T390" s="1" t="s">
        <v>329</v>
      </c>
      <c r="U390" s="1">
        <v>0</v>
      </c>
      <c r="V390" s="1">
        <v>150</v>
      </c>
      <c r="W390" s="1">
        <v>0</v>
      </c>
      <c r="X390" s="1">
        <v>0</v>
      </c>
      <c r="Y390" s="1">
        <v>0</v>
      </c>
      <c r="Z390" s="1">
        <v>0</v>
      </c>
      <c r="AA390" s="1">
        <v>0</v>
      </c>
      <c r="AB390" s="1">
        <v>0</v>
      </c>
      <c r="AC390" s="1">
        <v>4</v>
      </c>
      <c r="AD390" s="1">
        <v>4</v>
      </c>
      <c r="AE390" s="1">
        <v>0</v>
      </c>
      <c r="AF390" s="1">
        <v>2</v>
      </c>
      <c r="AG390" s="242" t="s">
        <v>8884</v>
      </c>
      <c r="AH390" s="1">
        <v>3600</v>
      </c>
      <c r="AI390" t="s">
        <v>1919</v>
      </c>
      <c r="AJ390">
        <v>0</v>
      </c>
      <c r="AK390" s="1" t="s">
        <v>8880</v>
      </c>
      <c r="AL390" s="1" t="s">
        <v>8881</v>
      </c>
      <c r="AM390" s="1">
        <v>0.48</v>
      </c>
      <c r="AN390" s="1">
        <v>0.48</v>
      </c>
      <c r="AO390" s="1">
        <v>0.08</v>
      </c>
      <c r="AP390" s="1">
        <v>0.25</v>
      </c>
      <c r="AQ390" s="1">
        <v>3</v>
      </c>
      <c r="AR390" t="s">
        <v>1494</v>
      </c>
      <c r="AS390">
        <v>0</v>
      </c>
      <c r="AT390" t="s">
        <v>8882</v>
      </c>
      <c r="AU390">
        <v>10</v>
      </c>
      <c r="AV390">
        <v>19074</v>
      </c>
      <c r="AX390">
        <v>0</v>
      </c>
    </row>
    <row r="391" spans="1:50" x14ac:dyDescent="0.25">
      <c r="A391">
        <v>392</v>
      </c>
      <c r="B391" t="s">
        <v>8885</v>
      </c>
      <c r="C391" t="s">
        <v>8886</v>
      </c>
      <c r="D391">
        <v>5</v>
      </c>
      <c r="E391">
        <v>2</v>
      </c>
      <c r="F391">
        <v>19</v>
      </c>
      <c r="G391" s="1" t="s">
        <v>386</v>
      </c>
      <c r="H391" s="1" t="s">
        <v>329</v>
      </c>
      <c r="I391" s="1" t="s">
        <v>329</v>
      </c>
      <c r="J391" s="1" t="s">
        <v>329</v>
      </c>
      <c r="K391" s="1" t="s">
        <v>329</v>
      </c>
      <c r="L391" s="1" t="s">
        <v>329</v>
      </c>
      <c r="M391" s="1" t="s">
        <v>329</v>
      </c>
      <c r="N391" s="1" t="s">
        <v>387</v>
      </c>
      <c r="O391" s="1" t="s">
        <v>329</v>
      </c>
      <c r="P391" s="1" t="s">
        <v>329</v>
      </c>
      <c r="Q391" s="1" t="s">
        <v>329</v>
      </c>
      <c r="R391" s="1" t="s">
        <v>329</v>
      </c>
      <c r="S391" s="1" t="s">
        <v>329</v>
      </c>
      <c r="T391" s="1" t="s">
        <v>329</v>
      </c>
      <c r="U391" s="1">
        <v>0</v>
      </c>
      <c r="V391" s="1">
        <v>0</v>
      </c>
      <c r="W391" s="1">
        <v>0</v>
      </c>
      <c r="X391" s="1">
        <v>0</v>
      </c>
      <c r="Y391" s="1">
        <v>0</v>
      </c>
      <c r="Z391" s="1">
        <v>0</v>
      </c>
      <c r="AA391" s="1">
        <v>0</v>
      </c>
      <c r="AB391" s="1">
        <v>0</v>
      </c>
      <c r="AC391" s="1">
        <v>4</v>
      </c>
      <c r="AD391" s="1">
        <v>4</v>
      </c>
      <c r="AE391" s="1">
        <v>0</v>
      </c>
      <c r="AF391" s="1">
        <v>2</v>
      </c>
      <c r="AG391" s="242" t="s">
        <v>144</v>
      </c>
      <c r="AH391" s="1">
        <v>3600</v>
      </c>
      <c r="AI391" t="s">
        <v>1844</v>
      </c>
      <c r="AJ391">
        <v>0</v>
      </c>
      <c r="AK391" s="1" t="s">
        <v>8887</v>
      </c>
      <c r="AL391" s="1" t="s">
        <v>8888</v>
      </c>
      <c r="AM391" s="1">
        <v>0.48</v>
      </c>
      <c r="AN391" s="1">
        <v>0.48</v>
      </c>
      <c r="AO391" s="1">
        <v>0.08</v>
      </c>
      <c r="AP391" s="1">
        <v>0.25</v>
      </c>
      <c r="AQ391" s="1">
        <v>3</v>
      </c>
      <c r="AR391" t="s">
        <v>1490</v>
      </c>
      <c r="AS391">
        <v>0</v>
      </c>
      <c r="AT391" t="s">
        <v>8889</v>
      </c>
      <c r="AU391">
        <v>10</v>
      </c>
      <c r="AV391">
        <v>19075</v>
      </c>
      <c r="AX391">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5"/>
  <sheetViews>
    <sheetView workbookViewId="0">
      <pane ySplit="1" topLeftCell="A606" activePane="bottomLeft" state="frozen"/>
      <selection activeCell="AV2" sqref="AV2"/>
      <selection pane="bottomLeft" activeCell="AV2" sqref="AV2"/>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224</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8663</v>
      </c>
      <c r="C614" s="242" t="s">
        <v>8664</v>
      </c>
      <c r="D614" t="s">
        <v>8664</v>
      </c>
      <c r="E614" t="s">
        <v>329</v>
      </c>
      <c r="F614" t="s">
        <v>329</v>
      </c>
      <c r="G614" t="s">
        <v>8665</v>
      </c>
      <c r="H614" t="s">
        <v>8666</v>
      </c>
      <c r="I614" t="s">
        <v>8667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8668</v>
      </c>
      <c r="AK614" t="s">
        <v>329</v>
      </c>
      <c r="AL614">
        <v>18</v>
      </c>
      <c r="AM614" t="s">
        <v>4859</v>
      </c>
      <c r="AN614" t="s">
        <v>4985</v>
      </c>
      <c r="AO614" t="s">
        <v>5206</v>
      </c>
      <c r="AP614">
        <v>0</v>
      </c>
      <c r="AQ614" t="s">
        <v>1168</v>
      </c>
      <c r="AR614" t="s">
        <v>1169</v>
      </c>
      <c r="AS614" t="s">
        <v>6972</v>
      </c>
      <c r="AT614" t="s">
        <v>329</v>
      </c>
      <c r="AU614">
        <v>238</v>
      </c>
      <c r="AV614">
        <v>0</v>
      </c>
      <c r="AW614" t="s">
        <v>8669</v>
      </c>
      <c r="AX614" t="s">
        <v>332</v>
      </c>
      <c r="AY614">
        <v>5</v>
      </c>
      <c r="AZ614">
        <v>0</v>
      </c>
      <c r="BA614" t="s">
        <v>329</v>
      </c>
      <c r="BB614" t="s">
        <v>329</v>
      </c>
      <c r="BC614" t="s">
        <v>329</v>
      </c>
      <c r="BD614">
        <v>10403</v>
      </c>
      <c r="BE614">
        <v>0</v>
      </c>
    </row>
    <row r="615" spans="1:57" x14ac:dyDescent="0.25">
      <c r="A615">
        <v>396</v>
      </c>
      <c r="B615" t="s">
        <v>8670</v>
      </c>
      <c r="C615" s="242" t="s">
        <v>8671</v>
      </c>
      <c r="D615" t="s">
        <v>8671</v>
      </c>
      <c r="E615" t="s">
        <v>329</v>
      </c>
      <c r="F615" t="s">
        <v>329</v>
      </c>
      <c r="G615" t="s">
        <v>8672</v>
      </c>
      <c r="H615" t="s">
        <v>8673</v>
      </c>
      <c r="I615" t="s">
        <v>8674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8675</v>
      </c>
      <c r="AK615" t="s">
        <v>8676</v>
      </c>
      <c r="AL615">
        <v>18</v>
      </c>
      <c r="AM615" t="s">
        <v>4859</v>
      </c>
      <c r="AN615" t="s">
        <v>8677</v>
      </c>
      <c r="AO615" t="s">
        <v>5115</v>
      </c>
      <c r="AP615">
        <v>0</v>
      </c>
      <c r="AQ615" t="s">
        <v>1168</v>
      </c>
      <c r="AR615" t="s">
        <v>1169</v>
      </c>
      <c r="AS615" t="s">
        <v>6972</v>
      </c>
      <c r="AT615" t="s">
        <v>329</v>
      </c>
      <c r="AU615">
        <v>238</v>
      </c>
      <c r="AV615">
        <v>0</v>
      </c>
      <c r="AW615" t="s">
        <v>8669</v>
      </c>
      <c r="AX615" t="s">
        <v>332</v>
      </c>
      <c r="AY615">
        <v>4</v>
      </c>
      <c r="AZ615">
        <v>0</v>
      </c>
      <c r="BA615" t="s">
        <v>329</v>
      </c>
      <c r="BB615" t="s">
        <v>329</v>
      </c>
      <c r="BC615" t="s">
        <v>4770</v>
      </c>
      <c r="BD615">
        <v>10402</v>
      </c>
      <c r="BE615">
        <v>0</v>
      </c>
    </row>
    <row r="616" spans="1:57" x14ac:dyDescent="0.25">
      <c r="A616">
        <v>397</v>
      </c>
      <c r="B616" t="s">
        <v>8678</v>
      </c>
      <c r="C616" s="242" t="s">
        <v>8679</v>
      </c>
      <c r="D616" t="s">
        <v>8679</v>
      </c>
      <c r="E616" t="s">
        <v>329</v>
      </c>
      <c r="F616" t="s">
        <v>329</v>
      </c>
      <c r="G616" t="s">
        <v>8680</v>
      </c>
      <c r="H616" t="s">
        <v>8681</v>
      </c>
      <c r="I616" t="s">
        <v>8682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8683</v>
      </c>
      <c r="AK616" t="s">
        <v>329</v>
      </c>
      <c r="AL616">
        <v>8</v>
      </c>
      <c r="AM616" t="s">
        <v>4717</v>
      </c>
      <c r="AN616" t="s">
        <v>4729</v>
      </c>
      <c r="AO616" t="s">
        <v>4943</v>
      </c>
      <c r="AP616">
        <v>0</v>
      </c>
      <c r="AQ616" t="s">
        <v>1201</v>
      </c>
      <c r="AR616" t="s">
        <v>1202</v>
      </c>
      <c r="AS616" t="s">
        <v>6973</v>
      </c>
      <c r="AT616" t="s">
        <v>329</v>
      </c>
      <c r="AU616">
        <v>164</v>
      </c>
      <c r="AV616">
        <v>0</v>
      </c>
      <c r="AW616" t="s">
        <v>8669</v>
      </c>
      <c r="AX616" t="s">
        <v>4720</v>
      </c>
      <c r="AY616">
        <v>5</v>
      </c>
      <c r="AZ616">
        <v>0</v>
      </c>
      <c r="BA616" t="s">
        <v>329</v>
      </c>
      <c r="BB616" t="s">
        <v>329</v>
      </c>
      <c r="BC616" t="s">
        <v>4721</v>
      </c>
      <c r="BD616">
        <v>10202</v>
      </c>
      <c r="BE616">
        <v>0</v>
      </c>
    </row>
    <row r="617" spans="1:57" x14ac:dyDescent="0.25">
      <c r="A617">
        <v>398</v>
      </c>
      <c r="B617" t="s">
        <v>8684</v>
      </c>
      <c r="C617" s="242" t="s">
        <v>8685</v>
      </c>
      <c r="D617" t="s">
        <v>8685</v>
      </c>
      <c r="E617" t="s">
        <v>329</v>
      </c>
      <c r="F617" t="s">
        <v>329</v>
      </c>
      <c r="G617" t="s">
        <v>8686</v>
      </c>
      <c r="H617" t="s">
        <v>8687</v>
      </c>
      <c r="I617" t="s">
        <v>8688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8689</v>
      </c>
      <c r="AK617" t="s">
        <v>8690</v>
      </c>
      <c r="AL617">
        <v>8</v>
      </c>
      <c r="AM617" t="s">
        <v>4717</v>
      </c>
      <c r="AN617" t="s">
        <v>8691</v>
      </c>
      <c r="AO617" t="s">
        <v>5191</v>
      </c>
      <c r="AP617">
        <v>0</v>
      </c>
      <c r="AQ617" t="s">
        <v>1201</v>
      </c>
      <c r="AR617" t="s">
        <v>1202</v>
      </c>
      <c r="AS617" t="s">
        <v>6973</v>
      </c>
      <c r="AT617" t="s">
        <v>329</v>
      </c>
      <c r="AU617">
        <v>164</v>
      </c>
      <c r="AV617">
        <v>0</v>
      </c>
      <c r="AW617" t="s">
        <v>8669</v>
      </c>
      <c r="AX617" t="s">
        <v>4720</v>
      </c>
      <c r="AY617">
        <v>5</v>
      </c>
      <c r="AZ617">
        <v>0</v>
      </c>
      <c r="BA617" t="s">
        <v>329</v>
      </c>
      <c r="BB617" t="s">
        <v>329</v>
      </c>
      <c r="BC617" t="s">
        <v>4721</v>
      </c>
      <c r="BD617">
        <v>10202</v>
      </c>
      <c r="BE617">
        <v>0</v>
      </c>
    </row>
    <row r="618" spans="1:57" x14ac:dyDescent="0.25">
      <c r="A618">
        <v>20131</v>
      </c>
      <c r="B618" t="s">
        <v>8761</v>
      </c>
      <c r="C618" s="242" t="s">
        <v>8806</v>
      </c>
      <c r="D618" t="s">
        <v>8762</v>
      </c>
      <c r="E618" t="s">
        <v>8757</v>
      </c>
      <c r="F618" t="s">
        <v>8758</v>
      </c>
      <c r="G618" t="s">
        <v>8763</v>
      </c>
      <c r="H618" t="s">
        <v>8764</v>
      </c>
      <c r="I618" t="s">
        <v>8765</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8766</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8767</v>
      </c>
      <c r="C619" s="242" t="s">
        <v>8807</v>
      </c>
      <c r="D619" t="s">
        <v>8768</v>
      </c>
      <c r="E619" t="s">
        <v>329</v>
      </c>
      <c r="F619" t="s">
        <v>329</v>
      </c>
      <c r="G619" t="s">
        <v>8769</v>
      </c>
      <c r="H619" t="s">
        <v>8770</v>
      </c>
      <c r="I619" t="s">
        <v>8771</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8772</v>
      </c>
      <c r="AK619" t="s">
        <v>8773</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8774</v>
      </c>
      <c r="C620" s="242" t="s">
        <v>8775</v>
      </c>
      <c r="D620" t="s">
        <v>8775</v>
      </c>
      <c r="E620" t="s">
        <v>8759</v>
      </c>
      <c r="F620" t="s">
        <v>329</v>
      </c>
      <c r="G620" t="s">
        <v>8776</v>
      </c>
      <c r="H620" t="s">
        <v>8777</v>
      </c>
      <c r="I620" t="s">
        <v>8778</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8779</v>
      </c>
      <c r="AK620" t="s">
        <v>1268</v>
      </c>
      <c r="AL620">
        <v>13</v>
      </c>
      <c r="AM620" t="s">
        <v>4763</v>
      </c>
      <c r="AN620" t="s">
        <v>4885</v>
      </c>
      <c r="AO620" t="s">
        <v>4833</v>
      </c>
      <c r="AP620">
        <v>0</v>
      </c>
      <c r="AQ620" t="s">
        <v>1747</v>
      </c>
      <c r="AR620" t="s">
        <v>1142</v>
      </c>
      <c r="AS620" t="s">
        <v>8756</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8780</v>
      </c>
      <c r="C621" s="242" t="s">
        <v>8781</v>
      </c>
      <c r="D621" t="s">
        <v>8781</v>
      </c>
      <c r="E621" t="s">
        <v>8760</v>
      </c>
      <c r="F621" t="s">
        <v>329</v>
      </c>
      <c r="G621" t="s">
        <v>8782</v>
      </c>
      <c r="H621" t="s">
        <v>8783</v>
      </c>
      <c r="I621" t="s">
        <v>8784</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8785</v>
      </c>
      <c r="AK621" t="s">
        <v>8786</v>
      </c>
      <c r="AL621">
        <v>13</v>
      </c>
      <c r="AM621" t="s">
        <v>4720</v>
      </c>
      <c r="AN621" t="s">
        <v>4835</v>
      </c>
      <c r="AO621" t="s">
        <v>8787</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row r="622" spans="1:57" x14ac:dyDescent="0.25">
      <c r="A622">
        <v>399</v>
      </c>
      <c r="B622" t="s">
        <v>8808</v>
      </c>
      <c r="C622" s="242" t="s">
        <v>8809</v>
      </c>
      <c r="D622" t="s">
        <v>8809</v>
      </c>
      <c r="E622" t="s">
        <v>329</v>
      </c>
      <c r="F622" t="s">
        <v>329</v>
      </c>
      <c r="G622" t="s">
        <v>8810</v>
      </c>
      <c r="H622" t="s">
        <v>8811</v>
      </c>
      <c r="I622" t="s">
        <v>8812</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8813</v>
      </c>
      <c r="AK622" t="s">
        <v>8814</v>
      </c>
      <c r="AL622">
        <v>17</v>
      </c>
      <c r="AM622" t="s">
        <v>1807</v>
      </c>
      <c r="AN622" t="s">
        <v>8815</v>
      </c>
      <c r="AO622" t="s">
        <v>4876</v>
      </c>
      <c r="AP622">
        <v>0</v>
      </c>
      <c r="AQ622" t="s">
        <v>4743</v>
      </c>
      <c r="AR622" t="s">
        <v>1120</v>
      </c>
      <c r="AS622" t="s">
        <v>1121</v>
      </c>
      <c r="AT622" t="s">
        <v>329</v>
      </c>
      <c r="AU622">
        <v>96</v>
      </c>
      <c r="AV622">
        <v>0</v>
      </c>
      <c r="AW622" t="s">
        <v>8816</v>
      </c>
      <c r="AX622" t="s">
        <v>8817</v>
      </c>
      <c r="AY622">
        <v>5</v>
      </c>
      <c r="AZ622">
        <v>0</v>
      </c>
      <c r="BA622" t="s">
        <v>329</v>
      </c>
      <c r="BB622" t="s">
        <v>329</v>
      </c>
      <c r="BC622" t="s">
        <v>4770</v>
      </c>
      <c r="BD622">
        <v>10402</v>
      </c>
      <c r="BE622">
        <v>0</v>
      </c>
    </row>
    <row r="623" spans="1:57" x14ac:dyDescent="0.25">
      <c r="A623">
        <v>1042</v>
      </c>
      <c r="B623" t="s">
        <v>8831</v>
      </c>
      <c r="C623" s="242" t="s">
        <v>8832</v>
      </c>
      <c r="D623" t="s">
        <v>8832</v>
      </c>
      <c r="E623" t="s">
        <v>329</v>
      </c>
      <c r="F623" t="s">
        <v>329</v>
      </c>
      <c r="G623" t="s">
        <v>8833</v>
      </c>
      <c r="H623" t="s">
        <v>8834</v>
      </c>
      <c r="I623" t="s">
        <v>8835</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8836</v>
      </c>
      <c r="AK623" t="s">
        <v>8837</v>
      </c>
      <c r="AL623">
        <v>13</v>
      </c>
      <c r="AM623" t="s">
        <v>1807</v>
      </c>
      <c r="AN623" t="s">
        <v>6981</v>
      </c>
      <c r="AO623" t="s">
        <v>4752</v>
      </c>
      <c r="AP623">
        <v>0</v>
      </c>
      <c r="AQ623" t="s">
        <v>1119</v>
      </c>
      <c r="AR623" t="s">
        <v>1120</v>
      </c>
      <c r="AS623" t="s">
        <v>4762</v>
      </c>
      <c r="AT623" t="s">
        <v>329</v>
      </c>
      <c r="AU623">
        <v>1035</v>
      </c>
      <c r="AV623">
        <v>1</v>
      </c>
      <c r="AW623" t="s">
        <v>8838</v>
      </c>
      <c r="AX623" t="s">
        <v>6941</v>
      </c>
      <c r="AY623">
        <v>7</v>
      </c>
      <c r="AZ623">
        <v>0</v>
      </c>
      <c r="BA623" t="s">
        <v>329</v>
      </c>
      <c r="BB623" t="s">
        <v>329</v>
      </c>
      <c r="BC623" t="s">
        <v>5387</v>
      </c>
      <c r="BD623">
        <v>0</v>
      </c>
      <c r="BE623">
        <v>0</v>
      </c>
    </row>
    <row r="624" spans="1:57" x14ac:dyDescent="0.25">
      <c r="A624">
        <v>1043</v>
      </c>
      <c r="B624" t="s">
        <v>8839</v>
      </c>
      <c r="C624" s="242" t="s">
        <v>8840</v>
      </c>
      <c r="D624" t="s">
        <v>8840</v>
      </c>
      <c r="E624" t="s">
        <v>329</v>
      </c>
      <c r="F624" t="s">
        <v>329</v>
      </c>
      <c r="G624" t="s">
        <v>8841</v>
      </c>
      <c r="H624" t="s">
        <v>8842</v>
      </c>
      <c r="I624" t="s">
        <v>8843</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8844</v>
      </c>
      <c r="AK624" t="s">
        <v>8845</v>
      </c>
      <c r="AL624">
        <v>13</v>
      </c>
      <c r="AM624" t="s">
        <v>399</v>
      </c>
      <c r="AN624" t="s">
        <v>5385</v>
      </c>
      <c r="AO624" t="s">
        <v>5259</v>
      </c>
      <c r="AP624">
        <v>0</v>
      </c>
      <c r="AQ624" t="s">
        <v>1131</v>
      </c>
      <c r="AR624" t="s">
        <v>1155</v>
      </c>
      <c r="AS624" t="s">
        <v>1745</v>
      </c>
      <c r="AT624" t="s">
        <v>329</v>
      </c>
      <c r="AU624">
        <v>1007</v>
      </c>
      <c r="AV624">
        <v>1</v>
      </c>
      <c r="AW624" t="s">
        <v>8838</v>
      </c>
      <c r="AX624" t="s">
        <v>8846</v>
      </c>
      <c r="AY624">
        <v>7</v>
      </c>
      <c r="AZ624">
        <v>0</v>
      </c>
      <c r="BA624" t="s">
        <v>329</v>
      </c>
      <c r="BB624" t="s">
        <v>329</v>
      </c>
      <c r="BC624" t="s">
        <v>5387</v>
      </c>
      <c r="BD624">
        <v>0</v>
      </c>
      <c r="BE624">
        <v>0</v>
      </c>
    </row>
    <row r="625" spans="1:57" x14ac:dyDescent="0.25">
      <c r="A625">
        <v>1044</v>
      </c>
      <c r="B625" t="s">
        <v>8847</v>
      </c>
      <c r="C625" s="242" t="s">
        <v>8871</v>
      </c>
      <c r="D625" t="s">
        <v>8848</v>
      </c>
      <c r="E625" t="s">
        <v>329</v>
      </c>
      <c r="F625" t="s">
        <v>329</v>
      </c>
      <c r="G625" t="s">
        <v>8849</v>
      </c>
      <c r="H625" t="s">
        <v>8850</v>
      </c>
      <c r="I625" t="s">
        <v>8851</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8852</v>
      </c>
      <c r="AK625" t="s">
        <v>8853</v>
      </c>
      <c r="AL625">
        <v>18</v>
      </c>
      <c r="AM625" t="s">
        <v>4859</v>
      </c>
      <c r="AN625" t="s">
        <v>4938</v>
      </c>
      <c r="AO625" t="s">
        <v>5156</v>
      </c>
      <c r="AP625">
        <v>0</v>
      </c>
      <c r="AQ625" t="s">
        <v>1168</v>
      </c>
      <c r="AR625" t="s">
        <v>4912</v>
      </c>
      <c r="AS625" t="s">
        <v>6972</v>
      </c>
      <c r="AT625" t="s">
        <v>329</v>
      </c>
      <c r="AU625">
        <v>1026</v>
      </c>
      <c r="AV625">
        <v>1</v>
      </c>
      <c r="AW625" t="s">
        <v>8838</v>
      </c>
      <c r="AX625" t="s">
        <v>6757</v>
      </c>
      <c r="AY625">
        <v>7</v>
      </c>
      <c r="AZ625">
        <v>0</v>
      </c>
      <c r="BA625" t="s">
        <v>329</v>
      </c>
      <c r="BB625" t="s">
        <v>329</v>
      </c>
      <c r="BC625" t="s">
        <v>5387</v>
      </c>
      <c r="BD625">
        <v>0</v>
      </c>
      <c r="BE625">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8511</v>
      </c>
      <c r="C10" t="s">
        <v>8512</v>
      </c>
      <c r="D10" t="s">
        <v>8512</v>
      </c>
      <c r="E10" t="s">
        <v>8513</v>
      </c>
      <c r="F10" t="s">
        <v>6785</v>
      </c>
      <c r="G10" t="s">
        <v>4486</v>
      </c>
      <c r="H10" t="s">
        <v>8514</v>
      </c>
      <c r="I10">
        <v>1</v>
      </c>
      <c r="J10">
        <v>1</v>
      </c>
      <c r="K10" t="s">
        <v>973</v>
      </c>
      <c r="L10">
        <v>1</v>
      </c>
      <c r="M10">
        <v>126</v>
      </c>
      <c r="N10" t="s">
        <v>974</v>
      </c>
      <c r="O10">
        <v>10</v>
      </c>
      <c r="P10">
        <v>0</v>
      </c>
      <c r="Q10">
        <v>5</v>
      </c>
      <c r="R10">
        <v>750885</v>
      </c>
      <c r="S10">
        <v>1</v>
      </c>
      <c r="T10">
        <v>750887</v>
      </c>
      <c r="U10">
        <v>750888</v>
      </c>
      <c r="V10">
        <v>750889</v>
      </c>
      <c r="W10" t="s">
        <v>8515</v>
      </c>
      <c r="X10" t="s">
        <v>8516</v>
      </c>
      <c r="Y10" t="s">
        <v>8517</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8518</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AG369" sqref="AG369:AG371"/>
      <selection pane="bottomLeft" activeCell="AG369" sqref="AG369:AG371"/>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8657</v>
      </c>
      <c r="F1" s="323" t="s">
        <v>873</v>
      </c>
      <c r="G1" s="323" t="s">
        <v>876</v>
      </c>
      <c r="H1" s="323" t="s">
        <v>875</v>
      </c>
      <c r="I1" s="323" t="s">
        <v>874</v>
      </c>
      <c r="J1" s="323" t="s">
        <v>877</v>
      </c>
      <c r="K1" s="323" t="s">
        <v>878</v>
      </c>
      <c r="L1" s="323" t="s">
        <v>38</v>
      </c>
      <c r="M1" s="323" t="s">
        <v>879</v>
      </c>
      <c r="N1" s="323" t="s">
        <v>8656</v>
      </c>
      <c r="O1" s="323" t="s">
        <v>8655</v>
      </c>
      <c r="P1" s="323" t="s">
        <v>8654</v>
      </c>
      <c r="Q1" s="323" t="s">
        <v>8653</v>
      </c>
    </row>
    <row r="2" spans="1:17" x14ac:dyDescent="0.25">
      <c r="A2" s="1">
        <v>1001</v>
      </c>
      <c r="B2" s="1" t="s">
        <v>8652</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8651</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8650</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8649</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8648</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8647</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8646</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8645</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8644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8643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8642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8641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8640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8639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8638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8637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8636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8635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8634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8633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8632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8631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8630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8629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8628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8627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8626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8625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8624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8623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8622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8621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8620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8619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8618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8617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8616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8615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8614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8613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8612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8611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8610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8609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8608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8607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8606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8605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8604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8603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8602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8601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8600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8599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8598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8597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8596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8595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8594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8593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8592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8591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8590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8589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8588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8587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8586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8585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8584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8583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8582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8581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8580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8579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8578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8577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8576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8575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8574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8573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8572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8571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8570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8569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8568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8567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8566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8565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8564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8563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8562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8561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8560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8559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8558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8557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8556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8555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8554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8553</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8519</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8518</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8518</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8518</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8518</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8255</v>
      </c>
    </row>
    <row r="2" spans="1:7" x14ac:dyDescent="0.25">
      <c r="A2" s="16" t="s">
        <v>8254</v>
      </c>
      <c r="B2" t="s">
        <v>8304</v>
      </c>
      <c r="C2">
        <v>3004</v>
      </c>
      <c r="D2">
        <v>2004</v>
      </c>
      <c r="E2">
        <v>1004</v>
      </c>
    </row>
    <row r="3" spans="1:7" x14ac:dyDescent="0.25">
      <c r="A3" s="16" t="s">
        <v>8254</v>
      </c>
      <c r="B3" t="s">
        <v>638</v>
      </c>
      <c r="C3">
        <v>3005</v>
      </c>
      <c r="D3">
        <v>2005</v>
      </c>
      <c r="E3">
        <v>1005</v>
      </c>
    </row>
    <row r="4" spans="1:7" x14ac:dyDescent="0.25">
      <c r="A4" s="16" t="s">
        <v>8254</v>
      </c>
      <c r="B4" t="s">
        <v>8305</v>
      </c>
      <c r="C4">
        <v>3010</v>
      </c>
      <c r="D4">
        <v>2010</v>
      </c>
      <c r="E4">
        <v>1010</v>
      </c>
    </row>
    <row r="5" spans="1:7" x14ac:dyDescent="0.25">
      <c r="A5" s="16" t="s">
        <v>8254</v>
      </c>
      <c r="B5" t="s">
        <v>640</v>
      </c>
      <c r="C5">
        <v>3011</v>
      </c>
      <c r="D5">
        <v>2011</v>
      </c>
      <c r="E5">
        <v>1011</v>
      </c>
    </row>
    <row r="6" spans="1:7" x14ac:dyDescent="0.25">
      <c r="A6" s="16" t="s">
        <v>8254</v>
      </c>
      <c r="B6" t="s">
        <v>8306</v>
      </c>
      <c r="C6">
        <v>3009</v>
      </c>
      <c r="D6">
        <v>2009</v>
      </c>
      <c r="E6">
        <v>1009</v>
      </c>
    </row>
    <row r="7" spans="1:7" x14ac:dyDescent="0.25">
      <c r="A7" s="16" t="s">
        <v>8254</v>
      </c>
      <c r="B7" t="s">
        <v>8307</v>
      </c>
      <c r="C7">
        <v>3006</v>
      </c>
      <c r="D7">
        <v>2006</v>
      </c>
      <c r="E7">
        <v>1006</v>
      </c>
    </row>
    <row r="8" spans="1:7" x14ac:dyDescent="0.25">
      <c r="A8" s="16" t="s">
        <v>8254</v>
      </c>
      <c r="B8" t="s">
        <v>8308</v>
      </c>
      <c r="C8">
        <v>3007</v>
      </c>
      <c r="D8">
        <v>2007</v>
      </c>
      <c r="E8">
        <v>1007</v>
      </c>
    </row>
    <row r="9" spans="1:7" x14ac:dyDescent="0.25">
      <c r="A9" s="16" t="s">
        <v>8254</v>
      </c>
      <c r="B9" t="s">
        <v>8309</v>
      </c>
      <c r="C9">
        <v>3008</v>
      </c>
      <c r="D9">
        <v>2008</v>
      </c>
      <c r="E9">
        <v>1008</v>
      </c>
    </row>
    <row r="10" spans="1:7" x14ac:dyDescent="0.25">
      <c r="A10" s="16" t="s">
        <v>8254</v>
      </c>
      <c r="B10" t="s">
        <v>8310</v>
      </c>
      <c r="C10">
        <v>3012</v>
      </c>
      <c r="D10">
        <v>2012</v>
      </c>
      <c r="E10">
        <v>1012</v>
      </c>
    </row>
    <row r="11" spans="1:7" x14ac:dyDescent="0.25">
      <c r="A11" s="16" t="s">
        <v>8254</v>
      </c>
      <c r="B11" t="s">
        <v>8311</v>
      </c>
      <c r="C11">
        <v>3013</v>
      </c>
      <c r="D11">
        <v>2013</v>
      </c>
      <c r="E11">
        <v>1013</v>
      </c>
    </row>
    <row r="12" spans="1:7" x14ac:dyDescent="0.25">
      <c r="A12" s="16" t="s">
        <v>8254</v>
      </c>
      <c r="B12" t="s">
        <v>867</v>
      </c>
      <c r="C12">
        <v>3003</v>
      </c>
      <c r="D12">
        <v>2003</v>
      </c>
      <c r="E12">
        <v>1003</v>
      </c>
    </row>
    <row r="13" spans="1:7" x14ac:dyDescent="0.25">
      <c r="A13" s="16" t="s">
        <v>8254</v>
      </c>
      <c r="B13" t="s">
        <v>868</v>
      </c>
      <c r="C13">
        <v>3001</v>
      </c>
      <c r="D13">
        <v>2001</v>
      </c>
      <c r="E13">
        <v>1001</v>
      </c>
    </row>
    <row r="14" spans="1:7" x14ac:dyDescent="0.25">
      <c r="A14" s="16" t="s">
        <v>8254</v>
      </c>
      <c r="B14" t="s">
        <v>11</v>
      </c>
      <c r="C14">
        <v>3002</v>
      </c>
      <c r="D14">
        <v>2002</v>
      </c>
      <c r="E14">
        <v>1002</v>
      </c>
    </row>
    <row r="15" spans="1:7" x14ac:dyDescent="0.25">
      <c r="A15" s="16" t="s">
        <v>8251</v>
      </c>
      <c r="B15" t="s">
        <v>8303</v>
      </c>
      <c r="C15">
        <v>3113</v>
      </c>
      <c r="D15">
        <v>2113</v>
      </c>
      <c r="E15">
        <v>1113</v>
      </c>
    </row>
    <row r="16" spans="1:7" x14ac:dyDescent="0.25">
      <c r="A16" s="16" t="s">
        <v>8251</v>
      </c>
      <c r="B16" t="s">
        <v>8312</v>
      </c>
      <c r="C16">
        <v>3110</v>
      </c>
      <c r="D16">
        <v>2110</v>
      </c>
      <c r="E16">
        <v>1110</v>
      </c>
    </row>
    <row r="17" spans="1:5" x14ac:dyDescent="0.25">
      <c r="A17" s="16" t="s">
        <v>8251</v>
      </c>
      <c r="B17" t="s">
        <v>8313</v>
      </c>
      <c r="C17">
        <v>3111</v>
      </c>
      <c r="D17">
        <v>2111</v>
      </c>
      <c r="E17">
        <v>1111</v>
      </c>
    </row>
    <row r="18" spans="1:5" x14ac:dyDescent="0.25">
      <c r="A18" s="16" t="s">
        <v>8251</v>
      </c>
      <c r="B18" t="s">
        <v>8314</v>
      </c>
      <c r="C18">
        <v>3108</v>
      </c>
      <c r="D18">
        <v>2108</v>
      </c>
      <c r="E18">
        <v>1108</v>
      </c>
    </row>
    <row r="19" spans="1:5" x14ac:dyDescent="0.25">
      <c r="A19" s="16" t="s">
        <v>8251</v>
      </c>
      <c r="B19" t="s">
        <v>8315</v>
      </c>
      <c r="C19">
        <v>3118</v>
      </c>
      <c r="D19">
        <v>2118</v>
      </c>
      <c r="E19">
        <v>1118</v>
      </c>
    </row>
    <row r="20" spans="1:5" x14ac:dyDescent="0.25">
      <c r="A20" s="16" t="s">
        <v>8251</v>
      </c>
      <c r="B20" t="s">
        <v>8316</v>
      </c>
      <c r="C20">
        <v>3119</v>
      </c>
      <c r="D20">
        <v>2119</v>
      </c>
      <c r="E20">
        <v>1119</v>
      </c>
    </row>
    <row r="21" spans="1:5" x14ac:dyDescent="0.25">
      <c r="A21" s="16" t="s">
        <v>8251</v>
      </c>
      <c r="B21" t="s">
        <v>8317</v>
      </c>
      <c r="C21">
        <v>3109</v>
      </c>
      <c r="D21">
        <v>2109</v>
      </c>
      <c r="E21">
        <v>1109</v>
      </c>
    </row>
    <row r="22" spans="1:5" x14ac:dyDescent="0.25">
      <c r="A22" s="16" t="s">
        <v>8251</v>
      </c>
      <c r="B22" t="s">
        <v>8318</v>
      </c>
      <c r="C22">
        <v>3112</v>
      </c>
      <c r="D22">
        <v>2112</v>
      </c>
      <c r="E22">
        <v>1112</v>
      </c>
    </row>
    <row r="23" spans="1:5" x14ac:dyDescent="0.25">
      <c r="A23" s="16" t="s">
        <v>8251</v>
      </c>
      <c r="B23" t="s">
        <v>8319</v>
      </c>
      <c r="C23">
        <v>3120</v>
      </c>
      <c r="D23">
        <v>2120</v>
      </c>
      <c r="E23">
        <v>1120</v>
      </c>
    </row>
    <row r="24" spans="1:5" x14ac:dyDescent="0.25">
      <c r="A24" s="16" t="s">
        <v>8252</v>
      </c>
      <c r="B24" t="s">
        <v>8320</v>
      </c>
      <c r="C24">
        <v>3102</v>
      </c>
      <c r="D24">
        <v>2102</v>
      </c>
      <c r="E24">
        <v>1102</v>
      </c>
    </row>
    <row r="25" spans="1:5" x14ac:dyDescent="0.25">
      <c r="A25" s="16" t="s">
        <v>8252</v>
      </c>
      <c r="B25" t="s">
        <v>8321</v>
      </c>
      <c r="C25">
        <v>3107</v>
      </c>
      <c r="D25">
        <v>2107</v>
      </c>
      <c r="E25">
        <v>1107</v>
      </c>
    </row>
    <row r="26" spans="1:5" x14ac:dyDescent="0.25">
      <c r="A26" s="16" t="s">
        <v>8252</v>
      </c>
      <c r="B26" t="s">
        <v>8322</v>
      </c>
      <c r="C26">
        <v>3101</v>
      </c>
      <c r="D26">
        <v>2101</v>
      </c>
      <c r="E26">
        <v>1101</v>
      </c>
    </row>
    <row r="27" spans="1:5" x14ac:dyDescent="0.25">
      <c r="A27" s="16" t="s">
        <v>8252</v>
      </c>
      <c r="B27" t="s">
        <v>8323</v>
      </c>
      <c r="C27">
        <v>3106</v>
      </c>
      <c r="D27">
        <v>2106</v>
      </c>
      <c r="E27">
        <v>1106</v>
      </c>
    </row>
    <row r="28" spans="1:5" x14ac:dyDescent="0.25">
      <c r="A28" s="16" t="s">
        <v>8252</v>
      </c>
      <c r="B28" t="s">
        <v>8324</v>
      </c>
      <c r="C28">
        <v>3104</v>
      </c>
      <c r="D28">
        <v>2104</v>
      </c>
      <c r="E28">
        <v>1104</v>
      </c>
    </row>
    <row r="29" spans="1:5" x14ac:dyDescent="0.25">
      <c r="A29" s="16" t="s">
        <v>8252</v>
      </c>
      <c r="B29" t="s">
        <v>8325</v>
      </c>
      <c r="C29">
        <v>3128</v>
      </c>
      <c r="D29">
        <v>2128</v>
      </c>
      <c r="E29">
        <v>1128</v>
      </c>
    </row>
    <row r="30" spans="1:5" x14ac:dyDescent="0.25">
      <c r="A30" s="16" t="s">
        <v>8252</v>
      </c>
      <c r="B30" t="s">
        <v>8326</v>
      </c>
      <c r="C30">
        <v>3126</v>
      </c>
      <c r="D30">
        <v>2126</v>
      </c>
      <c r="E30">
        <v>1126</v>
      </c>
    </row>
    <row r="31" spans="1:5" x14ac:dyDescent="0.25">
      <c r="A31" s="16" t="s">
        <v>8252</v>
      </c>
      <c r="B31" t="s">
        <v>8327</v>
      </c>
      <c r="C31">
        <v>3103</v>
      </c>
      <c r="D31">
        <v>2103</v>
      </c>
      <c r="E31">
        <v>1103</v>
      </c>
    </row>
    <row r="32" spans="1:5" x14ac:dyDescent="0.25">
      <c r="A32" s="16" t="s">
        <v>8252</v>
      </c>
      <c r="B32" t="s">
        <v>8328</v>
      </c>
      <c r="C32">
        <v>3122</v>
      </c>
      <c r="D32">
        <v>2122</v>
      </c>
      <c r="E32">
        <v>1122</v>
      </c>
    </row>
    <row r="33" spans="1:5" x14ac:dyDescent="0.25">
      <c r="A33" s="16" t="s">
        <v>640</v>
      </c>
      <c r="B33" t="s">
        <v>8329</v>
      </c>
      <c r="C33">
        <v>3127</v>
      </c>
      <c r="D33">
        <v>2127</v>
      </c>
      <c r="E33">
        <v>1127</v>
      </c>
    </row>
    <row r="34" spans="1:5" x14ac:dyDescent="0.25">
      <c r="A34" s="16" t="s">
        <v>640</v>
      </c>
      <c r="B34" t="s">
        <v>8330</v>
      </c>
      <c r="C34">
        <v>3124</v>
      </c>
      <c r="D34">
        <v>2124</v>
      </c>
      <c r="E34">
        <v>1124</v>
      </c>
    </row>
    <row r="35" spans="1:5" x14ac:dyDescent="0.25">
      <c r="A35" s="16" t="s">
        <v>640</v>
      </c>
      <c r="B35" t="s">
        <v>8331</v>
      </c>
      <c r="C35">
        <v>3121</v>
      </c>
      <c r="D35">
        <v>2121</v>
      </c>
      <c r="E35">
        <v>1121</v>
      </c>
    </row>
    <row r="36" spans="1:5" x14ac:dyDescent="0.25">
      <c r="A36" s="16" t="s">
        <v>8253</v>
      </c>
      <c r="B36" t="s">
        <v>8332</v>
      </c>
      <c r="C36">
        <v>3115</v>
      </c>
      <c r="D36">
        <v>2115</v>
      </c>
      <c r="E36">
        <v>1115</v>
      </c>
    </row>
    <row r="37" spans="1:5" x14ac:dyDescent="0.25">
      <c r="A37" s="16" t="s">
        <v>8253</v>
      </c>
      <c r="B37" t="s">
        <v>8333</v>
      </c>
      <c r="C37">
        <v>3114</v>
      </c>
      <c r="D37">
        <v>2114</v>
      </c>
      <c r="E37">
        <v>1114</v>
      </c>
    </row>
    <row r="38" spans="1:5" x14ac:dyDescent="0.25">
      <c r="A38" s="16" t="s">
        <v>8253</v>
      </c>
      <c r="B38" t="s">
        <v>8334</v>
      </c>
      <c r="C38">
        <v>3129</v>
      </c>
      <c r="D38">
        <v>2129</v>
      </c>
      <c r="E38">
        <v>1129</v>
      </c>
    </row>
    <row r="39" spans="1:5" x14ac:dyDescent="0.25">
      <c r="A39" s="16" t="s">
        <v>8253</v>
      </c>
      <c r="B39" t="s">
        <v>8335</v>
      </c>
      <c r="C39">
        <v>3125</v>
      </c>
      <c r="D39">
        <v>2125</v>
      </c>
      <c r="E39">
        <v>1125</v>
      </c>
    </row>
    <row r="40" spans="1:5" x14ac:dyDescent="0.25">
      <c r="A40" s="16" t="s">
        <v>8253</v>
      </c>
      <c r="B40" t="s">
        <v>8336</v>
      </c>
      <c r="C40">
        <v>3116</v>
      </c>
      <c r="D40">
        <v>2116</v>
      </c>
      <c r="E40">
        <v>1116</v>
      </c>
    </row>
    <row r="41" spans="1:5" x14ac:dyDescent="0.25">
      <c r="A41" s="16" t="s">
        <v>8253</v>
      </c>
      <c r="B41" t="s">
        <v>8337</v>
      </c>
      <c r="C41">
        <v>3117</v>
      </c>
      <c r="D41">
        <v>2117</v>
      </c>
      <c r="E41">
        <v>1117</v>
      </c>
    </row>
    <row r="42" spans="1:5" x14ac:dyDescent="0.25">
      <c r="A42" s="16" t="s">
        <v>8253</v>
      </c>
      <c r="B42" t="s">
        <v>8338</v>
      </c>
      <c r="C42">
        <v>3123</v>
      </c>
      <c r="D42">
        <v>2123</v>
      </c>
      <c r="E42">
        <v>1123</v>
      </c>
    </row>
    <row r="43" spans="1:5" x14ac:dyDescent="0.25">
      <c r="A43" s="16" t="s">
        <v>8253</v>
      </c>
      <c r="B43" t="s">
        <v>8339</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8281</v>
      </c>
      <c r="Y1" s="300"/>
      <c r="Z1" s="300"/>
      <c r="AB1" s="324"/>
      <c r="AC1" s="300" t="s">
        <v>8658</v>
      </c>
      <c r="AD1" s="325"/>
      <c r="AE1" s="325"/>
      <c r="AF1" s="325"/>
      <c r="AG1" s="325"/>
      <c r="AH1" s="325"/>
      <c r="AI1" s="300" t="s">
        <v>8659</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8660</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8729</v>
      </c>
    </row>
    <row r="34" spans="1:6" x14ac:dyDescent="0.25">
      <c r="A34"/>
      <c r="B34" s="9" t="s">
        <v>950</v>
      </c>
      <c r="C34" t="str">
        <f>INDEX($F$34:$F$37,COUNTA(Main!$H$125:$H$127)+1)</f>
        <v>"ally_instance_info": "[]",</v>
      </c>
      <c r="F34" t="s">
        <v>8733</v>
      </c>
    </row>
    <row r="35" spans="1:6" x14ac:dyDescent="0.25">
      <c r="A35"/>
      <c r="B35" s="250" t="s">
        <v>8730</v>
      </c>
      <c r="C35" t="str">
        <f>SUBSTITUTE(C34,"ally1",Main!H125)</f>
        <v>"ally_instance_info": "[]",</v>
      </c>
      <c r="F35" t="s">
        <v>8734</v>
      </c>
    </row>
    <row r="36" spans="1:6" x14ac:dyDescent="0.25">
      <c r="A36"/>
      <c r="B36" s="250" t="s">
        <v>8731</v>
      </c>
      <c r="C36" t="str">
        <f>SUBSTITUTE(C35,"ally2",Main!H126)</f>
        <v>"ally_instance_info": "[]",</v>
      </c>
      <c r="F36" t="s">
        <v>8735</v>
      </c>
    </row>
    <row r="37" spans="1:6" x14ac:dyDescent="0.25">
      <c r="A37"/>
      <c r="B37" s="250" t="s">
        <v>8732</v>
      </c>
      <c r="C37" t="str">
        <f>SUBSTITUTE(C36,"ally3",Main!H127)</f>
        <v>"ally_instance_info": "[]",</v>
      </c>
      <c r="F37" t="s">
        <v>8736</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8520</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8282</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8289</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G1" workbookViewId="0">
      <pane ySplit="1" topLeftCell="A2" activePane="bottomLeft" state="frozen"/>
      <selection activeCell="AV2" sqref="AV2"/>
      <selection pane="bottomLeft" activeCell="AV2" sqref="AV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8521</v>
      </c>
    </row>
    <row r="2" spans="1:73" x14ac:dyDescent="0.25">
      <c r="A2" s="9">
        <v>2</v>
      </c>
      <c r="B2" t="s">
        <v>3</v>
      </c>
      <c r="C2" s="9" t="s">
        <v>139</v>
      </c>
      <c r="D2" s="9" t="s">
        <v>74</v>
      </c>
      <c r="E2" s="9" t="s">
        <v>746</v>
      </c>
      <c r="F2" s="9" t="s">
        <v>1660</v>
      </c>
      <c r="G2" s="9" t="s">
        <v>263</v>
      </c>
      <c r="H2" s="9" t="s">
        <v>117</v>
      </c>
      <c r="I2" s="9" t="s">
        <v>751</v>
      </c>
      <c r="J2" s="9" t="s">
        <v>7117</v>
      </c>
      <c r="K2" s="9" t="s">
        <v>752</v>
      </c>
      <c r="L2" t="s">
        <v>1749</v>
      </c>
      <c r="M2" s="9" t="s">
        <v>1153</v>
      </c>
      <c r="N2" s="9" t="s">
        <v>801</v>
      </c>
      <c r="O2" t="s">
        <v>8775</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8807</v>
      </c>
      <c r="H3" s="9" t="s">
        <v>77</v>
      </c>
      <c r="I3" s="9" t="s">
        <v>1688</v>
      </c>
      <c r="J3" s="9" t="s">
        <v>1675</v>
      </c>
      <c r="K3" s="9" t="s">
        <v>1689</v>
      </c>
      <c r="L3" t="s">
        <v>7197</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8664</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Welrod MkIIMod</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t="s">
        <v>8806</v>
      </c>
      <c r="K6" s="9" t="s">
        <v>1642</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1622</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715</v>
      </c>
      <c r="K12" t="s">
        <v>7208</v>
      </c>
      <c r="N12" s="9" t="s">
        <v>1650</v>
      </c>
      <c r="O12" s="9" t="s">
        <v>6488</v>
      </c>
      <c r="P12" s="9" t="s">
        <v>143</v>
      </c>
      <c r="S12" s="9" t="s">
        <v>182</v>
      </c>
      <c r="T12" s="9" t="s">
        <v>1656</v>
      </c>
      <c r="U12" s="9" t="s">
        <v>252</v>
      </c>
      <c r="Y12" t="s">
        <v>8671</v>
      </c>
      <c r="Z12" s="9" t="s">
        <v>205</v>
      </c>
      <c r="AD12" s="9" t="s">
        <v>928</v>
      </c>
      <c r="AE12" t="s">
        <v>4723</v>
      </c>
      <c r="AL12" s="37"/>
      <c r="AU12" t="s">
        <v>6935</v>
      </c>
      <c r="AV12" t="s">
        <v>920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919</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921</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916</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6392</v>
      </c>
      <c r="K16" s="9" t="s">
        <v>1410</v>
      </c>
      <c r="N16" s="9" t="s">
        <v>130</v>
      </c>
      <c r="O16" t="s">
        <v>6661</v>
      </c>
      <c r="P16" s="9" t="s">
        <v>96</v>
      </c>
      <c r="S16" s="9" t="s">
        <v>167</v>
      </c>
      <c r="T16" s="9" t="s">
        <v>1676</v>
      </c>
      <c r="U16" s="9" t="s">
        <v>104</v>
      </c>
      <c r="Y16" s="9" t="s">
        <v>111</v>
      </c>
      <c r="Z16" t="s">
        <v>8871</v>
      </c>
      <c r="AD16" s="9" t="s">
        <v>1640</v>
      </c>
      <c r="AE16" t="s">
        <v>6576</v>
      </c>
      <c r="AL16" s="37"/>
      <c r="AM16" s="37"/>
      <c r="AP16" s="37"/>
      <c r="AU16" t="s">
        <v>923</v>
      </c>
      <c r="AV16" t="s">
        <v>918</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s="9" t="s">
        <v>2136</v>
      </c>
      <c r="K17" s="9" t="s">
        <v>82</v>
      </c>
      <c r="N17" s="9" t="s">
        <v>1614</v>
      </c>
      <c r="O17" s="9" t="s">
        <v>187</v>
      </c>
      <c r="P17" s="9" t="s">
        <v>7124</v>
      </c>
      <c r="S17" s="9" t="s">
        <v>239</v>
      </c>
      <c r="T17" s="9" t="s">
        <v>1163</v>
      </c>
      <c r="U17" t="s">
        <v>8089</v>
      </c>
      <c r="Y17" s="9" t="s">
        <v>808</v>
      </c>
      <c r="Z17" s="9" t="s">
        <v>126</v>
      </c>
      <c r="AD17" t="s">
        <v>6585</v>
      </c>
      <c r="AE17" s="9" t="s">
        <v>1635</v>
      </c>
      <c r="AU17" t="s">
        <v>924</v>
      </c>
      <c r="AV17" t="s">
        <v>917</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t="s">
        <v>8082</v>
      </c>
      <c r="K18" s="9" t="s">
        <v>190</v>
      </c>
      <c r="N18" s="9" t="s">
        <v>1657</v>
      </c>
      <c r="O18" s="9" t="s">
        <v>87</v>
      </c>
      <c r="P18" s="9" t="s">
        <v>201</v>
      </c>
      <c r="S18" s="9" t="s">
        <v>797</v>
      </c>
      <c r="T18" s="9" t="s">
        <v>1428</v>
      </c>
      <c r="U18" t="s">
        <v>8781</v>
      </c>
      <c r="Y18" s="9" t="s">
        <v>787</v>
      </c>
      <c r="Z18" s="9" t="s">
        <v>154</v>
      </c>
      <c r="AD18" s="9" t="s">
        <v>1673</v>
      </c>
      <c r="AE18" s="249" t="s">
        <v>7024</v>
      </c>
      <c r="AU18" t="s">
        <v>913</v>
      </c>
      <c r="AV18" t="s">
        <v>7000</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t="s">
        <v>8832</v>
      </c>
      <c r="G19" s="9"/>
      <c r="I19" s="9" t="s">
        <v>156</v>
      </c>
      <c r="J19" s="9" t="s">
        <v>1628</v>
      </c>
      <c r="K19" s="9" t="s">
        <v>1646</v>
      </c>
      <c r="N19" s="9" t="s">
        <v>222</v>
      </c>
      <c r="O19" s="9" t="s">
        <v>244</v>
      </c>
      <c r="P19" s="9" t="s">
        <v>185</v>
      </c>
      <c r="T19" s="9" t="s">
        <v>832</v>
      </c>
      <c r="U19" t="s">
        <v>8840</v>
      </c>
      <c r="Y19" s="9" t="s">
        <v>1652</v>
      </c>
      <c r="Z19" s="9" t="s">
        <v>786</v>
      </c>
      <c r="AE19" s="210" t="s">
        <v>3422</v>
      </c>
      <c r="AU19" t="s">
        <v>912</v>
      </c>
      <c r="AV19" t="s">
        <v>5746</v>
      </c>
      <c r="AZ19" s="1" t="str">
        <f t="shared" si="2"/>
        <v>EM2Mod</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193</v>
      </c>
      <c r="G20" s="9"/>
      <c r="I20" s="9" t="s">
        <v>1623</v>
      </c>
      <c r="J20" s="9" t="s">
        <v>226</v>
      </c>
      <c r="K20" s="9" t="s">
        <v>1653</v>
      </c>
      <c r="N20" s="9" t="s">
        <v>1604</v>
      </c>
      <c r="O20" s="9" t="s">
        <v>833</v>
      </c>
      <c r="P20" s="9" t="s">
        <v>132</v>
      </c>
      <c r="T20" s="9" t="s">
        <v>98</v>
      </c>
      <c r="U20" s="9" t="s">
        <v>124</v>
      </c>
      <c r="Z20" s="9" t="s">
        <v>1663</v>
      </c>
      <c r="AE20" s="210" t="s">
        <v>825</v>
      </c>
      <c r="AU20" t="s">
        <v>5670</v>
      </c>
      <c r="AV20" t="s">
        <v>708</v>
      </c>
      <c r="AZ20" s="1" t="str">
        <f t="shared" si="2"/>
        <v>Ezaki</v>
      </c>
      <c r="BA20" s="1" t="str">
        <f t="shared" si="3"/>
        <v>Motoko</v>
      </c>
      <c r="BB20" s="1" t="str">
        <f t="shared" si="4"/>
        <v/>
      </c>
      <c r="BC20" s="1" t="str">
        <f t="shared" si="5"/>
        <v>Motoko</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131</v>
      </c>
      <c r="G21" s="9"/>
      <c r="J21" s="9" t="s">
        <v>1612</v>
      </c>
      <c r="K21" s="9" t="s">
        <v>1685</v>
      </c>
      <c r="N21" s="9" t="s">
        <v>119</v>
      </c>
      <c r="O21" s="9" t="s">
        <v>1681</v>
      </c>
      <c r="P21" s="9" t="s">
        <v>821</v>
      </c>
      <c r="T21" s="9" t="s">
        <v>99</v>
      </c>
      <c r="U21" s="9" t="s">
        <v>1187</v>
      </c>
      <c r="Z21" s="9" t="s">
        <v>1678</v>
      </c>
      <c r="AE21" t="s">
        <v>6566</v>
      </c>
      <c r="AU21" t="s">
        <v>5669</v>
      </c>
      <c r="AV21" t="s">
        <v>709</v>
      </c>
      <c r="AZ21" s="1" t="str">
        <f t="shared" si="2"/>
        <v>FAL</v>
      </c>
      <c r="BA21" s="1" t="str">
        <f t="shared" si="3"/>
        <v>Noel</v>
      </c>
      <c r="BB21" s="1" t="str">
        <f t="shared" si="4"/>
        <v/>
      </c>
      <c r="BC21" s="1" t="str">
        <f t="shared" si="5"/>
        <v>Noel</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8809</v>
      </c>
      <c r="J22" s="9" t="s">
        <v>1677</v>
      </c>
      <c r="K22" s="9" t="s">
        <v>141</v>
      </c>
      <c r="N22" s="9" t="s">
        <v>3397</v>
      </c>
      <c r="O22" s="9" t="s">
        <v>92</v>
      </c>
      <c r="P22" s="9" t="s">
        <v>1680</v>
      </c>
      <c r="T22" s="9" t="s">
        <v>22</v>
      </c>
      <c r="U22" s="9" t="s">
        <v>1430</v>
      </c>
      <c r="Z22" s="9" t="s">
        <v>834</v>
      </c>
      <c r="AE22" t="s">
        <v>8679</v>
      </c>
      <c r="AU22" t="s">
        <v>6842</v>
      </c>
      <c r="AV22" t="s">
        <v>710</v>
      </c>
      <c r="AZ22" s="1" t="str">
        <f t="shared" si="2"/>
        <v>G11</v>
      </c>
      <c r="BA22" s="1" t="str">
        <f t="shared" si="3"/>
        <v>NZ75</v>
      </c>
      <c r="BB22" s="1" t="str">
        <f t="shared" si="4"/>
        <v/>
      </c>
      <c r="BC22" s="1" t="str">
        <f t="shared" si="5"/>
        <v>NZ75</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197</v>
      </c>
      <c r="J23" s="9" t="s">
        <v>5775</v>
      </c>
      <c r="K23" s="9" t="s">
        <v>1703</v>
      </c>
      <c r="N23" s="9" t="s">
        <v>218</v>
      </c>
      <c r="O23" s="9" t="s">
        <v>1639</v>
      </c>
      <c r="P23" s="9" t="s">
        <v>1615</v>
      </c>
      <c r="T23" s="9" t="s">
        <v>796</v>
      </c>
      <c r="U23" s="9" t="s">
        <v>735</v>
      </c>
      <c r="Z23" t="s">
        <v>1691</v>
      </c>
      <c r="AE23" t="s">
        <v>8685</v>
      </c>
      <c r="AU23" t="s">
        <v>6936</v>
      </c>
      <c r="AV23" t="s">
        <v>231</v>
      </c>
      <c r="AZ23" s="1" t="str">
        <f t="shared" si="2"/>
        <v>G36Mod</v>
      </c>
      <c r="BA23" s="1" t="str">
        <f t="shared" si="3"/>
        <v>P2000</v>
      </c>
      <c r="BB23" s="1" t="str">
        <f t="shared" si="4"/>
        <v/>
      </c>
      <c r="BC23" s="1" t="str">
        <f t="shared" si="5"/>
        <v>P2000</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1654</v>
      </c>
      <c r="J24" s="9" t="s">
        <v>799</v>
      </c>
      <c r="K24" s="9" t="s">
        <v>1729</v>
      </c>
      <c r="O24" s="9" t="s">
        <v>800</v>
      </c>
      <c r="P24" t="s">
        <v>1394</v>
      </c>
      <c r="T24" s="9" t="s">
        <v>7131</v>
      </c>
      <c r="U24" s="9" t="s">
        <v>824</v>
      </c>
      <c r="Z24" s="9" t="s">
        <v>7016</v>
      </c>
      <c r="AE24" t="s">
        <v>7233</v>
      </c>
      <c r="AQ24" s="9"/>
      <c r="AU24" t="s">
        <v>6937</v>
      </c>
      <c r="AV24" t="s">
        <v>738</v>
      </c>
      <c r="AZ24" s="1" t="str">
        <f t="shared" si="2"/>
        <v>G41</v>
      </c>
      <c r="BA24" s="1" t="str">
        <f t="shared" si="3"/>
        <v>P22</v>
      </c>
      <c r="BB24" s="1" t="str">
        <f t="shared" si="4"/>
        <v/>
      </c>
      <c r="BC24" s="1" t="str">
        <f t="shared" si="5"/>
        <v>P22</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s="9" t="s">
        <v>186</v>
      </c>
      <c r="J25" s="9" t="s">
        <v>144</v>
      </c>
      <c r="K25" s="9" t="s">
        <v>1627</v>
      </c>
      <c r="O25" s="9" t="s">
        <v>5699</v>
      </c>
      <c r="P25" t="s">
        <v>8003</v>
      </c>
      <c r="T25" s="9" t="s">
        <v>229</v>
      </c>
      <c r="U25" s="9" t="s">
        <v>223</v>
      </c>
      <c r="Z25" s="9" t="s">
        <v>1668</v>
      </c>
      <c r="AE25" s="9" t="s">
        <v>250</v>
      </c>
      <c r="AQ25" s="9"/>
      <c r="AU25" t="s">
        <v>6938</v>
      </c>
      <c r="AV25" t="s">
        <v>162</v>
      </c>
      <c r="AZ25" s="1" t="str">
        <f t="shared" si="2"/>
        <v>Himeko</v>
      </c>
      <c r="BA25" s="1" t="str">
        <f t="shared" si="3"/>
        <v>PA15</v>
      </c>
      <c r="BB25" s="1" t="str">
        <f t="shared" si="4"/>
        <v/>
      </c>
      <c r="BC25" s="1" t="str">
        <f t="shared" si="5"/>
        <v>PA15</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64</v>
      </c>
      <c r="J26" s="9" t="s">
        <v>829</v>
      </c>
      <c r="K26" s="9" t="s">
        <v>5691</v>
      </c>
      <c r="O26" s="9" t="s">
        <v>243</v>
      </c>
      <c r="P26" s="9" t="s">
        <v>1655</v>
      </c>
      <c r="T26" s="9" t="s">
        <v>1649</v>
      </c>
      <c r="U26" t="s">
        <v>8022</v>
      </c>
      <c r="AE26" s="210" t="s">
        <v>734</v>
      </c>
      <c r="AQ26" s="9"/>
      <c r="AV26" t="s">
        <v>5730</v>
      </c>
      <c r="AZ26" s="1" t="str">
        <f t="shared" si="2"/>
        <v>HK416</v>
      </c>
      <c r="BA26" s="1" t="str">
        <f t="shared" si="3"/>
        <v>Px4 Storm</v>
      </c>
      <c r="BB26" s="1" t="str">
        <f t="shared" si="4"/>
        <v/>
      </c>
      <c r="BC26" s="1" t="str">
        <f t="shared" si="5"/>
        <v>Px4 Storm</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t="s">
        <v>5674</v>
      </c>
      <c r="J27" s="9" t="s">
        <v>741</v>
      </c>
      <c r="K27" s="9" t="s">
        <v>127</v>
      </c>
      <c r="O27" s="9" t="s">
        <v>830</v>
      </c>
      <c r="P27" s="9" t="s">
        <v>207</v>
      </c>
      <c r="T27" s="9" t="s">
        <v>1616</v>
      </c>
      <c r="U27" s="9" t="s">
        <v>7009</v>
      </c>
      <c r="AQ27" s="9"/>
      <c r="AV27" t="s">
        <v>252</v>
      </c>
      <c r="AZ27" s="1" t="str">
        <f t="shared" si="2"/>
        <v>HK433</v>
      </c>
      <c r="BA27" s="1" t="str">
        <f t="shared" si="3"/>
        <v>Python</v>
      </c>
      <c r="BB27" s="1" t="str">
        <f t="shared" si="4"/>
        <v/>
      </c>
      <c r="BC27" s="1" t="str">
        <f t="shared" si="5"/>
        <v>Python</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267</v>
      </c>
      <c r="J28" s="9" t="s">
        <v>24</v>
      </c>
      <c r="K28" s="9" t="s">
        <v>76</v>
      </c>
      <c r="O28" s="9" t="s">
        <v>839</v>
      </c>
      <c r="P28" s="9" t="s">
        <v>249</v>
      </c>
      <c r="T28" s="9" t="s">
        <v>831</v>
      </c>
      <c r="U28" s="9" t="s">
        <v>188</v>
      </c>
      <c r="AV28" t="s">
        <v>137</v>
      </c>
      <c r="AZ28" s="1" t="str">
        <f t="shared" si="2"/>
        <v>Junko</v>
      </c>
      <c r="BA28" s="1" t="str">
        <f t="shared" si="3"/>
        <v>Rhino</v>
      </c>
      <c r="BB28" s="1" t="str">
        <f t="shared" si="4"/>
        <v/>
      </c>
      <c r="BC28" s="1" t="str">
        <f t="shared" si="5"/>
        <v>Rhino</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732</v>
      </c>
      <c r="J29" s="9" t="s">
        <v>23</v>
      </c>
      <c r="K29" s="9" t="s">
        <v>224</v>
      </c>
      <c r="O29" s="9" t="s">
        <v>172</v>
      </c>
      <c r="P29" t="s">
        <v>236</v>
      </c>
      <c r="T29" s="9" t="s">
        <v>739</v>
      </c>
      <c r="U29" s="9" t="s">
        <v>168</v>
      </c>
      <c r="AV29" t="s">
        <v>1626</v>
      </c>
      <c r="AZ29" s="1" t="str">
        <f t="shared" si="2"/>
        <v>K11</v>
      </c>
      <c r="BA29" s="1" t="str">
        <f t="shared" si="3"/>
        <v>SAAMod</v>
      </c>
      <c r="BB29" s="1" t="str">
        <f t="shared" si="4"/>
        <v/>
      </c>
      <c r="BC29" s="1" t="str">
        <f t="shared" si="5"/>
        <v>SAAMod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740</v>
      </c>
      <c r="J30" s="9" t="s">
        <v>123</v>
      </c>
      <c r="K30" s="9" t="s">
        <v>8102</v>
      </c>
      <c r="P30" s="9" t="s">
        <v>818</v>
      </c>
      <c r="T30" s="9" t="s">
        <v>6762</v>
      </c>
      <c r="U30" s="9" t="s">
        <v>1706</v>
      </c>
      <c r="AV30" t="s">
        <v>101</v>
      </c>
      <c r="AZ30" s="1" t="str">
        <f t="shared" si="2"/>
        <v>K2</v>
      </c>
      <c r="BA30" s="1" t="str">
        <f t="shared" si="3"/>
        <v>Sei</v>
      </c>
      <c r="BB30" s="1" t="str">
        <f t="shared" si="4"/>
        <v/>
      </c>
      <c r="BC30" s="1" t="str">
        <f t="shared" si="5"/>
        <v>Sei</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6975</v>
      </c>
      <c r="J31" t="s">
        <v>5479</v>
      </c>
      <c r="K31" s="9" t="s">
        <v>265</v>
      </c>
      <c r="P31" s="9" t="s">
        <v>6898</v>
      </c>
      <c r="T31" s="9" t="s">
        <v>180</v>
      </c>
      <c r="U31" s="9" t="s">
        <v>257</v>
      </c>
      <c r="AV31" t="s">
        <v>258</v>
      </c>
      <c r="AZ31" s="1" t="str">
        <f t="shared" si="2"/>
        <v>KH2002</v>
      </c>
      <c r="BA31" s="1" t="str">
        <f t="shared" si="3"/>
        <v>StechkinMod</v>
      </c>
      <c r="BB31" s="1" t="str">
        <f t="shared" si="4"/>
        <v/>
      </c>
      <c r="BC31" s="1" t="str">
        <f t="shared" si="5"/>
        <v>StechkinMod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823</v>
      </c>
      <c r="K32" s="9" t="s">
        <v>264</v>
      </c>
      <c r="P32" s="9" t="s">
        <v>795</v>
      </c>
      <c r="U32" s="9" t="s">
        <v>256</v>
      </c>
      <c r="AV32" t="s">
        <v>74</v>
      </c>
      <c r="AZ32" s="1" t="str">
        <f t="shared" si="2"/>
        <v>M4 SOPMOD IIMod</v>
      </c>
      <c r="BA32" s="1" t="str">
        <f t="shared" si="3"/>
        <v>Tae</v>
      </c>
      <c r="BB32" s="1" t="str">
        <f t="shared" si="4"/>
        <v/>
      </c>
      <c r="BC32" s="1" t="str">
        <f t="shared" si="5"/>
        <v>Tae</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793</v>
      </c>
      <c r="K33" s="9" t="s">
        <v>79</v>
      </c>
      <c r="P33" s="9" t="s">
        <v>737</v>
      </c>
      <c r="U33" s="9" t="s">
        <v>179</v>
      </c>
      <c r="AV33" t="s">
        <v>104</v>
      </c>
      <c r="AZ33" s="1" t="str">
        <f t="shared" si="2"/>
        <v>M4A1Mod</v>
      </c>
      <c r="BA33" s="1" t="str">
        <f t="shared" si="3"/>
        <v>Theresa</v>
      </c>
      <c r="BB33" s="1" t="str">
        <f t="shared" si="4"/>
        <v/>
      </c>
      <c r="BC33" s="1" t="str">
        <f t="shared" si="5"/>
        <v>Theresa</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F34" s="9" t="s">
        <v>836</v>
      </c>
      <c r="K34" s="9" t="s">
        <v>817</v>
      </c>
      <c r="P34" s="9" t="s">
        <v>814</v>
      </c>
      <c r="U34" t="s">
        <v>1397</v>
      </c>
      <c r="AV34" t="s">
        <v>744</v>
      </c>
      <c r="AZ34" s="1" t="str">
        <f t="shared" si="2"/>
        <v>MDR</v>
      </c>
      <c r="BA34" s="1" t="str">
        <f t="shared" si="3"/>
        <v>Webley</v>
      </c>
      <c r="BB34" s="1" t="str">
        <f t="shared" si="4"/>
        <v/>
      </c>
      <c r="BC34" s="1" t="str">
        <f t="shared" si="5"/>
        <v>Webley</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s="9" t="s">
        <v>1625</v>
      </c>
      <c r="AV35" t="s">
        <v>3214</v>
      </c>
      <c r="AZ35" s="1" t="str">
        <f t="shared" si="2"/>
        <v>Medusa</v>
      </c>
      <c r="BA35" s="1" t="str">
        <f t="shared" si="3"/>
        <v>Welrod MkII</v>
      </c>
      <c r="BB35" s="1" t="str">
        <f t="shared" si="4"/>
        <v/>
      </c>
      <c r="BC35" s="1" t="str">
        <f t="shared" si="5"/>
        <v>Welrod MkII</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t="s">
        <v>5708</v>
      </c>
      <c r="AV36" t="s">
        <v>72</v>
      </c>
      <c r="AZ36" s="1" t="str">
        <f t="shared" si="2"/>
        <v>OTs14</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s="9" t="s">
        <v>791</v>
      </c>
      <c r="AV37" t="s">
        <v>746</v>
      </c>
      <c r="AZ37" s="1" t="str">
        <f t="shared" si="2"/>
        <v>QBZ191</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s="9" t="s">
        <v>230</v>
      </c>
      <c r="AV38" t="s">
        <v>794</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t="s">
        <v>1755</v>
      </c>
      <c r="AV39" t="s">
        <v>748</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CF05</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1670</v>
      </c>
      <c r="AV40" t="s">
        <v>747</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ClaesMeteorite</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6906</v>
      </c>
      <c r="AV41" t="s">
        <v>749</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ClaesSpectacles</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6400</v>
      </c>
      <c r="AV42" t="s">
        <v>718</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ClaesWristwatch</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891</v>
      </c>
      <c r="AV43" t="s">
        <v>1642</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Clear</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246</v>
      </c>
      <c r="AV44" t="s">
        <v>161</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CMS</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1683</v>
      </c>
      <c r="AV45" t="s">
        <v>152</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Contender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s="9" t="s">
        <v>160</v>
      </c>
      <c r="AV46" t="s">
        <v>736</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CZ75</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1679</v>
      </c>
      <c r="AV47" t="s">
        <v>1605</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Dana</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t="s">
        <v>6763</v>
      </c>
      <c r="AV48" t="s">
        <v>722</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Defender</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792</v>
      </c>
      <c r="AV49" t="s">
        <v>7168</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Dorothy</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133</v>
      </c>
      <c r="AV50" t="s">
        <v>109</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DP12Mod</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134</v>
      </c>
      <c r="AV51" t="s">
        <v>8781</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DP28</v>
      </c>
      <c r="BP51" s="1" t="str">
        <f t="shared" si="18"/>
        <v/>
      </c>
      <c r="BQ51" s="1" t="str">
        <f t="shared" si="19"/>
        <v/>
      </c>
      <c r="BR51" s="1" t="str">
        <f t="shared" si="20"/>
        <v/>
      </c>
      <c r="BS51" s="1" t="str">
        <f t="shared" si="21"/>
        <v/>
      </c>
    </row>
    <row r="52" spans="1:73" x14ac:dyDescent="0.25">
      <c r="A52" s="9"/>
      <c r="C52" s="9"/>
      <c r="D52" s="9"/>
      <c r="U52" s="9" t="s">
        <v>807</v>
      </c>
      <c r="AV52" t="s">
        <v>8806</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EM2Mod</v>
      </c>
      <c r="BP52" s="1" t="str">
        <f t="shared" si="18"/>
        <v/>
      </c>
      <c r="BQ52" s="1" t="str">
        <f t="shared" si="19"/>
        <v/>
      </c>
      <c r="BR52" s="1" t="str">
        <f t="shared" si="20"/>
        <v/>
      </c>
      <c r="BS52" s="1" t="str">
        <f t="shared" si="21"/>
        <v/>
      </c>
    </row>
    <row r="53" spans="1:73" x14ac:dyDescent="0.25">
      <c r="A53" s="9"/>
      <c r="C53" s="9"/>
      <c r="D53" s="9"/>
      <c r="U53" t="s">
        <v>7216</v>
      </c>
      <c r="AV53" t="s">
        <v>3179</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EVO 3Mod</v>
      </c>
      <c r="BP53" s="1" t="str">
        <f t="shared" si="18"/>
        <v/>
      </c>
      <c r="BQ53" s="1" t="str">
        <f t="shared" si="19"/>
        <v/>
      </c>
      <c r="BR53" s="1" t="str">
        <f t="shared" si="20"/>
        <v/>
      </c>
      <c r="BS53" s="1" t="str">
        <f t="shared" si="21"/>
        <v/>
      </c>
    </row>
    <row r="54" spans="1:73" x14ac:dyDescent="0.25">
      <c r="A54" s="9"/>
      <c r="C54" s="9"/>
      <c r="D54" s="9"/>
      <c r="U54" t="s">
        <v>5737</v>
      </c>
      <c r="AV54" t="s">
        <v>8840</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EVO3</v>
      </c>
      <c r="BP54" s="1" t="str">
        <f t="shared" si="18"/>
        <v/>
      </c>
      <c r="BQ54" s="1" t="str">
        <f t="shared" si="19"/>
        <v/>
      </c>
      <c r="BR54" s="1" t="str">
        <f t="shared" si="20"/>
        <v/>
      </c>
      <c r="BS54" s="1" t="str">
        <f t="shared" si="21"/>
        <v/>
      </c>
    </row>
    <row r="55" spans="1:73" x14ac:dyDescent="0.25">
      <c r="A55" s="9"/>
      <c r="C55" s="9"/>
      <c r="D55" s="9"/>
      <c r="U55" s="9" t="s">
        <v>169</v>
      </c>
      <c r="AV55" t="s">
        <v>827</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Ezaki</v>
      </c>
      <c r="BP55" s="1" t="str">
        <f t="shared" si="18"/>
        <v/>
      </c>
      <c r="BQ55" s="1" t="str">
        <f t="shared" si="19"/>
        <v/>
      </c>
      <c r="BR55" s="1" t="str">
        <f t="shared" si="20"/>
        <v/>
      </c>
      <c r="BS55" s="1" t="str">
        <f t="shared" si="21"/>
        <v/>
      </c>
    </row>
    <row r="56" spans="1:73" x14ac:dyDescent="0.25">
      <c r="A56" s="9"/>
      <c r="C56" s="9"/>
      <c r="D56" s="9"/>
      <c r="AV56" t="s">
        <v>1184</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F1Mod</v>
      </c>
      <c r="BP56" s="1" t="str">
        <f t="shared" si="18"/>
        <v/>
      </c>
      <c r="BQ56" s="1" t="str">
        <f t="shared" si="19"/>
        <v/>
      </c>
      <c r="BR56" s="1" t="str">
        <f t="shared" si="20"/>
        <v/>
      </c>
      <c r="BS56" s="1" t="str">
        <f t="shared" si="21"/>
        <v/>
      </c>
    </row>
    <row r="57" spans="1:73" x14ac:dyDescent="0.25">
      <c r="A57" s="9"/>
      <c r="C57" s="9"/>
      <c r="D57" s="9"/>
      <c r="AV57" t="s">
        <v>719</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F2000</v>
      </c>
      <c r="BP57" s="1" t="str">
        <f t="shared" si="18"/>
        <v/>
      </c>
      <c r="BQ57" s="1" t="str">
        <f t="shared" si="19"/>
        <v/>
      </c>
      <c r="BR57" s="1" t="str">
        <f t="shared" si="20"/>
        <v/>
      </c>
      <c r="BS57" s="1" t="str">
        <f t="shared" si="21"/>
        <v/>
      </c>
    </row>
    <row r="58" spans="1:73" x14ac:dyDescent="0.25">
      <c r="A58" s="9"/>
      <c r="C58" s="9"/>
      <c r="D58" s="9"/>
      <c r="AV58" t="s">
        <v>8775</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Fail</v>
      </c>
      <c r="BP58" s="1" t="str">
        <f t="shared" si="18"/>
        <v/>
      </c>
      <c r="BQ58" s="1" t="str">
        <f t="shared" si="19"/>
        <v/>
      </c>
      <c r="BR58" s="1" t="str">
        <f t="shared" si="20"/>
        <v/>
      </c>
      <c r="BS58" s="1" t="str">
        <f t="shared" si="21"/>
        <v/>
      </c>
    </row>
    <row r="59" spans="1:73" x14ac:dyDescent="0.25">
      <c r="A59" s="9"/>
      <c r="C59" s="9"/>
      <c r="D59" s="9"/>
      <c r="AV59" t="s">
        <v>711</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FalconMod</v>
      </c>
      <c r="BP59" s="1" t="str">
        <f t="shared" si="18"/>
        <v/>
      </c>
      <c r="BQ59" s="1" t="str">
        <f t="shared" si="19"/>
        <v/>
      </c>
      <c r="BR59" s="1" t="str">
        <f t="shared" si="20"/>
        <v/>
      </c>
      <c r="BS59" s="1" t="str">
        <f t="shared" si="21"/>
        <v/>
      </c>
    </row>
    <row r="60" spans="1:73" x14ac:dyDescent="0.25">
      <c r="A60" s="9"/>
      <c r="C60" s="9"/>
      <c r="D60" s="9"/>
      <c r="AV60" t="s">
        <v>125</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FAMAS</v>
      </c>
      <c r="BP60" s="1" t="str">
        <f t="shared" si="18"/>
        <v/>
      </c>
      <c r="BQ60" s="1" t="str">
        <f t="shared" si="19"/>
        <v/>
      </c>
      <c r="BR60" s="1" t="str">
        <f t="shared" si="20"/>
        <v/>
      </c>
      <c r="BS60" s="1" t="str">
        <f t="shared" si="21"/>
        <v/>
      </c>
    </row>
    <row r="61" spans="1:73" x14ac:dyDescent="0.25">
      <c r="A61" s="9"/>
      <c r="C61" s="9"/>
      <c r="D61" s="9"/>
      <c r="AV61" t="s">
        <v>1629</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FG42</v>
      </c>
      <c r="BP61" s="1" t="str">
        <f t="shared" si="18"/>
        <v/>
      </c>
      <c r="BQ61" s="1" t="str">
        <f t="shared" si="19"/>
        <v/>
      </c>
      <c r="BR61" s="1" t="str">
        <f t="shared" si="20"/>
        <v/>
      </c>
      <c r="BS61" s="1" t="str">
        <f t="shared" si="21"/>
        <v/>
      </c>
    </row>
    <row r="62" spans="1:73" x14ac:dyDescent="0.25">
      <c r="A62" s="9"/>
      <c r="C62" s="9"/>
      <c r="D62" s="9"/>
      <c r="AV62" t="s">
        <v>1418</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Fiveseven</v>
      </c>
      <c r="BP62" s="1" t="str">
        <f t="shared" si="18"/>
        <v/>
      </c>
      <c r="BQ62" s="1" t="str">
        <f t="shared" si="19"/>
        <v/>
      </c>
      <c r="BR62" s="1" t="str">
        <f t="shared" si="20"/>
        <v/>
      </c>
      <c r="BS62" s="1" t="str">
        <f t="shared" si="21"/>
        <v/>
      </c>
    </row>
    <row r="63" spans="1:73" x14ac:dyDescent="0.25">
      <c r="A63" s="9"/>
      <c r="C63" s="9"/>
      <c r="D63" s="9"/>
      <c r="AV63" t="s">
        <v>1637</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FN49Mod</v>
      </c>
      <c r="BP63" s="1" t="str">
        <f t="shared" si="18"/>
        <v/>
      </c>
      <c r="BQ63" s="1" t="str">
        <f t="shared" si="19"/>
        <v/>
      </c>
      <c r="BR63" s="1" t="str">
        <f t="shared" si="20"/>
        <v/>
      </c>
      <c r="BS63" s="1" t="str">
        <f t="shared" si="21"/>
        <v/>
      </c>
    </row>
    <row r="64" spans="1:73" x14ac:dyDescent="0.25">
      <c r="C64" s="9"/>
      <c r="D64" s="9"/>
      <c r="AV64" t="s">
        <v>1448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FP6</v>
      </c>
      <c r="BP64" s="1" t="str">
        <f t="shared" si="18"/>
        <v/>
      </c>
      <c r="BQ64" s="1" t="str">
        <f t="shared" si="19"/>
        <v/>
      </c>
      <c r="BR64" s="1" t="str">
        <f t="shared" si="20"/>
        <v/>
      </c>
      <c r="BS64" s="1" t="str">
        <f t="shared" si="21"/>
        <v/>
      </c>
    </row>
    <row r="65" spans="3:71" x14ac:dyDescent="0.25">
      <c r="C65" s="9"/>
      <c r="D65" s="9"/>
      <c r="AV65" t="s">
        <v>75</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G11Mod</v>
      </c>
      <c r="BP65" s="1" t="str">
        <f t="shared" si="18"/>
        <v/>
      </c>
      <c r="BQ65" s="1" t="str">
        <f t="shared" si="19"/>
        <v/>
      </c>
      <c r="BR65" s="1" t="str">
        <f t="shared" si="20"/>
        <v/>
      </c>
      <c r="BS65" s="1" t="str">
        <f t="shared" si="21"/>
        <v/>
      </c>
    </row>
    <row r="66" spans="3:71" x14ac:dyDescent="0.25">
      <c r="C66" s="9"/>
      <c r="D66" s="9"/>
      <c r="AV66" t="s">
        <v>1749</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G17</v>
      </c>
      <c r="BP66" s="1" t="str">
        <f t="shared" si="18"/>
        <v/>
      </c>
      <c r="BQ66" s="1" t="str">
        <f t="shared" si="19"/>
        <v/>
      </c>
      <c r="BR66" s="1" t="str">
        <f t="shared" si="20"/>
        <v/>
      </c>
      <c r="BS66" s="1" t="str">
        <f t="shared" si="21"/>
        <v/>
      </c>
    </row>
    <row r="67" spans="3:71" x14ac:dyDescent="0.25">
      <c r="C67" s="9"/>
      <c r="D67" s="9"/>
      <c r="AV67" t="s">
        <v>1430</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G36CMod</v>
      </c>
      <c r="BP67" s="1" t="str">
        <f t="shared" si="18"/>
        <v/>
      </c>
      <c r="BQ67" s="1" t="str">
        <f t="shared" si="19"/>
        <v/>
      </c>
      <c r="BR67" s="1" t="str">
        <f t="shared" si="20"/>
        <v/>
      </c>
      <c r="BS67" s="1" t="str">
        <f t="shared" si="21"/>
        <v/>
      </c>
    </row>
    <row r="68" spans="3:71" x14ac:dyDescent="0.25">
      <c r="D68" s="9"/>
      <c r="AV68" t="s">
        <v>8883</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G36Mod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1428</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G36ModGZ</v>
      </c>
      <c r="BP69" s="1" t="str">
        <f t="shared" si="38"/>
        <v/>
      </c>
      <c r="BQ69" s="1" t="str">
        <f t="shared" si="39"/>
        <v/>
      </c>
      <c r="BR69" s="1" t="str">
        <f t="shared" si="40"/>
        <v/>
      </c>
      <c r="BS69" s="1" t="str">
        <f t="shared" si="41"/>
        <v/>
      </c>
    </row>
    <row r="70" spans="3:71" x14ac:dyDescent="0.25">
      <c r="D70" s="9"/>
      <c r="AV70" t="s">
        <v>8724</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G3Mod</v>
      </c>
      <c r="BP70" s="1" t="str">
        <f t="shared" si="38"/>
        <v/>
      </c>
      <c r="BQ70" s="1" t="str">
        <f t="shared" si="39"/>
        <v/>
      </c>
      <c r="BR70" s="1" t="str">
        <f t="shared" si="40"/>
        <v/>
      </c>
      <c r="BS70" s="1" t="str">
        <f t="shared" si="41"/>
        <v/>
      </c>
    </row>
    <row r="71" spans="3:71" x14ac:dyDescent="0.25">
      <c r="AV71" t="s">
        <v>735</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G3ModGZ</v>
      </c>
      <c r="BP71" s="1" t="str">
        <f t="shared" si="38"/>
        <v/>
      </c>
      <c r="BQ71" s="1" t="str">
        <f t="shared" si="39"/>
        <v/>
      </c>
      <c r="BR71" s="1" t="str">
        <f t="shared" si="40"/>
        <v/>
      </c>
      <c r="BS71" s="1" t="str">
        <f t="shared" si="41"/>
        <v/>
      </c>
    </row>
    <row r="72" spans="3:71" x14ac:dyDescent="0.25">
      <c r="AV72" t="s">
        <v>94</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G41</v>
      </c>
      <c r="BP72" s="1" t="str">
        <f t="shared" si="38"/>
        <v/>
      </c>
      <c r="BQ72" s="1" t="str">
        <f t="shared" si="39"/>
        <v/>
      </c>
      <c r="BR72" s="1" t="str">
        <f t="shared" si="40"/>
        <v/>
      </c>
      <c r="BS72" s="1" t="str">
        <f t="shared" si="41"/>
        <v/>
      </c>
    </row>
    <row r="73" spans="3:71" x14ac:dyDescent="0.25">
      <c r="AV73" t="s">
        <v>832</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G43</v>
      </c>
      <c r="BP73" s="1" t="str">
        <f t="shared" si="38"/>
        <v/>
      </c>
      <c r="BQ73" s="1" t="str">
        <f t="shared" si="39"/>
        <v/>
      </c>
      <c r="BR73" s="1" t="str">
        <f t="shared" si="40"/>
        <v/>
      </c>
      <c r="BS73" s="1" t="str">
        <f t="shared" si="41"/>
        <v/>
      </c>
    </row>
    <row r="74" spans="3:71" x14ac:dyDescent="0.25">
      <c r="AV74" t="s">
        <v>1756</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Galil Mod</v>
      </c>
      <c r="BP74" s="1" t="str">
        <f t="shared" si="38"/>
        <v/>
      </c>
      <c r="BQ74" s="1" t="str">
        <f t="shared" si="39"/>
        <v/>
      </c>
      <c r="BR74" s="1" t="str">
        <f t="shared" si="40"/>
        <v/>
      </c>
      <c r="BS74" s="1" t="str">
        <f t="shared" si="41"/>
        <v/>
      </c>
    </row>
    <row r="75" spans="3:71" x14ac:dyDescent="0.25">
      <c r="AV75" t="s">
        <v>120</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Gepard M1Mod</v>
      </c>
      <c r="BP75" s="1" t="str">
        <f t="shared" si="38"/>
        <v/>
      </c>
      <c r="BQ75" s="1" t="str">
        <f t="shared" si="39"/>
        <v/>
      </c>
      <c r="BR75" s="1" t="str">
        <f t="shared" si="40"/>
        <v/>
      </c>
      <c r="BS75" s="1" t="str">
        <f t="shared" si="41"/>
        <v/>
      </c>
    </row>
    <row r="76" spans="3:71" x14ac:dyDescent="0.25">
      <c r="AV76" t="s">
        <v>1686</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Grizzly</v>
      </c>
      <c r="BP76" s="1" t="str">
        <f t="shared" si="38"/>
        <v/>
      </c>
      <c r="BQ76" s="1" t="str">
        <f t="shared" si="39"/>
        <v/>
      </c>
      <c r="BR76" s="1" t="str">
        <f t="shared" si="40"/>
        <v/>
      </c>
      <c r="BS76" s="1" t="str">
        <f t="shared" si="41"/>
        <v/>
      </c>
    </row>
    <row r="77" spans="3:71" x14ac:dyDescent="0.25">
      <c r="AV77" t="s">
        <v>248</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GSh18Mod</v>
      </c>
      <c r="BP77" s="1" t="str">
        <f t="shared" si="38"/>
        <v/>
      </c>
      <c r="BQ77" s="1" t="str">
        <f t="shared" si="39"/>
        <v/>
      </c>
      <c r="BR77" s="1" t="str">
        <f t="shared" si="40"/>
        <v/>
      </c>
      <c r="BS77" s="1" t="str">
        <f t="shared" si="41"/>
        <v/>
      </c>
    </row>
    <row r="78" spans="3:71" x14ac:dyDescent="0.25">
      <c r="AV78" t="s">
        <v>223</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Henrietta</v>
      </c>
      <c r="BP78" s="1" t="str">
        <f t="shared" si="38"/>
        <v/>
      </c>
      <c r="BQ78" s="1" t="str">
        <f t="shared" si="39"/>
        <v/>
      </c>
      <c r="BR78" s="1" t="str">
        <f t="shared" si="40"/>
        <v/>
      </c>
      <c r="BS78" s="1" t="str">
        <f t="shared" si="41"/>
        <v/>
      </c>
    </row>
    <row r="79" spans="3:71" x14ac:dyDescent="0.25">
      <c r="AV79" t="s">
        <v>259</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HK416</v>
      </c>
      <c r="BP79" s="1" t="str">
        <f t="shared" si="38"/>
        <v/>
      </c>
      <c r="BQ79" s="1" t="str">
        <f t="shared" si="39"/>
        <v/>
      </c>
      <c r="BR79" s="1" t="str">
        <f t="shared" si="40"/>
        <v/>
      </c>
      <c r="BS79" s="1" t="str">
        <f t="shared" si="41"/>
        <v/>
      </c>
    </row>
    <row r="80" spans="3:71" x14ac:dyDescent="0.25">
      <c r="AV80" t="s">
        <v>8119</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HK416Mod</v>
      </c>
      <c r="BP80" s="1" t="str">
        <f t="shared" si="38"/>
        <v/>
      </c>
      <c r="BQ80" s="1" t="str">
        <f t="shared" si="39"/>
        <v/>
      </c>
      <c r="BR80" s="1" t="str">
        <f t="shared" si="40"/>
        <v/>
      </c>
      <c r="BS80" s="1" t="str">
        <f t="shared" si="41"/>
        <v/>
      </c>
    </row>
    <row r="81" spans="48:71" x14ac:dyDescent="0.25">
      <c r="AV81" t="s">
        <v>1720</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HK416ModGZ</v>
      </c>
      <c r="BP81" s="1" t="str">
        <f t="shared" si="38"/>
        <v/>
      </c>
      <c r="BQ81" s="1" t="str">
        <f t="shared" si="39"/>
        <v/>
      </c>
      <c r="BR81" s="1" t="str">
        <f t="shared" si="40"/>
        <v/>
      </c>
      <c r="BS81" s="1" t="str">
        <f t="shared" si="41"/>
        <v/>
      </c>
    </row>
    <row r="82" spans="48:71" x14ac:dyDescent="0.25">
      <c r="AV82" t="s">
        <v>262</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Honey Badger</v>
      </c>
      <c r="BP82" s="1" t="str">
        <f t="shared" si="38"/>
        <v/>
      </c>
      <c r="BQ82" s="1" t="str">
        <f t="shared" si="39"/>
        <v/>
      </c>
      <c r="BR82" s="1" t="str">
        <f t="shared" si="40"/>
        <v/>
      </c>
      <c r="BS82" s="1" t="str">
        <f t="shared" si="41"/>
        <v/>
      </c>
    </row>
    <row r="83" spans="48:71" x14ac:dyDescent="0.25">
      <c r="AV83" t="s">
        <v>78</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IDWMod</v>
      </c>
      <c r="BP83" s="1" t="str">
        <f t="shared" si="38"/>
        <v/>
      </c>
      <c r="BQ83" s="1" t="str">
        <f t="shared" si="39"/>
        <v/>
      </c>
      <c r="BR83" s="1" t="str">
        <f t="shared" si="40"/>
        <v/>
      </c>
      <c r="BS83" s="1" t="str">
        <f t="shared" si="41"/>
        <v/>
      </c>
    </row>
    <row r="84" spans="48:71" x14ac:dyDescent="0.25">
      <c r="AV84" t="s">
        <v>1692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Ingram</v>
      </c>
      <c r="BP84" s="1" t="str">
        <f t="shared" si="38"/>
        <v/>
      </c>
      <c r="BQ84" s="1" t="str">
        <f t="shared" si="39"/>
        <v/>
      </c>
      <c r="BR84" s="1" t="str">
        <f t="shared" si="40"/>
        <v/>
      </c>
      <c r="BS84" s="1" t="str">
        <f t="shared" si="41"/>
        <v/>
      </c>
    </row>
    <row r="85" spans="48:71" x14ac:dyDescent="0.25">
      <c r="AV85" t="s">
        <v>192</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Jashin</v>
      </c>
      <c r="BP85" s="1" t="str">
        <f t="shared" si="38"/>
        <v/>
      </c>
      <c r="BQ85" s="1" t="str">
        <f t="shared" si="39"/>
        <v/>
      </c>
      <c r="BR85" s="1" t="str">
        <f t="shared" si="40"/>
        <v/>
      </c>
      <c r="BS85" s="1" t="str">
        <f t="shared" si="41"/>
        <v/>
      </c>
    </row>
    <row r="86" spans="48:71" x14ac:dyDescent="0.25">
      <c r="AV86" t="s">
        <v>756</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Jericho</v>
      </c>
      <c r="BP86" s="1" t="str">
        <f t="shared" si="38"/>
        <v/>
      </c>
      <c r="BQ86" s="1" t="str">
        <f t="shared" si="39"/>
        <v/>
      </c>
      <c r="BR86" s="1" t="str">
        <f t="shared" si="40"/>
        <v/>
      </c>
      <c r="BS86" s="1" t="str">
        <f t="shared" si="41"/>
        <v/>
      </c>
    </row>
    <row r="87" spans="48:71" x14ac:dyDescent="0.25">
      <c r="AV87" t="s">
        <v>759</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JillAdelhyde1</v>
      </c>
      <c r="BP87" s="1" t="str">
        <f t="shared" si="38"/>
        <v/>
      </c>
      <c r="BQ87" s="1" t="str">
        <f t="shared" si="39"/>
        <v/>
      </c>
      <c r="BR87" s="1" t="str">
        <f t="shared" si="40"/>
        <v/>
      </c>
      <c r="BS87" s="1" t="str">
        <f t="shared" si="41"/>
        <v/>
      </c>
    </row>
    <row r="88" spans="48:71" x14ac:dyDescent="0.25">
      <c r="AV88" t="s">
        <v>760</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JillAdelhyde2</v>
      </c>
      <c r="BP88" s="1" t="str">
        <f t="shared" si="38"/>
        <v/>
      </c>
      <c r="BQ88" s="1" t="str">
        <f t="shared" si="39"/>
        <v/>
      </c>
      <c r="BR88" s="1" t="str">
        <f t="shared" si="40"/>
        <v/>
      </c>
      <c r="BS88" s="1" t="str">
        <f t="shared" si="41"/>
        <v/>
      </c>
    </row>
    <row r="89" spans="48:71" x14ac:dyDescent="0.25">
      <c r="AV89" t="s">
        <v>757</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JillBronsonExtract</v>
      </c>
      <c r="BP89" s="1" t="str">
        <f t="shared" si="38"/>
        <v/>
      </c>
      <c r="BQ89" s="1" t="str">
        <f t="shared" si="39"/>
        <v/>
      </c>
      <c r="BR89" s="1" t="str">
        <f t="shared" si="40"/>
        <v/>
      </c>
      <c r="BS89" s="1" t="str">
        <f t="shared" si="41"/>
        <v/>
      </c>
    </row>
    <row r="90" spans="48:71" x14ac:dyDescent="0.25">
      <c r="AV90" t="s">
        <v>755</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JillFlanergide</v>
      </c>
      <c r="BP90" s="1" t="str">
        <f t="shared" si="38"/>
        <v/>
      </c>
      <c r="BQ90" s="1" t="str">
        <f t="shared" si="39"/>
        <v/>
      </c>
      <c r="BR90" s="1" t="str">
        <f t="shared" si="40"/>
        <v/>
      </c>
      <c r="BS90" s="1" t="str">
        <f t="shared" si="41"/>
        <v/>
      </c>
    </row>
    <row r="91" spans="48:71" x14ac:dyDescent="0.25">
      <c r="AV91" t="s">
        <v>758</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JillKarmotrine1</v>
      </c>
      <c r="BP91" s="1" t="str">
        <f t="shared" si="38"/>
        <v/>
      </c>
      <c r="BQ91" s="1" t="str">
        <f t="shared" si="39"/>
        <v/>
      </c>
      <c r="BR91" s="1" t="str">
        <f t="shared" si="40"/>
        <v/>
      </c>
      <c r="BS91" s="1" t="str">
        <f t="shared" si="41"/>
        <v/>
      </c>
    </row>
    <row r="92" spans="48:71" x14ac:dyDescent="0.25">
      <c r="AV92" t="s">
        <v>761</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JillKarmotrine2</v>
      </c>
      <c r="BP92" s="1" t="str">
        <f t="shared" si="38"/>
        <v/>
      </c>
      <c r="BQ92" s="1" t="str">
        <f t="shared" si="39"/>
        <v/>
      </c>
      <c r="BR92" s="1" t="str">
        <f t="shared" si="40"/>
        <v/>
      </c>
      <c r="BS92" s="1" t="str">
        <f t="shared" si="41"/>
        <v/>
      </c>
    </row>
    <row r="93" spans="48:71" x14ac:dyDescent="0.25">
      <c r="AV93" t="s">
        <v>842</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JillKarmotrine3</v>
      </c>
      <c r="BP93" s="1" t="str">
        <f t="shared" si="38"/>
        <v/>
      </c>
      <c r="BQ93" s="1" t="str">
        <f t="shared" si="39"/>
        <v/>
      </c>
      <c r="BR93" s="1" t="str">
        <f t="shared" si="40"/>
        <v/>
      </c>
      <c r="BS93" s="1" t="str">
        <f t="shared" si="41"/>
        <v/>
      </c>
    </row>
    <row r="94" spans="48:71" x14ac:dyDescent="0.25">
      <c r="AV94" t="s">
        <v>7009</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JillPowderedDelta</v>
      </c>
      <c r="BP94" s="1" t="str">
        <f t="shared" si="38"/>
        <v/>
      </c>
      <c r="BQ94" s="1" t="str">
        <f t="shared" si="39"/>
        <v/>
      </c>
      <c r="BR94" s="1" t="str">
        <f t="shared" si="40"/>
        <v/>
      </c>
      <c r="BS94" s="1" t="str">
        <f t="shared" si="41"/>
        <v/>
      </c>
    </row>
    <row r="95" spans="48:71" x14ac:dyDescent="0.25">
      <c r="AV95" t="s">
        <v>188</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Junko</v>
      </c>
      <c r="BP95" s="1" t="str">
        <f t="shared" si="38"/>
        <v/>
      </c>
      <c r="BQ95" s="1" t="str">
        <f t="shared" si="39"/>
        <v/>
      </c>
      <c r="BR95" s="1" t="str">
        <f t="shared" si="40"/>
        <v/>
      </c>
      <c r="BS95" s="1" t="str">
        <f t="shared" si="41"/>
        <v/>
      </c>
    </row>
    <row r="96" spans="48:71" x14ac:dyDescent="0.25">
      <c r="AV96" t="s">
        <v>168</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K11</v>
      </c>
      <c r="BP96" s="1" t="str">
        <f t="shared" si="38"/>
        <v/>
      </c>
      <c r="BQ96" s="1" t="str">
        <f t="shared" si="39"/>
        <v/>
      </c>
      <c r="BR96" s="1" t="str">
        <f t="shared" si="40"/>
        <v/>
      </c>
      <c r="BS96" s="1" t="str">
        <f t="shared" si="41"/>
        <v/>
      </c>
    </row>
    <row r="97" spans="48:71" x14ac:dyDescent="0.25">
      <c r="AV97" t="s">
        <v>191</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K2</v>
      </c>
      <c r="BP97" s="1" t="str">
        <f t="shared" si="38"/>
        <v/>
      </c>
      <c r="BQ97" s="1" t="str">
        <f t="shared" si="39"/>
        <v/>
      </c>
      <c r="BR97" s="1" t="str">
        <f t="shared" si="40"/>
        <v/>
      </c>
      <c r="BS97" s="1" t="str">
        <f t="shared" si="41"/>
        <v/>
      </c>
    </row>
    <row r="98" spans="48:71" x14ac:dyDescent="0.25">
      <c r="AV98" t="s">
        <v>7153</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K31</v>
      </c>
      <c r="BP98" s="1" t="str">
        <f t="shared" si="38"/>
        <v/>
      </c>
      <c r="BQ98" s="1" t="str">
        <f t="shared" si="39"/>
        <v/>
      </c>
      <c r="BR98" s="1" t="str">
        <f t="shared" si="40"/>
        <v/>
      </c>
      <c r="BS98" s="1" t="str">
        <f t="shared" si="41"/>
        <v/>
      </c>
    </row>
    <row r="99" spans="48:71" x14ac:dyDescent="0.25">
      <c r="AV99" t="s">
        <v>93</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K5Mod</v>
      </c>
      <c r="BP99" s="1" t="str">
        <f t="shared" si="38"/>
        <v/>
      </c>
      <c r="BQ99" s="1" t="str">
        <f t="shared" si="39"/>
        <v/>
      </c>
      <c r="BR99" s="1" t="str">
        <f t="shared" si="40"/>
        <v/>
      </c>
      <c r="BS99" s="1" t="str">
        <f t="shared" si="41"/>
        <v/>
      </c>
    </row>
    <row r="100" spans="48:71" x14ac:dyDescent="0.25">
      <c r="AV100" t="s">
        <v>6760</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Kar98k</v>
      </c>
      <c r="BP100" s="1" t="str">
        <f t="shared" si="38"/>
        <v/>
      </c>
      <c r="BQ100" s="1" t="str">
        <f t="shared" si="39"/>
        <v/>
      </c>
      <c r="BR100" s="1" t="str">
        <f t="shared" si="40"/>
        <v/>
      </c>
      <c r="BS100" s="1" t="str">
        <f t="shared" si="41"/>
        <v/>
      </c>
    </row>
    <row r="101" spans="48:71" x14ac:dyDescent="0.25">
      <c r="AV101" t="s">
        <v>723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Kar98kmod</v>
      </c>
      <c r="BP101" s="1" t="str">
        <f t="shared" si="38"/>
        <v/>
      </c>
      <c r="BQ101" s="1" t="str">
        <f t="shared" si="39"/>
        <v/>
      </c>
      <c r="BR101" s="1" t="str">
        <f t="shared" si="40"/>
        <v/>
      </c>
      <c r="BS101" s="1" t="str">
        <f t="shared" si="41"/>
        <v/>
      </c>
    </row>
    <row r="102" spans="48:71" x14ac:dyDescent="0.25">
      <c r="AV102" t="s">
        <v>266</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KS23</v>
      </c>
      <c r="BP102" s="1" t="str">
        <f t="shared" si="38"/>
        <v/>
      </c>
      <c r="BQ102" s="1" t="str">
        <f t="shared" si="39"/>
        <v/>
      </c>
      <c r="BR102" s="1" t="str">
        <f t="shared" si="40"/>
        <v/>
      </c>
      <c r="BS102" s="1" t="str">
        <f t="shared" si="41"/>
        <v/>
      </c>
    </row>
    <row r="103" spans="48:71" x14ac:dyDescent="0.25">
      <c r="AV103" t="s">
        <v>103</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KSVKMod</v>
      </c>
      <c r="BP103" s="1" t="str">
        <f t="shared" si="38"/>
        <v/>
      </c>
      <c r="BQ103" s="1" t="str">
        <f t="shared" si="39"/>
        <v/>
      </c>
      <c r="BR103" s="1" t="str">
        <f t="shared" si="40"/>
        <v/>
      </c>
      <c r="BS103" s="1" t="str">
        <f t="shared" si="41"/>
        <v/>
      </c>
    </row>
    <row r="104" spans="48:71" x14ac:dyDescent="0.25">
      <c r="AV104" t="s">
        <v>96</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L85A1</v>
      </c>
      <c r="BP104" s="1" t="str">
        <f t="shared" si="38"/>
        <v/>
      </c>
      <c r="BQ104" s="1" t="str">
        <f t="shared" si="39"/>
        <v/>
      </c>
      <c r="BR104" s="1" t="str">
        <f t="shared" si="40"/>
        <v/>
      </c>
      <c r="BS104" s="1" t="str">
        <f t="shared" si="41"/>
        <v/>
      </c>
    </row>
    <row r="105" spans="48:71" x14ac:dyDescent="0.25">
      <c r="AV105" t="s">
        <v>6761</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Lee Enfield</v>
      </c>
      <c r="BP105" s="1" t="str">
        <f t="shared" si="38"/>
        <v/>
      </c>
      <c r="BQ105" s="1" t="str">
        <f t="shared" si="39"/>
        <v/>
      </c>
      <c r="BR105" s="1" t="str">
        <f t="shared" si="40"/>
        <v/>
      </c>
      <c r="BS105" s="1" t="str">
        <f t="shared" si="41"/>
        <v/>
      </c>
    </row>
    <row r="106" spans="48:71" x14ac:dyDescent="0.25">
      <c r="AV106" t="s">
        <v>217</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Lee Enfieldmod</v>
      </c>
      <c r="BP106" s="1" t="str">
        <f t="shared" si="38"/>
        <v/>
      </c>
      <c r="BQ106" s="1" t="str">
        <f t="shared" si="39"/>
        <v/>
      </c>
      <c r="BR106" s="1" t="str">
        <f t="shared" si="40"/>
        <v/>
      </c>
      <c r="BS106" s="1" t="str">
        <f t="shared" si="41"/>
        <v/>
      </c>
    </row>
    <row r="107" spans="48:71" x14ac:dyDescent="0.25">
      <c r="AV107" t="s">
        <v>6985</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Liberator</v>
      </c>
      <c r="BP107" s="1" t="str">
        <f t="shared" si="38"/>
        <v/>
      </c>
      <c r="BQ107" s="1" t="str">
        <f t="shared" si="39"/>
        <v/>
      </c>
      <c r="BR107" s="1" t="str">
        <f t="shared" si="40"/>
        <v/>
      </c>
      <c r="BS107" s="1" t="str">
        <f t="shared" si="41"/>
        <v/>
      </c>
    </row>
    <row r="108" spans="48:71" x14ac:dyDescent="0.25">
      <c r="AV108" t="s">
        <v>261</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Lily</v>
      </c>
      <c r="BP108" s="1" t="str">
        <f t="shared" si="38"/>
        <v/>
      </c>
      <c r="BQ108" s="1" t="str">
        <f t="shared" si="39"/>
        <v/>
      </c>
      <c r="BR108" s="1" t="str">
        <f t="shared" si="40"/>
        <v/>
      </c>
      <c r="BS108" s="1" t="str">
        <f t="shared" si="41"/>
        <v/>
      </c>
    </row>
    <row r="109" spans="48:71" x14ac:dyDescent="0.25">
      <c r="AV109" t="s">
        <v>8830</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LWMMGMod</v>
      </c>
      <c r="BP109" s="1" t="str">
        <f t="shared" si="38"/>
        <v/>
      </c>
      <c r="BQ109" s="1" t="str">
        <f t="shared" si="39"/>
        <v/>
      </c>
      <c r="BR109" s="1" t="str">
        <f t="shared" si="40"/>
        <v/>
      </c>
      <c r="BS109" s="1" t="str">
        <f t="shared" si="41"/>
        <v/>
      </c>
    </row>
    <row r="110" spans="48:71" x14ac:dyDescent="0.25">
      <c r="AV110" t="s">
        <v>86</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LWMMGModGZ</v>
      </c>
      <c r="BP110" s="1" t="str">
        <f t="shared" si="38"/>
        <v/>
      </c>
      <c r="BQ110" s="1" t="str">
        <f t="shared" si="39"/>
        <v/>
      </c>
      <c r="BR110" s="1" t="str">
        <f t="shared" si="40"/>
        <v/>
      </c>
      <c r="BS110" s="1" t="str">
        <f t="shared" si="41"/>
        <v/>
      </c>
    </row>
    <row r="111" spans="48:71" x14ac:dyDescent="0.25">
      <c r="AV111" t="s">
        <v>255</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 Garand</v>
      </c>
      <c r="BP111" s="1" t="str">
        <f t="shared" si="38"/>
        <v/>
      </c>
      <c r="BQ111" s="1" t="str">
        <f t="shared" si="39"/>
        <v/>
      </c>
      <c r="BR111" s="1" t="str">
        <f t="shared" si="40"/>
        <v/>
      </c>
      <c r="BS111" s="1" t="str">
        <f t="shared" si="41"/>
        <v/>
      </c>
    </row>
    <row r="112" spans="48:71" x14ac:dyDescent="0.25">
      <c r="AV112" t="s">
        <v>98</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M14Mod</v>
      </c>
      <c r="BP112" s="1" t="str">
        <f t="shared" si="38"/>
        <v/>
      </c>
      <c r="BQ112" s="1" t="str">
        <f t="shared" si="39"/>
        <v/>
      </c>
      <c r="BR112" s="1" t="str">
        <f t="shared" si="40"/>
        <v/>
      </c>
      <c r="BS112" s="1" t="str">
        <f t="shared" si="41"/>
        <v/>
      </c>
    </row>
    <row r="113" spans="48:71" x14ac:dyDescent="0.25">
      <c r="AV113" t="s">
        <v>145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M16A1</v>
      </c>
      <c r="BP113" s="1" t="str">
        <f t="shared" si="38"/>
        <v/>
      </c>
      <c r="BQ113" s="1" t="str">
        <f t="shared" si="39"/>
        <v/>
      </c>
      <c r="BR113" s="1" t="str">
        <f t="shared" si="40"/>
        <v/>
      </c>
      <c r="BS113" s="1" t="str">
        <f t="shared" si="41"/>
        <v/>
      </c>
    </row>
    <row r="114" spans="48:71" x14ac:dyDescent="0.25">
      <c r="AV114" t="s">
        <v>785</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M1887</v>
      </c>
      <c r="BP114" s="1" t="str">
        <f t="shared" si="38"/>
        <v/>
      </c>
      <c r="BQ114" s="1" t="str">
        <f t="shared" si="39"/>
        <v/>
      </c>
      <c r="BR114" s="1" t="str">
        <f t="shared" si="40"/>
        <v/>
      </c>
      <c r="BS114" s="1" t="str">
        <f t="shared" si="41"/>
        <v/>
      </c>
    </row>
    <row r="115" spans="48:71" x14ac:dyDescent="0.25">
      <c r="AV115" t="s">
        <v>725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M1895Mod</v>
      </c>
      <c r="BP115" s="1" t="str">
        <f t="shared" si="38"/>
        <v/>
      </c>
      <c r="BQ115" s="1" t="str">
        <f t="shared" si="39"/>
        <v/>
      </c>
      <c r="BR115" s="1" t="str">
        <f t="shared" si="40"/>
        <v/>
      </c>
      <c r="BS115" s="1" t="str">
        <f t="shared" si="41"/>
        <v/>
      </c>
    </row>
    <row r="116" spans="48:71" x14ac:dyDescent="0.25">
      <c r="AV116" t="s">
        <v>253</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M1897Mod</v>
      </c>
      <c r="BP116" s="1" t="str">
        <f t="shared" si="38"/>
        <v/>
      </c>
      <c r="BQ116" s="1" t="str">
        <f t="shared" si="39"/>
        <v/>
      </c>
      <c r="BR116" s="1" t="str">
        <f t="shared" si="40"/>
        <v/>
      </c>
      <c r="BS116" s="1" t="str">
        <f t="shared" si="41"/>
        <v/>
      </c>
    </row>
    <row r="117" spans="48:71" x14ac:dyDescent="0.25">
      <c r="AV117" t="s">
        <v>8725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M1911Mod</v>
      </c>
      <c r="BP117" s="1" t="str">
        <f t="shared" si="38"/>
        <v/>
      </c>
      <c r="BQ117" s="1" t="str">
        <f t="shared" si="39"/>
        <v/>
      </c>
      <c r="BR117" s="1" t="str">
        <f t="shared" si="40"/>
        <v/>
      </c>
      <c r="BS117" s="1" t="str">
        <f t="shared" si="41"/>
        <v/>
      </c>
    </row>
    <row r="118" spans="48:71" x14ac:dyDescent="0.25">
      <c r="AV118" t="s">
        <v>105</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M1911ModGZ</v>
      </c>
      <c r="BP118" s="1" t="str">
        <f t="shared" si="38"/>
        <v/>
      </c>
      <c r="BQ118" s="1" t="str">
        <f t="shared" si="39"/>
        <v/>
      </c>
      <c r="BR118" s="1" t="str">
        <f t="shared" si="40"/>
        <v/>
      </c>
      <c r="BS118" s="1" t="str">
        <f t="shared" si="41"/>
        <v/>
      </c>
    </row>
    <row r="119" spans="48:71" x14ac:dyDescent="0.25">
      <c r="AV119" t="s">
        <v>260</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M1918</v>
      </c>
      <c r="BP119" s="1" t="str">
        <f t="shared" si="38"/>
        <v/>
      </c>
      <c r="BQ119" s="1" t="str">
        <f t="shared" si="39"/>
        <v/>
      </c>
      <c r="BR119" s="1" t="str">
        <f t="shared" si="40"/>
        <v/>
      </c>
      <c r="BS119" s="1" t="str">
        <f t="shared" si="41"/>
        <v/>
      </c>
    </row>
    <row r="120" spans="48:71" x14ac:dyDescent="0.25">
      <c r="AV120" t="s">
        <v>7307</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M1918Mod</v>
      </c>
      <c r="BP120" s="1" t="str">
        <f t="shared" si="38"/>
        <v/>
      </c>
      <c r="BQ120" s="1" t="str">
        <f t="shared" si="39"/>
        <v/>
      </c>
      <c r="BR120" s="1" t="str">
        <f t="shared" si="40"/>
        <v/>
      </c>
      <c r="BS120" s="1" t="str">
        <f t="shared" si="41"/>
        <v/>
      </c>
    </row>
    <row r="121" spans="48:71" x14ac:dyDescent="0.25">
      <c r="AV121" t="s">
        <v>107</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M1918Ranking</v>
      </c>
      <c r="BP121" s="1" t="str">
        <f t="shared" si="38"/>
        <v/>
      </c>
      <c r="BQ121" s="1" t="str">
        <f t="shared" si="39"/>
        <v/>
      </c>
      <c r="BR121" s="1" t="str">
        <f t="shared" si="40"/>
        <v/>
      </c>
      <c r="BS121" s="1" t="str">
        <f t="shared" si="41"/>
        <v/>
      </c>
    </row>
    <row r="122" spans="48:71" x14ac:dyDescent="0.25">
      <c r="AV122" t="s">
        <v>7146</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M1919A4</v>
      </c>
      <c r="BP122" s="1" t="str">
        <f t="shared" si="38"/>
        <v/>
      </c>
      <c r="BQ122" s="1" t="str">
        <f t="shared" si="39"/>
        <v/>
      </c>
      <c r="BR122" s="1" t="str">
        <f t="shared" si="40"/>
        <v/>
      </c>
      <c r="BS122" s="1" t="str">
        <f t="shared" si="41"/>
        <v/>
      </c>
    </row>
    <row r="123" spans="48:71" x14ac:dyDescent="0.25">
      <c r="AV123" t="s">
        <v>8340</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M1919A4Mod</v>
      </c>
      <c r="BP123" s="1" t="str">
        <f t="shared" si="38"/>
        <v/>
      </c>
      <c r="BQ123" s="1" t="str">
        <f t="shared" si="39"/>
        <v/>
      </c>
      <c r="BR123" s="1" t="str">
        <f t="shared" si="40"/>
        <v/>
      </c>
      <c r="BS123" s="1" t="str">
        <f t="shared" si="41"/>
        <v/>
      </c>
    </row>
    <row r="124" spans="48:71" x14ac:dyDescent="0.25">
      <c r="AV124" t="s">
        <v>789</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M1919A4ModGZ</v>
      </c>
      <c r="BP124" s="1" t="str">
        <f t="shared" si="38"/>
        <v/>
      </c>
      <c r="BQ124" s="1" t="str">
        <f t="shared" si="39"/>
        <v/>
      </c>
      <c r="BR124" s="1" t="str">
        <f t="shared" si="40"/>
        <v/>
      </c>
      <c r="BS124" s="1" t="str">
        <f t="shared" si="41"/>
        <v/>
      </c>
    </row>
    <row r="125" spans="48:71" x14ac:dyDescent="0.25">
      <c r="AV125" t="s">
        <v>89</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M1A1</v>
      </c>
      <c r="BP125" s="1" t="str">
        <f t="shared" si="38"/>
        <v/>
      </c>
      <c r="BQ125" s="1" t="str">
        <f t="shared" si="39"/>
        <v/>
      </c>
      <c r="BR125" s="1" t="str">
        <f t="shared" si="40"/>
        <v/>
      </c>
      <c r="BS125" s="1" t="str">
        <f t="shared" si="41"/>
        <v/>
      </c>
    </row>
    <row r="126" spans="48:71" x14ac:dyDescent="0.25">
      <c r="AV126" t="s">
        <v>1172</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M21</v>
      </c>
      <c r="BP126" s="1" t="str">
        <f t="shared" si="38"/>
        <v/>
      </c>
      <c r="BQ126" s="1" t="str">
        <f t="shared" si="39"/>
        <v/>
      </c>
      <c r="BR126" s="1" t="str">
        <f t="shared" si="40"/>
        <v/>
      </c>
      <c r="BS126" s="1" t="str">
        <f t="shared" si="41"/>
        <v/>
      </c>
    </row>
    <row r="127" spans="48:71" x14ac:dyDescent="0.25">
      <c r="AV127" t="s">
        <v>77</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M249SAW</v>
      </c>
      <c r="BP127" s="1" t="str">
        <f t="shared" si="38"/>
        <v/>
      </c>
      <c r="BQ127" s="1" t="str">
        <f t="shared" si="39"/>
        <v/>
      </c>
      <c r="BR127" s="1" t="str">
        <f t="shared" si="40"/>
        <v/>
      </c>
      <c r="BS127" s="1" t="str">
        <f t="shared" si="41"/>
        <v/>
      </c>
    </row>
    <row r="128" spans="48:71" x14ac:dyDescent="0.25">
      <c r="AV128" t="s">
        <v>147</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M3</v>
      </c>
      <c r="BP128" s="1" t="str">
        <f t="shared" si="38"/>
        <v/>
      </c>
      <c r="BQ128" s="1" t="str">
        <f t="shared" si="39"/>
        <v/>
      </c>
      <c r="BR128" s="1" t="str">
        <f t="shared" si="40"/>
        <v/>
      </c>
      <c r="BS128" s="1" t="str">
        <f t="shared" si="41"/>
        <v/>
      </c>
    </row>
    <row r="129" spans="48:71" x14ac:dyDescent="0.25">
      <c r="AV129" t="s">
        <v>715</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M37</v>
      </c>
      <c r="BP129" s="1" t="str">
        <f t="shared" si="38"/>
        <v/>
      </c>
      <c r="BQ129" s="1" t="str">
        <f t="shared" si="39"/>
        <v/>
      </c>
      <c r="BR129" s="1" t="str">
        <f t="shared" si="40"/>
        <v/>
      </c>
      <c r="BS129" s="1" t="str">
        <f t="shared" si="41"/>
        <v/>
      </c>
    </row>
    <row r="130" spans="48:71" x14ac:dyDescent="0.25">
      <c r="AV130" t="s">
        <v>257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M38Mod</v>
      </c>
      <c r="BP130" s="1" t="str">
        <f t="shared" si="38"/>
        <v/>
      </c>
      <c r="BQ130" s="1" t="str">
        <f t="shared" si="39"/>
        <v/>
      </c>
      <c r="BR130" s="1" t="str">
        <f t="shared" si="40"/>
        <v/>
      </c>
      <c r="BS130" s="1" t="str">
        <f t="shared" si="41"/>
        <v/>
      </c>
    </row>
    <row r="131" spans="48:71" x14ac:dyDescent="0.25">
      <c r="AV131" t="s">
        <v>256</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M4 SOPMOD IIMod</v>
      </c>
      <c r="BP131" s="1" t="str">
        <f t="shared" si="38"/>
        <v/>
      </c>
      <c r="BQ131" s="1" t="str">
        <f t="shared" si="39"/>
        <v/>
      </c>
      <c r="BR131" s="1" t="str">
        <f t="shared" si="40"/>
        <v/>
      </c>
      <c r="BS131" s="1" t="str">
        <f t="shared" si="41"/>
        <v/>
      </c>
    </row>
    <row r="132" spans="48:71" x14ac:dyDescent="0.25">
      <c r="AV132" t="s">
        <v>716</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M4A1Mod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812</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M500Mod</v>
      </c>
      <c r="BP133" s="1" t="str">
        <f t="shared" si="58"/>
        <v/>
      </c>
      <c r="BQ133" s="1" t="str">
        <f t="shared" si="59"/>
        <v/>
      </c>
      <c r="BR133" s="1" t="str">
        <f t="shared" si="60"/>
        <v/>
      </c>
      <c r="BS133" s="1" t="str">
        <f t="shared" si="61"/>
        <v/>
      </c>
    </row>
    <row r="134" spans="48:71" x14ac:dyDescent="0.25">
      <c r="AV134" t="s">
        <v>185</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M6 ASW</v>
      </c>
      <c r="BP134" s="1" t="str">
        <f t="shared" si="58"/>
        <v/>
      </c>
      <c r="BQ134" s="1" t="str">
        <f t="shared" si="59"/>
        <v/>
      </c>
      <c r="BR134" s="1" t="str">
        <f t="shared" si="60"/>
        <v/>
      </c>
      <c r="BS134" s="1" t="str">
        <f t="shared" si="61"/>
        <v/>
      </c>
    </row>
    <row r="135" spans="48:71" x14ac:dyDescent="0.25">
      <c r="AV135" t="s">
        <v>5633</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M82A1</v>
      </c>
      <c r="BP135" s="1" t="str">
        <f t="shared" si="58"/>
        <v/>
      </c>
      <c r="BQ135" s="1" t="str">
        <f t="shared" si="59"/>
        <v/>
      </c>
      <c r="BR135" s="1" t="str">
        <f t="shared" si="60"/>
        <v/>
      </c>
      <c r="BS135" s="1" t="str">
        <f t="shared" si="61"/>
        <v/>
      </c>
    </row>
    <row r="136" spans="48:71" x14ac:dyDescent="0.25">
      <c r="AV136" t="s">
        <v>63</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M870</v>
      </c>
      <c r="BP136" s="1" t="str">
        <f t="shared" si="58"/>
        <v/>
      </c>
      <c r="BQ136" s="1" t="str">
        <f t="shared" si="59"/>
        <v/>
      </c>
      <c r="BR136" s="1" t="str">
        <f t="shared" si="60"/>
        <v/>
      </c>
      <c r="BS136" s="1" t="str">
        <f t="shared" si="61"/>
        <v/>
      </c>
    </row>
    <row r="137" spans="48:71" x14ac:dyDescent="0.25">
      <c r="AV137" t="s">
        <v>263</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M9</v>
      </c>
      <c r="BP137" s="1" t="str">
        <f t="shared" si="58"/>
        <v/>
      </c>
      <c r="BQ137" s="1" t="str">
        <f t="shared" si="59"/>
        <v/>
      </c>
      <c r="BR137" s="1" t="str">
        <f t="shared" si="60"/>
        <v/>
      </c>
      <c r="BS137" s="1" t="str">
        <f t="shared" si="61"/>
        <v/>
      </c>
    </row>
    <row r="138" spans="48:71" x14ac:dyDescent="0.25">
      <c r="AV138" t="s">
        <v>8829</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M950AMod</v>
      </c>
      <c r="BP138" s="1" t="str">
        <f t="shared" si="58"/>
        <v/>
      </c>
      <c r="BQ138" s="1" t="str">
        <f t="shared" si="59"/>
        <v/>
      </c>
      <c r="BR138" s="1" t="str">
        <f t="shared" si="60"/>
        <v/>
      </c>
      <c r="BS138" s="1" t="str">
        <f t="shared" si="61"/>
        <v/>
      </c>
    </row>
    <row r="139" spans="48:71" x14ac:dyDescent="0.25">
      <c r="AV139" t="s">
        <v>68</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M950AModGZ</v>
      </c>
      <c r="BP139" s="1" t="str">
        <f t="shared" si="58"/>
        <v/>
      </c>
      <c r="BQ139" s="1" t="str">
        <f t="shared" si="59"/>
        <v/>
      </c>
      <c r="BR139" s="1" t="str">
        <f t="shared" si="60"/>
        <v/>
      </c>
      <c r="BS139" s="1" t="str">
        <f t="shared" si="61"/>
        <v/>
      </c>
    </row>
    <row r="140" spans="48:71" x14ac:dyDescent="0.25">
      <c r="AV140" t="s">
        <v>938</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Makarov</v>
      </c>
      <c r="BP140" s="1" t="str">
        <f t="shared" si="58"/>
        <v/>
      </c>
      <c r="BQ140" s="1" t="str">
        <f t="shared" si="59"/>
        <v/>
      </c>
      <c r="BR140" s="1" t="str">
        <f t="shared" si="60"/>
        <v/>
      </c>
      <c r="BS140" s="1" t="str">
        <f t="shared" si="61"/>
        <v/>
      </c>
    </row>
    <row r="141" spans="48:71" x14ac:dyDescent="0.25">
      <c r="AV141" t="s">
        <v>8128</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MakarovMod</v>
      </c>
      <c r="BP141" s="1" t="str">
        <f t="shared" si="58"/>
        <v/>
      </c>
      <c r="BQ141" s="1" t="str">
        <f t="shared" si="59"/>
        <v/>
      </c>
      <c r="BR141" s="1" t="str">
        <f t="shared" si="60"/>
        <v/>
      </c>
      <c r="BS141" s="1" t="str">
        <f t="shared" si="61"/>
        <v/>
      </c>
    </row>
    <row r="142" spans="48:71" x14ac:dyDescent="0.25">
      <c r="AV142" t="s">
        <v>179</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MakarovModGZ</v>
      </c>
      <c r="BP142" s="1" t="str">
        <f t="shared" si="58"/>
        <v/>
      </c>
      <c r="BQ142" s="1" t="str">
        <f t="shared" si="59"/>
        <v/>
      </c>
      <c r="BR142" s="1" t="str">
        <f t="shared" si="60"/>
        <v/>
      </c>
      <c r="BS142" s="1" t="str">
        <f t="shared" si="61"/>
        <v/>
      </c>
    </row>
    <row r="143" spans="48:71" x14ac:dyDescent="0.25">
      <c r="AV143" t="s">
        <v>1397</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MDR</v>
      </c>
      <c r="BP143" s="1" t="str">
        <f t="shared" si="58"/>
        <v/>
      </c>
      <c r="BQ143" s="1" t="str">
        <f t="shared" si="59"/>
        <v/>
      </c>
      <c r="BR143" s="1" t="str">
        <f t="shared" si="60"/>
        <v/>
      </c>
      <c r="BS143" s="1" t="str">
        <f t="shared" si="61"/>
        <v/>
      </c>
    </row>
    <row r="144" spans="48:71" x14ac:dyDescent="0.25">
      <c r="AV144" t="s">
        <v>114</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Medusa</v>
      </c>
      <c r="BP144" s="1" t="str">
        <f t="shared" si="58"/>
        <v/>
      </c>
      <c r="BQ144" s="1" t="str">
        <f t="shared" si="59"/>
        <v/>
      </c>
      <c r="BR144" s="1" t="str">
        <f t="shared" si="60"/>
        <v/>
      </c>
      <c r="BS144" s="1" t="str">
        <f t="shared" si="61"/>
        <v/>
      </c>
    </row>
    <row r="145" spans="48:71" x14ac:dyDescent="0.25">
      <c r="AV145" t="s">
        <v>6475</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MG3</v>
      </c>
      <c r="BP145" s="1" t="str">
        <f t="shared" si="58"/>
        <v/>
      </c>
      <c r="BQ145" s="1" t="str">
        <f t="shared" si="59"/>
        <v/>
      </c>
      <c r="BR145" s="1" t="str">
        <f t="shared" si="60"/>
        <v/>
      </c>
      <c r="BS145" s="1" t="str">
        <f t="shared" si="61"/>
        <v/>
      </c>
    </row>
    <row r="146" spans="48:71" x14ac:dyDescent="0.25">
      <c r="AV146" t="s">
        <v>8532</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MG3Mod</v>
      </c>
      <c r="BP146" s="1" t="str">
        <f t="shared" si="58"/>
        <v/>
      </c>
      <c r="BQ146" s="1" t="str">
        <f t="shared" si="59"/>
        <v/>
      </c>
      <c r="BR146" s="1" t="str">
        <f t="shared" si="60"/>
        <v/>
      </c>
      <c r="BS146" s="1" t="str">
        <f t="shared" si="61"/>
        <v/>
      </c>
    </row>
    <row r="147" spans="48:71" x14ac:dyDescent="0.25">
      <c r="AV147" t="s">
        <v>300</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MG3ModGZ</v>
      </c>
      <c r="BP147" s="1" t="str">
        <f t="shared" si="58"/>
        <v/>
      </c>
      <c r="BQ147" s="1" t="str">
        <f t="shared" si="59"/>
        <v/>
      </c>
      <c r="BR147" s="1" t="str">
        <f t="shared" si="60"/>
        <v/>
      </c>
      <c r="BS147" s="1" t="str">
        <f t="shared" si="61"/>
        <v/>
      </c>
    </row>
    <row r="148" spans="48:71" x14ac:dyDescent="0.25">
      <c r="AV148" t="s">
        <v>112</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MG4</v>
      </c>
      <c r="BP148" s="1" t="str">
        <f t="shared" si="58"/>
        <v/>
      </c>
      <c r="BQ148" s="1" t="str">
        <f t="shared" si="59"/>
        <v/>
      </c>
      <c r="BR148" s="1" t="str">
        <f t="shared" si="60"/>
        <v/>
      </c>
      <c r="BS148" s="1" t="str">
        <f t="shared" si="61"/>
        <v/>
      </c>
    </row>
    <row r="149" spans="48:71" x14ac:dyDescent="0.25">
      <c r="AV149" t="s">
        <v>927</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MG42</v>
      </c>
      <c r="BP149" s="1" t="str">
        <f t="shared" si="58"/>
        <v/>
      </c>
      <c r="BQ149" s="1" t="str">
        <f t="shared" si="59"/>
        <v/>
      </c>
      <c r="BR149" s="1" t="str">
        <f t="shared" si="60"/>
        <v/>
      </c>
      <c r="BS149" s="1" t="str">
        <f t="shared" si="61"/>
        <v/>
      </c>
    </row>
    <row r="150" spans="48:71" x14ac:dyDescent="0.25">
      <c r="AV150" t="s">
        <v>8127</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MG4Mod</v>
      </c>
      <c r="BP150" s="1" t="str">
        <f t="shared" si="58"/>
        <v/>
      </c>
      <c r="BQ150" s="1" t="str">
        <f t="shared" si="59"/>
        <v/>
      </c>
      <c r="BR150" s="1" t="str">
        <f t="shared" si="60"/>
        <v/>
      </c>
      <c r="BS150" s="1" t="str">
        <f t="shared" si="61"/>
        <v/>
      </c>
    </row>
    <row r="151" spans="48:71" x14ac:dyDescent="0.25">
      <c r="AV151" t="s">
        <v>301</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MG4ModGZ</v>
      </c>
      <c r="BP151" s="1" t="str">
        <f t="shared" si="58"/>
        <v/>
      </c>
      <c r="BQ151" s="1" t="str">
        <f t="shared" si="59"/>
        <v/>
      </c>
      <c r="BR151" s="1" t="str">
        <f t="shared" si="60"/>
        <v/>
      </c>
      <c r="BS151" s="1" t="str">
        <f t="shared" si="61"/>
        <v/>
      </c>
    </row>
    <row r="152" spans="48:71" x14ac:dyDescent="0.25">
      <c r="AV152" t="s">
        <v>254</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MG5</v>
      </c>
      <c r="BP152" s="1" t="str">
        <f t="shared" si="58"/>
        <v/>
      </c>
      <c r="BQ152" s="1" t="str">
        <f t="shared" si="59"/>
        <v/>
      </c>
      <c r="BR152" s="1" t="str">
        <f t="shared" si="60"/>
        <v/>
      </c>
      <c r="BS152" s="1" t="str">
        <f t="shared" si="61"/>
        <v/>
      </c>
    </row>
    <row r="153" spans="48:71" x14ac:dyDescent="0.25">
      <c r="AV153" t="s">
        <v>1401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Micro UziMod</v>
      </c>
      <c r="BP153" s="1" t="str">
        <f t="shared" si="58"/>
        <v/>
      </c>
      <c r="BQ153" s="1" t="str">
        <f t="shared" si="59"/>
        <v/>
      </c>
      <c r="BR153" s="1" t="str">
        <f t="shared" si="60"/>
        <v/>
      </c>
      <c r="BS153" s="1" t="str">
        <f t="shared" si="61"/>
        <v/>
      </c>
    </row>
    <row r="154" spans="48:71" x14ac:dyDescent="0.25">
      <c r="AV154" t="s">
        <v>8871</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Minos</v>
      </c>
      <c r="BP154" s="1" t="str">
        <f t="shared" si="58"/>
        <v/>
      </c>
      <c r="BQ154" s="1" t="str">
        <f t="shared" si="59"/>
        <v/>
      </c>
      <c r="BR154" s="1" t="str">
        <f t="shared" si="60"/>
        <v/>
      </c>
      <c r="BS154" s="1" t="str">
        <f t="shared" si="61"/>
        <v/>
      </c>
    </row>
    <row r="155" spans="48:71" x14ac:dyDescent="0.25">
      <c r="AV155" t="s">
        <v>1179</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Mizukane</v>
      </c>
      <c r="BP155" s="1" t="str">
        <f t="shared" si="58"/>
        <v/>
      </c>
      <c r="BQ155" s="1" t="str">
        <f t="shared" si="59"/>
        <v/>
      </c>
      <c r="BR155" s="1" t="str">
        <f t="shared" si="60"/>
        <v/>
      </c>
      <c r="BS155" s="1" t="str">
        <f t="shared" si="61"/>
        <v/>
      </c>
    </row>
    <row r="156" spans="48:71" x14ac:dyDescent="0.25">
      <c r="AV156" t="s">
        <v>806</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Mk23</v>
      </c>
      <c r="BP156" s="1" t="str">
        <f t="shared" si="58"/>
        <v/>
      </c>
      <c r="BQ156" s="1" t="str">
        <f t="shared" si="59"/>
        <v/>
      </c>
      <c r="BR156" s="1" t="str">
        <f t="shared" si="60"/>
        <v/>
      </c>
      <c r="BS156" s="1" t="str">
        <f t="shared" si="61"/>
        <v/>
      </c>
    </row>
    <row r="157" spans="48:71" x14ac:dyDescent="0.25">
      <c r="AV157" t="s">
        <v>729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MondragonM1908</v>
      </c>
      <c r="BP157" s="1" t="str">
        <f t="shared" si="58"/>
        <v/>
      </c>
      <c r="BQ157" s="1" t="str">
        <f t="shared" si="59"/>
        <v/>
      </c>
      <c r="BR157" s="1" t="str">
        <f t="shared" si="60"/>
        <v/>
      </c>
      <c r="BS157" s="1" t="str">
        <f t="shared" si="61"/>
        <v/>
      </c>
    </row>
    <row r="158" spans="48:71" x14ac:dyDescent="0.25">
      <c r="AV158" t="s">
        <v>1680</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MosinNagant</v>
      </c>
      <c r="BP158" s="1" t="str">
        <f t="shared" si="58"/>
        <v/>
      </c>
      <c r="BQ158" s="1" t="str">
        <f t="shared" si="59"/>
        <v/>
      </c>
      <c r="BR158" s="1" t="str">
        <f t="shared" si="60"/>
        <v/>
      </c>
      <c r="BS158" s="1" t="str">
        <f t="shared" si="61"/>
        <v/>
      </c>
    </row>
    <row r="159" spans="48:71" x14ac:dyDescent="0.25">
      <c r="AV159" t="s">
        <v>8122</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MosinNagantMod</v>
      </c>
      <c r="BP159" s="1" t="str">
        <f t="shared" si="58"/>
        <v/>
      </c>
      <c r="BQ159" s="1" t="str">
        <f t="shared" si="59"/>
        <v/>
      </c>
      <c r="BR159" s="1" t="str">
        <f t="shared" si="60"/>
        <v/>
      </c>
      <c r="BS159" s="1" t="str">
        <f t="shared" si="61"/>
        <v/>
      </c>
    </row>
    <row r="160" spans="48:71" x14ac:dyDescent="0.25">
      <c r="AV160" t="s">
        <v>8832</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MosinNagantModGZ</v>
      </c>
      <c r="BP160" s="1" t="str">
        <f t="shared" si="58"/>
        <v/>
      </c>
      <c r="BQ160" s="1" t="str">
        <f t="shared" si="59"/>
        <v/>
      </c>
      <c r="BR160" s="1" t="str">
        <f t="shared" si="60"/>
        <v/>
      </c>
      <c r="BS160" s="1" t="str">
        <f t="shared" si="61"/>
        <v/>
      </c>
    </row>
    <row r="161" spans="48:71" x14ac:dyDescent="0.25">
      <c r="AV161" t="s">
        <v>1754</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Motoko</v>
      </c>
      <c r="BP161" s="1" t="str">
        <f t="shared" si="58"/>
        <v/>
      </c>
      <c r="BQ161" s="1" t="str">
        <f t="shared" si="59"/>
        <v/>
      </c>
      <c r="BR161" s="1" t="str">
        <f t="shared" si="60"/>
        <v/>
      </c>
      <c r="BS161" s="1" t="str">
        <f t="shared" si="61"/>
        <v/>
      </c>
    </row>
    <row r="162" spans="48:71" x14ac:dyDescent="0.25">
      <c r="AV162" t="s">
        <v>1684</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MP443Mod</v>
      </c>
      <c r="BP162" s="1" t="str">
        <f t="shared" si="58"/>
        <v/>
      </c>
      <c r="BQ162" s="1" t="str">
        <f t="shared" si="59"/>
        <v/>
      </c>
      <c r="BR162" s="1" t="str">
        <f t="shared" si="60"/>
        <v/>
      </c>
      <c r="BS162" s="1" t="str">
        <f t="shared" si="61"/>
        <v/>
      </c>
    </row>
    <row r="163" spans="48:71" x14ac:dyDescent="0.25">
      <c r="AV163" t="s">
        <v>730</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MP446Mod</v>
      </c>
      <c r="BP163" s="1" t="str">
        <f t="shared" si="58"/>
        <v/>
      </c>
      <c r="BQ163" s="1" t="str">
        <f t="shared" si="59"/>
        <v/>
      </c>
      <c r="BR163" s="1" t="str">
        <f t="shared" si="60"/>
        <v/>
      </c>
      <c r="BS163" s="1" t="str">
        <f t="shared" si="61"/>
        <v/>
      </c>
    </row>
    <row r="164" spans="48:71" x14ac:dyDescent="0.25">
      <c r="AV164" t="s">
        <v>1410</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MP5</v>
      </c>
      <c r="BP164" s="1" t="str">
        <f t="shared" si="58"/>
        <v/>
      </c>
      <c r="BQ164" s="1" t="str">
        <f t="shared" si="59"/>
        <v/>
      </c>
      <c r="BR164" s="1" t="str">
        <f t="shared" si="60"/>
        <v/>
      </c>
      <c r="BS164" s="1" t="str">
        <f t="shared" si="61"/>
        <v/>
      </c>
    </row>
    <row r="165" spans="48:71" x14ac:dyDescent="0.25">
      <c r="AV165" t="s">
        <v>8126</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MP5Mod</v>
      </c>
      <c r="BP165" s="1" t="str">
        <f t="shared" si="58"/>
        <v/>
      </c>
      <c r="BQ165" s="1" t="str">
        <f t="shared" si="59"/>
        <v/>
      </c>
      <c r="BR165" s="1" t="str">
        <f t="shared" si="60"/>
        <v/>
      </c>
      <c r="BS165" s="1" t="str">
        <f t="shared" si="61"/>
        <v/>
      </c>
    </row>
    <row r="166" spans="48:71" x14ac:dyDescent="0.25">
      <c r="AV166" t="s">
        <v>1682</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MP5ModGZ</v>
      </c>
      <c r="BP166" s="1" t="str">
        <f t="shared" si="58"/>
        <v/>
      </c>
      <c r="BQ166" s="1" t="str">
        <f t="shared" si="59"/>
        <v/>
      </c>
      <c r="BR166" s="1" t="str">
        <f t="shared" si="60"/>
        <v/>
      </c>
      <c r="BS166" s="1" t="str">
        <f t="shared" si="61"/>
        <v/>
      </c>
    </row>
    <row r="167" spans="48:71" x14ac:dyDescent="0.25">
      <c r="AV167" t="s">
        <v>8708</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NTW20Mod</v>
      </c>
      <c r="BP167" s="1" t="str">
        <f t="shared" si="58"/>
        <v/>
      </c>
      <c r="BQ167" s="1" t="str">
        <f t="shared" si="59"/>
        <v/>
      </c>
      <c r="BR167" s="1" t="str">
        <f t="shared" si="60"/>
        <v/>
      </c>
      <c r="BS167" s="1" t="str">
        <f t="shared" si="61"/>
        <v/>
      </c>
    </row>
    <row r="168" spans="48:71" x14ac:dyDescent="0.25">
      <c r="AV168" t="s">
        <v>131</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NTW20ModGZ</v>
      </c>
      <c r="BP168" s="1" t="str">
        <f t="shared" si="58"/>
        <v/>
      </c>
      <c r="BQ168" s="1" t="str">
        <f t="shared" si="59"/>
        <v/>
      </c>
      <c r="BR168" s="1" t="str">
        <f t="shared" si="60"/>
        <v/>
      </c>
      <c r="BS168" s="1" t="str">
        <f t="shared" si="61"/>
        <v/>
      </c>
    </row>
    <row r="169" spans="48:71" x14ac:dyDescent="0.25">
      <c r="AV169" t="s">
        <v>6488</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NZ75</v>
      </c>
      <c r="BP169" s="1" t="str">
        <f t="shared" si="58"/>
        <v/>
      </c>
      <c r="BQ169" s="1" t="str">
        <f t="shared" si="59"/>
        <v/>
      </c>
      <c r="BR169" s="1" t="str">
        <f t="shared" si="60"/>
        <v/>
      </c>
      <c r="BS169" s="1" t="str">
        <f t="shared" si="61"/>
        <v/>
      </c>
    </row>
    <row r="170" spans="48:71" x14ac:dyDescent="0.25">
      <c r="AV170" t="s">
        <v>1694</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OBRMod</v>
      </c>
      <c r="BP170" s="1" t="str">
        <f t="shared" si="58"/>
        <v/>
      </c>
      <c r="BQ170" s="1" t="str">
        <f t="shared" si="59"/>
        <v/>
      </c>
      <c r="BR170" s="1" t="str">
        <f t="shared" si="60"/>
        <v/>
      </c>
      <c r="BS170" s="1" t="str">
        <f t="shared" si="61"/>
        <v/>
      </c>
    </row>
    <row r="171" spans="48:71" x14ac:dyDescent="0.25">
      <c r="AV171" t="s">
        <v>1695</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Ots12</v>
      </c>
      <c r="BP171" s="1" t="str">
        <f t="shared" si="58"/>
        <v/>
      </c>
      <c r="BQ171" s="1" t="str">
        <f t="shared" si="59"/>
        <v/>
      </c>
      <c r="BR171" s="1" t="str">
        <f t="shared" si="60"/>
        <v/>
      </c>
      <c r="BS171" s="1" t="str">
        <f t="shared" si="61"/>
        <v/>
      </c>
    </row>
    <row r="172" spans="48:71" x14ac:dyDescent="0.25">
      <c r="AV172" t="s">
        <v>71</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Ots44</v>
      </c>
      <c r="BP172" s="1" t="str">
        <f t="shared" si="58"/>
        <v/>
      </c>
      <c r="BQ172" s="1" t="str">
        <f t="shared" si="59"/>
        <v/>
      </c>
      <c r="BR172" s="1" t="str">
        <f t="shared" si="60"/>
        <v/>
      </c>
      <c r="BS172" s="1" t="str">
        <f t="shared" si="61"/>
        <v/>
      </c>
    </row>
    <row r="173" spans="48:71" x14ac:dyDescent="0.25">
      <c r="AV173" t="s">
        <v>197</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P08</v>
      </c>
      <c r="BP173" s="1" t="str">
        <f t="shared" si="58"/>
        <v/>
      </c>
      <c r="BQ173" s="1" t="str">
        <f t="shared" si="59"/>
        <v/>
      </c>
      <c r="BR173" s="1" t="str">
        <f t="shared" si="60"/>
        <v/>
      </c>
      <c r="BS173" s="1" t="str">
        <f t="shared" si="61"/>
        <v/>
      </c>
    </row>
    <row r="174" spans="48:71" x14ac:dyDescent="0.25">
      <c r="AV174" t="s">
        <v>69</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P22</v>
      </c>
      <c r="BP174" s="1" t="str">
        <f t="shared" si="58"/>
        <v/>
      </c>
      <c r="BQ174" s="1" t="str">
        <f t="shared" si="59"/>
        <v/>
      </c>
      <c r="BR174" s="1" t="str">
        <f t="shared" si="60"/>
        <v/>
      </c>
      <c r="BS174" s="1" t="str">
        <f t="shared" si="61"/>
        <v/>
      </c>
    </row>
    <row r="175" spans="48:71" x14ac:dyDescent="0.25">
      <c r="AV175" t="s">
        <v>122</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P38</v>
      </c>
      <c r="BP175" s="1" t="str">
        <f t="shared" si="58"/>
        <v/>
      </c>
      <c r="BQ175" s="1" t="str">
        <f t="shared" si="59"/>
        <v/>
      </c>
      <c r="BR175" s="1" t="str">
        <f t="shared" si="60"/>
        <v/>
      </c>
      <c r="BS175" s="1" t="str">
        <f t="shared" si="61"/>
        <v/>
      </c>
    </row>
    <row r="176" spans="48:71" x14ac:dyDescent="0.25">
      <c r="AV176" t="s">
        <v>190</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P7</v>
      </c>
      <c r="BP176" s="1" t="str">
        <f t="shared" si="58"/>
        <v/>
      </c>
      <c r="BQ176" s="1" t="str">
        <f t="shared" si="59"/>
        <v/>
      </c>
      <c r="BR176" s="1" t="str">
        <f t="shared" si="60"/>
        <v/>
      </c>
      <c r="BS176" s="1" t="str">
        <f t="shared" si="61"/>
        <v/>
      </c>
    </row>
    <row r="177" spans="48:71" x14ac:dyDescent="0.25">
      <c r="AV177" t="s">
        <v>129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P90</v>
      </c>
      <c r="BP177" s="1" t="str">
        <f t="shared" si="58"/>
        <v/>
      </c>
      <c r="BQ177" s="1" t="str">
        <f t="shared" si="59"/>
        <v/>
      </c>
      <c r="BR177" s="1" t="str">
        <f t="shared" si="60"/>
        <v/>
      </c>
      <c r="BS177" s="1" t="str">
        <f t="shared" si="61"/>
        <v/>
      </c>
    </row>
    <row r="178" spans="48:71" x14ac:dyDescent="0.25">
      <c r="AV178" t="s">
        <v>1394</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P99</v>
      </c>
      <c r="BP178" s="1" t="str">
        <f t="shared" si="58"/>
        <v/>
      </c>
      <c r="BQ178" s="1" t="str">
        <f t="shared" si="59"/>
        <v/>
      </c>
      <c r="BR178" s="1" t="str">
        <f t="shared" si="60"/>
        <v/>
      </c>
      <c r="BS178" s="1" t="str">
        <f t="shared" si="61"/>
        <v/>
      </c>
    </row>
    <row r="179" spans="48:71" x14ac:dyDescent="0.25">
      <c r="AV179" t="s">
        <v>111</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Pekola</v>
      </c>
      <c r="BP179" s="1" t="str">
        <f t="shared" si="58"/>
        <v/>
      </c>
      <c r="BQ179" s="1" t="str">
        <f t="shared" si="59"/>
        <v/>
      </c>
      <c r="BR179" s="1" t="str">
        <f t="shared" si="60"/>
        <v/>
      </c>
      <c r="BS179" s="1" t="str">
        <f t="shared" si="61"/>
        <v/>
      </c>
    </row>
    <row r="180" spans="48:71" x14ac:dyDescent="0.25">
      <c r="AV180" t="s">
        <v>154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PK</v>
      </c>
      <c r="BP180" s="1" t="str">
        <f t="shared" si="58"/>
        <v/>
      </c>
      <c r="BQ180" s="1" t="str">
        <f t="shared" si="59"/>
        <v/>
      </c>
      <c r="BR180" s="1" t="str">
        <f t="shared" si="60"/>
        <v/>
      </c>
      <c r="BS180" s="1" t="str">
        <f t="shared" si="61"/>
        <v/>
      </c>
    </row>
    <row r="181" spans="48:71" x14ac:dyDescent="0.25">
      <c r="AV181" t="s">
        <v>1685</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PKP</v>
      </c>
      <c r="BP181" s="1" t="str">
        <f t="shared" si="58"/>
        <v/>
      </c>
      <c r="BQ181" s="1" t="str">
        <f t="shared" si="59"/>
        <v/>
      </c>
      <c r="BR181" s="1" t="str">
        <f t="shared" si="60"/>
        <v/>
      </c>
      <c r="BS181" s="1" t="str">
        <f t="shared" si="61"/>
        <v/>
      </c>
    </row>
    <row r="182" spans="48:71" x14ac:dyDescent="0.25">
      <c r="AV182" t="s">
        <v>1134</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PP19Mod</v>
      </c>
      <c r="BP182" s="1" t="str">
        <f t="shared" si="58"/>
        <v/>
      </c>
      <c r="BQ182" s="1" t="str">
        <f t="shared" si="59"/>
        <v/>
      </c>
      <c r="BR182" s="1" t="str">
        <f t="shared" si="60"/>
        <v/>
      </c>
      <c r="BS182" s="1" t="str">
        <f t="shared" si="61"/>
        <v/>
      </c>
    </row>
    <row r="183" spans="48:71" x14ac:dyDescent="0.25">
      <c r="AV183" t="s">
        <v>70</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PP2000</v>
      </c>
      <c r="BP183" s="1" t="str">
        <f t="shared" si="58"/>
        <v/>
      </c>
      <c r="BQ183" s="1" t="str">
        <f t="shared" si="59"/>
        <v/>
      </c>
      <c r="BR183" s="1" t="str">
        <f t="shared" si="60"/>
        <v/>
      </c>
      <c r="BS183" s="1" t="str">
        <f t="shared" si="61"/>
        <v/>
      </c>
    </row>
    <row r="184" spans="48:71" x14ac:dyDescent="0.25">
      <c r="AV184" t="s">
        <v>6467</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PPK</v>
      </c>
      <c r="BP184" s="1" t="str">
        <f t="shared" si="58"/>
        <v/>
      </c>
      <c r="BQ184" s="1" t="str">
        <f t="shared" si="59"/>
        <v/>
      </c>
      <c r="BR184" s="1" t="str">
        <f t="shared" si="60"/>
        <v/>
      </c>
      <c r="BS184" s="1" t="str">
        <f t="shared" si="61"/>
        <v/>
      </c>
    </row>
    <row r="185" spans="48:71" x14ac:dyDescent="0.25">
      <c r="AV185" t="s">
        <v>8120</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PPKMod</v>
      </c>
      <c r="BP185" s="1" t="str">
        <f t="shared" si="58"/>
        <v/>
      </c>
      <c r="BQ185" s="1" t="str">
        <f t="shared" si="59"/>
        <v/>
      </c>
      <c r="BR185" s="1" t="str">
        <f t="shared" si="60"/>
        <v/>
      </c>
      <c r="BS185" s="1" t="str">
        <f t="shared" si="61"/>
        <v/>
      </c>
    </row>
    <row r="186" spans="48:71" x14ac:dyDescent="0.25">
      <c r="AV186" t="s">
        <v>905</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PPKModGZ</v>
      </c>
      <c r="BP186" s="1" t="str">
        <f t="shared" si="58"/>
        <v/>
      </c>
      <c r="BQ186" s="1" t="str">
        <f t="shared" si="59"/>
        <v/>
      </c>
      <c r="BR186" s="1" t="str">
        <f t="shared" si="60"/>
        <v/>
      </c>
      <c r="BS186" s="1" t="str">
        <f t="shared" si="61"/>
        <v/>
      </c>
    </row>
    <row r="187" spans="48:71" x14ac:dyDescent="0.25">
      <c r="AV187" t="s">
        <v>5722</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PPSh41</v>
      </c>
      <c r="BP187" s="1" t="str">
        <f t="shared" si="58"/>
        <v/>
      </c>
      <c r="BQ187" s="1" t="str">
        <f t="shared" si="59"/>
        <v/>
      </c>
      <c r="BR187" s="1" t="str">
        <f t="shared" si="60"/>
        <v/>
      </c>
      <c r="BS187" s="1" t="str">
        <f t="shared" si="61"/>
        <v/>
      </c>
    </row>
    <row r="188" spans="48:71" x14ac:dyDescent="0.25">
      <c r="AV188" t="s">
        <v>8121</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PPsh41Mod</v>
      </c>
      <c r="BP188" s="1" t="str">
        <f t="shared" si="58"/>
        <v/>
      </c>
      <c r="BQ188" s="1" t="str">
        <f t="shared" si="59"/>
        <v/>
      </c>
      <c r="BR188" s="1" t="str">
        <f t="shared" si="60"/>
        <v/>
      </c>
      <c r="BS188" s="1" t="str">
        <f t="shared" si="61"/>
        <v/>
      </c>
    </row>
    <row r="189" spans="48:71" x14ac:dyDescent="0.25">
      <c r="AV189" t="s">
        <v>91</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PPSh41ModGZ</v>
      </c>
      <c r="BP189" s="1" t="str">
        <f t="shared" si="58"/>
        <v/>
      </c>
      <c r="BQ189" s="1" t="str">
        <f t="shared" si="59"/>
        <v/>
      </c>
      <c r="BR189" s="1" t="str">
        <f t="shared" si="60"/>
        <v/>
      </c>
      <c r="BS189" s="1" t="str">
        <f t="shared" si="61"/>
        <v/>
      </c>
    </row>
    <row r="190" spans="48:71" x14ac:dyDescent="0.25">
      <c r="AV190" t="s">
        <v>186</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PTRD</v>
      </c>
      <c r="BP190" s="1" t="str">
        <f t="shared" si="58"/>
        <v/>
      </c>
      <c r="BQ190" s="1" t="str">
        <f t="shared" si="59"/>
        <v/>
      </c>
      <c r="BR190" s="1" t="str">
        <f t="shared" si="60"/>
        <v/>
      </c>
      <c r="BS190" s="1" t="str">
        <f t="shared" si="61"/>
        <v/>
      </c>
    </row>
    <row r="191" spans="48:71" x14ac:dyDescent="0.25">
      <c r="AV191" t="s">
        <v>8807</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Px4 Storm</v>
      </c>
      <c r="BP191" s="1" t="str">
        <f t="shared" si="58"/>
        <v/>
      </c>
      <c r="BQ191" s="1" t="str">
        <f t="shared" si="59"/>
        <v/>
      </c>
      <c r="BR191" s="1" t="str">
        <f t="shared" si="60"/>
        <v/>
      </c>
      <c r="BS191" s="1" t="str">
        <f t="shared" si="61"/>
        <v/>
      </c>
    </row>
    <row r="192" spans="48:71" x14ac:dyDescent="0.25">
      <c r="AV192" t="s">
        <v>64</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Px4 StormMod</v>
      </c>
      <c r="BP192" s="1" t="str">
        <f t="shared" si="58"/>
        <v/>
      </c>
      <c r="BQ192" s="1" t="str">
        <f t="shared" si="59"/>
        <v/>
      </c>
      <c r="BR192" s="1" t="str">
        <f t="shared" si="60"/>
        <v/>
      </c>
      <c r="BS192" s="1" t="str">
        <f t="shared" si="61"/>
        <v/>
      </c>
    </row>
    <row r="193" spans="48:71" x14ac:dyDescent="0.25">
      <c r="AV193" t="s">
        <v>159</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Python</v>
      </c>
      <c r="BP193" s="1" t="str">
        <f t="shared" si="58"/>
        <v/>
      </c>
      <c r="BQ193" s="1" t="str">
        <f t="shared" si="59"/>
        <v/>
      </c>
      <c r="BR193" s="1" t="str">
        <f t="shared" si="60"/>
        <v/>
      </c>
      <c r="BS193" s="1" t="str">
        <f t="shared" si="61"/>
        <v/>
      </c>
    </row>
    <row r="194" spans="48:71" x14ac:dyDescent="0.25">
      <c r="AV194" t="s">
        <v>1655</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PzB39</v>
      </c>
      <c r="BP194" s="1" t="str">
        <f t="shared" si="58"/>
        <v/>
      </c>
      <c r="BQ194" s="1" t="str">
        <f t="shared" si="59"/>
        <v/>
      </c>
      <c r="BR194" s="1" t="str">
        <f t="shared" si="60"/>
        <v/>
      </c>
      <c r="BS194" s="1" t="str">
        <f t="shared" si="61"/>
        <v/>
      </c>
    </row>
    <row r="195" spans="48:71" x14ac:dyDescent="0.25">
      <c r="AV195" t="s">
        <v>230</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QBU88</v>
      </c>
      <c r="BP195" s="1" t="str">
        <f t="shared" si="58"/>
        <v/>
      </c>
      <c r="BQ195" s="1" t="str">
        <f t="shared" si="59"/>
        <v/>
      </c>
      <c r="BR195" s="1" t="str">
        <f t="shared" si="60"/>
        <v/>
      </c>
      <c r="BS195" s="1" t="str">
        <f t="shared" si="61"/>
        <v/>
      </c>
    </row>
    <row r="196" spans="48:71" x14ac:dyDescent="0.25">
      <c r="AV196" t="s">
        <v>1755</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RFB</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249</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Ribeyrolles1918Mod</v>
      </c>
      <c r="BP197" s="1" t="str">
        <f t="shared" si="78"/>
        <v/>
      </c>
      <c r="BQ197" s="1" t="str">
        <f t="shared" si="79"/>
        <v/>
      </c>
      <c r="BR197" s="1" t="str">
        <f t="shared" si="80"/>
        <v/>
      </c>
      <c r="BS197" s="1" t="str">
        <f t="shared" si="81"/>
        <v/>
      </c>
    </row>
    <row r="198" spans="48:71" x14ac:dyDescent="0.25">
      <c r="AV198" t="s">
        <v>928</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Rico</v>
      </c>
      <c r="BP198" s="1" t="str">
        <f t="shared" si="78"/>
        <v/>
      </c>
      <c r="BQ198" s="1" t="str">
        <f t="shared" si="79"/>
        <v/>
      </c>
      <c r="BR198" s="1" t="str">
        <f t="shared" si="80"/>
        <v/>
      </c>
      <c r="BS198" s="1" t="str">
        <f t="shared" si="81"/>
        <v/>
      </c>
    </row>
    <row r="199" spans="48:71" x14ac:dyDescent="0.25">
      <c r="AV199" t="s">
        <v>826</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RMB93Mod</v>
      </c>
      <c r="BP199" s="1" t="str">
        <f t="shared" si="78"/>
        <v/>
      </c>
      <c r="BQ199" s="1" t="str">
        <f t="shared" si="79"/>
        <v/>
      </c>
      <c r="BR199" s="1" t="str">
        <f t="shared" si="80"/>
        <v/>
      </c>
      <c r="BS199" s="1" t="str">
        <f t="shared" si="81"/>
        <v/>
      </c>
    </row>
    <row r="200" spans="48:71" x14ac:dyDescent="0.25">
      <c r="AV200" t="s">
        <v>8884</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RO635Mod</v>
      </c>
      <c r="BP200" s="1" t="str">
        <f t="shared" si="78"/>
        <v/>
      </c>
      <c r="BQ200" s="1" t="str">
        <f t="shared" si="79"/>
        <v/>
      </c>
      <c r="BR200" s="1" t="str">
        <f t="shared" si="80"/>
        <v/>
      </c>
      <c r="BS200" s="1" t="str">
        <f t="shared" si="81"/>
        <v/>
      </c>
    </row>
    <row r="201" spans="48:71" x14ac:dyDescent="0.25">
      <c r="AV201" t="s">
        <v>110</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RO635ModGZ</v>
      </c>
      <c r="BP201" s="1" t="str">
        <f t="shared" si="78"/>
        <v/>
      </c>
      <c r="BQ201" s="1" t="str">
        <f t="shared" si="79"/>
        <v/>
      </c>
      <c r="BR201" s="1" t="str">
        <f t="shared" si="80"/>
        <v/>
      </c>
      <c r="BS201" s="1" t="str">
        <f t="shared" si="81"/>
        <v/>
      </c>
    </row>
    <row r="202" spans="48:71" x14ac:dyDescent="0.25">
      <c r="AV202" t="s">
        <v>267</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RPD</v>
      </c>
      <c r="BP202" s="1" t="str">
        <f t="shared" si="78"/>
        <v/>
      </c>
      <c r="BQ202" s="1" t="str">
        <f t="shared" si="79"/>
        <v/>
      </c>
      <c r="BR202" s="1" t="str">
        <f t="shared" si="80"/>
        <v/>
      </c>
      <c r="BS202" s="1" t="str">
        <f t="shared" si="81"/>
        <v/>
      </c>
    </row>
    <row r="203" spans="48:71" x14ac:dyDescent="0.25">
      <c r="AV203" t="s">
        <v>1635</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SAAMod</v>
      </c>
      <c r="BP203" s="1" t="str">
        <f t="shared" si="78"/>
        <v/>
      </c>
      <c r="BQ203" s="1" t="str">
        <f t="shared" si="79"/>
        <v/>
      </c>
      <c r="BR203" s="1" t="str">
        <f t="shared" si="80"/>
        <v/>
      </c>
      <c r="BS203" s="1" t="str">
        <f t="shared" si="81"/>
        <v/>
      </c>
    </row>
    <row r="204" spans="48:71" x14ac:dyDescent="0.25">
      <c r="AV204" t="s">
        <v>7024</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Saiga12</v>
      </c>
      <c r="BP204" s="1" t="str">
        <f t="shared" si="78"/>
        <v/>
      </c>
      <c r="BQ204" s="1" t="str">
        <f t="shared" si="79"/>
        <v/>
      </c>
      <c r="BR204" s="1" t="str">
        <f t="shared" si="80"/>
        <v/>
      </c>
      <c r="BS204" s="1" t="str">
        <f t="shared" si="81"/>
        <v/>
      </c>
    </row>
    <row r="205" spans="48:71" x14ac:dyDescent="0.25">
      <c r="AV205" t="s">
        <v>236</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Saki</v>
      </c>
      <c r="BP205" s="1" t="str">
        <f t="shared" si="78"/>
        <v/>
      </c>
      <c r="BQ205" s="1" t="str">
        <f t="shared" si="79"/>
        <v/>
      </c>
      <c r="BR205" s="1" t="str">
        <f t="shared" si="80"/>
        <v/>
      </c>
      <c r="BS205" s="1" t="str">
        <f t="shared" si="81"/>
        <v/>
      </c>
    </row>
    <row r="206" spans="48:71" x14ac:dyDescent="0.25">
      <c r="AV206" t="s">
        <v>6898</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Sakura</v>
      </c>
      <c r="BP206" s="1" t="str">
        <f t="shared" si="78"/>
        <v/>
      </c>
      <c r="BQ206" s="1" t="str">
        <f t="shared" si="79"/>
        <v/>
      </c>
      <c r="BR206" s="1" t="str">
        <f t="shared" si="80"/>
        <v/>
      </c>
      <c r="BS206" s="1" t="str">
        <f t="shared" si="81"/>
        <v/>
      </c>
    </row>
    <row r="207" spans="48:71" x14ac:dyDescent="0.25">
      <c r="AV207" t="s">
        <v>6906</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SCAR-H</v>
      </c>
      <c r="BP207" s="1" t="str">
        <f t="shared" si="78"/>
        <v/>
      </c>
      <c r="BQ207" s="1" t="str">
        <f t="shared" si="79"/>
        <v/>
      </c>
      <c r="BR207" s="1" t="str">
        <f t="shared" si="80"/>
        <v/>
      </c>
      <c r="BS207" s="1" t="str">
        <f t="shared" si="81"/>
        <v/>
      </c>
    </row>
    <row r="208" spans="48:71" x14ac:dyDescent="0.25">
      <c r="AV208" t="s">
        <v>751</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SCAR-L</v>
      </c>
      <c r="BP208" s="1" t="str">
        <f t="shared" si="78"/>
        <v/>
      </c>
      <c r="BQ208" s="1" t="str">
        <f t="shared" si="79"/>
        <v/>
      </c>
      <c r="BR208" s="1" t="str">
        <f t="shared" si="80"/>
        <v/>
      </c>
      <c r="BS208" s="1" t="str">
        <f t="shared" si="81"/>
        <v/>
      </c>
    </row>
    <row r="209" spans="48:71" x14ac:dyDescent="0.25">
      <c r="AV209" t="s">
        <v>732</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SCW</v>
      </c>
      <c r="BP209" s="1" t="str">
        <f t="shared" si="78"/>
        <v/>
      </c>
      <c r="BQ209" s="1" t="str">
        <f t="shared" si="79"/>
        <v/>
      </c>
      <c r="BR209" s="1" t="str">
        <f t="shared" si="80"/>
        <v/>
      </c>
      <c r="BS209" s="1" t="str">
        <f t="shared" si="81"/>
        <v/>
      </c>
    </row>
    <row r="210" spans="48:71" x14ac:dyDescent="0.25">
      <c r="AV210" t="s">
        <v>750</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Sei</v>
      </c>
      <c r="BP210" s="1" t="str">
        <f t="shared" si="78"/>
        <v/>
      </c>
      <c r="BQ210" s="1" t="str">
        <f t="shared" si="79"/>
        <v/>
      </c>
      <c r="BR210" s="1" t="str">
        <f t="shared" si="80"/>
        <v/>
      </c>
      <c r="BS210" s="1" t="str">
        <f t="shared" si="81"/>
        <v/>
      </c>
    </row>
    <row r="211" spans="48:71" x14ac:dyDescent="0.25">
      <c r="AV211" t="s">
        <v>144</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Serdyukov</v>
      </c>
      <c r="BP211" s="1" t="str">
        <f t="shared" si="78"/>
        <v/>
      </c>
      <c r="BQ211" s="1" t="str">
        <f t="shared" si="79"/>
        <v/>
      </c>
      <c r="BR211" s="1" t="str">
        <f t="shared" si="80"/>
        <v/>
      </c>
      <c r="BS211" s="1" t="str">
        <f t="shared" si="81"/>
        <v/>
      </c>
    </row>
    <row r="212" spans="48:71" x14ac:dyDescent="0.25">
      <c r="AV212" t="s">
        <v>745</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Shipka</v>
      </c>
      <c r="BP212" s="1" t="str">
        <f t="shared" si="78"/>
        <v/>
      </c>
      <c r="BQ212" s="1" t="str">
        <f t="shared" si="79"/>
        <v/>
      </c>
      <c r="BR212" s="1" t="str">
        <f t="shared" si="80"/>
        <v/>
      </c>
      <c r="BS212" s="1" t="str">
        <f t="shared" si="81"/>
        <v/>
      </c>
    </row>
    <row r="213" spans="48:71" x14ac:dyDescent="0.25">
      <c r="AV213" t="s">
        <v>81</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SIG510</v>
      </c>
      <c r="BP213" s="1" t="str">
        <f t="shared" si="78"/>
        <v/>
      </c>
      <c r="BQ213" s="1" t="str">
        <f t="shared" si="79"/>
        <v/>
      </c>
      <c r="BR213" s="1" t="str">
        <f t="shared" si="80"/>
        <v/>
      </c>
      <c r="BS213" s="1" t="str">
        <f t="shared" si="81"/>
        <v/>
      </c>
    </row>
    <row r="214" spans="48:71" x14ac:dyDescent="0.25">
      <c r="AV214" t="s">
        <v>795</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Skorpion</v>
      </c>
      <c r="BP214" s="1" t="str">
        <f t="shared" si="78"/>
        <v/>
      </c>
      <c r="BQ214" s="1" t="str">
        <f t="shared" si="79"/>
        <v/>
      </c>
      <c r="BR214" s="1" t="str">
        <f t="shared" si="80"/>
        <v/>
      </c>
      <c r="BS214" s="1" t="str">
        <f t="shared" si="81"/>
        <v/>
      </c>
    </row>
    <row r="215" spans="48:71" x14ac:dyDescent="0.25">
      <c r="AV215" t="s">
        <v>116</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SL8</v>
      </c>
      <c r="BP215" s="1" t="str">
        <f t="shared" si="78"/>
        <v/>
      </c>
      <c r="BQ215" s="1" t="str">
        <f t="shared" si="79"/>
        <v/>
      </c>
      <c r="BR215" s="1" t="str">
        <f t="shared" si="80"/>
        <v/>
      </c>
      <c r="BS215" s="1" t="str">
        <f t="shared" si="81"/>
        <v/>
      </c>
    </row>
    <row r="216" spans="48:71" x14ac:dyDescent="0.25">
      <c r="AV216" t="s">
        <v>87</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Spectre M4</v>
      </c>
      <c r="BP216" s="1" t="str">
        <f t="shared" si="78"/>
        <v/>
      </c>
      <c r="BQ216" s="1" t="str">
        <f t="shared" si="79"/>
        <v/>
      </c>
      <c r="BR216" s="1" t="str">
        <f t="shared" si="80"/>
        <v/>
      </c>
      <c r="BS216" s="1" t="str">
        <f t="shared" si="81"/>
        <v/>
      </c>
    </row>
    <row r="217" spans="48:71" x14ac:dyDescent="0.25">
      <c r="AV217" t="s">
        <v>1627</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Springfield</v>
      </c>
      <c r="BP217" s="1" t="str">
        <f t="shared" si="78"/>
        <v/>
      </c>
      <c r="BQ217" s="1" t="str">
        <f t="shared" si="79"/>
        <v/>
      </c>
      <c r="BR217" s="1" t="str">
        <f t="shared" si="80"/>
        <v/>
      </c>
      <c r="BS217" s="1" t="str">
        <f t="shared" si="81"/>
        <v/>
      </c>
    </row>
    <row r="218" spans="48:71" x14ac:dyDescent="0.25">
      <c r="AV218" t="s">
        <v>100</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SR3MP</v>
      </c>
      <c r="BP218" s="1" t="str">
        <f t="shared" si="78"/>
        <v/>
      </c>
      <c r="BQ218" s="1" t="str">
        <f t="shared" si="79"/>
        <v/>
      </c>
      <c r="BR218" s="1" t="str">
        <f t="shared" si="80"/>
        <v/>
      </c>
      <c r="BS218" s="1" t="str">
        <f t="shared" si="81"/>
        <v/>
      </c>
    </row>
    <row r="219" spans="48:71" x14ac:dyDescent="0.25">
      <c r="AV219" t="s">
        <v>1683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ST AR-15</v>
      </c>
      <c r="BP219" s="1" t="str">
        <f t="shared" si="78"/>
        <v/>
      </c>
      <c r="BQ219" s="1" t="str">
        <f t="shared" si="79"/>
        <v/>
      </c>
      <c r="BR219" s="1" t="str">
        <f t="shared" si="80"/>
        <v/>
      </c>
      <c r="BS219" s="1" t="str">
        <f t="shared" si="81"/>
        <v/>
      </c>
    </row>
    <row r="220" spans="48:71" x14ac:dyDescent="0.25">
      <c r="AV220" t="s">
        <v>8123</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ST AR15Mod</v>
      </c>
      <c r="BP220" s="1" t="str">
        <f t="shared" si="78"/>
        <v/>
      </c>
      <c r="BQ220" s="1" t="str">
        <f t="shared" si="79"/>
        <v/>
      </c>
      <c r="BR220" s="1" t="str">
        <f t="shared" si="80"/>
        <v/>
      </c>
      <c r="BS220" s="1" t="str">
        <f t="shared" si="81"/>
        <v/>
      </c>
    </row>
    <row r="221" spans="48:71" x14ac:dyDescent="0.25">
      <c r="AV221" t="s">
        <v>67</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ST AR15ModGZ</v>
      </c>
      <c r="BP221" s="1" t="str">
        <f t="shared" si="78"/>
        <v/>
      </c>
      <c r="BQ221" s="1" t="str">
        <f t="shared" si="79"/>
        <v/>
      </c>
      <c r="BR221" s="1" t="str">
        <f t="shared" si="80"/>
        <v/>
      </c>
      <c r="BS221" s="1" t="str">
        <f t="shared" si="81"/>
        <v/>
      </c>
    </row>
    <row r="222" spans="48:71" x14ac:dyDescent="0.25">
      <c r="AV222" t="s">
        <v>740</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Stechkin</v>
      </c>
      <c r="BP222" s="1" t="str">
        <f t="shared" si="78"/>
        <v/>
      </c>
      <c r="BQ222" s="1" t="str">
        <f t="shared" si="79"/>
        <v/>
      </c>
      <c r="BR222" s="1" t="str">
        <f t="shared" si="80"/>
        <v/>
      </c>
      <c r="BS222" s="1" t="str">
        <f t="shared" si="81"/>
        <v/>
      </c>
    </row>
    <row r="223" spans="48:71" x14ac:dyDescent="0.25">
      <c r="AV223" t="s">
        <v>8124</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StechkinMod</v>
      </c>
      <c r="BP223" s="1" t="str">
        <f t="shared" si="78"/>
        <v/>
      </c>
      <c r="BQ223" s="1" t="str">
        <f t="shared" si="79"/>
        <v/>
      </c>
      <c r="BR223" s="1" t="str">
        <f t="shared" si="80"/>
        <v/>
      </c>
      <c r="BS223" s="1" t="str">
        <f t="shared" si="81"/>
        <v/>
      </c>
    </row>
    <row r="224" spans="48:71" x14ac:dyDescent="0.25">
      <c r="AV224" t="s">
        <v>737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StechkinModGZ</v>
      </c>
      <c r="BP224" s="1" t="str">
        <f t="shared" si="78"/>
        <v/>
      </c>
      <c r="BQ224" s="1" t="str">
        <f t="shared" si="79"/>
        <v/>
      </c>
      <c r="BR224" s="1" t="str">
        <f t="shared" si="80"/>
        <v/>
      </c>
      <c r="BS224" s="1" t="str">
        <f t="shared" si="81"/>
        <v/>
      </c>
    </row>
    <row r="225" spans="48:71" x14ac:dyDescent="0.25">
      <c r="AV225" t="s">
        <v>829</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Stella</v>
      </c>
      <c r="BP225" s="1" t="str">
        <f t="shared" si="78"/>
        <v/>
      </c>
      <c r="BQ225" s="1" t="str">
        <f t="shared" si="79"/>
        <v/>
      </c>
      <c r="BR225" s="1" t="str">
        <f t="shared" si="80"/>
        <v/>
      </c>
      <c r="BS225" s="1" t="str">
        <f t="shared" si="81"/>
        <v/>
      </c>
    </row>
    <row r="226" spans="48:71" x14ac:dyDescent="0.25">
      <c r="AV226" t="s">
        <v>726</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STEN MkIIMod</v>
      </c>
      <c r="BP226" s="1" t="str">
        <f t="shared" si="78"/>
        <v/>
      </c>
      <c r="BQ226" s="1" t="str">
        <f t="shared" si="79"/>
        <v/>
      </c>
      <c r="BR226" s="1" t="str">
        <f t="shared" si="80"/>
        <v/>
      </c>
      <c r="BS226" s="1" t="str">
        <f t="shared" si="81"/>
        <v/>
      </c>
    </row>
    <row r="227" spans="48:71" x14ac:dyDescent="0.25">
      <c r="AV227" t="s">
        <v>127</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Stg44Mod</v>
      </c>
      <c r="BP227" s="1" t="str">
        <f t="shared" si="78"/>
        <v/>
      </c>
      <c r="BQ227" s="1" t="str">
        <f t="shared" si="79"/>
        <v/>
      </c>
      <c r="BR227" s="1" t="str">
        <f t="shared" si="80"/>
        <v/>
      </c>
      <c r="BS227" s="1" t="str">
        <f t="shared" si="81"/>
        <v/>
      </c>
    </row>
    <row r="228" spans="48:71" x14ac:dyDescent="0.25">
      <c r="AV228" t="s">
        <v>6513</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Suomi</v>
      </c>
      <c r="BP228" s="1" t="str">
        <f t="shared" si="78"/>
        <v/>
      </c>
      <c r="BQ228" s="1" t="str">
        <f t="shared" si="79"/>
        <v/>
      </c>
      <c r="BR228" s="1" t="str">
        <f t="shared" si="80"/>
        <v/>
      </c>
      <c r="BS228" s="1" t="str">
        <f t="shared" si="81"/>
        <v/>
      </c>
    </row>
    <row r="229" spans="48:71" x14ac:dyDescent="0.25">
      <c r="AV229" t="s">
        <v>833</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SuomiMod</v>
      </c>
      <c r="BP229" s="1" t="str">
        <f t="shared" si="78"/>
        <v/>
      </c>
      <c r="BQ229" s="1" t="str">
        <f t="shared" si="79"/>
        <v/>
      </c>
      <c r="BR229" s="1" t="str">
        <f t="shared" si="80"/>
        <v/>
      </c>
      <c r="BS229" s="1" t="str">
        <f t="shared" si="81"/>
        <v/>
      </c>
    </row>
    <row r="230" spans="48:71" x14ac:dyDescent="0.25">
      <c r="AV230" t="s">
        <v>1681</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Super SASSMod</v>
      </c>
      <c r="BP230" s="1" t="str">
        <f t="shared" si="78"/>
        <v/>
      </c>
      <c r="BQ230" s="1" t="str">
        <f t="shared" si="79"/>
        <v/>
      </c>
      <c r="BR230" s="1" t="str">
        <f t="shared" si="80"/>
        <v/>
      </c>
      <c r="BS230" s="1" t="str">
        <f t="shared" si="81"/>
        <v/>
      </c>
    </row>
    <row r="231" spans="48:71" x14ac:dyDescent="0.25">
      <c r="AV231" t="s">
        <v>92</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SV98Mod</v>
      </c>
      <c r="BP231" s="1" t="str">
        <f t="shared" si="78"/>
        <v/>
      </c>
      <c r="BQ231" s="1" t="str">
        <f t="shared" si="79"/>
        <v/>
      </c>
      <c r="BR231" s="1" t="str">
        <f t="shared" si="80"/>
        <v/>
      </c>
      <c r="BS231" s="1" t="str">
        <f t="shared" si="81"/>
        <v/>
      </c>
    </row>
    <row r="232" spans="48:71" x14ac:dyDescent="0.25">
      <c r="AV232" t="s">
        <v>1613</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SVD</v>
      </c>
      <c r="BP232" s="1" t="str">
        <f t="shared" si="78"/>
        <v/>
      </c>
      <c r="BQ232" s="1" t="str">
        <f t="shared" si="79"/>
        <v/>
      </c>
      <c r="BR232" s="1" t="str">
        <f t="shared" si="80"/>
        <v/>
      </c>
      <c r="BS232" s="1" t="str">
        <f t="shared" si="81"/>
        <v/>
      </c>
    </row>
    <row r="233" spans="48:71" x14ac:dyDescent="0.25">
      <c r="AV233" t="s">
        <v>181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SVT38</v>
      </c>
      <c r="BP233" s="1" t="str">
        <f t="shared" si="78"/>
        <v/>
      </c>
      <c r="BQ233" s="1" t="str">
        <f t="shared" si="79"/>
        <v/>
      </c>
      <c r="BR233" s="1" t="str">
        <f t="shared" si="80"/>
        <v/>
      </c>
      <c r="BS233" s="1" t="str">
        <f t="shared" si="81"/>
        <v/>
      </c>
    </row>
    <row r="234" spans="48:71" x14ac:dyDescent="0.25">
      <c r="AV234" t="s">
        <v>1238</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T77</v>
      </c>
      <c r="BP234" s="1" t="str">
        <f t="shared" si="78"/>
        <v/>
      </c>
      <c r="BQ234" s="1" t="str">
        <f t="shared" si="79"/>
        <v/>
      </c>
      <c r="BR234" s="1" t="str">
        <f t="shared" si="80"/>
        <v/>
      </c>
      <c r="BS234" s="1" t="str">
        <f t="shared" si="81"/>
        <v/>
      </c>
    </row>
    <row r="235" spans="48:71" x14ac:dyDescent="0.25">
      <c r="AV235" t="s">
        <v>6975</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TAC50</v>
      </c>
      <c r="BP235" s="1" t="str">
        <f t="shared" si="78"/>
        <v/>
      </c>
      <c r="BQ235" s="1" t="str">
        <f t="shared" si="79"/>
        <v/>
      </c>
      <c r="BR235" s="1" t="str">
        <f t="shared" si="80"/>
        <v/>
      </c>
      <c r="BS235" s="1" t="str">
        <f t="shared" si="81"/>
        <v/>
      </c>
    </row>
    <row r="236" spans="48:71" x14ac:dyDescent="0.25">
      <c r="AV236" t="s">
        <v>739</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Tae</v>
      </c>
      <c r="BP236" s="1" t="str">
        <f t="shared" si="78"/>
        <v/>
      </c>
      <c r="BQ236" s="1" t="str">
        <f t="shared" si="79"/>
        <v/>
      </c>
      <c r="BR236" s="1" t="str">
        <f t="shared" si="80"/>
        <v/>
      </c>
      <c r="BS236" s="1" t="str">
        <f t="shared" si="81"/>
        <v/>
      </c>
    </row>
    <row r="237" spans="48:71" x14ac:dyDescent="0.25">
      <c r="AV237" t="s">
        <v>76</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TAR21</v>
      </c>
      <c r="BP237" s="1" t="str">
        <f t="shared" si="78"/>
        <v/>
      </c>
      <c r="BQ237" s="1" t="str">
        <f t="shared" si="79"/>
        <v/>
      </c>
      <c r="BR237" s="1" t="str">
        <f t="shared" si="80"/>
        <v/>
      </c>
      <c r="BS237" s="1" t="str">
        <f t="shared" si="81"/>
        <v/>
      </c>
    </row>
    <row r="238" spans="48:71" x14ac:dyDescent="0.25">
      <c r="AV238" t="s">
        <v>156</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Thompson</v>
      </c>
      <c r="BP238" s="1" t="str">
        <f t="shared" si="78"/>
        <v/>
      </c>
      <c r="BQ238" s="1" t="str">
        <f t="shared" si="79"/>
        <v/>
      </c>
      <c r="BR238" s="1" t="str">
        <f t="shared" si="80"/>
        <v/>
      </c>
      <c r="BS238" s="1" t="str">
        <f t="shared" si="81"/>
        <v/>
      </c>
    </row>
    <row r="239" spans="48:71" x14ac:dyDescent="0.25">
      <c r="AV239" t="s">
        <v>66</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TMP</v>
      </c>
      <c r="BP239" s="1" t="str">
        <f t="shared" si="78"/>
        <v/>
      </c>
      <c r="BQ239" s="1" t="str">
        <f t="shared" si="79"/>
        <v/>
      </c>
      <c r="BR239" s="1" t="str">
        <f t="shared" si="80"/>
        <v/>
      </c>
      <c r="BS239" s="1" t="str">
        <f t="shared" si="81"/>
        <v/>
      </c>
    </row>
    <row r="240" spans="48:71" x14ac:dyDescent="0.25">
      <c r="AV240" t="s">
        <v>250</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Tokarev</v>
      </c>
      <c r="BP240" s="1" t="str">
        <f t="shared" si="78"/>
        <v/>
      </c>
      <c r="BQ240" s="1" t="str">
        <f t="shared" si="79"/>
        <v/>
      </c>
      <c r="BR240" s="1" t="str">
        <f t="shared" si="80"/>
        <v/>
      </c>
      <c r="BS240" s="1" t="str">
        <f t="shared" si="81"/>
        <v/>
      </c>
    </row>
    <row r="241" spans="48:71" x14ac:dyDescent="0.25">
      <c r="AV241" t="s">
        <v>243</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Triela</v>
      </c>
      <c r="BP241" s="1" t="str">
        <f t="shared" si="78"/>
        <v/>
      </c>
      <c r="BQ241" s="1" t="str">
        <f t="shared" si="79"/>
        <v/>
      </c>
      <c r="BR241" s="1" t="str">
        <f t="shared" si="80"/>
        <v/>
      </c>
      <c r="BS241" s="1" t="str">
        <f t="shared" si="81"/>
        <v/>
      </c>
    </row>
    <row r="242" spans="48:71" x14ac:dyDescent="0.25">
      <c r="AV242" t="s">
        <v>830</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Type 4</v>
      </c>
      <c r="BP242" s="1" t="str">
        <f t="shared" si="78"/>
        <v/>
      </c>
      <c r="BQ242" s="1" t="str">
        <f t="shared" si="79"/>
        <v/>
      </c>
      <c r="BR242" s="1" t="str">
        <f t="shared" si="80"/>
        <v/>
      </c>
      <c r="BS242" s="1" t="str">
        <f t="shared" si="81"/>
        <v/>
      </c>
    </row>
    <row r="243" spans="48:71" x14ac:dyDescent="0.25">
      <c r="AV243" t="s">
        <v>224</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Type 56 RMod</v>
      </c>
      <c r="BP243" s="1" t="str">
        <f t="shared" si="78"/>
        <v/>
      </c>
      <c r="BQ243" s="1" t="str">
        <f t="shared" si="79"/>
        <v/>
      </c>
      <c r="BR243" s="1" t="str">
        <f t="shared" si="80"/>
        <v/>
      </c>
      <c r="BS243" s="1" t="str">
        <f t="shared" si="81"/>
        <v/>
      </c>
    </row>
    <row r="244" spans="48:71" x14ac:dyDescent="0.25">
      <c r="AV244" t="s">
        <v>239</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Type 79</v>
      </c>
      <c r="BP244" s="1" t="str">
        <f t="shared" si="78"/>
        <v/>
      </c>
      <c r="BQ244" s="1" t="str">
        <f t="shared" si="79"/>
        <v/>
      </c>
      <c r="BR244" s="1" t="str">
        <f t="shared" si="80"/>
        <v/>
      </c>
      <c r="BS244" s="1" t="str">
        <f t="shared" si="81"/>
        <v/>
      </c>
    </row>
    <row r="245" spans="48:71" x14ac:dyDescent="0.25">
      <c r="AV245" t="s">
        <v>6763</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Type03</v>
      </c>
      <c r="BP245" s="1" t="str">
        <f t="shared" si="78"/>
        <v/>
      </c>
      <c r="BQ245" s="1" t="str">
        <f t="shared" si="79"/>
        <v/>
      </c>
      <c r="BR245" s="1" t="str">
        <f t="shared" si="80"/>
        <v/>
      </c>
      <c r="BS245" s="1" t="str">
        <f t="shared" si="81"/>
        <v/>
      </c>
    </row>
    <row r="246" spans="48:71" x14ac:dyDescent="0.25">
      <c r="AV246" t="s">
        <v>8533</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Type56-1mod</v>
      </c>
      <c r="BP246" s="1" t="str">
        <f t="shared" si="78"/>
        <v/>
      </c>
      <c r="BQ246" s="1" t="str">
        <f t="shared" si="79"/>
        <v/>
      </c>
      <c r="BR246" s="1" t="str">
        <f t="shared" si="80"/>
        <v/>
      </c>
      <c r="BS246" s="1" t="str">
        <f t="shared" si="81"/>
        <v/>
      </c>
    </row>
    <row r="247" spans="48:71" x14ac:dyDescent="0.25">
      <c r="AV247" t="s">
        <v>136</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Type56-1modGZ</v>
      </c>
      <c r="BP247" s="1" t="str">
        <f t="shared" si="78"/>
        <v/>
      </c>
      <c r="BQ247" s="1" t="str">
        <f t="shared" si="79"/>
        <v/>
      </c>
      <c r="BR247" s="1" t="str">
        <f t="shared" si="80"/>
        <v/>
      </c>
      <c r="BS247" s="1" t="str">
        <f t="shared" si="81"/>
        <v/>
      </c>
    </row>
    <row r="248" spans="48:71" x14ac:dyDescent="0.25">
      <c r="AV248" t="s">
        <v>118</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Type63</v>
      </c>
      <c r="BP248" s="1" t="str">
        <f t="shared" si="78"/>
        <v/>
      </c>
      <c r="BQ248" s="1" t="str">
        <f t="shared" si="79"/>
        <v/>
      </c>
      <c r="BR248" s="1" t="str">
        <f t="shared" si="80"/>
        <v/>
      </c>
      <c r="BS248" s="1" t="str">
        <f t="shared" si="81"/>
        <v/>
      </c>
    </row>
    <row r="249" spans="48:71" x14ac:dyDescent="0.25">
      <c r="AV249" t="s">
        <v>741</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Type64</v>
      </c>
      <c r="BP249" s="1" t="str">
        <f t="shared" si="78"/>
        <v/>
      </c>
      <c r="BQ249" s="1" t="str">
        <f t="shared" si="79"/>
        <v/>
      </c>
      <c r="BR249" s="1" t="str">
        <f t="shared" si="80"/>
        <v/>
      </c>
      <c r="BS249" s="1" t="str">
        <f t="shared" si="81"/>
        <v/>
      </c>
    </row>
    <row r="250" spans="48:71" x14ac:dyDescent="0.25">
      <c r="AV250" t="s">
        <v>8125</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Type64Mod</v>
      </c>
      <c r="BP250" s="1" t="str">
        <f t="shared" si="78"/>
        <v/>
      </c>
      <c r="BQ250" s="1" t="str">
        <f t="shared" si="79"/>
        <v/>
      </c>
      <c r="BR250" s="1" t="str">
        <f t="shared" si="80"/>
        <v/>
      </c>
      <c r="BS250" s="1" t="str">
        <f t="shared" si="81"/>
        <v/>
      </c>
    </row>
    <row r="251" spans="48:71" x14ac:dyDescent="0.25">
      <c r="AV251" t="s">
        <v>834</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Type64ModGZ</v>
      </c>
      <c r="BP251" s="1" t="str">
        <f t="shared" si="78"/>
        <v/>
      </c>
      <c r="BQ251" s="1" t="str">
        <f t="shared" si="79"/>
        <v/>
      </c>
      <c r="BR251" s="1" t="str">
        <f t="shared" si="80"/>
        <v/>
      </c>
      <c r="BS251" s="1" t="str">
        <f t="shared" si="81"/>
        <v/>
      </c>
    </row>
    <row r="252" spans="48:71" x14ac:dyDescent="0.25">
      <c r="AV252" t="s">
        <v>119</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Type80Mod</v>
      </c>
      <c r="BP252" s="1" t="str">
        <f t="shared" si="78"/>
        <v/>
      </c>
      <c r="BQ252" s="1" t="str">
        <f t="shared" si="79"/>
        <v/>
      </c>
      <c r="BR252" s="1" t="str">
        <f t="shared" si="80"/>
        <v/>
      </c>
      <c r="BS252" s="1" t="str">
        <f t="shared" si="81"/>
        <v/>
      </c>
    </row>
    <row r="253" spans="48:71" x14ac:dyDescent="0.25">
      <c r="AV253" t="s">
        <v>839</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Type88</v>
      </c>
      <c r="BP253" s="1" t="str">
        <f t="shared" si="78"/>
        <v/>
      </c>
      <c r="BQ253" s="1" t="str">
        <f t="shared" si="79"/>
        <v/>
      </c>
      <c r="BR253" s="1" t="str">
        <f t="shared" si="80"/>
        <v/>
      </c>
      <c r="BS253" s="1" t="str">
        <f t="shared" si="81"/>
        <v/>
      </c>
    </row>
    <row r="254" spans="48:71" x14ac:dyDescent="0.25">
      <c r="AV254" t="s">
        <v>8341</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Type88Mod</v>
      </c>
      <c r="BP254" s="1" t="str">
        <f t="shared" si="78"/>
        <v/>
      </c>
      <c r="BQ254" s="1" t="str">
        <f t="shared" si="79"/>
        <v/>
      </c>
      <c r="BR254" s="1" t="str">
        <f t="shared" si="80"/>
        <v/>
      </c>
      <c r="BS254" s="1" t="str">
        <f t="shared" si="81"/>
        <v/>
      </c>
    </row>
    <row r="255" spans="48:71" x14ac:dyDescent="0.25">
      <c r="AV255" t="s">
        <v>6759</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Type88ModGZ</v>
      </c>
      <c r="BP255" s="1" t="str">
        <f t="shared" si="78"/>
        <v/>
      </c>
      <c r="BQ255" s="1" t="str">
        <f t="shared" si="79"/>
        <v/>
      </c>
      <c r="BR255" s="1" t="str">
        <f t="shared" si="80"/>
        <v/>
      </c>
      <c r="BS255" s="1" t="str">
        <f t="shared" si="81"/>
        <v/>
      </c>
    </row>
    <row r="256" spans="48:71" x14ac:dyDescent="0.25">
      <c r="AV256" t="s">
        <v>712</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Type92mod</v>
      </c>
      <c r="BP256" s="1" t="str">
        <f t="shared" si="78"/>
        <v/>
      </c>
      <c r="BQ256" s="1" t="str">
        <f t="shared" si="79"/>
        <v/>
      </c>
      <c r="BR256" s="1" t="str">
        <f t="shared" si="80"/>
        <v/>
      </c>
      <c r="BS256" s="1" t="str">
        <f t="shared" si="81"/>
        <v/>
      </c>
    </row>
    <row r="257" spans="48:71" x14ac:dyDescent="0.25">
      <c r="AV257" t="s">
        <v>734</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Type95/97</v>
      </c>
      <c r="BP257" s="1" t="str">
        <f t="shared" si="78"/>
        <v/>
      </c>
      <c r="BQ257" s="1" t="str">
        <f t="shared" si="79"/>
        <v/>
      </c>
      <c r="BR257" s="1" t="str">
        <f t="shared" si="80"/>
        <v/>
      </c>
      <c r="BS257" s="1" t="str">
        <f t="shared" si="81"/>
        <v/>
      </c>
    </row>
    <row r="258" spans="48:71" x14ac:dyDescent="0.25">
      <c r="AV258" t="s">
        <v>8709</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Type97SMod</v>
      </c>
      <c r="BP258" s="1" t="str">
        <f t="shared" si="78"/>
        <v/>
      </c>
      <c r="BQ258" s="1" t="str">
        <f t="shared" si="79"/>
        <v/>
      </c>
      <c r="BR258" s="1" t="str">
        <f t="shared" si="80"/>
        <v/>
      </c>
      <c r="BS258" s="1" t="str">
        <f t="shared" si="81"/>
        <v/>
      </c>
    </row>
    <row r="259" spans="48:71" x14ac:dyDescent="0.25">
      <c r="AV259" t="s">
        <v>1652</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Type97SModGZ</v>
      </c>
      <c r="BP259" s="1" t="str">
        <f t="shared" si="78"/>
        <v/>
      </c>
      <c r="BQ259" s="1" t="str">
        <f t="shared" si="79"/>
        <v/>
      </c>
      <c r="BR259" s="1" t="str">
        <f t="shared" si="80"/>
        <v/>
      </c>
      <c r="BS259" s="1" t="str">
        <f t="shared" si="81"/>
        <v/>
      </c>
    </row>
    <row r="260" spans="48:71" x14ac:dyDescent="0.25">
      <c r="AV260" t="s">
        <v>731</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UKM2000</v>
      </c>
      <c r="BP260" s="1" t="str">
        <f t="shared" si="83"/>
        <v/>
      </c>
      <c r="BQ260" s="1" t="str">
        <f t="shared" si="83"/>
        <v/>
      </c>
      <c r="BR260" s="1" t="str">
        <f t="shared" si="83"/>
        <v/>
      </c>
      <c r="BS260" s="1" t="str">
        <f t="shared" si="83"/>
        <v/>
      </c>
    </row>
    <row r="261" spans="48:71" x14ac:dyDescent="0.25">
      <c r="AV261" t="s">
        <v>265</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UMP</v>
      </c>
      <c r="BP261" s="1" t="str">
        <f t="shared" si="83"/>
        <v/>
      </c>
      <c r="BQ261" s="1" t="str">
        <f t="shared" si="83"/>
        <v/>
      </c>
      <c r="BR261" s="1" t="str">
        <f t="shared" si="83"/>
        <v/>
      </c>
      <c r="BS261" s="1" t="str">
        <f t="shared" si="83"/>
        <v/>
      </c>
    </row>
    <row r="262" spans="48:71" x14ac:dyDescent="0.25">
      <c r="AV262" t="s">
        <v>8164</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UMP45Mod</v>
      </c>
      <c r="BP262" s="1" t="str">
        <f t="shared" si="83"/>
        <v/>
      </c>
      <c r="BQ262" s="1" t="str">
        <f t="shared" si="83"/>
        <v/>
      </c>
      <c r="BR262" s="1" t="str">
        <f t="shared" si="83"/>
        <v/>
      </c>
      <c r="BS262" s="1" t="str">
        <f t="shared" si="83"/>
        <v/>
      </c>
    </row>
    <row r="263" spans="48:71" x14ac:dyDescent="0.25">
      <c r="AV263" t="s">
        <v>264</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UMP45ModGZ</v>
      </c>
      <c r="BP263" s="1" t="str">
        <f t="shared" si="83"/>
        <v/>
      </c>
      <c r="BQ263" s="1" t="str">
        <f t="shared" si="83"/>
        <v/>
      </c>
      <c r="BR263" s="1" t="str">
        <f t="shared" si="83"/>
        <v/>
      </c>
      <c r="BS263" s="1" t="str">
        <f t="shared" si="83"/>
        <v/>
      </c>
    </row>
    <row r="264" spans="48:71" x14ac:dyDescent="0.25">
      <c r="AV264" t="s">
        <v>8165</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UMP9Mod</v>
      </c>
      <c r="BP264" s="1" t="str">
        <f t="shared" si="83"/>
        <v/>
      </c>
      <c r="BQ264" s="1" t="str">
        <f t="shared" si="83"/>
        <v/>
      </c>
      <c r="BR264" s="1" t="str">
        <f t="shared" si="83"/>
        <v/>
      </c>
      <c r="BS264" s="1" t="str">
        <f t="shared" si="83"/>
        <v/>
      </c>
    </row>
    <row r="265" spans="48:71" x14ac:dyDescent="0.25">
      <c r="AV265" t="s">
        <v>97</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UMP9ModGZ</v>
      </c>
      <c r="BP265" s="1" t="str">
        <f t="shared" si="83"/>
        <v/>
      </c>
      <c r="BQ265" s="1" t="str">
        <f t="shared" si="83"/>
        <v/>
      </c>
      <c r="BR265" s="1" t="str">
        <f t="shared" si="83"/>
        <v/>
      </c>
      <c r="BS265" s="1" t="str">
        <f t="shared" si="83"/>
        <v/>
      </c>
    </row>
    <row r="266" spans="48:71" x14ac:dyDescent="0.25">
      <c r="AV266" t="s">
        <v>1669</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VM59</v>
      </c>
      <c r="BP266" s="1" t="str">
        <f t="shared" si="83"/>
        <v/>
      </c>
      <c r="BQ266" s="1" t="str">
        <f t="shared" si="83"/>
        <v/>
      </c>
      <c r="BR266" s="1" t="str">
        <f t="shared" si="83"/>
        <v/>
      </c>
      <c r="BS266" s="1" t="str">
        <f t="shared" si="83"/>
        <v/>
      </c>
    </row>
    <row r="267" spans="48:71" x14ac:dyDescent="0.25">
      <c r="AV267" t="s">
        <v>95</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VSK94</v>
      </c>
      <c r="BP267" s="1" t="str">
        <f t="shared" si="83"/>
        <v/>
      </c>
      <c r="BQ267" s="1" t="str">
        <f t="shared" si="83"/>
        <v/>
      </c>
      <c r="BR267" s="1" t="str">
        <f t="shared" si="83"/>
        <v/>
      </c>
      <c r="BS267" s="1" t="str">
        <f t="shared" si="83"/>
        <v/>
      </c>
    </row>
    <row r="268" spans="48:71" x14ac:dyDescent="0.25">
      <c r="AV268" t="s">
        <v>835</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WA2000</v>
      </c>
      <c r="BP268" s="1" t="str">
        <f t="shared" si="83"/>
        <v/>
      </c>
      <c r="BQ268" s="1" t="str">
        <f t="shared" si="83"/>
        <v/>
      </c>
      <c r="BR268" s="1" t="str">
        <f t="shared" si="83"/>
        <v/>
      </c>
      <c r="BS268" s="1" t="str">
        <f t="shared" si="83"/>
        <v/>
      </c>
    </row>
    <row r="269" spans="48:71" x14ac:dyDescent="0.25">
      <c r="AV269" t="s">
        <v>929</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Welrod MkIIMod</v>
      </c>
      <c r="BP269" s="1" t="str">
        <f t="shared" si="83"/>
        <v/>
      </c>
      <c r="BQ269" s="1" t="str">
        <f t="shared" si="83"/>
        <v/>
      </c>
      <c r="BR269" s="1" t="str">
        <f t="shared" si="83"/>
        <v/>
      </c>
      <c r="BS269" s="1" t="str">
        <f t="shared" si="83"/>
        <v/>
      </c>
    </row>
    <row r="270" spans="48:71" x14ac:dyDescent="0.25">
      <c r="AV270" t="s">
        <v>5737</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XM3Mod</v>
      </c>
      <c r="BP270" s="1" t="str">
        <f t="shared" si="83"/>
        <v/>
      </c>
      <c r="BQ270" s="1" t="str">
        <f t="shared" si="83"/>
        <v/>
      </c>
      <c r="BR270" s="1" t="str">
        <f t="shared" si="83"/>
        <v/>
      </c>
      <c r="BS270" s="1" t="str">
        <f t="shared" si="83"/>
        <v/>
      </c>
    </row>
    <row r="271" spans="48:71" x14ac:dyDescent="0.25">
      <c r="AV271" t="s">
        <v>1691</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XM8Mod</v>
      </c>
      <c r="BP271" s="1" t="str">
        <f t="shared" si="83"/>
        <v/>
      </c>
      <c r="BQ271" s="1" t="str">
        <f t="shared" si="83"/>
        <v/>
      </c>
      <c r="BR271" s="1" t="str">
        <f t="shared" si="83"/>
        <v/>
      </c>
      <c r="BS271" s="1" t="str">
        <f t="shared" si="83"/>
        <v/>
      </c>
    </row>
    <row r="272" spans="48:71" x14ac:dyDescent="0.25">
      <c r="AV272" t="s">
        <v>7016</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Yurine</v>
      </c>
      <c r="BP272" s="1" t="str">
        <f t="shared" si="83"/>
        <v/>
      </c>
      <c r="BQ272" s="1" t="str">
        <f t="shared" si="83"/>
        <v/>
      </c>
      <c r="BR272" s="1" t="str">
        <f t="shared" si="83"/>
        <v/>
      </c>
      <c r="BS272" s="1" t="str">
        <f t="shared" si="83"/>
        <v/>
      </c>
    </row>
    <row r="273" spans="48:71" x14ac:dyDescent="0.25">
      <c r="AV273" t="s">
        <v>1623</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Yuugiri</v>
      </c>
      <c r="BP273" s="1" t="str">
        <f t="shared" si="83"/>
        <v/>
      </c>
      <c r="BQ273" s="1" t="str">
        <f t="shared" si="83"/>
        <v/>
      </c>
      <c r="BR273" s="1" t="str">
        <f t="shared" si="83"/>
        <v/>
      </c>
      <c r="BS273" s="1" t="str">
        <f t="shared" si="83"/>
        <v/>
      </c>
    </row>
    <row r="274" spans="48: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Z62</v>
      </c>
      <c r="BP274" s="1" t="str">
        <f t="shared" si="83"/>
        <v/>
      </c>
      <c r="BQ274" s="1" t="str">
        <f t="shared" si="83"/>
        <v/>
      </c>
      <c r="BR274" s="1" t="str">
        <f t="shared" si="83"/>
        <v/>
      </c>
      <c r="BS274" s="1" t="str">
        <f t="shared" si="83"/>
        <v/>
      </c>
    </row>
    <row r="275" spans="48: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48: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48: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48: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48: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48: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48: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48: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48: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48: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48: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48: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48: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48: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ref="AV2:AV273">
    <sortCondition ref="AV1"/>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9C3AB9A-DA43-46EF-96F9-AD1F2EF87CA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HOC Chip Data</vt:lpstr>
      <vt:lpstr>SF Resolution</vt:lpstr>
      <vt:lpstr>Vehicle Tree</vt:lpstr>
      <vt:lpstr>Vehicle Comp</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2024-03-29T02:36:13Z</dcterms:modified>
</cp:coreProperties>
</file>