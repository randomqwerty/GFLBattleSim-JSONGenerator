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ny\Documents\GitHub\GFLBattleSim-JSONGenerator\"/>
    </mc:Choice>
  </mc:AlternateContent>
  <xr:revisionPtr revIDLastSave="0" documentId="13_ncr:1_{9C6EAA8C-FC2D-4910-82A8-E76670F646D0}" xr6:coauthVersionLast="36" xr6:coauthVersionMax="36" xr10:uidLastSave="{00000000-0000-0000-0000-000000000000}"/>
  <bookViews>
    <workbookView xWindow="0" yWindow="0" windowWidth="9990" windowHeight="3810" tabRatio="518" xr2:uid="{8B59443F-0B2D-43B1-BB8E-EAEC613D5E34}"/>
  </bookViews>
  <sheets>
    <sheet name="Main" sheetId="1" r:id="rId1"/>
    <sheet name="TargetTrain Lists" sheetId="47" r:id="rId2"/>
    <sheet name="Preset Teams" sheetId="28" r:id="rId3"/>
    <sheet name="Preset Teams SF" sheetId="46" r:id="rId4"/>
    <sheet name="Doll" sheetId="7" r:id="rId5"/>
    <sheet name="Equip" sheetId="12" r:id="rId6"/>
    <sheet name="Fairy" sheetId="13" r:id="rId7"/>
    <sheet name="HOC" sheetId="26" r:id="rId8"/>
    <sheet name="SF" sheetId="33" r:id="rId9"/>
    <sheet name="SF Chip" sheetId="42" r:id="rId10"/>
    <sheet name="SF Team" sheetId="43" r:id="rId11"/>
    <sheet name="Mission_Act_Info" sheetId="20" r:id="rId12"/>
    <sheet name="Spot_Act_Info_Day" sheetId="44" r:id="rId13"/>
    <sheet name="Spot_Act_Info_Night" sheetId="45" r:id="rId14"/>
    <sheet name="GFBattleSimulator" sheetId="24" r:id="rId15"/>
    <sheet name="G&amp;K Stat Calc" sheetId="3" state="hidden" r:id="rId16"/>
    <sheet name="SF Stat Calc" sheetId="36" state="hidden" r:id="rId17"/>
    <sheet name="Fairy Data" sheetId="16" state="hidden" r:id="rId18"/>
    <sheet name="Talent Data" sheetId="17" state="hidden" r:id="rId19"/>
    <sheet name="Strat Buff Data" sheetId="27" state="hidden" r:id="rId20"/>
    <sheet name="Equip Data" sheetId="11" state="hidden" r:id="rId21"/>
    <sheet name="Doll Data" sheetId="4" state="hidden" r:id="rId22"/>
    <sheet name="SF Data" sheetId="29" state="hidden" r:id="rId23"/>
    <sheet name="SF Chip Data" sheetId="32" state="hidden" r:id="rId24"/>
    <sheet name="SF Resolution" sheetId="41" state="hidden" r:id="rId25"/>
    <sheet name="Exp Tables" sheetId="5" state="hidden" r:id="rId26"/>
    <sheet name="Misc Inputs" sheetId="18" state="hidden" r:id="rId27"/>
    <sheet name="Dropdowns" sheetId="2" state="hidden" r:id="rId28"/>
  </sheets>
  <definedNames>
    <definedName name="_xlnm._FilterDatabase" localSheetId="21" hidden="1">'Doll Data'!$A$1:$BD$429</definedName>
    <definedName name="_xlnm._FilterDatabase" localSheetId="20" hidden="1">'Equip Data'!$A$1:$AW$1</definedName>
    <definedName name="_xlnm._FilterDatabase" localSheetId="17" hidden="1">'Fairy Data'!$A$1:$K$38</definedName>
    <definedName name="_xlnm._FilterDatabase" localSheetId="22" hidden="1">'SF Data'!$A$1:$BH$42</definedName>
    <definedName name="_xlnm._FilterDatabase" localSheetId="24" hidden="1">'SF Resolution'!$A$1:$X$245</definedName>
    <definedName name="_xlnm._FilterDatabase" localSheetId="18" hidden="1">'Talent Data'!$A$1:$C$18</definedName>
    <definedName name="BossHP">Main!$E$8</definedName>
    <definedName name="ChipJSONPath">'Misc Inputs'!$C$36</definedName>
    <definedName name="CustomStatInput">Main!$Y$20:$AC$24</definedName>
    <definedName name="DayNight">Main!$B$8</definedName>
    <definedName name="DebuffSelection">Main!$A$81:$A$82</definedName>
    <definedName name="DollJSONPath">'Misc Inputs'!$C$33</definedName>
    <definedName name="EchelonInput">Main!$B$20:$AC$24</definedName>
    <definedName name="EchType">Main!$B$7</definedName>
    <definedName name="EnemyID">Main!$E$7</definedName>
    <definedName name="EquipJSONPath">'Misc Inputs'!$C$34</definedName>
    <definedName name="equipScript">'Misc Inputs'!$C$48</definedName>
    <definedName name="FairyInput">Main!$B$29:$F$29</definedName>
    <definedName name="FairyJSONPath">'Misc Inputs'!$C$37</definedName>
    <definedName name="FairySkill">Main!$E$9</definedName>
    <definedName name="gunScript">'Misc Inputs'!$C$47</definedName>
    <definedName name="HOCJSONPath">'Misc Inputs'!$C$35</definedName>
    <definedName name="HOCSelection">Main!$A$55:$A$62</definedName>
    <definedName name="HOCSupport">Main!$E$10</definedName>
    <definedName name="ListOfPresets">'Preset Teams'!$A$4:$A$1048576</definedName>
    <definedName name="ListOfPresetsSF">'Preset Teams SF'!$A$4:$A$1048576</definedName>
    <definedName name="MissionJSON">'Misc Inputs'!$C$38</definedName>
    <definedName name="NodeColor">Main!$B$9</definedName>
    <definedName name="OneStack">'Misc Inputs'!$C$9</definedName>
    <definedName name="PositionInput">Main!$H$27:$J$29</definedName>
    <definedName name="Preset">Main!$B$15</definedName>
    <definedName name="PresetSF">Main!$B$35</definedName>
    <definedName name="SeedNum">Main!$B$11</definedName>
    <definedName name="SFChipJSONPath">'Misc Inputs'!$C$41</definedName>
    <definedName name="SFCustomStatInput">Main!$Q$40:$Q$48</definedName>
    <definedName name="SFEchelonInput">Main!$C$40:$N$48</definedName>
    <definedName name="SFHOCSelection">Main!$A$67:$A$71</definedName>
    <definedName name="SFJSONPath">'Misc Inputs'!$C$39</definedName>
    <definedName name="SFPositionInput">Main!$S$41:$U$43</definedName>
    <definedName name="sfResolScript">'Misc Inputs'!$C$50</definedName>
    <definedName name="sfScript">'Misc Inputs'!$C$49</definedName>
    <definedName name="SFTeamJSONPath">'Misc Inputs'!$C$40</definedName>
    <definedName name="SimJSON">'Misc Inputs'!$C$42</definedName>
    <definedName name="SpotDayJSON">'Misc Inputs'!$C$43</definedName>
    <definedName name="SpotNightJSON">'Misc Inputs'!$C$44</definedName>
    <definedName name="StratBuff1">'Misc Inputs'!$G$9</definedName>
    <definedName name="StratBuff2">'Misc Inputs'!$G$10</definedName>
    <definedName name="StratBuff3">'Misc Inputs'!$G$11</definedName>
    <definedName name="StratConfig1">'Misc Inputs'!$H$9</definedName>
    <definedName name="StratConfig2">'Misc Inputs'!$H$10</definedName>
    <definedName name="StratConfig3">'Misc Inputs'!$H$11</definedName>
    <definedName name="StrategyInput">Main!$B$75:$C$77</definedName>
    <definedName name="StratSkill1">Main!$C$75</definedName>
    <definedName name="StratSL1">Main!$C$75</definedName>
    <definedName name="StratSL2">Main!$C$76</definedName>
    <definedName name="StratSL3">Main!$C$77</definedName>
    <definedName name="ThreeStack">'Misc Inputs'!$C$11</definedName>
    <definedName name="TurnNum">Main!$B$10</definedName>
    <definedName name="TwoStack">'Misc Inputs'!$C$10</definedName>
    <definedName name="UseCustomStats">Main!$AC$18</definedName>
    <definedName name="UseSFCustomHP">Main!$Q$39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2" i="45" l="1"/>
  <c r="C32" i="45" s="1"/>
  <c r="E10" i="44"/>
  <c r="C10" i="44" s="1"/>
  <c r="W31" i="1" l="1"/>
  <c r="V31" i="1"/>
  <c r="W30" i="1"/>
  <c r="V30" i="1"/>
  <c r="W29" i="1"/>
  <c r="V29" i="1"/>
  <c r="W28" i="1"/>
  <c r="V28" i="1"/>
  <c r="W27" i="1"/>
  <c r="V27" i="1"/>
  <c r="S31" i="1"/>
  <c r="R31" i="1"/>
  <c r="S30" i="1"/>
  <c r="R30" i="1"/>
  <c r="S29" i="1"/>
  <c r="R29" i="1"/>
  <c r="S28" i="1"/>
  <c r="R28" i="1"/>
  <c r="S27" i="1"/>
  <c r="R27" i="1"/>
  <c r="O31" i="1"/>
  <c r="O30" i="1"/>
  <c r="O29" i="1"/>
  <c r="O28" i="1"/>
  <c r="O27" i="1"/>
  <c r="N31" i="1"/>
  <c r="N30" i="1"/>
  <c r="N29" i="1"/>
  <c r="N28" i="1"/>
  <c r="N27" i="1"/>
  <c r="C3" i="20" l="1"/>
  <c r="B3" i="20"/>
  <c r="B4" i="20"/>
  <c r="U31" i="1" l="1"/>
  <c r="T31" i="1"/>
  <c r="Q31" i="1"/>
  <c r="P31" i="1"/>
  <c r="M31" i="1"/>
  <c r="L31" i="1"/>
  <c r="U30" i="1"/>
  <c r="T30" i="1"/>
  <c r="Q30" i="1"/>
  <c r="P30" i="1"/>
  <c r="M30" i="1"/>
  <c r="L30" i="1"/>
  <c r="U29" i="1"/>
  <c r="T29" i="1"/>
  <c r="Q29" i="1"/>
  <c r="P29" i="1"/>
  <c r="M29" i="1"/>
  <c r="L29" i="1"/>
  <c r="U28" i="1"/>
  <c r="T28" i="1"/>
  <c r="Q28" i="1"/>
  <c r="P28" i="1"/>
  <c r="M28" i="1"/>
  <c r="L28" i="1"/>
  <c r="U27" i="1"/>
  <c r="T27" i="1"/>
  <c r="M27" i="1"/>
  <c r="Q27" i="1"/>
  <c r="P27" i="1"/>
  <c r="L27" i="1"/>
  <c r="E44" i="18" l="1"/>
  <c r="E43" i="18"/>
  <c r="E42" i="18"/>
  <c r="E41" i="18"/>
  <c r="E40" i="18"/>
  <c r="E39" i="18"/>
  <c r="E38" i="18"/>
  <c r="E37" i="18"/>
  <c r="E36" i="18"/>
  <c r="E35" i="18"/>
  <c r="E34" i="18"/>
  <c r="E33" i="18"/>
  <c r="E32" i="18"/>
  <c r="C31" i="18"/>
  <c r="C44" i="18" s="1"/>
  <c r="C33" i="18" l="1"/>
  <c r="C35" i="18"/>
  <c r="C37" i="18"/>
  <c r="C39" i="18"/>
  <c r="C41" i="18"/>
  <c r="C43" i="18"/>
  <c r="C34" i="18"/>
  <c r="C36" i="18"/>
  <c r="C38" i="18"/>
  <c r="C40" i="18"/>
  <c r="C42" i="18"/>
  <c r="D32" i="18"/>
  <c r="C32" i="18" s="1"/>
  <c r="BS2" i="2" l="1"/>
  <c r="BS28" i="2" s="1"/>
  <c r="BR2" i="2"/>
  <c r="BR28" i="2" s="1"/>
  <c r="BQ2" i="2"/>
  <c r="BQ28" i="2" s="1"/>
  <c r="BP2" i="2"/>
  <c r="BO2" i="2"/>
  <c r="BO30" i="2" s="1"/>
  <c r="BN2" i="2"/>
  <c r="BN28" i="2" s="1"/>
  <c r="BM2" i="2"/>
  <c r="BM28" i="2" s="1"/>
  <c r="BL2" i="2"/>
  <c r="BK2" i="2"/>
  <c r="BK28" i="2" s="1"/>
  <c r="BJ2" i="2"/>
  <c r="BJ28" i="2" s="1"/>
  <c r="BI2" i="2"/>
  <c r="BI28" i="2" s="1"/>
  <c r="BH2" i="2"/>
  <c r="BG2" i="2"/>
  <c r="BG28" i="2" s="1"/>
  <c r="BF2" i="2"/>
  <c r="BF32" i="2" s="1"/>
  <c r="BE2" i="2"/>
  <c r="BE32" i="2" s="1"/>
  <c r="BD2" i="2"/>
  <c r="BD38" i="2" s="1"/>
  <c r="BC2" i="2"/>
  <c r="BC43" i="2" s="1"/>
  <c r="BB2" i="2"/>
  <c r="BB40" i="2" s="1"/>
  <c r="BA2" i="2"/>
  <c r="BA236" i="2" s="1"/>
  <c r="AZ2" i="2"/>
  <c r="AZ40" i="2" s="1"/>
  <c r="BH249" i="2" l="1"/>
  <c r="BH245" i="2"/>
  <c r="BH241" i="2"/>
  <c r="BH237" i="2"/>
  <c r="BH233" i="2"/>
  <c r="BH250" i="2"/>
  <c r="BH246" i="2"/>
  <c r="BH242" i="2"/>
  <c r="BH238" i="2"/>
  <c r="BH234" i="2"/>
  <c r="BH251" i="2"/>
  <c r="BH247" i="2"/>
  <c r="BH243" i="2"/>
  <c r="BH239" i="2"/>
  <c r="BH235" i="2"/>
  <c r="BH252" i="2"/>
  <c r="BH248" i="2"/>
  <c r="BH244" i="2"/>
  <c r="BH240" i="2"/>
  <c r="BH236" i="2"/>
  <c r="BH228" i="2"/>
  <c r="BH224" i="2"/>
  <c r="BH220" i="2"/>
  <c r="BH216" i="2"/>
  <c r="BH212" i="2"/>
  <c r="BH229" i="2"/>
  <c r="BH225" i="2"/>
  <c r="BH221" i="2"/>
  <c r="BH217" i="2"/>
  <c r="BH213" i="2"/>
  <c r="BH231" i="2"/>
  <c r="BH230" i="2"/>
  <c r="BH226" i="2"/>
  <c r="BH222" i="2"/>
  <c r="BH218" i="2"/>
  <c r="BH214" i="2"/>
  <c r="BH232" i="2"/>
  <c r="BH227" i="2"/>
  <c r="BH223" i="2"/>
  <c r="BH219" i="2"/>
  <c r="BH207" i="2"/>
  <c r="BH203" i="2"/>
  <c r="BH199" i="2"/>
  <c r="BH195" i="2"/>
  <c r="BH191" i="2"/>
  <c r="BH215" i="2"/>
  <c r="BH210" i="2"/>
  <c r="BH208" i="2"/>
  <c r="BH204" i="2"/>
  <c r="BH200" i="2"/>
  <c r="BH196" i="2"/>
  <c r="BH192" i="2"/>
  <c r="BH211" i="2"/>
  <c r="BH209" i="2"/>
  <c r="BH205" i="2"/>
  <c r="BH201" i="2"/>
  <c r="BH197" i="2"/>
  <c r="BH193" i="2"/>
  <c r="BH206" i="2"/>
  <c r="BH202" i="2"/>
  <c r="BH198" i="2"/>
  <c r="BH194" i="2"/>
  <c r="BH190" i="2"/>
  <c r="BH186" i="2"/>
  <c r="BH182" i="2"/>
  <c r="BH178" i="2"/>
  <c r="BH174" i="2"/>
  <c r="BH170" i="2"/>
  <c r="BH166" i="2"/>
  <c r="BH189" i="2"/>
  <c r="BH187" i="2"/>
  <c r="BH183" i="2"/>
  <c r="BH179" i="2"/>
  <c r="BH175" i="2"/>
  <c r="BH171" i="2"/>
  <c r="BH167" i="2"/>
  <c r="BH188" i="2"/>
  <c r="BH184" i="2"/>
  <c r="BH180" i="2"/>
  <c r="BH176" i="2"/>
  <c r="BH172" i="2"/>
  <c r="BH168" i="2"/>
  <c r="BH185" i="2"/>
  <c r="BH181" i="2"/>
  <c r="BH177" i="2"/>
  <c r="BH173" i="2"/>
  <c r="BH169" i="2"/>
  <c r="BH163" i="2"/>
  <c r="BH159" i="2"/>
  <c r="BH155" i="2"/>
  <c r="BH151" i="2"/>
  <c r="BH147" i="2"/>
  <c r="BH143" i="2"/>
  <c r="BH139" i="2"/>
  <c r="BH135" i="2"/>
  <c r="BH131" i="2"/>
  <c r="BH127" i="2"/>
  <c r="BH123" i="2"/>
  <c r="BH160" i="2"/>
  <c r="BH156" i="2"/>
  <c r="BH152" i="2"/>
  <c r="BH148" i="2"/>
  <c r="BH144" i="2"/>
  <c r="BH140" i="2"/>
  <c r="BH136" i="2"/>
  <c r="BH132" i="2"/>
  <c r="BH128" i="2"/>
  <c r="BH124" i="2"/>
  <c r="BH164" i="2"/>
  <c r="BH161" i="2"/>
  <c r="BH157" i="2"/>
  <c r="BH153" i="2"/>
  <c r="BH149" i="2"/>
  <c r="BH145" i="2"/>
  <c r="BH141" i="2"/>
  <c r="BH137" i="2"/>
  <c r="BH133" i="2"/>
  <c r="BH129" i="2"/>
  <c r="BH125" i="2"/>
  <c r="BH165" i="2"/>
  <c r="BH162" i="2"/>
  <c r="BH158" i="2"/>
  <c r="BH154" i="2"/>
  <c r="BH150" i="2"/>
  <c r="BH146" i="2"/>
  <c r="BH142" i="2"/>
  <c r="BH138" i="2"/>
  <c r="BH134" i="2"/>
  <c r="BH130" i="2"/>
  <c r="BH126" i="2"/>
  <c r="BH121" i="2"/>
  <c r="BH120" i="2"/>
  <c r="BH116" i="2"/>
  <c r="BH112" i="2"/>
  <c r="BH108" i="2"/>
  <c r="BH104" i="2"/>
  <c r="BH100" i="2"/>
  <c r="BH96" i="2"/>
  <c r="BH92" i="2"/>
  <c r="BH88" i="2"/>
  <c r="BH84" i="2"/>
  <c r="BH80" i="2"/>
  <c r="BH117" i="2"/>
  <c r="BH113" i="2"/>
  <c r="BH109" i="2"/>
  <c r="BH105" i="2"/>
  <c r="BH101" i="2"/>
  <c r="BH97" i="2"/>
  <c r="BH93" i="2"/>
  <c r="BH89" i="2"/>
  <c r="BH85" i="2"/>
  <c r="BH81" i="2"/>
  <c r="BH77" i="2"/>
  <c r="BH118" i="2"/>
  <c r="BH114" i="2"/>
  <c r="BH110" i="2"/>
  <c r="BH106" i="2"/>
  <c r="BH102" i="2"/>
  <c r="BH98" i="2"/>
  <c r="BH94" i="2"/>
  <c r="BH90" i="2"/>
  <c r="BH86" i="2"/>
  <c r="BH82" i="2"/>
  <c r="BH122" i="2"/>
  <c r="BH119" i="2"/>
  <c r="BH115" i="2"/>
  <c r="BH111" i="2"/>
  <c r="BH107" i="2"/>
  <c r="BH103" i="2"/>
  <c r="BH99" i="2"/>
  <c r="BH95" i="2"/>
  <c r="BH91" i="2"/>
  <c r="BH87" i="2"/>
  <c r="BH83" i="2"/>
  <c r="BH79" i="2"/>
  <c r="BH76" i="2"/>
  <c r="BH72" i="2"/>
  <c r="BH68" i="2"/>
  <c r="BH64" i="2"/>
  <c r="BH60" i="2"/>
  <c r="BH56" i="2"/>
  <c r="BH52" i="2"/>
  <c r="BH48" i="2"/>
  <c r="BH44" i="2"/>
  <c r="BH40" i="2"/>
  <c r="BH36" i="2"/>
  <c r="BH32" i="2"/>
  <c r="BH73" i="2"/>
  <c r="BH69" i="2"/>
  <c r="BH65" i="2"/>
  <c r="BH61" i="2"/>
  <c r="BH57" i="2"/>
  <c r="BH53" i="2"/>
  <c r="BH49" i="2"/>
  <c r="BH45" i="2"/>
  <c r="BH41" i="2"/>
  <c r="BH37" i="2"/>
  <c r="BH33" i="2"/>
  <c r="BH78" i="2"/>
  <c r="BH74" i="2"/>
  <c r="BH70" i="2"/>
  <c r="BH66" i="2"/>
  <c r="BH62" i="2"/>
  <c r="BH58" i="2"/>
  <c r="BH54" i="2"/>
  <c r="BH50" i="2"/>
  <c r="BH46" i="2"/>
  <c r="BH42" i="2"/>
  <c r="BH38" i="2"/>
  <c r="BH34" i="2"/>
  <c r="BH75" i="2"/>
  <c r="BH71" i="2"/>
  <c r="BH67" i="2"/>
  <c r="BH63" i="2"/>
  <c r="BH59" i="2"/>
  <c r="BH55" i="2"/>
  <c r="BH51" i="2"/>
  <c r="BH47" i="2"/>
  <c r="BH43" i="2"/>
  <c r="BH39" i="2"/>
  <c r="BH35" i="2"/>
  <c r="BL249" i="2"/>
  <c r="BL245" i="2"/>
  <c r="BL241" i="2"/>
  <c r="BL237" i="2"/>
  <c r="BL233" i="2"/>
  <c r="BL250" i="2"/>
  <c r="BL246" i="2"/>
  <c r="BL242" i="2"/>
  <c r="BL238" i="2"/>
  <c r="BL234" i="2"/>
  <c r="BL230" i="2"/>
  <c r="BL251" i="2"/>
  <c r="BL247" i="2"/>
  <c r="BL243" i="2"/>
  <c r="BL239" i="2"/>
  <c r="BL235" i="2"/>
  <c r="BL252" i="2"/>
  <c r="BL248" i="2"/>
  <c r="BL244" i="2"/>
  <c r="BL240" i="2"/>
  <c r="BL236" i="2"/>
  <c r="BL232" i="2"/>
  <c r="BL228" i="2"/>
  <c r="BL224" i="2"/>
  <c r="BL220" i="2"/>
  <c r="BL216" i="2"/>
  <c r="BL212" i="2"/>
  <c r="BL229" i="2"/>
  <c r="BL225" i="2"/>
  <c r="BL221" i="2"/>
  <c r="BL217" i="2"/>
  <c r="BL213" i="2"/>
  <c r="BL226" i="2"/>
  <c r="BL222" i="2"/>
  <c r="BL218" i="2"/>
  <c r="BL214" i="2"/>
  <c r="BL231" i="2"/>
  <c r="BL227" i="2"/>
  <c r="BL223" i="2"/>
  <c r="BL219" i="2"/>
  <c r="BL215" i="2"/>
  <c r="BL207" i="2"/>
  <c r="BL203" i="2"/>
  <c r="BL199" i="2"/>
  <c r="BL195" i="2"/>
  <c r="BL191" i="2"/>
  <c r="BL208" i="2"/>
  <c r="BL204" i="2"/>
  <c r="BL200" i="2"/>
  <c r="BL196" i="2"/>
  <c r="BL192" i="2"/>
  <c r="BL210" i="2"/>
  <c r="BL209" i="2"/>
  <c r="BL205" i="2"/>
  <c r="BL201" i="2"/>
  <c r="BL197" i="2"/>
  <c r="BL193" i="2"/>
  <c r="BL211" i="2"/>
  <c r="BL206" i="2"/>
  <c r="BL202" i="2"/>
  <c r="BL198" i="2"/>
  <c r="BL194" i="2"/>
  <c r="BL190" i="2"/>
  <c r="BL186" i="2"/>
  <c r="BL182" i="2"/>
  <c r="BL178" i="2"/>
  <c r="BL174" i="2"/>
  <c r="BL170" i="2"/>
  <c r="BL166" i="2"/>
  <c r="BL187" i="2"/>
  <c r="BL183" i="2"/>
  <c r="BL179" i="2"/>
  <c r="BL175" i="2"/>
  <c r="BL171" i="2"/>
  <c r="BL167" i="2"/>
  <c r="BL189" i="2"/>
  <c r="BL188" i="2"/>
  <c r="BL184" i="2"/>
  <c r="BL180" i="2"/>
  <c r="BL176" i="2"/>
  <c r="BL172" i="2"/>
  <c r="BL168" i="2"/>
  <c r="BL185" i="2"/>
  <c r="BL181" i="2"/>
  <c r="BL177" i="2"/>
  <c r="BL173" i="2"/>
  <c r="BL169" i="2"/>
  <c r="BL163" i="2"/>
  <c r="BL159" i="2"/>
  <c r="BL155" i="2"/>
  <c r="BL151" i="2"/>
  <c r="BL147" i="2"/>
  <c r="BL143" i="2"/>
  <c r="BL139" i="2"/>
  <c r="BL135" i="2"/>
  <c r="BL131" i="2"/>
  <c r="BL127" i="2"/>
  <c r="BL123" i="2"/>
  <c r="BL165" i="2"/>
  <c r="BL160" i="2"/>
  <c r="BL156" i="2"/>
  <c r="BL152" i="2"/>
  <c r="BL148" i="2"/>
  <c r="BL144" i="2"/>
  <c r="BL140" i="2"/>
  <c r="BL136" i="2"/>
  <c r="BL132" i="2"/>
  <c r="BL128" i="2"/>
  <c r="BL124" i="2"/>
  <c r="BL120" i="2"/>
  <c r="BL161" i="2"/>
  <c r="BL157" i="2"/>
  <c r="BL153" i="2"/>
  <c r="BL149" i="2"/>
  <c r="BL145" i="2"/>
  <c r="BL141" i="2"/>
  <c r="BL137" i="2"/>
  <c r="BL133" i="2"/>
  <c r="BL129" i="2"/>
  <c r="BL125" i="2"/>
  <c r="BL164" i="2"/>
  <c r="BL162" i="2"/>
  <c r="BL158" i="2"/>
  <c r="BL154" i="2"/>
  <c r="BL150" i="2"/>
  <c r="BL146" i="2"/>
  <c r="BL142" i="2"/>
  <c r="BL138" i="2"/>
  <c r="BL134" i="2"/>
  <c r="BL130" i="2"/>
  <c r="BL126" i="2"/>
  <c r="BL116" i="2"/>
  <c r="BL112" i="2"/>
  <c r="BL108" i="2"/>
  <c r="BL104" i="2"/>
  <c r="BL100" i="2"/>
  <c r="BL96" i="2"/>
  <c r="BL92" i="2"/>
  <c r="BL88" i="2"/>
  <c r="BL84" i="2"/>
  <c r="BL80" i="2"/>
  <c r="BL122" i="2"/>
  <c r="BL121" i="2"/>
  <c r="BL117" i="2"/>
  <c r="BL113" i="2"/>
  <c r="BL109" i="2"/>
  <c r="BL105" i="2"/>
  <c r="BL101" i="2"/>
  <c r="BL97" i="2"/>
  <c r="BL93" i="2"/>
  <c r="BL89" i="2"/>
  <c r="BL85" i="2"/>
  <c r="BL81" i="2"/>
  <c r="BL77" i="2"/>
  <c r="BL118" i="2"/>
  <c r="BL114" i="2"/>
  <c r="BL110" i="2"/>
  <c r="BL106" i="2"/>
  <c r="BL102" i="2"/>
  <c r="BL98" i="2"/>
  <c r="BL94" i="2"/>
  <c r="BL90" i="2"/>
  <c r="BL86" i="2"/>
  <c r="BL82" i="2"/>
  <c r="BL119" i="2"/>
  <c r="BL115" i="2"/>
  <c r="BL111" i="2"/>
  <c r="BL107" i="2"/>
  <c r="BL103" i="2"/>
  <c r="BL99" i="2"/>
  <c r="BL95" i="2"/>
  <c r="BL91" i="2"/>
  <c r="BL87" i="2"/>
  <c r="BL83" i="2"/>
  <c r="BL79" i="2"/>
  <c r="BL78" i="2"/>
  <c r="BL76" i="2"/>
  <c r="BL72" i="2"/>
  <c r="BL68" i="2"/>
  <c r="BL64" i="2"/>
  <c r="BL60" i="2"/>
  <c r="BL56" i="2"/>
  <c r="BL52" i="2"/>
  <c r="BL48" i="2"/>
  <c r="BL44" i="2"/>
  <c r="BL40" i="2"/>
  <c r="BL36" i="2"/>
  <c r="BL32" i="2"/>
  <c r="BL73" i="2"/>
  <c r="BL69" i="2"/>
  <c r="BL65" i="2"/>
  <c r="BL61" i="2"/>
  <c r="BL57" i="2"/>
  <c r="BL53" i="2"/>
  <c r="BL49" i="2"/>
  <c r="BL45" i="2"/>
  <c r="BL41" i="2"/>
  <c r="BL37" i="2"/>
  <c r="BL33" i="2"/>
  <c r="BL74" i="2"/>
  <c r="BL70" i="2"/>
  <c r="BL66" i="2"/>
  <c r="BL62" i="2"/>
  <c r="BL58" i="2"/>
  <c r="BL54" i="2"/>
  <c r="BL50" i="2"/>
  <c r="BL46" i="2"/>
  <c r="BL42" i="2"/>
  <c r="BL38" i="2"/>
  <c r="BL34" i="2"/>
  <c r="BL75" i="2"/>
  <c r="BL71" i="2"/>
  <c r="BL67" i="2"/>
  <c r="BL63" i="2"/>
  <c r="BL59" i="2"/>
  <c r="BL55" i="2"/>
  <c r="BL51" i="2"/>
  <c r="BL47" i="2"/>
  <c r="BL43" i="2"/>
  <c r="BL39" i="2"/>
  <c r="BL35" i="2"/>
  <c r="BP249" i="2"/>
  <c r="BP245" i="2"/>
  <c r="BP241" i="2"/>
  <c r="BP237" i="2"/>
  <c r="BP233" i="2"/>
  <c r="BP250" i="2"/>
  <c r="BP246" i="2"/>
  <c r="BP242" i="2"/>
  <c r="BP238" i="2"/>
  <c r="BP234" i="2"/>
  <c r="BP230" i="2"/>
  <c r="BP251" i="2"/>
  <c r="BP247" i="2"/>
  <c r="BP243" i="2"/>
  <c r="BP239" i="2"/>
  <c r="BP235" i="2"/>
  <c r="BP252" i="2"/>
  <c r="BP248" i="2"/>
  <c r="BP244" i="2"/>
  <c r="BP240" i="2"/>
  <c r="BP236" i="2"/>
  <c r="BP231" i="2"/>
  <c r="BP228" i="2"/>
  <c r="BP224" i="2"/>
  <c r="BP220" i="2"/>
  <c r="BP216" i="2"/>
  <c r="BP212" i="2"/>
  <c r="BP229" i="2"/>
  <c r="BP225" i="2"/>
  <c r="BP221" i="2"/>
  <c r="BP217" i="2"/>
  <c r="BP213" i="2"/>
  <c r="BP232" i="2"/>
  <c r="BP226" i="2"/>
  <c r="BP222" i="2"/>
  <c r="BP218" i="2"/>
  <c r="BP214" i="2"/>
  <c r="BP227" i="2"/>
  <c r="BP223" i="2"/>
  <c r="BP219" i="2"/>
  <c r="BP215" i="2"/>
  <c r="BP211" i="2"/>
  <c r="BP207" i="2"/>
  <c r="BP203" i="2"/>
  <c r="BP199" i="2"/>
  <c r="BP195" i="2"/>
  <c r="BP191" i="2"/>
  <c r="BP208" i="2"/>
  <c r="BP204" i="2"/>
  <c r="BP200" i="2"/>
  <c r="BP196" i="2"/>
  <c r="BP192" i="2"/>
  <c r="BP188" i="2"/>
  <c r="BP209" i="2"/>
  <c r="BP205" i="2"/>
  <c r="BP201" i="2"/>
  <c r="BP197" i="2"/>
  <c r="BP193" i="2"/>
  <c r="BP189" i="2"/>
  <c r="BP210" i="2"/>
  <c r="BP206" i="2"/>
  <c r="BP202" i="2"/>
  <c r="BP198" i="2"/>
  <c r="BP194" i="2"/>
  <c r="BP190" i="2"/>
  <c r="BP186" i="2"/>
  <c r="BP182" i="2"/>
  <c r="BP178" i="2"/>
  <c r="BP174" i="2"/>
  <c r="BP170" i="2"/>
  <c r="BP166" i="2"/>
  <c r="BP187" i="2"/>
  <c r="BP183" i="2"/>
  <c r="BP179" i="2"/>
  <c r="BP175" i="2"/>
  <c r="BP171" i="2"/>
  <c r="BP167" i="2"/>
  <c r="BP184" i="2"/>
  <c r="BP180" i="2"/>
  <c r="BP176" i="2"/>
  <c r="BP172" i="2"/>
  <c r="BP168" i="2"/>
  <c r="BP185" i="2"/>
  <c r="BP181" i="2"/>
  <c r="BP177" i="2"/>
  <c r="BP173" i="2"/>
  <c r="BP169" i="2"/>
  <c r="BP164" i="2"/>
  <c r="BP163" i="2"/>
  <c r="BP159" i="2"/>
  <c r="BP155" i="2"/>
  <c r="BP151" i="2"/>
  <c r="BP147" i="2"/>
  <c r="BP143" i="2"/>
  <c r="BP139" i="2"/>
  <c r="BP135" i="2"/>
  <c r="BP131" i="2"/>
  <c r="BP127" i="2"/>
  <c r="BP123" i="2"/>
  <c r="BP160" i="2"/>
  <c r="BP156" i="2"/>
  <c r="BP152" i="2"/>
  <c r="BP148" i="2"/>
  <c r="BP144" i="2"/>
  <c r="BP140" i="2"/>
  <c r="BP136" i="2"/>
  <c r="BP132" i="2"/>
  <c r="BP128" i="2"/>
  <c r="BP124" i="2"/>
  <c r="BP120" i="2"/>
  <c r="BP161" i="2"/>
  <c r="BP157" i="2"/>
  <c r="BP153" i="2"/>
  <c r="BP149" i="2"/>
  <c r="BP145" i="2"/>
  <c r="BP141" i="2"/>
  <c r="BP137" i="2"/>
  <c r="BP133" i="2"/>
  <c r="BP129" i="2"/>
  <c r="BP125" i="2"/>
  <c r="BP121" i="2"/>
  <c r="BP165" i="2"/>
  <c r="BP162" i="2"/>
  <c r="BP158" i="2"/>
  <c r="BP154" i="2"/>
  <c r="BP150" i="2"/>
  <c r="BP146" i="2"/>
  <c r="BP142" i="2"/>
  <c r="BP138" i="2"/>
  <c r="BP134" i="2"/>
  <c r="BP130" i="2"/>
  <c r="BP126" i="2"/>
  <c r="BP122" i="2"/>
  <c r="BP116" i="2"/>
  <c r="BP112" i="2"/>
  <c r="BP108" i="2"/>
  <c r="BP104" i="2"/>
  <c r="BP100" i="2"/>
  <c r="BP96" i="2"/>
  <c r="BP92" i="2"/>
  <c r="BP88" i="2"/>
  <c r="BP84" i="2"/>
  <c r="BP80" i="2"/>
  <c r="BP76" i="2"/>
  <c r="BP117" i="2"/>
  <c r="BP113" i="2"/>
  <c r="BP109" i="2"/>
  <c r="BP105" i="2"/>
  <c r="BP101" i="2"/>
  <c r="BP97" i="2"/>
  <c r="BP93" i="2"/>
  <c r="BP89" i="2"/>
  <c r="BP85" i="2"/>
  <c r="BP81" i="2"/>
  <c r="BP77" i="2"/>
  <c r="BP118" i="2"/>
  <c r="BP114" i="2"/>
  <c r="BP110" i="2"/>
  <c r="BP106" i="2"/>
  <c r="BP102" i="2"/>
  <c r="BP98" i="2"/>
  <c r="BP94" i="2"/>
  <c r="BP90" i="2"/>
  <c r="BP86" i="2"/>
  <c r="BP82" i="2"/>
  <c r="BP119" i="2"/>
  <c r="BP115" i="2"/>
  <c r="BP111" i="2"/>
  <c r="BP107" i="2"/>
  <c r="BP103" i="2"/>
  <c r="BP99" i="2"/>
  <c r="BP95" i="2"/>
  <c r="BP91" i="2"/>
  <c r="BP87" i="2"/>
  <c r="BP83" i="2"/>
  <c r="BP79" i="2"/>
  <c r="BP72" i="2"/>
  <c r="BP68" i="2"/>
  <c r="BP64" i="2"/>
  <c r="BP60" i="2"/>
  <c r="BP56" i="2"/>
  <c r="BP52" i="2"/>
  <c r="BP48" i="2"/>
  <c r="BP44" i="2"/>
  <c r="BP40" i="2"/>
  <c r="BP36" i="2"/>
  <c r="BP32" i="2"/>
  <c r="BP73" i="2"/>
  <c r="BP69" i="2"/>
  <c r="BP65" i="2"/>
  <c r="BP61" i="2"/>
  <c r="BP57" i="2"/>
  <c r="BP53" i="2"/>
  <c r="BP49" i="2"/>
  <c r="BP45" i="2"/>
  <c r="BP41" i="2"/>
  <c r="BP37" i="2"/>
  <c r="BP33" i="2"/>
  <c r="BP78" i="2"/>
  <c r="BP74" i="2"/>
  <c r="BP70" i="2"/>
  <c r="BP66" i="2"/>
  <c r="BP62" i="2"/>
  <c r="BP58" i="2"/>
  <c r="BP54" i="2"/>
  <c r="BP50" i="2"/>
  <c r="BP46" i="2"/>
  <c r="BP42" i="2"/>
  <c r="BP38" i="2"/>
  <c r="BP34" i="2"/>
  <c r="BP75" i="2"/>
  <c r="BP71" i="2"/>
  <c r="BP67" i="2"/>
  <c r="BP63" i="2"/>
  <c r="BP59" i="2"/>
  <c r="BP55" i="2"/>
  <c r="BP51" i="2"/>
  <c r="BP47" i="2"/>
  <c r="BP43" i="2"/>
  <c r="BP39" i="2"/>
  <c r="BP35" i="2"/>
  <c r="BE4" i="2"/>
  <c r="BI4" i="2"/>
  <c r="BM4" i="2"/>
  <c r="BQ4" i="2"/>
  <c r="BF5" i="2"/>
  <c r="BJ5" i="2"/>
  <c r="BN5" i="2"/>
  <c r="BR5" i="2"/>
  <c r="BG6" i="2"/>
  <c r="BK6" i="2"/>
  <c r="BO6" i="2"/>
  <c r="BS6" i="2"/>
  <c r="BH7" i="2"/>
  <c r="BL7" i="2"/>
  <c r="BP7" i="2"/>
  <c r="BE8" i="2"/>
  <c r="BI8" i="2"/>
  <c r="BM8" i="2"/>
  <c r="BQ8" i="2"/>
  <c r="BF9" i="2"/>
  <c r="BJ9" i="2"/>
  <c r="BN9" i="2"/>
  <c r="BR9" i="2"/>
  <c r="BG10" i="2"/>
  <c r="BK10" i="2"/>
  <c r="BO10" i="2"/>
  <c r="BS10" i="2"/>
  <c r="BH11" i="2"/>
  <c r="BL11" i="2"/>
  <c r="BP11" i="2"/>
  <c r="BE12" i="2"/>
  <c r="BI12" i="2"/>
  <c r="BM12" i="2"/>
  <c r="BQ12" i="2"/>
  <c r="BF13" i="2"/>
  <c r="BJ13" i="2"/>
  <c r="BN13" i="2"/>
  <c r="BR13" i="2"/>
  <c r="BG14" i="2"/>
  <c r="BK14" i="2"/>
  <c r="BO14" i="2"/>
  <c r="BS14" i="2"/>
  <c r="BH15" i="2"/>
  <c r="BL15" i="2"/>
  <c r="BP15" i="2"/>
  <c r="BE16" i="2"/>
  <c r="BI16" i="2"/>
  <c r="BM16" i="2"/>
  <c r="BQ16" i="2"/>
  <c r="BF17" i="2"/>
  <c r="BJ17" i="2"/>
  <c r="BN17" i="2"/>
  <c r="BR17" i="2"/>
  <c r="BG18" i="2"/>
  <c r="BK18" i="2"/>
  <c r="BO18" i="2"/>
  <c r="BS18" i="2"/>
  <c r="BH19" i="2"/>
  <c r="BL19" i="2"/>
  <c r="BP19" i="2"/>
  <c r="BE20" i="2"/>
  <c r="BI20" i="2"/>
  <c r="BM20" i="2"/>
  <c r="BQ20" i="2"/>
  <c r="BF21" i="2"/>
  <c r="BJ21" i="2"/>
  <c r="BN21" i="2"/>
  <c r="BR21" i="2"/>
  <c r="BG22" i="2"/>
  <c r="BK22" i="2"/>
  <c r="BO22" i="2"/>
  <c r="BS22" i="2"/>
  <c r="BH23" i="2"/>
  <c r="BL23" i="2"/>
  <c r="BP23" i="2"/>
  <c r="BE24" i="2"/>
  <c r="BI24" i="2"/>
  <c r="BM24" i="2"/>
  <c r="BQ24" i="2"/>
  <c r="BF25" i="2"/>
  <c r="BJ25" i="2"/>
  <c r="BN25" i="2"/>
  <c r="BR25" i="2"/>
  <c r="BG26" i="2"/>
  <c r="BK26" i="2"/>
  <c r="BO26" i="2"/>
  <c r="BS26" i="2"/>
  <c r="BH27" i="2"/>
  <c r="BL27" i="2"/>
  <c r="BP27" i="2"/>
  <c r="BE28" i="2"/>
  <c r="BF29" i="2"/>
  <c r="BJ29" i="2"/>
  <c r="BN29" i="2"/>
  <c r="BR29" i="2"/>
  <c r="BG30" i="2"/>
  <c r="BK30" i="2"/>
  <c r="BS30" i="2"/>
  <c r="BL31" i="2"/>
  <c r="BE250" i="2"/>
  <c r="BE246" i="2"/>
  <c r="BE242" i="2"/>
  <c r="BE238" i="2"/>
  <c r="BE234" i="2"/>
  <c r="BE251" i="2"/>
  <c r="BE247" i="2"/>
  <c r="BE243" i="2"/>
  <c r="BE239" i="2"/>
  <c r="BE235" i="2"/>
  <c r="BE231" i="2"/>
  <c r="BE252" i="2"/>
  <c r="BE248" i="2"/>
  <c r="BE244" i="2"/>
  <c r="BE240" i="2"/>
  <c r="BE236" i="2"/>
  <c r="BE249" i="2"/>
  <c r="BE245" i="2"/>
  <c r="BE241" i="2"/>
  <c r="BE237" i="2"/>
  <c r="BE229" i="2"/>
  <c r="BE225" i="2"/>
  <c r="BE221" i="2"/>
  <c r="BE217" i="2"/>
  <c r="BE213" i="2"/>
  <c r="BE233" i="2"/>
  <c r="BE232" i="2"/>
  <c r="BE230" i="2"/>
  <c r="BE226" i="2"/>
  <c r="BE222" i="2"/>
  <c r="BE218" i="2"/>
  <c r="BE214" i="2"/>
  <c r="BE227" i="2"/>
  <c r="BE223" i="2"/>
  <c r="BE219" i="2"/>
  <c r="BE215" i="2"/>
  <c r="BE228" i="2"/>
  <c r="BE224" i="2"/>
  <c r="BE220" i="2"/>
  <c r="BE216" i="2"/>
  <c r="BE211" i="2"/>
  <c r="BE208" i="2"/>
  <c r="BE204" i="2"/>
  <c r="BE200" i="2"/>
  <c r="BE196" i="2"/>
  <c r="BE192" i="2"/>
  <c r="BE212" i="2"/>
  <c r="BE209" i="2"/>
  <c r="BE205" i="2"/>
  <c r="BE201" i="2"/>
  <c r="BE197" i="2"/>
  <c r="BE193" i="2"/>
  <c r="BE189" i="2"/>
  <c r="BE206" i="2"/>
  <c r="BE202" i="2"/>
  <c r="BE198" i="2"/>
  <c r="BE194" i="2"/>
  <c r="BE190" i="2"/>
  <c r="BE210" i="2"/>
  <c r="BE207" i="2"/>
  <c r="BE203" i="2"/>
  <c r="BE199" i="2"/>
  <c r="BE195" i="2"/>
  <c r="BE191" i="2"/>
  <c r="BE187" i="2"/>
  <c r="BE183" i="2"/>
  <c r="BE179" i="2"/>
  <c r="BE175" i="2"/>
  <c r="BE171" i="2"/>
  <c r="BE167" i="2"/>
  <c r="BE188" i="2"/>
  <c r="BE184" i="2"/>
  <c r="BE180" i="2"/>
  <c r="BE176" i="2"/>
  <c r="BE172" i="2"/>
  <c r="BE168" i="2"/>
  <c r="BE185" i="2"/>
  <c r="BE181" i="2"/>
  <c r="BE177" i="2"/>
  <c r="BE173" i="2"/>
  <c r="BE169" i="2"/>
  <c r="BE186" i="2"/>
  <c r="BE182" i="2"/>
  <c r="BE178" i="2"/>
  <c r="BE174" i="2"/>
  <c r="BE170" i="2"/>
  <c r="BE164" i="2"/>
  <c r="BE160" i="2"/>
  <c r="BE156" i="2"/>
  <c r="BE152" i="2"/>
  <c r="BE148" i="2"/>
  <c r="BE144" i="2"/>
  <c r="BE140" i="2"/>
  <c r="BE136" i="2"/>
  <c r="BE132" i="2"/>
  <c r="BE128" i="2"/>
  <c r="BE124" i="2"/>
  <c r="BE166" i="2"/>
  <c r="BE165" i="2"/>
  <c r="BE161" i="2"/>
  <c r="BE157" i="2"/>
  <c r="BE153" i="2"/>
  <c r="BE149" i="2"/>
  <c r="BE145" i="2"/>
  <c r="BE141" i="2"/>
  <c r="BE137" i="2"/>
  <c r="BE133" i="2"/>
  <c r="BE129" i="2"/>
  <c r="BE125" i="2"/>
  <c r="BE121" i="2"/>
  <c r="BE162" i="2"/>
  <c r="BE158" i="2"/>
  <c r="BE154" i="2"/>
  <c r="BE150" i="2"/>
  <c r="BE146" i="2"/>
  <c r="BE142" i="2"/>
  <c r="BE138" i="2"/>
  <c r="BE134" i="2"/>
  <c r="BE130" i="2"/>
  <c r="BE126" i="2"/>
  <c r="BE122" i="2"/>
  <c r="BE163" i="2"/>
  <c r="BE159" i="2"/>
  <c r="BE155" i="2"/>
  <c r="BE151" i="2"/>
  <c r="BE147" i="2"/>
  <c r="BE143" i="2"/>
  <c r="BE139" i="2"/>
  <c r="BE135" i="2"/>
  <c r="BE131" i="2"/>
  <c r="BE127" i="2"/>
  <c r="BE123" i="2"/>
  <c r="BE117" i="2"/>
  <c r="BE113" i="2"/>
  <c r="BE109" i="2"/>
  <c r="BE105" i="2"/>
  <c r="BE101" i="2"/>
  <c r="BE97" i="2"/>
  <c r="BE93" i="2"/>
  <c r="BE89" i="2"/>
  <c r="BE85" i="2"/>
  <c r="BE81" i="2"/>
  <c r="BE77" i="2"/>
  <c r="BE118" i="2"/>
  <c r="BE114" i="2"/>
  <c r="BE110" i="2"/>
  <c r="BE106" i="2"/>
  <c r="BE102" i="2"/>
  <c r="BE98" i="2"/>
  <c r="BE94" i="2"/>
  <c r="BE90" i="2"/>
  <c r="BE86" i="2"/>
  <c r="BE82" i="2"/>
  <c r="BE78" i="2"/>
  <c r="BE119" i="2"/>
  <c r="BE115" i="2"/>
  <c r="BE111" i="2"/>
  <c r="BE107" i="2"/>
  <c r="BE103" i="2"/>
  <c r="BE99" i="2"/>
  <c r="BE95" i="2"/>
  <c r="BE91" i="2"/>
  <c r="BE87" i="2"/>
  <c r="BE83" i="2"/>
  <c r="BE120" i="2"/>
  <c r="BE116" i="2"/>
  <c r="BE112" i="2"/>
  <c r="BE108" i="2"/>
  <c r="BE104" i="2"/>
  <c r="BE100" i="2"/>
  <c r="BE96" i="2"/>
  <c r="BE92" i="2"/>
  <c r="BE88" i="2"/>
  <c r="BE84" i="2"/>
  <c r="BE80" i="2"/>
  <c r="BE79" i="2"/>
  <c r="BE73" i="2"/>
  <c r="BE69" i="2"/>
  <c r="BE65" i="2"/>
  <c r="BE61" i="2"/>
  <c r="BE57" i="2"/>
  <c r="BE53" i="2"/>
  <c r="BE49" i="2"/>
  <c r="BE45" i="2"/>
  <c r="BE41" i="2"/>
  <c r="BE37" i="2"/>
  <c r="BE33" i="2"/>
  <c r="BE74" i="2"/>
  <c r="BE70" i="2"/>
  <c r="BE66" i="2"/>
  <c r="BE62" i="2"/>
  <c r="BE58" i="2"/>
  <c r="BE54" i="2"/>
  <c r="BE50" i="2"/>
  <c r="BE46" i="2"/>
  <c r="BE42" i="2"/>
  <c r="BE38" i="2"/>
  <c r="BE34" i="2"/>
  <c r="BE75" i="2"/>
  <c r="BE71" i="2"/>
  <c r="BE67" i="2"/>
  <c r="BE63" i="2"/>
  <c r="BE59" i="2"/>
  <c r="BE55" i="2"/>
  <c r="BE51" i="2"/>
  <c r="BE47" i="2"/>
  <c r="BE43" i="2"/>
  <c r="BE39" i="2"/>
  <c r="BE35" i="2"/>
  <c r="BE76" i="2"/>
  <c r="BE72" i="2"/>
  <c r="BE68" i="2"/>
  <c r="BE64" i="2"/>
  <c r="BE60" i="2"/>
  <c r="BE56" i="2"/>
  <c r="BE52" i="2"/>
  <c r="BE48" i="2"/>
  <c r="BE44" i="2"/>
  <c r="BE40" i="2"/>
  <c r="BE36" i="2"/>
  <c r="BI250" i="2"/>
  <c r="BI246" i="2"/>
  <c r="BI242" i="2"/>
  <c r="BI238" i="2"/>
  <c r="BI234" i="2"/>
  <c r="BI251" i="2"/>
  <c r="BI247" i="2"/>
  <c r="BI243" i="2"/>
  <c r="BI239" i="2"/>
  <c r="BI235" i="2"/>
  <c r="BI231" i="2"/>
  <c r="BI252" i="2"/>
  <c r="BI248" i="2"/>
  <c r="BI244" i="2"/>
  <c r="BI240" i="2"/>
  <c r="BI236" i="2"/>
  <c r="BI249" i="2"/>
  <c r="BI245" i="2"/>
  <c r="BI241" i="2"/>
  <c r="BI237" i="2"/>
  <c r="BI233" i="2"/>
  <c r="BI229" i="2"/>
  <c r="BI225" i="2"/>
  <c r="BI221" i="2"/>
  <c r="BI217" i="2"/>
  <c r="BI213" i="2"/>
  <c r="BI230" i="2"/>
  <c r="BI226" i="2"/>
  <c r="BI222" i="2"/>
  <c r="BI218" i="2"/>
  <c r="BI214" i="2"/>
  <c r="BI232" i="2"/>
  <c r="BI227" i="2"/>
  <c r="BI223" i="2"/>
  <c r="BI219" i="2"/>
  <c r="BI215" i="2"/>
  <c r="BI228" i="2"/>
  <c r="BI224" i="2"/>
  <c r="BI220" i="2"/>
  <c r="BI216" i="2"/>
  <c r="BI212" i="2"/>
  <c r="BI210" i="2"/>
  <c r="BI208" i="2"/>
  <c r="BI204" i="2"/>
  <c r="BI200" i="2"/>
  <c r="BI196" i="2"/>
  <c r="BI192" i="2"/>
  <c r="BI211" i="2"/>
  <c r="BI209" i="2"/>
  <c r="BI205" i="2"/>
  <c r="BI201" i="2"/>
  <c r="BI197" i="2"/>
  <c r="BI193" i="2"/>
  <c r="BI189" i="2"/>
  <c r="BI206" i="2"/>
  <c r="BI202" i="2"/>
  <c r="BI198" i="2"/>
  <c r="BI194" i="2"/>
  <c r="BI190" i="2"/>
  <c r="BI207" i="2"/>
  <c r="BI203" i="2"/>
  <c r="BI199" i="2"/>
  <c r="BI195" i="2"/>
  <c r="BI191" i="2"/>
  <c r="BI187" i="2"/>
  <c r="BI183" i="2"/>
  <c r="BI179" i="2"/>
  <c r="BI175" i="2"/>
  <c r="BI171" i="2"/>
  <c r="BI167" i="2"/>
  <c r="BI188" i="2"/>
  <c r="BI184" i="2"/>
  <c r="BI180" i="2"/>
  <c r="BI176" i="2"/>
  <c r="BI172" i="2"/>
  <c r="BI168" i="2"/>
  <c r="BI185" i="2"/>
  <c r="BI181" i="2"/>
  <c r="BI177" i="2"/>
  <c r="BI173" i="2"/>
  <c r="BI169" i="2"/>
  <c r="BI186" i="2"/>
  <c r="BI182" i="2"/>
  <c r="BI178" i="2"/>
  <c r="BI174" i="2"/>
  <c r="BI170" i="2"/>
  <c r="BI160" i="2"/>
  <c r="BI156" i="2"/>
  <c r="BI152" i="2"/>
  <c r="BI148" i="2"/>
  <c r="BI144" i="2"/>
  <c r="BI140" i="2"/>
  <c r="BI136" i="2"/>
  <c r="BI132" i="2"/>
  <c r="BI128" i="2"/>
  <c r="BI124" i="2"/>
  <c r="BI164" i="2"/>
  <c r="BI161" i="2"/>
  <c r="BI157" i="2"/>
  <c r="BI153" i="2"/>
  <c r="BI149" i="2"/>
  <c r="BI145" i="2"/>
  <c r="BI141" i="2"/>
  <c r="BI137" i="2"/>
  <c r="BI133" i="2"/>
  <c r="BI129" i="2"/>
  <c r="BI125" i="2"/>
  <c r="BI121" i="2"/>
  <c r="BI165" i="2"/>
  <c r="BI162" i="2"/>
  <c r="BI158" i="2"/>
  <c r="BI154" i="2"/>
  <c r="BI150" i="2"/>
  <c r="BI146" i="2"/>
  <c r="BI142" i="2"/>
  <c r="BI138" i="2"/>
  <c r="BI134" i="2"/>
  <c r="BI130" i="2"/>
  <c r="BI126" i="2"/>
  <c r="BI122" i="2"/>
  <c r="BI166" i="2"/>
  <c r="BI163" i="2"/>
  <c r="BI159" i="2"/>
  <c r="BI155" i="2"/>
  <c r="BI151" i="2"/>
  <c r="BI147" i="2"/>
  <c r="BI143" i="2"/>
  <c r="BI139" i="2"/>
  <c r="BI135" i="2"/>
  <c r="BI131" i="2"/>
  <c r="BI127" i="2"/>
  <c r="BI123" i="2"/>
  <c r="BI117" i="2"/>
  <c r="BI113" i="2"/>
  <c r="BI109" i="2"/>
  <c r="BI105" i="2"/>
  <c r="BI101" i="2"/>
  <c r="BI97" i="2"/>
  <c r="BI93" i="2"/>
  <c r="BI89" i="2"/>
  <c r="BI85" i="2"/>
  <c r="BI81" i="2"/>
  <c r="BI77" i="2"/>
  <c r="BI118" i="2"/>
  <c r="BI114" i="2"/>
  <c r="BI110" i="2"/>
  <c r="BI106" i="2"/>
  <c r="BI102" i="2"/>
  <c r="BI98" i="2"/>
  <c r="BI94" i="2"/>
  <c r="BI90" i="2"/>
  <c r="BI86" i="2"/>
  <c r="BI82" i="2"/>
  <c r="BI78" i="2"/>
  <c r="BI119" i="2"/>
  <c r="BI115" i="2"/>
  <c r="BI111" i="2"/>
  <c r="BI107" i="2"/>
  <c r="BI103" i="2"/>
  <c r="BI99" i="2"/>
  <c r="BI95" i="2"/>
  <c r="BI91" i="2"/>
  <c r="BI87" i="2"/>
  <c r="BI83" i="2"/>
  <c r="BI79" i="2"/>
  <c r="BI120" i="2"/>
  <c r="BI116" i="2"/>
  <c r="BI112" i="2"/>
  <c r="BI108" i="2"/>
  <c r="BI104" i="2"/>
  <c r="BI100" i="2"/>
  <c r="BI96" i="2"/>
  <c r="BI92" i="2"/>
  <c r="BI88" i="2"/>
  <c r="BI84" i="2"/>
  <c r="BI80" i="2"/>
  <c r="BI73" i="2"/>
  <c r="BI69" i="2"/>
  <c r="BI65" i="2"/>
  <c r="BI61" i="2"/>
  <c r="BI57" i="2"/>
  <c r="BI53" i="2"/>
  <c r="BI49" i="2"/>
  <c r="BI45" i="2"/>
  <c r="BI41" i="2"/>
  <c r="BI37" i="2"/>
  <c r="BI33" i="2"/>
  <c r="BI74" i="2"/>
  <c r="BI70" i="2"/>
  <c r="BI66" i="2"/>
  <c r="BI62" i="2"/>
  <c r="BI58" i="2"/>
  <c r="BI54" i="2"/>
  <c r="BI50" i="2"/>
  <c r="BI46" i="2"/>
  <c r="BI42" i="2"/>
  <c r="BI38" i="2"/>
  <c r="BI34" i="2"/>
  <c r="BI75" i="2"/>
  <c r="BI71" i="2"/>
  <c r="BI67" i="2"/>
  <c r="BI63" i="2"/>
  <c r="BI59" i="2"/>
  <c r="BI55" i="2"/>
  <c r="BI51" i="2"/>
  <c r="BI47" i="2"/>
  <c r="BI43" i="2"/>
  <c r="BI39" i="2"/>
  <c r="BI35" i="2"/>
  <c r="BI76" i="2"/>
  <c r="BI72" i="2"/>
  <c r="BI68" i="2"/>
  <c r="BI64" i="2"/>
  <c r="BI60" i="2"/>
  <c r="BI56" i="2"/>
  <c r="BI52" i="2"/>
  <c r="BI48" i="2"/>
  <c r="BI44" i="2"/>
  <c r="BI40" i="2"/>
  <c r="BI36" i="2"/>
  <c r="BM250" i="2"/>
  <c r="BM246" i="2"/>
  <c r="BM242" i="2"/>
  <c r="BM238" i="2"/>
  <c r="BM234" i="2"/>
  <c r="BM251" i="2"/>
  <c r="BM247" i="2"/>
  <c r="BM243" i="2"/>
  <c r="BM239" i="2"/>
  <c r="BM235" i="2"/>
  <c r="BM231" i="2"/>
  <c r="BM252" i="2"/>
  <c r="BM248" i="2"/>
  <c r="BM244" i="2"/>
  <c r="BM240" i="2"/>
  <c r="BM236" i="2"/>
  <c r="BM249" i="2"/>
  <c r="BM245" i="2"/>
  <c r="BM241" i="2"/>
  <c r="BM237" i="2"/>
  <c r="BM233" i="2"/>
  <c r="BM229" i="2"/>
  <c r="BM225" i="2"/>
  <c r="BM221" i="2"/>
  <c r="BM217" i="2"/>
  <c r="BM213" i="2"/>
  <c r="BM226" i="2"/>
  <c r="BM222" i="2"/>
  <c r="BM218" i="2"/>
  <c r="BM214" i="2"/>
  <c r="BM230" i="2"/>
  <c r="BM227" i="2"/>
  <c r="BM223" i="2"/>
  <c r="BM219" i="2"/>
  <c r="BM215" i="2"/>
  <c r="BM232" i="2"/>
  <c r="BM228" i="2"/>
  <c r="BM224" i="2"/>
  <c r="BM220" i="2"/>
  <c r="BM216" i="2"/>
  <c r="BM208" i="2"/>
  <c r="BM204" i="2"/>
  <c r="BM200" i="2"/>
  <c r="BM196" i="2"/>
  <c r="BM192" i="2"/>
  <c r="BM210" i="2"/>
  <c r="BM209" i="2"/>
  <c r="BM205" i="2"/>
  <c r="BM201" i="2"/>
  <c r="BM197" i="2"/>
  <c r="BM193" i="2"/>
  <c r="BM189" i="2"/>
  <c r="BM211" i="2"/>
  <c r="BM206" i="2"/>
  <c r="BM202" i="2"/>
  <c r="BM198" i="2"/>
  <c r="BM194" i="2"/>
  <c r="BM190" i="2"/>
  <c r="BM212" i="2"/>
  <c r="BM207" i="2"/>
  <c r="BM203" i="2"/>
  <c r="BM199" i="2"/>
  <c r="BM195" i="2"/>
  <c r="BM191" i="2"/>
  <c r="BM187" i="2"/>
  <c r="BM183" i="2"/>
  <c r="BM179" i="2"/>
  <c r="BM175" i="2"/>
  <c r="BM171" i="2"/>
  <c r="BM167" i="2"/>
  <c r="BM188" i="2"/>
  <c r="BM184" i="2"/>
  <c r="BM180" i="2"/>
  <c r="BM176" i="2"/>
  <c r="BM172" i="2"/>
  <c r="BM168" i="2"/>
  <c r="BM185" i="2"/>
  <c r="BM181" i="2"/>
  <c r="BM177" i="2"/>
  <c r="BM173" i="2"/>
  <c r="BM169" i="2"/>
  <c r="BM186" i="2"/>
  <c r="BM182" i="2"/>
  <c r="BM178" i="2"/>
  <c r="BM174" i="2"/>
  <c r="BM170" i="2"/>
  <c r="BM165" i="2"/>
  <c r="BM160" i="2"/>
  <c r="BM156" i="2"/>
  <c r="BM152" i="2"/>
  <c r="BM148" i="2"/>
  <c r="BM144" i="2"/>
  <c r="BM140" i="2"/>
  <c r="BM136" i="2"/>
  <c r="BM132" i="2"/>
  <c r="BM128" i="2"/>
  <c r="BM124" i="2"/>
  <c r="BM166" i="2"/>
  <c r="BM161" i="2"/>
  <c r="BM157" i="2"/>
  <c r="BM153" i="2"/>
  <c r="BM149" i="2"/>
  <c r="BM145" i="2"/>
  <c r="BM141" i="2"/>
  <c r="BM137" i="2"/>
  <c r="BM133" i="2"/>
  <c r="BM129" i="2"/>
  <c r="BM125" i="2"/>
  <c r="BM121" i="2"/>
  <c r="BM164" i="2"/>
  <c r="BM162" i="2"/>
  <c r="BM158" i="2"/>
  <c r="BM154" i="2"/>
  <c r="BM150" i="2"/>
  <c r="BM146" i="2"/>
  <c r="BM142" i="2"/>
  <c r="BM138" i="2"/>
  <c r="BM134" i="2"/>
  <c r="BM130" i="2"/>
  <c r="BM126" i="2"/>
  <c r="BM122" i="2"/>
  <c r="BM163" i="2"/>
  <c r="BM159" i="2"/>
  <c r="BM155" i="2"/>
  <c r="BM151" i="2"/>
  <c r="BM147" i="2"/>
  <c r="BM143" i="2"/>
  <c r="BM139" i="2"/>
  <c r="BM135" i="2"/>
  <c r="BM131" i="2"/>
  <c r="BM127" i="2"/>
  <c r="BM123" i="2"/>
  <c r="BM120" i="2"/>
  <c r="BM117" i="2"/>
  <c r="BM113" i="2"/>
  <c r="BM109" i="2"/>
  <c r="BM105" i="2"/>
  <c r="BM101" i="2"/>
  <c r="BM97" i="2"/>
  <c r="BM93" i="2"/>
  <c r="BM89" i="2"/>
  <c r="BM85" i="2"/>
  <c r="BM81" i="2"/>
  <c r="BM77" i="2"/>
  <c r="BM118" i="2"/>
  <c r="BM114" i="2"/>
  <c r="BM110" i="2"/>
  <c r="BM106" i="2"/>
  <c r="BM102" i="2"/>
  <c r="BM98" i="2"/>
  <c r="BM94" i="2"/>
  <c r="BM90" i="2"/>
  <c r="BM86" i="2"/>
  <c r="BM82" i="2"/>
  <c r="BM78" i="2"/>
  <c r="BM119" i="2"/>
  <c r="BM115" i="2"/>
  <c r="BM111" i="2"/>
  <c r="BM107" i="2"/>
  <c r="BM103" i="2"/>
  <c r="BM99" i="2"/>
  <c r="BM95" i="2"/>
  <c r="BM91" i="2"/>
  <c r="BM87" i="2"/>
  <c r="BM83" i="2"/>
  <c r="BM79" i="2"/>
  <c r="BM116" i="2"/>
  <c r="BM112" i="2"/>
  <c r="BM108" i="2"/>
  <c r="BM104" i="2"/>
  <c r="BM100" i="2"/>
  <c r="BM96" i="2"/>
  <c r="BM92" i="2"/>
  <c r="BM88" i="2"/>
  <c r="BM84" i="2"/>
  <c r="BM80" i="2"/>
  <c r="BM73" i="2"/>
  <c r="BM69" i="2"/>
  <c r="BM65" i="2"/>
  <c r="BM61" i="2"/>
  <c r="BM57" i="2"/>
  <c r="BM53" i="2"/>
  <c r="BM49" i="2"/>
  <c r="BM45" i="2"/>
  <c r="BM41" i="2"/>
  <c r="BM37" i="2"/>
  <c r="BM33" i="2"/>
  <c r="BM74" i="2"/>
  <c r="BM70" i="2"/>
  <c r="BM66" i="2"/>
  <c r="BM62" i="2"/>
  <c r="BM58" i="2"/>
  <c r="BM54" i="2"/>
  <c r="BM50" i="2"/>
  <c r="BM46" i="2"/>
  <c r="BM42" i="2"/>
  <c r="BM38" i="2"/>
  <c r="BM34" i="2"/>
  <c r="BM30" i="2"/>
  <c r="BM75" i="2"/>
  <c r="BM71" i="2"/>
  <c r="BM67" i="2"/>
  <c r="BM63" i="2"/>
  <c r="BM59" i="2"/>
  <c r="BM55" i="2"/>
  <c r="BM51" i="2"/>
  <c r="BM47" i="2"/>
  <c r="BM43" i="2"/>
  <c r="BM39" i="2"/>
  <c r="BM35" i="2"/>
  <c r="BM76" i="2"/>
  <c r="BM72" i="2"/>
  <c r="BM68" i="2"/>
  <c r="BM64" i="2"/>
  <c r="BM60" i="2"/>
  <c r="BM56" i="2"/>
  <c r="BM52" i="2"/>
  <c r="BM48" i="2"/>
  <c r="BM44" i="2"/>
  <c r="BM40" i="2"/>
  <c r="BM36" i="2"/>
  <c r="BM32" i="2"/>
  <c r="BQ250" i="2"/>
  <c r="BQ246" i="2"/>
  <c r="BQ242" i="2"/>
  <c r="BQ238" i="2"/>
  <c r="BQ234" i="2"/>
  <c r="BQ251" i="2"/>
  <c r="BQ247" i="2"/>
  <c r="BQ243" i="2"/>
  <c r="BQ239" i="2"/>
  <c r="BQ235" i="2"/>
  <c r="BQ231" i="2"/>
  <c r="BQ252" i="2"/>
  <c r="BQ248" i="2"/>
  <c r="BQ244" i="2"/>
  <c r="BQ240" i="2"/>
  <c r="BQ236" i="2"/>
  <c r="BQ232" i="2"/>
  <c r="BQ249" i="2"/>
  <c r="BQ245" i="2"/>
  <c r="BQ241" i="2"/>
  <c r="BQ237" i="2"/>
  <c r="BQ233" i="2"/>
  <c r="BQ229" i="2"/>
  <c r="BQ225" i="2"/>
  <c r="BQ221" i="2"/>
  <c r="BQ217" i="2"/>
  <c r="BQ213" i="2"/>
  <c r="BQ209" i="2"/>
  <c r="BQ226" i="2"/>
  <c r="BQ222" i="2"/>
  <c r="BQ218" i="2"/>
  <c r="BQ214" i="2"/>
  <c r="BQ227" i="2"/>
  <c r="BQ223" i="2"/>
  <c r="BQ219" i="2"/>
  <c r="BQ215" i="2"/>
  <c r="BQ230" i="2"/>
  <c r="BQ228" i="2"/>
  <c r="BQ224" i="2"/>
  <c r="BQ220" i="2"/>
  <c r="BQ216" i="2"/>
  <c r="BQ208" i="2"/>
  <c r="BQ204" i="2"/>
  <c r="BQ200" i="2"/>
  <c r="BQ196" i="2"/>
  <c r="BQ192" i="2"/>
  <c r="BQ205" i="2"/>
  <c r="BQ201" i="2"/>
  <c r="BQ197" i="2"/>
  <c r="BQ193" i="2"/>
  <c r="BQ189" i="2"/>
  <c r="BQ212" i="2"/>
  <c r="BQ210" i="2"/>
  <c r="BQ206" i="2"/>
  <c r="BQ202" i="2"/>
  <c r="BQ198" i="2"/>
  <c r="BQ194" i="2"/>
  <c r="BQ190" i="2"/>
  <c r="BQ211" i="2"/>
  <c r="BQ207" i="2"/>
  <c r="BQ203" i="2"/>
  <c r="BQ199" i="2"/>
  <c r="BQ195" i="2"/>
  <c r="BQ191" i="2"/>
  <c r="BQ187" i="2"/>
  <c r="BQ183" i="2"/>
  <c r="BQ179" i="2"/>
  <c r="BQ175" i="2"/>
  <c r="BQ171" i="2"/>
  <c r="BQ167" i="2"/>
  <c r="BQ184" i="2"/>
  <c r="BQ180" i="2"/>
  <c r="BQ176" i="2"/>
  <c r="BQ172" i="2"/>
  <c r="BQ168" i="2"/>
  <c r="BQ188" i="2"/>
  <c r="BQ185" i="2"/>
  <c r="BQ181" i="2"/>
  <c r="BQ177" i="2"/>
  <c r="BQ173" i="2"/>
  <c r="BQ169" i="2"/>
  <c r="BQ186" i="2"/>
  <c r="BQ182" i="2"/>
  <c r="BQ178" i="2"/>
  <c r="BQ174" i="2"/>
  <c r="BQ170" i="2"/>
  <c r="BQ166" i="2"/>
  <c r="BQ160" i="2"/>
  <c r="BQ156" i="2"/>
  <c r="BQ152" i="2"/>
  <c r="BQ148" i="2"/>
  <c r="BQ144" i="2"/>
  <c r="BQ140" i="2"/>
  <c r="BQ136" i="2"/>
  <c r="BQ132" i="2"/>
  <c r="BQ128" i="2"/>
  <c r="BQ124" i="2"/>
  <c r="BQ161" i="2"/>
  <c r="BQ157" i="2"/>
  <c r="BQ153" i="2"/>
  <c r="BQ149" i="2"/>
  <c r="BQ145" i="2"/>
  <c r="BQ141" i="2"/>
  <c r="BQ137" i="2"/>
  <c r="BQ133" i="2"/>
  <c r="BQ129" i="2"/>
  <c r="BQ125" i="2"/>
  <c r="BQ121" i="2"/>
  <c r="BQ165" i="2"/>
  <c r="BQ162" i="2"/>
  <c r="BQ158" i="2"/>
  <c r="BQ154" i="2"/>
  <c r="BQ150" i="2"/>
  <c r="BQ146" i="2"/>
  <c r="BQ142" i="2"/>
  <c r="BQ138" i="2"/>
  <c r="BQ134" i="2"/>
  <c r="BQ130" i="2"/>
  <c r="BQ126" i="2"/>
  <c r="BQ122" i="2"/>
  <c r="BQ164" i="2"/>
  <c r="BQ163" i="2"/>
  <c r="BQ159" i="2"/>
  <c r="BQ155" i="2"/>
  <c r="BQ151" i="2"/>
  <c r="BQ147" i="2"/>
  <c r="BQ143" i="2"/>
  <c r="BQ139" i="2"/>
  <c r="BQ135" i="2"/>
  <c r="BQ131" i="2"/>
  <c r="BQ127" i="2"/>
  <c r="BQ123" i="2"/>
  <c r="BQ117" i="2"/>
  <c r="BQ113" i="2"/>
  <c r="BQ109" i="2"/>
  <c r="BQ105" i="2"/>
  <c r="BQ101" i="2"/>
  <c r="BQ97" i="2"/>
  <c r="BQ93" i="2"/>
  <c r="BQ89" i="2"/>
  <c r="BQ85" i="2"/>
  <c r="BQ81" i="2"/>
  <c r="BQ77" i="2"/>
  <c r="BQ120" i="2"/>
  <c r="BQ118" i="2"/>
  <c r="BQ114" i="2"/>
  <c r="BQ110" i="2"/>
  <c r="BQ106" i="2"/>
  <c r="BQ102" i="2"/>
  <c r="BQ98" i="2"/>
  <c r="BQ94" i="2"/>
  <c r="BQ90" i="2"/>
  <c r="BQ86" i="2"/>
  <c r="BQ82" i="2"/>
  <c r="BQ78" i="2"/>
  <c r="BQ119" i="2"/>
  <c r="BQ115" i="2"/>
  <c r="BQ111" i="2"/>
  <c r="BQ107" i="2"/>
  <c r="BQ103" i="2"/>
  <c r="BQ99" i="2"/>
  <c r="BQ95" i="2"/>
  <c r="BQ91" i="2"/>
  <c r="BQ87" i="2"/>
  <c r="BQ83" i="2"/>
  <c r="BQ79" i="2"/>
  <c r="BQ116" i="2"/>
  <c r="BQ112" i="2"/>
  <c r="BQ108" i="2"/>
  <c r="BQ104" i="2"/>
  <c r="BQ100" i="2"/>
  <c r="BQ96" i="2"/>
  <c r="BQ92" i="2"/>
  <c r="BQ88" i="2"/>
  <c r="BQ84" i="2"/>
  <c r="BQ80" i="2"/>
  <c r="BQ73" i="2"/>
  <c r="BQ69" i="2"/>
  <c r="BQ65" i="2"/>
  <c r="BQ61" i="2"/>
  <c r="BQ57" i="2"/>
  <c r="BQ53" i="2"/>
  <c r="BQ49" i="2"/>
  <c r="BQ45" i="2"/>
  <c r="BQ41" i="2"/>
  <c r="BQ37" i="2"/>
  <c r="BQ33" i="2"/>
  <c r="BQ76" i="2"/>
  <c r="BQ74" i="2"/>
  <c r="BQ70" i="2"/>
  <c r="BQ66" i="2"/>
  <c r="BQ62" i="2"/>
  <c r="BQ58" i="2"/>
  <c r="BQ54" i="2"/>
  <c r="BQ50" i="2"/>
  <c r="BQ46" i="2"/>
  <c r="BQ42" i="2"/>
  <c r="BQ38" i="2"/>
  <c r="BQ34" i="2"/>
  <c r="BQ30" i="2"/>
  <c r="BQ75" i="2"/>
  <c r="BQ71" i="2"/>
  <c r="BQ67" i="2"/>
  <c r="BQ63" i="2"/>
  <c r="BQ59" i="2"/>
  <c r="BQ55" i="2"/>
  <c r="BQ51" i="2"/>
  <c r="BQ47" i="2"/>
  <c r="BQ43" i="2"/>
  <c r="BQ39" i="2"/>
  <c r="BQ35" i="2"/>
  <c r="BQ72" i="2"/>
  <c r="BQ68" i="2"/>
  <c r="BQ64" i="2"/>
  <c r="BQ60" i="2"/>
  <c r="BQ56" i="2"/>
  <c r="BQ52" i="2"/>
  <c r="BQ48" i="2"/>
  <c r="BQ44" i="2"/>
  <c r="BQ40" i="2"/>
  <c r="BQ36" i="2"/>
  <c r="BQ32" i="2"/>
  <c r="BF4" i="2"/>
  <c r="BJ4" i="2"/>
  <c r="BN4" i="2"/>
  <c r="BR4" i="2"/>
  <c r="BG5" i="2"/>
  <c r="BK5" i="2"/>
  <c r="BO5" i="2"/>
  <c r="BS5" i="2"/>
  <c r="BH6" i="2"/>
  <c r="BL6" i="2"/>
  <c r="BP6" i="2"/>
  <c r="BE7" i="2"/>
  <c r="BI7" i="2"/>
  <c r="BM7" i="2"/>
  <c r="BQ7" i="2"/>
  <c r="BF8" i="2"/>
  <c r="BJ8" i="2"/>
  <c r="BN8" i="2"/>
  <c r="BR8" i="2"/>
  <c r="BG9" i="2"/>
  <c r="BK9" i="2"/>
  <c r="BO9" i="2"/>
  <c r="BS9" i="2"/>
  <c r="BH10" i="2"/>
  <c r="BL10" i="2"/>
  <c r="BP10" i="2"/>
  <c r="BE11" i="2"/>
  <c r="BI11" i="2"/>
  <c r="BM11" i="2"/>
  <c r="BQ11" i="2"/>
  <c r="BF12" i="2"/>
  <c r="BJ12" i="2"/>
  <c r="BN12" i="2"/>
  <c r="BR12" i="2"/>
  <c r="BG13" i="2"/>
  <c r="BK13" i="2"/>
  <c r="BO13" i="2"/>
  <c r="BS13" i="2"/>
  <c r="BH14" i="2"/>
  <c r="BL14" i="2"/>
  <c r="BP14" i="2"/>
  <c r="BE15" i="2"/>
  <c r="BI15" i="2"/>
  <c r="BM15" i="2"/>
  <c r="BQ15" i="2"/>
  <c r="BF16" i="2"/>
  <c r="BJ16" i="2"/>
  <c r="BN16" i="2"/>
  <c r="BR16" i="2"/>
  <c r="BG17" i="2"/>
  <c r="BK17" i="2"/>
  <c r="BO17" i="2"/>
  <c r="BS17" i="2"/>
  <c r="BH18" i="2"/>
  <c r="BL18" i="2"/>
  <c r="BP18" i="2"/>
  <c r="BE19" i="2"/>
  <c r="BI19" i="2"/>
  <c r="BM19" i="2"/>
  <c r="BQ19" i="2"/>
  <c r="BF20" i="2"/>
  <c r="BJ20" i="2"/>
  <c r="BN20" i="2"/>
  <c r="BR20" i="2"/>
  <c r="BG21" i="2"/>
  <c r="BK21" i="2"/>
  <c r="BO21" i="2"/>
  <c r="BS21" i="2"/>
  <c r="BH22" i="2"/>
  <c r="BL22" i="2"/>
  <c r="BP22" i="2"/>
  <c r="BE23" i="2"/>
  <c r="BI23" i="2"/>
  <c r="BM23" i="2"/>
  <c r="BQ23" i="2"/>
  <c r="BF24" i="2"/>
  <c r="BJ24" i="2"/>
  <c r="BN24" i="2"/>
  <c r="BR24" i="2"/>
  <c r="BG25" i="2"/>
  <c r="BK25" i="2"/>
  <c r="BO25" i="2"/>
  <c r="BS25" i="2"/>
  <c r="BH26" i="2"/>
  <c r="BL26" i="2"/>
  <c r="BP26" i="2"/>
  <c r="BE27" i="2"/>
  <c r="BI27" i="2"/>
  <c r="BM27" i="2"/>
  <c r="BQ27" i="2"/>
  <c r="BF28" i="2"/>
  <c r="BG29" i="2"/>
  <c r="BK29" i="2"/>
  <c r="BO29" i="2"/>
  <c r="BS29" i="2"/>
  <c r="BH30" i="2"/>
  <c r="BL30" i="2"/>
  <c r="BE31" i="2"/>
  <c r="BM31" i="2"/>
  <c r="BF251" i="2"/>
  <c r="BF247" i="2"/>
  <c r="BF243" i="2"/>
  <c r="BF239" i="2"/>
  <c r="BF235" i="2"/>
  <c r="BF252" i="2"/>
  <c r="BF248" i="2"/>
  <c r="BF244" i="2"/>
  <c r="BF240" i="2"/>
  <c r="BF236" i="2"/>
  <c r="BF232" i="2"/>
  <c r="BF249" i="2"/>
  <c r="BF245" i="2"/>
  <c r="BF241" i="2"/>
  <c r="BF237" i="2"/>
  <c r="BF233" i="2"/>
  <c r="BF250" i="2"/>
  <c r="BF246" i="2"/>
  <c r="BF242" i="2"/>
  <c r="BF238" i="2"/>
  <c r="BF234" i="2"/>
  <c r="BF231" i="2"/>
  <c r="BF230" i="2"/>
  <c r="BF226" i="2"/>
  <c r="BF222" i="2"/>
  <c r="BF218" i="2"/>
  <c r="BF214" i="2"/>
  <c r="BF210" i="2"/>
  <c r="BF227" i="2"/>
  <c r="BF223" i="2"/>
  <c r="BF219" i="2"/>
  <c r="BF215" i="2"/>
  <c r="BF228" i="2"/>
  <c r="BF224" i="2"/>
  <c r="BF220" i="2"/>
  <c r="BF216" i="2"/>
  <c r="BF212" i="2"/>
  <c r="BF229" i="2"/>
  <c r="BF225" i="2"/>
  <c r="BF221" i="2"/>
  <c r="BF217" i="2"/>
  <c r="BF209" i="2"/>
  <c r="BF205" i="2"/>
  <c r="BF201" i="2"/>
  <c r="BF197" i="2"/>
  <c r="BF193" i="2"/>
  <c r="BF213" i="2"/>
  <c r="BF206" i="2"/>
  <c r="BF202" i="2"/>
  <c r="BF198" i="2"/>
  <c r="BF194" i="2"/>
  <c r="BF190" i="2"/>
  <c r="BF207" i="2"/>
  <c r="BF203" i="2"/>
  <c r="BF199" i="2"/>
  <c r="BF195" i="2"/>
  <c r="BF191" i="2"/>
  <c r="BF211" i="2"/>
  <c r="BF208" i="2"/>
  <c r="BF204" i="2"/>
  <c r="BF200" i="2"/>
  <c r="BF196" i="2"/>
  <c r="BF192" i="2"/>
  <c r="BF188" i="2"/>
  <c r="BF184" i="2"/>
  <c r="BF180" i="2"/>
  <c r="BF176" i="2"/>
  <c r="BF172" i="2"/>
  <c r="BF168" i="2"/>
  <c r="BF164" i="2"/>
  <c r="BF185" i="2"/>
  <c r="BF181" i="2"/>
  <c r="BF177" i="2"/>
  <c r="BF173" i="2"/>
  <c r="BF169" i="2"/>
  <c r="BF186" i="2"/>
  <c r="BF182" i="2"/>
  <c r="BF178" i="2"/>
  <c r="BF174" i="2"/>
  <c r="BF170" i="2"/>
  <c r="BF189" i="2"/>
  <c r="BF187" i="2"/>
  <c r="BF183" i="2"/>
  <c r="BF179" i="2"/>
  <c r="BF175" i="2"/>
  <c r="BF171" i="2"/>
  <c r="BF167" i="2"/>
  <c r="BF166" i="2"/>
  <c r="BF165" i="2"/>
  <c r="BF161" i="2"/>
  <c r="BF157" i="2"/>
  <c r="BF153" i="2"/>
  <c r="BF149" i="2"/>
  <c r="BF145" i="2"/>
  <c r="BF141" i="2"/>
  <c r="BF137" i="2"/>
  <c r="BF133" i="2"/>
  <c r="BF129" i="2"/>
  <c r="BF125" i="2"/>
  <c r="BF162" i="2"/>
  <c r="BF158" i="2"/>
  <c r="BF154" i="2"/>
  <c r="BF150" i="2"/>
  <c r="BF146" i="2"/>
  <c r="BF142" i="2"/>
  <c r="BF138" i="2"/>
  <c r="BF134" i="2"/>
  <c r="BF130" i="2"/>
  <c r="BF126" i="2"/>
  <c r="BF122" i="2"/>
  <c r="BF163" i="2"/>
  <c r="BF159" i="2"/>
  <c r="BF155" i="2"/>
  <c r="BF151" i="2"/>
  <c r="BF147" i="2"/>
  <c r="BF143" i="2"/>
  <c r="BF139" i="2"/>
  <c r="BF135" i="2"/>
  <c r="BF131" i="2"/>
  <c r="BF127" i="2"/>
  <c r="BF123" i="2"/>
  <c r="BF160" i="2"/>
  <c r="BF156" i="2"/>
  <c r="BF152" i="2"/>
  <c r="BF148" i="2"/>
  <c r="BF144" i="2"/>
  <c r="BF140" i="2"/>
  <c r="BF136" i="2"/>
  <c r="BF132" i="2"/>
  <c r="BF128" i="2"/>
  <c r="BF124" i="2"/>
  <c r="BF118" i="2"/>
  <c r="BF114" i="2"/>
  <c r="BF110" i="2"/>
  <c r="BF106" i="2"/>
  <c r="BF102" i="2"/>
  <c r="BF98" i="2"/>
  <c r="BF94" i="2"/>
  <c r="BF90" i="2"/>
  <c r="BF86" i="2"/>
  <c r="BF82" i="2"/>
  <c r="BF78" i="2"/>
  <c r="BF119" i="2"/>
  <c r="BF115" i="2"/>
  <c r="BF111" i="2"/>
  <c r="BF107" i="2"/>
  <c r="BF103" i="2"/>
  <c r="BF99" i="2"/>
  <c r="BF95" i="2"/>
  <c r="BF91" i="2"/>
  <c r="BF87" i="2"/>
  <c r="BF83" i="2"/>
  <c r="BF79" i="2"/>
  <c r="BF121" i="2"/>
  <c r="BF120" i="2"/>
  <c r="BF116" i="2"/>
  <c r="BF112" i="2"/>
  <c r="BF108" i="2"/>
  <c r="BF104" i="2"/>
  <c r="BF100" i="2"/>
  <c r="BF96" i="2"/>
  <c r="BF92" i="2"/>
  <c r="BF88" i="2"/>
  <c r="BF84" i="2"/>
  <c r="BF80" i="2"/>
  <c r="BF117" i="2"/>
  <c r="BF113" i="2"/>
  <c r="BF109" i="2"/>
  <c r="BF105" i="2"/>
  <c r="BF101" i="2"/>
  <c r="BF97" i="2"/>
  <c r="BF93" i="2"/>
  <c r="BF89" i="2"/>
  <c r="BF85" i="2"/>
  <c r="BF81" i="2"/>
  <c r="BF74" i="2"/>
  <c r="BF70" i="2"/>
  <c r="BF66" i="2"/>
  <c r="BF62" i="2"/>
  <c r="BF58" i="2"/>
  <c r="BF54" i="2"/>
  <c r="BF50" i="2"/>
  <c r="BF46" i="2"/>
  <c r="BF42" i="2"/>
  <c r="BF38" i="2"/>
  <c r="BF34" i="2"/>
  <c r="BF75" i="2"/>
  <c r="BF71" i="2"/>
  <c r="BF67" i="2"/>
  <c r="BF63" i="2"/>
  <c r="BF59" i="2"/>
  <c r="BF55" i="2"/>
  <c r="BF51" i="2"/>
  <c r="BF47" i="2"/>
  <c r="BF43" i="2"/>
  <c r="BF39" i="2"/>
  <c r="BF35" i="2"/>
  <c r="BF31" i="2"/>
  <c r="BF76" i="2"/>
  <c r="BF72" i="2"/>
  <c r="BF68" i="2"/>
  <c r="BF64" i="2"/>
  <c r="BF60" i="2"/>
  <c r="BF56" i="2"/>
  <c r="BF52" i="2"/>
  <c r="BF48" i="2"/>
  <c r="BF44" i="2"/>
  <c r="BF40" i="2"/>
  <c r="BF36" i="2"/>
  <c r="BF77" i="2"/>
  <c r="BF73" i="2"/>
  <c r="BF69" i="2"/>
  <c r="BF65" i="2"/>
  <c r="BF61" i="2"/>
  <c r="BF57" i="2"/>
  <c r="BF53" i="2"/>
  <c r="BF49" i="2"/>
  <c r="BF45" i="2"/>
  <c r="BF41" i="2"/>
  <c r="BF37" i="2"/>
  <c r="BF33" i="2"/>
  <c r="BJ251" i="2"/>
  <c r="BJ247" i="2"/>
  <c r="BJ243" i="2"/>
  <c r="BJ239" i="2"/>
  <c r="BJ235" i="2"/>
  <c r="BJ252" i="2"/>
  <c r="BJ248" i="2"/>
  <c r="BJ244" i="2"/>
  <c r="BJ240" i="2"/>
  <c r="BJ236" i="2"/>
  <c r="BJ232" i="2"/>
  <c r="BJ249" i="2"/>
  <c r="BJ245" i="2"/>
  <c r="BJ241" i="2"/>
  <c r="BJ237" i="2"/>
  <c r="BJ233" i="2"/>
  <c r="BJ250" i="2"/>
  <c r="BJ246" i="2"/>
  <c r="BJ242" i="2"/>
  <c r="BJ238" i="2"/>
  <c r="BJ234" i="2"/>
  <c r="BJ230" i="2"/>
  <c r="BJ226" i="2"/>
  <c r="BJ222" i="2"/>
  <c r="BJ218" i="2"/>
  <c r="BJ214" i="2"/>
  <c r="BJ210" i="2"/>
  <c r="BJ231" i="2"/>
  <c r="BJ227" i="2"/>
  <c r="BJ223" i="2"/>
  <c r="BJ219" i="2"/>
  <c r="BJ215" i="2"/>
  <c r="BJ228" i="2"/>
  <c r="BJ224" i="2"/>
  <c r="BJ220" i="2"/>
  <c r="BJ216" i="2"/>
  <c r="BJ212" i="2"/>
  <c r="BJ229" i="2"/>
  <c r="BJ225" i="2"/>
  <c r="BJ221" i="2"/>
  <c r="BJ217" i="2"/>
  <c r="BJ213" i="2"/>
  <c r="BJ211" i="2"/>
  <c r="BJ209" i="2"/>
  <c r="BJ205" i="2"/>
  <c r="BJ201" i="2"/>
  <c r="BJ197" i="2"/>
  <c r="BJ193" i="2"/>
  <c r="BJ206" i="2"/>
  <c r="BJ202" i="2"/>
  <c r="BJ198" i="2"/>
  <c r="BJ194" i="2"/>
  <c r="BJ190" i="2"/>
  <c r="BJ207" i="2"/>
  <c r="BJ203" i="2"/>
  <c r="BJ199" i="2"/>
  <c r="BJ195" i="2"/>
  <c r="BJ191" i="2"/>
  <c r="BJ208" i="2"/>
  <c r="BJ204" i="2"/>
  <c r="BJ200" i="2"/>
  <c r="BJ196" i="2"/>
  <c r="BJ192" i="2"/>
  <c r="BJ189" i="2"/>
  <c r="BJ188" i="2"/>
  <c r="BJ184" i="2"/>
  <c r="BJ180" i="2"/>
  <c r="BJ176" i="2"/>
  <c r="BJ172" i="2"/>
  <c r="BJ168" i="2"/>
  <c r="BJ164" i="2"/>
  <c r="BJ185" i="2"/>
  <c r="BJ181" i="2"/>
  <c r="BJ177" i="2"/>
  <c r="BJ173" i="2"/>
  <c r="BJ169" i="2"/>
  <c r="BJ165" i="2"/>
  <c r="BJ186" i="2"/>
  <c r="BJ182" i="2"/>
  <c r="BJ178" i="2"/>
  <c r="BJ174" i="2"/>
  <c r="BJ170" i="2"/>
  <c r="BJ187" i="2"/>
  <c r="BJ183" i="2"/>
  <c r="BJ179" i="2"/>
  <c r="BJ175" i="2"/>
  <c r="BJ171" i="2"/>
  <c r="BJ167" i="2"/>
  <c r="BJ161" i="2"/>
  <c r="BJ157" i="2"/>
  <c r="BJ153" i="2"/>
  <c r="BJ149" i="2"/>
  <c r="BJ145" i="2"/>
  <c r="BJ141" i="2"/>
  <c r="BJ137" i="2"/>
  <c r="BJ133" i="2"/>
  <c r="BJ129" i="2"/>
  <c r="BJ125" i="2"/>
  <c r="BJ162" i="2"/>
  <c r="BJ158" i="2"/>
  <c r="BJ154" i="2"/>
  <c r="BJ150" i="2"/>
  <c r="BJ146" i="2"/>
  <c r="BJ142" i="2"/>
  <c r="BJ138" i="2"/>
  <c r="BJ134" i="2"/>
  <c r="BJ130" i="2"/>
  <c r="BJ126" i="2"/>
  <c r="BJ122" i="2"/>
  <c r="BJ166" i="2"/>
  <c r="BJ163" i="2"/>
  <c r="BJ159" i="2"/>
  <c r="BJ155" i="2"/>
  <c r="BJ151" i="2"/>
  <c r="BJ147" i="2"/>
  <c r="BJ143" i="2"/>
  <c r="BJ139" i="2"/>
  <c r="BJ135" i="2"/>
  <c r="BJ131" i="2"/>
  <c r="BJ127" i="2"/>
  <c r="BJ123" i="2"/>
  <c r="BJ160" i="2"/>
  <c r="BJ156" i="2"/>
  <c r="BJ152" i="2"/>
  <c r="BJ148" i="2"/>
  <c r="BJ144" i="2"/>
  <c r="BJ140" i="2"/>
  <c r="BJ136" i="2"/>
  <c r="BJ132" i="2"/>
  <c r="BJ128" i="2"/>
  <c r="BJ124" i="2"/>
  <c r="BJ118" i="2"/>
  <c r="BJ114" i="2"/>
  <c r="BJ110" i="2"/>
  <c r="BJ106" i="2"/>
  <c r="BJ102" i="2"/>
  <c r="BJ98" i="2"/>
  <c r="BJ94" i="2"/>
  <c r="BJ90" i="2"/>
  <c r="BJ86" i="2"/>
  <c r="BJ82" i="2"/>
  <c r="BJ78" i="2"/>
  <c r="BJ119" i="2"/>
  <c r="BJ115" i="2"/>
  <c r="BJ111" i="2"/>
  <c r="BJ107" i="2"/>
  <c r="BJ103" i="2"/>
  <c r="BJ99" i="2"/>
  <c r="BJ95" i="2"/>
  <c r="BJ91" i="2"/>
  <c r="BJ87" i="2"/>
  <c r="BJ83" i="2"/>
  <c r="BJ79" i="2"/>
  <c r="BJ120" i="2"/>
  <c r="BJ116" i="2"/>
  <c r="BJ112" i="2"/>
  <c r="BJ108" i="2"/>
  <c r="BJ104" i="2"/>
  <c r="BJ100" i="2"/>
  <c r="BJ96" i="2"/>
  <c r="BJ92" i="2"/>
  <c r="BJ88" i="2"/>
  <c r="BJ84" i="2"/>
  <c r="BJ80" i="2"/>
  <c r="BJ121" i="2"/>
  <c r="BJ117" i="2"/>
  <c r="BJ113" i="2"/>
  <c r="BJ109" i="2"/>
  <c r="BJ105" i="2"/>
  <c r="BJ101" i="2"/>
  <c r="BJ97" i="2"/>
  <c r="BJ93" i="2"/>
  <c r="BJ89" i="2"/>
  <c r="BJ85" i="2"/>
  <c r="BJ81" i="2"/>
  <c r="BJ74" i="2"/>
  <c r="BJ70" i="2"/>
  <c r="BJ66" i="2"/>
  <c r="BJ62" i="2"/>
  <c r="BJ58" i="2"/>
  <c r="BJ54" i="2"/>
  <c r="BJ50" i="2"/>
  <c r="BJ46" i="2"/>
  <c r="BJ42" i="2"/>
  <c r="BJ38" i="2"/>
  <c r="BJ34" i="2"/>
  <c r="BJ77" i="2"/>
  <c r="BJ75" i="2"/>
  <c r="BJ71" i="2"/>
  <c r="BJ67" i="2"/>
  <c r="BJ63" i="2"/>
  <c r="BJ59" i="2"/>
  <c r="BJ55" i="2"/>
  <c r="BJ51" i="2"/>
  <c r="BJ47" i="2"/>
  <c r="BJ43" i="2"/>
  <c r="BJ39" i="2"/>
  <c r="BJ35" i="2"/>
  <c r="BJ31" i="2"/>
  <c r="BJ76" i="2"/>
  <c r="BJ72" i="2"/>
  <c r="BJ68" i="2"/>
  <c r="BJ64" i="2"/>
  <c r="BJ60" i="2"/>
  <c r="BJ56" i="2"/>
  <c r="BJ52" i="2"/>
  <c r="BJ48" i="2"/>
  <c r="BJ44" i="2"/>
  <c r="BJ40" i="2"/>
  <c r="BJ36" i="2"/>
  <c r="BJ73" i="2"/>
  <c r="BJ69" i="2"/>
  <c r="BJ65" i="2"/>
  <c r="BJ61" i="2"/>
  <c r="BJ57" i="2"/>
  <c r="BJ53" i="2"/>
  <c r="BJ49" i="2"/>
  <c r="BJ45" i="2"/>
  <c r="BJ41" i="2"/>
  <c r="BJ37" i="2"/>
  <c r="BJ33" i="2"/>
  <c r="BN251" i="2"/>
  <c r="BN247" i="2"/>
  <c r="BN243" i="2"/>
  <c r="BN239" i="2"/>
  <c r="BN235" i="2"/>
  <c r="BN252" i="2"/>
  <c r="BN248" i="2"/>
  <c r="BN244" i="2"/>
  <c r="BN240" i="2"/>
  <c r="BN236" i="2"/>
  <c r="BN232" i="2"/>
  <c r="BN249" i="2"/>
  <c r="BN245" i="2"/>
  <c r="BN241" i="2"/>
  <c r="BN237" i="2"/>
  <c r="BN233" i="2"/>
  <c r="BN250" i="2"/>
  <c r="BN246" i="2"/>
  <c r="BN242" i="2"/>
  <c r="BN238" i="2"/>
  <c r="BN234" i="2"/>
  <c r="BN226" i="2"/>
  <c r="BN222" i="2"/>
  <c r="BN218" i="2"/>
  <c r="BN214" i="2"/>
  <c r="BN210" i="2"/>
  <c r="BN230" i="2"/>
  <c r="BN227" i="2"/>
  <c r="BN223" i="2"/>
  <c r="BN219" i="2"/>
  <c r="BN215" i="2"/>
  <c r="BN231" i="2"/>
  <c r="BN228" i="2"/>
  <c r="BN224" i="2"/>
  <c r="BN220" i="2"/>
  <c r="BN216" i="2"/>
  <c r="BN212" i="2"/>
  <c r="BN229" i="2"/>
  <c r="BN225" i="2"/>
  <c r="BN221" i="2"/>
  <c r="BN217" i="2"/>
  <c r="BN209" i="2"/>
  <c r="BN205" i="2"/>
  <c r="BN201" i="2"/>
  <c r="BN197" i="2"/>
  <c r="BN193" i="2"/>
  <c r="BN189" i="2"/>
  <c r="BN211" i="2"/>
  <c r="BN206" i="2"/>
  <c r="BN202" i="2"/>
  <c r="BN198" i="2"/>
  <c r="BN194" i="2"/>
  <c r="BN190" i="2"/>
  <c r="BN207" i="2"/>
  <c r="BN203" i="2"/>
  <c r="BN199" i="2"/>
  <c r="BN195" i="2"/>
  <c r="BN191" i="2"/>
  <c r="BN213" i="2"/>
  <c r="BN208" i="2"/>
  <c r="BN204" i="2"/>
  <c r="BN200" i="2"/>
  <c r="BN196" i="2"/>
  <c r="BN192" i="2"/>
  <c r="BN188" i="2"/>
  <c r="BN184" i="2"/>
  <c r="BN180" i="2"/>
  <c r="BN176" i="2"/>
  <c r="BN172" i="2"/>
  <c r="BN168" i="2"/>
  <c r="BN164" i="2"/>
  <c r="BN185" i="2"/>
  <c r="BN181" i="2"/>
  <c r="BN177" i="2"/>
  <c r="BN173" i="2"/>
  <c r="BN169" i="2"/>
  <c r="BN165" i="2"/>
  <c r="BN186" i="2"/>
  <c r="BN182" i="2"/>
  <c r="BN178" i="2"/>
  <c r="BN174" i="2"/>
  <c r="BN170" i="2"/>
  <c r="BN187" i="2"/>
  <c r="BN183" i="2"/>
  <c r="BN179" i="2"/>
  <c r="BN175" i="2"/>
  <c r="BN171" i="2"/>
  <c r="BN167" i="2"/>
  <c r="BN166" i="2"/>
  <c r="BN161" i="2"/>
  <c r="BN157" i="2"/>
  <c r="BN153" i="2"/>
  <c r="BN149" i="2"/>
  <c r="BN145" i="2"/>
  <c r="BN141" i="2"/>
  <c r="BN137" i="2"/>
  <c r="BN133" i="2"/>
  <c r="BN129" i="2"/>
  <c r="BN125" i="2"/>
  <c r="BN162" i="2"/>
  <c r="BN158" i="2"/>
  <c r="BN154" i="2"/>
  <c r="BN150" i="2"/>
  <c r="BN146" i="2"/>
  <c r="BN142" i="2"/>
  <c r="BN138" i="2"/>
  <c r="BN134" i="2"/>
  <c r="BN130" i="2"/>
  <c r="BN126" i="2"/>
  <c r="BN122" i="2"/>
  <c r="BN163" i="2"/>
  <c r="BN159" i="2"/>
  <c r="BN155" i="2"/>
  <c r="BN151" i="2"/>
  <c r="BN147" i="2"/>
  <c r="BN143" i="2"/>
  <c r="BN139" i="2"/>
  <c r="BN135" i="2"/>
  <c r="BN131" i="2"/>
  <c r="BN127" i="2"/>
  <c r="BN123" i="2"/>
  <c r="BN160" i="2"/>
  <c r="BN156" i="2"/>
  <c r="BN152" i="2"/>
  <c r="BN148" i="2"/>
  <c r="BN144" i="2"/>
  <c r="BN140" i="2"/>
  <c r="BN136" i="2"/>
  <c r="BN132" i="2"/>
  <c r="BN128" i="2"/>
  <c r="BN124" i="2"/>
  <c r="BN121" i="2"/>
  <c r="BN118" i="2"/>
  <c r="BN114" i="2"/>
  <c r="BN110" i="2"/>
  <c r="BN106" i="2"/>
  <c r="BN102" i="2"/>
  <c r="BN98" i="2"/>
  <c r="BN94" i="2"/>
  <c r="BN90" i="2"/>
  <c r="BN86" i="2"/>
  <c r="BN82" i="2"/>
  <c r="BN78" i="2"/>
  <c r="BN119" i="2"/>
  <c r="BN115" i="2"/>
  <c r="BN111" i="2"/>
  <c r="BN107" i="2"/>
  <c r="BN103" i="2"/>
  <c r="BN99" i="2"/>
  <c r="BN95" i="2"/>
  <c r="BN91" i="2"/>
  <c r="BN87" i="2"/>
  <c r="BN83" i="2"/>
  <c r="BN79" i="2"/>
  <c r="BN116" i="2"/>
  <c r="BN112" i="2"/>
  <c r="BN108" i="2"/>
  <c r="BN104" i="2"/>
  <c r="BN100" i="2"/>
  <c r="BN96" i="2"/>
  <c r="BN92" i="2"/>
  <c r="BN88" i="2"/>
  <c r="BN84" i="2"/>
  <c r="BN80" i="2"/>
  <c r="BN120" i="2"/>
  <c r="BN117" i="2"/>
  <c r="BN113" i="2"/>
  <c r="BN109" i="2"/>
  <c r="BN105" i="2"/>
  <c r="BN101" i="2"/>
  <c r="BN97" i="2"/>
  <c r="BN93" i="2"/>
  <c r="BN89" i="2"/>
  <c r="BN85" i="2"/>
  <c r="BN81" i="2"/>
  <c r="BN74" i="2"/>
  <c r="BN70" i="2"/>
  <c r="BN66" i="2"/>
  <c r="BN62" i="2"/>
  <c r="BN58" i="2"/>
  <c r="BN54" i="2"/>
  <c r="BN50" i="2"/>
  <c r="BN46" i="2"/>
  <c r="BN42" i="2"/>
  <c r="BN38" i="2"/>
  <c r="BN34" i="2"/>
  <c r="BN30" i="2"/>
  <c r="BN75" i="2"/>
  <c r="BN71" i="2"/>
  <c r="BN67" i="2"/>
  <c r="BN63" i="2"/>
  <c r="BN59" i="2"/>
  <c r="BN55" i="2"/>
  <c r="BN51" i="2"/>
  <c r="BN47" i="2"/>
  <c r="BN43" i="2"/>
  <c r="BN39" i="2"/>
  <c r="BN35" i="2"/>
  <c r="BN31" i="2"/>
  <c r="BN76" i="2"/>
  <c r="BN72" i="2"/>
  <c r="BN68" i="2"/>
  <c r="BN64" i="2"/>
  <c r="BN60" i="2"/>
  <c r="BN56" i="2"/>
  <c r="BN52" i="2"/>
  <c r="BN48" i="2"/>
  <c r="BN44" i="2"/>
  <c r="BN40" i="2"/>
  <c r="BN36" i="2"/>
  <c r="BN32" i="2"/>
  <c r="BN77" i="2"/>
  <c r="BN73" i="2"/>
  <c r="BN69" i="2"/>
  <c r="BN65" i="2"/>
  <c r="BN61" i="2"/>
  <c r="BN57" i="2"/>
  <c r="BN53" i="2"/>
  <c r="BN49" i="2"/>
  <c r="BN45" i="2"/>
  <c r="BN41" i="2"/>
  <c r="BN37" i="2"/>
  <c r="BN33" i="2"/>
  <c r="BR251" i="2"/>
  <c r="BR247" i="2"/>
  <c r="BR243" i="2"/>
  <c r="BR239" i="2"/>
  <c r="BR235" i="2"/>
  <c r="BR252" i="2"/>
  <c r="BR248" i="2"/>
  <c r="BR244" i="2"/>
  <c r="BR240" i="2"/>
  <c r="BR236" i="2"/>
  <c r="BR232" i="2"/>
  <c r="BR249" i="2"/>
  <c r="BR245" i="2"/>
  <c r="BR241" i="2"/>
  <c r="BR237" i="2"/>
  <c r="BR233" i="2"/>
  <c r="BR250" i="2"/>
  <c r="BR246" i="2"/>
  <c r="BR242" i="2"/>
  <c r="BR238" i="2"/>
  <c r="BR234" i="2"/>
  <c r="BR226" i="2"/>
  <c r="BR222" i="2"/>
  <c r="BR218" i="2"/>
  <c r="BR214" i="2"/>
  <c r="BR210" i="2"/>
  <c r="BR227" i="2"/>
  <c r="BR223" i="2"/>
  <c r="BR219" i="2"/>
  <c r="BR215" i="2"/>
  <c r="BR230" i="2"/>
  <c r="BR228" i="2"/>
  <c r="BR224" i="2"/>
  <c r="BR220" i="2"/>
  <c r="BR216" i="2"/>
  <c r="BR212" i="2"/>
  <c r="BR231" i="2"/>
  <c r="BR229" i="2"/>
  <c r="BR225" i="2"/>
  <c r="BR221" i="2"/>
  <c r="BR217" i="2"/>
  <c r="BR205" i="2"/>
  <c r="BR201" i="2"/>
  <c r="BR197" i="2"/>
  <c r="BR193" i="2"/>
  <c r="BR189" i="2"/>
  <c r="BR209" i="2"/>
  <c r="BR206" i="2"/>
  <c r="BR202" i="2"/>
  <c r="BR198" i="2"/>
  <c r="BR194" i="2"/>
  <c r="BR190" i="2"/>
  <c r="BR213" i="2"/>
  <c r="BR211" i="2"/>
  <c r="BR207" i="2"/>
  <c r="BR203" i="2"/>
  <c r="BR199" i="2"/>
  <c r="BR195" i="2"/>
  <c r="BR191" i="2"/>
  <c r="BR208" i="2"/>
  <c r="BR204" i="2"/>
  <c r="BR200" i="2"/>
  <c r="BR196" i="2"/>
  <c r="BR192" i="2"/>
  <c r="BR184" i="2"/>
  <c r="BR180" i="2"/>
  <c r="BR176" i="2"/>
  <c r="BR172" i="2"/>
  <c r="BR168" i="2"/>
  <c r="BR164" i="2"/>
  <c r="BR188" i="2"/>
  <c r="BR185" i="2"/>
  <c r="BR181" i="2"/>
  <c r="BR177" i="2"/>
  <c r="BR173" i="2"/>
  <c r="BR169" i="2"/>
  <c r="BR165" i="2"/>
  <c r="BR186" i="2"/>
  <c r="BR182" i="2"/>
  <c r="BR178" i="2"/>
  <c r="BR174" i="2"/>
  <c r="BR170" i="2"/>
  <c r="BR166" i="2"/>
  <c r="BR187" i="2"/>
  <c r="BR183" i="2"/>
  <c r="BR179" i="2"/>
  <c r="BR175" i="2"/>
  <c r="BR171" i="2"/>
  <c r="BR167" i="2"/>
  <c r="BR161" i="2"/>
  <c r="BR157" i="2"/>
  <c r="BR153" i="2"/>
  <c r="BR149" i="2"/>
  <c r="BR145" i="2"/>
  <c r="BR141" i="2"/>
  <c r="BR137" i="2"/>
  <c r="BR133" i="2"/>
  <c r="BR129" i="2"/>
  <c r="BR125" i="2"/>
  <c r="BR162" i="2"/>
  <c r="BR158" i="2"/>
  <c r="BR154" i="2"/>
  <c r="BR150" i="2"/>
  <c r="BR146" i="2"/>
  <c r="BR142" i="2"/>
  <c r="BR138" i="2"/>
  <c r="BR134" i="2"/>
  <c r="BR130" i="2"/>
  <c r="BR126" i="2"/>
  <c r="BR122" i="2"/>
  <c r="BR163" i="2"/>
  <c r="BR159" i="2"/>
  <c r="BR155" i="2"/>
  <c r="BR151" i="2"/>
  <c r="BR147" i="2"/>
  <c r="BR143" i="2"/>
  <c r="BR139" i="2"/>
  <c r="BR135" i="2"/>
  <c r="BR131" i="2"/>
  <c r="BR127" i="2"/>
  <c r="BR123" i="2"/>
  <c r="BR160" i="2"/>
  <c r="BR156" i="2"/>
  <c r="BR152" i="2"/>
  <c r="BR148" i="2"/>
  <c r="BR144" i="2"/>
  <c r="BR140" i="2"/>
  <c r="BR136" i="2"/>
  <c r="BR132" i="2"/>
  <c r="BR128" i="2"/>
  <c r="BR124" i="2"/>
  <c r="BR120" i="2"/>
  <c r="BR118" i="2"/>
  <c r="BR114" i="2"/>
  <c r="BR110" i="2"/>
  <c r="BR106" i="2"/>
  <c r="BR102" i="2"/>
  <c r="BR98" i="2"/>
  <c r="BR94" i="2"/>
  <c r="BR90" i="2"/>
  <c r="BR86" i="2"/>
  <c r="BR82" i="2"/>
  <c r="BR78" i="2"/>
  <c r="BR119" i="2"/>
  <c r="BR115" i="2"/>
  <c r="BR111" i="2"/>
  <c r="BR107" i="2"/>
  <c r="BR103" i="2"/>
  <c r="BR99" i="2"/>
  <c r="BR95" i="2"/>
  <c r="BR91" i="2"/>
  <c r="BR87" i="2"/>
  <c r="BR83" i="2"/>
  <c r="BR79" i="2"/>
  <c r="BR121" i="2"/>
  <c r="BR116" i="2"/>
  <c r="BR112" i="2"/>
  <c r="BR108" i="2"/>
  <c r="BR104" i="2"/>
  <c r="BR100" i="2"/>
  <c r="BR96" i="2"/>
  <c r="BR92" i="2"/>
  <c r="BR88" i="2"/>
  <c r="BR84" i="2"/>
  <c r="BR80" i="2"/>
  <c r="BR117" i="2"/>
  <c r="BR113" i="2"/>
  <c r="BR109" i="2"/>
  <c r="BR105" i="2"/>
  <c r="BR101" i="2"/>
  <c r="BR97" i="2"/>
  <c r="BR93" i="2"/>
  <c r="BR89" i="2"/>
  <c r="BR85" i="2"/>
  <c r="BR81" i="2"/>
  <c r="BR76" i="2"/>
  <c r="BR74" i="2"/>
  <c r="BR70" i="2"/>
  <c r="BR66" i="2"/>
  <c r="BR62" i="2"/>
  <c r="BR58" i="2"/>
  <c r="BR54" i="2"/>
  <c r="BR50" i="2"/>
  <c r="BR46" i="2"/>
  <c r="BR42" i="2"/>
  <c r="BR38" i="2"/>
  <c r="BR34" i="2"/>
  <c r="BR30" i="2"/>
  <c r="BR77" i="2"/>
  <c r="BR75" i="2"/>
  <c r="BR71" i="2"/>
  <c r="BR67" i="2"/>
  <c r="BR63" i="2"/>
  <c r="BR59" i="2"/>
  <c r="BR55" i="2"/>
  <c r="BR51" i="2"/>
  <c r="BR47" i="2"/>
  <c r="BR43" i="2"/>
  <c r="BR39" i="2"/>
  <c r="BR35" i="2"/>
  <c r="BR31" i="2"/>
  <c r="BR72" i="2"/>
  <c r="BR68" i="2"/>
  <c r="BR64" i="2"/>
  <c r="BR60" i="2"/>
  <c r="BR56" i="2"/>
  <c r="BR52" i="2"/>
  <c r="BR48" i="2"/>
  <c r="BR44" i="2"/>
  <c r="BR40" i="2"/>
  <c r="BR36" i="2"/>
  <c r="BR32" i="2"/>
  <c r="BR73" i="2"/>
  <c r="BR69" i="2"/>
  <c r="BR65" i="2"/>
  <c r="BR61" i="2"/>
  <c r="BR57" i="2"/>
  <c r="BR53" i="2"/>
  <c r="BR49" i="2"/>
  <c r="BR45" i="2"/>
  <c r="BR41" i="2"/>
  <c r="BR37" i="2"/>
  <c r="BR33" i="2"/>
  <c r="BG4" i="2"/>
  <c r="BK4" i="2"/>
  <c r="BO4" i="2"/>
  <c r="BS4" i="2"/>
  <c r="BH5" i="2"/>
  <c r="BL5" i="2"/>
  <c r="BP5" i="2"/>
  <c r="BE6" i="2"/>
  <c r="BI6" i="2"/>
  <c r="BM6" i="2"/>
  <c r="BQ6" i="2"/>
  <c r="BF7" i="2"/>
  <c r="BJ7" i="2"/>
  <c r="BN7" i="2"/>
  <c r="BR7" i="2"/>
  <c r="BG8" i="2"/>
  <c r="BK8" i="2"/>
  <c r="BO8" i="2"/>
  <c r="BS8" i="2"/>
  <c r="BH9" i="2"/>
  <c r="BL9" i="2"/>
  <c r="BP9" i="2"/>
  <c r="BE10" i="2"/>
  <c r="BI10" i="2"/>
  <c r="BM10" i="2"/>
  <c r="BQ10" i="2"/>
  <c r="BF11" i="2"/>
  <c r="BJ11" i="2"/>
  <c r="BN11" i="2"/>
  <c r="BR11" i="2"/>
  <c r="BG12" i="2"/>
  <c r="BK12" i="2"/>
  <c r="BO12" i="2"/>
  <c r="BS12" i="2"/>
  <c r="BH13" i="2"/>
  <c r="BL13" i="2"/>
  <c r="BP13" i="2"/>
  <c r="BE14" i="2"/>
  <c r="BI14" i="2"/>
  <c r="BM14" i="2"/>
  <c r="BQ14" i="2"/>
  <c r="BF15" i="2"/>
  <c r="BJ15" i="2"/>
  <c r="BN15" i="2"/>
  <c r="BR15" i="2"/>
  <c r="BG16" i="2"/>
  <c r="BK16" i="2"/>
  <c r="BO16" i="2"/>
  <c r="BS16" i="2"/>
  <c r="BH17" i="2"/>
  <c r="BL17" i="2"/>
  <c r="BP17" i="2"/>
  <c r="BE18" i="2"/>
  <c r="BI18" i="2"/>
  <c r="BM18" i="2"/>
  <c r="BQ18" i="2"/>
  <c r="BF19" i="2"/>
  <c r="BJ19" i="2"/>
  <c r="BN19" i="2"/>
  <c r="BR19" i="2"/>
  <c r="BG20" i="2"/>
  <c r="BK20" i="2"/>
  <c r="BO20" i="2"/>
  <c r="BS20" i="2"/>
  <c r="BH21" i="2"/>
  <c r="BL21" i="2"/>
  <c r="BP21" i="2"/>
  <c r="BE22" i="2"/>
  <c r="BI22" i="2"/>
  <c r="BM22" i="2"/>
  <c r="BQ22" i="2"/>
  <c r="BF23" i="2"/>
  <c r="BJ23" i="2"/>
  <c r="BN23" i="2"/>
  <c r="BR23" i="2"/>
  <c r="BG24" i="2"/>
  <c r="BK24" i="2"/>
  <c r="BO24" i="2"/>
  <c r="BS24" i="2"/>
  <c r="BH25" i="2"/>
  <c r="BL25" i="2"/>
  <c r="BP25" i="2"/>
  <c r="BE26" i="2"/>
  <c r="BI26" i="2"/>
  <c r="BM26" i="2"/>
  <c r="BQ26" i="2"/>
  <c r="BF27" i="2"/>
  <c r="BJ27" i="2"/>
  <c r="BN27" i="2"/>
  <c r="BR27" i="2"/>
  <c r="BO28" i="2"/>
  <c r="BH29" i="2"/>
  <c r="BL29" i="2"/>
  <c r="BP29" i="2"/>
  <c r="BE30" i="2"/>
  <c r="BI30" i="2"/>
  <c r="BH31" i="2"/>
  <c r="BP31" i="2"/>
  <c r="BI32" i="2"/>
  <c r="BG252" i="2"/>
  <c r="BG248" i="2"/>
  <c r="BG244" i="2"/>
  <c r="BG240" i="2"/>
  <c r="BG236" i="2"/>
  <c r="BG249" i="2"/>
  <c r="BG245" i="2"/>
  <c r="BG241" i="2"/>
  <c r="BG237" i="2"/>
  <c r="BG233" i="2"/>
  <c r="BG250" i="2"/>
  <c r="BG246" i="2"/>
  <c r="BG242" i="2"/>
  <c r="BG238" i="2"/>
  <c r="BG234" i="2"/>
  <c r="BG251" i="2"/>
  <c r="BG247" i="2"/>
  <c r="BG243" i="2"/>
  <c r="BG239" i="2"/>
  <c r="BG235" i="2"/>
  <c r="BG232" i="2"/>
  <c r="BG227" i="2"/>
  <c r="BG223" i="2"/>
  <c r="BG219" i="2"/>
  <c r="BG215" i="2"/>
  <c r="BG211" i="2"/>
  <c r="BG228" i="2"/>
  <c r="BG224" i="2"/>
  <c r="BG220" i="2"/>
  <c r="BG216" i="2"/>
  <c r="BG212" i="2"/>
  <c r="BG229" i="2"/>
  <c r="BG225" i="2"/>
  <c r="BG221" i="2"/>
  <c r="BG217" i="2"/>
  <c r="BG213" i="2"/>
  <c r="BG231" i="2"/>
  <c r="BG230" i="2"/>
  <c r="BG226" i="2"/>
  <c r="BG222" i="2"/>
  <c r="BG218" i="2"/>
  <c r="BG206" i="2"/>
  <c r="BG202" i="2"/>
  <c r="BG198" i="2"/>
  <c r="BG194" i="2"/>
  <c r="BG190" i="2"/>
  <c r="BG214" i="2"/>
  <c r="BG207" i="2"/>
  <c r="BG203" i="2"/>
  <c r="BG199" i="2"/>
  <c r="BG195" i="2"/>
  <c r="BG191" i="2"/>
  <c r="BG210" i="2"/>
  <c r="BG208" i="2"/>
  <c r="BG204" i="2"/>
  <c r="BG200" i="2"/>
  <c r="BG196" i="2"/>
  <c r="BG192" i="2"/>
  <c r="BG209" i="2"/>
  <c r="BG205" i="2"/>
  <c r="BG201" i="2"/>
  <c r="BG197" i="2"/>
  <c r="BG193" i="2"/>
  <c r="BG185" i="2"/>
  <c r="BG181" i="2"/>
  <c r="BG177" i="2"/>
  <c r="BG173" i="2"/>
  <c r="BG169" i="2"/>
  <c r="BG165" i="2"/>
  <c r="BG186" i="2"/>
  <c r="BG182" i="2"/>
  <c r="BG178" i="2"/>
  <c r="BG174" i="2"/>
  <c r="BG170" i="2"/>
  <c r="BG166" i="2"/>
  <c r="BG189" i="2"/>
  <c r="BG187" i="2"/>
  <c r="BG183" i="2"/>
  <c r="BG179" i="2"/>
  <c r="BG175" i="2"/>
  <c r="BG171" i="2"/>
  <c r="BG167" i="2"/>
  <c r="BG188" i="2"/>
  <c r="BG184" i="2"/>
  <c r="BG180" i="2"/>
  <c r="BG176" i="2"/>
  <c r="BG172" i="2"/>
  <c r="BG168" i="2"/>
  <c r="BG162" i="2"/>
  <c r="BG158" i="2"/>
  <c r="BG154" i="2"/>
  <c r="BG150" i="2"/>
  <c r="BG146" i="2"/>
  <c r="BG142" i="2"/>
  <c r="BG138" i="2"/>
  <c r="BG134" i="2"/>
  <c r="BG130" i="2"/>
  <c r="BG126" i="2"/>
  <c r="BG163" i="2"/>
  <c r="BG159" i="2"/>
  <c r="BG155" i="2"/>
  <c r="BG151" i="2"/>
  <c r="BG147" i="2"/>
  <c r="BG143" i="2"/>
  <c r="BG139" i="2"/>
  <c r="BG135" i="2"/>
  <c r="BG131" i="2"/>
  <c r="BG127" i="2"/>
  <c r="BG123" i="2"/>
  <c r="BG160" i="2"/>
  <c r="BG156" i="2"/>
  <c r="BG152" i="2"/>
  <c r="BG148" i="2"/>
  <c r="BG144" i="2"/>
  <c r="BG140" i="2"/>
  <c r="BG136" i="2"/>
  <c r="BG132" i="2"/>
  <c r="BG128" i="2"/>
  <c r="BG124" i="2"/>
  <c r="BG164" i="2"/>
  <c r="BG161" i="2"/>
  <c r="BG157" i="2"/>
  <c r="BG153" i="2"/>
  <c r="BG149" i="2"/>
  <c r="BG145" i="2"/>
  <c r="BG141" i="2"/>
  <c r="BG137" i="2"/>
  <c r="BG133" i="2"/>
  <c r="BG129" i="2"/>
  <c r="BG125" i="2"/>
  <c r="BG122" i="2"/>
  <c r="BG119" i="2"/>
  <c r="BG115" i="2"/>
  <c r="BG111" i="2"/>
  <c r="BG107" i="2"/>
  <c r="BG103" i="2"/>
  <c r="BG99" i="2"/>
  <c r="BG95" i="2"/>
  <c r="BG91" i="2"/>
  <c r="BG87" i="2"/>
  <c r="BG83" i="2"/>
  <c r="BG79" i="2"/>
  <c r="BG121" i="2"/>
  <c r="BG120" i="2"/>
  <c r="BG116" i="2"/>
  <c r="BG112" i="2"/>
  <c r="BG108" i="2"/>
  <c r="BG104" i="2"/>
  <c r="BG100" i="2"/>
  <c r="BG96" i="2"/>
  <c r="BG92" i="2"/>
  <c r="BG88" i="2"/>
  <c r="BG84" i="2"/>
  <c r="BG80" i="2"/>
  <c r="BG117" i="2"/>
  <c r="BG113" i="2"/>
  <c r="BG109" i="2"/>
  <c r="BG105" i="2"/>
  <c r="BG101" i="2"/>
  <c r="BG97" i="2"/>
  <c r="BG93" i="2"/>
  <c r="BG89" i="2"/>
  <c r="BG85" i="2"/>
  <c r="BG81" i="2"/>
  <c r="BG118" i="2"/>
  <c r="BG114" i="2"/>
  <c r="BG110" i="2"/>
  <c r="BG106" i="2"/>
  <c r="BG102" i="2"/>
  <c r="BG98" i="2"/>
  <c r="BG94" i="2"/>
  <c r="BG90" i="2"/>
  <c r="BG86" i="2"/>
  <c r="BG82" i="2"/>
  <c r="BG75" i="2"/>
  <c r="BG71" i="2"/>
  <c r="BG67" i="2"/>
  <c r="BG63" i="2"/>
  <c r="BG59" i="2"/>
  <c r="BG55" i="2"/>
  <c r="BG51" i="2"/>
  <c r="BG47" i="2"/>
  <c r="BG43" i="2"/>
  <c r="BG39" i="2"/>
  <c r="BG35" i="2"/>
  <c r="BG31" i="2"/>
  <c r="BG76" i="2"/>
  <c r="BG72" i="2"/>
  <c r="BG68" i="2"/>
  <c r="BG64" i="2"/>
  <c r="BG60" i="2"/>
  <c r="BG56" i="2"/>
  <c r="BG52" i="2"/>
  <c r="BG48" i="2"/>
  <c r="BG44" i="2"/>
  <c r="BG40" i="2"/>
  <c r="BG36" i="2"/>
  <c r="BG32" i="2"/>
  <c r="BG77" i="2"/>
  <c r="BG73" i="2"/>
  <c r="BG69" i="2"/>
  <c r="BG65" i="2"/>
  <c r="BG61" i="2"/>
  <c r="BG57" i="2"/>
  <c r="BG53" i="2"/>
  <c r="BG49" i="2"/>
  <c r="BG45" i="2"/>
  <c r="BG41" i="2"/>
  <c r="BG37" i="2"/>
  <c r="BG33" i="2"/>
  <c r="BG78" i="2"/>
  <c r="BG74" i="2"/>
  <c r="BG70" i="2"/>
  <c r="BG66" i="2"/>
  <c r="BG62" i="2"/>
  <c r="BG58" i="2"/>
  <c r="BG54" i="2"/>
  <c r="BG50" i="2"/>
  <c r="BG46" i="2"/>
  <c r="BG42" i="2"/>
  <c r="BG38" i="2"/>
  <c r="BG34" i="2"/>
  <c r="BK252" i="2"/>
  <c r="BK248" i="2"/>
  <c r="BK244" i="2"/>
  <c r="BK240" i="2"/>
  <c r="BK236" i="2"/>
  <c r="BK249" i="2"/>
  <c r="BK245" i="2"/>
  <c r="BK241" i="2"/>
  <c r="BK237" i="2"/>
  <c r="BK233" i="2"/>
  <c r="BK250" i="2"/>
  <c r="BK246" i="2"/>
  <c r="BK242" i="2"/>
  <c r="BK238" i="2"/>
  <c r="BK234" i="2"/>
  <c r="BK251" i="2"/>
  <c r="BK247" i="2"/>
  <c r="BK243" i="2"/>
  <c r="BK239" i="2"/>
  <c r="BK235" i="2"/>
  <c r="BK231" i="2"/>
  <c r="BK227" i="2"/>
  <c r="BK223" i="2"/>
  <c r="BK219" i="2"/>
  <c r="BK215" i="2"/>
  <c r="BK211" i="2"/>
  <c r="BK232" i="2"/>
  <c r="BK228" i="2"/>
  <c r="BK224" i="2"/>
  <c r="BK220" i="2"/>
  <c r="BK216" i="2"/>
  <c r="BK212" i="2"/>
  <c r="BK229" i="2"/>
  <c r="BK225" i="2"/>
  <c r="BK221" i="2"/>
  <c r="BK217" i="2"/>
  <c r="BK213" i="2"/>
  <c r="BK230" i="2"/>
  <c r="BK226" i="2"/>
  <c r="BK222" i="2"/>
  <c r="BK218" i="2"/>
  <c r="BK214" i="2"/>
  <c r="BK206" i="2"/>
  <c r="BK202" i="2"/>
  <c r="BK198" i="2"/>
  <c r="BK194" i="2"/>
  <c r="BK190" i="2"/>
  <c r="BK207" i="2"/>
  <c r="BK203" i="2"/>
  <c r="BK199" i="2"/>
  <c r="BK195" i="2"/>
  <c r="BK191" i="2"/>
  <c r="BK208" i="2"/>
  <c r="BK204" i="2"/>
  <c r="BK200" i="2"/>
  <c r="BK196" i="2"/>
  <c r="BK192" i="2"/>
  <c r="BK210" i="2"/>
  <c r="BK209" i="2"/>
  <c r="BK205" i="2"/>
  <c r="BK201" i="2"/>
  <c r="BK197" i="2"/>
  <c r="BK193" i="2"/>
  <c r="BK185" i="2"/>
  <c r="BK181" i="2"/>
  <c r="BK177" i="2"/>
  <c r="BK173" i="2"/>
  <c r="BK169" i="2"/>
  <c r="BK165" i="2"/>
  <c r="BK186" i="2"/>
  <c r="BK182" i="2"/>
  <c r="BK178" i="2"/>
  <c r="BK174" i="2"/>
  <c r="BK170" i="2"/>
  <c r="BK166" i="2"/>
  <c r="BK187" i="2"/>
  <c r="BK183" i="2"/>
  <c r="BK179" i="2"/>
  <c r="BK175" i="2"/>
  <c r="BK171" i="2"/>
  <c r="BK167" i="2"/>
  <c r="BK189" i="2"/>
  <c r="BK188" i="2"/>
  <c r="BK184" i="2"/>
  <c r="BK180" i="2"/>
  <c r="BK176" i="2"/>
  <c r="BK172" i="2"/>
  <c r="BK168" i="2"/>
  <c r="BK164" i="2"/>
  <c r="BK162" i="2"/>
  <c r="BK158" i="2"/>
  <c r="BK154" i="2"/>
  <c r="BK150" i="2"/>
  <c r="BK146" i="2"/>
  <c r="BK142" i="2"/>
  <c r="BK138" i="2"/>
  <c r="BK134" i="2"/>
  <c r="BK130" i="2"/>
  <c r="BK126" i="2"/>
  <c r="BK163" i="2"/>
  <c r="BK159" i="2"/>
  <c r="BK155" i="2"/>
  <c r="BK151" i="2"/>
  <c r="BK147" i="2"/>
  <c r="BK143" i="2"/>
  <c r="BK139" i="2"/>
  <c r="BK135" i="2"/>
  <c r="BK131" i="2"/>
  <c r="BK127" i="2"/>
  <c r="BK123" i="2"/>
  <c r="BK160" i="2"/>
  <c r="BK156" i="2"/>
  <c r="BK152" i="2"/>
  <c r="BK148" i="2"/>
  <c r="BK144" i="2"/>
  <c r="BK140" i="2"/>
  <c r="BK136" i="2"/>
  <c r="BK132" i="2"/>
  <c r="BK128" i="2"/>
  <c r="BK124" i="2"/>
  <c r="BK161" i="2"/>
  <c r="BK157" i="2"/>
  <c r="BK153" i="2"/>
  <c r="BK149" i="2"/>
  <c r="BK145" i="2"/>
  <c r="BK141" i="2"/>
  <c r="BK137" i="2"/>
  <c r="BK133" i="2"/>
  <c r="BK129" i="2"/>
  <c r="BK125" i="2"/>
  <c r="BK119" i="2"/>
  <c r="BK115" i="2"/>
  <c r="BK111" i="2"/>
  <c r="BK107" i="2"/>
  <c r="BK103" i="2"/>
  <c r="BK99" i="2"/>
  <c r="BK95" i="2"/>
  <c r="BK91" i="2"/>
  <c r="BK87" i="2"/>
  <c r="BK83" i="2"/>
  <c r="BK79" i="2"/>
  <c r="BK120" i="2"/>
  <c r="BK116" i="2"/>
  <c r="BK112" i="2"/>
  <c r="BK108" i="2"/>
  <c r="BK104" i="2"/>
  <c r="BK100" i="2"/>
  <c r="BK96" i="2"/>
  <c r="BK92" i="2"/>
  <c r="BK88" i="2"/>
  <c r="BK84" i="2"/>
  <c r="BK80" i="2"/>
  <c r="BK122" i="2"/>
  <c r="BK121" i="2"/>
  <c r="BK117" i="2"/>
  <c r="BK113" i="2"/>
  <c r="BK109" i="2"/>
  <c r="BK105" i="2"/>
  <c r="BK101" i="2"/>
  <c r="BK97" i="2"/>
  <c r="BK93" i="2"/>
  <c r="BK89" i="2"/>
  <c r="BK85" i="2"/>
  <c r="BK81" i="2"/>
  <c r="BK118" i="2"/>
  <c r="BK114" i="2"/>
  <c r="BK110" i="2"/>
  <c r="BK106" i="2"/>
  <c r="BK102" i="2"/>
  <c r="BK98" i="2"/>
  <c r="BK94" i="2"/>
  <c r="BK90" i="2"/>
  <c r="BK86" i="2"/>
  <c r="BK82" i="2"/>
  <c r="BK77" i="2"/>
  <c r="BK75" i="2"/>
  <c r="BK71" i="2"/>
  <c r="BK67" i="2"/>
  <c r="BK63" i="2"/>
  <c r="BK59" i="2"/>
  <c r="BK55" i="2"/>
  <c r="BK51" i="2"/>
  <c r="BK47" i="2"/>
  <c r="BK43" i="2"/>
  <c r="BK39" i="2"/>
  <c r="BK35" i="2"/>
  <c r="BK31" i="2"/>
  <c r="BK78" i="2"/>
  <c r="BK76" i="2"/>
  <c r="BK72" i="2"/>
  <c r="BK68" i="2"/>
  <c r="BK64" i="2"/>
  <c r="BK60" i="2"/>
  <c r="BK56" i="2"/>
  <c r="BK52" i="2"/>
  <c r="BK48" i="2"/>
  <c r="BK44" i="2"/>
  <c r="BK40" i="2"/>
  <c r="BK36" i="2"/>
  <c r="BK32" i="2"/>
  <c r="BK73" i="2"/>
  <c r="BK69" i="2"/>
  <c r="BK65" i="2"/>
  <c r="BK61" i="2"/>
  <c r="BK57" i="2"/>
  <c r="BK53" i="2"/>
  <c r="BK49" i="2"/>
  <c r="BK45" i="2"/>
  <c r="BK41" i="2"/>
  <c r="BK37" i="2"/>
  <c r="BK33" i="2"/>
  <c r="BK74" i="2"/>
  <c r="BK70" i="2"/>
  <c r="BK66" i="2"/>
  <c r="BK62" i="2"/>
  <c r="BK58" i="2"/>
  <c r="BK54" i="2"/>
  <c r="BK50" i="2"/>
  <c r="BK46" i="2"/>
  <c r="BK42" i="2"/>
  <c r="BK38" i="2"/>
  <c r="BK34" i="2"/>
  <c r="BO252" i="2"/>
  <c r="BO248" i="2"/>
  <c r="BO244" i="2"/>
  <c r="BO240" i="2"/>
  <c r="BO236" i="2"/>
  <c r="BO232" i="2"/>
  <c r="BO249" i="2"/>
  <c r="BO245" i="2"/>
  <c r="BO241" i="2"/>
  <c r="BO237" i="2"/>
  <c r="BO233" i="2"/>
  <c r="BO250" i="2"/>
  <c r="BO246" i="2"/>
  <c r="BO242" i="2"/>
  <c r="BO238" i="2"/>
  <c r="BO234" i="2"/>
  <c r="BO251" i="2"/>
  <c r="BO247" i="2"/>
  <c r="BO243" i="2"/>
  <c r="BO239" i="2"/>
  <c r="BO235" i="2"/>
  <c r="BO230" i="2"/>
  <c r="BO227" i="2"/>
  <c r="BO223" i="2"/>
  <c r="BO219" i="2"/>
  <c r="BO215" i="2"/>
  <c r="BO211" i="2"/>
  <c r="BO231" i="2"/>
  <c r="BO228" i="2"/>
  <c r="BO224" i="2"/>
  <c r="BO220" i="2"/>
  <c r="BO216" i="2"/>
  <c r="BO212" i="2"/>
  <c r="BO229" i="2"/>
  <c r="BO225" i="2"/>
  <c r="BO221" i="2"/>
  <c r="BO217" i="2"/>
  <c r="BO213" i="2"/>
  <c r="BO226" i="2"/>
  <c r="BO222" i="2"/>
  <c r="BO218" i="2"/>
  <c r="BO210" i="2"/>
  <c r="BO206" i="2"/>
  <c r="BO202" i="2"/>
  <c r="BO198" i="2"/>
  <c r="BO194" i="2"/>
  <c r="BO190" i="2"/>
  <c r="BO207" i="2"/>
  <c r="BO203" i="2"/>
  <c r="BO199" i="2"/>
  <c r="BO195" i="2"/>
  <c r="BO191" i="2"/>
  <c r="BO208" i="2"/>
  <c r="BO204" i="2"/>
  <c r="BO200" i="2"/>
  <c r="BO196" i="2"/>
  <c r="BO192" i="2"/>
  <c r="BO214" i="2"/>
  <c r="BO209" i="2"/>
  <c r="BO205" i="2"/>
  <c r="BO201" i="2"/>
  <c r="BO197" i="2"/>
  <c r="BO193" i="2"/>
  <c r="BO185" i="2"/>
  <c r="BO181" i="2"/>
  <c r="BO177" i="2"/>
  <c r="BO173" i="2"/>
  <c r="BO169" i="2"/>
  <c r="BO165" i="2"/>
  <c r="BO189" i="2"/>
  <c r="BO186" i="2"/>
  <c r="BO182" i="2"/>
  <c r="BO178" i="2"/>
  <c r="BO174" i="2"/>
  <c r="BO170" i="2"/>
  <c r="BO166" i="2"/>
  <c r="BO187" i="2"/>
  <c r="BO183" i="2"/>
  <c r="BO179" i="2"/>
  <c r="BO175" i="2"/>
  <c r="BO171" i="2"/>
  <c r="BO167" i="2"/>
  <c r="BO188" i="2"/>
  <c r="BO184" i="2"/>
  <c r="BO180" i="2"/>
  <c r="BO176" i="2"/>
  <c r="BO172" i="2"/>
  <c r="BO168" i="2"/>
  <c r="BO162" i="2"/>
  <c r="BO158" i="2"/>
  <c r="BO154" i="2"/>
  <c r="BO150" i="2"/>
  <c r="BO146" i="2"/>
  <c r="BO142" i="2"/>
  <c r="BO138" i="2"/>
  <c r="BO134" i="2"/>
  <c r="BO130" i="2"/>
  <c r="BO126" i="2"/>
  <c r="BO164" i="2"/>
  <c r="BO163" i="2"/>
  <c r="BO159" i="2"/>
  <c r="BO155" i="2"/>
  <c r="BO151" i="2"/>
  <c r="BO147" i="2"/>
  <c r="BO143" i="2"/>
  <c r="BO139" i="2"/>
  <c r="BO135" i="2"/>
  <c r="BO131" i="2"/>
  <c r="BO127" i="2"/>
  <c r="BO123" i="2"/>
  <c r="BO160" i="2"/>
  <c r="BO156" i="2"/>
  <c r="BO152" i="2"/>
  <c r="BO148" i="2"/>
  <c r="BO144" i="2"/>
  <c r="BO140" i="2"/>
  <c r="BO136" i="2"/>
  <c r="BO132" i="2"/>
  <c r="BO128" i="2"/>
  <c r="BO124" i="2"/>
  <c r="BO161" i="2"/>
  <c r="BO157" i="2"/>
  <c r="BO153" i="2"/>
  <c r="BO149" i="2"/>
  <c r="BO145" i="2"/>
  <c r="BO141" i="2"/>
  <c r="BO137" i="2"/>
  <c r="BO133" i="2"/>
  <c r="BO129" i="2"/>
  <c r="BO125" i="2"/>
  <c r="BO122" i="2"/>
  <c r="BO119" i="2"/>
  <c r="BO115" i="2"/>
  <c r="BO111" i="2"/>
  <c r="BO107" i="2"/>
  <c r="BO103" i="2"/>
  <c r="BO99" i="2"/>
  <c r="BO95" i="2"/>
  <c r="BO91" i="2"/>
  <c r="BO87" i="2"/>
  <c r="BO83" i="2"/>
  <c r="BO79" i="2"/>
  <c r="BO116" i="2"/>
  <c r="BO112" i="2"/>
  <c r="BO108" i="2"/>
  <c r="BO104" i="2"/>
  <c r="BO100" i="2"/>
  <c r="BO96" i="2"/>
  <c r="BO92" i="2"/>
  <c r="BO88" i="2"/>
  <c r="BO84" i="2"/>
  <c r="BO80" i="2"/>
  <c r="BO76" i="2"/>
  <c r="BO120" i="2"/>
  <c r="BO117" i="2"/>
  <c r="BO113" i="2"/>
  <c r="BO109" i="2"/>
  <c r="BO105" i="2"/>
  <c r="BO101" i="2"/>
  <c r="BO97" i="2"/>
  <c r="BO93" i="2"/>
  <c r="BO89" i="2"/>
  <c r="BO85" i="2"/>
  <c r="BO81" i="2"/>
  <c r="BO121" i="2"/>
  <c r="BO118" i="2"/>
  <c r="BO114" i="2"/>
  <c r="BO110" i="2"/>
  <c r="BO106" i="2"/>
  <c r="BO102" i="2"/>
  <c r="BO98" i="2"/>
  <c r="BO94" i="2"/>
  <c r="BO90" i="2"/>
  <c r="BO86" i="2"/>
  <c r="BO82" i="2"/>
  <c r="BO75" i="2"/>
  <c r="BO71" i="2"/>
  <c r="BO67" i="2"/>
  <c r="BO63" i="2"/>
  <c r="BO59" i="2"/>
  <c r="BO55" i="2"/>
  <c r="BO51" i="2"/>
  <c r="BO47" i="2"/>
  <c r="BO43" i="2"/>
  <c r="BO39" i="2"/>
  <c r="BO35" i="2"/>
  <c r="BO31" i="2"/>
  <c r="BO72" i="2"/>
  <c r="BO68" i="2"/>
  <c r="BO64" i="2"/>
  <c r="BO60" i="2"/>
  <c r="BO56" i="2"/>
  <c r="BO52" i="2"/>
  <c r="BO48" i="2"/>
  <c r="BO44" i="2"/>
  <c r="BO40" i="2"/>
  <c r="BO36" i="2"/>
  <c r="BO32" i="2"/>
  <c r="BO77" i="2"/>
  <c r="BO73" i="2"/>
  <c r="BO69" i="2"/>
  <c r="BO65" i="2"/>
  <c r="BO61" i="2"/>
  <c r="BO57" i="2"/>
  <c r="BO53" i="2"/>
  <c r="BO49" i="2"/>
  <c r="BO45" i="2"/>
  <c r="BO41" i="2"/>
  <c r="BO37" i="2"/>
  <c r="BO33" i="2"/>
  <c r="BO78" i="2"/>
  <c r="BO74" i="2"/>
  <c r="BO70" i="2"/>
  <c r="BO66" i="2"/>
  <c r="BO62" i="2"/>
  <c r="BO58" i="2"/>
  <c r="BO54" i="2"/>
  <c r="BO50" i="2"/>
  <c r="BO46" i="2"/>
  <c r="BO42" i="2"/>
  <c r="BO38" i="2"/>
  <c r="BO34" i="2"/>
  <c r="BS252" i="2"/>
  <c r="BS248" i="2"/>
  <c r="BS244" i="2"/>
  <c r="BS240" i="2"/>
  <c r="BS236" i="2"/>
  <c r="BS232" i="2"/>
  <c r="BS249" i="2"/>
  <c r="BS245" i="2"/>
  <c r="BS241" i="2"/>
  <c r="BS237" i="2"/>
  <c r="BS233" i="2"/>
  <c r="BS250" i="2"/>
  <c r="BS246" i="2"/>
  <c r="BS242" i="2"/>
  <c r="BS238" i="2"/>
  <c r="BS234" i="2"/>
  <c r="BS251" i="2"/>
  <c r="BS247" i="2"/>
  <c r="BS243" i="2"/>
  <c r="BS239" i="2"/>
  <c r="BS235" i="2"/>
  <c r="BS227" i="2"/>
  <c r="BS223" i="2"/>
  <c r="BS219" i="2"/>
  <c r="BS215" i="2"/>
  <c r="BS211" i="2"/>
  <c r="BS230" i="2"/>
  <c r="BS228" i="2"/>
  <c r="BS224" i="2"/>
  <c r="BS220" i="2"/>
  <c r="BS216" i="2"/>
  <c r="BS212" i="2"/>
  <c r="BS231" i="2"/>
  <c r="BS229" i="2"/>
  <c r="BS225" i="2"/>
  <c r="BS221" i="2"/>
  <c r="BS217" i="2"/>
  <c r="BS213" i="2"/>
  <c r="BS226" i="2"/>
  <c r="BS222" i="2"/>
  <c r="BS218" i="2"/>
  <c r="BS209" i="2"/>
  <c r="BS206" i="2"/>
  <c r="BS202" i="2"/>
  <c r="BS198" i="2"/>
  <c r="BS194" i="2"/>
  <c r="BS190" i="2"/>
  <c r="BS210" i="2"/>
  <c r="BS207" i="2"/>
  <c r="BS203" i="2"/>
  <c r="BS199" i="2"/>
  <c r="BS195" i="2"/>
  <c r="BS191" i="2"/>
  <c r="BS214" i="2"/>
  <c r="BS208" i="2"/>
  <c r="BS204" i="2"/>
  <c r="BS200" i="2"/>
  <c r="BS196" i="2"/>
  <c r="BS192" i="2"/>
  <c r="BS205" i="2"/>
  <c r="BS201" i="2"/>
  <c r="BS197" i="2"/>
  <c r="BS193" i="2"/>
  <c r="BS189" i="2"/>
  <c r="BS188" i="2"/>
  <c r="BS185" i="2"/>
  <c r="BS181" i="2"/>
  <c r="BS177" i="2"/>
  <c r="BS173" i="2"/>
  <c r="BS169" i="2"/>
  <c r="BS165" i="2"/>
  <c r="BS186" i="2"/>
  <c r="BS182" i="2"/>
  <c r="BS178" i="2"/>
  <c r="BS174" i="2"/>
  <c r="BS170" i="2"/>
  <c r="BS166" i="2"/>
  <c r="BS187" i="2"/>
  <c r="BS183" i="2"/>
  <c r="BS179" i="2"/>
  <c r="BS175" i="2"/>
  <c r="BS171" i="2"/>
  <c r="BS167" i="2"/>
  <c r="BS184" i="2"/>
  <c r="BS180" i="2"/>
  <c r="BS176" i="2"/>
  <c r="BS172" i="2"/>
  <c r="BS168" i="2"/>
  <c r="BS162" i="2"/>
  <c r="BS158" i="2"/>
  <c r="BS154" i="2"/>
  <c r="BS150" i="2"/>
  <c r="BS146" i="2"/>
  <c r="BS142" i="2"/>
  <c r="BS138" i="2"/>
  <c r="BS134" i="2"/>
  <c r="BS130" i="2"/>
  <c r="BS126" i="2"/>
  <c r="BS122" i="2"/>
  <c r="BS163" i="2"/>
  <c r="BS159" i="2"/>
  <c r="BS155" i="2"/>
  <c r="BS151" i="2"/>
  <c r="BS147" i="2"/>
  <c r="BS143" i="2"/>
  <c r="BS139" i="2"/>
  <c r="BS135" i="2"/>
  <c r="BS131" i="2"/>
  <c r="BS127" i="2"/>
  <c r="BS123" i="2"/>
  <c r="BS164" i="2"/>
  <c r="BS160" i="2"/>
  <c r="BS156" i="2"/>
  <c r="BS152" i="2"/>
  <c r="BS148" i="2"/>
  <c r="BS144" i="2"/>
  <c r="BS140" i="2"/>
  <c r="BS136" i="2"/>
  <c r="BS132" i="2"/>
  <c r="BS128" i="2"/>
  <c r="BS124" i="2"/>
  <c r="BS161" i="2"/>
  <c r="BS157" i="2"/>
  <c r="BS153" i="2"/>
  <c r="BS149" i="2"/>
  <c r="BS145" i="2"/>
  <c r="BS141" i="2"/>
  <c r="BS137" i="2"/>
  <c r="BS133" i="2"/>
  <c r="BS129" i="2"/>
  <c r="BS125" i="2"/>
  <c r="BS119" i="2"/>
  <c r="BS115" i="2"/>
  <c r="BS111" i="2"/>
  <c r="BS107" i="2"/>
  <c r="BS103" i="2"/>
  <c r="BS99" i="2"/>
  <c r="BS95" i="2"/>
  <c r="BS91" i="2"/>
  <c r="BS87" i="2"/>
  <c r="BS83" i="2"/>
  <c r="BS79" i="2"/>
  <c r="BS121" i="2"/>
  <c r="BS116" i="2"/>
  <c r="BS112" i="2"/>
  <c r="BS108" i="2"/>
  <c r="BS104" i="2"/>
  <c r="BS100" i="2"/>
  <c r="BS96" i="2"/>
  <c r="BS92" i="2"/>
  <c r="BS88" i="2"/>
  <c r="BS84" i="2"/>
  <c r="BS80" i="2"/>
  <c r="BS76" i="2"/>
  <c r="BS117" i="2"/>
  <c r="BS113" i="2"/>
  <c r="BS109" i="2"/>
  <c r="BS105" i="2"/>
  <c r="BS101" i="2"/>
  <c r="BS97" i="2"/>
  <c r="BS93" i="2"/>
  <c r="BS89" i="2"/>
  <c r="BS85" i="2"/>
  <c r="BS81" i="2"/>
  <c r="BS120" i="2"/>
  <c r="BS118" i="2"/>
  <c r="BS114" i="2"/>
  <c r="BS110" i="2"/>
  <c r="BS106" i="2"/>
  <c r="BS102" i="2"/>
  <c r="BS98" i="2"/>
  <c r="BS94" i="2"/>
  <c r="BS90" i="2"/>
  <c r="BS86" i="2"/>
  <c r="BS82" i="2"/>
  <c r="BS77" i="2"/>
  <c r="BS75" i="2"/>
  <c r="BS71" i="2"/>
  <c r="BS67" i="2"/>
  <c r="BS63" i="2"/>
  <c r="BS59" i="2"/>
  <c r="BS55" i="2"/>
  <c r="BS51" i="2"/>
  <c r="BS47" i="2"/>
  <c r="BS43" i="2"/>
  <c r="BS39" i="2"/>
  <c r="BS35" i="2"/>
  <c r="BS31" i="2"/>
  <c r="BS78" i="2"/>
  <c r="BS72" i="2"/>
  <c r="BS68" i="2"/>
  <c r="BS64" i="2"/>
  <c r="BS60" i="2"/>
  <c r="BS56" i="2"/>
  <c r="BS52" i="2"/>
  <c r="BS48" i="2"/>
  <c r="BS44" i="2"/>
  <c r="BS40" i="2"/>
  <c r="BS36" i="2"/>
  <c r="BS32" i="2"/>
  <c r="BS73" i="2"/>
  <c r="BS69" i="2"/>
  <c r="BS65" i="2"/>
  <c r="BS61" i="2"/>
  <c r="BS57" i="2"/>
  <c r="BS53" i="2"/>
  <c r="BS49" i="2"/>
  <c r="BS45" i="2"/>
  <c r="BS41" i="2"/>
  <c r="BS37" i="2"/>
  <c r="BS33" i="2"/>
  <c r="BS74" i="2"/>
  <c r="BS70" i="2"/>
  <c r="BS66" i="2"/>
  <c r="BS62" i="2"/>
  <c r="BS58" i="2"/>
  <c r="BS54" i="2"/>
  <c r="BS50" i="2"/>
  <c r="BS46" i="2"/>
  <c r="BS42" i="2"/>
  <c r="BS38" i="2"/>
  <c r="BS34" i="2"/>
  <c r="BH4" i="2"/>
  <c r="BL4" i="2"/>
  <c r="BP4" i="2"/>
  <c r="BE5" i="2"/>
  <c r="BI5" i="2"/>
  <c r="BM5" i="2"/>
  <c r="BQ5" i="2"/>
  <c r="BF6" i="2"/>
  <c r="BJ6" i="2"/>
  <c r="BN6" i="2"/>
  <c r="BR6" i="2"/>
  <c r="BG7" i="2"/>
  <c r="BK7" i="2"/>
  <c r="BO7" i="2"/>
  <c r="BS7" i="2"/>
  <c r="BH8" i="2"/>
  <c r="BL8" i="2"/>
  <c r="BP8" i="2"/>
  <c r="BE9" i="2"/>
  <c r="BI9" i="2"/>
  <c r="BM9" i="2"/>
  <c r="BQ9" i="2"/>
  <c r="BF10" i="2"/>
  <c r="BJ10" i="2"/>
  <c r="BN10" i="2"/>
  <c r="BR10" i="2"/>
  <c r="BG11" i="2"/>
  <c r="BK11" i="2"/>
  <c r="BO11" i="2"/>
  <c r="BS11" i="2"/>
  <c r="BH12" i="2"/>
  <c r="BL12" i="2"/>
  <c r="BP12" i="2"/>
  <c r="BE13" i="2"/>
  <c r="BI13" i="2"/>
  <c r="BM13" i="2"/>
  <c r="BQ13" i="2"/>
  <c r="BF14" i="2"/>
  <c r="BJ14" i="2"/>
  <c r="BN14" i="2"/>
  <c r="BR14" i="2"/>
  <c r="BG15" i="2"/>
  <c r="BK15" i="2"/>
  <c r="BO15" i="2"/>
  <c r="BS15" i="2"/>
  <c r="BH16" i="2"/>
  <c r="BL16" i="2"/>
  <c r="BP16" i="2"/>
  <c r="BE17" i="2"/>
  <c r="BI17" i="2"/>
  <c r="BM17" i="2"/>
  <c r="BQ17" i="2"/>
  <c r="BF18" i="2"/>
  <c r="BJ18" i="2"/>
  <c r="BN18" i="2"/>
  <c r="BR18" i="2"/>
  <c r="BG19" i="2"/>
  <c r="BK19" i="2"/>
  <c r="BO19" i="2"/>
  <c r="BS19" i="2"/>
  <c r="BH20" i="2"/>
  <c r="BL20" i="2"/>
  <c r="BP20" i="2"/>
  <c r="BE21" i="2"/>
  <c r="BI21" i="2"/>
  <c r="BM21" i="2"/>
  <c r="BQ21" i="2"/>
  <c r="BF22" i="2"/>
  <c r="BJ22" i="2"/>
  <c r="BN22" i="2"/>
  <c r="BR22" i="2"/>
  <c r="BG23" i="2"/>
  <c r="BK23" i="2"/>
  <c r="BO23" i="2"/>
  <c r="BS23" i="2"/>
  <c r="BH24" i="2"/>
  <c r="BL24" i="2"/>
  <c r="BP24" i="2"/>
  <c r="BE25" i="2"/>
  <c r="BI25" i="2"/>
  <c r="BM25" i="2"/>
  <c r="BQ25" i="2"/>
  <c r="BF26" i="2"/>
  <c r="BJ26" i="2"/>
  <c r="BN26" i="2"/>
  <c r="BR26" i="2"/>
  <c r="BG27" i="2"/>
  <c r="BK27" i="2"/>
  <c r="BO27" i="2"/>
  <c r="BS27" i="2"/>
  <c r="BH28" i="2"/>
  <c r="BL28" i="2"/>
  <c r="BP28" i="2"/>
  <c r="BE29" i="2"/>
  <c r="BI29" i="2"/>
  <c r="BM29" i="2"/>
  <c r="BQ29" i="2"/>
  <c r="BF30" i="2"/>
  <c r="BJ30" i="2"/>
  <c r="BP30" i="2"/>
  <c r="BI31" i="2"/>
  <c r="BQ31" i="2"/>
  <c r="BJ32" i="2"/>
  <c r="BA250" i="2"/>
  <c r="BA246" i="2"/>
  <c r="BA242" i="2"/>
  <c r="BA238" i="2"/>
  <c r="BC252" i="2"/>
  <c r="BC248" i="2"/>
  <c r="BC244" i="2"/>
  <c r="BC240" i="2"/>
  <c r="BC236" i="2"/>
  <c r="BA3" i="2"/>
  <c r="BA252" i="2"/>
  <c r="BA248" i="2"/>
  <c r="BA244" i="2"/>
  <c r="BA240" i="2"/>
  <c r="BC3" i="2"/>
  <c r="BC250" i="2"/>
  <c r="BC246" i="2"/>
  <c r="BC242" i="2"/>
  <c r="BC238" i="2"/>
  <c r="BC234" i="2"/>
  <c r="BD249" i="2"/>
  <c r="AZ249" i="2"/>
  <c r="BD245" i="2"/>
  <c r="AZ245" i="2"/>
  <c r="BD241" i="2"/>
  <c r="AZ241" i="2"/>
  <c r="BD237" i="2"/>
  <c r="AZ237" i="2"/>
  <c r="BB235" i="2"/>
  <c r="BA5" i="2"/>
  <c r="BA9" i="2"/>
  <c r="BA13" i="2"/>
  <c r="BA17" i="2"/>
  <c r="BA21" i="2"/>
  <c r="BA25" i="2"/>
  <c r="BA29" i="2"/>
  <c r="BA33" i="2"/>
  <c r="BA6" i="2"/>
  <c r="BA10" i="2"/>
  <c r="BA14" i="2"/>
  <c r="BA18" i="2"/>
  <c r="BA22" i="2"/>
  <c r="BA26" i="2"/>
  <c r="BA30" i="2"/>
  <c r="BA34" i="2"/>
  <c r="BA38" i="2"/>
  <c r="BA42" i="2"/>
  <c r="BA46" i="2"/>
  <c r="BA50" i="2"/>
  <c r="BA54" i="2"/>
  <c r="BA58" i="2"/>
  <c r="BA62" i="2"/>
  <c r="BA66" i="2"/>
  <c r="BA70" i="2"/>
  <c r="BA74" i="2"/>
  <c r="BA78" i="2"/>
  <c r="BA82" i="2"/>
  <c r="BA86" i="2"/>
  <c r="BA7" i="2"/>
  <c r="BA11" i="2"/>
  <c r="BA15" i="2"/>
  <c r="BA19" i="2"/>
  <c r="BA23" i="2"/>
  <c r="BA27" i="2"/>
  <c r="BA31" i="2"/>
  <c r="BA35" i="2"/>
  <c r="BA4" i="2"/>
  <c r="BA8" i="2"/>
  <c r="BA12" i="2"/>
  <c r="BA16" i="2"/>
  <c r="BA20" i="2"/>
  <c r="BA24" i="2"/>
  <c r="BA28" i="2"/>
  <c r="BA32" i="2"/>
  <c r="BA36" i="2"/>
  <c r="BA40" i="2"/>
  <c r="BA44" i="2"/>
  <c r="BA48" i="2"/>
  <c r="BA52" i="2"/>
  <c r="BA56" i="2"/>
  <c r="BA60" i="2"/>
  <c r="BA64" i="2"/>
  <c r="BA68" i="2"/>
  <c r="BA72" i="2"/>
  <c r="BA76" i="2"/>
  <c r="BA80" i="2"/>
  <c r="BA84" i="2"/>
  <c r="BA88" i="2"/>
  <c r="BE3" i="2"/>
  <c r="BI3" i="2"/>
  <c r="BM3" i="2"/>
  <c r="BQ3" i="2"/>
  <c r="BD3" i="2"/>
  <c r="BD252" i="2"/>
  <c r="AZ252" i="2"/>
  <c r="BA251" i="2"/>
  <c r="BB250" i="2"/>
  <c r="BC249" i="2"/>
  <c r="BD248" i="2"/>
  <c r="AZ248" i="2"/>
  <c r="BA247" i="2"/>
  <c r="BB246" i="2"/>
  <c r="BC245" i="2"/>
  <c r="BD244" i="2"/>
  <c r="AZ244" i="2"/>
  <c r="BA243" i="2"/>
  <c r="BB242" i="2"/>
  <c r="BC241" i="2"/>
  <c r="BD240" i="2"/>
  <c r="AZ240" i="2"/>
  <c r="BA239" i="2"/>
  <c r="BB238" i="2"/>
  <c r="BC237" i="2"/>
  <c r="BD236" i="2"/>
  <c r="AZ236" i="2"/>
  <c r="BA235" i="2"/>
  <c r="BB234" i="2"/>
  <c r="BC233" i="2"/>
  <c r="BD232" i="2"/>
  <c r="AZ232" i="2"/>
  <c r="BA231" i="2"/>
  <c r="BB230" i="2"/>
  <c r="BC229" i="2"/>
  <c r="BD228" i="2"/>
  <c r="AZ228" i="2"/>
  <c r="BA227" i="2"/>
  <c r="BB226" i="2"/>
  <c r="BC225" i="2"/>
  <c r="BD224" i="2"/>
  <c r="AZ224" i="2"/>
  <c r="BA223" i="2"/>
  <c r="BB222" i="2"/>
  <c r="BC221" i="2"/>
  <c r="BD220" i="2"/>
  <c r="AZ220" i="2"/>
  <c r="BA219" i="2"/>
  <c r="BB218" i="2"/>
  <c r="BC217" i="2"/>
  <c r="BD216" i="2"/>
  <c r="AZ216" i="2"/>
  <c r="BA215" i="2"/>
  <c r="BB214" i="2"/>
  <c r="BC213" i="2"/>
  <c r="BD212" i="2"/>
  <c r="AZ212" i="2"/>
  <c r="BA211" i="2"/>
  <c r="BB210" i="2"/>
  <c r="BC209" i="2"/>
  <c r="BD208" i="2"/>
  <c r="AZ208" i="2"/>
  <c r="BA207" i="2"/>
  <c r="BB206" i="2"/>
  <c r="BC205" i="2"/>
  <c r="BD204" i="2"/>
  <c r="AZ204" i="2"/>
  <c r="BA203" i="2"/>
  <c r="BB202" i="2"/>
  <c r="BC201" i="2"/>
  <c r="BD200" i="2"/>
  <c r="AZ200" i="2"/>
  <c r="BA199" i="2"/>
  <c r="BB198" i="2"/>
  <c r="BC197" i="2"/>
  <c r="BD196" i="2"/>
  <c r="AZ196" i="2"/>
  <c r="BA195" i="2"/>
  <c r="BB194" i="2"/>
  <c r="BC193" i="2"/>
  <c r="BD192" i="2"/>
  <c r="AZ192" i="2"/>
  <c r="BA191" i="2"/>
  <c r="BB190" i="2"/>
  <c r="BC189" i="2"/>
  <c r="BD188" i="2"/>
  <c r="AZ188" i="2"/>
  <c r="BA187" i="2"/>
  <c r="BB186" i="2"/>
  <c r="BC185" i="2"/>
  <c r="BD184" i="2"/>
  <c r="AZ184" i="2"/>
  <c r="BA183" i="2"/>
  <c r="BB182" i="2"/>
  <c r="BC181" i="2"/>
  <c r="BD180" i="2"/>
  <c r="AZ180" i="2"/>
  <c r="BA179" i="2"/>
  <c r="BB178" i="2"/>
  <c r="BC177" i="2"/>
  <c r="BD176" i="2"/>
  <c r="AZ176" i="2"/>
  <c r="BA175" i="2"/>
  <c r="BB174" i="2"/>
  <c r="BC173" i="2"/>
  <c r="BD172" i="2"/>
  <c r="AZ172" i="2"/>
  <c r="BA171" i="2"/>
  <c r="BB170" i="2"/>
  <c r="BC169" i="2"/>
  <c r="BD168" i="2"/>
  <c r="AZ168" i="2"/>
  <c r="BA167" i="2"/>
  <c r="BB166" i="2"/>
  <c r="BC165" i="2"/>
  <c r="BD164" i="2"/>
  <c r="AZ164" i="2"/>
  <c r="BA163" i="2"/>
  <c r="BB162" i="2"/>
  <c r="BC161" i="2"/>
  <c r="BD160" i="2"/>
  <c r="AZ160" i="2"/>
  <c r="BA159" i="2"/>
  <c r="BB158" i="2"/>
  <c r="BC157" i="2"/>
  <c r="BD156" i="2"/>
  <c r="AZ156" i="2"/>
  <c r="BA155" i="2"/>
  <c r="BB154" i="2"/>
  <c r="BC153" i="2"/>
  <c r="BD152" i="2"/>
  <c r="AZ152" i="2"/>
  <c r="BA151" i="2"/>
  <c r="BB150" i="2"/>
  <c r="BC149" i="2"/>
  <c r="BD148" i="2"/>
  <c r="AZ148" i="2"/>
  <c r="BA147" i="2"/>
  <c r="BB146" i="2"/>
  <c r="BC145" i="2"/>
  <c r="BD144" i="2"/>
  <c r="AZ144" i="2"/>
  <c r="BA143" i="2"/>
  <c r="BB142" i="2"/>
  <c r="BC141" i="2"/>
  <c r="BD140" i="2"/>
  <c r="AZ140" i="2"/>
  <c r="BA139" i="2"/>
  <c r="BB138" i="2"/>
  <c r="BC137" i="2"/>
  <c r="BD136" i="2"/>
  <c r="AZ136" i="2"/>
  <c r="BA135" i="2"/>
  <c r="BB134" i="2"/>
  <c r="BC133" i="2"/>
  <c r="BD132" i="2"/>
  <c r="AZ132" i="2"/>
  <c r="BA131" i="2"/>
  <c r="BB130" i="2"/>
  <c r="BC129" i="2"/>
  <c r="BD128" i="2"/>
  <c r="AZ128" i="2"/>
  <c r="BA127" i="2"/>
  <c r="BB126" i="2"/>
  <c r="BC125" i="2"/>
  <c r="BD124" i="2"/>
  <c r="AZ124" i="2"/>
  <c r="BA123" i="2"/>
  <c r="BB122" i="2"/>
  <c r="BC121" i="2"/>
  <c r="BD120" i="2"/>
  <c r="AZ120" i="2"/>
  <c r="BA119" i="2"/>
  <c r="BB118" i="2"/>
  <c r="BC117" i="2"/>
  <c r="BD116" i="2"/>
  <c r="AZ116" i="2"/>
  <c r="BA115" i="2"/>
  <c r="BB114" i="2"/>
  <c r="BC113" i="2"/>
  <c r="BD112" i="2"/>
  <c r="AZ112" i="2"/>
  <c r="BA111" i="2"/>
  <c r="BB110" i="2"/>
  <c r="BC109" i="2"/>
  <c r="BD108" i="2"/>
  <c r="AZ108" i="2"/>
  <c r="BA107" i="2"/>
  <c r="BB106" i="2"/>
  <c r="BC105" i="2"/>
  <c r="BD104" i="2"/>
  <c r="AZ104" i="2"/>
  <c r="BA103" i="2"/>
  <c r="BB102" i="2"/>
  <c r="BC101" i="2"/>
  <c r="BD100" i="2"/>
  <c r="AZ100" i="2"/>
  <c r="BA99" i="2"/>
  <c r="BB98" i="2"/>
  <c r="BC97" i="2"/>
  <c r="BD96" i="2"/>
  <c r="AZ96" i="2"/>
  <c r="BA95" i="2"/>
  <c r="BB94" i="2"/>
  <c r="BC93" i="2"/>
  <c r="BD92" i="2"/>
  <c r="AZ92" i="2"/>
  <c r="BA91" i="2"/>
  <c r="BB90" i="2"/>
  <c r="BC89" i="2"/>
  <c r="BD88" i="2"/>
  <c r="BA87" i="2"/>
  <c r="BC85" i="2"/>
  <c r="AZ84" i="2"/>
  <c r="BB82" i="2"/>
  <c r="BD80" i="2"/>
  <c r="BA79" i="2"/>
  <c r="BC77" i="2"/>
  <c r="AZ76" i="2"/>
  <c r="BB74" i="2"/>
  <c r="BD72" i="2"/>
  <c r="BA71" i="2"/>
  <c r="BC69" i="2"/>
  <c r="AZ68" i="2"/>
  <c r="BB66" i="2"/>
  <c r="BD64" i="2"/>
  <c r="BA63" i="2"/>
  <c r="BC61" i="2"/>
  <c r="AZ60" i="2"/>
  <c r="BB58" i="2"/>
  <c r="BD56" i="2"/>
  <c r="BA55" i="2"/>
  <c r="BC53" i="2"/>
  <c r="AZ52" i="2"/>
  <c r="BB50" i="2"/>
  <c r="BD48" i="2"/>
  <c r="BA47" i="2"/>
  <c r="BC45" i="2"/>
  <c r="AZ44" i="2"/>
  <c r="BB42" i="2"/>
  <c r="BD40" i="2"/>
  <c r="BA39" i="2"/>
  <c r="BC37" i="2"/>
  <c r="BB249" i="2"/>
  <c r="BB245" i="2"/>
  <c r="BB241" i="2"/>
  <c r="BB237" i="2"/>
  <c r="BD235" i="2"/>
  <c r="AZ235" i="2"/>
  <c r="BA234" i="2"/>
  <c r="BB233" i="2"/>
  <c r="BC232" i="2"/>
  <c r="BD231" i="2"/>
  <c r="AZ231" i="2"/>
  <c r="BA230" i="2"/>
  <c r="BB229" i="2"/>
  <c r="BC228" i="2"/>
  <c r="BD227" i="2"/>
  <c r="AZ227" i="2"/>
  <c r="BA226" i="2"/>
  <c r="BB225" i="2"/>
  <c r="BC224" i="2"/>
  <c r="BD223" i="2"/>
  <c r="AZ223" i="2"/>
  <c r="BA222" i="2"/>
  <c r="BB221" i="2"/>
  <c r="BC220" i="2"/>
  <c r="BD219" i="2"/>
  <c r="AZ219" i="2"/>
  <c r="BA218" i="2"/>
  <c r="BB217" i="2"/>
  <c r="BC216" i="2"/>
  <c r="BD215" i="2"/>
  <c r="AZ215" i="2"/>
  <c r="BA214" i="2"/>
  <c r="BB213" i="2"/>
  <c r="BC212" i="2"/>
  <c r="BD211" i="2"/>
  <c r="AZ211" i="2"/>
  <c r="BA210" i="2"/>
  <c r="BB209" i="2"/>
  <c r="BC208" i="2"/>
  <c r="BD207" i="2"/>
  <c r="AZ207" i="2"/>
  <c r="BA206" i="2"/>
  <c r="BB205" i="2"/>
  <c r="BC204" i="2"/>
  <c r="BD203" i="2"/>
  <c r="AZ203" i="2"/>
  <c r="BA202" i="2"/>
  <c r="BB201" i="2"/>
  <c r="BC200" i="2"/>
  <c r="BD199" i="2"/>
  <c r="AZ199" i="2"/>
  <c r="BA198" i="2"/>
  <c r="BB197" i="2"/>
  <c r="BC196" i="2"/>
  <c r="BD195" i="2"/>
  <c r="AZ195" i="2"/>
  <c r="BA194" i="2"/>
  <c r="BB193" i="2"/>
  <c r="BC192" i="2"/>
  <c r="BD191" i="2"/>
  <c r="AZ191" i="2"/>
  <c r="BA190" i="2"/>
  <c r="BB189" i="2"/>
  <c r="BC188" i="2"/>
  <c r="BD187" i="2"/>
  <c r="AZ187" i="2"/>
  <c r="BA186" i="2"/>
  <c r="BB185" i="2"/>
  <c r="BC184" i="2"/>
  <c r="BD183" i="2"/>
  <c r="AZ183" i="2"/>
  <c r="BA182" i="2"/>
  <c r="BB181" i="2"/>
  <c r="BC180" i="2"/>
  <c r="BD179" i="2"/>
  <c r="AZ179" i="2"/>
  <c r="BA178" i="2"/>
  <c r="BB177" i="2"/>
  <c r="BC176" i="2"/>
  <c r="BD175" i="2"/>
  <c r="AZ175" i="2"/>
  <c r="BA174" i="2"/>
  <c r="BB173" i="2"/>
  <c r="BC172" i="2"/>
  <c r="BD171" i="2"/>
  <c r="AZ171" i="2"/>
  <c r="BA170" i="2"/>
  <c r="BB169" i="2"/>
  <c r="BC168" i="2"/>
  <c r="BD167" i="2"/>
  <c r="AZ167" i="2"/>
  <c r="BA166" i="2"/>
  <c r="BB165" i="2"/>
  <c r="BC164" i="2"/>
  <c r="BD163" i="2"/>
  <c r="AZ163" i="2"/>
  <c r="BA162" i="2"/>
  <c r="BB161" i="2"/>
  <c r="BC160" i="2"/>
  <c r="BD159" i="2"/>
  <c r="AZ159" i="2"/>
  <c r="BA158" i="2"/>
  <c r="BB157" i="2"/>
  <c r="BC156" i="2"/>
  <c r="BD155" i="2"/>
  <c r="AZ155" i="2"/>
  <c r="BA154" i="2"/>
  <c r="BB153" i="2"/>
  <c r="BC152" i="2"/>
  <c r="BD151" i="2"/>
  <c r="AZ151" i="2"/>
  <c r="BA150" i="2"/>
  <c r="BB149" i="2"/>
  <c r="BC148" i="2"/>
  <c r="BD147" i="2"/>
  <c r="AZ147" i="2"/>
  <c r="BA146" i="2"/>
  <c r="BB145" i="2"/>
  <c r="BC144" i="2"/>
  <c r="BD143" i="2"/>
  <c r="AZ143" i="2"/>
  <c r="BA142" i="2"/>
  <c r="BB141" i="2"/>
  <c r="BC140" i="2"/>
  <c r="BD139" i="2"/>
  <c r="AZ139" i="2"/>
  <c r="BA138" i="2"/>
  <c r="BB137" i="2"/>
  <c r="BC136" i="2"/>
  <c r="BD135" i="2"/>
  <c r="AZ135" i="2"/>
  <c r="BA134" i="2"/>
  <c r="BB133" i="2"/>
  <c r="BC132" i="2"/>
  <c r="BD131" i="2"/>
  <c r="AZ131" i="2"/>
  <c r="BA130" i="2"/>
  <c r="BB129" i="2"/>
  <c r="BC128" i="2"/>
  <c r="BD127" i="2"/>
  <c r="AZ127" i="2"/>
  <c r="BA126" i="2"/>
  <c r="BB125" i="2"/>
  <c r="BC124" i="2"/>
  <c r="BD123" i="2"/>
  <c r="AZ123" i="2"/>
  <c r="BA122" i="2"/>
  <c r="BB121" i="2"/>
  <c r="BC120" i="2"/>
  <c r="BD119" i="2"/>
  <c r="AZ119" i="2"/>
  <c r="BA118" i="2"/>
  <c r="BB117" i="2"/>
  <c r="BC116" i="2"/>
  <c r="BD115" i="2"/>
  <c r="AZ115" i="2"/>
  <c r="BA114" i="2"/>
  <c r="BB113" i="2"/>
  <c r="BC112" i="2"/>
  <c r="BD111" i="2"/>
  <c r="AZ111" i="2"/>
  <c r="BA110" i="2"/>
  <c r="BB109" i="2"/>
  <c r="BC108" i="2"/>
  <c r="BD107" i="2"/>
  <c r="AZ107" i="2"/>
  <c r="BA106" i="2"/>
  <c r="BB105" i="2"/>
  <c r="BC104" i="2"/>
  <c r="BD103" i="2"/>
  <c r="AZ103" i="2"/>
  <c r="BA102" i="2"/>
  <c r="BB101" i="2"/>
  <c r="BC100" i="2"/>
  <c r="BD99" i="2"/>
  <c r="AZ99" i="2"/>
  <c r="BA98" i="2"/>
  <c r="BB97" i="2"/>
  <c r="BC96" i="2"/>
  <c r="BD95" i="2"/>
  <c r="AZ95" i="2"/>
  <c r="BA94" i="2"/>
  <c r="BB93" i="2"/>
  <c r="BC92" i="2"/>
  <c r="BD91" i="2"/>
  <c r="AZ91" i="2"/>
  <c r="BA90" i="2"/>
  <c r="BB89" i="2"/>
  <c r="BB88" i="2"/>
  <c r="BD86" i="2"/>
  <c r="BA85" i="2"/>
  <c r="BC83" i="2"/>
  <c r="AZ82" i="2"/>
  <c r="BB80" i="2"/>
  <c r="BD78" i="2"/>
  <c r="BA77" i="2"/>
  <c r="BC75" i="2"/>
  <c r="AZ74" i="2"/>
  <c r="BB72" i="2"/>
  <c r="BD70" i="2"/>
  <c r="BA69" i="2"/>
  <c r="BC67" i="2"/>
  <c r="AZ66" i="2"/>
  <c r="BB64" i="2"/>
  <c r="BD62" i="2"/>
  <c r="BA61" i="2"/>
  <c r="BC59" i="2"/>
  <c r="AZ58" i="2"/>
  <c r="BB56" i="2"/>
  <c r="BD54" i="2"/>
  <c r="BA53" i="2"/>
  <c r="BC51" i="2"/>
  <c r="AZ50" i="2"/>
  <c r="BB48" i="2"/>
  <c r="BD46" i="2"/>
  <c r="BA45" i="2"/>
  <c r="AZ42" i="2"/>
  <c r="BA37" i="2"/>
  <c r="BD6" i="2"/>
  <c r="BD10" i="2"/>
  <c r="BD14" i="2"/>
  <c r="BD18" i="2"/>
  <c r="BD22" i="2"/>
  <c r="BD26" i="2"/>
  <c r="BD30" i="2"/>
  <c r="BD34" i="2"/>
  <c r="BD7" i="2"/>
  <c r="BD11" i="2"/>
  <c r="BD15" i="2"/>
  <c r="BD19" i="2"/>
  <c r="BD23" i="2"/>
  <c r="BD27" i="2"/>
  <c r="BD31" i="2"/>
  <c r="BD35" i="2"/>
  <c r="BD39" i="2"/>
  <c r="BD43" i="2"/>
  <c r="BD47" i="2"/>
  <c r="BD51" i="2"/>
  <c r="BD55" i="2"/>
  <c r="BD59" i="2"/>
  <c r="BD63" i="2"/>
  <c r="BD67" i="2"/>
  <c r="BD71" i="2"/>
  <c r="BD75" i="2"/>
  <c r="BD79" i="2"/>
  <c r="BD83" i="2"/>
  <c r="BD87" i="2"/>
  <c r="BD4" i="2"/>
  <c r="BD8" i="2"/>
  <c r="BD12" i="2"/>
  <c r="BD16" i="2"/>
  <c r="BD20" i="2"/>
  <c r="BD24" i="2"/>
  <c r="BD28" i="2"/>
  <c r="BD32" i="2"/>
  <c r="BD5" i="2"/>
  <c r="BD9" i="2"/>
  <c r="BD13" i="2"/>
  <c r="BD17" i="2"/>
  <c r="BD21" i="2"/>
  <c r="BD25" i="2"/>
  <c r="BD29" i="2"/>
  <c r="BD33" i="2"/>
  <c r="BD37" i="2"/>
  <c r="BD41" i="2"/>
  <c r="BD45" i="2"/>
  <c r="BD49" i="2"/>
  <c r="BD53" i="2"/>
  <c r="BD57" i="2"/>
  <c r="BD61" i="2"/>
  <c r="BD65" i="2"/>
  <c r="BD69" i="2"/>
  <c r="BD73" i="2"/>
  <c r="BD77" i="2"/>
  <c r="BD81" i="2"/>
  <c r="BD85" i="2"/>
  <c r="BB4" i="2"/>
  <c r="BB8" i="2"/>
  <c r="BB12" i="2"/>
  <c r="BB16" i="2"/>
  <c r="BB20" i="2"/>
  <c r="BB24" i="2"/>
  <c r="BB28" i="2"/>
  <c r="BB32" i="2"/>
  <c r="BB36" i="2"/>
  <c r="BB5" i="2"/>
  <c r="BB9" i="2"/>
  <c r="BB13" i="2"/>
  <c r="BB17" i="2"/>
  <c r="BB21" i="2"/>
  <c r="BB25" i="2"/>
  <c r="BB29" i="2"/>
  <c r="BB33" i="2"/>
  <c r="BB37" i="2"/>
  <c r="BB41" i="2"/>
  <c r="BB45" i="2"/>
  <c r="BB49" i="2"/>
  <c r="BB53" i="2"/>
  <c r="BB57" i="2"/>
  <c r="BB61" i="2"/>
  <c r="BB65" i="2"/>
  <c r="BB69" i="2"/>
  <c r="BB73" i="2"/>
  <c r="BB77" i="2"/>
  <c r="BB81" i="2"/>
  <c r="BB85" i="2"/>
  <c r="BB6" i="2"/>
  <c r="BB10" i="2"/>
  <c r="BB14" i="2"/>
  <c r="BB18" i="2"/>
  <c r="BB22" i="2"/>
  <c r="BB26" i="2"/>
  <c r="BB30" i="2"/>
  <c r="BB34" i="2"/>
  <c r="BB7" i="2"/>
  <c r="BB11" i="2"/>
  <c r="BB15" i="2"/>
  <c r="BB19" i="2"/>
  <c r="BB23" i="2"/>
  <c r="BB27" i="2"/>
  <c r="BB31" i="2"/>
  <c r="BB35" i="2"/>
  <c r="BB39" i="2"/>
  <c r="BB43" i="2"/>
  <c r="BB47" i="2"/>
  <c r="BB51" i="2"/>
  <c r="BB55" i="2"/>
  <c r="BB59" i="2"/>
  <c r="BB63" i="2"/>
  <c r="BB67" i="2"/>
  <c r="BB71" i="2"/>
  <c r="BB75" i="2"/>
  <c r="BB79" i="2"/>
  <c r="BB83" i="2"/>
  <c r="BB87" i="2"/>
  <c r="BF3" i="2"/>
  <c r="BJ3" i="2"/>
  <c r="BN3" i="2"/>
  <c r="BR3" i="2"/>
  <c r="BD251" i="2"/>
  <c r="AZ251" i="2"/>
  <c r="BD247" i="2"/>
  <c r="AZ247" i="2"/>
  <c r="BD243" i="2"/>
  <c r="AZ243" i="2"/>
  <c r="BD239" i="2"/>
  <c r="AZ239" i="2"/>
  <c r="BC7" i="2"/>
  <c r="BC11" i="2"/>
  <c r="BC15" i="2"/>
  <c r="BC19" i="2"/>
  <c r="BC23" i="2"/>
  <c r="BC27" i="2"/>
  <c r="BC31" i="2"/>
  <c r="BC35" i="2"/>
  <c r="BC4" i="2"/>
  <c r="BC8" i="2"/>
  <c r="BC12" i="2"/>
  <c r="BC16" i="2"/>
  <c r="BC20" i="2"/>
  <c r="BC24" i="2"/>
  <c r="BC28" i="2"/>
  <c r="BC32" i="2"/>
  <c r="BC36" i="2"/>
  <c r="BC40" i="2"/>
  <c r="BC44" i="2"/>
  <c r="BC48" i="2"/>
  <c r="BC52" i="2"/>
  <c r="BC56" i="2"/>
  <c r="BC60" i="2"/>
  <c r="BC64" i="2"/>
  <c r="BC68" i="2"/>
  <c r="BC72" i="2"/>
  <c r="BC76" i="2"/>
  <c r="BC80" i="2"/>
  <c r="BC84" i="2"/>
  <c r="BC88" i="2"/>
  <c r="BC5" i="2"/>
  <c r="BC9" i="2"/>
  <c r="BC13" i="2"/>
  <c r="BC17" i="2"/>
  <c r="BC21" i="2"/>
  <c r="BC25" i="2"/>
  <c r="BC29" i="2"/>
  <c r="BC33" i="2"/>
  <c r="BC6" i="2"/>
  <c r="BC10" i="2"/>
  <c r="BC14" i="2"/>
  <c r="BC18" i="2"/>
  <c r="BC22" i="2"/>
  <c r="BC26" i="2"/>
  <c r="BC30" i="2"/>
  <c r="BC34" i="2"/>
  <c r="BC38" i="2"/>
  <c r="BC42" i="2"/>
  <c r="BC46" i="2"/>
  <c r="BC50" i="2"/>
  <c r="BC54" i="2"/>
  <c r="BC58" i="2"/>
  <c r="BC62" i="2"/>
  <c r="BC66" i="2"/>
  <c r="BC70" i="2"/>
  <c r="BC74" i="2"/>
  <c r="BC78" i="2"/>
  <c r="BC82" i="2"/>
  <c r="BC86" i="2"/>
  <c r="BG3" i="2"/>
  <c r="BK3" i="2"/>
  <c r="BO3" i="2"/>
  <c r="BS3" i="2"/>
  <c r="BB3" i="2"/>
  <c r="BB252" i="2"/>
  <c r="BC251" i="2"/>
  <c r="BD250" i="2"/>
  <c r="AZ250" i="2"/>
  <c r="BA249" i="2"/>
  <c r="BB248" i="2"/>
  <c r="BC247" i="2"/>
  <c r="BD246" i="2"/>
  <c r="AZ246" i="2"/>
  <c r="BA245" i="2"/>
  <c r="BB244" i="2"/>
  <c r="BC243" i="2"/>
  <c r="BD242" i="2"/>
  <c r="AZ242" i="2"/>
  <c r="BA241" i="2"/>
  <c r="BB240" i="2"/>
  <c r="BC239" i="2"/>
  <c r="BD238" i="2"/>
  <c r="AZ238" i="2"/>
  <c r="BA237" i="2"/>
  <c r="BB236" i="2"/>
  <c r="BC235" i="2"/>
  <c r="BD234" i="2"/>
  <c r="AZ234" i="2"/>
  <c r="BA233" i="2"/>
  <c r="BB232" i="2"/>
  <c r="BC231" i="2"/>
  <c r="BD230" i="2"/>
  <c r="AZ230" i="2"/>
  <c r="BA229" i="2"/>
  <c r="BB228" i="2"/>
  <c r="BC227" i="2"/>
  <c r="BD226" i="2"/>
  <c r="AZ226" i="2"/>
  <c r="BA225" i="2"/>
  <c r="BB224" i="2"/>
  <c r="BC223" i="2"/>
  <c r="BD222" i="2"/>
  <c r="AZ222" i="2"/>
  <c r="BA221" i="2"/>
  <c r="BB220" i="2"/>
  <c r="BC219" i="2"/>
  <c r="BD218" i="2"/>
  <c r="AZ218" i="2"/>
  <c r="BA217" i="2"/>
  <c r="BB216" i="2"/>
  <c r="BC215" i="2"/>
  <c r="BD214" i="2"/>
  <c r="AZ214" i="2"/>
  <c r="BA213" i="2"/>
  <c r="BB212" i="2"/>
  <c r="BC211" i="2"/>
  <c r="BD210" i="2"/>
  <c r="AZ210" i="2"/>
  <c r="BA209" i="2"/>
  <c r="BB208" i="2"/>
  <c r="BC207" i="2"/>
  <c r="BD206" i="2"/>
  <c r="AZ206" i="2"/>
  <c r="BA205" i="2"/>
  <c r="BB204" i="2"/>
  <c r="BC203" i="2"/>
  <c r="BD202" i="2"/>
  <c r="AZ202" i="2"/>
  <c r="BA201" i="2"/>
  <c r="BB200" i="2"/>
  <c r="BC199" i="2"/>
  <c r="BD198" i="2"/>
  <c r="AZ198" i="2"/>
  <c r="BA197" i="2"/>
  <c r="BB196" i="2"/>
  <c r="BC195" i="2"/>
  <c r="BD194" i="2"/>
  <c r="AZ194" i="2"/>
  <c r="BA193" i="2"/>
  <c r="BB192" i="2"/>
  <c r="BC191" i="2"/>
  <c r="BD190" i="2"/>
  <c r="AZ190" i="2"/>
  <c r="BA189" i="2"/>
  <c r="BB188" i="2"/>
  <c r="BC187" i="2"/>
  <c r="BD186" i="2"/>
  <c r="AZ186" i="2"/>
  <c r="BA185" i="2"/>
  <c r="BB184" i="2"/>
  <c r="BC183" i="2"/>
  <c r="BD182" i="2"/>
  <c r="AZ182" i="2"/>
  <c r="BA181" i="2"/>
  <c r="BB180" i="2"/>
  <c r="BC179" i="2"/>
  <c r="BD178" i="2"/>
  <c r="AZ178" i="2"/>
  <c r="BA177" i="2"/>
  <c r="BB176" i="2"/>
  <c r="BC175" i="2"/>
  <c r="BD174" i="2"/>
  <c r="AZ174" i="2"/>
  <c r="BA173" i="2"/>
  <c r="BB172" i="2"/>
  <c r="BC171" i="2"/>
  <c r="BD170" i="2"/>
  <c r="AZ170" i="2"/>
  <c r="BA169" i="2"/>
  <c r="BB168" i="2"/>
  <c r="BC167" i="2"/>
  <c r="BD166" i="2"/>
  <c r="AZ166" i="2"/>
  <c r="BA165" i="2"/>
  <c r="BB164" i="2"/>
  <c r="BC163" i="2"/>
  <c r="BD162" i="2"/>
  <c r="AZ162" i="2"/>
  <c r="BA161" i="2"/>
  <c r="BB160" i="2"/>
  <c r="BC159" i="2"/>
  <c r="BD158" i="2"/>
  <c r="AZ158" i="2"/>
  <c r="BA157" i="2"/>
  <c r="BB156" i="2"/>
  <c r="BC155" i="2"/>
  <c r="BD154" i="2"/>
  <c r="AZ154" i="2"/>
  <c r="BA153" i="2"/>
  <c r="BB152" i="2"/>
  <c r="BC151" i="2"/>
  <c r="BD150" i="2"/>
  <c r="AZ150" i="2"/>
  <c r="BA149" i="2"/>
  <c r="BB148" i="2"/>
  <c r="BC147" i="2"/>
  <c r="BD146" i="2"/>
  <c r="AZ146" i="2"/>
  <c r="BA145" i="2"/>
  <c r="BB144" i="2"/>
  <c r="BC143" i="2"/>
  <c r="BD142" i="2"/>
  <c r="AZ142" i="2"/>
  <c r="BA141" i="2"/>
  <c r="BB140" i="2"/>
  <c r="BC139" i="2"/>
  <c r="BD138" i="2"/>
  <c r="AZ138" i="2"/>
  <c r="BA137" i="2"/>
  <c r="BB136" i="2"/>
  <c r="BC135" i="2"/>
  <c r="BD134" i="2"/>
  <c r="AZ134" i="2"/>
  <c r="BA133" i="2"/>
  <c r="BB132" i="2"/>
  <c r="BC131" i="2"/>
  <c r="BD130" i="2"/>
  <c r="AZ130" i="2"/>
  <c r="BA129" i="2"/>
  <c r="BB128" i="2"/>
  <c r="BC127" i="2"/>
  <c r="BD126" i="2"/>
  <c r="AZ126" i="2"/>
  <c r="BA125" i="2"/>
  <c r="BB124" i="2"/>
  <c r="BC123" i="2"/>
  <c r="BD122" i="2"/>
  <c r="AZ122" i="2"/>
  <c r="BA121" i="2"/>
  <c r="BB120" i="2"/>
  <c r="BC119" i="2"/>
  <c r="BD118" i="2"/>
  <c r="AZ118" i="2"/>
  <c r="BA117" i="2"/>
  <c r="BB116" i="2"/>
  <c r="BC115" i="2"/>
  <c r="BD114" i="2"/>
  <c r="AZ114" i="2"/>
  <c r="BA113" i="2"/>
  <c r="BB112" i="2"/>
  <c r="BC111" i="2"/>
  <c r="BD110" i="2"/>
  <c r="AZ110" i="2"/>
  <c r="BA109" i="2"/>
  <c r="BB108" i="2"/>
  <c r="BC107" i="2"/>
  <c r="BD106" i="2"/>
  <c r="AZ106" i="2"/>
  <c r="BA105" i="2"/>
  <c r="BB104" i="2"/>
  <c r="BC103" i="2"/>
  <c r="BD102" i="2"/>
  <c r="AZ102" i="2"/>
  <c r="BA101" i="2"/>
  <c r="BB100" i="2"/>
  <c r="BC99" i="2"/>
  <c r="BD98" i="2"/>
  <c r="AZ98" i="2"/>
  <c r="BA97" i="2"/>
  <c r="BB96" i="2"/>
  <c r="BC95" i="2"/>
  <c r="BD94" i="2"/>
  <c r="AZ94" i="2"/>
  <c r="BA93" i="2"/>
  <c r="BB92" i="2"/>
  <c r="BC91" i="2"/>
  <c r="BD90" i="2"/>
  <c r="AZ90" i="2"/>
  <c r="BA89" i="2"/>
  <c r="AZ88" i="2"/>
  <c r="BB86" i="2"/>
  <c r="BD84" i="2"/>
  <c r="BA83" i="2"/>
  <c r="BC81" i="2"/>
  <c r="AZ80" i="2"/>
  <c r="BB78" i="2"/>
  <c r="BD76" i="2"/>
  <c r="BA75" i="2"/>
  <c r="BC73" i="2"/>
  <c r="AZ72" i="2"/>
  <c r="BB70" i="2"/>
  <c r="BD68" i="2"/>
  <c r="BA67" i="2"/>
  <c r="BC65" i="2"/>
  <c r="AZ64" i="2"/>
  <c r="BB62" i="2"/>
  <c r="BD60" i="2"/>
  <c r="BA59" i="2"/>
  <c r="BC57" i="2"/>
  <c r="AZ56" i="2"/>
  <c r="BB54" i="2"/>
  <c r="BD52" i="2"/>
  <c r="BA51" i="2"/>
  <c r="BC49" i="2"/>
  <c r="AZ48" i="2"/>
  <c r="BB46" i="2"/>
  <c r="BD44" i="2"/>
  <c r="BA43" i="2"/>
  <c r="BC41" i="2"/>
  <c r="BB38" i="2"/>
  <c r="BD36" i="2"/>
  <c r="AZ6" i="2"/>
  <c r="AZ10" i="2"/>
  <c r="AZ14" i="2"/>
  <c r="AZ18" i="2"/>
  <c r="AZ22" i="2"/>
  <c r="AZ26" i="2"/>
  <c r="AZ30" i="2"/>
  <c r="AZ34" i="2"/>
  <c r="AZ7" i="2"/>
  <c r="AZ11" i="2"/>
  <c r="AZ15" i="2"/>
  <c r="AZ19" i="2"/>
  <c r="AZ23" i="2"/>
  <c r="AZ27" i="2"/>
  <c r="AZ31" i="2"/>
  <c r="AZ35" i="2"/>
  <c r="AZ39" i="2"/>
  <c r="AZ43" i="2"/>
  <c r="AZ47" i="2"/>
  <c r="AZ51" i="2"/>
  <c r="AZ55" i="2"/>
  <c r="AZ59" i="2"/>
  <c r="AZ63" i="2"/>
  <c r="AZ67" i="2"/>
  <c r="AZ71" i="2"/>
  <c r="AZ75" i="2"/>
  <c r="AZ79" i="2"/>
  <c r="AZ83" i="2"/>
  <c r="AZ87" i="2"/>
  <c r="AZ4" i="2"/>
  <c r="AZ8" i="2"/>
  <c r="AZ12" i="2"/>
  <c r="AZ16" i="2"/>
  <c r="AZ20" i="2"/>
  <c r="AZ24" i="2"/>
  <c r="AZ28" i="2"/>
  <c r="AZ32" i="2"/>
  <c r="AZ5" i="2"/>
  <c r="AZ9" i="2"/>
  <c r="AZ13" i="2"/>
  <c r="AZ17" i="2"/>
  <c r="AZ21" i="2"/>
  <c r="AZ25" i="2"/>
  <c r="AZ29" i="2"/>
  <c r="AZ33" i="2"/>
  <c r="AZ37" i="2"/>
  <c r="AZ41" i="2"/>
  <c r="AZ45" i="2"/>
  <c r="AZ49" i="2"/>
  <c r="AZ53" i="2"/>
  <c r="AZ57" i="2"/>
  <c r="AZ61" i="2"/>
  <c r="AZ65" i="2"/>
  <c r="AZ69" i="2"/>
  <c r="AZ73" i="2"/>
  <c r="AZ77" i="2"/>
  <c r="AZ81" i="2"/>
  <c r="AZ85" i="2"/>
  <c r="BH3" i="2"/>
  <c r="BL3" i="2"/>
  <c r="BP3" i="2"/>
  <c r="AZ3" i="2"/>
  <c r="BB251" i="2"/>
  <c r="BB247" i="2"/>
  <c r="BB243" i="2"/>
  <c r="BB239" i="2"/>
  <c r="BD233" i="2"/>
  <c r="AZ233" i="2"/>
  <c r="BA232" i="2"/>
  <c r="BB231" i="2"/>
  <c r="BC230" i="2"/>
  <c r="BD229" i="2"/>
  <c r="AZ229" i="2"/>
  <c r="BA228" i="2"/>
  <c r="BB227" i="2"/>
  <c r="BC226" i="2"/>
  <c r="BD225" i="2"/>
  <c r="AZ225" i="2"/>
  <c r="BA224" i="2"/>
  <c r="BB223" i="2"/>
  <c r="BC222" i="2"/>
  <c r="BD221" i="2"/>
  <c r="AZ221" i="2"/>
  <c r="BA220" i="2"/>
  <c r="BB219" i="2"/>
  <c r="BC218" i="2"/>
  <c r="BD217" i="2"/>
  <c r="AZ217" i="2"/>
  <c r="BA216" i="2"/>
  <c r="BB215" i="2"/>
  <c r="BC214" i="2"/>
  <c r="BD213" i="2"/>
  <c r="AZ213" i="2"/>
  <c r="BA212" i="2"/>
  <c r="BB211" i="2"/>
  <c r="BC210" i="2"/>
  <c r="BD209" i="2"/>
  <c r="AZ209" i="2"/>
  <c r="BA208" i="2"/>
  <c r="BB207" i="2"/>
  <c r="BC206" i="2"/>
  <c r="BD205" i="2"/>
  <c r="AZ205" i="2"/>
  <c r="BA204" i="2"/>
  <c r="BB203" i="2"/>
  <c r="BC202" i="2"/>
  <c r="BD201" i="2"/>
  <c r="AZ201" i="2"/>
  <c r="BA200" i="2"/>
  <c r="BB199" i="2"/>
  <c r="BC198" i="2"/>
  <c r="BD197" i="2"/>
  <c r="AZ197" i="2"/>
  <c r="BA196" i="2"/>
  <c r="BB195" i="2"/>
  <c r="BC194" i="2"/>
  <c r="BD193" i="2"/>
  <c r="AZ193" i="2"/>
  <c r="BA192" i="2"/>
  <c r="BB191" i="2"/>
  <c r="BC190" i="2"/>
  <c r="BD189" i="2"/>
  <c r="AZ189" i="2"/>
  <c r="BA188" i="2"/>
  <c r="BB187" i="2"/>
  <c r="BC186" i="2"/>
  <c r="BD185" i="2"/>
  <c r="AZ185" i="2"/>
  <c r="BA184" i="2"/>
  <c r="BB183" i="2"/>
  <c r="BC182" i="2"/>
  <c r="BD181" i="2"/>
  <c r="AZ181" i="2"/>
  <c r="BA180" i="2"/>
  <c r="BB179" i="2"/>
  <c r="BC178" i="2"/>
  <c r="BD177" i="2"/>
  <c r="AZ177" i="2"/>
  <c r="BA176" i="2"/>
  <c r="BB175" i="2"/>
  <c r="BC174" i="2"/>
  <c r="BD173" i="2"/>
  <c r="AZ173" i="2"/>
  <c r="BA172" i="2"/>
  <c r="BB171" i="2"/>
  <c r="BC170" i="2"/>
  <c r="BD169" i="2"/>
  <c r="AZ169" i="2"/>
  <c r="BA168" i="2"/>
  <c r="BB167" i="2"/>
  <c r="BC166" i="2"/>
  <c r="BD165" i="2"/>
  <c r="AZ165" i="2"/>
  <c r="BA164" i="2"/>
  <c r="BB163" i="2"/>
  <c r="BC162" i="2"/>
  <c r="BD161" i="2"/>
  <c r="AZ161" i="2"/>
  <c r="BA160" i="2"/>
  <c r="BB159" i="2"/>
  <c r="BC158" i="2"/>
  <c r="BD157" i="2"/>
  <c r="AZ157" i="2"/>
  <c r="BA156" i="2"/>
  <c r="BB155" i="2"/>
  <c r="BC154" i="2"/>
  <c r="BD153" i="2"/>
  <c r="AZ153" i="2"/>
  <c r="BA152" i="2"/>
  <c r="BB151" i="2"/>
  <c r="BC150" i="2"/>
  <c r="BD149" i="2"/>
  <c r="AZ149" i="2"/>
  <c r="BA148" i="2"/>
  <c r="BB147" i="2"/>
  <c r="BC146" i="2"/>
  <c r="BD145" i="2"/>
  <c r="AZ145" i="2"/>
  <c r="BA144" i="2"/>
  <c r="BB143" i="2"/>
  <c r="BC142" i="2"/>
  <c r="BD141" i="2"/>
  <c r="AZ141" i="2"/>
  <c r="BA140" i="2"/>
  <c r="BB139" i="2"/>
  <c r="BC138" i="2"/>
  <c r="BD137" i="2"/>
  <c r="AZ137" i="2"/>
  <c r="BA136" i="2"/>
  <c r="BB135" i="2"/>
  <c r="BC134" i="2"/>
  <c r="BD133" i="2"/>
  <c r="AZ133" i="2"/>
  <c r="BA132" i="2"/>
  <c r="BB131" i="2"/>
  <c r="BC130" i="2"/>
  <c r="BD129" i="2"/>
  <c r="AZ129" i="2"/>
  <c r="BA128" i="2"/>
  <c r="BB127" i="2"/>
  <c r="BC126" i="2"/>
  <c r="BD125" i="2"/>
  <c r="AZ125" i="2"/>
  <c r="BA124" i="2"/>
  <c r="BB123" i="2"/>
  <c r="BC122" i="2"/>
  <c r="BD121" i="2"/>
  <c r="AZ121" i="2"/>
  <c r="BA120" i="2"/>
  <c r="BB119" i="2"/>
  <c r="BC118" i="2"/>
  <c r="BD117" i="2"/>
  <c r="AZ117" i="2"/>
  <c r="BA116" i="2"/>
  <c r="BB115" i="2"/>
  <c r="BC114" i="2"/>
  <c r="BD113" i="2"/>
  <c r="AZ113" i="2"/>
  <c r="BA112" i="2"/>
  <c r="BB111" i="2"/>
  <c r="BC110" i="2"/>
  <c r="BD109" i="2"/>
  <c r="AZ109" i="2"/>
  <c r="BA108" i="2"/>
  <c r="BB107" i="2"/>
  <c r="BC106" i="2"/>
  <c r="BD105" i="2"/>
  <c r="AZ105" i="2"/>
  <c r="BA104" i="2"/>
  <c r="BB103" i="2"/>
  <c r="BC102" i="2"/>
  <c r="BD101" i="2"/>
  <c r="AZ101" i="2"/>
  <c r="BA100" i="2"/>
  <c r="BB99" i="2"/>
  <c r="BC98" i="2"/>
  <c r="BD97" i="2"/>
  <c r="AZ97" i="2"/>
  <c r="BA96" i="2"/>
  <c r="BB95" i="2"/>
  <c r="BC94" i="2"/>
  <c r="BD93" i="2"/>
  <c r="AZ93" i="2"/>
  <c r="BA92" i="2"/>
  <c r="BB91" i="2"/>
  <c r="BC90" i="2"/>
  <c r="BD89" i="2"/>
  <c r="AZ89" i="2"/>
  <c r="BC87" i="2"/>
  <c r="AZ86" i="2"/>
  <c r="BB84" i="2"/>
  <c r="BD82" i="2"/>
  <c r="BA81" i="2"/>
  <c r="BC79" i="2"/>
  <c r="AZ78" i="2"/>
  <c r="BB76" i="2"/>
  <c r="BD74" i="2"/>
  <c r="BA73" i="2"/>
  <c r="BC71" i="2"/>
  <c r="AZ70" i="2"/>
  <c r="BB68" i="2"/>
  <c r="BD66" i="2"/>
  <c r="BA65" i="2"/>
  <c r="BC63" i="2"/>
  <c r="AZ62" i="2"/>
  <c r="BB60" i="2"/>
  <c r="BD58" i="2"/>
  <c r="BA57" i="2"/>
  <c r="BC55" i="2"/>
  <c r="AZ54" i="2"/>
  <c r="BB52" i="2"/>
  <c r="BD50" i="2"/>
  <c r="BA49" i="2"/>
  <c r="BC47" i="2"/>
  <c r="AZ46" i="2"/>
  <c r="BB44" i="2"/>
  <c r="BD42" i="2"/>
  <c r="BA41" i="2"/>
  <c r="BC39" i="2"/>
  <c r="AZ38" i="2"/>
  <c r="AZ36" i="2"/>
  <c r="J2" i="13"/>
  <c r="C4" i="24" l="1"/>
  <c r="C8" i="24"/>
  <c r="F3" i="7" l="1"/>
  <c r="F4" i="7"/>
  <c r="F5" i="7"/>
  <c r="F6" i="7"/>
  <c r="F2" i="7"/>
  <c r="A12" i="33"/>
  <c r="J12" i="43" s="1"/>
  <c r="A13" i="33"/>
  <c r="D22" i="42" s="1"/>
  <c r="D27" i="42" s="1"/>
  <c r="A14" i="33"/>
  <c r="J14" i="43" s="1"/>
  <c r="A15" i="33"/>
  <c r="J15" i="43" s="1"/>
  <c r="A11" i="33"/>
  <c r="J11" i="43" s="1"/>
  <c r="C2" i="43"/>
  <c r="D2" i="43"/>
  <c r="A7" i="43"/>
  <c r="D7" i="43" s="1"/>
  <c r="A4" i="43"/>
  <c r="C4" i="43" s="1"/>
  <c r="A5" i="43"/>
  <c r="C5" i="43" s="1"/>
  <c r="A6" i="43"/>
  <c r="D6" i="43" s="1"/>
  <c r="A3" i="43"/>
  <c r="C3" i="43" s="1"/>
  <c r="P12" i="33"/>
  <c r="P13" i="33"/>
  <c r="P14" i="33"/>
  <c r="P15" i="33"/>
  <c r="P11" i="33"/>
  <c r="O12" i="33"/>
  <c r="O13" i="33"/>
  <c r="O14" i="33"/>
  <c r="O15" i="33"/>
  <c r="O11" i="33"/>
  <c r="B26" i="42"/>
  <c r="A26" i="42" s="1"/>
  <c r="B27" i="42"/>
  <c r="A27" i="42" s="1"/>
  <c r="B28" i="42"/>
  <c r="A28" i="42" s="1"/>
  <c r="B29" i="42"/>
  <c r="A29" i="42" s="1"/>
  <c r="B25" i="42"/>
  <c r="A25" i="42" s="1"/>
  <c r="B21" i="42"/>
  <c r="A21" i="42" s="1"/>
  <c r="B22" i="42"/>
  <c r="A22" i="42" s="1"/>
  <c r="B23" i="42"/>
  <c r="A23" i="42" s="1"/>
  <c r="B24" i="42"/>
  <c r="A24" i="42" s="1"/>
  <c r="B20" i="42"/>
  <c r="A20" i="42" s="1"/>
  <c r="W15" i="33"/>
  <c r="W14" i="33"/>
  <c r="W13" i="33"/>
  <c r="W12" i="33"/>
  <c r="W11" i="33"/>
  <c r="U13" i="36"/>
  <c r="U14" i="36"/>
  <c r="U15" i="36"/>
  <c r="U16" i="36"/>
  <c r="U12" i="36"/>
  <c r="S13" i="36"/>
  <c r="S14" i="36"/>
  <c r="S15" i="36"/>
  <c r="S16" i="36"/>
  <c r="S12" i="36"/>
  <c r="Q13" i="36"/>
  <c r="Q14" i="36"/>
  <c r="Q15" i="36"/>
  <c r="Q16" i="36"/>
  <c r="Q12" i="36"/>
  <c r="J13" i="36"/>
  <c r="L13" i="36"/>
  <c r="R13" i="36" s="1"/>
  <c r="M13" i="36"/>
  <c r="O13" i="36" s="1"/>
  <c r="V13" i="36" s="1"/>
  <c r="J14" i="36"/>
  <c r="L14" i="36"/>
  <c r="R14" i="36" s="1"/>
  <c r="M14" i="36"/>
  <c r="O14" i="36" s="1"/>
  <c r="V14" i="36" s="1"/>
  <c r="J15" i="36"/>
  <c r="L15" i="36"/>
  <c r="R15" i="36" s="1"/>
  <c r="M15" i="36"/>
  <c r="O15" i="36" s="1"/>
  <c r="V15" i="36" s="1"/>
  <c r="J16" i="36"/>
  <c r="L16" i="36"/>
  <c r="R16" i="36" s="1"/>
  <c r="M16" i="36"/>
  <c r="O16" i="36" s="1"/>
  <c r="T16" i="36" s="1"/>
  <c r="M12" i="36"/>
  <c r="O12" i="36" s="1"/>
  <c r="T12" i="36" s="1"/>
  <c r="L12" i="36"/>
  <c r="R12" i="36" s="1"/>
  <c r="J12" i="36"/>
  <c r="S12" i="33"/>
  <c r="T12" i="33" s="1"/>
  <c r="S13" i="33"/>
  <c r="T13" i="33" s="1"/>
  <c r="S14" i="33"/>
  <c r="T14" i="33" s="1"/>
  <c r="S15" i="33"/>
  <c r="T15" i="33" s="1"/>
  <c r="S11" i="33"/>
  <c r="T11" i="33" s="1"/>
  <c r="R12" i="33"/>
  <c r="R13" i="33"/>
  <c r="R14" i="33"/>
  <c r="R15" i="33"/>
  <c r="R11" i="33"/>
  <c r="C12" i="33"/>
  <c r="C13" i="33"/>
  <c r="C14" i="33"/>
  <c r="C15" i="33"/>
  <c r="E12" i="33"/>
  <c r="D12" i="33" s="1"/>
  <c r="F12" i="33"/>
  <c r="G12" i="33"/>
  <c r="K12" i="33"/>
  <c r="L12" i="33"/>
  <c r="M12" i="33"/>
  <c r="N12" i="33"/>
  <c r="E13" i="33"/>
  <c r="D13" i="33" s="1"/>
  <c r="F13" i="33"/>
  <c r="G13" i="33"/>
  <c r="K13" i="33"/>
  <c r="L13" i="33"/>
  <c r="M13" i="33"/>
  <c r="N13" i="33"/>
  <c r="E14" i="33"/>
  <c r="D14" i="33" s="1"/>
  <c r="F14" i="33"/>
  <c r="G14" i="33"/>
  <c r="K14" i="33"/>
  <c r="L14" i="33"/>
  <c r="M14" i="33"/>
  <c r="N14" i="33"/>
  <c r="E15" i="33"/>
  <c r="D15" i="33" s="1"/>
  <c r="F15" i="33"/>
  <c r="G15" i="33"/>
  <c r="K15" i="33"/>
  <c r="L15" i="33"/>
  <c r="M15" i="33"/>
  <c r="N15" i="33"/>
  <c r="N11" i="33"/>
  <c r="M11" i="33"/>
  <c r="L11" i="33"/>
  <c r="K11" i="33"/>
  <c r="F11" i="33"/>
  <c r="G11" i="33"/>
  <c r="E11" i="33"/>
  <c r="D11" i="33" s="1"/>
  <c r="C11" i="33"/>
  <c r="A3" i="33"/>
  <c r="A4" i="33"/>
  <c r="A5" i="33"/>
  <c r="A6" i="33"/>
  <c r="A7" i="33"/>
  <c r="A8" i="33"/>
  <c r="A9" i="33"/>
  <c r="A10" i="33"/>
  <c r="A2" i="33"/>
  <c r="D2" i="13"/>
  <c r="A2" i="13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A3" i="7"/>
  <c r="A4" i="7"/>
  <c r="A5" i="7"/>
  <c r="A6" i="7"/>
  <c r="A2" i="7"/>
  <c r="C6" i="43" l="1"/>
  <c r="D21" i="42"/>
  <c r="D26" i="42" s="1"/>
  <c r="J13" i="43"/>
  <c r="D5" i="43"/>
  <c r="C7" i="43"/>
  <c r="T15" i="36"/>
  <c r="X15" i="36" s="1"/>
  <c r="U14" i="33" s="1"/>
  <c r="D20" i="42"/>
  <c r="D25" i="42" s="1"/>
  <c r="D23" i="42"/>
  <c r="D28" i="42" s="1"/>
  <c r="D4" i="43"/>
  <c r="D3" i="43"/>
  <c r="D24" i="42"/>
  <c r="D29" i="42" s="1"/>
  <c r="T14" i="36"/>
  <c r="X14" i="36" s="1"/>
  <c r="U13" i="33" s="1"/>
  <c r="V16" i="36"/>
  <c r="X16" i="36" s="1"/>
  <c r="U15" i="33" s="1"/>
  <c r="T13" i="36"/>
  <c r="X13" i="36" s="1"/>
  <c r="U12" i="33" s="1"/>
  <c r="V12" i="36"/>
  <c r="X12" i="36" s="1"/>
  <c r="U11" i="33" s="1"/>
  <c r="A9" i="26"/>
  <c r="C9" i="26"/>
  <c r="K9" i="26"/>
  <c r="L9" i="26"/>
  <c r="M9" i="26"/>
  <c r="N9" i="26"/>
  <c r="S9" i="26"/>
  <c r="T9" i="26"/>
  <c r="U9" i="26"/>
  <c r="E29" i="45" l="1"/>
  <c r="C29" i="45" s="1"/>
  <c r="E26" i="45"/>
  <c r="C26" i="45" s="1"/>
  <c r="E20" i="45"/>
  <c r="C20" i="45" s="1"/>
  <c r="E14" i="45"/>
  <c r="C14" i="45" s="1"/>
  <c r="E8" i="45"/>
  <c r="C8" i="45" s="1"/>
  <c r="E4" i="45"/>
  <c r="C4" i="45" s="1"/>
  <c r="E23" i="45"/>
  <c r="C23" i="45" s="1"/>
  <c r="E17" i="45"/>
  <c r="C17" i="45" s="1"/>
  <c r="E11" i="45"/>
  <c r="C11" i="45" s="1"/>
  <c r="E3" i="45"/>
  <c r="C3" i="45" s="1"/>
  <c r="E9" i="45"/>
  <c r="C9" i="45" s="1"/>
  <c r="E28" i="45"/>
  <c r="C28" i="45" s="1"/>
  <c r="E7" i="45"/>
  <c r="C7" i="45" s="1"/>
  <c r="E5" i="45"/>
  <c r="C5" i="45" s="1"/>
  <c r="E31" i="45"/>
  <c r="C31" i="45" s="1"/>
  <c r="E25" i="45"/>
  <c r="C25" i="45" s="1"/>
  <c r="E22" i="45"/>
  <c r="C22" i="45" s="1"/>
  <c r="E19" i="45"/>
  <c r="C19" i="45" s="1"/>
  <c r="E16" i="45"/>
  <c r="C16" i="45" s="1"/>
  <c r="E13" i="45"/>
  <c r="C13" i="45" s="1"/>
  <c r="E10" i="45"/>
  <c r="C10" i="45" s="1"/>
  <c r="E6" i="45"/>
  <c r="C6" i="45" s="1"/>
  <c r="E2" i="45"/>
  <c r="C2" i="45" s="1"/>
  <c r="E30" i="45"/>
  <c r="C30" i="45" s="1"/>
  <c r="E27" i="45"/>
  <c r="C27" i="45" s="1"/>
  <c r="E24" i="45"/>
  <c r="C24" i="45" s="1"/>
  <c r="E21" i="45"/>
  <c r="C21" i="45" s="1"/>
  <c r="E18" i="45"/>
  <c r="C18" i="45" s="1"/>
  <c r="E15" i="45"/>
  <c r="C15" i="45" s="1"/>
  <c r="E12" i="45"/>
  <c r="C12" i="45" s="1"/>
  <c r="E8" i="44"/>
  <c r="C8" i="44" s="1"/>
  <c r="E6" i="44"/>
  <c r="C6" i="44" s="1"/>
  <c r="E9" i="44"/>
  <c r="C9" i="44" s="1"/>
  <c r="E5" i="44"/>
  <c r="C5" i="44" s="1"/>
  <c r="E7" i="44"/>
  <c r="C7" i="44" s="1"/>
  <c r="E4" i="44"/>
  <c r="C4" i="44" s="1"/>
  <c r="E3" i="44"/>
  <c r="C3" i="44" s="1"/>
  <c r="E2" i="44"/>
  <c r="C2" i="44" s="1"/>
  <c r="B41" i="1"/>
  <c r="B40" i="1"/>
  <c r="G3" i="33"/>
  <c r="G4" i="33"/>
  <c r="G5" i="33"/>
  <c r="G6" i="33"/>
  <c r="G7" i="33"/>
  <c r="G8" i="33"/>
  <c r="G9" i="33"/>
  <c r="G10" i="33"/>
  <c r="G2" i="33"/>
  <c r="S3" i="33"/>
  <c r="S4" i="33"/>
  <c r="S5" i="33"/>
  <c r="S6" i="33"/>
  <c r="S7" i="33"/>
  <c r="S8" i="33"/>
  <c r="S9" i="33"/>
  <c r="S10" i="33"/>
  <c r="S2" i="33"/>
  <c r="J3" i="43"/>
  <c r="K3" i="43" s="1" a="1"/>
  <c r="K3" i="43" s="1"/>
  <c r="J4" i="43"/>
  <c r="K4" i="43" s="1" a="1"/>
  <c r="K4" i="43" s="1"/>
  <c r="J5" i="43"/>
  <c r="K5" i="43" s="1" a="1"/>
  <c r="K5" i="43" s="1"/>
  <c r="J6" i="43"/>
  <c r="K6" i="43" s="1" a="1"/>
  <c r="K6" i="43" s="1"/>
  <c r="J7" i="43"/>
  <c r="K7" i="43" s="1" a="1"/>
  <c r="K7" i="43" s="1"/>
  <c r="J8" i="43"/>
  <c r="K8" i="43" s="1" a="1"/>
  <c r="K8" i="43" s="1"/>
  <c r="J9" i="43"/>
  <c r="K9" i="43" s="1" a="1"/>
  <c r="K9" i="43" s="1"/>
  <c r="J10" i="43"/>
  <c r="K10" i="43" s="1" a="1"/>
  <c r="K10" i="43" s="1"/>
  <c r="J2" i="43"/>
  <c r="K2" i="43" s="1" a="1"/>
  <c r="K2" i="43" s="1"/>
  <c r="P3" i="33" l="1"/>
  <c r="O41" i="1"/>
  <c r="P2" i="33"/>
  <c r="O40" i="1"/>
  <c r="K2" i="33"/>
  <c r="O2" i="33"/>
  <c r="F3" i="33"/>
  <c r="O3" i="33"/>
  <c r="N2" i="33"/>
  <c r="N3" i="33"/>
  <c r="M2" i="33"/>
  <c r="M3" i="33"/>
  <c r="L2" i="33"/>
  <c r="L3" i="33"/>
  <c r="K3" i="33"/>
  <c r="Q4" i="36" l="1"/>
  <c r="U4" i="36"/>
  <c r="Q5" i="36"/>
  <c r="U5" i="36"/>
  <c r="B48" i="1" l="1"/>
  <c r="B47" i="1"/>
  <c r="B46" i="1"/>
  <c r="B45" i="1"/>
  <c r="B44" i="1"/>
  <c r="B43" i="1"/>
  <c r="B42" i="1"/>
  <c r="F2" i="33"/>
  <c r="P10" i="33" l="1"/>
  <c r="O48" i="1"/>
  <c r="P9" i="33"/>
  <c r="O47" i="1"/>
  <c r="P8" i="33"/>
  <c r="O46" i="1"/>
  <c r="P7" i="33"/>
  <c r="O45" i="1"/>
  <c r="P6" i="33"/>
  <c r="O44" i="1"/>
  <c r="P5" i="33"/>
  <c r="O43" i="1"/>
  <c r="P4" i="33"/>
  <c r="O42" i="1"/>
  <c r="O8" i="33"/>
  <c r="O9" i="33"/>
  <c r="O7" i="33"/>
  <c r="O4" i="33"/>
  <c r="O5" i="33"/>
  <c r="O6" i="33"/>
  <c r="O10" i="33"/>
  <c r="F4" i="33"/>
  <c r="N4" i="33"/>
  <c r="K4" i="33"/>
  <c r="L4" i="33"/>
  <c r="M4" i="33"/>
  <c r="N8" i="33"/>
  <c r="K8" i="33"/>
  <c r="F8" i="33"/>
  <c r="L8" i="33"/>
  <c r="M8" i="33"/>
  <c r="M5" i="33"/>
  <c r="N5" i="33"/>
  <c r="K5" i="33"/>
  <c r="F5" i="33"/>
  <c r="L5" i="33"/>
  <c r="M9" i="33"/>
  <c r="N9" i="33"/>
  <c r="K9" i="33"/>
  <c r="F9" i="33"/>
  <c r="L9" i="33"/>
  <c r="K7" i="33"/>
  <c r="F7" i="33"/>
  <c r="L7" i="33"/>
  <c r="M7" i="33"/>
  <c r="N7" i="33"/>
  <c r="L6" i="33"/>
  <c r="M6" i="33"/>
  <c r="N6" i="33"/>
  <c r="K6" i="33"/>
  <c r="F6" i="33"/>
  <c r="L10" i="33"/>
  <c r="M10" i="33"/>
  <c r="N10" i="33"/>
  <c r="K10" i="33"/>
  <c r="F10" i="33"/>
  <c r="S5" i="36"/>
  <c r="S4" i="36"/>
  <c r="O39" i="1" l="1"/>
  <c r="D3" i="42"/>
  <c r="D12" i="42" s="1"/>
  <c r="D4" i="42"/>
  <c r="D13" i="42" s="1"/>
  <c r="D5" i="42"/>
  <c r="D14" i="42" s="1"/>
  <c r="D6" i="42"/>
  <c r="D15" i="42" s="1"/>
  <c r="D7" i="42"/>
  <c r="D16" i="42" s="1"/>
  <c r="D8" i="42"/>
  <c r="D17" i="42" s="1"/>
  <c r="D9" i="42"/>
  <c r="D18" i="42" s="1"/>
  <c r="D10" i="42"/>
  <c r="D19" i="42" s="1"/>
  <c r="D2" i="42"/>
  <c r="D11" i="42" s="1"/>
  <c r="B12" i="42"/>
  <c r="A12" i="42" s="1"/>
  <c r="B13" i="42"/>
  <c r="A13" i="42" s="1"/>
  <c r="B14" i="42"/>
  <c r="A14" i="42" s="1"/>
  <c r="B15" i="42"/>
  <c r="A15" i="42" s="1"/>
  <c r="B16" i="42"/>
  <c r="A16" i="42" s="1"/>
  <c r="B17" i="42"/>
  <c r="A17" i="42" s="1"/>
  <c r="B18" i="42"/>
  <c r="A18" i="42" s="1"/>
  <c r="B19" i="42"/>
  <c r="A19" i="42" s="1"/>
  <c r="B11" i="42"/>
  <c r="A11" i="42" s="1"/>
  <c r="B3" i="42"/>
  <c r="A3" i="42" s="1"/>
  <c r="B4" i="42"/>
  <c r="A4" i="42" s="1"/>
  <c r="B5" i="42"/>
  <c r="A5" i="42" s="1"/>
  <c r="B6" i="42"/>
  <c r="A6" i="42" s="1"/>
  <c r="B7" i="42"/>
  <c r="A7" i="42" s="1"/>
  <c r="B8" i="42"/>
  <c r="A8" i="42" s="1"/>
  <c r="B9" i="42"/>
  <c r="A9" i="42" s="1"/>
  <c r="B10" i="42"/>
  <c r="A10" i="42" s="1"/>
  <c r="B2" i="42"/>
  <c r="A2" i="42" s="1"/>
  <c r="S11" i="36"/>
  <c r="S10" i="36"/>
  <c r="S9" i="36"/>
  <c r="S8" i="36"/>
  <c r="S7" i="36"/>
  <c r="N6" i="36"/>
  <c r="P6" i="36" s="1"/>
  <c r="N5" i="36"/>
  <c r="P5" i="36" s="1"/>
  <c r="N3" i="36"/>
  <c r="P3" i="36" s="1"/>
  <c r="J3" i="36"/>
  <c r="Q6" i="36"/>
  <c r="Q7" i="36"/>
  <c r="Q8" i="36"/>
  <c r="Q9" i="36"/>
  <c r="Q10" i="36"/>
  <c r="Q11" i="36"/>
  <c r="U6" i="36"/>
  <c r="U7" i="36"/>
  <c r="U8" i="36"/>
  <c r="U9" i="36"/>
  <c r="U10" i="36"/>
  <c r="U11" i="36"/>
  <c r="U3" i="36"/>
  <c r="Q3" i="36"/>
  <c r="N7" i="36" l="1"/>
  <c r="P7" i="36" s="1"/>
  <c r="S6" i="36"/>
  <c r="N10" i="36"/>
  <c r="P10" i="36" s="1"/>
  <c r="N11" i="36"/>
  <c r="P11" i="36" s="1"/>
  <c r="N4" i="36"/>
  <c r="P4" i="36" s="1"/>
  <c r="N8" i="36"/>
  <c r="P8" i="36" s="1"/>
  <c r="N9" i="36"/>
  <c r="P9" i="36" s="1"/>
  <c r="S3" i="36"/>
  <c r="W3" i="33" l="1"/>
  <c r="W4" i="33"/>
  <c r="W5" i="33"/>
  <c r="W6" i="33"/>
  <c r="W7" i="33"/>
  <c r="W8" i="33"/>
  <c r="W9" i="33"/>
  <c r="W10" i="33"/>
  <c r="W2" i="33"/>
  <c r="R3" i="33"/>
  <c r="R4" i="33"/>
  <c r="R5" i="33"/>
  <c r="R6" i="33"/>
  <c r="R7" i="33"/>
  <c r="R8" i="33"/>
  <c r="R9" i="33"/>
  <c r="R10" i="33"/>
  <c r="R2" i="33"/>
  <c r="T3" i="33"/>
  <c r="T4" i="33"/>
  <c r="T6" i="33"/>
  <c r="T7" i="33"/>
  <c r="T8" i="33"/>
  <c r="T9" i="33"/>
  <c r="T10" i="33"/>
  <c r="T2" i="33"/>
  <c r="K11" i="36"/>
  <c r="K10" i="36"/>
  <c r="K9" i="36"/>
  <c r="K8" i="36"/>
  <c r="K7" i="36"/>
  <c r="K6" i="36"/>
  <c r="K5" i="36"/>
  <c r="K4" i="36"/>
  <c r="K3" i="36"/>
  <c r="M11" i="36"/>
  <c r="O11" i="36" s="1"/>
  <c r="L11" i="36"/>
  <c r="M10" i="36"/>
  <c r="O10" i="36" s="1"/>
  <c r="L10" i="36"/>
  <c r="M9" i="36"/>
  <c r="O9" i="36" s="1"/>
  <c r="L9" i="36"/>
  <c r="M8" i="36"/>
  <c r="O8" i="36" s="1"/>
  <c r="L8" i="36"/>
  <c r="M7" i="36"/>
  <c r="O7" i="36" s="1"/>
  <c r="L7" i="36"/>
  <c r="M6" i="36"/>
  <c r="O6" i="36" s="1"/>
  <c r="L6" i="36"/>
  <c r="M5" i="36"/>
  <c r="O5" i="36" s="1"/>
  <c r="L5" i="36"/>
  <c r="M4" i="36"/>
  <c r="O4" i="36" s="1"/>
  <c r="L4" i="36"/>
  <c r="L3" i="36"/>
  <c r="M3" i="36"/>
  <c r="Z7" i="3"/>
  <c r="Z6" i="3"/>
  <c r="Z5" i="3"/>
  <c r="Z4" i="3"/>
  <c r="W21" i="3"/>
  <c r="V21" i="3"/>
  <c r="U21" i="3"/>
  <c r="T21" i="3"/>
  <c r="S21" i="3"/>
  <c r="R21" i="3"/>
  <c r="W20" i="3"/>
  <c r="V20" i="3"/>
  <c r="U20" i="3"/>
  <c r="T20" i="3"/>
  <c r="S20" i="3"/>
  <c r="R20" i="3"/>
  <c r="W19" i="3"/>
  <c r="V19" i="3"/>
  <c r="U19" i="3"/>
  <c r="T19" i="3"/>
  <c r="S19" i="3"/>
  <c r="R19" i="3"/>
  <c r="W18" i="3"/>
  <c r="V18" i="3"/>
  <c r="U18" i="3"/>
  <c r="T18" i="3"/>
  <c r="S18" i="3"/>
  <c r="R18" i="3"/>
  <c r="W14" i="3"/>
  <c r="V14" i="3"/>
  <c r="U14" i="3"/>
  <c r="T14" i="3"/>
  <c r="S14" i="3"/>
  <c r="R14" i="3"/>
  <c r="W13" i="3"/>
  <c r="V13" i="3"/>
  <c r="U13" i="3"/>
  <c r="T13" i="3"/>
  <c r="S13" i="3"/>
  <c r="R13" i="3"/>
  <c r="W12" i="3"/>
  <c r="V12" i="3"/>
  <c r="U12" i="3"/>
  <c r="T12" i="3"/>
  <c r="S12" i="3"/>
  <c r="R12" i="3"/>
  <c r="W11" i="3"/>
  <c r="V11" i="3"/>
  <c r="U11" i="3"/>
  <c r="T11" i="3"/>
  <c r="S11" i="3"/>
  <c r="R11" i="3"/>
  <c r="O21" i="3"/>
  <c r="N21" i="3"/>
  <c r="M21" i="3"/>
  <c r="L21" i="3"/>
  <c r="K21" i="3"/>
  <c r="J21" i="3"/>
  <c r="O20" i="3"/>
  <c r="N20" i="3"/>
  <c r="M20" i="3"/>
  <c r="L20" i="3"/>
  <c r="K20" i="3"/>
  <c r="J20" i="3"/>
  <c r="O19" i="3"/>
  <c r="N19" i="3"/>
  <c r="M19" i="3"/>
  <c r="L19" i="3"/>
  <c r="K19" i="3"/>
  <c r="J19" i="3"/>
  <c r="O18" i="3"/>
  <c r="N18" i="3"/>
  <c r="M18" i="3"/>
  <c r="L18" i="3"/>
  <c r="K18" i="3"/>
  <c r="J18" i="3"/>
  <c r="O14" i="3"/>
  <c r="N14" i="3"/>
  <c r="M14" i="3"/>
  <c r="L14" i="3"/>
  <c r="K14" i="3"/>
  <c r="J14" i="3"/>
  <c r="O13" i="3"/>
  <c r="N13" i="3"/>
  <c r="M13" i="3"/>
  <c r="L13" i="3"/>
  <c r="K13" i="3"/>
  <c r="J13" i="3"/>
  <c r="O12" i="3"/>
  <c r="N12" i="3"/>
  <c r="M12" i="3"/>
  <c r="L12" i="3"/>
  <c r="K12" i="3"/>
  <c r="J12" i="3"/>
  <c r="O11" i="3"/>
  <c r="N11" i="3"/>
  <c r="M11" i="3"/>
  <c r="L11" i="3"/>
  <c r="K11" i="3"/>
  <c r="J11" i="3"/>
  <c r="O7" i="3"/>
  <c r="W7" i="3" s="1"/>
  <c r="N7" i="3"/>
  <c r="V7" i="3" s="1"/>
  <c r="M7" i="3"/>
  <c r="U7" i="3" s="1"/>
  <c r="L7" i="3"/>
  <c r="T7" i="3" s="1"/>
  <c r="K7" i="3"/>
  <c r="S7" i="3" s="1"/>
  <c r="J7" i="3"/>
  <c r="R7" i="3" s="1"/>
  <c r="O6" i="3"/>
  <c r="W6" i="3" s="1"/>
  <c r="N6" i="3"/>
  <c r="V6" i="3" s="1"/>
  <c r="M6" i="3"/>
  <c r="U6" i="3" s="1"/>
  <c r="L6" i="3"/>
  <c r="T6" i="3" s="1"/>
  <c r="K6" i="3"/>
  <c r="S6" i="3" s="1"/>
  <c r="J6" i="3"/>
  <c r="R6" i="3" s="1"/>
  <c r="O5" i="3"/>
  <c r="W5" i="3" s="1"/>
  <c r="N5" i="3"/>
  <c r="V5" i="3" s="1"/>
  <c r="M5" i="3"/>
  <c r="U5" i="3" s="1"/>
  <c r="L5" i="3"/>
  <c r="T5" i="3" s="1"/>
  <c r="K5" i="3"/>
  <c r="S5" i="3" s="1"/>
  <c r="J5" i="3"/>
  <c r="R5" i="3" s="1"/>
  <c r="O4" i="3"/>
  <c r="W4" i="3" s="1"/>
  <c r="N4" i="3"/>
  <c r="V4" i="3" s="1"/>
  <c r="M4" i="3"/>
  <c r="U4" i="3" s="1"/>
  <c r="L4" i="3"/>
  <c r="T4" i="3" s="1"/>
  <c r="K4" i="3"/>
  <c r="S4" i="3" s="1"/>
  <c r="J4" i="3"/>
  <c r="R4" i="3" s="1"/>
  <c r="J11" i="36"/>
  <c r="J10" i="36"/>
  <c r="J9" i="36"/>
  <c r="J8" i="36"/>
  <c r="J7" i="36"/>
  <c r="J6" i="36"/>
  <c r="J5" i="36"/>
  <c r="J4" i="36"/>
  <c r="I4" i="36"/>
  <c r="I5" i="36" s="1"/>
  <c r="I6" i="36" s="1"/>
  <c r="I7" i="36" s="1"/>
  <c r="I8" i="36" s="1"/>
  <c r="I9" i="36" s="1"/>
  <c r="I10" i="36" s="1"/>
  <c r="I11" i="36" s="1"/>
  <c r="I3" i="33"/>
  <c r="J3" i="33" s="1"/>
  <c r="I4" i="33"/>
  <c r="J4" i="33" s="1"/>
  <c r="I5" i="33"/>
  <c r="J5" i="33" s="1"/>
  <c r="I6" i="33"/>
  <c r="J6" i="33" s="1"/>
  <c r="I7" i="33"/>
  <c r="J7" i="33" s="1"/>
  <c r="I8" i="33"/>
  <c r="J8" i="33" s="1"/>
  <c r="I9" i="33"/>
  <c r="J9" i="33" s="1"/>
  <c r="I10" i="33"/>
  <c r="J10" i="33" s="1"/>
  <c r="I2" i="33"/>
  <c r="J2" i="33" s="1"/>
  <c r="O4" i="5"/>
  <c r="O5" i="5" s="1"/>
  <c r="O6" i="5" s="1"/>
  <c r="O7" i="5" s="1"/>
  <c r="O8" i="5" s="1"/>
  <c r="O9" i="5" s="1"/>
  <c r="O10" i="5" s="1"/>
  <c r="O11" i="5" s="1"/>
  <c r="O12" i="5" s="1"/>
  <c r="O13" i="5" s="1"/>
  <c r="O14" i="5" s="1"/>
  <c r="O15" i="5" s="1"/>
  <c r="O16" i="5" s="1"/>
  <c r="O17" i="5" s="1"/>
  <c r="O18" i="5" s="1"/>
  <c r="O19" i="5" s="1"/>
  <c r="O20" i="5" s="1"/>
  <c r="O21" i="5" s="1"/>
  <c r="O22" i="5" s="1"/>
  <c r="O23" i="5" s="1"/>
  <c r="O24" i="5" s="1"/>
  <c r="O25" i="5" s="1"/>
  <c r="O26" i="5" s="1"/>
  <c r="O27" i="5" s="1"/>
  <c r="O28" i="5" s="1"/>
  <c r="O29" i="5" s="1"/>
  <c r="O30" i="5" s="1"/>
  <c r="O31" i="5" s="1"/>
  <c r="O32" i="5" s="1"/>
  <c r="O33" i="5" s="1"/>
  <c r="O34" i="5" s="1"/>
  <c r="O35" i="5" s="1"/>
  <c r="O36" i="5" s="1"/>
  <c r="O37" i="5" s="1"/>
  <c r="O38" i="5" s="1"/>
  <c r="O39" i="5" s="1"/>
  <c r="O40" i="5" s="1"/>
  <c r="O41" i="5" s="1"/>
  <c r="O42" i="5" s="1"/>
  <c r="O43" i="5" s="1"/>
  <c r="O44" i="5" s="1"/>
  <c r="O45" i="5" s="1"/>
  <c r="O46" i="5" s="1"/>
  <c r="O47" i="5" s="1"/>
  <c r="O48" i="5" s="1"/>
  <c r="O49" i="5" s="1"/>
  <c r="O50" i="5" s="1"/>
  <c r="O51" i="5" s="1"/>
  <c r="O52" i="5" s="1"/>
  <c r="O53" i="5" s="1"/>
  <c r="O54" i="5" s="1"/>
  <c r="O55" i="5" s="1"/>
  <c r="O56" i="5" s="1"/>
  <c r="O57" i="5" s="1"/>
  <c r="O58" i="5" s="1"/>
  <c r="O59" i="5" s="1"/>
  <c r="O60" i="5" s="1"/>
  <c r="O61" i="5" s="1"/>
  <c r="O62" i="5" s="1"/>
  <c r="O63" i="5" s="1"/>
  <c r="O64" i="5" s="1"/>
  <c r="O65" i="5" s="1"/>
  <c r="O66" i="5" s="1"/>
  <c r="O67" i="5" s="1"/>
  <c r="O68" i="5" s="1"/>
  <c r="O69" i="5" s="1"/>
  <c r="O70" i="5" s="1"/>
  <c r="O71" i="5" s="1"/>
  <c r="O72" i="5" s="1"/>
  <c r="O73" i="5" s="1"/>
  <c r="O74" i="5" s="1"/>
  <c r="O75" i="5" s="1"/>
  <c r="O76" i="5" s="1"/>
  <c r="O77" i="5" s="1"/>
  <c r="O78" i="5" s="1"/>
  <c r="O79" i="5" s="1"/>
  <c r="O80" i="5" s="1"/>
  <c r="O81" i="5" s="1"/>
  <c r="O82" i="5" s="1"/>
  <c r="O83" i="5" s="1"/>
  <c r="O84" i="5" s="1"/>
  <c r="O85" i="5" s="1"/>
  <c r="O86" i="5" s="1"/>
  <c r="O87" i="5" s="1"/>
  <c r="O88" i="5" s="1"/>
  <c r="O89" i="5" s="1"/>
  <c r="O90" i="5" s="1"/>
  <c r="O91" i="5" s="1"/>
  <c r="O92" i="5" s="1"/>
  <c r="O93" i="5" s="1"/>
  <c r="O94" i="5" s="1"/>
  <c r="O95" i="5" s="1"/>
  <c r="O96" i="5" s="1"/>
  <c r="O97" i="5" s="1"/>
  <c r="O98" i="5" s="1"/>
  <c r="O99" i="5" s="1"/>
  <c r="O100" i="5" s="1"/>
  <c r="O101" i="5" s="1"/>
  <c r="O102" i="5" s="1"/>
  <c r="K4" i="5"/>
  <c r="K5" i="5" s="1"/>
  <c r="K6" i="5" s="1"/>
  <c r="K7" i="5" s="1"/>
  <c r="K8" i="5" s="1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K22" i="5" s="1"/>
  <c r="K23" i="5" s="1"/>
  <c r="K24" i="5" s="1"/>
  <c r="K25" i="5" s="1"/>
  <c r="K26" i="5" s="1"/>
  <c r="K27" i="5" s="1"/>
  <c r="K28" i="5" s="1"/>
  <c r="K29" i="5" s="1"/>
  <c r="K30" i="5" s="1"/>
  <c r="K31" i="5" s="1"/>
  <c r="K32" i="5" s="1"/>
  <c r="K33" i="5" s="1"/>
  <c r="K34" i="5" s="1"/>
  <c r="K35" i="5" s="1"/>
  <c r="K36" i="5" s="1"/>
  <c r="K37" i="5" s="1"/>
  <c r="K38" i="5" s="1"/>
  <c r="K39" i="5" s="1"/>
  <c r="K40" i="5" s="1"/>
  <c r="K41" i="5" s="1"/>
  <c r="K42" i="5" s="1"/>
  <c r="K43" i="5" s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K65" i="5" s="1"/>
  <c r="K66" i="5" s="1"/>
  <c r="K67" i="5" s="1"/>
  <c r="K68" i="5" s="1"/>
  <c r="K69" i="5" s="1"/>
  <c r="K70" i="5" s="1"/>
  <c r="K71" i="5" s="1"/>
  <c r="K72" i="5" s="1"/>
  <c r="K73" i="5" s="1"/>
  <c r="K74" i="5" s="1"/>
  <c r="K75" i="5" s="1"/>
  <c r="K76" i="5" s="1"/>
  <c r="K77" i="5" s="1"/>
  <c r="K78" i="5" s="1"/>
  <c r="K79" i="5" s="1"/>
  <c r="K80" i="5" s="1"/>
  <c r="K81" i="5" s="1"/>
  <c r="K82" i="5" s="1"/>
  <c r="K83" i="5" s="1"/>
  <c r="K84" i="5" s="1"/>
  <c r="K85" i="5" s="1"/>
  <c r="K86" i="5" s="1"/>
  <c r="K87" i="5" s="1"/>
  <c r="K88" i="5" s="1"/>
  <c r="K89" i="5" s="1"/>
  <c r="K90" i="5" s="1"/>
  <c r="K91" i="5" s="1"/>
  <c r="K92" i="5" s="1"/>
  <c r="K93" i="5" s="1"/>
  <c r="K94" i="5" s="1"/>
  <c r="K95" i="5" s="1"/>
  <c r="K96" i="5" s="1"/>
  <c r="K97" i="5" s="1"/>
  <c r="K98" i="5" s="1"/>
  <c r="K99" i="5" s="1"/>
  <c r="K100" i="5" s="1"/>
  <c r="K101" i="5" s="1"/>
  <c r="K102" i="5" s="1"/>
  <c r="G7" i="5"/>
  <c r="G8" i="5" s="1"/>
  <c r="G9" i="5" s="1"/>
  <c r="G10" i="5" s="1"/>
  <c r="G11" i="5" s="1"/>
  <c r="G12" i="5" s="1"/>
  <c r="G13" i="5" s="1"/>
  <c r="G14" i="5" s="1"/>
  <c r="G15" i="5" s="1"/>
  <c r="G16" i="5" s="1"/>
  <c r="G17" i="5" s="1"/>
  <c r="G18" i="5" s="1"/>
  <c r="G19" i="5" s="1"/>
  <c r="G20" i="5" s="1"/>
  <c r="G21" i="5" s="1"/>
  <c r="G22" i="5" s="1"/>
  <c r="G23" i="5" s="1"/>
  <c r="G24" i="5" s="1"/>
  <c r="G25" i="5" s="1"/>
  <c r="G26" i="5" s="1"/>
  <c r="G27" i="5" s="1"/>
  <c r="G28" i="5" s="1"/>
  <c r="G29" i="5" s="1"/>
  <c r="G30" i="5" s="1"/>
  <c r="G31" i="5" s="1"/>
  <c r="G32" i="5" s="1"/>
  <c r="G33" i="5" s="1"/>
  <c r="G34" i="5" s="1"/>
  <c r="G35" i="5" s="1"/>
  <c r="G36" i="5" s="1"/>
  <c r="G37" i="5" s="1"/>
  <c r="G38" i="5" s="1"/>
  <c r="G39" i="5" s="1"/>
  <c r="G40" i="5" s="1"/>
  <c r="G41" i="5" s="1"/>
  <c r="G42" i="5" s="1"/>
  <c r="G43" i="5" s="1"/>
  <c r="G44" i="5" s="1"/>
  <c r="G45" i="5" s="1"/>
  <c r="G46" i="5" s="1"/>
  <c r="G47" i="5" s="1"/>
  <c r="G48" i="5" s="1"/>
  <c r="G49" i="5" s="1"/>
  <c r="G50" i="5" s="1"/>
  <c r="G51" i="5" s="1"/>
  <c r="G52" i="5" s="1"/>
  <c r="G53" i="5" s="1"/>
  <c r="G54" i="5" s="1"/>
  <c r="G55" i="5" s="1"/>
  <c r="G56" i="5" s="1"/>
  <c r="G57" i="5" s="1"/>
  <c r="G58" i="5" s="1"/>
  <c r="G59" i="5" s="1"/>
  <c r="G60" i="5" s="1"/>
  <c r="G61" i="5" s="1"/>
  <c r="G62" i="5" s="1"/>
  <c r="G63" i="5" s="1"/>
  <c r="G64" i="5" s="1"/>
  <c r="G65" i="5" s="1"/>
  <c r="G66" i="5" s="1"/>
  <c r="G67" i="5" s="1"/>
  <c r="G68" i="5" s="1"/>
  <c r="G69" i="5" s="1"/>
  <c r="G70" i="5" s="1"/>
  <c r="G71" i="5" s="1"/>
  <c r="G72" i="5" s="1"/>
  <c r="G73" i="5" s="1"/>
  <c r="G74" i="5" s="1"/>
  <c r="G75" i="5" s="1"/>
  <c r="G76" i="5" s="1"/>
  <c r="G77" i="5" s="1"/>
  <c r="G78" i="5" s="1"/>
  <c r="G79" i="5" s="1"/>
  <c r="G80" i="5" s="1"/>
  <c r="G81" i="5" s="1"/>
  <c r="G82" i="5" s="1"/>
  <c r="G83" i="5" s="1"/>
  <c r="G84" i="5" s="1"/>
  <c r="G85" i="5" s="1"/>
  <c r="G86" i="5" s="1"/>
  <c r="G87" i="5" s="1"/>
  <c r="G88" i="5" s="1"/>
  <c r="G89" i="5" s="1"/>
  <c r="G90" i="5" s="1"/>
  <c r="G91" i="5" s="1"/>
  <c r="G92" i="5" s="1"/>
  <c r="G93" i="5" s="1"/>
  <c r="G94" i="5" s="1"/>
  <c r="G95" i="5" s="1"/>
  <c r="G96" i="5" s="1"/>
  <c r="G97" i="5" s="1"/>
  <c r="G98" i="5" s="1"/>
  <c r="G99" i="5" s="1"/>
  <c r="G100" i="5" s="1"/>
  <c r="G101" i="5" s="1"/>
  <c r="G102" i="5" s="1"/>
  <c r="G6" i="5"/>
  <c r="G5" i="5"/>
  <c r="G4" i="5"/>
  <c r="C4" i="5"/>
  <c r="T5" i="33"/>
  <c r="C3" i="33"/>
  <c r="C4" i="33"/>
  <c r="C5" i="33"/>
  <c r="C6" i="33"/>
  <c r="C7" i="33"/>
  <c r="C8" i="33"/>
  <c r="C9" i="33"/>
  <c r="C10" i="33"/>
  <c r="C2" i="33"/>
  <c r="E3" i="33"/>
  <c r="D3" i="33" s="1"/>
  <c r="E4" i="33"/>
  <c r="D4" i="33" s="1"/>
  <c r="E5" i="33"/>
  <c r="D5" i="33" s="1"/>
  <c r="E6" i="33"/>
  <c r="D6" i="33" s="1"/>
  <c r="E7" i="33"/>
  <c r="D7" i="33" s="1"/>
  <c r="E8" i="33"/>
  <c r="D8" i="33" s="1"/>
  <c r="E9" i="33"/>
  <c r="D9" i="33" s="1"/>
  <c r="E10" i="33"/>
  <c r="D10" i="33" s="1"/>
  <c r="E2" i="33"/>
  <c r="D2" i="33" s="1"/>
  <c r="C5" i="5" l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52" i="5" s="1"/>
  <c r="C53" i="5" s="1"/>
  <c r="C54" i="5" s="1"/>
  <c r="C55" i="5" s="1"/>
  <c r="C56" i="5" s="1"/>
  <c r="C57" i="5" s="1"/>
  <c r="C58" i="5" s="1"/>
  <c r="C59" i="5" s="1"/>
  <c r="C60" i="5" s="1"/>
  <c r="C61" i="5" s="1"/>
  <c r="C62" i="5" s="1"/>
  <c r="C63" i="5" s="1"/>
  <c r="C64" i="5" s="1"/>
  <c r="C65" i="5" s="1"/>
  <c r="C66" i="5" s="1"/>
  <c r="C67" i="5" s="1"/>
  <c r="C68" i="5" s="1"/>
  <c r="C69" i="5" s="1"/>
  <c r="C70" i="5" s="1"/>
  <c r="C71" i="5" s="1"/>
  <c r="C72" i="5" s="1"/>
  <c r="C73" i="5" s="1"/>
  <c r="C74" i="5" s="1"/>
  <c r="C75" i="5" s="1"/>
  <c r="C76" i="5" s="1"/>
  <c r="C77" i="5" s="1"/>
  <c r="C78" i="5" s="1"/>
  <c r="C79" i="5" s="1"/>
  <c r="C80" i="5" s="1"/>
  <c r="C81" i="5" s="1"/>
  <c r="C82" i="5" s="1"/>
  <c r="C83" i="5" s="1"/>
  <c r="C84" i="5" s="1"/>
  <c r="C85" i="5" s="1"/>
  <c r="C86" i="5" s="1"/>
  <c r="C87" i="5" s="1"/>
  <c r="C88" i="5" s="1"/>
  <c r="C89" i="5" s="1"/>
  <c r="C90" i="5" s="1"/>
  <c r="C91" i="5" s="1"/>
  <c r="C92" i="5" s="1"/>
  <c r="C93" i="5" s="1"/>
  <c r="C94" i="5" s="1"/>
  <c r="C95" i="5" s="1"/>
  <c r="C96" i="5" s="1"/>
  <c r="C97" i="5" s="1"/>
  <c r="C98" i="5" s="1"/>
  <c r="C99" i="5" s="1"/>
  <c r="C100" i="5" s="1"/>
  <c r="C101" i="5" s="1"/>
  <c r="C102" i="5" s="1"/>
  <c r="C103" i="5" s="1"/>
  <c r="C104" i="5" s="1"/>
  <c r="C105" i="5" s="1"/>
  <c r="C106" i="5" s="1"/>
  <c r="C107" i="5" s="1"/>
  <c r="C108" i="5" s="1"/>
  <c r="C109" i="5" s="1"/>
  <c r="C110" i="5" s="1"/>
  <c r="C111" i="5" s="1"/>
  <c r="C112" i="5" s="1"/>
  <c r="C113" i="5" s="1"/>
  <c r="C114" i="5" s="1"/>
  <c r="C115" i="5" s="1"/>
  <c r="C116" i="5" s="1"/>
  <c r="C117" i="5" s="1"/>
  <c r="C118" i="5" s="1"/>
  <c r="C119" i="5" s="1"/>
  <c r="C120" i="5" s="1"/>
  <c r="C121" i="5" s="1"/>
  <c r="C122" i="5" s="1"/>
  <c r="R9" i="36"/>
  <c r="R4" i="36"/>
  <c r="R5" i="36"/>
  <c r="V5" i="36"/>
  <c r="T5" i="36"/>
  <c r="T4" i="36"/>
  <c r="V4" i="36"/>
  <c r="R7" i="36"/>
  <c r="R11" i="36"/>
  <c r="T6" i="36"/>
  <c r="V6" i="36"/>
  <c r="T8" i="36"/>
  <c r="V8" i="36"/>
  <c r="T7" i="36"/>
  <c r="V7" i="36"/>
  <c r="V9" i="36"/>
  <c r="T9" i="36"/>
  <c r="T11" i="36"/>
  <c r="V11" i="36"/>
  <c r="V10" i="36"/>
  <c r="T10" i="36"/>
  <c r="R3" i="36"/>
  <c r="O3" i="36"/>
  <c r="T3" i="36" s="1"/>
  <c r="R6" i="36"/>
  <c r="R8" i="36"/>
  <c r="R10" i="36"/>
  <c r="X5" i="36" l="1"/>
  <c r="U4" i="33" s="1"/>
  <c r="X4" i="36"/>
  <c r="U3" i="33" s="1"/>
  <c r="X6" i="36"/>
  <c r="U5" i="33" s="1"/>
  <c r="X9" i="36"/>
  <c r="U8" i="33" s="1"/>
  <c r="X11" i="36"/>
  <c r="U10" i="33" s="1"/>
  <c r="X7" i="36"/>
  <c r="U6" i="33" s="1"/>
  <c r="X10" i="36"/>
  <c r="U9" i="33" s="1"/>
  <c r="X8" i="36"/>
  <c r="U7" i="33" s="1"/>
  <c r="V3" i="36"/>
  <c r="X3" i="36" s="1"/>
  <c r="U2" i="33" s="1"/>
  <c r="H11" i="18"/>
  <c r="G11" i="18"/>
  <c r="H10" i="18"/>
  <c r="G10" i="18"/>
  <c r="H9" i="18"/>
  <c r="G9" i="18"/>
  <c r="C27" i="18"/>
  <c r="C13" i="18"/>
  <c r="C2" i="20" l="1"/>
  <c r="C28" i="18"/>
  <c r="C14" i="18"/>
  <c r="C15" i="18" s="1"/>
  <c r="C16" i="18" l="1"/>
  <c r="C17" i="18" s="1"/>
  <c r="C4" i="20" s="1"/>
  <c r="K3" i="26" l="1"/>
  <c r="L3" i="26"/>
  <c r="M3" i="26"/>
  <c r="N3" i="26"/>
  <c r="K4" i="26"/>
  <c r="L4" i="26"/>
  <c r="M4" i="26"/>
  <c r="N4" i="26"/>
  <c r="K5" i="26"/>
  <c r="L5" i="26"/>
  <c r="M5" i="26"/>
  <c r="N5" i="26"/>
  <c r="K6" i="26"/>
  <c r="L6" i="26"/>
  <c r="M6" i="26"/>
  <c r="N6" i="26"/>
  <c r="K7" i="26"/>
  <c r="L7" i="26"/>
  <c r="M7" i="26"/>
  <c r="N7" i="26"/>
  <c r="K8" i="26"/>
  <c r="L8" i="26"/>
  <c r="M8" i="26"/>
  <c r="N8" i="26"/>
  <c r="N2" i="26"/>
  <c r="M2" i="26"/>
  <c r="L2" i="26"/>
  <c r="K2" i="26"/>
  <c r="S3" i="26"/>
  <c r="T3" i="26"/>
  <c r="U3" i="26"/>
  <c r="S4" i="26"/>
  <c r="T4" i="26"/>
  <c r="U4" i="26"/>
  <c r="S5" i="26"/>
  <c r="T5" i="26"/>
  <c r="U5" i="26"/>
  <c r="S6" i="26"/>
  <c r="T6" i="26"/>
  <c r="U6" i="26"/>
  <c r="S7" i="26"/>
  <c r="T7" i="26"/>
  <c r="U7" i="26"/>
  <c r="S8" i="26"/>
  <c r="T8" i="26"/>
  <c r="U8" i="26"/>
  <c r="T2" i="26"/>
  <c r="U2" i="26"/>
  <c r="S2" i="26"/>
  <c r="C3" i="26"/>
  <c r="C4" i="26"/>
  <c r="C5" i="26"/>
  <c r="C6" i="26"/>
  <c r="C7" i="26"/>
  <c r="C8" i="26"/>
  <c r="C2" i="26"/>
  <c r="A3" i="26"/>
  <c r="A4" i="26"/>
  <c r="A5" i="26"/>
  <c r="A6" i="26"/>
  <c r="A7" i="26"/>
  <c r="A8" i="26"/>
  <c r="A2" i="26"/>
  <c r="C22" i="18" l="1"/>
  <c r="C2" i="24" l="1"/>
  <c r="B5" i="20"/>
  <c r="B2" i="20"/>
  <c r="P42" i="3" l="1"/>
  <c r="O42" i="3"/>
  <c r="AF7" i="3" s="1"/>
  <c r="N42" i="3"/>
  <c r="M42" i="3"/>
  <c r="L42" i="3"/>
  <c r="K42" i="3"/>
  <c r="J42" i="3"/>
  <c r="AA7" i="3" s="1"/>
  <c r="P41" i="3"/>
  <c r="O41" i="3"/>
  <c r="AF6" i="3" s="1"/>
  <c r="N41" i="3"/>
  <c r="M41" i="3"/>
  <c r="L41" i="3"/>
  <c r="K41" i="3"/>
  <c r="J41" i="3"/>
  <c r="AA6" i="3" s="1"/>
  <c r="P40" i="3"/>
  <c r="O40" i="3"/>
  <c r="AF5" i="3" s="1"/>
  <c r="N40" i="3"/>
  <c r="M40" i="3"/>
  <c r="L40" i="3"/>
  <c r="K40" i="3"/>
  <c r="J40" i="3"/>
  <c r="AA5" i="3" s="1"/>
  <c r="P39" i="3"/>
  <c r="O39" i="3"/>
  <c r="AF4" i="3" s="1"/>
  <c r="N39" i="3"/>
  <c r="M39" i="3"/>
  <c r="L39" i="3"/>
  <c r="K39" i="3"/>
  <c r="J39" i="3"/>
  <c r="AA4" i="3" s="1"/>
  <c r="P38" i="3"/>
  <c r="O38" i="3"/>
  <c r="N38" i="3"/>
  <c r="M38" i="3"/>
  <c r="L38" i="3"/>
  <c r="K38" i="3"/>
  <c r="J38" i="3"/>
  <c r="W35" i="3"/>
  <c r="V35" i="3"/>
  <c r="U35" i="3"/>
  <c r="T35" i="3"/>
  <c r="S35" i="3"/>
  <c r="R35" i="3"/>
  <c r="O35" i="3"/>
  <c r="N35" i="3"/>
  <c r="M35" i="3"/>
  <c r="L35" i="3"/>
  <c r="K35" i="3"/>
  <c r="J35" i="3"/>
  <c r="W34" i="3"/>
  <c r="V34" i="3"/>
  <c r="U34" i="3"/>
  <c r="T34" i="3"/>
  <c r="S34" i="3"/>
  <c r="R34" i="3"/>
  <c r="O34" i="3"/>
  <c r="N34" i="3"/>
  <c r="M34" i="3"/>
  <c r="L34" i="3"/>
  <c r="K34" i="3"/>
  <c r="J34" i="3"/>
  <c r="W33" i="3"/>
  <c r="V33" i="3"/>
  <c r="U33" i="3"/>
  <c r="T33" i="3"/>
  <c r="S33" i="3"/>
  <c r="R33" i="3"/>
  <c r="O33" i="3"/>
  <c r="N33" i="3"/>
  <c r="M33" i="3"/>
  <c r="L33" i="3"/>
  <c r="K33" i="3"/>
  <c r="J33" i="3"/>
  <c r="W32" i="3"/>
  <c r="V32" i="3"/>
  <c r="U32" i="3"/>
  <c r="T32" i="3"/>
  <c r="S32" i="3"/>
  <c r="R32" i="3"/>
  <c r="O32" i="3"/>
  <c r="N32" i="3"/>
  <c r="M32" i="3"/>
  <c r="L32" i="3"/>
  <c r="K32" i="3"/>
  <c r="J32" i="3"/>
  <c r="W31" i="3"/>
  <c r="V31" i="3"/>
  <c r="U31" i="3"/>
  <c r="T31" i="3"/>
  <c r="S31" i="3"/>
  <c r="R31" i="3"/>
  <c r="O31" i="3"/>
  <c r="N31" i="3"/>
  <c r="M31" i="3"/>
  <c r="L31" i="3"/>
  <c r="K31" i="3"/>
  <c r="J31" i="3"/>
  <c r="W28" i="3"/>
  <c r="V28" i="3"/>
  <c r="U28" i="3"/>
  <c r="T28" i="3"/>
  <c r="S28" i="3"/>
  <c r="R28" i="3"/>
  <c r="O28" i="3"/>
  <c r="N28" i="3"/>
  <c r="M28" i="3"/>
  <c r="L28" i="3"/>
  <c r="K28" i="3"/>
  <c r="J28" i="3"/>
  <c r="W27" i="3"/>
  <c r="V27" i="3"/>
  <c r="U27" i="3"/>
  <c r="T27" i="3"/>
  <c r="S27" i="3"/>
  <c r="R27" i="3"/>
  <c r="O27" i="3"/>
  <c r="N27" i="3"/>
  <c r="M27" i="3"/>
  <c r="L27" i="3"/>
  <c r="K27" i="3"/>
  <c r="J27" i="3"/>
  <c r="W26" i="3"/>
  <c r="V26" i="3"/>
  <c r="U26" i="3"/>
  <c r="T26" i="3"/>
  <c r="S26" i="3"/>
  <c r="R26" i="3"/>
  <c r="O26" i="3"/>
  <c r="N26" i="3"/>
  <c r="M26" i="3"/>
  <c r="L26" i="3"/>
  <c r="K26" i="3"/>
  <c r="J26" i="3"/>
  <c r="W25" i="3"/>
  <c r="V25" i="3"/>
  <c r="U25" i="3"/>
  <c r="T25" i="3"/>
  <c r="S25" i="3"/>
  <c r="R25" i="3"/>
  <c r="O25" i="3"/>
  <c r="N25" i="3"/>
  <c r="M25" i="3"/>
  <c r="L25" i="3"/>
  <c r="K25" i="3"/>
  <c r="J25" i="3"/>
  <c r="W24" i="3"/>
  <c r="V24" i="3"/>
  <c r="U24" i="3"/>
  <c r="T24" i="3"/>
  <c r="S24" i="3"/>
  <c r="R24" i="3"/>
  <c r="O24" i="3"/>
  <c r="N24" i="3"/>
  <c r="M24" i="3"/>
  <c r="L24" i="3"/>
  <c r="K24" i="3"/>
  <c r="J24" i="3"/>
  <c r="W17" i="3"/>
  <c r="V17" i="3"/>
  <c r="U17" i="3"/>
  <c r="T17" i="3"/>
  <c r="S17" i="3"/>
  <c r="R17" i="3"/>
  <c r="O17" i="3"/>
  <c r="N17" i="3"/>
  <c r="M17" i="3"/>
  <c r="L17" i="3"/>
  <c r="K17" i="3"/>
  <c r="J17" i="3"/>
  <c r="W10" i="3"/>
  <c r="V10" i="3"/>
  <c r="U10" i="3"/>
  <c r="T10" i="3"/>
  <c r="S10" i="3"/>
  <c r="R10" i="3"/>
  <c r="O10" i="3"/>
  <c r="N10" i="3"/>
  <c r="M10" i="3"/>
  <c r="L10" i="3"/>
  <c r="K10" i="3"/>
  <c r="J10" i="3"/>
  <c r="Z3" i="3"/>
  <c r="O3" i="3"/>
  <c r="N3" i="3"/>
  <c r="M3" i="3"/>
  <c r="L3" i="3"/>
  <c r="K3" i="3"/>
  <c r="J3" i="3"/>
  <c r="C7" i="24"/>
  <c r="C6" i="24"/>
  <c r="C5" i="24"/>
  <c r="C3" i="24"/>
  <c r="C5" i="20"/>
  <c r="I2" i="13"/>
  <c r="G2" i="13"/>
  <c r="E2" i="13"/>
  <c r="F2" i="13" s="1"/>
  <c r="C2" i="13"/>
  <c r="F16" i="12"/>
  <c r="E16" i="12" s="1"/>
  <c r="D16" i="12"/>
  <c r="T16" i="12" s="1"/>
  <c r="F15" i="12"/>
  <c r="E15" i="12" s="1"/>
  <c r="D15" i="12"/>
  <c r="T15" i="12" s="1"/>
  <c r="F14" i="12"/>
  <c r="E14" i="12" s="1"/>
  <c r="D14" i="12"/>
  <c r="T14" i="12" s="1"/>
  <c r="F13" i="12"/>
  <c r="E13" i="12" s="1"/>
  <c r="D13" i="12"/>
  <c r="T13" i="12" s="1"/>
  <c r="F12" i="12"/>
  <c r="E12" i="12" s="1"/>
  <c r="D12" i="12"/>
  <c r="T12" i="12" s="1"/>
  <c r="F11" i="12"/>
  <c r="E11" i="12" s="1"/>
  <c r="D11" i="12"/>
  <c r="Q11" i="12" s="1"/>
  <c r="F10" i="12"/>
  <c r="E10" i="12" s="1"/>
  <c r="D10" i="12"/>
  <c r="F9" i="12"/>
  <c r="E9" i="12" s="1"/>
  <c r="D9" i="12"/>
  <c r="N9" i="12" s="1"/>
  <c r="F8" i="12"/>
  <c r="E8" i="12" s="1"/>
  <c r="D8" i="12"/>
  <c r="N8" i="12" s="1"/>
  <c r="F7" i="12"/>
  <c r="E7" i="12" s="1"/>
  <c r="D7" i="12"/>
  <c r="S7" i="12" s="1"/>
  <c r="F6" i="12"/>
  <c r="E6" i="12" s="1"/>
  <c r="D6" i="12"/>
  <c r="F5" i="12"/>
  <c r="E5" i="12" s="1"/>
  <c r="D5" i="12"/>
  <c r="P5" i="12" s="1"/>
  <c r="F4" i="12"/>
  <c r="E4" i="12" s="1"/>
  <c r="D4" i="12"/>
  <c r="R4" i="12" s="1"/>
  <c r="F3" i="12"/>
  <c r="E3" i="12" s="1"/>
  <c r="D3" i="12"/>
  <c r="S3" i="12" s="1"/>
  <c r="F2" i="12"/>
  <c r="E2" i="12" s="1"/>
  <c r="D2" i="12"/>
  <c r="S2" i="12" s="1"/>
  <c r="AC6" i="7"/>
  <c r="AA6" i="7"/>
  <c r="AB6" i="7" s="1"/>
  <c r="Z6" i="7"/>
  <c r="U6" i="7"/>
  <c r="R6" i="7"/>
  <c r="Q6" i="7"/>
  <c r="H6" i="7"/>
  <c r="I6" i="7" s="1" a="1"/>
  <c r="I6" i="7" s="1"/>
  <c r="G6" i="7"/>
  <c r="E6" i="7"/>
  <c r="C6" i="7"/>
  <c r="C6" i="12" s="1"/>
  <c r="C11" i="12" s="1"/>
  <c r="C16" i="12" s="1"/>
  <c r="AC5" i="7"/>
  <c r="AA5" i="7"/>
  <c r="AB5" i="7" s="1"/>
  <c r="Z5" i="7"/>
  <c r="U5" i="7"/>
  <c r="R5" i="7"/>
  <c r="Q5" i="7"/>
  <c r="H5" i="7"/>
  <c r="I5" i="7" s="1" a="1"/>
  <c r="I5" i="7" s="1"/>
  <c r="G5" i="7"/>
  <c r="E5" i="7"/>
  <c r="C5" i="7"/>
  <c r="C5" i="12" s="1"/>
  <c r="C10" i="12" s="1"/>
  <c r="C15" i="12" s="1"/>
  <c r="AC4" i="7"/>
  <c r="AA4" i="7"/>
  <c r="AB4" i="7" s="1"/>
  <c r="Z4" i="7"/>
  <c r="U4" i="7"/>
  <c r="R4" i="7"/>
  <c r="Q4" i="7"/>
  <c r="H4" i="7"/>
  <c r="I4" i="7" s="1" a="1"/>
  <c r="I4" i="7" s="1"/>
  <c r="G4" i="7"/>
  <c r="E4" i="7"/>
  <c r="C4" i="7"/>
  <c r="C4" i="12" s="1"/>
  <c r="C9" i="12" s="1"/>
  <c r="C14" i="12" s="1"/>
  <c r="AC3" i="7"/>
  <c r="AA3" i="7"/>
  <c r="AB3" i="7" s="1"/>
  <c r="Z3" i="7"/>
  <c r="V3" i="7"/>
  <c r="V4" i="7" s="1"/>
  <c r="V5" i="7" s="1"/>
  <c r="V6" i="7" s="1"/>
  <c r="U3" i="7"/>
  <c r="R3" i="7"/>
  <c r="Q3" i="7"/>
  <c r="H3" i="7"/>
  <c r="I3" i="7" s="1" a="1"/>
  <c r="I3" i="7" s="1"/>
  <c r="G3" i="7"/>
  <c r="E3" i="7"/>
  <c r="C3" i="7"/>
  <c r="C3" i="12" s="1"/>
  <c r="C8" i="12" s="1"/>
  <c r="C13" i="12" s="1"/>
  <c r="AC2" i="7"/>
  <c r="AA2" i="7"/>
  <c r="AB2" i="7" s="1"/>
  <c r="Z2" i="7"/>
  <c r="X2" i="7"/>
  <c r="X3" i="7" s="1"/>
  <c r="X4" i="7" s="1"/>
  <c r="X5" i="7" s="1"/>
  <c r="X6" i="7" s="1"/>
  <c r="W2" i="7"/>
  <c r="W3" i="7" s="1"/>
  <c r="W4" i="7" s="1"/>
  <c r="W5" i="7" s="1"/>
  <c r="W6" i="7" s="1"/>
  <c r="U2" i="7"/>
  <c r="R2" i="7"/>
  <c r="Q2" i="7"/>
  <c r="H2" i="7"/>
  <c r="I2" i="7" s="1" a="1"/>
  <c r="I2" i="7" s="1"/>
  <c r="G2" i="7"/>
  <c r="E2" i="7"/>
  <c r="C2" i="7"/>
  <c r="C2" i="12" s="1"/>
  <c r="C7" i="12" s="1"/>
  <c r="C12" i="12" s="1"/>
  <c r="AA3" i="3" l="1"/>
  <c r="AE3" i="3"/>
  <c r="AC3" i="3"/>
  <c r="AD3" i="3"/>
  <c r="AE4" i="3"/>
  <c r="AB5" i="3"/>
  <c r="AC6" i="3"/>
  <c r="AD7" i="3"/>
  <c r="AB4" i="3"/>
  <c r="AC5" i="3"/>
  <c r="AE7" i="3"/>
  <c r="AB3" i="3"/>
  <c r="AC4" i="3"/>
  <c r="AD5" i="3"/>
  <c r="AB7" i="3"/>
  <c r="AD4" i="3"/>
  <c r="AE5" i="3"/>
  <c r="AC7" i="3"/>
  <c r="AD6" i="3"/>
  <c r="AE6" i="3"/>
  <c r="AB6" i="3"/>
  <c r="AA11" i="3"/>
  <c r="AE11" i="3"/>
  <c r="AB12" i="3"/>
  <c r="AF12" i="3"/>
  <c r="AC13" i="3"/>
  <c r="AD14" i="3"/>
  <c r="AB11" i="3"/>
  <c r="AF11" i="3"/>
  <c r="AC12" i="3"/>
  <c r="AD13" i="3"/>
  <c r="AA14" i="3"/>
  <c r="AE14" i="3"/>
  <c r="AC11" i="3"/>
  <c r="AD12" i="3"/>
  <c r="AA13" i="3"/>
  <c r="AE13" i="3"/>
  <c r="AB14" i="3"/>
  <c r="AF14" i="3"/>
  <c r="AD11" i="3"/>
  <c r="AA12" i="3"/>
  <c r="AE12" i="3"/>
  <c r="AB13" i="3"/>
  <c r="AF13" i="3"/>
  <c r="AC14" i="3"/>
  <c r="T3" i="3"/>
  <c r="AC10" i="3" s="1"/>
  <c r="U3" i="3"/>
  <c r="AD10" i="3" s="1"/>
  <c r="V3" i="3"/>
  <c r="AE10" i="3" s="1"/>
  <c r="R3" i="3"/>
  <c r="AA10" i="3" s="1"/>
  <c r="S3" i="3"/>
  <c r="AB10" i="3" s="1"/>
  <c r="W3" i="3"/>
  <c r="AF10" i="3" s="1"/>
  <c r="AF3" i="3"/>
  <c r="N5" i="12"/>
  <c r="H7" i="12"/>
  <c r="G15" i="12"/>
  <c r="S16" i="12"/>
  <c r="G7" i="12"/>
  <c r="I15" i="12"/>
  <c r="I16" i="12"/>
  <c r="H8" i="12"/>
  <c r="H2" i="13"/>
  <c r="I11" i="12"/>
  <c r="M16" i="12"/>
  <c r="H3" i="12"/>
  <c r="R15" i="12"/>
  <c r="N16" i="12"/>
  <c r="P7" i="12"/>
  <c r="G8" i="12"/>
  <c r="S11" i="12"/>
  <c r="S15" i="12"/>
  <c r="G16" i="12"/>
  <c r="Q16" i="12"/>
  <c r="N12" i="12"/>
  <c r="N3" i="12"/>
  <c r="P3" i="12"/>
  <c r="H4" i="12"/>
  <c r="R8" i="12"/>
  <c r="M12" i="12"/>
  <c r="S14" i="12"/>
  <c r="G12" i="12"/>
  <c r="R12" i="12"/>
  <c r="I14" i="12"/>
  <c r="M15" i="12"/>
  <c r="G3" i="12"/>
  <c r="S4" i="12"/>
  <c r="H5" i="12"/>
  <c r="N7" i="12"/>
  <c r="S8" i="12"/>
  <c r="I12" i="12"/>
  <c r="S12" i="12"/>
  <c r="N14" i="12"/>
  <c r="N15" i="12"/>
  <c r="K16" i="12"/>
  <c r="R16" i="12"/>
  <c r="M11" i="12"/>
  <c r="J14" i="12"/>
  <c r="O14" i="12"/>
  <c r="K3" i="12"/>
  <c r="R3" i="12"/>
  <c r="N4" i="12"/>
  <c r="S5" i="12"/>
  <c r="K7" i="12"/>
  <c r="R7" i="12"/>
  <c r="L8" i="12"/>
  <c r="H9" i="12"/>
  <c r="N11" i="12"/>
  <c r="J12" i="12"/>
  <c r="O12" i="12"/>
  <c r="G13" i="12"/>
  <c r="M13" i="12"/>
  <c r="R13" i="12"/>
  <c r="K14" i="12"/>
  <c r="Q14" i="12"/>
  <c r="J15" i="12"/>
  <c r="O15" i="12"/>
  <c r="S9" i="12"/>
  <c r="J13" i="12"/>
  <c r="O13" i="12"/>
  <c r="L4" i="12"/>
  <c r="K13" i="12"/>
  <c r="Q13" i="12"/>
  <c r="L3" i="12"/>
  <c r="G4" i="12"/>
  <c r="L7" i="12"/>
  <c r="G11" i="12"/>
  <c r="K12" i="12"/>
  <c r="Q12" i="12"/>
  <c r="I13" i="12"/>
  <c r="N13" i="12"/>
  <c r="S13" i="12"/>
  <c r="G14" i="12"/>
  <c r="M14" i="12"/>
  <c r="R14" i="12"/>
  <c r="K15" i="12"/>
  <c r="Q15" i="12"/>
  <c r="J16" i="12"/>
  <c r="O16" i="12"/>
  <c r="D5" i="7"/>
  <c r="Q6" i="12"/>
  <c r="M6" i="12"/>
  <c r="I6" i="12"/>
  <c r="J6" i="12"/>
  <c r="O6" i="12"/>
  <c r="T6" i="12"/>
  <c r="J2" i="12"/>
  <c r="N2" i="12"/>
  <c r="R2" i="12"/>
  <c r="K5" i="12"/>
  <c r="G6" i="12"/>
  <c r="L6" i="12"/>
  <c r="R6" i="12"/>
  <c r="H2" i="12"/>
  <c r="L2" i="12"/>
  <c r="P2" i="12"/>
  <c r="T2" i="12"/>
  <c r="Q10" i="12"/>
  <c r="M10" i="12"/>
  <c r="I10" i="12"/>
  <c r="J10" i="12"/>
  <c r="O10" i="12"/>
  <c r="T10" i="12"/>
  <c r="I2" i="12"/>
  <c r="M2" i="12"/>
  <c r="Q2" i="12"/>
  <c r="Q5" i="12"/>
  <c r="M5" i="12"/>
  <c r="I5" i="12"/>
  <c r="J5" i="12"/>
  <c r="O5" i="12"/>
  <c r="T5" i="12"/>
  <c r="K6" i="12"/>
  <c r="P6" i="12"/>
  <c r="Q9" i="12"/>
  <c r="M9" i="12"/>
  <c r="I9" i="12"/>
  <c r="J9" i="12"/>
  <c r="O9" i="12"/>
  <c r="T9" i="12"/>
  <c r="K10" i="12"/>
  <c r="P10" i="12"/>
  <c r="Q4" i="12"/>
  <c r="M4" i="12"/>
  <c r="I4" i="12"/>
  <c r="J4" i="12"/>
  <c r="O4" i="12"/>
  <c r="T4" i="12"/>
  <c r="Q8" i="12"/>
  <c r="M8" i="12"/>
  <c r="I8" i="12"/>
  <c r="J8" i="12"/>
  <c r="O8" i="12"/>
  <c r="T8" i="12"/>
  <c r="K9" i="12"/>
  <c r="P9" i="12"/>
  <c r="G10" i="12"/>
  <c r="L10" i="12"/>
  <c r="R10" i="12"/>
  <c r="G2" i="12"/>
  <c r="K2" i="12"/>
  <c r="O2" i="12"/>
  <c r="Q3" i="12"/>
  <c r="M3" i="12"/>
  <c r="I3" i="12"/>
  <c r="J3" i="12"/>
  <c r="O3" i="12"/>
  <c r="T3" i="12"/>
  <c r="K4" i="12"/>
  <c r="P4" i="12"/>
  <c r="G5" i="12"/>
  <c r="L5" i="12"/>
  <c r="R5" i="12"/>
  <c r="H6" i="12"/>
  <c r="N6" i="12"/>
  <c r="S6" i="12"/>
  <c r="Q7" i="12"/>
  <c r="M7" i="12"/>
  <c r="I7" i="12"/>
  <c r="J7" i="12"/>
  <c r="O7" i="12"/>
  <c r="T7" i="12"/>
  <c r="K8" i="12"/>
  <c r="P8" i="12"/>
  <c r="G9" i="12"/>
  <c r="L9" i="12"/>
  <c r="R9" i="12"/>
  <c r="H10" i="12"/>
  <c r="N10" i="12"/>
  <c r="S10" i="12"/>
  <c r="T11" i="12"/>
  <c r="P11" i="12"/>
  <c r="L11" i="12"/>
  <c r="H11" i="12"/>
  <c r="O11" i="12"/>
  <c r="J11" i="12"/>
  <c r="K11" i="12"/>
  <c r="R11" i="12"/>
  <c r="H12" i="12"/>
  <c r="L12" i="12"/>
  <c r="P12" i="12"/>
  <c r="H13" i="12"/>
  <c r="L13" i="12"/>
  <c r="P13" i="12"/>
  <c r="H14" i="12"/>
  <c r="L14" i="12"/>
  <c r="P14" i="12"/>
  <c r="H15" i="12"/>
  <c r="L15" i="12"/>
  <c r="P15" i="12"/>
  <c r="H16" i="12"/>
  <c r="L16" i="12"/>
  <c r="P16" i="12"/>
  <c r="AD19" i="3" l="1"/>
  <c r="AD21" i="3"/>
  <c r="AE19" i="3"/>
  <c r="O4" i="7" s="1"/>
  <c r="AB21" i="3"/>
  <c r="AC19" i="3"/>
  <c r="AC21" i="3"/>
  <c r="AB20" i="3"/>
  <c r="AE20" i="3"/>
  <c r="AE21" i="3"/>
  <c r="AD20" i="3"/>
  <c r="AE18" i="3"/>
  <c r="AD18" i="3"/>
  <c r="AC18" i="3"/>
  <c r="P3" i="7" s="1"/>
  <c r="AB18" i="3"/>
  <c r="AC20" i="3"/>
  <c r="AB19" i="3"/>
  <c r="J4" i="7"/>
  <c r="J2" i="7"/>
  <c r="J6" i="7"/>
  <c r="J5" i="7"/>
  <c r="J3" i="7"/>
  <c r="D6" i="7"/>
  <c r="AE17" i="3"/>
  <c r="AB17" i="3"/>
  <c r="AC17" i="3"/>
  <c r="AD17" i="3"/>
  <c r="D2" i="7"/>
  <c r="D4" i="7"/>
  <c r="D3" i="7"/>
  <c r="N4" i="7" l="1"/>
  <c r="N5" i="7"/>
  <c r="M6" i="7"/>
  <c r="O5" i="7"/>
  <c r="M4" i="7"/>
  <c r="N2" i="7"/>
  <c r="M2" i="7"/>
  <c r="O2" i="7"/>
  <c r="P5" i="7"/>
  <c r="M3" i="7"/>
  <c r="P6" i="7"/>
  <c r="M5" i="7"/>
  <c r="P4" i="7"/>
  <c r="O3" i="7"/>
  <c r="P2" i="7"/>
  <c r="O6" i="7"/>
  <c r="N3" i="7"/>
  <c r="N6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  <author>Danny L</author>
  </authors>
  <commentList>
    <comment ref="A7" authorId="0" shapeId="0" xr:uid="{E9561FD4-965B-4F6E-B911-FDEDE13F2E93}">
      <text>
        <r>
          <rPr>
            <sz val="9"/>
            <color indexed="81"/>
            <rFont val="Tahoma"/>
            <family val="2"/>
          </rPr>
          <t>Note: SF is buggy
- If simming over 36 cost, do not enter formation screen
- Retreating w/o winning will keep restarting the fight
- May not load G&amp;K echelons after simming SF. In this case, replace JSONs with clean ones from the original KR sim download.</t>
        </r>
      </text>
    </comment>
    <comment ref="D7" authorId="0" shapeId="0" xr:uid="{5485C5A4-3A5F-4D6B-BB32-395B6558BE14}">
      <text>
        <r>
          <rPr>
            <b/>
            <sz val="9"/>
            <color indexed="81"/>
            <rFont val="Tahoma"/>
            <family val="2"/>
          </rPr>
          <t xml:space="preserve">If entering a comma-delimited list of IDs for TargetTrain mode, add an apostrophe (') so that Excel treats it as a string.
Training Dummy IDs (1-link, no armor/shields)
</t>
        </r>
        <r>
          <rPr>
            <sz val="9"/>
            <color indexed="81"/>
            <rFont val="Tahoma"/>
            <family val="2"/>
          </rPr>
          <t>id950046: 5k HP, 10 eva
id950047: 10k HP, 16 eva
id950048: 20k HP, 26 eva
id950049: 40k HP, 42 eva
id950050: 100k HP, 60 eva
id10004:   10k HP, 0 eva (basic data)
id10005:   20k HP, 0 eva (int data)
id10006:   40k HP, 0 eva (adv data)
id12411:   (100m - 1) HP, 999 eva
id310 / 50 1-link dummies, 100k HP, 0 eva</t>
        </r>
      </text>
    </comment>
    <comment ref="A10" authorId="0" shapeId="0" xr:uid="{8F29F841-F98E-4C2D-A4E7-6C7F5EB6698C}">
      <text>
        <r>
          <rPr>
            <sz val="9"/>
            <color indexed="81"/>
            <rFont val="Tahoma"/>
            <family val="2"/>
          </rPr>
          <t>Affects enemy stats if they have turn scaling (e.g., ranking enemies)</t>
        </r>
      </text>
    </comment>
    <comment ref="A11" authorId="0" shapeId="0" xr:uid="{E3CFF51A-C1B2-4A30-9727-CD29508A7ECE}">
      <text>
        <r>
          <rPr>
            <sz val="9"/>
            <color indexed="81"/>
            <rFont val="Tahoma"/>
            <family val="2"/>
          </rPr>
          <t>Enter an integer from 1 to 9999. Only affects Day/Night mode, does not affect TargetTrain.</t>
        </r>
      </text>
    </comment>
    <comment ref="O18" authorId="0" shapeId="0" xr:uid="{E9F4FD57-6629-4268-AE87-A912247D41FE}">
      <text>
        <r>
          <rPr>
            <sz val="9"/>
            <color indexed="81"/>
            <rFont val="Tahoma"/>
            <family val="2"/>
          </rPr>
          <t>For simplicity, all stats are assumed to have the same calibration %. Manually adjust this in the JSON if something else is desired.
Note: calibration %s can be negative or exceed 100%. For example, setting a VFL to have 500% calibration will result in a VFL that gives over 100% crit rate.</t>
        </r>
      </text>
    </comment>
    <comment ref="AB18" authorId="0" shapeId="0" xr:uid="{EABEB290-BA72-4AC3-AB52-08D41335FB6C}">
      <text>
        <r>
          <rPr>
            <sz val="9"/>
            <color indexed="81"/>
            <rFont val="Tahoma"/>
            <family val="2"/>
          </rPr>
          <t>If TRUE, this will allow you to use custom *base* stats for dolls. Modifiers from other sources (affection, equipment, fairies, etc.) will be applied.
Can be useful for theorycrafting, e.g., testing if enemies have a minimum hit rate (they don't), testing multiplicative vs. additive staking, round numbers for easy calculations, etc.</t>
        </r>
      </text>
    </comment>
    <comment ref="L38" authorId="0" shapeId="0" xr:uid="{6CA094D6-A925-45DF-AF1E-DDC9181E8068}">
      <text>
        <r>
          <rPr>
            <sz val="9"/>
            <color indexed="81"/>
            <rFont val="Tahoma"/>
            <family val="2"/>
          </rPr>
          <t>Regular SF skill levels must be an integer from 1-5.
Ringleader skill levels must be an integer from 1-10 for skills #1/2, and 1-5 for skills #3/4</t>
        </r>
      </text>
    </comment>
    <comment ref="E39" authorId="0" shapeId="0" xr:uid="{0C200A2F-DC09-487E-95A3-49FD3B0FC791}">
      <text>
        <r>
          <rPr>
            <sz val="9"/>
            <color indexed="81"/>
            <rFont val="Tahoma"/>
            <family val="2"/>
          </rPr>
          <t>Cannot exceed 5 and cannot be lower than the base number of stars.</t>
        </r>
      </text>
    </comment>
    <comment ref="F39" authorId="0" shapeId="0" xr:uid="{56EF5B92-68DB-4EE6-9397-022B2ADFD076}">
      <text>
        <r>
          <rPr>
            <sz val="9"/>
            <color indexed="81"/>
            <rFont val="Tahoma"/>
            <family val="2"/>
          </rPr>
          <t>Number of times you've "dummy linked" the SF. Equivalently, the number of extra dupes you've obtained.</t>
        </r>
      </text>
    </comment>
    <comment ref="H39" authorId="0" shapeId="0" xr:uid="{20B9BD68-0C87-40DB-ACEE-30E001327BDE}">
      <text>
        <r>
          <rPr>
            <sz val="9"/>
            <color indexed="81"/>
            <rFont val="Tahoma"/>
            <family val="2"/>
          </rPr>
          <t>Bosses: integer from 0 to 150
Others: integer from 0 to 100</t>
        </r>
      </text>
    </comment>
    <comment ref="G53" authorId="1" shapeId="0" xr:uid="{E92EAC77-F971-4ACF-A266-DBACF538886C}">
      <text>
        <r>
          <rPr>
            <sz val="9"/>
            <color indexed="81"/>
            <rFont val="Tahoma"/>
            <family val="2"/>
          </rPr>
          <t>HOCs will show up at level 100 max iteration and have blank chips but these do not matter since their base stats will be adjusted to match final stats.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Q3" authorId="0" shapeId="0" xr:uid="{D1A4E12A-1CE8-4B3E-AC43-F974CD11C59F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U3" authorId="0" shapeId="0" xr:uid="{9B9D0C07-6896-4E63-9220-172AE7890E4B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  <comment ref="Y3" authorId="0" shapeId="0" xr:uid="{8C1768F5-235A-4875-84CE-D2217F5796E5}">
      <text>
        <r>
          <rPr>
            <sz val="9"/>
            <color indexed="81"/>
            <rFont val="Tahoma"/>
            <family val="2"/>
          </rPr>
          <t>All stats assumed to have the same calibration % for simplicity. Manually adjust JSON if something else is needed.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Randomqwerty</author>
  </authors>
  <commentList>
    <comment ref="B13" authorId="0" shapeId="0" xr:uid="{5D71D19B-0289-4060-8DD5-A695F204703E}">
      <text>
        <r>
          <rPr>
            <sz val="9"/>
            <color indexed="81"/>
            <rFont val="Tahoma"/>
            <family val="2"/>
          </rPr>
          <t>Baseline string to be adjusted.</t>
        </r>
      </text>
    </comment>
    <comment ref="B14" authorId="0" shapeId="0" xr:uid="{9F7A8AE6-F5E7-4AEE-AEDF-C6D599CD7190}">
      <text>
        <r>
          <rPr>
            <sz val="9"/>
            <color indexed="81"/>
            <rFont val="Tahoma"/>
            <family val="2"/>
          </rPr>
          <t>Adjusts baseline to contain the proper buff IDs.</t>
        </r>
      </text>
    </comment>
    <comment ref="B15" authorId="0" shapeId="0" xr:uid="{A97A0CAC-2F45-4FFC-8B7E-1B2EA900BE0B}">
      <text>
        <r>
          <rPr>
            <sz val="9"/>
            <color indexed="81"/>
            <rFont val="Tahoma"/>
            <family val="2"/>
          </rPr>
          <t>Adjusts to contain the proper config IDs.</t>
        </r>
      </text>
    </comment>
    <comment ref="B16" authorId="0" shapeId="0" xr:uid="{895CBA08-4D7F-481C-AB93-6E26C40C0896}">
      <text>
        <r>
          <rPr>
            <sz val="9"/>
            <color indexed="81"/>
            <rFont val="Tahoma"/>
            <family val="2"/>
          </rPr>
          <t>Adjusts to contain the proper skill levels.</t>
        </r>
      </text>
    </comment>
    <comment ref="B17" authorId="0" shapeId="0" xr:uid="{399E8BFE-1629-4E66-AC73-6B4E06A4F7E9}">
      <text>
        <r>
          <rPr>
            <sz val="9"/>
            <color indexed="81"/>
            <rFont val="Tahoma"/>
            <family val="2"/>
          </rPr>
          <t>Adjusts to contain the proper turn number.</t>
        </r>
      </text>
    </comment>
  </commentList>
</comments>
</file>

<file path=xl/sharedStrings.xml><?xml version="1.0" encoding="utf-8"?>
<sst xmlns="http://schemas.openxmlformats.org/spreadsheetml/2006/main" count="21921" uniqueCount="6642">
  <si>
    <t>Doll #</t>
  </si>
  <si>
    <t>Class</t>
  </si>
  <si>
    <t>AR</t>
  </si>
  <si>
    <t>HG</t>
  </si>
  <si>
    <t>MG</t>
  </si>
  <si>
    <t>SG</t>
  </si>
  <si>
    <t>RF</t>
  </si>
  <si>
    <t>SMG</t>
  </si>
  <si>
    <t>Name</t>
  </si>
  <si>
    <t>HP</t>
  </si>
  <si>
    <t>FP</t>
  </si>
  <si>
    <t>ROF</t>
  </si>
  <si>
    <t>ACC</t>
  </si>
  <si>
    <t>EVA</t>
  </si>
  <si>
    <t>ARMOR</t>
  </si>
  <si>
    <t>Scalars</t>
  </si>
  <si>
    <t>Mod Basic</t>
  </si>
  <si>
    <t>Mod Grow</t>
  </si>
  <si>
    <t>Level</t>
  </si>
  <si>
    <t>SAA</t>
  </si>
  <si>
    <t>Exp Needed</t>
  </si>
  <si>
    <t>Total Exp</t>
  </si>
  <si>
    <t>M4A1</t>
  </si>
  <si>
    <t>UMP45</t>
  </si>
  <si>
    <t>UMP40</t>
  </si>
  <si>
    <t>id</t>
  </si>
  <si>
    <t>user_id</t>
  </si>
  <si>
    <t>gun_id</t>
  </si>
  <si>
    <t>gun_exp</t>
  </si>
  <si>
    <t>gun_level</t>
  </si>
  <si>
    <t>team_id</t>
  </si>
  <si>
    <t>if_modification</t>
  </si>
  <si>
    <t>location</t>
  </si>
  <si>
    <t>position</t>
  </si>
  <si>
    <t>life</t>
  </si>
  <si>
    <t>ammo</t>
  </si>
  <si>
    <t>mre</t>
  </si>
  <si>
    <t>pow</t>
  </si>
  <si>
    <t>hit</t>
  </si>
  <si>
    <t>dodge</t>
  </si>
  <si>
    <t>rate</t>
  </si>
  <si>
    <t>skill1</t>
  </si>
  <si>
    <t>skill2</t>
  </si>
  <si>
    <t>fix_end_time</t>
  </si>
  <si>
    <t>is_locked</t>
  </si>
  <si>
    <t>number</t>
  </si>
  <si>
    <t>equip1</t>
  </si>
  <si>
    <t>equip2</t>
  </si>
  <si>
    <t>equip3</t>
  </si>
  <si>
    <t>equip4</t>
  </si>
  <si>
    <t>favor</t>
  </si>
  <si>
    <t>max_favor</t>
  </si>
  <si>
    <t>favor_toplimit</t>
  </si>
  <si>
    <t>soul_bond</t>
  </si>
  <si>
    <t>skin</t>
  </si>
  <si>
    <t>can_click</t>
  </si>
  <si>
    <t>soul_bond_time</t>
  </si>
  <si>
    <t>special_effect</t>
  </si>
  <si>
    <t>Skill 1</t>
  </si>
  <si>
    <t>Skill 2</t>
  </si>
  <si>
    <t>Affection</t>
  </si>
  <si>
    <t>type</t>
  </si>
  <si>
    <t>M1911</t>
  </si>
  <si>
    <t>M9</t>
  </si>
  <si>
    <t>Python</t>
  </si>
  <si>
    <t>M1895</t>
  </si>
  <si>
    <t>Tokarev</t>
  </si>
  <si>
    <t>Stechkin</t>
  </si>
  <si>
    <t>Makarov</t>
  </si>
  <si>
    <t>P38</t>
  </si>
  <si>
    <t>PPK</t>
  </si>
  <si>
    <t>P08</t>
  </si>
  <si>
    <t>C96</t>
  </si>
  <si>
    <t>Type92</t>
  </si>
  <si>
    <t>Astra</t>
  </si>
  <si>
    <t>G17</t>
  </si>
  <si>
    <t>Thompson</t>
  </si>
  <si>
    <t>M3</t>
  </si>
  <si>
    <t>Ingram</t>
  </si>
  <si>
    <t>Vector</t>
  </si>
  <si>
    <t>MP40</t>
  </si>
  <si>
    <t>Skorpion</t>
  </si>
  <si>
    <t>MP7</t>
  </si>
  <si>
    <t>M38</t>
  </si>
  <si>
    <t>Micro Uzi</t>
  </si>
  <si>
    <t>m45</t>
  </si>
  <si>
    <t>M1 Garand</t>
  </si>
  <si>
    <t>Springfield</t>
  </si>
  <si>
    <t>M14</t>
  </si>
  <si>
    <t>M21</t>
  </si>
  <si>
    <t>SKS</t>
  </si>
  <si>
    <t>PTRD</t>
  </si>
  <si>
    <t>SVD</t>
  </si>
  <si>
    <t>Kar98k</t>
  </si>
  <si>
    <t>G43</t>
  </si>
  <si>
    <t>WA2000</t>
  </si>
  <si>
    <t>Lee Enfield</t>
  </si>
  <si>
    <t>VM59</t>
  </si>
  <si>
    <t>M16A1</t>
  </si>
  <si>
    <t>M4 SOPMOD II</t>
  </si>
  <si>
    <t>ST AR-15</t>
  </si>
  <si>
    <t>AS Val</t>
  </si>
  <si>
    <t>StG44</t>
  </si>
  <si>
    <t>L85A1</t>
  </si>
  <si>
    <t>AUG</t>
  </si>
  <si>
    <t>M1918</t>
  </si>
  <si>
    <t>M60</t>
  </si>
  <si>
    <t>M1919A4</t>
  </si>
  <si>
    <t>LWMMG</t>
  </si>
  <si>
    <t>DP28</t>
  </si>
  <si>
    <t>RPD</t>
  </si>
  <si>
    <t>PK</t>
  </si>
  <si>
    <t>MG42</t>
  </si>
  <si>
    <t>MG34</t>
  </si>
  <si>
    <t>MG3</t>
  </si>
  <si>
    <t>Bren</t>
  </si>
  <si>
    <t>Spectre M4</t>
  </si>
  <si>
    <t>IDW</t>
  </si>
  <si>
    <t>Type64</t>
  </si>
  <si>
    <t>Type88</t>
  </si>
  <si>
    <t>Grizzly</t>
  </si>
  <si>
    <t>M950A</t>
  </si>
  <si>
    <t>P7</t>
  </si>
  <si>
    <t>UMP9</t>
  </si>
  <si>
    <t>FAL</t>
  </si>
  <si>
    <t>FG42</t>
  </si>
  <si>
    <t>Negev</t>
  </si>
  <si>
    <t>Suomi</t>
  </si>
  <si>
    <t>Mk48</t>
  </si>
  <si>
    <t>P99</t>
  </si>
  <si>
    <t>Super SASS</t>
  </si>
  <si>
    <t>NZ75</t>
  </si>
  <si>
    <t>M99</t>
  </si>
  <si>
    <t>Type95</t>
  </si>
  <si>
    <t>Type97</t>
  </si>
  <si>
    <t>EVO 3</t>
  </si>
  <si>
    <t>Type63</t>
  </si>
  <si>
    <t>AR70</t>
  </si>
  <si>
    <t>6P62</t>
  </si>
  <si>
    <t>Bren Ten</t>
  </si>
  <si>
    <t>PSM</t>
  </si>
  <si>
    <t>RO635</t>
  </si>
  <si>
    <t>SSG 69</t>
  </si>
  <si>
    <t>IWS 2000</t>
  </si>
  <si>
    <t>Shipka</t>
  </si>
  <si>
    <t>M1887</t>
  </si>
  <si>
    <t>M1897</t>
  </si>
  <si>
    <t>M37</t>
  </si>
  <si>
    <t>M500</t>
  </si>
  <si>
    <t>M590</t>
  </si>
  <si>
    <t>Type97S</t>
  </si>
  <si>
    <t>M1014</t>
  </si>
  <si>
    <t>CZ75</t>
  </si>
  <si>
    <t>Spitfire</t>
  </si>
  <si>
    <t>PKP</t>
  </si>
  <si>
    <t>ART556</t>
  </si>
  <si>
    <t>TMP</t>
  </si>
  <si>
    <t>KLIN</t>
  </si>
  <si>
    <t>F1</t>
  </si>
  <si>
    <t>PzB39</t>
  </si>
  <si>
    <t>T91</t>
  </si>
  <si>
    <t>Contender</t>
  </si>
  <si>
    <t>Ameli</t>
  </si>
  <si>
    <t>P226</t>
  </si>
  <si>
    <t>NS2000</t>
  </si>
  <si>
    <t>M12</t>
  </si>
  <si>
    <t>JS05</t>
  </si>
  <si>
    <t>T65</t>
  </si>
  <si>
    <t>K2</t>
  </si>
  <si>
    <t>Zas M21</t>
  </si>
  <si>
    <t>Carcano M1891</t>
  </si>
  <si>
    <t>Carcano M91/38</t>
  </si>
  <si>
    <t>XM3</t>
  </si>
  <si>
    <t>Gepard M1</t>
  </si>
  <si>
    <t>Ballista</t>
  </si>
  <si>
    <t>CZ2000</t>
  </si>
  <si>
    <t>HK21</t>
  </si>
  <si>
    <t>CZ52</t>
  </si>
  <si>
    <t>K5</t>
  </si>
  <si>
    <t>MDR</t>
  </si>
  <si>
    <t>XM8</t>
  </si>
  <si>
    <t>T77</t>
  </si>
  <si>
    <t>Model L</t>
  </si>
  <si>
    <t>Cx4 Storm</t>
  </si>
  <si>
    <t>OBR</t>
  </si>
  <si>
    <t>M82A1</t>
  </si>
  <si>
    <t>Px4 Storm</t>
  </si>
  <si>
    <t>SPR A3G</t>
  </si>
  <si>
    <t>K11</t>
  </si>
  <si>
    <t>Mk46</t>
  </si>
  <si>
    <t>P90</t>
  </si>
  <si>
    <t>K31</t>
  </si>
  <si>
    <t>Jericho</t>
  </si>
  <si>
    <t>Noel</t>
  </si>
  <si>
    <t>Elphelt</t>
  </si>
  <si>
    <t>CLEAR</t>
  </si>
  <si>
    <t>FAIL</t>
  </si>
  <si>
    <t>P22</t>
  </si>
  <si>
    <t>X95</t>
  </si>
  <si>
    <t>KSVK</t>
  </si>
  <si>
    <t>HS2000</t>
  </si>
  <si>
    <t>M200</t>
  </si>
  <si>
    <t>Falcon</t>
  </si>
  <si>
    <t>Magal</t>
  </si>
  <si>
    <t>Chauchat</t>
  </si>
  <si>
    <t>MG36</t>
  </si>
  <si>
    <t>HK33</t>
  </si>
  <si>
    <t>R93</t>
  </si>
  <si>
    <t>MP41</t>
  </si>
  <si>
    <t>P30</t>
  </si>
  <si>
    <t>ADS</t>
  </si>
  <si>
    <t>K3</t>
  </si>
  <si>
    <t>Kord</t>
  </si>
  <si>
    <t>ACR</t>
  </si>
  <si>
    <t>VP70</t>
  </si>
  <si>
    <t>Six12</t>
  </si>
  <si>
    <t>INSAS</t>
  </si>
  <si>
    <t>Liberator</t>
  </si>
  <si>
    <t>Zas M76</t>
  </si>
  <si>
    <t>en_name</t>
  </si>
  <si>
    <t>rank</t>
  </si>
  <si>
    <t>armor_piercing</t>
  </si>
  <si>
    <t>Type 56 R</t>
  </si>
  <si>
    <t>HK416</t>
  </si>
  <si>
    <t>Type 79</t>
  </si>
  <si>
    <t>Type 59</t>
  </si>
  <si>
    <t>PP1901</t>
  </si>
  <si>
    <t>G28</t>
  </si>
  <si>
    <t>HK45</t>
  </si>
  <si>
    <t>Ribeyrolles1918</t>
  </si>
  <si>
    <t>RFB</t>
  </si>
  <si>
    <t>Ak5</t>
  </si>
  <si>
    <t>HK23</t>
  </si>
  <si>
    <t>AN94</t>
  </si>
  <si>
    <t>AK12</t>
  </si>
  <si>
    <t>DTASRS</t>
  </si>
  <si>
    <t>Sakura</t>
  </si>
  <si>
    <t>M870P</t>
  </si>
  <si>
    <t>JS 9 mm</t>
  </si>
  <si>
    <t>Type03</t>
  </si>
  <si>
    <t>Type62</t>
  </si>
  <si>
    <t>Lewis</t>
  </si>
  <si>
    <t>Scout</t>
  </si>
  <si>
    <t>Type 4</t>
  </si>
  <si>
    <t>SSG3000</t>
  </si>
  <si>
    <t>CAWS</t>
  </si>
  <si>
    <t>SIG556</t>
  </si>
  <si>
    <t>HSM10</t>
  </si>
  <si>
    <t>Henrietta</t>
  </si>
  <si>
    <t>Rico</t>
  </si>
  <si>
    <t>Triela</t>
  </si>
  <si>
    <t>Claes</t>
  </si>
  <si>
    <t>Angelica</t>
  </si>
  <si>
    <t>M1911Mod</t>
  </si>
  <si>
    <t>Micro UziMod</t>
  </si>
  <si>
    <t>M14Mod</t>
  </si>
  <si>
    <t>M4A1Mod</t>
  </si>
  <si>
    <t>M4 SOPMOD IIMod</t>
  </si>
  <si>
    <t>AS ValMod</t>
  </si>
  <si>
    <t>HK416Mod</t>
  </si>
  <si>
    <t>M1918Mod</t>
  </si>
  <si>
    <t>LWMMGMod</t>
  </si>
  <si>
    <t>IDWMod</t>
  </si>
  <si>
    <t>M950AMod</t>
  </si>
  <si>
    <t>UMP9Mod</t>
  </si>
  <si>
    <t>UMP45Mod</t>
  </si>
  <si>
    <t>KSVKMod</t>
  </si>
  <si>
    <t>SAAMod</t>
  </si>
  <si>
    <t>Classes</t>
  </si>
  <si>
    <t>Mod</t>
  </si>
  <si>
    <t>Basic 1</t>
  </si>
  <si>
    <t>Basic 2</t>
  </si>
  <si>
    <t>Grow 1</t>
  </si>
  <si>
    <t>Grow 2</t>
  </si>
  <si>
    <t>Raw Inputs</t>
  </si>
  <si>
    <t>Unmod Basic</t>
  </si>
  <si>
    <t>Unmod Grow</t>
  </si>
  <si>
    <t>Doll Data</t>
  </si>
  <si>
    <t>armor</t>
  </si>
  <si>
    <t>Actual</t>
  </si>
  <si>
    <t>Level 1</t>
  </si>
  <si>
    <t>Links</t>
  </si>
  <si>
    <t>Rarity</t>
  </si>
  <si>
    <t>HG2</t>
  </si>
  <si>
    <t>HG3</t>
  </si>
  <si>
    <t>HG4</t>
  </si>
  <si>
    <t>HG5</t>
  </si>
  <si>
    <t>SMG2</t>
  </si>
  <si>
    <t>SMG3</t>
  </si>
  <si>
    <t>SMG4</t>
  </si>
  <si>
    <t>SMG5</t>
  </si>
  <si>
    <t>RF2</t>
  </si>
  <si>
    <t>RF3</t>
  </si>
  <si>
    <t>RF4</t>
  </si>
  <si>
    <t>RF5</t>
  </si>
  <si>
    <t>AR2</t>
  </si>
  <si>
    <t>AR3</t>
  </si>
  <si>
    <t>AR4</t>
  </si>
  <si>
    <t>AR5</t>
  </si>
  <si>
    <t>MG2</t>
  </si>
  <si>
    <t>MG4</t>
  </si>
  <si>
    <t>MG5</t>
  </si>
  <si>
    <t>SG2</t>
  </si>
  <si>
    <t>SG3</t>
  </si>
  <si>
    <t>SG4</t>
  </si>
  <si>
    <t>SG5</t>
  </si>
  <si>
    <t>HG6</t>
  </si>
  <si>
    <t>SMG6</t>
  </si>
  <si>
    <t>RF6</t>
  </si>
  <si>
    <t>AR6</t>
  </si>
  <si>
    <t>MG6</t>
  </si>
  <si>
    <t>SG6</t>
  </si>
  <si>
    <t>category</t>
  </si>
  <si>
    <t>speed</t>
  </si>
  <si>
    <t>critical_harm_rate</t>
  </si>
  <si>
    <t>critical_percent</t>
  </si>
  <si>
    <t>shield</t>
  </si>
  <si>
    <t>damage_amplify</t>
  </si>
  <si>
    <t>damage_reduction</t>
  </si>
  <si>
    <t>night_view_percent</t>
  </si>
  <si>
    <t>bullet_number_up</t>
  </si>
  <si>
    <t>skill_effect_per</t>
  </si>
  <si>
    <t>code</t>
  </si>
  <si>
    <t>develop_duration</t>
  </si>
  <si>
    <t>fit_guns</t>
  </si>
  <si>
    <t>5,8</t>
  </si>
  <si>
    <t>9,12</t>
  </si>
  <si>
    <t>13,16</t>
  </si>
  <si>
    <t>17,24</t>
  </si>
  <si>
    <t/>
  </si>
  <si>
    <t>1,1</t>
  </si>
  <si>
    <t>-1,-1</t>
  </si>
  <si>
    <t>1,2</t>
  </si>
  <si>
    <t>2,2</t>
  </si>
  <si>
    <t>-2,-2</t>
  </si>
  <si>
    <t>2,3</t>
  </si>
  <si>
    <t>3,5</t>
  </si>
  <si>
    <t>-4,-3</t>
  </si>
  <si>
    <t>4,6</t>
  </si>
  <si>
    <t>6,10</t>
  </si>
  <si>
    <t>-6,-4</t>
  </si>
  <si>
    <t>-2,-1</t>
  </si>
  <si>
    <t>7,10</t>
  </si>
  <si>
    <t>-3,-1</t>
  </si>
  <si>
    <t>11,15</t>
  </si>
  <si>
    <t>-4,-1</t>
  </si>
  <si>
    <t>51,55</t>
  </si>
  <si>
    <t>61,70</t>
  </si>
  <si>
    <t>76,85</t>
  </si>
  <si>
    <t>91,100</t>
  </si>
  <si>
    <t>45,55</t>
  </si>
  <si>
    <t>65,75</t>
  </si>
  <si>
    <t>90,100</t>
  </si>
  <si>
    <t>110,120</t>
  </si>
  <si>
    <t>27</t>
  </si>
  <si>
    <t>3,4</t>
  </si>
  <si>
    <t>5,7</t>
  </si>
  <si>
    <t>8,12</t>
  </si>
  <si>
    <t>36</t>
  </si>
  <si>
    <t>6,8</t>
  </si>
  <si>
    <t>10,12</t>
  </si>
  <si>
    <t>-6,-5</t>
  </si>
  <si>
    <t>14,16</t>
  </si>
  <si>
    <t>-8,-6</t>
  </si>
  <si>
    <t>20,25</t>
  </si>
  <si>
    <t>3,3</t>
  </si>
  <si>
    <t>4,5</t>
  </si>
  <si>
    <t>-3,-2</t>
  </si>
  <si>
    <t>46</t>
  </si>
  <si>
    <t>100,100</t>
  </si>
  <si>
    <t>-10,-5</t>
  </si>
  <si>
    <t>52</t>
  </si>
  <si>
    <t>54</t>
  </si>
  <si>
    <t>6,7</t>
  </si>
  <si>
    <t>1,8</t>
  </si>
  <si>
    <t>120,130</t>
  </si>
  <si>
    <t>12,16</t>
  </si>
  <si>
    <t>-5,-1</t>
  </si>
  <si>
    <t>57,20057</t>
  </si>
  <si>
    <t>-4,-2</t>
  </si>
  <si>
    <t>-8,-1</t>
  </si>
  <si>
    <t>75,20075</t>
  </si>
  <si>
    <t>-10,-6</t>
  </si>
  <si>
    <t>30,45</t>
  </si>
  <si>
    <t>20026,26</t>
  </si>
  <si>
    <t>9,11</t>
  </si>
  <si>
    <t>12,15</t>
  </si>
  <si>
    <t>-10,-7</t>
  </si>
  <si>
    <t>5,6</t>
  </si>
  <si>
    <t>7,9</t>
  </si>
  <si>
    <t>10,15</t>
  </si>
  <si>
    <t>8,8</t>
  </si>
  <si>
    <t>10,10</t>
  </si>
  <si>
    <t>15,15</t>
  </si>
  <si>
    <t>40,40</t>
  </si>
  <si>
    <t>32,32</t>
  </si>
  <si>
    <t>58,66</t>
  </si>
  <si>
    <t>25,25</t>
  </si>
  <si>
    <t>18,25</t>
  </si>
  <si>
    <t>2,4</t>
  </si>
  <si>
    <t>15,20</t>
  </si>
  <si>
    <t>39,20039</t>
  </si>
  <si>
    <t>-3,-3</t>
  </si>
  <si>
    <t>8,10</t>
  </si>
  <si>
    <t>-20,-20</t>
  </si>
  <si>
    <t>-10,-10</t>
  </si>
  <si>
    <t>101,102,103,20103,20101</t>
  </si>
  <si>
    <t>5,5</t>
  </si>
  <si>
    <t>118</t>
  </si>
  <si>
    <t>-5,-3</t>
  </si>
  <si>
    <t>185</t>
  </si>
  <si>
    <t>-7,-7</t>
  </si>
  <si>
    <t>20055,55</t>
  </si>
  <si>
    <t>20057,57</t>
  </si>
  <si>
    <t>8,11</t>
  </si>
  <si>
    <t>20002,2</t>
  </si>
  <si>
    <t>21,26</t>
  </si>
  <si>
    <t>20093,93</t>
  </si>
  <si>
    <t>20094,94</t>
  </si>
  <si>
    <t>20051,51</t>
  </si>
  <si>
    <t>24,24</t>
  </si>
  <si>
    <t>20065,65</t>
  </si>
  <si>
    <t>-25,-25</t>
  </si>
  <si>
    <t>20,20</t>
  </si>
  <si>
    <t>88</t>
  </si>
  <si>
    <t>42</t>
  </si>
  <si>
    <t>12,12</t>
  </si>
  <si>
    <t>20039,39</t>
  </si>
  <si>
    <t>20075,75</t>
  </si>
  <si>
    <t>20005,5</t>
  </si>
  <si>
    <t>20091,91</t>
  </si>
  <si>
    <t>20044,44</t>
  </si>
  <si>
    <t>1009</t>
  </si>
  <si>
    <t>1010</t>
  </si>
  <si>
    <t>69</t>
  </si>
  <si>
    <t>-6,-6</t>
  </si>
  <si>
    <t>20001,1</t>
  </si>
  <si>
    <t>20089,89</t>
  </si>
  <si>
    <t>20063,63</t>
  </si>
  <si>
    <t>15,18</t>
  </si>
  <si>
    <t>20103,103</t>
  </si>
  <si>
    <t>6,9</t>
  </si>
  <si>
    <t>20056,56</t>
  </si>
  <si>
    <t>62</t>
  </si>
  <si>
    <t>20029,29</t>
  </si>
  <si>
    <t>20037,37</t>
  </si>
  <si>
    <t>20064,64</t>
  </si>
  <si>
    <t>13,17</t>
  </si>
  <si>
    <t>20081,81</t>
  </si>
  <si>
    <t>18,18</t>
  </si>
  <si>
    <t>20007,7</t>
  </si>
  <si>
    <t>14,18</t>
  </si>
  <si>
    <t>20032,32</t>
  </si>
  <si>
    <t>10,14</t>
  </si>
  <si>
    <t>20060,60</t>
  </si>
  <si>
    <t>20061,61</t>
  </si>
  <si>
    <t>1017</t>
  </si>
  <si>
    <t>1022</t>
  </si>
  <si>
    <t>1019</t>
  </si>
  <si>
    <t>1018</t>
  </si>
  <si>
    <t>1020</t>
  </si>
  <si>
    <t>1021</t>
  </si>
  <si>
    <t>110</t>
  </si>
  <si>
    <t>158</t>
  </si>
  <si>
    <t>74</t>
  </si>
  <si>
    <t>12,14</t>
  </si>
  <si>
    <t>17</t>
  </si>
  <si>
    <t>11,13</t>
  </si>
  <si>
    <t>10</t>
  </si>
  <si>
    <t>20101,101</t>
  </si>
  <si>
    <t>7,11</t>
  </si>
  <si>
    <t>1,3</t>
  </si>
  <si>
    <t>20095,95</t>
  </si>
  <si>
    <t>50</t>
  </si>
  <si>
    <t>129,130</t>
  </si>
  <si>
    <t>84</t>
  </si>
  <si>
    <t>18</t>
  </si>
  <si>
    <t>3</t>
  </si>
  <si>
    <t>72</t>
  </si>
  <si>
    <t>31,20031</t>
  </si>
  <si>
    <t>12,20012</t>
  </si>
  <si>
    <t>228</t>
  </si>
  <si>
    <t>172</t>
  </si>
  <si>
    <t>53,20053</t>
  </si>
  <si>
    <t>7,20007</t>
  </si>
  <si>
    <t>38</t>
  </si>
  <si>
    <t>105</t>
  </si>
  <si>
    <t>163</t>
  </si>
  <si>
    <t>215</t>
  </si>
  <si>
    <t>16,20</t>
  </si>
  <si>
    <t>221,20221</t>
  </si>
  <si>
    <t>154,20154</t>
  </si>
  <si>
    <t>252,20252</t>
  </si>
  <si>
    <t>97,20097</t>
  </si>
  <si>
    <t>-4,-4</t>
  </si>
  <si>
    <t>127</t>
  </si>
  <si>
    <t>1024</t>
  </si>
  <si>
    <t>1027</t>
  </si>
  <si>
    <t>1026</t>
  </si>
  <si>
    <t>11,14</t>
  </si>
  <si>
    <t>1025</t>
  </si>
  <si>
    <t>1023</t>
  </si>
  <si>
    <t>122,20122</t>
  </si>
  <si>
    <t>124,20124</t>
  </si>
  <si>
    <t>143,20143</t>
  </si>
  <si>
    <t>161,20161</t>
  </si>
  <si>
    <t>113</t>
  </si>
  <si>
    <t>14</t>
  </si>
  <si>
    <t>92</t>
  </si>
  <si>
    <t>115</t>
  </si>
  <si>
    <t>126</t>
  </si>
  <si>
    <t>1028</t>
  </si>
  <si>
    <t>1029</t>
  </si>
  <si>
    <t>71,20071</t>
  </si>
  <si>
    <t>152,20152</t>
  </si>
  <si>
    <t>136,20136</t>
  </si>
  <si>
    <t>145</t>
  </si>
  <si>
    <t>133</t>
  </si>
  <si>
    <t>169</t>
  </si>
  <si>
    <t>270</t>
  </si>
  <si>
    <t>VFL2</t>
  </si>
  <si>
    <t>VFL3</t>
  </si>
  <si>
    <t>VFL4</t>
  </si>
  <si>
    <t>VFL5</t>
  </si>
  <si>
    <t>EOT2</t>
  </si>
  <si>
    <t>EOT3</t>
  </si>
  <si>
    <t>EOT4</t>
  </si>
  <si>
    <t>EOT5</t>
  </si>
  <si>
    <t>PEQ2</t>
  </si>
  <si>
    <t>PEQ3</t>
  </si>
  <si>
    <t>PEQ4</t>
  </si>
  <si>
    <t>PEQ5</t>
  </si>
  <si>
    <t>AP2</t>
  </si>
  <si>
    <t>AP3</t>
  </si>
  <si>
    <t>AP4</t>
  </si>
  <si>
    <t>AP5</t>
  </si>
  <si>
    <t>HV2</t>
  </si>
  <si>
    <t>HV3</t>
  </si>
  <si>
    <t>HV4</t>
  </si>
  <si>
    <t>HV5</t>
  </si>
  <si>
    <t>TExo2</t>
  </si>
  <si>
    <t>TExo3</t>
  </si>
  <si>
    <t>TExo4</t>
  </si>
  <si>
    <t>TExo5</t>
  </si>
  <si>
    <t>Armor3</t>
  </si>
  <si>
    <t>Armor4</t>
  </si>
  <si>
    <t>Armor5</t>
  </si>
  <si>
    <t>XExo2</t>
  </si>
  <si>
    <t>XExo3</t>
  </si>
  <si>
    <t>XExo4</t>
  </si>
  <si>
    <t>XExo5</t>
  </si>
  <si>
    <t>SPP2</t>
  </si>
  <si>
    <t>SPP3</t>
  </si>
  <si>
    <t>SPP4</t>
  </si>
  <si>
    <t>SPP5</t>
  </si>
  <si>
    <t>Ammo4</t>
  </si>
  <si>
    <t>Ammo5</t>
  </si>
  <si>
    <t>HP2</t>
  </si>
  <si>
    <t>HP3</t>
  </si>
  <si>
    <t>HP4</t>
  </si>
  <si>
    <t>HP5</t>
  </si>
  <si>
    <t>Buck2</t>
  </si>
  <si>
    <t>Buck3</t>
  </si>
  <si>
    <t>Buck4</t>
  </si>
  <si>
    <t>Buck5</t>
  </si>
  <si>
    <t>Slug2</t>
  </si>
  <si>
    <t>Slug3</t>
  </si>
  <si>
    <t>Slug4</t>
  </si>
  <si>
    <t>Slug5</t>
  </si>
  <si>
    <t>Cape2</t>
  </si>
  <si>
    <t>Cape3</t>
  </si>
  <si>
    <t>Cape4</t>
  </si>
  <si>
    <t>Cape5</t>
  </si>
  <si>
    <t>Doll Info</t>
  </si>
  <si>
    <t>gun_with_user_id</t>
  </si>
  <si>
    <t>equip_id</t>
  </si>
  <si>
    <t>equip_exp</t>
  </si>
  <si>
    <t>equip_level</t>
  </si>
  <si>
    <t>adjust_count</t>
  </si>
  <si>
    <t>last_adjust</t>
  </si>
  <si>
    <t>Talent</t>
  </si>
  <si>
    <t>skill_id</t>
  </si>
  <si>
    <t>quality_exp</t>
  </si>
  <si>
    <t>is_additional</t>
  </si>
  <si>
    <t>900110</t>
  </si>
  <si>
    <t>900111</t>
  </si>
  <si>
    <t>900103</t>
  </si>
  <si>
    <t>900101</t>
  </si>
  <si>
    <t>*6</t>
  </si>
  <si>
    <t>900104</t>
  </si>
  <si>
    <t>900102</t>
  </si>
  <si>
    <t>900108</t>
  </si>
  <si>
    <t>900109</t>
  </si>
  <si>
    <t>*8</t>
  </si>
  <si>
    <t>*9</t>
  </si>
  <si>
    <t>Landmines</t>
  </si>
  <si>
    <t>*10</t>
  </si>
  <si>
    <t>*11</t>
  </si>
  <si>
    <t>*12</t>
  </si>
  <si>
    <t>1000002</t>
  </si>
  <si>
    <t>1000001</t>
  </si>
  <si>
    <t>*15</t>
  </si>
  <si>
    <t>900117</t>
  </si>
  <si>
    <t>900151</t>
  </si>
  <si>
    <t>900155</t>
  </si>
  <si>
    <t>Nian</t>
  </si>
  <si>
    <t>900157</t>
  </si>
  <si>
    <t>900165</t>
  </si>
  <si>
    <t>*17</t>
  </si>
  <si>
    <t>900168</t>
  </si>
  <si>
    <t>900159</t>
  </si>
  <si>
    <t>901001</t>
  </si>
  <si>
    <t>*18</t>
  </si>
  <si>
    <t>*19</t>
  </si>
  <si>
    <t>902378</t>
  </si>
  <si>
    <t>900118</t>
  </si>
  <si>
    <t>Kaguya</t>
  </si>
  <si>
    <t>*1002</t>
  </si>
  <si>
    <t>Chloe</t>
  </si>
  <si>
    <t>900119</t>
  </si>
  <si>
    <t>*1004</t>
  </si>
  <si>
    <t>900152</t>
  </si>
  <si>
    <t>900153</t>
  </si>
  <si>
    <t>Anna</t>
  </si>
  <si>
    <t>900158</t>
  </si>
  <si>
    <t>fairy_id</t>
  </si>
  <si>
    <t>fairy_lv</t>
  </si>
  <si>
    <t>fairy_exp</t>
  </si>
  <si>
    <t>quality_lv</t>
  </si>
  <si>
    <t>skill_lv</t>
  </si>
  <si>
    <t>passive_skill</t>
  </si>
  <si>
    <t>passive_skill_collect</t>
  </si>
  <si>
    <t>exp1</t>
  </si>
  <si>
    <t>exp2</t>
  </si>
  <si>
    <t>exp3</t>
  </si>
  <si>
    <t>exp4</t>
  </si>
  <si>
    <t>exp5</t>
  </si>
  <si>
    <t>Fury</t>
  </si>
  <si>
    <t>Armor</t>
  </si>
  <si>
    <t>Shield</t>
  </si>
  <si>
    <t>Defense</t>
  </si>
  <si>
    <t>Taunt</t>
  </si>
  <si>
    <t>Sniper</t>
  </si>
  <si>
    <t>Artillery</t>
  </si>
  <si>
    <t>Airstrike</t>
  </si>
  <si>
    <t>Reinforcement</t>
  </si>
  <si>
    <t>Parachute</t>
  </si>
  <si>
    <t>Warrior</t>
  </si>
  <si>
    <t>Rocket</t>
  </si>
  <si>
    <t>Construction</t>
  </si>
  <si>
    <t>Command</t>
  </si>
  <si>
    <t>Rescue</t>
  </si>
  <si>
    <t>Illumination</t>
  </si>
  <si>
    <t>Golden</t>
  </si>
  <si>
    <t>Cooking</t>
  </si>
  <si>
    <t>Fireworks</t>
  </si>
  <si>
    <t>Beach</t>
  </si>
  <si>
    <t>Combo</t>
  </si>
  <si>
    <t>Twin</t>
  </si>
  <si>
    <t>Prototype</t>
  </si>
  <si>
    <t>Auspicious</t>
  </si>
  <si>
    <t>Desert</t>
  </si>
  <si>
    <t>Cheering</t>
  </si>
  <si>
    <t>Suee</t>
  </si>
  <si>
    <t>Preiya</t>
  </si>
  <si>
    <t>Sehra</t>
  </si>
  <si>
    <t>Damage 1</t>
  </si>
  <si>
    <t>Increases fire power by 12%</t>
  </si>
  <si>
    <t>Damage 2</t>
  </si>
  <si>
    <t>Increases fire power by 15%</t>
  </si>
  <si>
    <t>Accuracy 1</t>
  </si>
  <si>
    <t>Increases accuracy by 20%</t>
  </si>
  <si>
    <t>Accuracy 2</t>
  </si>
  <si>
    <t>increases accuracy by 25%</t>
  </si>
  <si>
    <t>Evasion 1</t>
  </si>
  <si>
    <t>Increases Evasion by 15%</t>
  </si>
  <si>
    <t>Evasion 2</t>
  </si>
  <si>
    <t>Increases Evasion by 20%</t>
  </si>
  <si>
    <t>Armor 1</t>
  </si>
  <si>
    <t>Increases armor by 8%</t>
  </si>
  <si>
    <t>Armor 2</t>
  </si>
  <si>
    <t>Increases armor by 10%</t>
  </si>
  <si>
    <t>Critical 1</t>
  </si>
  <si>
    <t>Increases Critical rate by 40%</t>
  </si>
  <si>
    <t>Critical 2</t>
  </si>
  <si>
    <t>Increases Critical rate by 50%</t>
  </si>
  <si>
    <t>Charge</t>
  </si>
  <si>
    <t>Increases SMG FP by 8% and evasion by 12%</t>
  </si>
  <si>
    <t>Assault</t>
  </si>
  <si>
    <t>Increases AR RoF by 8% and FP by 10%</t>
  </si>
  <si>
    <t>Aim</t>
  </si>
  <si>
    <t>Increases RF FP by 8% and RoF by 10%</t>
  </si>
  <si>
    <t>Sturdy</t>
  </si>
  <si>
    <t>Increases MG FP by 10% and accuracy by 15%</t>
  </si>
  <si>
    <t>Suppression</t>
  </si>
  <si>
    <t>Increases HG evasion by 10% and crit rate by 30%</t>
  </si>
  <si>
    <t>Keen</t>
  </si>
  <si>
    <t>Increases SG armor by 8% and crit rate by 20%</t>
  </si>
  <si>
    <t>Fervor</t>
  </si>
  <si>
    <t>10% FP buff every 8 seconds, 3 stacks max.</t>
  </si>
  <si>
    <t>ID</t>
  </si>
  <si>
    <t>Description</t>
  </si>
  <si>
    <t>SPEQ</t>
  </si>
  <si>
    <t>Type</t>
  </si>
  <si>
    <t>Calib %</t>
  </si>
  <si>
    <t>Equip #1</t>
  </si>
  <si>
    <t>Equip #2</t>
  </si>
  <si>
    <t>Equip #3</t>
  </si>
  <si>
    <t>AK47-1</t>
  </si>
  <si>
    <t>AK47-2</t>
  </si>
  <si>
    <t>AK47-3</t>
  </si>
  <si>
    <t>FAMAS</t>
  </si>
  <si>
    <t>Type95/97</t>
  </si>
  <si>
    <t>VFL</t>
  </si>
  <si>
    <t>EOT</t>
  </si>
  <si>
    <t>M38Mod</t>
  </si>
  <si>
    <t>M500Mod</t>
  </si>
  <si>
    <t>9A91</t>
  </si>
  <si>
    <t>Clear</t>
  </si>
  <si>
    <t>Fail</t>
  </si>
  <si>
    <t>PEQ</t>
  </si>
  <si>
    <t>AP</t>
  </si>
  <si>
    <t>Dorothy</t>
  </si>
  <si>
    <t>KS23</t>
  </si>
  <si>
    <t>AA12</t>
  </si>
  <si>
    <t>M1897Mod</t>
  </si>
  <si>
    <t>Stg44Mod</t>
  </si>
  <si>
    <t>OTs12</t>
  </si>
  <si>
    <t>HV</t>
  </si>
  <si>
    <t>MosinNagant</t>
  </si>
  <si>
    <t>MP5</t>
  </si>
  <si>
    <t>UMP</t>
  </si>
  <si>
    <t>Sei</t>
  </si>
  <si>
    <t>Exo</t>
  </si>
  <si>
    <t>Type97SMod</t>
  </si>
  <si>
    <t>G41</t>
  </si>
  <si>
    <t>Dana</t>
  </si>
  <si>
    <t>Stella</t>
  </si>
  <si>
    <t>Alma</t>
  </si>
  <si>
    <t>TAR21</t>
  </si>
  <si>
    <t>StechkinMod</t>
  </si>
  <si>
    <t>Type64Mod</t>
  </si>
  <si>
    <t>Ammo</t>
  </si>
  <si>
    <t>Cape</t>
  </si>
  <si>
    <t>BrenMod</t>
  </si>
  <si>
    <t>SIG510</t>
  </si>
  <si>
    <t>C96Mod</t>
  </si>
  <si>
    <t>ClaesSpectacles</t>
  </si>
  <si>
    <t>ClaesMeteorite</t>
  </si>
  <si>
    <t>ClaesWristwatch</t>
  </si>
  <si>
    <t>Serdyukov</t>
  </si>
  <si>
    <t>SCW</t>
  </si>
  <si>
    <t>100Shiki</t>
  </si>
  <si>
    <t>Shell</t>
  </si>
  <si>
    <t>SPP</t>
  </si>
  <si>
    <t>JillKarmotrine1</t>
  </si>
  <si>
    <t>JillAdelhyde1</t>
  </si>
  <si>
    <t>JillFlanergide</t>
  </si>
  <si>
    <t>JillKarmotrine2</t>
  </si>
  <si>
    <t>JillAdelhyde2</t>
  </si>
  <si>
    <t>JillBronsonExtract</t>
  </si>
  <si>
    <t>JillKarmotrine3</t>
  </si>
  <si>
    <t>Level \ *</t>
  </si>
  <si>
    <t>Inputs</t>
  </si>
  <si>
    <t>Fairy Info</t>
  </si>
  <si>
    <t>Doll Exp</t>
  </si>
  <si>
    <t>Fairy Exp</t>
  </si>
  <si>
    <t>Equipment Exp</t>
  </si>
  <si>
    <t>Fairy #</t>
  </si>
  <si>
    <t>Skill</t>
  </si>
  <si>
    <t>Doll:</t>
  </si>
  <si>
    <t>Equip:</t>
  </si>
  <si>
    <t>Fairy:</t>
  </si>
  <si>
    <t>3263200];</t>
  </si>
  <si>
    <t>Turn:</t>
  </si>
  <si>
    <t>Mission:</t>
  </si>
  <si>
    <t>Line #</t>
  </si>
  <si>
    <t>fairy_skill_on_team</t>
  </si>
  <si>
    <t>fairy_skill_on_enemy</t>
  </si>
  <si>
    <t>turn</t>
  </si>
  <si>
    <t>field</t>
  </si>
  <si>
    <t>Value</t>
  </si>
  <si>
    <t>KR Sim Grid Numbers:</t>
  </si>
  <si>
    <t>Strategy Fairy Inputs:</t>
  </si>
  <si>
    <t>Buff</t>
  </si>
  <si>
    <t>EMP Input:</t>
  </si>
  <si>
    <t>Sim:</t>
  </si>
  <si>
    <t>M1895Mod</t>
  </si>
  <si>
    <t>QJY88</t>
  </si>
  <si>
    <t>Type80</t>
  </si>
  <si>
    <t>Mk12</t>
  </si>
  <si>
    <t>M1A1</t>
  </si>
  <si>
    <t>M2HB</t>
  </si>
  <si>
    <t>R5</t>
  </si>
  <si>
    <t>Type89</t>
  </si>
  <si>
    <t>Webley</t>
  </si>
  <si>
    <t>CF05</t>
  </si>
  <si>
    <t>SL8</t>
  </si>
  <si>
    <t>M82</t>
  </si>
  <si>
    <t>Vepr</t>
  </si>
  <si>
    <t>CAR</t>
  </si>
  <si>
    <t>SAF</t>
  </si>
  <si>
    <t>Tabuk</t>
  </si>
  <si>
    <t>C14</t>
  </si>
  <si>
    <t>WKp</t>
  </si>
  <si>
    <t>Rex Zero 1</t>
  </si>
  <si>
    <t>Lusa</t>
  </si>
  <si>
    <t>GeneralLiu</t>
  </si>
  <si>
    <t>MondragonM1908</t>
  </si>
  <si>
    <t>VHS</t>
  </si>
  <si>
    <t>PM1910</t>
  </si>
  <si>
    <t>GM6 Lynx</t>
  </si>
  <si>
    <t>TS12</t>
  </si>
  <si>
    <t>LTLX7000</t>
  </si>
  <si>
    <t>M6 ASW</t>
  </si>
  <si>
    <t>HK512</t>
  </si>
  <si>
    <t>SVCh</t>
  </si>
  <si>
    <t>Kolibri</t>
  </si>
  <si>
    <t>Derringer</t>
  </si>
  <si>
    <t>VP1915</t>
  </si>
  <si>
    <t>Savage 99</t>
  </si>
  <si>
    <t>Fedorov</t>
  </si>
  <si>
    <t>Kiana</t>
  </si>
  <si>
    <t>Mei</t>
  </si>
  <si>
    <t>Bronya</t>
  </si>
  <si>
    <t>Theresa</t>
  </si>
  <si>
    <t>Himeko</t>
  </si>
  <si>
    <t>Seele</t>
  </si>
  <si>
    <t>RO635Mod</t>
  </si>
  <si>
    <t>F1Mod</t>
  </si>
  <si>
    <t>STEN MkII</t>
  </si>
  <si>
    <t>STEN MkIIMod</t>
  </si>
  <si>
    <t>Type 56 RMod</t>
  </si>
  <si>
    <t>StG44Mod</t>
  </si>
  <si>
    <t>Galil Mod</t>
  </si>
  <si>
    <t>Super SASSMod</t>
  </si>
  <si>
    <t>Type80Mod</t>
  </si>
  <si>
    <t>Welrod MkIIMod</t>
  </si>
  <si>
    <t>Welrod MkII</t>
  </si>
  <si>
    <t>M1895CB</t>
  </si>
  <si>
    <t>64Shiki</t>
  </si>
  <si>
    <t>Type88Mod</t>
  </si>
  <si>
    <t>Galil</t>
  </si>
  <si>
    <t>AUG Para</t>
  </si>
  <si>
    <t>JillPowderedDelta</t>
  </si>
  <si>
    <t>enemy_team_id</t>
  </si>
  <si>
    <t>boss_hp</t>
  </si>
  <si>
    <t>spot_belong</t>
  </si>
  <si>
    <t>fairy_skill</t>
  </si>
  <si>
    <t>squad_skill</t>
  </si>
  <si>
    <t>Boss HP:</t>
  </si>
  <si>
    <t>Fairy Skill:</t>
  </si>
  <si>
    <t>HOC Support:</t>
  </si>
  <si>
    <t>Inputs Per Doll - Accounting for Mod/Unmod</t>
  </si>
  <si>
    <t>Inputs Per Doll - Assuming Unmod</t>
  </si>
  <si>
    <t>Base Stats</t>
  </si>
  <si>
    <t>Selection</t>
  </si>
  <si>
    <t>This spreadsheet will generate/modify the JSON files needed for the KR Battle Sim based on user inputs.</t>
  </si>
  <si>
    <t>JSON File Paths (autogenerated; assumes workbook is in parent directory):</t>
  </si>
  <si>
    <t>Turn 1:</t>
  </si>
  <si>
    <t>"fairy_skill_on_enemy":"{\"1\":{\"1\":{\"enemy_instance_id\":1,\"buff_id\":\"1000001\",\"source_type\":2,\"source_value\":90325,\"start_turn\":\"1\",\"battle_count\":0,\"battle_finish_count\":0,\"person_move_count\":0,\"mission_skill_config_id\":\"8120725\"}}}",</t>
  </si>
  <si>
    <t>HOC #</t>
  </si>
  <si>
    <t>BGM-71</t>
  </si>
  <si>
    <t>AGS-30</t>
  </si>
  <si>
    <t>2B14</t>
  </si>
  <si>
    <t>M2</t>
  </si>
  <si>
    <t>AT4</t>
  </si>
  <si>
    <t>QLZ-04</t>
  </si>
  <si>
    <t>SMAW</t>
  </si>
  <si>
    <t>HOC Exp</t>
  </si>
  <si>
    <t>Pierce</t>
  </si>
  <si>
    <t>Lethality</t>
  </si>
  <si>
    <t>Precision</t>
  </si>
  <si>
    <t>Reload</t>
  </si>
  <si>
    <t>squad_id</t>
  </si>
  <si>
    <t>squad_exp</t>
  </si>
  <si>
    <t>squad_level</t>
  </si>
  <si>
    <t>advanced_level</t>
  </si>
  <si>
    <t>curr_def</t>
  </si>
  <si>
    <t>assist_damage</t>
  </si>
  <si>
    <t>assist_reload</t>
  </si>
  <si>
    <t>assist_hit</t>
  </si>
  <si>
    <t>assist_def_break</t>
  </si>
  <si>
    <t>damage</t>
  </si>
  <si>
    <t>atk_speed</t>
  </si>
  <si>
    <t>def</t>
  </si>
  <si>
    <t>skill3</t>
  </si>
  <si>
    <t>HOC Min Stats</t>
  </si>
  <si>
    <t>Final Combat Stats</t>
  </si>
  <si>
    <t>HOC:</t>
  </si>
  <si>
    <t>Chip:</t>
  </si>
  <si>
    <t>48</t>
  </si>
  <si>
    <t>49,20049</t>
  </si>
  <si>
    <t>114,20114</t>
  </si>
  <si>
    <t>20178,178</t>
  </si>
  <si>
    <t>199,20199</t>
  </si>
  <si>
    <t>302</t>
  </si>
  <si>
    <t>21</t>
  </si>
  <si>
    <t>SIG MCX</t>
  </si>
  <si>
    <t>DeLisle</t>
  </si>
  <si>
    <t>-20,-10</t>
  </si>
  <si>
    <t>-30,-15</t>
  </si>
  <si>
    <t>94,20094</t>
  </si>
  <si>
    <t>80</t>
  </si>
  <si>
    <t>13,15</t>
  </si>
  <si>
    <t>50,60</t>
  </si>
  <si>
    <t>70,80</t>
  </si>
  <si>
    <t>-5,-5</t>
  </si>
  <si>
    <t>190,200</t>
  </si>
  <si>
    <t>240,250</t>
  </si>
  <si>
    <t>-50,-50</t>
  </si>
  <si>
    <t>16</t>
  </si>
  <si>
    <t>PPSh41</t>
  </si>
  <si>
    <t>Flashbang</t>
  </si>
  <si>
    <t>Chip5</t>
  </si>
  <si>
    <t>Chip4</t>
  </si>
  <si>
    <t>Chip3</t>
  </si>
  <si>
    <t>Birdshot5</t>
  </si>
  <si>
    <t>Birdshot4</t>
  </si>
  <si>
    <t>SLAP5</t>
  </si>
  <si>
    <t>SLAP4</t>
  </si>
  <si>
    <t>Flare</t>
  </si>
  <si>
    <t>New</t>
  </si>
  <si>
    <t>AgentVectorHP</t>
  </si>
  <si>
    <t>AgentVectorTExo</t>
  </si>
  <si>
    <t>AgentVectorSPP</t>
  </si>
  <si>
    <t>Agent416VFL</t>
  </si>
  <si>
    <t>Agent416HV</t>
  </si>
  <si>
    <t>Agent416XExo</t>
  </si>
  <si>
    <t>RMR3</t>
  </si>
  <si>
    <t>RMR4</t>
  </si>
  <si>
    <t>RMR5</t>
  </si>
  <si>
    <t>Barrier</t>
  </si>
  <si>
    <t>https://github.com/randomqwerty/GFLBattleSim-JSONGenerator</t>
  </si>
  <si>
    <t>MG4Mod</t>
  </si>
  <si>
    <t>RMB93Mod</t>
  </si>
  <si>
    <t>XM3Mod</t>
  </si>
  <si>
    <t>125,20125</t>
  </si>
  <si>
    <t>8,20008</t>
  </si>
  <si>
    <t>95,20095</t>
  </si>
  <si>
    <t>10,20</t>
  </si>
  <si>
    <t>96</t>
  </si>
  <si>
    <t>300,300</t>
  </si>
  <si>
    <t>159,20159</t>
  </si>
  <si>
    <t>200,20200</t>
  </si>
  <si>
    <t>MakarovMod</t>
  </si>
  <si>
    <t>Buff ID</t>
  </si>
  <si>
    <t>Config ID</t>
  </si>
  <si>
    <t>Combo 1</t>
  </si>
  <si>
    <t>Combo 2</t>
  </si>
  <si>
    <t>Combo 3</t>
  </si>
  <si>
    <t>Buffs:</t>
  </si>
  <si>
    <t>Config:</t>
  </si>
  <si>
    <t>Buff #</t>
  </si>
  <si>
    <t>EMP</t>
  </si>
  <si>
    <t>Enter fairy info below - recommended to use name dropdown:</t>
  </si>
  <si>
    <t>Enter doll #'s in formation:</t>
  </si>
  <si>
    <t>1 Stack</t>
  </si>
  <si>
    <t>2 Stack</t>
  </si>
  <si>
    <t>3 Stack</t>
  </si>
  <si>
    <t>Base:</t>
  </si>
  <si>
    <t>Skill:</t>
  </si>
  <si>
    <t>None</t>
  </si>
  <si>
    <t>"fairy_skill_on_enemy": "[]",</t>
  </si>
  <si>
    <t>"fairy_skill_on_team": "[]",</t>
  </si>
  <si>
    <t>Actual Turn:</t>
  </si>
  <si>
    <t>Auspicious Input:</t>
  </si>
  <si>
    <t>"fairy_skill_on_enemy":"{\"1\":{\"1\":{\"enemy_instance_id\":1,\"buff_id\":\"1811\",\"source_type\":2,\"source_value\":90325,\"start_turn\":\"1\",\"battle_count\":0,\"battle_finish_count\":0,\"person_move_count\":0,\"mission_skill_config_id\":\"1801\"}}}",</t>
  </si>
  <si>
    <t>Custom Stats?</t>
  </si>
  <si>
    <t>Actual SL:</t>
  </si>
  <si>
    <t>HP/Link</t>
  </si>
  <si>
    <t>White</t>
  </si>
  <si>
    <t>DR - KSVK/Liu</t>
  </si>
  <si>
    <t>DR - 416/NTW</t>
  </si>
  <si>
    <t>Ech Preset:</t>
  </si>
  <si>
    <t>Dropdown List</t>
  </si>
  <si>
    <t>Sandstorm</t>
  </si>
  <si>
    <t>Cheer</t>
  </si>
  <si>
    <t>Zodiac</t>
  </si>
  <si>
    <t>Flex talent</t>
  </si>
  <si>
    <t>DR - 416/Kord/Grape</t>
  </si>
  <si>
    <t>character</t>
  </si>
  <si>
    <t>formation</t>
  </si>
  <si>
    <t>resolution</t>
  </si>
  <si>
    <t>shape_scale</t>
  </si>
  <si>
    <t>ap_cost</t>
  </si>
  <si>
    <t>skill_advance</t>
  </si>
  <si>
    <t>Scarecrow</t>
  </si>
  <si>
    <t>2,4,6</t>
  </si>
  <si>
    <t>80,120</t>
  </si>
  <si>
    <t>Excutioner</t>
  </si>
  <si>
    <t>2,4,5</t>
  </si>
  <si>
    <t>Hunter</t>
  </si>
  <si>
    <t>Intruder</t>
  </si>
  <si>
    <t>Destroyer</t>
  </si>
  <si>
    <t>Weaver</t>
  </si>
  <si>
    <t>Alchemist</t>
  </si>
  <si>
    <t>Dreamer</t>
  </si>
  <si>
    <t>Gager</t>
  </si>
  <si>
    <t>Justice</t>
  </si>
  <si>
    <t>1,4,6</t>
  </si>
  <si>
    <t>Agent</t>
  </si>
  <si>
    <t>Nyto_black</t>
  </si>
  <si>
    <t>Nyto_white</t>
  </si>
  <si>
    <t>Brute</t>
  </si>
  <si>
    <t>Dragoon</t>
  </si>
  <si>
    <t>Aegis</t>
  </si>
  <si>
    <t>1,4,5</t>
  </si>
  <si>
    <t>Nemeum</t>
  </si>
  <si>
    <t>1,3,6</t>
  </si>
  <si>
    <t>Tarantula</t>
  </si>
  <si>
    <t>1,3,5</t>
  </si>
  <si>
    <t>Manticore</t>
  </si>
  <si>
    <t>Guard_SWAP</t>
  </si>
  <si>
    <t>Ripper_SWAP</t>
  </si>
  <si>
    <t>Vespid_SWAP</t>
  </si>
  <si>
    <t>Prowler_SWAP</t>
  </si>
  <si>
    <t>2,3,5</t>
  </si>
  <si>
    <t>Dragoon_SWAP</t>
  </si>
  <si>
    <t>Striker_SWAP</t>
  </si>
  <si>
    <t>Aegis_SWAP</t>
  </si>
  <si>
    <t>Ripper</t>
  </si>
  <si>
    <t>Vespid</t>
  </si>
  <si>
    <t>Guard</t>
  </si>
  <si>
    <t>Jaeger</t>
  </si>
  <si>
    <t>Striker</t>
  </si>
  <si>
    <t>Dinergate</t>
  </si>
  <si>
    <t>Scouts</t>
  </si>
  <si>
    <t>Prowler</t>
  </si>
  <si>
    <t>Jaguar</t>
  </si>
  <si>
    <t>2,3,6</t>
  </si>
  <si>
    <t>Golyat_Factory</t>
  </si>
  <si>
    <t>dev_time</t>
  </si>
  <si>
    <t>ExtraAmmo</t>
  </si>
  <si>
    <t>AmmoReduce</t>
  </si>
  <si>
    <t>ArmyPower</t>
  </si>
  <si>
    <t>SupportPower</t>
  </si>
  <si>
    <t>sangvis_id</t>
  </si>
  <si>
    <t>sangvis_exp</t>
  </si>
  <si>
    <t>sangvis_level</t>
  </si>
  <si>
    <t>sangvis_advance</t>
  </si>
  <si>
    <t>sangvis_resolution</t>
  </si>
  <si>
    <t>sangvis_resolution_level</t>
  </si>
  <si>
    <t>sangvis_shape_n</t>
  </si>
  <si>
    <t>sangvis_is_special</t>
  </si>
  <si>
    <t>chip1</t>
  </si>
  <si>
    <t>chip2</t>
  </si>
  <si>
    <t>sign</t>
  </si>
  <si>
    <t>group_id</t>
  </si>
  <si>
    <t>info</t>
  </si>
  <si>
    <t>SF #</t>
  </si>
  <si>
    <t>Chip</t>
  </si>
  <si>
    <t>Resolution</t>
  </si>
  <si>
    <t>XL</t>
  </si>
  <si>
    <t>Size</t>
  </si>
  <si>
    <t>lv</t>
  </si>
  <si>
    <t>SF Exp</t>
  </si>
  <si>
    <t>Sangvis Info</t>
  </si>
  <si>
    <t>Base Stars</t>
  </si>
  <si>
    <t>Total Stars</t>
  </si>
  <si>
    <t>G&amp;K Echelon Setup</t>
  </si>
  <si>
    <t>SF Echelon Setup</t>
  </si>
  <si>
    <t>Echelon:</t>
  </si>
  <si>
    <t>BOSS</t>
  </si>
  <si>
    <t>Elite</t>
  </si>
  <si>
    <t>Regular</t>
  </si>
  <si>
    <t>Size Factors</t>
  </si>
  <si>
    <t>S</t>
  </si>
  <si>
    <t>M</t>
  </si>
  <si>
    <t>L</t>
  </si>
  <si>
    <t>if_skill_up</t>
  </si>
  <si>
    <t>resolution_number</t>
  </si>
  <si>
    <t>resolution_hp</t>
  </si>
  <si>
    <t>resolution_pow</t>
  </si>
  <si>
    <t>resolution_rate</t>
  </si>
  <si>
    <t>resolution_hit</t>
  </si>
  <si>
    <t>resolution_dodge</t>
  </si>
  <si>
    <t>resolution_armor</t>
  </si>
  <si>
    <t>resolution_armor_piercing</t>
  </si>
  <si>
    <t>resolution_crit</t>
  </si>
  <si>
    <t>resolution_crit_dmg</t>
  </si>
  <si>
    <t>resolution_speed</t>
  </si>
  <si>
    <t>resolution_effect</t>
  </si>
  <si>
    <t>Basic Factors</t>
  </si>
  <si>
    <t>HP Calculation</t>
  </si>
  <si>
    <t>Basic</t>
  </si>
  <si>
    <t>ratio_HP</t>
  </si>
  <si>
    <t>advance_HP</t>
  </si>
  <si>
    <t>Star Factors</t>
  </si>
  <si>
    <t>XS</t>
  </si>
  <si>
    <t>Raw Inputs - from sangvis_type/resolution/advance JSONs</t>
  </si>
  <si>
    <t>Calculations referenced from:</t>
  </si>
  <si>
    <t xml:space="preserve">https://bbs.nga.cn/read.php?tid=20891117&amp;rand=438 </t>
  </si>
  <si>
    <r>
      <t xml:space="preserve">Base </t>
    </r>
    <r>
      <rPr>
        <sz val="11"/>
        <rFont val="Calibri"/>
        <family val="2"/>
      </rPr>
      <t>★</t>
    </r>
  </si>
  <si>
    <t>★</t>
  </si>
  <si>
    <t>NightAccuracy</t>
  </si>
  <si>
    <t>ExtraAP</t>
  </si>
  <si>
    <t>desc</t>
  </si>
  <si>
    <t>Increases vision range by 1 at night</t>
  </si>
  <si>
    <t>Reduces night battle penalty by 100%</t>
  </si>
  <si>
    <t>NightRange</t>
  </si>
  <si>
    <t>PickPocket</t>
  </si>
  <si>
    <t>QuickResupply</t>
  </si>
  <si>
    <t>Weaken</t>
  </si>
  <si>
    <t>Defend</t>
  </si>
  <si>
    <t>FightingSpirit</t>
  </si>
  <si>
    <t>LoneWolf</t>
  </si>
  <si>
    <t>Echelon does not consume AP for one move</t>
  </si>
  <si>
    <t>Echelon can carry extra Ammo and Rations</t>
  </si>
  <si>
    <t>Echelon does not consume Ammo/Ratios and has +15% FP</t>
  </si>
  <si>
    <t>Can pickpocket from an adjacent enemy</t>
  </si>
  <si>
    <t>Can call in an airdrop to resupply</t>
  </si>
  <si>
    <t>Reduce enemy FP by 12%</t>
  </si>
  <si>
    <t>All friendly echelons within 3 nodes get a 6% FP buff</t>
  </si>
  <si>
    <t>If there are no adjacent echelons, gain a 10% FP buff</t>
  </si>
  <si>
    <t>When fighting on a node you own, gain a 100% evasion and 50% armor buff</t>
  </si>
  <si>
    <t>The more units in the echelon, the higher the FP buff, up to 15%</t>
  </si>
  <si>
    <t>The damage of the unit that enters a battle with reinforcements (?) from a friendly echelon within 2 blocks will be increased by 20%</t>
  </si>
  <si>
    <t>Resol. #</t>
  </si>
  <si>
    <t>Resol. HP</t>
  </si>
  <si>
    <t>Formation #</t>
  </si>
  <si>
    <t>Final HP</t>
  </si>
  <si>
    <t>Enter SF #'s in formation:</t>
  </si>
  <si>
    <t>SF:</t>
  </si>
  <si>
    <t>SF Team:</t>
  </si>
  <si>
    <t>SF Chip:</t>
  </si>
  <si>
    <t>chip_id</t>
  </si>
  <si>
    <t>sangvis_with_user_id</t>
  </si>
  <si>
    <t>chip_slot</t>
  </si>
  <si>
    <t>{</t>
  </si>
  <si>
    <t>Custom HP?</t>
  </si>
  <si>
    <t>Enter up to 3 strategy skills below (no dupes):</t>
  </si>
  <si>
    <t>Enter "X" below to enable enemy debuffs (max 1):</t>
  </si>
  <si>
    <t>Enter SF info below - recommended to use dropdowns where available, read comments for more details on inputs</t>
  </si>
  <si>
    <t>ratio_life</t>
  </si>
  <si>
    <t>ratio_pow</t>
  </si>
  <si>
    <t>ratio_rate</t>
  </si>
  <si>
    <t>ratio_hit</t>
  </si>
  <si>
    <t>ratio_dodge</t>
  </si>
  <si>
    <t>ratio_armor</t>
  </si>
  <si>
    <t>eat_ratio</t>
  </si>
  <si>
    <t>normal_attack</t>
  </si>
  <si>
    <t>dynamic_passive_skill</t>
  </si>
  <si>
    <t>type_equip1</t>
  </si>
  <si>
    <t>type_equip2</t>
  </si>
  <si>
    <t>type_equip3</t>
  </si>
  <si>
    <t>1;4,13,16</t>
  </si>
  <si>
    <t>2;6</t>
  </si>
  <si>
    <t>3;10</t>
  </si>
  <si>
    <t>900156,999999</t>
  </si>
  <si>
    <t>200422,756001</t>
  </si>
  <si>
    <t>120001,120002,120003,120004,120005,120006,120008,120010,120011</t>
  </si>
  <si>
    <t>800502,800501,999999</t>
  </si>
  <si>
    <t>999999</t>
  </si>
  <si>
    <t>803602</t>
  </si>
  <si>
    <t>702030,999999</t>
  </si>
  <si>
    <t>200421</t>
  </si>
  <si>
    <t>3;9,10</t>
  </si>
  <si>
    <t>1;1,2,3,4,13</t>
  </si>
  <si>
    <t>200486,900156</t>
  </si>
  <si>
    <t>200486</t>
  </si>
  <si>
    <t>PP2000</t>
  </si>
  <si>
    <t>710802</t>
  </si>
  <si>
    <t>108403</t>
  </si>
  <si>
    <t>900156,200427,999999</t>
  </si>
  <si>
    <t>900273</t>
  </si>
  <si>
    <t>802709,802711</t>
  </si>
  <si>
    <t>300113,501032,999999</t>
  </si>
  <si>
    <t>2;5</t>
  </si>
  <si>
    <t>1;1,2,3,13</t>
  </si>
  <si>
    <t>3;15</t>
  </si>
  <si>
    <t>501032</t>
  </si>
  <si>
    <t>501032,999999</t>
  </si>
  <si>
    <t>511030</t>
  </si>
  <si>
    <t>501033</t>
  </si>
  <si>
    <t>501030,999999</t>
  </si>
  <si>
    <t>801411</t>
  </si>
  <si>
    <t>900221,702039</t>
  </si>
  <si>
    <t>710807</t>
  </si>
  <si>
    <t>999999,992227</t>
  </si>
  <si>
    <t>FN49</t>
  </si>
  <si>
    <t>900156,200428,201007,702027</t>
  </si>
  <si>
    <t>2;8</t>
  </si>
  <si>
    <t>200412,201434,201001,202001,702016,702026</t>
  </si>
  <si>
    <t>200464,200413,900156,200417,201432,201005,202007,702020</t>
  </si>
  <si>
    <t>201436,201002,202006,702017</t>
  </si>
  <si>
    <t>802605</t>
  </si>
  <si>
    <t>802505,802501</t>
  </si>
  <si>
    <t>702033</t>
  </si>
  <si>
    <t>G3</t>
  </si>
  <si>
    <t>G36</t>
  </si>
  <si>
    <t>200411,200406,200414,900156,202004,702018,702025,756002</t>
  </si>
  <si>
    <t>900156</t>
  </si>
  <si>
    <t>FNC</t>
  </si>
  <si>
    <t>300201,300202</t>
  </si>
  <si>
    <t>2;5,17</t>
  </si>
  <si>
    <t>1;1,2,3,16</t>
  </si>
  <si>
    <t>3;14</t>
  </si>
  <si>
    <t>300201,300202,999999</t>
  </si>
  <si>
    <t>M249SAW</t>
  </si>
  <si>
    <t>300201,300202,802204,802206,999999</t>
  </si>
  <si>
    <t>FNP9</t>
  </si>
  <si>
    <t>710805,999999</t>
  </si>
  <si>
    <t>710806,999999</t>
  </si>
  <si>
    <t>803010,999999</t>
  </si>
  <si>
    <t>100506</t>
  </si>
  <si>
    <t>Mk23</t>
  </si>
  <si>
    <t>200431,200407,900156,200415,202003</t>
  </si>
  <si>
    <t>106502,106503,106504,106505,106506,106507,106508,106509,106510,106511,106512,106513</t>
  </si>
  <si>
    <t>200431,200407,900156,200420,202002,702019,702024,756001</t>
  </si>
  <si>
    <t>102118</t>
  </si>
  <si>
    <t>F2000</t>
  </si>
  <si>
    <t>300202,200102,200203,200204,200205,200202</t>
  </si>
  <si>
    <t>200416</t>
  </si>
  <si>
    <t>G11</t>
  </si>
  <si>
    <t>301401,301402,200411,200406,200419,202005</t>
  </si>
  <si>
    <t>501032,900884,999999</t>
  </si>
  <si>
    <t>300201,300202,803926</t>
  </si>
  <si>
    <t>900156,702037</t>
  </si>
  <si>
    <t>702029</t>
  </si>
  <si>
    <t>2;5,8</t>
  </si>
  <si>
    <t>USPCompact</t>
  </si>
  <si>
    <t>200474,200432,200425,201431,201006,202008,702015</t>
  </si>
  <si>
    <t>501033,999999</t>
  </si>
  <si>
    <t>710804</t>
  </si>
  <si>
    <t>301604</t>
  </si>
  <si>
    <t>702031</t>
  </si>
  <si>
    <t>300202,300203</t>
  </si>
  <si>
    <t>3;11</t>
  </si>
  <si>
    <t>2;7</t>
  </si>
  <si>
    <t>1;1,2,3,4</t>
  </si>
  <si>
    <t>300202,300203,999999</t>
  </si>
  <si>
    <t>300202,300203,710803</t>
  </si>
  <si>
    <t>KSG</t>
  </si>
  <si>
    <t>300202,300203,300109,999999</t>
  </si>
  <si>
    <t>300202,300203,300109</t>
  </si>
  <si>
    <t>300202,300203,114003</t>
  </si>
  <si>
    <t>110019,114002</t>
  </si>
  <si>
    <t>110024,110025,110026</t>
  </si>
  <si>
    <t>300801</t>
  </si>
  <si>
    <t>900222</t>
  </si>
  <si>
    <t>106702</t>
  </si>
  <si>
    <t>106711,106721,106731</t>
  </si>
  <si>
    <t>2;5,6</t>
  </si>
  <si>
    <t>300201,300202,702033</t>
  </si>
  <si>
    <t>106902,106903,106904,300202,702036</t>
  </si>
  <si>
    <t>107702,107708,107709,107710,107712</t>
  </si>
  <si>
    <t>107703,107704,107705,107706,107711,107714,107715</t>
  </si>
  <si>
    <t>108004,900156</t>
  </si>
  <si>
    <t>108005</t>
  </si>
  <si>
    <t>107806</t>
  </si>
  <si>
    <t>107804,107807</t>
  </si>
  <si>
    <t>107904</t>
  </si>
  <si>
    <t>107902,107905,107906,107908</t>
  </si>
  <si>
    <t>902240</t>
  </si>
  <si>
    <t>803807</t>
  </si>
  <si>
    <t>108806</t>
  </si>
  <si>
    <t>108801,108804,108805</t>
  </si>
  <si>
    <t>108608,108609,108610,108611,200426,201439,201004,702028,200405</t>
  </si>
  <si>
    <t>108703,108704,108705</t>
  </si>
  <si>
    <t>109005,109002,109003,109004</t>
  </si>
  <si>
    <t>112605</t>
  </si>
  <si>
    <t>112602,112606,112607,112608</t>
  </si>
  <si>
    <t>109102</t>
  </si>
  <si>
    <t>110003,702033,999999</t>
  </si>
  <si>
    <t>TAC50</t>
  </si>
  <si>
    <t>110017,900219</t>
  </si>
  <si>
    <t>200423,756001</t>
  </si>
  <si>
    <t>200422,756002</t>
  </si>
  <si>
    <t>110032,702010</t>
  </si>
  <si>
    <t>110030,110031</t>
  </si>
  <si>
    <t>300202,300203,200429,756003</t>
  </si>
  <si>
    <t>110050</t>
  </si>
  <si>
    <t>120101,120102,120103,120104,120105,120111,120112,120113,120114,200430,756002</t>
  </si>
  <si>
    <t>120107,120108,120109,120110</t>
  </si>
  <si>
    <t>110058</t>
  </si>
  <si>
    <t>110056,110057</t>
  </si>
  <si>
    <t>110063,110073</t>
  </si>
  <si>
    <t>110064</t>
  </si>
  <si>
    <t>110071,110072,110083,702029</t>
  </si>
  <si>
    <t>110069,110070</t>
  </si>
  <si>
    <t>110053</t>
  </si>
  <si>
    <t>110077,110080,110082</t>
  </si>
  <si>
    <t>110504</t>
  </si>
  <si>
    <t>110502,110503,110505,110506</t>
  </si>
  <si>
    <t>110304,702037</t>
  </si>
  <si>
    <t>110302</t>
  </si>
  <si>
    <t>200422</t>
  </si>
  <si>
    <t>110402,710801</t>
  </si>
  <si>
    <t>110803</t>
  </si>
  <si>
    <t>900224,900620,910224</t>
  </si>
  <si>
    <t>111202,111205,111203,111204,111206,111207,111208</t>
  </si>
  <si>
    <t>110904,110905</t>
  </si>
  <si>
    <t>110902,110903</t>
  </si>
  <si>
    <t>111502,111503,111504,111505,111508,111511,702035,999999</t>
  </si>
  <si>
    <t>111509,111510</t>
  </si>
  <si>
    <t>111404</t>
  </si>
  <si>
    <t>111402</t>
  </si>
  <si>
    <t>111603</t>
  </si>
  <si>
    <t>111803,900223</t>
  </si>
  <si>
    <t>111804</t>
  </si>
  <si>
    <t>112102</t>
  </si>
  <si>
    <t>111906</t>
  </si>
  <si>
    <t>111709,111702</t>
  </si>
  <si>
    <t>112205,112206,112207,112208,112209</t>
  </si>
  <si>
    <t>112203,112202</t>
  </si>
  <si>
    <t>112405</t>
  </si>
  <si>
    <t>112402,112403,112404</t>
  </si>
  <si>
    <t>112503,702038</t>
  </si>
  <si>
    <t>112504</t>
  </si>
  <si>
    <t>202011</t>
  </si>
  <si>
    <t>113102</t>
  </si>
  <si>
    <t>112704,202010</t>
  </si>
  <si>
    <t>112702</t>
  </si>
  <si>
    <t>202012</t>
  </si>
  <si>
    <t>113003,113002</t>
  </si>
  <si>
    <t>112902,300201,300202,112904,112906,202013</t>
  </si>
  <si>
    <t>112905</t>
  </si>
  <si>
    <t>300201,300202,202009</t>
  </si>
  <si>
    <t>112802,112803,112804,112805</t>
  </si>
  <si>
    <t>113405</t>
  </si>
  <si>
    <t>113403,113404</t>
  </si>
  <si>
    <t>300202,900264,900256,900260,900261,900262,900263,900265</t>
  </si>
  <si>
    <t>900254,900257,900258</t>
  </si>
  <si>
    <t>300202</t>
  </si>
  <si>
    <t>113202,113203,113204</t>
  </si>
  <si>
    <t>900253</t>
  </si>
  <si>
    <t>900283,900286,900293,900288,900289,900290,900291</t>
  </si>
  <si>
    <t>900292</t>
  </si>
  <si>
    <t>113503,113504</t>
  </si>
  <si>
    <t>113505</t>
  </si>
  <si>
    <t>113603,702038</t>
  </si>
  <si>
    <t>901297,901301</t>
  </si>
  <si>
    <t>901296,901299,901300</t>
  </si>
  <si>
    <t>900412,702028</t>
  </si>
  <si>
    <t>900413,900409</t>
  </si>
  <si>
    <t>900423</t>
  </si>
  <si>
    <t>113804,113807</t>
  </si>
  <si>
    <t>113805,113806,113802</t>
  </si>
  <si>
    <t>702037</t>
  </si>
  <si>
    <t>702025,702035</t>
  </si>
  <si>
    <t>900408,900414</t>
  </si>
  <si>
    <t>115804</t>
  </si>
  <si>
    <t>115802,115805,115806</t>
  </si>
  <si>
    <t>900629,900630</t>
  </si>
  <si>
    <t>115601,702030</t>
  </si>
  <si>
    <t>115603,115604,115605</t>
  </si>
  <si>
    <t>115705</t>
  </si>
  <si>
    <t>115904,115905,300202,702035</t>
  </si>
  <si>
    <t>115903</t>
  </si>
  <si>
    <t>900761,999999</t>
  </si>
  <si>
    <t>900762,900764</t>
  </si>
  <si>
    <t>900812</t>
  </si>
  <si>
    <t>900813</t>
  </si>
  <si>
    <t>116002,116004,702039</t>
  </si>
  <si>
    <t>702039</t>
  </si>
  <si>
    <t>900802</t>
  </si>
  <si>
    <t>116102,116103,116108,116109</t>
  </si>
  <si>
    <t>900851,900852,900853,900855,900856,900859,910850</t>
  </si>
  <si>
    <t>900857</t>
  </si>
  <si>
    <t>900861</t>
  </si>
  <si>
    <t>900820</t>
  </si>
  <si>
    <t>900822,900824,900825,900826</t>
  </si>
  <si>
    <t>900864,900865</t>
  </si>
  <si>
    <t>900911,999999</t>
  </si>
  <si>
    <t>300202,900974,999999</t>
  </si>
  <si>
    <t>900972,900973</t>
  </si>
  <si>
    <t>901048,901050,999999</t>
  </si>
  <si>
    <t>901049,901052</t>
  </si>
  <si>
    <t>901055,901058</t>
  </si>
  <si>
    <t>901066,901071</t>
  </si>
  <si>
    <t>901077,901078</t>
  </si>
  <si>
    <t>902160,902161</t>
  </si>
  <si>
    <t>902225</t>
  </si>
  <si>
    <t>902156</t>
  </si>
  <si>
    <t>902280,902281,902282,902284,902285,902286,902287,902288,902289,902290,902291,902292,902293,992294</t>
  </si>
  <si>
    <t>902296,902297</t>
  </si>
  <si>
    <t>902310,902311,902313,902314</t>
  </si>
  <si>
    <t>902308,902309</t>
  </si>
  <si>
    <t>902305,902306</t>
  </si>
  <si>
    <t>902302</t>
  </si>
  <si>
    <t>902321,902322,902323</t>
  </si>
  <si>
    <t>902397</t>
  </si>
  <si>
    <t>902415,902417</t>
  </si>
  <si>
    <t>902404</t>
  </si>
  <si>
    <t>300201,902421,902422,902427,902428,902429</t>
  </si>
  <si>
    <t>902423,902424,902426</t>
  </si>
  <si>
    <t>116302</t>
  </si>
  <si>
    <t>116309</t>
  </si>
  <si>
    <t>200485</t>
  </si>
  <si>
    <t>107503,107504,107505</t>
  </si>
  <si>
    <t>107602</t>
  </si>
  <si>
    <t>107002,200487</t>
  </si>
  <si>
    <t>109404,109405,109407</t>
  </si>
  <si>
    <t>109402</t>
  </si>
  <si>
    <t>109502</t>
  </si>
  <si>
    <t>710123,710124,710125,710126,710127,710128,710129,710130,710131,710132,710133,710813</t>
  </si>
  <si>
    <t>710107,710108,710110,710111,710112,710113,710109</t>
  </si>
  <si>
    <t>710409,710410,710812</t>
  </si>
  <si>
    <t>710406,710407</t>
  </si>
  <si>
    <t>222</t>
  </si>
  <si>
    <t>710302,710305,710306,710810</t>
  </si>
  <si>
    <t>710303,710304</t>
  </si>
  <si>
    <t>710503,710506,710507,710808</t>
  </si>
  <si>
    <t>710504,710505</t>
  </si>
  <si>
    <t>300201,300202,710811</t>
  </si>
  <si>
    <t>710609</t>
  </si>
  <si>
    <t>300202,710205,710203,710206,710809</t>
  </si>
  <si>
    <t>710202</t>
  </si>
  <si>
    <t>900681,900682,900683,910681,910682,910683,910684,910685,910686,910687,910688</t>
  </si>
  <si>
    <t>900684,900685,900686,900687</t>
  </si>
  <si>
    <t>900691,900693,900694</t>
  </si>
  <si>
    <t>300203,900701,900703</t>
  </si>
  <si>
    <t>900702</t>
  </si>
  <si>
    <t>900711,900712,900715</t>
  </si>
  <si>
    <t>900714</t>
  </si>
  <si>
    <t>900722,900723</t>
  </si>
  <si>
    <t>900724</t>
  </si>
  <si>
    <t>900995,900997,900998</t>
  </si>
  <si>
    <t>901010,901017,901021,902017,901013,901024</t>
  </si>
  <si>
    <t>116403,116404</t>
  </si>
  <si>
    <t>Pekola</t>
  </si>
  <si>
    <t>116704,116706</t>
  </si>
  <si>
    <t>116703,116702</t>
  </si>
  <si>
    <t>Medusa</t>
  </si>
  <si>
    <t>116602</t>
  </si>
  <si>
    <t>116502,116505,300202,116518,116519</t>
  </si>
  <si>
    <t>116504,116506,116507</t>
  </si>
  <si>
    <t>Minos</t>
  </si>
  <si>
    <t>300202,116805</t>
  </si>
  <si>
    <t>116803,116804,116807</t>
  </si>
  <si>
    <t>801103,801104,801106,801109</t>
  </si>
  <si>
    <t>800103,800104,800105,800106,800107,800108</t>
  </si>
  <si>
    <t>800502,800501</t>
  </si>
  <si>
    <t>900272</t>
  </si>
  <si>
    <t>803603</t>
  </si>
  <si>
    <t>803602,803606</t>
  </si>
  <si>
    <t>MP5Mod</t>
  </si>
  <si>
    <t>802302</t>
  </si>
  <si>
    <t>900156,200427</t>
  </si>
  <si>
    <t>802705</t>
  </si>
  <si>
    <t>800604</t>
  </si>
  <si>
    <t>801415,801416,501030</t>
  </si>
  <si>
    <t>801412,801411,801418</t>
  </si>
  <si>
    <t>902227,902229,902230,902231,902232</t>
  </si>
  <si>
    <t>FN49Mod</t>
  </si>
  <si>
    <t>803107,803102,803103</t>
  </si>
  <si>
    <t>803104</t>
  </si>
  <si>
    <t>200412,801107,200403,201435,201001,202001,702016,702026</t>
  </si>
  <si>
    <t>801605,801604,900156,200417,201433,201005,202007,702020</t>
  </si>
  <si>
    <t>801603</t>
  </si>
  <si>
    <t>200402,201437,201002,202006,702017</t>
  </si>
  <si>
    <t>801004</t>
  </si>
  <si>
    <t>802604,802605</t>
  </si>
  <si>
    <t>802503,802501</t>
  </si>
  <si>
    <t>G3Mod</t>
  </si>
  <si>
    <t>900156,801306,801307</t>
  </si>
  <si>
    <t>G36Mod</t>
  </si>
  <si>
    <t>802103</t>
  </si>
  <si>
    <t>202004,702018,702025,756002</t>
  </si>
  <si>
    <t>902147</t>
  </si>
  <si>
    <t>800305,800306</t>
  </si>
  <si>
    <t>800301</t>
  </si>
  <si>
    <t>300201,300202,802205</t>
  </si>
  <si>
    <t>802204</t>
  </si>
  <si>
    <t>710805</t>
  </si>
  <si>
    <t>710806</t>
  </si>
  <si>
    <t>800701</t>
  </si>
  <si>
    <t>803005,803007,803009,803006</t>
  </si>
  <si>
    <t>803004</t>
  </si>
  <si>
    <t>803414</t>
  </si>
  <si>
    <t>202003</t>
  </si>
  <si>
    <t>802803</t>
  </si>
  <si>
    <t>200420,900156,202002,702019,702024,756001</t>
  </si>
  <si>
    <t>902242</t>
  </si>
  <si>
    <t>G11Mod</t>
  </si>
  <si>
    <t>900891,900892</t>
  </si>
  <si>
    <t>501032,900884</t>
  </si>
  <si>
    <t>900881</t>
  </si>
  <si>
    <t>803902,803924,803903</t>
  </si>
  <si>
    <t>902134,902135,900156</t>
  </si>
  <si>
    <t>902149</t>
  </si>
  <si>
    <t>803503,803505</t>
  </si>
  <si>
    <t>803506</t>
  </si>
  <si>
    <t>300202,902141,902143,912141,922141</t>
  </si>
  <si>
    <t>300202,300203,803309,803311</t>
  </si>
  <si>
    <t>803303,803304,803305,803306,803307,803308</t>
  </si>
  <si>
    <t>300202,803704,803705</t>
  </si>
  <si>
    <t>803703</t>
  </si>
  <si>
    <t>300202,300203,900885</t>
  </si>
  <si>
    <t>300201,300202,992239</t>
  </si>
  <si>
    <t>803804,803805,803806</t>
  </si>
  <si>
    <t>803204,803206</t>
  </si>
  <si>
    <t>900224,900620</t>
  </si>
  <si>
    <t>bonus_type</t>
  </si>
  <si>
    <t>critical_percent:1000</t>
  </si>
  <si>
    <t>pow:500,hit:500</t>
  </si>
  <si>
    <t>pow:400,hit:400</t>
  </si>
  <si>
    <t>hit:1000</t>
  </si>
  <si>
    <t>armor_piercing:500</t>
  </si>
  <si>
    <t>24</t>
  </si>
  <si>
    <t>pow:1000</t>
  </si>
  <si>
    <t>pow:800</t>
  </si>
  <si>
    <t>pow:700</t>
  </si>
  <si>
    <t>dodge:400</t>
  </si>
  <si>
    <t>armor:400</t>
  </si>
  <si>
    <t>dodge:800</t>
  </si>
  <si>
    <t>dodge:900</t>
  </si>
  <si>
    <t>dodge:700</t>
  </si>
  <si>
    <t>rate:300,armor_piercing:500</t>
  </si>
  <si>
    <t>pow:600</t>
  </si>
  <si>
    <t>bullet_number_up:500</t>
  </si>
  <si>
    <t>dodge:300</t>
  </si>
  <si>
    <t>dodge:400,critical_percent:300</t>
  </si>
  <si>
    <t>dodge:300,critical_percent:350</t>
  </si>
  <si>
    <t>bullet_number_up:2000</t>
  </si>
  <si>
    <t>bullet_number_up:700</t>
  </si>
  <si>
    <t>pow:500</t>
  </si>
  <si>
    <t>pow:500,critical_harm_rate:500</t>
  </si>
  <si>
    <t>pow:500,critical_harm_rate:600</t>
  </si>
  <si>
    <t>hit:900</t>
  </si>
  <si>
    <t>hit:700</t>
  </si>
  <si>
    <t>critical_harm_rate:100,critical_percent:500</t>
  </si>
  <si>
    <t>critical_harm_rate:200,critical_percent:500</t>
  </si>
  <si>
    <t>critical_harm_rate:500,critical_percent:500</t>
  </si>
  <si>
    <t>pow:200,dodge:300,critical_harm_rate:500</t>
  </si>
  <si>
    <t>critical_harm_rate:900</t>
  </si>
  <si>
    <t>critical_harm_rate:800</t>
  </si>
  <si>
    <t>critical_harm_rate:700</t>
  </si>
  <si>
    <t>dodge:300,armor:350</t>
  </si>
  <si>
    <t>dodge:400,critical_harm_rate:700</t>
  </si>
  <si>
    <t>pow:600,bullet_number_up:500</t>
  </si>
  <si>
    <t>pow:1000,armor:250,rate:1000</t>
  </si>
  <si>
    <t>hit:700,critical_harm_rate:350</t>
  </si>
  <si>
    <t>pow:550</t>
  </si>
  <si>
    <t>dodge:450,rate:500</t>
  </si>
  <si>
    <t>dodge:400,critical_percent:350</t>
  </si>
  <si>
    <t>rate:700,critical_percent:1000</t>
  </si>
  <si>
    <t>critical_harm_rate:1000,critical_percent:1000</t>
  </si>
  <si>
    <t>pow:400,hit:400,critical_percent:700</t>
  </si>
  <si>
    <t>critical_harm_rate:700,rate:1000</t>
  </si>
  <si>
    <t>critical_percent:1000,hit:1000</t>
  </si>
  <si>
    <t>hit:1000,critical_percent:1000</t>
  </si>
  <si>
    <t>dodge:400,hit:1000,critical_percent:350</t>
  </si>
  <si>
    <t>dodge:300,hit:1000,critical_percent:350</t>
  </si>
  <si>
    <t>critical_harm_rate:700,pow:1000</t>
  </si>
  <si>
    <t>critical_percent:1000,hit:1000,pow:1000</t>
  </si>
  <si>
    <t>pow:500,dodge:300,critical_percent:350</t>
  </si>
  <si>
    <t>hit:1000,pow:700,critical_percent:1000</t>
  </si>
  <si>
    <t>critical_percent:1000,pow:1000</t>
  </si>
  <si>
    <t>dodge:500,critical_percent:400</t>
  </si>
  <si>
    <t>pow:350,hit:400</t>
  </si>
  <si>
    <t>pow:1500,hit:1000,dodge:700</t>
  </si>
  <si>
    <t>hit:1000,pow:1000,critical_percent:1000</t>
  </si>
  <si>
    <t>hit:1000,critical_percent:750</t>
  </si>
  <si>
    <t>dodge:300,critical_percent:350,hit:1000</t>
  </si>
  <si>
    <t>pow:1000,hit:1000</t>
  </si>
  <si>
    <t>pow:750</t>
  </si>
  <si>
    <t>pow:500,armor:400</t>
  </si>
  <si>
    <t>rate:500,critical_harm_rate:500</t>
  </si>
  <si>
    <t>pow:500,bullet_number_up:500</t>
  </si>
  <si>
    <t>hit:900,critical_percent:500</t>
  </si>
  <si>
    <t>pow:500,hit:1000,critical_harm_rate:500</t>
  </si>
  <si>
    <t>pow:800,hit:1000,critical_percent:1000</t>
  </si>
  <si>
    <t>hit:450,rate:500,critical_percent:1000</t>
  </si>
  <si>
    <t>pow:1000,dodge:500,critical_percent:400</t>
  </si>
  <si>
    <t>dodge:400,critical_percent:500</t>
  </si>
  <si>
    <t>pow:450,hit:500,dodge:500</t>
  </si>
  <si>
    <t>pow:450,hit:400,dodge:500</t>
  </si>
  <si>
    <t>pow:800,critical_percent:1000</t>
  </si>
  <si>
    <t>pow:1500,dodge:700,critical_harm_rate:250</t>
  </si>
  <si>
    <t>rate:1000,critical_percent:1000</t>
  </si>
  <si>
    <t>pow:700,critical_percent:1000</t>
  </si>
  <si>
    <t>bullet_number_up:700,pow:1000</t>
  </si>
  <si>
    <t>dodge:700,critical_percent:750</t>
  </si>
  <si>
    <t>dodge:700,critical_percent:350</t>
  </si>
  <si>
    <t>pow:2000,rate:1000,dodge:700</t>
  </si>
  <si>
    <t>pow:900,hit:500</t>
  </si>
  <si>
    <t>dodge:1000,critical_percent:700</t>
  </si>
  <si>
    <t>critical_percent:1000,critical_harm_rate:800</t>
  </si>
  <si>
    <t>armor_piercing:500,pow:1000</t>
  </si>
  <si>
    <t>critical_percent:1000,pow:800</t>
  </si>
  <si>
    <t>pow:700,critical_harm_rate:500</t>
  </si>
  <si>
    <t>hit:700,pow:900</t>
  </si>
  <si>
    <t>dodge:300,critical_percent:1000,pow:1000</t>
  </si>
  <si>
    <t>pow:500,rate:500,armor_piercing:750</t>
  </si>
  <si>
    <t>hit:1000,critical_harm_rate:650</t>
  </si>
  <si>
    <t>dodge:1000,critical_percent:350</t>
  </si>
  <si>
    <t>dodge:700,pow:900</t>
  </si>
  <si>
    <t>critical_percent:1000,hit:700,pow:1000</t>
  </si>
  <si>
    <t>pow:500,critical_harm_rate:500,critical_percent:800</t>
  </si>
  <si>
    <t>dodge:300,critical_percent:700,hit:700</t>
  </si>
  <si>
    <t>pow:1000,hit:1000,critical_harm_rate:1500</t>
  </si>
  <si>
    <t>dodge:1000,pow:1000</t>
  </si>
  <si>
    <t>dodge:1000,critical_percent:500</t>
  </si>
  <si>
    <t>pow:500,hit:1000</t>
  </si>
  <si>
    <t>critical_percent:1000,critical_harm_rate:1000</t>
  </si>
  <si>
    <t>dodge:900,critical_percent:1000</t>
  </si>
  <si>
    <t>dodge:450,pow:1000</t>
  </si>
  <si>
    <t>critical_percent:1000,pow:900</t>
  </si>
  <si>
    <t>dodge:500</t>
  </si>
  <si>
    <t>hit:1000,critical_harm_rate:1000,critical_percent:1000</t>
  </si>
  <si>
    <t>armor_piercing:500,pow:700</t>
  </si>
  <si>
    <t>hit:600,critical_percent:900</t>
  </si>
  <si>
    <t>hit:700,critical_percent:700</t>
  </si>
  <si>
    <t>hit:700,critical_percent:1000</t>
  </si>
  <si>
    <t>pow:700,armor_piercing:500</t>
  </si>
  <si>
    <t>pow:300,armor_piercing:500</t>
  </si>
  <si>
    <t>armor_piercing:1000</t>
  </si>
  <si>
    <t>rate:500</t>
  </si>
  <si>
    <t>pow:700,rate:600</t>
  </si>
  <si>
    <t>pow:500,rate:600</t>
  </si>
  <si>
    <t>dodge:600</t>
  </si>
  <si>
    <t>armor:500</t>
  </si>
  <si>
    <t>armor_piercing:500,pow:500</t>
  </si>
  <si>
    <t>43</t>
  </si>
  <si>
    <t>107</t>
  </si>
  <si>
    <t>pow:1000,critical_percent:1000</t>
  </si>
  <si>
    <t>pow:400,hit:400,dodge:500</t>
  </si>
  <si>
    <t>15</t>
  </si>
  <si>
    <t>hit:700,dodge:500,critical_percent:1000</t>
  </si>
  <si>
    <t>248</t>
  </si>
  <si>
    <t>dodge:1500,critical_percent:350</t>
  </si>
  <si>
    <t>critical_harm_rate:500,critical_percent:1000</t>
  </si>
  <si>
    <t>12,18</t>
  </si>
  <si>
    <t>1034</t>
  </si>
  <si>
    <t>1033</t>
  </si>
  <si>
    <t>1030</t>
  </si>
  <si>
    <t>1031</t>
  </si>
  <si>
    <t>1032</t>
  </si>
  <si>
    <t>G36c</t>
  </si>
  <si>
    <t>Type 81 R</t>
  </si>
  <si>
    <t>Defender</t>
  </si>
  <si>
    <t>Koji</t>
  </si>
  <si>
    <t>756045</t>
  </si>
  <si>
    <t>-8,-8</t>
  </si>
  <si>
    <t>9A91Login</t>
  </si>
  <si>
    <t>FMG9</t>
  </si>
  <si>
    <t>PPS43</t>
  </si>
  <si>
    <t>PP90</t>
  </si>
  <si>
    <t>SVT38</t>
  </si>
  <si>
    <t>SV98</t>
  </si>
  <si>
    <t>NTW20</t>
  </si>
  <si>
    <t>ST AR15</t>
  </si>
  <si>
    <t>AK47</t>
  </si>
  <si>
    <t>AKS74U</t>
  </si>
  <si>
    <t>Type561</t>
  </si>
  <si>
    <t>MP446</t>
  </si>
  <si>
    <t>SPP1</t>
  </si>
  <si>
    <t>CZ805</t>
  </si>
  <si>
    <t>AAT52</t>
  </si>
  <si>
    <t>Z62</t>
  </si>
  <si>
    <t>PSG1</t>
  </si>
  <si>
    <t>OTs14</t>
  </si>
  <si>
    <t>ARX160</t>
  </si>
  <si>
    <t>SR3MP</t>
  </si>
  <si>
    <t>PP19</t>
  </si>
  <si>
    <t>Fiveseven</t>
  </si>
  <si>
    <t>MT9</t>
  </si>
  <si>
    <t>OTs44</t>
  </si>
  <si>
    <t>AEK999</t>
  </si>
  <si>
    <t>SuperShorty</t>
  </si>
  <si>
    <t>RMB93</t>
  </si>
  <si>
    <t>Saiga12</t>
  </si>
  <si>
    <t>SPAS12</t>
  </si>
  <si>
    <t>FP6</t>
  </si>
  <si>
    <t>DSR50</t>
  </si>
  <si>
    <t>T5000</t>
  </si>
  <si>
    <t>USAS12</t>
  </si>
  <si>
    <t>OTs39</t>
  </si>
  <si>
    <t>CMS</t>
  </si>
  <si>
    <t>SM1</t>
  </si>
  <si>
    <t>MP443</t>
  </si>
  <si>
    <t>GSh18</t>
  </si>
  <si>
    <t>PM06</t>
  </si>
  <si>
    <t>A91</t>
  </si>
  <si>
    <t>MP448</t>
  </si>
  <si>
    <t>SAR21</t>
  </si>
  <si>
    <t>RT20</t>
  </si>
  <si>
    <t>TEC9</t>
  </si>
  <si>
    <t>UKM2000</t>
  </si>
  <si>
    <t>PM9</t>
  </si>
  <si>
    <t>PA15</t>
  </si>
  <si>
    <t>QBU88</t>
  </si>
  <si>
    <t>EM2</t>
  </si>
  <si>
    <t>TCMS</t>
  </si>
  <si>
    <t>MAT49</t>
  </si>
  <si>
    <t>DP12</t>
  </si>
  <si>
    <t>C93</t>
  </si>
  <si>
    <t>KPDW</t>
  </si>
  <si>
    <t>CR21</t>
  </si>
  <si>
    <t>RPK16</t>
  </si>
  <si>
    <t>AK15</t>
  </si>
  <si>
    <t>MAS38</t>
  </si>
  <si>
    <t>HP35</t>
  </si>
  <si>
    <t>AKAlfa</t>
  </si>
  <si>
    <t>ZB26</t>
  </si>
  <si>
    <t>VSK94</t>
  </si>
  <si>
    <t>SACR</t>
  </si>
  <si>
    <t>StG940</t>
  </si>
  <si>
    <t>QSB91</t>
  </si>
  <si>
    <t>VPM5</t>
  </si>
  <si>
    <t>SUB2000</t>
  </si>
  <si>
    <t>AR57</t>
  </si>
  <si>
    <t>FX05</t>
  </si>
  <si>
    <t>PPD40</t>
  </si>
  <si>
    <t>RPK203</t>
  </si>
  <si>
    <t>TKB408</t>
  </si>
  <si>
    <t>MosinNagantMod</t>
  </si>
  <si>
    <t>SV98Mod</t>
  </si>
  <si>
    <t>NTW20Mod</t>
  </si>
  <si>
    <t>ST AR15Mod</t>
  </si>
  <si>
    <t>MP446Mod</t>
  </si>
  <si>
    <t>PP19Mod</t>
  </si>
  <si>
    <t>GSh18Mod</t>
  </si>
  <si>
    <t>Desert Eagle</t>
  </si>
  <si>
    <t>Danuvia 43M</t>
  </si>
  <si>
    <t>Agent Vector</t>
  </si>
  <si>
    <t>Agent 416</t>
  </si>
  <si>
    <t>Yurine</t>
  </si>
  <si>
    <t>Jashin</t>
  </si>
  <si>
    <t>Jill</t>
  </si>
  <si>
    <t>Ots12</t>
  </si>
  <si>
    <t>Ots44</t>
  </si>
  <si>
    <t>Architect</t>
  </si>
  <si>
    <t>ratio_hp</t>
  </si>
  <si>
    <t>Architect_Summer</t>
  </si>
  <si>
    <t>Enemy ID:</t>
  </si>
  <si>
    <t>Turn #:</t>
  </si>
  <si>
    <t>Intruder Dinergate</t>
  </si>
  <si>
    <t>DR - Armor Stack M870</t>
  </si>
  <si>
    <t>SP9</t>
  </si>
  <si>
    <t>117302</t>
  </si>
  <si>
    <t>117304</t>
  </si>
  <si>
    <t>KH2002</t>
  </si>
  <si>
    <t>750035</t>
  </si>
  <si>
    <t>750012</t>
  </si>
  <si>
    <t>APC556</t>
  </si>
  <si>
    <t>117502</t>
  </si>
  <si>
    <t>117504</t>
  </si>
  <si>
    <t>FARA 83</t>
  </si>
  <si>
    <t>117402</t>
  </si>
  <si>
    <t>117404,117435</t>
  </si>
  <si>
    <t>MG338</t>
  </si>
  <si>
    <t>750029,750030,750031,750032,750033,750034</t>
  </si>
  <si>
    <t>FARA83</t>
  </si>
  <si>
    <t>Witch</t>
  </si>
  <si>
    <t>756031</t>
  </si>
  <si>
    <t>Honey Badger</t>
  </si>
  <si>
    <t>6,6</t>
  </si>
  <si>
    <t>135</t>
  </si>
  <si>
    <t>pow:700,hit:1000</t>
  </si>
  <si>
    <t>203</t>
  </si>
  <si>
    <t>pow:500,dodge:400</t>
  </si>
  <si>
    <t>82</t>
  </si>
  <si>
    <t>CZ100</t>
  </si>
  <si>
    <t>750069,750070</t>
  </si>
  <si>
    <t>SR2</t>
  </si>
  <si>
    <t>750071,750076</t>
  </si>
  <si>
    <t>750073,750074</t>
  </si>
  <si>
    <t>HS50</t>
  </si>
  <si>
    <t>117902</t>
  </si>
  <si>
    <t>117903</t>
  </si>
  <si>
    <t>AK74M</t>
  </si>
  <si>
    <t>118012,118013</t>
  </si>
  <si>
    <t>79</t>
  </si>
  <si>
    <t>bullet_number_up:500,critical_percent:700</t>
  </si>
  <si>
    <t>18,20</t>
  </si>
  <si>
    <t>180</t>
  </si>
  <si>
    <t>317</t>
  </si>
  <si>
    <t>PP93</t>
  </si>
  <si>
    <t>G&amp;K</t>
  </si>
  <si>
    <t>2;6,19</t>
  </si>
  <si>
    <t>3;9,10,20</t>
  </si>
  <si>
    <t>1;1,2,3,4,13,18</t>
  </si>
  <si>
    <t>2;5,19</t>
  </si>
  <si>
    <t>702035,756162,756174,756186</t>
  </si>
  <si>
    <t>G36CMod</t>
  </si>
  <si>
    <t>740005,740006,740019,740020,740021,740022,740023,740024</t>
  </si>
  <si>
    <t>740016,740017,740018</t>
  </si>
  <si>
    <t>740015</t>
  </si>
  <si>
    <t>740011,740010</t>
  </si>
  <si>
    <t>MP443Mod</t>
  </si>
  <si>
    <t>Ribeyrolles1918Mod</t>
  </si>
  <si>
    <t>Gepard M1Mod</t>
  </si>
  <si>
    <t>104,20104</t>
  </si>
  <si>
    <t>dodge:1000</t>
  </si>
  <si>
    <t>171,20171</t>
  </si>
  <si>
    <t>95,100</t>
  </si>
  <si>
    <t>201,20201</t>
  </si>
  <si>
    <t>armor_piercing:1000,pow:600</t>
  </si>
  <si>
    <t>220,20220</t>
  </si>
  <si>
    <t>Peak Value</t>
  </si>
  <si>
    <t>Dev Level</t>
  </si>
  <si>
    <t>Support Setup (HOC, SF HOC, Buffs/Debuffs)</t>
  </si>
  <si>
    <t>Sangvis HOC Info</t>
  </si>
  <si>
    <t>Spot ID</t>
  </si>
  <si>
    <t>spot_id</t>
  </si>
  <si>
    <t>sangvis_team_id</t>
  </si>
  <si>
    <t>7117</t>
  </si>
  <si>
    <t>7118</t>
  </si>
  <si>
    <t>7119</t>
  </si>
  <si>
    <t>7120</t>
  </si>
  <si>
    <t>7121</t>
  </si>
  <si>
    <t>7122</t>
  </si>
  <si>
    <t>7123</t>
  </si>
  <si>
    <t>7124</t>
  </si>
  <si>
    <t>7126</t>
  </si>
  <si>
    <t>7127</t>
  </si>
  <si>
    <t>7128</t>
  </si>
  <si>
    <t>7129</t>
  </si>
  <si>
    <t>7130</t>
  </si>
  <si>
    <t>7131</t>
  </si>
  <si>
    <t>7132</t>
  </si>
  <si>
    <t>7133</t>
  </si>
  <si>
    <t>7134</t>
  </si>
  <si>
    <t>7135</t>
  </si>
  <si>
    <t>7136</t>
  </si>
  <si>
    <t>7137</t>
  </si>
  <si>
    <t>7138</t>
  </si>
  <si>
    <t>7139</t>
  </si>
  <si>
    <t>7140</t>
  </si>
  <si>
    <t>7141</t>
  </si>
  <si>
    <t>7142</t>
  </si>
  <si>
    <t>7143</t>
  </si>
  <si>
    <t>7144</t>
  </si>
  <si>
    <t>7145</t>
  </si>
  <si>
    <t>7146</t>
  </si>
  <si>
    <t>7125</t>
  </si>
  <si>
    <t>Team ID</t>
  </si>
  <si>
    <t>Input</t>
  </si>
  <si>
    <t>(References)</t>
  </si>
  <si>
    <r>
      <t xml:space="preserve">Enter "X" to enable a HOC, then fill in the necessary information. </t>
    </r>
    <r>
      <rPr>
        <b/>
        <sz val="11"/>
        <color rgb="FFFF0000"/>
        <rFont val="Calibri"/>
        <family val="2"/>
        <scheme val="minor"/>
      </rPr>
      <t>Select 7 HOCs at most or the sim may error out.</t>
    </r>
  </si>
  <si>
    <r>
      <t xml:space="preserve">Enter "X" to enable an SF HOC, then fill in the necessary information. </t>
    </r>
    <r>
      <rPr>
        <b/>
        <sz val="11"/>
        <color rgb="FFFF0000"/>
        <rFont val="Calibri"/>
        <family val="2"/>
        <scheme val="minor"/>
      </rPr>
      <t>These may conflict with standard HOCs due to conflicting spot IDs. Do NOT select duplicate chips.</t>
    </r>
  </si>
  <si>
    <t>Spot Day:</t>
  </si>
  <si>
    <t>Spot Night:</t>
  </si>
  <si>
    <t>target_train_teams</t>
  </si>
  <si>
    <t>name</t>
  </si>
  <si>
    <t>description</t>
  </si>
  <si>
    <t>slow_down_percent</t>
  </si>
  <si>
    <t>slow_down_rate</t>
  </si>
  <si>
    <t>slow_down_time</t>
  </si>
  <si>
    <t>dot_percent</t>
  </si>
  <si>
    <t>dot_damage</t>
  </si>
  <si>
    <t>dot_time</t>
  </si>
  <si>
    <t>retire_mp</t>
  </si>
  <si>
    <t>retire_ammo</t>
  </si>
  <si>
    <t>retire_mre</t>
  </si>
  <si>
    <t>retire_part</t>
  </si>
  <si>
    <t>company</t>
  </si>
  <si>
    <t>skill_level_up</t>
  </si>
  <si>
    <t>equip_introduction</t>
  </si>
  <si>
    <t>powerup_mp</t>
  </si>
  <si>
    <t>powerup_ammo</t>
  </si>
  <si>
    <t>powerup_mre</t>
  </si>
  <si>
    <t>powerup_part</t>
  </si>
  <si>
    <t>exclusive_rate</t>
  </si>
  <si>
    <t>skill</t>
  </si>
  <si>
    <t>max_level</t>
  </si>
  <si>
    <t>auto_select_id</t>
  </si>
  <si>
    <t>equip_group_id</t>
  </si>
  <si>
    <t>skill_effect</t>
  </si>
  <si>
    <t>equip-10000001</t>
  </si>
  <si>
    <t>equip-20000001</t>
  </si>
  <si>
    <t>BM</t>
  </si>
  <si>
    <t>equip-30000001</t>
  </si>
  <si>
    <t>0</t>
  </si>
  <si>
    <t>equip-10000002</t>
  </si>
  <si>
    <t>equip-20000002</t>
  </si>
  <si>
    <t>equip-30000002</t>
  </si>
  <si>
    <t>equip-10000003</t>
  </si>
  <si>
    <t>equip-20000003</t>
  </si>
  <si>
    <t>equip-30000003</t>
  </si>
  <si>
    <t>equip-10000004</t>
  </si>
  <si>
    <t>equip-20000004</t>
  </si>
  <si>
    <t>equip-30000004</t>
  </si>
  <si>
    <t>equip-10000005</t>
  </si>
  <si>
    <t>equip-20000005</t>
  </si>
  <si>
    <t>equip-30000005</t>
  </si>
  <si>
    <t>equip-10000006</t>
  </si>
  <si>
    <t>equip-20000006</t>
  </si>
  <si>
    <t>equip-30000006</t>
  </si>
  <si>
    <t>equip-10000007</t>
  </si>
  <si>
    <t>equip-20000007</t>
  </si>
  <si>
    <t>equip-30000007</t>
  </si>
  <si>
    <t>equip-10000008</t>
  </si>
  <si>
    <t>equip-20000008</t>
  </si>
  <si>
    <t>equip-30000008</t>
  </si>
  <si>
    <t>equip-10000009</t>
  </si>
  <si>
    <t>equip-20000009</t>
  </si>
  <si>
    <t>AMP</t>
  </si>
  <si>
    <t>equip-30000009</t>
  </si>
  <si>
    <t>equip-10000010</t>
  </si>
  <si>
    <t>equip-20000010</t>
  </si>
  <si>
    <t>equip-30000010</t>
  </si>
  <si>
    <t>equip-10000011</t>
  </si>
  <si>
    <t>equip-20000011</t>
  </si>
  <si>
    <t>equip-30000011</t>
  </si>
  <si>
    <t>equip-10000012</t>
  </si>
  <si>
    <t>equip-20000012</t>
  </si>
  <si>
    <t>equip-30000012</t>
  </si>
  <si>
    <t>equip-10000013</t>
  </si>
  <si>
    <t>equip-20000013</t>
  </si>
  <si>
    <t>IOP</t>
  </si>
  <si>
    <t>equip-30000013</t>
  </si>
  <si>
    <t>equip-10000014</t>
  </si>
  <si>
    <t>equip-20000014</t>
  </si>
  <si>
    <t>equip-30000014</t>
  </si>
  <si>
    <t>equip-10000015</t>
  </si>
  <si>
    <t>equip-20000015</t>
  </si>
  <si>
    <t>equip-30000015</t>
  </si>
  <si>
    <t>equip-10000016</t>
  </si>
  <si>
    <t>equip-20000016</t>
  </si>
  <si>
    <t>equip-30000016</t>
  </si>
  <si>
    <t>equip-10000017</t>
  </si>
  <si>
    <t>equip-20000017</t>
  </si>
  <si>
    <t>equip-30000017</t>
  </si>
  <si>
    <t>equip-10000018</t>
  </si>
  <si>
    <t>equip-20000018</t>
  </si>
  <si>
    <t>equip-30000018</t>
  </si>
  <si>
    <t>equip-10000019</t>
  </si>
  <si>
    <t>equip-20000019</t>
  </si>
  <si>
    <t>equip-30000019</t>
  </si>
  <si>
    <t>equip-10000020</t>
  </si>
  <si>
    <t>equip-20000020</t>
  </si>
  <si>
    <t>equip-30000020</t>
  </si>
  <si>
    <t>equip-10000029</t>
  </si>
  <si>
    <t>equip-20000029</t>
  </si>
  <si>
    <t>PMC</t>
  </si>
  <si>
    <t>equip-30000029</t>
  </si>
  <si>
    <t>equip-10000030</t>
  </si>
  <si>
    <t>equip-20000030</t>
  </si>
  <si>
    <t>equip-30000030</t>
  </si>
  <si>
    <t>equip-10000031</t>
  </si>
  <si>
    <t>equip-20000031</t>
  </si>
  <si>
    <t>equip-30000031</t>
  </si>
  <si>
    <t>equip-10000032</t>
  </si>
  <si>
    <t>equip-20000032</t>
  </si>
  <si>
    <t>equip-30000032</t>
  </si>
  <si>
    <t>equip-10000037</t>
  </si>
  <si>
    <t>equip-20000037</t>
  </si>
  <si>
    <t>equip-30000037</t>
  </si>
  <si>
    <t>equip-10000038</t>
  </si>
  <si>
    <t>equip-20000038</t>
  </si>
  <si>
    <t>equip-30000038</t>
  </si>
  <si>
    <t>equip-10000039</t>
  </si>
  <si>
    <t>equip-20000039</t>
  </si>
  <si>
    <t>equip-30000039</t>
  </si>
  <si>
    <t>equip-10000040</t>
  </si>
  <si>
    <t>equip-20000040</t>
  </si>
  <si>
    <t>equip-30000040</t>
  </si>
  <si>
    <t>equip-10000042</t>
  </si>
  <si>
    <t>equip-20000042</t>
  </si>
  <si>
    <t>equip-30000042</t>
  </si>
  <si>
    <t>equip-10000043</t>
  </si>
  <si>
    <t>equip-20000043</t>
  </si>
  <si>
    <t>equip-30000043</t>
  </si>
  <si>
    <t>equip-10000044</t>
  </si>
  <si>
    <t>equip-20000044</t>
  </si>
  <si>
    <t>equip-30000044</t>
  </si>
  <si>
    <t>equip-10000055</t>
  </si>
  <si>
    <t>equip-20000055</t>
  </si>
  <si>
    <t>equip-30000055</t>
  </si>
  <si>
    <t>equip-10000056</t>
  </si>
  <si>
    <t>equip-20000056</t>
  </si>
  <si>
    <t>equip-30000056</t>
  </si>
  <si>
    <t>equip-10000057</t>
  </si>
  <si>
    <t>equip-20000057</t>
  </si>
  <si>
    <t>equip-30000057</t>
  </si>
  <si>
    <t>equip-10000058</t>
  </si>
  <si>
    <t>equip-20000058</t>
  </si>
  <si>
    <t>equip-30000058</t>
  </si>
  <si>
    <t>equip-10000059</t>
  </si>
  <si>
    <t>equip-20000059</t>
  </si>
  <si>
    <t>NMS</t>
  </si>
  <si>
    <t>equip-30000059</t>
  </si>
  <si>
    <t>equip-10000060</t>
  </si>
  <si>
    <t>equip-20000060</t>
  </si>
  <si>
    <t>16Lab</t>
  </si>
  <si>
    <t>equip-30000060</t>
  </si>
  <si>
    <t>equip-10000061</t>
  </si>
  <si>
    <t>equip-20000061</t>
  </si>
  <si>
    <t>equip-30000061</t>
  </si>
  <si>
    <t>equip-10000062</t>
  </si>
  <si>
    <t>equip-20000062</t>
  </si>
  <si>
    <t>equip-30000062</t>
  </si>
  <si>
    <t>equip-10000063</t>
  </si>
  <si>
    <t>equip-20000063</t>
  </si>
  <si>
    <t>AC</t>
  </si>
  <si>
    <t>equip-30000063</t>
  </si>
  <si>
    <t>equip-10000064</t>
  </si>
  <si>
    <t>equip-20000064</t>
  </si>
  <si>
    <t>equip-30000064</t>
  </si>
  <si>
    <t>equip-10000065</t>
  </si>
  <si>
    <t>equip-20000065</t>
  </si>
  <si>
    <t>equip-30000065</t>
  </si>
  <si>
    <t>equip-10000066</t>
  </si>
  <si>
    <t>equip-20000066</t>
  </si>
  <si>
    <t>equip-30000066</t>
  </si>
  <si>
    <t>equip-10000067</t>
  </si>
  <si>
    <t>equip-20000067</t>
  </si>
  <si>
    <t>equip-30000067</t>
  </si>
  <si>
    <t>equip-10000068</t>
  </si>
  <si>
    <t>equip-20000068</t>
  </si>
  <si>
    <t>equip-30000068</t>
  </si>
  <si>
    <t>equip-10000069</t>
  </si>
  <si>
    <t>equip-20000069</t>
  </si>
  <si>
    <t>ILM</t>
  </si>
  <si>
    <t>equip-30000069</t>
  </si>
  <si>
    <t>equip-10000070</t>
  </si>
  <si>
    <t>equip-20000070</t>
  </si>
  <si>
    <t>equip-30000070</t>
  </si>
  <si>
    <t>equip-10000071</t>
  </si>
  <si>
    <t>equip-20000071</t>
  </si>
  <si>
    <t>equip-30000071</t>
  </si>
  <si>
    <t>equip-10000072</t>
  </si>
  <si>
    <t>equip-20000072</t>
  </si>
  <si>
    <t>equip-30000072</t>
  </si>
  <si>
    <t>equip-10000073</t>
  </si>
  <si>
    <t>equip-20000073</t>
  </si>
  <si>
    <t>equip-30000073</t>
  </si>
  <si>
    <t>equip-10000074</t>
  </si>
  <si>
    <t>equip-20000074</t>
  </si>
  <si>
    <t>equip-30000074</t>
  </si>
  <si>
    <t>equip-10000075</t>
  </si>
  <si>
    <t>equip-20000075</t>
  </si>
  <si>
    <t>equip-30000075</t>
  </si>
  <si>
    <t>equip-10000076</t>
  </si>
  <si>
    <t>equip-20000076</t>
  </si>
  <si>
    <t>equip-30000076</t>
  </si>
  <si>
    <t>equip-10000077</t>
  </si>
  <si>
    <t>equip-20000077</t>
  </si>
  <si>
    <t>equip-30000077</t>
  </si>
  <si>
    <t>equip-10000078</t>
  </si>
  <si>
    <t>equip-20000078</t>
  </si>
  <si>
    <t>equip-30000078</t>
  </si>
  <si>
    <t>equip-10000079</t>
  </si>
  <si>
    <t>equip-20000079</t>
  </si>
  <si>
    <t>equip-30000079</t>
  </si>
  <si>
    <t>equip-10000080</t>
  </si>
  <si>
    <t>equip-20000080</t>
  </si>
  <si>
    <t>equip-30000080</t>
  </si>
  <si>
    <t>equip-10000083</t>
  </si>
  <si>
    <t>equip-20000083</t>
  </si>
  <si>
    <t>KST</t>
  </si>
  <si>
    <t>equip-30000083</t>
  </si>
  <si>
    <t>equip-10000084</t>
  </si>
  <si>
    <t>equip-20000084</t>
  </si>
  <si>
    <t>equip-30000084</t>
  </si>
  <si>
    <t>equip-10000085</t>
  </si>
  <si>
    <t>equip-20000085</t>
  </si>
  <si>
    <t>equip-30000085</t>
  </si>
  <si>
    <t>equip-10000086</t>
  </si>
  <si>
    <t>equip-20000086</t>
  </si>
  <si>
    <t>equip-30000086</t>
  </si>
  <si>
    <t>equip-10000087</t>
  </si>
  <si>
    <t>equip-20000087</t>
  </si>
  <si>
    <t>equip-30000087</t>
  </si>
  <si>
    <t>equip-10000088</t>
  </si>
  <si>
    <t>equip-20000088</t>
  </si>
  <si>
    <t>equip-30000088</t>
  </si>
  <si>
    <t>equip-10000089</t>
  </si>
  <si>
    <t>equip-20000089</t>
  </si>
  <si>
    <t>equip-30000089</t>
  </si>
  <si>
    <t>equip-10000090</t>
  </si>
  <si>
    <t>equip-20000090</t>
  </si>
  <si>
    <t>equip-30000090</t>
  </si>
  <si>
    <t>equip-10000091</t>
  </si>
  <si>
    <t>equip-20000091</t>
  </si>
  <si>
    <t>SF</t>
  </si>
  <si>
    <t>equip-30000091</t>
  </si>
  <si>
    <t>equip-10000092</t>
  </si>
  <si>
    <t>equip-20000092</t>
  </si>
  <si>
    <t>equip-30000092</t>
  </si>
  <si>
    <t>equip-10000093</t>
  </si>
  <si>
    <t>equip-20000093</t>
  </si>
  <si>
    <t>IDB</t>
  </si>
  <si>
    <t>equip-30000093</t>
  </si>
  <si>
    <t>equip-10000094</t>
  </si>
  <si>
    <t>equip-20000094</t>
  </si>
  <si>
    <t>equip-30000094</t>
  </si>
  <si>
    <t>equip-10000099</t>
  </si>
  <si>
    <t>equip-20000099</t>
  </si>
  <si>
    <t>equip-30000099</t>
  </si>
  <si>
    <t>equip-10000100</t>
  </si>
  <si>
    <t>equip-20000100</t>
  </si>
  <si>
    <t>equip-30000100</t>
  </si>
  <si>
    <t>equip-10000101</t>
  </si>
  <si>
    <t>equip-20000101</t>
  </si>
  <si>
    <t>AAI</t>
  </si>
  <si>
    <t>equip-30000101</t>
  </si>
  <si>
    <t>equip-10000102</t>
  </si>
  <si>
    <t>equip-20000102</t>
  </si>
  <si>
    <t>NTD</t>
  </si>
  <si>
    <t>equip-30000102</t>
  </si>
  <si>
    <t>equip-10000103</t>
  </si>
  <si>
    <t>equip-20000103</t>
  </si>
  <si>
    <t>NRC</t>
  </si>
  <si>
    <t>equip-30000103</t>
  </si>
  <si>
    <t>equip-10000104</t>
  </si>
  <si>
    <t>equip-20000104</t>
  </si>
  <si>
    <t>FNH</t>
  </si>
  <si>
    <t>equip-30000104</t>
  </si>
  <si>
    <t>equip-10000105</t>
  </si>
  <si>
    <t>equip-20000105</t>
  </si>
  <si>
    <t>S&amp;B</t>
  </si>
  <si>
    <t>equip-30000105</t>
  </si>
  <si>
    <t>equip-10000106</t>
  </si>
  <si>
    <t>equip-20000106</t>
  </si>
  <si>
    <t>equip-30000106</t>
  </si>
  <si>
    <t>equip-10000107</t>
  </si>
  <si>
    <t>equip-20000107</t>
  </si>
  <si>
    <t>equip-30000107</t>
  </si>
  <si>
    <t>equip-10000108</t>
  </si>
  <si>
    <t>equip-20000108</t>
  </si>
  <si>
    <t>equip-30000108</t>
  </si>
  <si>
    <t>equip-10000111</t>
  </si>
  <si>
    <t>equip-20000111</t>
  </si>
  <si>
    <t>KSH</t>
  </si>
  <si>
    <t>equip-30000111</t>
  </si>
  <si>
    <t>equip-10000112</t>
  </si>
  <si>
    <t>equip-20000112</t>
  </si>
  <si>
    <t>CT</t>
  </si>
  <si>
    <t>equip-30000112</t>
  </si>
  <si>
    <t>equip-10000113</t>
  </si>
  <si>
    <t>equip-20000113</t>
  </si>
  <si>
    <t>NS</t>
  </si>
  <si>
    <t>equip-30000113</t>
  </si>
  <si>
    <t>equip-10000114</t>
  </si>
  <si>
    <t>equip-20000114</t>
  </si>
  <si>
    <t>IMP</t>
  </si>
  <si>
    <t>equip-30000114</t>
  </si>
  <si>
    <t>equip-10000115</t>
  </si>
  <si>
    <t>equip-20000115</t>
  </si>
  <si>
    <t>FSB</t>
  </si>
  <si>
    <t>equip-30000115</t>
  </si>
  <si>
    <t>equip-10000117</t>
  </si>
  <si>
    <t>equip-20000117</t>
  </si>
  <si>
    <t>DJMAX</t>
  </si>
  <si>
    <t>equip-30000117</t>
  </si>
  <si>
    <t>equip-10000118</t>
  </si>
  <si>
    <t>equip-20000118</t>
  </si>
  <si>
    <t>equip-30000118</t>
  </si>
  <si>
    <t>equip-10000119</t>
  </si>
  <si>
    <t>equip-20000119</t>
  </si>
  <si>
    <t>SED</t>
  </si>
  <si>
    <t>equip-30000119</t>
  </si>
  <si>
    <t>equip-10000122</t>
  </si>
  <si>
    <t>equip-20000122</t>
  </si>
  <si>
    <t>equip-30000122</t>
  </si>
  <si>
    <t>equip-10000123</t>
  </si>
  <si>
    <t>equip-20000123</t>
  </si>
  <si>
    <t>LA</t>
  </si>
  <si>
    <t>equip-30000123</t>
  </si>
  <si>
    <t>equip-10000124</t>
  </si>
  <si>
    <t>equip-20000124</t>
  </si>
  <si>
    <t>PTR</t>
  </si>
  <si>
    <t>equip-30000124</t>
  </si>
  <si>
    <t>equip-10000125</t>
  </si>
  <si>
    <t>equip-20000125</t>
  </si>
  <si>
    <t>???</t>
  </si>
  <si>
    <t>equip-30000125</t>
  </si>
  <si>
    <t>equip-10000126</t>
  </si>
  <si>
    <t>equip-20000126</t>
  </si>
  <si>
    <t>equip-30000126</t>
  </si>
  <si>
    <t>equip-10000127</t>
  </si>
  <si>
    <t>equip-20000127</t>
  </si>
  <si>
    <t>MS</t>
  </si>
  <si>
    <t>equip-30000127</t>
  </si>
  <si>
    <t>equip-10000128</t>
  </si>
  <si>
    <t>equip-20000128</t>
  </si>
  <si>
    <t>RSAF</t>
  </si>
  <si>
    <t>equip-30000128</t>
  </si>
  <si>
    <t>equip-10000129</t>
  </si>
  <si>
    <t>equip-20000129</t>
  </si>
  <si>
    <t>SFA</t>
  </si>
  <si>
    <t>equip-30000129</t>
  </si>
  <si>
    <t>equip-10000130</t>
  </si>
  <si>
    <t>equip-20000130</t>
  </si>
  <si>
    <t>ZF</t>
  </si>
  <si>
    <t>equip-30000130</t>
  </si>
  <si>
    <t>equip-10000131</t>
  </si>
  <si>
    <t>equip-20000131</t>
  </si>
  <si>
    <t>TJC</t>
  </si>
  <si>
    <t>equip-30000131</t>
  </si>
  <si>
    <t>equip-10000132</t>
  </si>
  <si>
    <t>equip-20000132</t>
  </si>
  <si>
    <t>equip-30000132</t>
  </si>
  <si>
    <t>equip-10000133</t>
  </si>
  <si>
    <t>equip-20000133</t>
  </si>
  <si>
    <t>USR</t>
  </si>
  <si>
    <t>equip-30000133</t>
  </si>
  <si>
    <t>300120</t>
  </si>
  <si>
    <t>equip-10000134</t>
  </si>
  <si>
    <t>equip-20000134</t>
  </si>
  <si>
    <t>MPL</t>
  </si>
  <si>
    <t>equip-30000134</t>
  </si>
  <si>
    <t>equip-10000135</t>
  </si>
  <si>
    <t>equip-20000135</t>
  </si>
  <si>
    <t>TTM</t>
  </si>
  <si>
    <t>equip-30000135</t>
  </si>
  <si>
    <t>equip-10000136</t>
  </si>
  <si>
    <t>equip-20000136</t>
  </si>
  <si>
    <t>PAW</t>
  </si>
  <si>
    <t>equip-30000136</t>
  </si>
  <si>
    <t>equip-10000137</t>
  </si>
  <si>
    <t>equip-20000137</t>
  </si>
  <si>
    <t>BTC</t>
  </si>
  <si>
    <t>equip-30000137</t>
  </si>
  <si>
    <t>710102</t>
  </si>
  <si>
    <t>equip-10000138</t>
  </si>
  <si>
    <t>equip-20000138</t>
  </si>
  <si>
    <t>equip-30000138</t>
  </si>
  <si>
    <t>710105</t>
  </si>
  <si>
    <t>equip-10000139</t>
  </si>
  <si>
    <t>equip-20000139</t>
  </si>
  <si>
    <t>equip-30000139</t>
  </si>
  <si>
    <t>710122</t>
  </si>
  <si>
    <t>equip-10000140</t>
  </si>
  <si>
    <t>equip-20000140</t>
  </si>
  <si>
    <t>equip-30000140</t>
  </si>
  <si>
    <t>710103</t>
  </si>
  <si>
    <t>equip-10000141</t>
  </si>
  <si>
    <t>equip-20000141</t>
  </si>
  <si>
    <t>equip-30000141</t>
  </si>
  <si>
    <t>710104</t>
  </si>
  <si>
    <t>equip-10000142</t>
  </si>
  <si>
    <t>equip-20000142</t>
  </si>
  <si>
    <t>equip-30000142</t>
  </si>
  <si>
    <t>710106</t>
  </si>
  <si>
    <t>equip-10000143</t>
  </si>
  <si>
    <t>equip-20000143</t>
  </si>
  <si>
    <t>equip-30000143</t>
  </si>
  <si>
    <t>710120</t>
  </si>
  <si>
    <t>equip-10000144</t>
  </si>
  <si>
    <t>equip-20000144</t>
  </si>
  <si>
    <t>equip-30000144</t>
  </si>
  <si>
    <t>710121</t>
  </si>
  <si>
    <t>equip-10000145</t>
  </si>
  <si>
    <t>equip-20000145</t>
  </si>
  <si>
    <t>Zaibatsu Corp.</t>
  </si>
  <si>
    <t>equip-30000145</t>
  </si>
  <si>
    <t>equip-10000146</t>
  </si>
  <si>
    <t>equip-20000146</t>
  </si>
  <si>
    <t>equip-30000146</t>
  </si>
  <si>
    <t>equip-10000147</t>
  </si>
  <si>
    <t>equip-20000147</t>
  </si>
  <si>
    <t>equip-30000147</t>
  </si>
  <si>
    <t>equip-10000148</t>
  </si>
  <si>
    <t>equip-20000148</t>
  </si>
  <si>
    <t>equip-30000148</t>
  </si>
  <si>
    <t>equip-10000149</t>
  </si>
  <si>
    <t>equip-20000149</t>
  </si>
  <si>
    <t>equip-30000149</t>
  </si>
  <si>
    <t>equip-10000150</t>
  </si>
  <si>
    <t>equip-20000150</t>
  </si>
  <si>
    <t>equip-30000150</t>
  </si>
  <si>
    <t>equip-10000151</t>
  </si>
  <si>
    <t>equip-20000151</t>
  </si>
  <si>
    <t>FD</t>
  </si>
  <si>
    <t>equip-30000151</t>
  </si>
  <si>
    <t>equip-10000152</t>
  </si>
  <si>
    <t>equip-20000152</t>
  </si>
  <si>
    <t>SIG</t>
  </si>
  <si>
    <t>equip-30000152</t>
  </si>
  <si>
    <t>equip-10000153</t>
  </si>
  <si>
    <t>equip-20000153</t>
  </si>
  <si>
    <t>BRT</t>
  </si>
  <si>
    <t>equip-30000153</t>
  </si>
  <si>
    <t>equip-10000154</t>
  </si>
  <si>
    <t>equip-20000154</t>
  </si>
  <si>
    <t>OSS</t>
  </si>
  <si>
    <t>equip-30000154</t>
  </si>
  <si>
    <t>equip-10000155</t>
  </si>
  <si>
    <t>equip-20000155</t>
  </si>
  <si>
    <t>WTR</t>
  </si>
  <si>
    <t>equip-30000155</t>
  </si>
  <si>
    <t>equip-10000156</t>
  </si>
  <si>
    <t>equip-20000156</t>
  </si>
  <si>
    <t>equip-30000156</t>
  </si>
  <si>
    <t>equip-10000157</t>
  </si>
  <si>
    <t>equip-20000157</t>
  </si>
  <si>
    <t>equip-30000157</t>
  </si>
  <si>
    <t>equip-10000158</t>
  </si>
  <si>
    <t>equip-20000158</t>
  </si>
  <si>
    <t>KXY</t>
  </si>
  <si>
    <t>equip-30000158</t>
  </si>
  <si>
    <t>equip-10000159</t>
  </si>
  <si>
    <t>equip-20000159</t>
  </si>
  <si>
    <t>HK</t>
  </si>
  <si>
    <t>equip-30000159</t>
  </si>
  <si>
    <t>equip-10000160</t>
  </si>
  <si>
    <t>equip-20000160</t>
  </si>
  <si>
    <t>VKS</t>
  </si>
  <si>
    <t>equip-30000160</t>
  </si>
  <si>
    <t>equip-10000161</t>
  </si>
  <si>
    <t>equip-20000161</t>
  </si>
  <si>
    <t>208</t>
  </si>
  <si>
    <t>equip-30000161</t>
  </si>
  <si>
    <t>equip-10000162</t>
  </si>
  <si>
    <t>equip-20000162</t>
  </si>
  <si>
    <t>GDR</t>
  </si>
  <si>
    <t>equip-30000162</t>
  </si>
  <si>
    <t>equip-10000163</t>
  </si>
  <si>
    <t>equip-20000163</t>
  </si>
  <si>
    <t>LGE</t>
  </si>
  <si>
    <t>equip-30000163</t>
  </si>
  <si>
    <t>equip-10000164</t>
  </si>
  <si>
    <t>equip-20000164</t>
  </si>
  <si>
    <t>RT</t>
  </si>
  <si>
    <t>equip-30000164</t>
  </si>
  <si>
    <t>equip-10000165</t>
  </si>
  <si>
    <t>equip-20000165</t>
  </si>
  <si>
    <t>IRI</t>
  </si>
  <si>
    <t>equip-30000165</t>
  </si>
  <si>
    <t>equip-10000166</t>
  </si>
  <si>
    <t>equip-20000166</t>
  </si>
  <si>
    <t>DO</t>
  </si>
  <si>
    <t>equip-30000166</t>
  </si>
  <si>
    <t>equip-10000167</t>
  </si>
  <si>
    <t>equip-20000167</t>
  </si>
  <si>
    <t>equip-30000167</t>
  </si>
  <si>
    <t>equip-10000168</t>
  </si>
  <si>
    <t>equip-20000168</t>
  </si>
  <si>
    <t>IJ</t>
  </si>
  <si>
    <t>equip-30000168</t>
  </si>
  <si>
    <t>equip-10000169</t>
  </si>
  <si>
    <t>equip-20000169</t>
  </si>
  <si>
    <t>KTC</t>
  </si>
  <si>
    <t>equip-30000169</t>
  </si>
  <si>
    <t>equip-10000170</t>
  </si>
  <si>
    <t>equip-20000170</t>
  </si>
  <si>
    <t>DD</t>
  </si>
  <si>
    <t>equip-30000170</t>
  </si>
  <si>
    <t>equip-10000171</t>
  </si>
  <si>
    <t>equip-20000171</t>
  </si>
  <si>
    <t>WTF</t>
  </si>
  <si>
    <t>equip-30000171</t>
  </si>
  <si>
    <t>equip-10000172</t>
  </si>
  <si>
    <t>equip-20000172</t>
  </si>
  <si>
    <t>Redfield</t>
  </si>
  <si>
    <t>equip-30000172</t>
  </si>
  <si>
    <t>equip-10000173</t>
  </si>
  <si>
    <t>equip-20000173</t>
  </si>
  <si>
    <t>TCP</t>
  </si>
  <si>
    <t>equip-30000173</t>
  </si>
  <si>
    <t>equip-10000174</t>
  </si>
  <si>
    <t>equip-20000174</t>
  </si>
  <si>
    <t>CS</t>
  </si>
  <si>
    <t>equip-30000174</t>
  </si>
  <si>
    <t>114001</t>
  </si>
  <si>
    <t>equip-10000175</t>
  </si>
  <si>
    <t>equip-20000175</t>
  </si>
  <si>
    <t>equip-30000175</t>
  </si>
  <si>
    <t>equip-10000176</t>
  </si>
  <si>
    <t>equip-20000176</t>
  </si>
  <si>
    <t>equip-30000176</t>
  </si>
  <si>
    <t>equip-10000177</t>
  </si>
  <si>
    <t>equip-20000177</t>
  </si>
  <si>
    <t>MGP</t>
  </si>
  <si>
    <t>equip-30000177</t>
  </si>
  <si>
    <t>equip-10000178</t>
  </si>
  <si>
    <t>equip-20000178</t>
  </si>
  <si>
    <t>equip-30000178</t>
  </si>
  <si>
    <t>equip-10000179</t>
  </si>
  <si>
    <t>equip-20000179</t>
  </si>
  <si>
    <t>equip-30000179</t>
  </si>
  <si>
    <t>equip-10000180</t>
  </si>
  <si>
    <t>equip-20000180</t>
  </si>
  <si>
    <t>FAB</t>
  </si>
  <si>
    <t>equip-30000180</t>
  </si>
  <si>
    <t>equip-10000181</t>
  </si>
  <si>
    <t>equip-20000181</t>
  </si>
  <si>
    <t>G2R</t>
  </si>
  <si>
    <t>equip-30000181</t>
  </si>
  <si>
    <t>equip-10000182</t>
  </si>
  <si>
    <t>equip-20000182</t>
  </si>
  <si>
    <t>equip-30000182</t>
  </si>
  <si>
    <t>equip-10000183</t>
  </si>
  <si>
    <t>equip-20000183</t>
  </si>
  <si>
    <t>equip-30000183</t>
  </si>
  <si>
    <t>equip-10000184</t>
  </si>
  <si>
    <t>equip-20000184</t>
  </si>
  <si>
    <t>equip-30000184</t>
  </si>
  <si>
    <t>equip-10000185</t>
  </si>
  <si>
    <t>equip-20000185</t>
  </si>
  <si>
    <t>equip-30000185</t>
  </si>
  <si>
    <t>900716</t>
  </si>
  <si>
    <t>equip-10000186</t>
  </si>
  <si>
    <t>equip-20000186</t>
  </si>
  <si>
    <t>equip-30000186</t>
  </si>
  <si>
    <t>equip-10000187</t>
  </si>
  <si>
    <t>equip-20000187</t>
  </si>
  <si>
    <t>equip-30000187</t>
  </si>
  <si>
    <t>equip-10000188</t>
  </si>
  <si>
    <t>equip-20000188</t>
  </si>
  <si>
    <t>equip-30000188</t>
  </si>
  <si>
    <t>900717</t>
  </si>
  <si>
    <t>equip-10000189</t>
  </si>
  <si>
    <t>equip-20000189</t>
  </si>
  <si>
    <t>equip-30000189</t>
  </si>
  <si>
    <t>900718</t>
  </si>
  <si>
    <t>equip-10000190</t>
  </si>
  <si>
    <t>equip-20000190</t>
  </si>
  <si>
    <t>404后勤部</t>
  </si>
  <si>
    <t>equip-30000190</t>
  </si>
  <si>
    <t>equip-10000191</t>
  </si>
  <si>
    <t>equip-20000191</t>
  </si>
  <si>
    <t>equip-30000191</t>
  </si>
  <si>
    <t>equip-10000192</t>
  </si>
  <si>
    <t>equip-20000192</t>
  </si>
  <si>
    <t>equip-30000192</t>
  </si>
  <si>
    <t>equip-10000193</t>
  </si>
  <si>
    <t>equip-20000193</t>
  </si>
  <si>
    <t>equip-30000193</t>
  </si>
  <si>
    <t>equip-10000194</t>
  </si>
  <si>
    <t>equip-20000194</t>
  </si>
  <si>
    <t>equip-30000194</t>
  </si>
  <si>
    <t>equip-10000195</t>
  </si>
  <si>
    <t>equip-20000195</t>
  </si>
  <si>
    <t>equip-30000195</t>
  </si>
  <si>
    <t>equip-10000196</t>
  </si>
  <si>
    <t>equip-20000196</t>
  </si>
  <si>
    <t>equip-30000196</t>
  </si>
  <si>
    <t>equip-10000197</t>
  </si>
  <si>
    <t>equip-20000197</t>
  </si>
  <si>
    <t>equip-30000197</t>
  </si>
  <si>
    <t>equip-10000198</t>
  </si>
  <si>
    <t>equip-20000198</t>
  </si>
  <si>
    <t>equip-30000198</t>
  </si>
  <si>
    <t>equip-10000199</t>
  </si>
  <si>
    <t>equip-20000199</t>
  </si>
  <si>
    <t>SC</t>
  </si>
  <si>
    <t>equip-30000199</t>
  </si>
  <si>
    <t>900992</t>
  </si>
  <si>
    <t>equip-10000200</t>
  </si>
  <si>
    <t>equip-20000200</t>
  </si>
  <si>
    <t>SHD</t>
  </si>
  <si>
    <t>equip-30000200</t>
  </si>
  <si>
    <t>900993</t>
  </si>
  <si>
    <t>equip-10000201</t>
  </si>
  <si>
    <t>equip-20000201</t>
  </si>
  <si>
    <t>equip-30000201</t>
  </si>
  <si>
    <t>900994</t>
  </si>
  <si>
    <t>equip-10000202</t>
  </si>
  <si>
    <t>equip-20000202</t>
  </si>
  <si>
    <t>TC</t>
  </si>
  <si>
    <t>equip-30000202</t>
  </si>
  <si>
    <t>901014</t>
  </si>
  <si>
    <t>equip-10000203</t>
  </si>
  <si>
    <t>equip-20000203</t>
  </si>
  <si>
    <t>equip-30000203</t>
  </si>
  <si>
    <t>901015</t>
  </si>
  <si>
    <t>equip-10000204</t>
  </si>
  <si>
    <t>equip-20000204</t>
  </si>
  <si>
    <t>equip-30000204</t>
  </si>
  <si>
    <t>901016</t>
  </si>
  <si>
    <t>equip-10000205</t>
  </si>
  <si>
    <t>equip-20000205</t>
  </si>
  <si>
    <t>MI</t>
  </si>
  <si>
    <t>equip-30000205</t>
  </si>
  <si>
    <t>equip-10000206</t>
  </si>
  <si>
    <t>equip-20000206</t>
  </si>
  <si>
    <t>equip-30000206</t>
  </si>
  <si>
    <t>equip-10000207</t>
  </si>
  <si>
    <t>equip-20000207</t>
  </si>
  <si>
    <t>ZNT</t>
  </si>
  <si>
    <t>equip-30000207</t>
  </si>
  <si>
    <t>902133</t>
  </si>
  <si>
    <t>equip-10000208</t>
  </si>
  <si>
    <t>equip-20000208</t>
  </si>
  <si>
    <t>equip-30000208</t>
  </si>
  <si>
    <t>equip-10000209</t>
  </si>
  <si>
    <t>equip-20000209</t>
  </si>
  <si>
    <t>equip-30000209</t>
  </si>
  <si>
    <t>equip-10000210</t>
  </si>
  <si>
    <t>equip-20000210</t>
  </si>
  <si>
    <t>equip-30000210</t>
  </si>
  <si>
    <t>equip-10000211</t>
  </si>
  <si>
    <t>equip-20000211</t>
  </si>
  <si>
    <t>equip-30000211</t>
  </si>
  <si>
    <t>902239</t>
  </si>
  <si>
    <t>equip-10000212</t>
  </si>
  <si>
    <t>equip-20000212</t>
  </si>
  <si>
    <t>equip-30000212</t>
  </si>
  <si>
    <t>equip-10000213</t>
  </si>
  <si>
    <t>equip-20000213</t>
  </si>
  <si>
    <t>equip-30000213</t>
  </si>
  <si>
    <t>902256</t>
  </si>
  <si>
    <t>equip-10000214</t>
  </si>
  <si>
    <t>equip-20000214</t>
  </si>
  <si>
    <t>equip-30000214</t>
  </si>
  <si>
    <t>equip-10000215</t>
  </si>
  <si>
    <t>equip-20000215</t>
  </si>
  <si>
    <t>equip-30000215</t>
  </si>
  <si>
    <t>equip-10000216</t>
  </si>
  <si>
    <t>equip-20000216</t>
  </si>
  <si>
    <t>equip-30000216</t>
  </si>
  <si>
    <t>115807</t>
  </si>
  <si>
    <t>equip-10000217</t>
  </si>
  <si>
    <t>equip-20000217</t>
  </si>
  <si>
    <t>SB</t>
  </si>
  <si>
    <t>equip-30000217</t>
  </si>
  <si>
    <t>equip-10000218</t>
  </si>
  <si>
    <t>equip-20000218</t>
  </si>
  <si>
    <t>equip-30000218</t>
  </si>
  <si>
    <t>902391</t>
  </si>
  <si>
    <t>equip-10000219</t>
  </si>
  <si>
    <t>equip-20000219</t>
  </si>
  <si>
    <t>equip-30000219</t>
  </si>
  <si>
    <t>equip-10000220</t>
  </si>
  <si>
    <t>equip-20000220</t>
  </si>
  <si>
    <t>equip-30000220</t>
  </si>
  <si>
    <t>equip-10000221</t>
  </si>
  <si>
    <t>equip-20000221</t>
  </si>
  <si>
    <t>equip-30000221</t>
  </si>
  <si>
    <t>equip-10000222</t>
  </si>
  <si>
    <t>equip-20000222</t>
  </si>
  <si>
    <t>equip-30000222</t>
  </si>
  <si>
    <t>equip-10000223</t>
  </si>
  <si>
    <t>equip-20000223</t>
  </si>
  <si>
    <t>equip-30000223</t>
  </si>
  <si>
    <t>equip-10000224</t>
  </si>
  <si>
    <t>equip-20000224</t>
  </si>
  <si>
    <t>equip-30000224</t>
  </si>
  <si>
    <t>equip-10000225</t>
  </si>
  <si>
    <t>equip-20000225</t>
  </si>
  <si>
    <t>equip-30000225</t>
  </si>
  <si>
    <t>300903</t>
  </si>
  <si>
    <t>equip-10000226</t>
  </si>
  <si>
    <t>equip-20000226</t>
  </si>
  <si>
    <t>equip-30000226</t>
  </si>
  <si>
    <t>equip-10000227</t>
  </si>
  <si>
    <t>equip-20000227</t>
  </si>
  <si>
    <t>equip-30000227</t>
  </si>
  <si>
    <t>equip-10000228</t>
  </si>
  <si>
    <t>equip-20000228</t>
  </si>
  <si>
    <t>equip-30000228</t>
  </si>
  <si>
    <t>equip-10000229</t>
  </si>
  <si>
    <t>equip-20000229</t>
  </si>
  <si>
    <t>equip-30000229</t>
  </si>
  <si>
    <t>equip-10000230</t>
  </si>
  <si>
    <t>equip-20000230</t>
  </si>
  <si>
    <t>equip-30000230</t>
  </si>
  <si>
    <t>equip-10000231</t>
  </si>
  <si>
    <t>equip-20000231</t>
  </si>
  <si>
    <t>equip-30000231</t>
  </si>
  <si>
    <t>equip-10000232</t>
  </si>
  <si>
    <t>equip-20000232</t>
  </si>
  <si>
    <t>equip-30000232</t>
  </si>
  <si>
    <t>equip-10000233</t>
  </si>
  <si>
    <t>equip-20000233</t>
  </si>
  <si>
    <t>equip-30000233</t>
  </si>
  <si>
    <t>equip-10000234</t>
  </si>
  <si>
    <t>equip-20000234</t>
  </si>
  <si>
    <t>equip-30000234</t>
  </si>
  <si>
    <t>equip-10000235</t>
  </si>
  <si>
    <t>equip-20000235</t>
  </si>
  <si>
    <t>equip-30000235</t>
  </si>
  <si>
    <t>300902</t>
  </si>
  <si>
    <t>equip-10000236</t>
  </si>
  <si>
    <t>equip-20000236</t>
  </si>
  <si>
    <t>AO</t>
  </si>
  <si>
    <t>equip-30000236</t>
  </si>
  <si>
    <t>116201</t>
  </si>
  <si>
    <t>equip-10000237</t>
  </si>
  <si>
    <t>equip-20000237</t>
  </si>
  <si>
    <t>equip-30000237</t>
  </si>
  <si>
    <t>100507</t>
  </si>
  <si>
    <t>equip-10000238</t>
  </si>
  <si>
    <t>equip-20000238</t>
  </si>
  <si>
    <t>HND</t>
  </si>
  <si>
    <t>equip-30000238</t>
  </si>
  <si>
    <t>equip-10000239</t>
  </si>
  <si>
    <t>equip-20000239</t>
  </si>
  <si>
    <t>HST</t>
  </si>
  <si>
    <t>equip-30000239</t>
  </si>
  <si>
    <t>803906</t>
  </si>
  <si>
    <t>equip-10000240</t>
  </si>
  <si>
    <t>equip-20000240</t>
  </si>
  <si>
    <t>equip-30000240</t>
  </si>
  <si>
    <t>equip-10000241</t>
  </si>
  <si>
    <t>equip-20000241</t>
  </si>
  <si>
    <t>equip-30000241</t>
  </si>
  <si>
    <t>equip-10000242</t>
  </si>
  <si>
    <t>equip-20000242</t>
  </si>
  <si>
    <t>equip-30000242</t>
  </si>
  <si>
    <t>756004</t>
  </si>
  <si>
    <t>equip-10000243</t>
  </si>
  <si>
    <t>equip-20000243</t>
  </si>
  <si>
    <t>equip-30000243</t>
  </si>
  <si>
    <t>equip-10000244</t>
  </si>
  <si>
    <t>equip-20000244</t>
  </si>
  <si>
    <t>equip-30000244</t>
  </si>
  <si>
    <t>equip-10000245</t>
  </si>
  <si>
    <t>equip-20000245</t>
  </si>
  <si>
    <t>ZEVT</t>
  </si>
  <si>
    <t>equip-30000245</t>
  </si>
  <si>
    <t>equip-10000246</t>
  </si>
  <si>
    <t>equip-20000246</t>
  </si>
  <si>
    <t>IWI</t>
  </si>
  <si>
    <t>equip-30000246</t>
  </si>
  <si>
    <t>756060</t>
  </si>
  <si>
    <t>equip-10000247</t>
  </si>
  <si>
    <t>equip-20000247</t>
  </si>
  <si>
    <t>MCM</t>
  </si>
  <si>
    <t>equip-30000247</t>
  </si>
  <si>
    <t>equip-10000248</t>
  </si>
  <si>
    <t>equip-20000248</t>
  </si>
  <si>
    <t>equip-30000248</t>
  </si>
  <si>
    <t>756117</t>
  </si>
  <si>
    <t>equip-10000249</t>
  </si>
  <si>
    <t>equip-20000249</t>
  </si>
  <si>
    <t>equip-30000249</t>
  </si>
  <si>
    <t>equip-10000250</t>
  </si>
  <si>
    <t>equip-20000250</t>
  </si>
  <si>
    <t>equip-30000250</t>
  </si>
  <si>
    <t>759011</t>
  </si>
  <si>
    <t>equip-10000251</t>
  </si>
  <si>
    <t>equip-20000251</t>
  </si>
  <si>
    <t>equip-30000251</t>
  </si>
  <si>
    <t>equip-10000252</t>
  </si>
  <si>
    <t>equip-20000252</t>
  </si>
  <si>
    <t>equip-30000252</t>
  </si>
  <si>
    <t>equip-10000253</t>
  </si>
  <si>
    <t>equip-20000253</t>
  </si>
  <si>
    <t>equip-30000253</t>
  </si>
  <si>
    <t>equip-10000254</t>
  </si>
  <si>
    <t>equip-20000254</t>
  </si>
  <si>
    <t>equip-30000254</t>
  </si>
  <si>
    <t>equip-10000255</t>
  </si>
  <si>
    <t>equip-20000255</t>
  </si>
  <si>
    <t>equip-30000255</t>
  </si>
  <si>
    <t>equip-10000256</t>
  </si>
  <si>
    <t>equip-20000256</t>
  </si>
  <si>
    <t>TYRT</t>
  </si>
  <si>
    <t>equip-30000256</t>
  </si>
  <si>
    <t>equip-10000257</t>
  </si>
  <si>
    <t>equip-20000257</t>
  </si>
  <si>
    <t>AXI</t>
  </si>
  <si>
    <t>equip-30000257</t>
  </si>
  <si>
    <t>equip-10000258</t>
  </si>
  <si>
    <t>equip-20000258</t>
  </si>
  <si>
    <t>equip-30000258</t>
  </si>
  <si>
    <t>equip-10000259</t>
  </si>
  <si>
    <t>equip-20000259</t>
  </si>
  <si>
    <t>equip-30000259</t>
  </si>
  <si>
    <t>759012</t>
  </si>
  <si>
    <t>equip-10000260</t>
  </si>
  <si>
    <t>equip-20000260</t>
  </si>
  <si>
    <t>equip-30000260</t>
  </si>
  <si>
    <t>equip-10000261</t>
  </si>
  <si>
    <t>equip-20000261</t>
  </si>
  <si>
    <t>equip-30000261</t>
  </si>
  <si>
    <t>equip-10000262</t>
  </si>
  <si>
    <t>equip-20000262</t>
  </si>
  <si>
    <t>equip-30000262</t>
  </si>
  <si>
    <t>equip-10000263</t>
  </si>
  <si>
    <t>equip-20000263</t>
  </si>
  <si>
    <t>KP/Z</t>
  </si>
  <si>
    <t>equip-30000263</t>
  </si>
  <si>
    <t>equip-10000264</t>
  </si>
  <si>
    <t>equip-20000264</t>
  </si>
  <si>
    <t>85</t>
  </si>
  <si>
    <t>equip-30000264</t>
  </si>
  <si>
    <t>introduce</t>
  </si>
  <si>
    <t>dialogue</t>
  </si>
  <si>
    <t>extra</t>
  </si>
  <si>
    <t>en_introduce</t>
  </si>
  <si>
    <t>baseammo</t>
  </si>
  <si>
    <t>basemre</t>
  </si>
  <si>
    <t>ammo_add_withnumber</t>
  </si>
  <si>
    <t>mre_add_withnumber</t>
  </si>
  <si>
    <t>retiremp</t>
  </si>
  <si>
    <t>retireammo</t>
  </si>
  <si>
    <t>retiremre</t>
  </si>
  <si>
    <t>retirepart</t>
  </si>
  <si>
    <t>ratio_speed</t>
  </si>
  <si>
    <t>crit</t>
  </si>
  <si>
    <t>special</t>
  </si>
  <si>
    <t>ratio_range</t>
  </si>
  <si>
    <t>effect_grid_center</t>
  </si>
  <si>
    <t>effect_guntype</t>
  </si>
  <si>
    <t>effect_grid_pos</t>
  </si>
  <si>
    <t>effect_grid_effect</t>
  </si>
  <si>
    <t>max_equip</t>
  </si>
  <si>
    <t>type_equip4</t>
  </si>
  <si>
    <t>ai</t>
  </si>
  <si>
    <t>launch_time</t>
  </si>
  <si>
    <t>obtain_ids</t>
  </si>
  <si>
    <t>rank_display</t>
  </si>
  <si>
    <t>prize_id</t>
  </si>
  <si>
    <t>mindupdate_consume</t>
  </si>
  <si>
    <t>explore_tag</t>
  </si>
  <si>
    <t>gun_detail_bg</t>
  </si>
  <si>
    <t>org_id</t>
  </si>
  <si>
    <t>gun-10000001</t>
  </si>
  <si>
    <t>M1873</t>
  </si>
  <si>
    <t>gun-40000001</t>
  </si>
  <si>
    <t>gun-50000001</t>
  </si>
  <si>
    <t>gun-60000001</t>
  </si>
  <si>
    <t>gun-10000002</t>
  </si>
  <si>
    <t>gun-40000002</t>
  </si>
  <si>
    <t>gun-50000002</t>
  </si>
  <si>
    <t>gun-60000002</t>
  </si>
  <si>
    <t>gun-10000003</t>
  </si>
  <si>
    <t>gun-40000003</t>
  </si>
  <si>
    <t>gun-50000003</t>
  </si>
  <si>
    <t>gun-60000003</t>
  </si>
  <si>
    <t>gun-10000004</t>
  </si>
  <si>
    <t>gun-40000004</t>
  </si>
  <si>
    <t>gun-50000004</t>
  </si>
  <si>
    <t>gun-60000004</t>
  </si>
  <si>
    <t>gun-10000005</t>
  </si>
  <si>
    <t>gun-40000005</t>
  </si>
  <si>
    <t>gun-50000005</t>
  </si>
  <si>
    <t>gun-60000005</t>
  </si>
  <si>
    <t>gun-10000006</t>
  </si>
  <si>
    <t>TT33</t>
  </si>
  <si>
    <t>gun-40000006</t>
  </si>
  <si>
    <t>gun-50000006</t>
  </si>
  <si>
    <t>gun-60000006</t>
  </si>
  <si>
    <t>gun-10000007</t>
  </si>
  <si>
    <t>APS</t>
  </si>
  <si>
    <t>gun-40000007</t>
  </si>
  <si>
    <t>gun-50000007</t>
  </si>
  <si>
    <t>gun-60000007</t>
  </si>
  <si>
    <t>gun-10000008</t>
  </si>
  <si>
    <t>PM</t>
  </si>
  <si>
    <t>gun-40000008</t>
  </si>
  <si>
    <t>gun-50000008</t>
  </si>
  <si>
    <t>gun-60000008</t>
  </si>
  <si>
    <t>gun-10000009</t>
  </si>
  <si>
    <t>gun-40000009</t>
  </si>
  <si>
    <t>gun-50000009</t>
  </si>
  <si>
    <t>gun-60000009</t>
  </si>
  <si>
    <t>gun-10000010</t>
  </si>
  <si>
    <t>gun-40000010</t>
  </si>
  <si>
    <t>gun-50000010</t>
  </si>
  <si>
    <t>gun-60000010</t>
  </si>
  <si>
    <t>gun-10000011</t>
  </si>
  <si>
    <t>gun-40000011</t>
  </si>
  <si>
    <t>gun-50000011</t>
  </si>
  <si>
    <t>gun-60000011</t>
  </si>
  <si>
    <t>gun-10000012</t>
  </si>
  <si>
    <t>gun-40000012</t>
  </si>
  <si>
    <t>gun-50000012</t>
  </si>
  <si>
    <t>gun-60000012</t>
  </si>
  <si>
    <t>gun-10000013</t>
  </si>
  <si>
    <t>92type</t>
  </si>
  <si>
    <t>gun-40000013</t>
  </si>
  <si>
    <t>gun-50000013</t>
  </si>
  <si>
    <t>gun-60000013</t>
  </si>
  <si>
    <t>gun-10000014</t>
  </si>
  <si>
    <t>357</t>
  </si>
  <si>
    <t>gun-40000014</t>
  </si>
  <si>
    <t>gun-50000014</t>
  </si>
  <si>
    <t>gun-60000014</t>
  </si>
  <si>
    <t>gun-10000015</t>
  </si>
  <si>
    <t>Glock17</t>
  </si>
  <si>
    <t>gun-40000015</t>
  </si>
  <si>
    <t>gun-50000015</t>
  </si>
  <si>
    <t>gun-60000015</t>
  </si>
  <si>
    <t>gun-10000016</t>
  </si>
  <si>
    <t>M1928A1</t>
  </si>
  <si>
    <t>gun-40000016</t>
  </si>
  <si>
    <t>gun-50000016</t>
  </si>
  <si>
    <t>gun-60000016</t>
  </si>
  <si>
    <t>gun-10000017</t>
  </si>
  <si>
    <t>gun-40000017</t>
  </si>
  <si>
    <t>gun-50000017</t>
  </si>
  <si>
    <t>gun-60000017</t>
  </si>
  <si>
    <t>gun-10000018</t>
  </si>
  <si>
    <t>MAC10</t>
  </si>
  <si>
    <t>gun-40000018</t>
  </si>
  <si>
    <t>gun-50000018</t>
  </si>
  <si>
    <t>gun-60000018</t>
  </si>
  <si>
    <t>gun-10000019</t>
  </si>
  <si>
    <t>gun-40000019</t>
  </si>
  <si>
    <t>gun-50000019</t>
  </si>
  <si>
    <t>gun-60000019</t>
  </si>
  <si>
    <t>gun-10000020</t>
  </si>
  <si>
    <t>gun-40000020</t>
  </si>
  <si>
    <t>gun-50000020</t>
  </si>
  <si>
    <t>gun-60000020</t>
  </si>
  <si>
    <t>gun-10000021</t>
  </si>
  <si>
    <t>PPsh41</t>
  </si>
  <si>
    <t>gun-40000021</t>
  </si>
  <si>
    <t>gun-50000021</t>
  </si>
  <si>
    <t>gun-60000021</t>
  </si>
  <si>
    <t>gun-10000022</t>
  </si>
  <si>
    <t>gun-40000022</t>
  </si>
  <si>
    <t>gun-50000022</t>
  </si>
  <si>
    <t>gun-60000022</t>
  </si>
  <si>
    <t>gun-10000023</t>
  </si>
  <si>
    <t>gun-40000023</t>
  </si>
  <si>
    <t>gun-50000023</t>
  </si>
  <si>
    <t>gun-60000023</t>
  </si>
  <si>
    <t>gun-10000024</t>
  </si>
  <si>
    <t>gun-40000024</t>
  </si>
  <si>
    <t>gun-50000024</t>
  </si>
  <si>
    <t>gun-60000024</t>
  </si>
  <si>
    <t>gun-10000025</t>
  </si>
  <si>
    <t>gun-40000025</t>
  </si>
  <si>
    <t>gun-50000025</t>
  </si>
  <si>
    <t>gun-60000025</t>
  </si>
  <si>
    <t>gun-10000026</t>
  </si>
  <si>
    <t>gun-40000026</t>
  </si>
  <si>
    <t>gun-50000026</t>
  </si>
  <si>
    <t>gun-60000026</t>
  </si>
  <si>
    <t>gun-10000027</t>
  </si>
  <si>
    <t>VZ61</t>
  </si>
  <si>
    <t>gun-40000027</t>
  </si>
  <si>
    <t>gun-50000027</t>
  </si>
  <si>
    <t>gun-60000027</t>
  </si>
  <si>
    <t>gun-10000028</t>
  </si>
  <si>
    <t>gun-40000028</t>
  </si>
  <si>
    <t>gun-50000028</t>
  </si>
  <si>
    <t>gun-60000028</t>
  </si>
  <si>
    <t>gun-10000029</t>
  </si>
  <si>
    <t>StenMK2</t>
  </si>
  <si>
    <t>gun-40000029</t>
  </si>
  <si>
    <t>gun-50000029</t>
  </si>
  <si>
    <t>gun-60000029</t>
  </si>
  <si>
    <t>gun-10000031</t>
  </si>
  <si>
    <t>MAB38</t>
  </si>
  <si>
    <t>gun-40000031</t>
  </si>
  <si>
    <t>gun-50000031</t>
  </si>
  <si>
    <t>gun-60000031</t>
  </si>
  <si>
    <t>gun-10000032</t>
  </si>
  <si>
    <t>MicroUZI</t>
  </si>
  <si>
    <t>gun-40000032</t>
  </si>
  <si>
    <t>gun-50000032</t>
  </si>
  <si>
    <t>gun-60000032</t>
  </si>
  <si>
    <t>gun-10000033</t>
  </si>
  <si>
    <t>gun-40000033</t>
  </si>
  <si>
    <t>gun-50000033</t>
  </si>
  <si>
    <t>gun-60000033</t>
  </si>
  <si>
    <t>gun-10000034</t>
  </si>
  <si>
    <t>M1</t>
  </si>
  <si>
    <t>gun-40000034</t>
  </si>
  <si>
    <t>gun-50000034</t>
  </si>
  <si>
    <t>gun-60000034</t>
  </si>
  <si>
    <t>gun-10000035</t>
  </si>
  <si>
    <t>gun-40000035</t>
  </si>
  <si>
    <t>gun-50000035</t>
  </si>
  <si>
    <t>gun-60000035</t>
  </si>
  <si>
    <t>gun-10000036</t>
  </si>
  <si>
    <t>M1903</t>
  </si>
  <si>
    <t>gun-40000036</t>
  </si>
  <si>
    <t>gun-50000036</t>
  </si>
  <si>
    <t>gun-60000036</t>
  </si>
  <si>
    <t>gun-10000037</t>
  </si>
  <si>
    <t>gun-40000037</t>
  </si>
  <si>
    <t>gun-50000037</t>
  </si>
  <si>
    <t>gun-60000037</t>
  </si>
  <si>
    <t>gun-10000038</t>
  </si>
  <si>
    <t>gun-40000038</t>
  </si>
  <si>
    <t>gun-50000038</t>
  </si>
  <si>
    <t>gun-60000038</t>
  </si>
  <si>
    <t>gun-10000039</t>
  </si>
  <si>
    <t>M1891</t>
  </si>
  <si>
    <t>gun-40000039</t>
  </si>
  <si>
    <t>gun-50000039</t>
  </si>
  <si>
    <t>gun-60000039</t>
  </si>
  <si>
    <t>gun-10000040</t>
  </si>
  <si>
    <t>gun-40000040</t>
  </si>
  <si>
    <t>gun-50000040</t>
  </si>
  <si>
    <t>gun-60000040</t>
  </si>
  <si>
    <t>gun-10000041</t>
  </si>
  <si>
    <t>gun-40000041</t>
  </si>
  <si>
    <t>gun-50000041</t>
  </si>
  <si>
    <t>gun-60000041</t>
  </si>
  <si>
    <t>gun-10000042</t>
  </si>
  <si>
    <t>gun-40000042</t>
  </si>
  <si>
    <t>gun-50000042</t>
  </si>
  <si>
    <t>gun-60000042</t>
  </si>
  <si>
    <t>gun-10000043</t>
  </si>
  <si>
    <t>gun-40000043</t>
  </si>
  <si>
    <t>gun-50000043</t>
  </si>
  <si>
    <t>gun-60000043</t>
  </si>
  <si>
    <t>gun-10000044</t>
  </si>
  <si>
    <t>gun-40000044</t>
  </si>
  <si>
    <t>gun-50000044</t>
  </si>
  <si>
    <t>gun-60000044</t>
  </si>
  <si>
    <t>gun-10000046</t>
  </si>
  <si>
    <t>98K</t>
  </si>
  <si>
    <t>gun-40000046</t>
  </si>
  <si>
    <t>gun-50000046</t>
  </si>
  <si>
    <t>gun-60000046</t>
  </si>
  <si>
    <t>gun-10000047</t>
  </si>
  <si>
    <t>gun-40000047</t>
  </si>
  <si>
    <t>gun-50000047</t>
  </si>
  <si>
    <t>gun-60000047</t>
  </si>
  <si>
    <t>gun-10000048</t>
  </si>
  <si>
    <t>gun-40000048</t>
  </si>
  <si>
    <t>gun-50000048</t>
  </si>
  <si>
    <t>gun-60000048</t>
  </si>
  <si>
    <t>gun-10000049</t>
  </si>
  <si>
    <t>56typeR</t>
  </si>
  <si>
    <t>gun-40000049</t>
  </si>
  <si>
    <t>gun-50000049</t>
  </si>
  <si>
    <t>gun-60000049</t>
  </si>
  <si>
    <t>gun-10000050</t>
  </si>
  <si>
    <t>MLEMK1</t>
  </si>
  <si>
    <t>gun-40000050</t>
  </si>
  <si>
    <t>gun-50000050</t>
  </si>
  <si>
    <t>gun-60000050</t>
  </si>
  <si>
    <t>gun-10000051</t>
  </si>
  <si>
    <t>gun-40000051</t>
  </si>
  <si>
    <t>gun-50000051</t>
  </si>
  <si>
    <t>gun-60000051</t>
  </si>
  <si>
    <t>gun-10000052</t>
  </si>
  <si>
    <t>BM59</t>
  </si>
  <si>
    <t>gun-40000052</t>
  </si>
  <si>
    <t>gun-50000052</t>
  </si>
  <si>
    <t>gun-60000052</t>
  </si>
  <si>
    <t>gun-10000053</t>
  </si>
  <si>
    <t>gun-40000053</t>
  </si>
  <si>
    <t>gun-50000053</t>
  </si>
  <si>
    <t>gun-60000053</t>
  </si>
  <si>
    <t>gun-10000054</t>
  </si>
  <si>
    <t>gun-40000054</t>
  </si>
  <si>
    <t>gun-50000054</t>
  </si>
  <si>
    <t>gun-60000054</t>
  </si>
  <si>
    <t>gun-10000055</t>
  </si>
  <si>
    <t>gun-40000055</t>
  </si>
  <si>
    <t>gun-50000055</t>
  </si>
  <si>
    <t>gun-60000055</t>
  </si>
  <si>
    <t>gun-10000056</t>
  </si>
  <si>
    <t>gun-40000056</t>
  </si>
  <si>
    <t>gun-50000056</t>
  </si>
  <si>
    <t>gun-60000056</t>
  </si>
  <si>
    <t>gun-10000057</t>
  </si>
  <si>
    <t>AR15</t>
  </si>
  <si>
    <t>gun-40000057</t>
  </si>
  <si>
    <t>gun-50000057</t>
  </si>
  <si>
    <t>gun-60000057</t>
  </si>
  <si>
    <t>gun-10000058</t>
  </si>
  <si>
    <t>gun-40000058</t>
  </si>
  <si>
    <t>gun-50000058</t>
  </si>
  <si>
    <t>gun-60000058</t>
  </si>
  <si>
    <t>gun-10000059</t>
  </si>
  <si>
    <t>AK74U</t>
  </si>
  <si>
    <t>gun-40000059</t>
  </si>
  <si>
    <t>gun-50000059</t>
  </si>
  <si>
    <t>gun-60000059</t>
  </si>
  <si>
    <t>gun-10000060</t>
  </si>
  <si>
    <t>ASVAL</t>
  </si>
  <si>
    <t>gun-40000060</t>
  </si>
  <si>
    <t>gun-50000060</t>
  </si>
  <si>
    <t>gun-60000060</t>
  </si>
  <si>
    <t>gun-10000061</t>
  </si>
  <si>
    <t>STG44</t>
  </si>
  <si>
    <t>gun-40000061</t>
  </si>
  <si>
    <t>gun-50000061</t>
  </si>
  <si>
    <t>gun-60000061</t>
  </si>
  <si>
    <t>gun-10000062</t>
  </si>
  <si>
    <t>gun-40000062</t>
  </si>
  <si>
    <t>gun-50000062</t>
  </si>
  <si>
    <t>gun-60000062</t>
  </si>
  <si>
    <t>gun-10000063</t>
  </si>
  <si>
    <t>gun-40000063</t>
  </si>
  <si>
    <t>gun-50000063</t>
  </si>
  <si>
    <t>gun-60000063</t>
  </si>
  <si>
    <t>gun-10000064</t>
  </si>
  <si>
    <t>gun-40000064</t>
  </si>
  <si>
    <t>gun-50000064</t>
  </si>
  <si>
    <t>gun-60000064</t>
  </si>
  <si>
    <t>gun-10000065</t>
  </si>
  <si>
    <t>gun-40000065</t>
  </si>
  <si>
    <t>gun-50000065</t>
  </si>
  <si>
    <t>gun-60000065</t>
  </si>
  <si>
    <t>gun-10000066</t>
  </si>
  <si>
    <t>56-1type</t>
  </si>
  <si>
    <t>gun-40000066</t>
  </si>
  <si>
    <t>gun-50000066</t>
  </si>
  <si>
    <t>gun-60000066</t>
  </si>
  <si>
    <t>gun-10000068</t>
  </si>
  <si>
    <t>gun-40000068</t>
  </si>
  <si>
    <t>gun-50000068</t>
  </si>
  <si>
    <t>gun-60000068</t>
  </si>
  <si>
    <t>gun-10000069</t>
  </si>
  <si>
    <t>gun-40000069</t>
  </si>
  <si>
    <t>gun-50000069</t>
  </si>
  <si>
    <t>gun-60000069</t>
  </si>
  <si>
    <t>gun-10000070</t>
  </si>
  <si>
    <t>FNFNC</t>
  </si>
  <si>
    <t>gun-40000070</t>
  </si>
  <si>
    <t>gun-50000070</t>
  </si>
  <si>
    <t>gun-60000070</t>
  </si>
  <si>
    <t>gun-10000071</t>
  </si>
  <si>
    <t>gun-40000071</t>
  </si>
  <si>
    <t>gun-50000071</t>
  </si>
  <si>
    <t>gun-60000071</t>
  </si>
  <si>
    <t>gun-10000072</t>
  </si>
  <si>
    <t>gun-40000072</t>
  </si>
  <si>
    <t>gun-50000072</t>
  </si>
  <si>
    <t>gun-60000072</t>
  </si>
  <si>
    <t>gun-10000073</t>
  </si>
  <si>
    <t>gun-40000073</t>
  </si>
  <si>
    <t>gun-50000073</t>
  </si>
  <si>
    <t>gun-60000073</t>
  </si>
  <si>
    <t>gun-10000074</t>
  </si>
  <si>
    <t>gun-40000074</t>
  </si>
  <si>
    <t>gun-50000074</t>
  </si>
  <si>
    <t>gun-60000074</t>
  </si>
  <si>
    <t>gun-10000075</t>
  </si>
  <si>
    <t>gun-40000075</t>
  </si>
  <si>
    <t>gun-50000075</t>
  </si>
  <si>
    <t>gun-60000075</t>
  </si>
  <si>
    <t>gun-10000077</t>
  </si>
  <si>
    <t>gun-40000077</t>
  </si>
  <si>
    <t>gun-50000077</t>
  </si>
  <si>
    <t>gun-60000077</t>
  </si>
  <si>
    <t>gun-10000078</t>
  </si>
  <si>
    <t>gun-40000078</t>
  </si>
  <si>
    <t>gun-50000078</t>
  </si>
  <si>
    <t>gun-60000078</t>
  </si>
  <si>
    <t>gun-10000079</t>
  </si>
  <si>
    <t>gun-40000079</t>
  </si>
  <si>
    <t>gun-50000079</t>
  </si>
  <si>
    <t>gun-60000079</t>
  </si>
  <si>
    <t>gun-10000080</t>
  </si>
  <si>
    <t>gun-40000080</t>
  </si>
  <si>
    <t>gun-50000080</t>
  </si>
  <si>
    <t>gun-60000080</t>
  </si>
  <si>
    <t>gun-10000081</t>
  </si>
  <si>
    <t>gun-40000081</t>
  </si>
  <si>
    <t>gun-50000081</t>
  </si>
  <si>
    <t>gun-60000081</t>
  </si>
  <si>
    <t>gun-10000082</t>
  </si>
  <si>
    <t>gun-40000082</t>
  </si>
  <si>
    <t>gun-50000082</t>
  </si>
  <si>
    <t>gun-60000082</t>
  </si>
  <si>
    <t>gun-10000084</t>
  </si>
  <si>
    <t>gun-40000084</t>
  </si>
  <si>
    <t>gun-50000084</t>
  </si>
  <si>
    <t>gun-60000084</t>
  </si>
  <si>
    <t>gun-10000085</t>
  </si>
  <si>
    <t>gun-40000085</t>
  </si>
  <si>
    <t>gun-50000085</t>
  </si>
  <si>
    <t>gun-60000085</t>
  </si>
  <si>
    <t>gun-10000086</t>
  </si>
  <si>
    <t>gun-40000086</t>
  </si>
  <si>
    <t>gun-50000086</t>
  </si>
  <si>
    <t>gun-60000086</t>
  </si>
  <si>
    <t>gun-10000087</t>
  </si>
  <si>
    <t>gun-40000087</t>
  </si>
  <si>
    <t>gun-50000087</t>
  </si>
  <si>
    <t>gun-60000087</t>
  </si>
  <si>
    <t>gun-10000088</t>
  </si>
  <si>
    <t>gun-40000088</t>
  </si>
  <si>
    <t>gun-50000088</t>
  </si>
  <si>
    <t>gun-60000088</t>
  </si>
  <si>
    <t>gun-10000089</t>
  </si>
  <si>
    <t>BrenMK</t>
  </si>
  <si>
    <t>gun-40000089</t>
  </si>
  <si>
    <t>gun-50000089</t>
  </si>
  <si>
    <t>gun-60000089</t>
  </si>
  <si>
    <t>gun-10000090</t>
  </si>
  <si>
    <t>gun-40000090</t>
  </si>
  <si>
    <t>gun-50000090</t>
  </si>
  <si>
    <t>gun-60000090</t>
  </si>
  <si>
    <t>gun-10000091</t>
  </si>
  <si>
    <t>gun-40000091</t>
  </si>
  <si>
    <t>gun-50000091</t>
  </si>
  <si>
    <t>gun-60000091</t>
  </si>
  <si>
    <t>gun-10000092</t>
  </si>
  <si>
    <t>SpectreM4</t>
  </si>
  <si>
    <t>gun-40000092</t>
  </si>
  <si>
    <t>gun-50000092</t>
  </si>
  <si>
    <t>gun-60000092</t>
  </si>
  <si>
    <t>gun-10000093</t>
  </si>
  <si>
    <t>gun-40000093</t>
  </si>
  <si>
    <t>gun-50000093</t>
  </si>
  <si>
    <t>gun-60000093</t>
  </si>
  <si>
    <t>gun-10000094</t>
  </si>
  <si>
    <t>64type</t>
  </si>
  <si>
    <t>gun-40000094</t>
  </si>
  <si>
    <t>gun-50000094</t>
  </si>
  <si>
    <t>gun-60000094</t>
  </si>
  <si>
    <t>gun-10000095</t>
  </si>
  <si>
    <t>88type</t>
  </si>
  <si>
    <t>gun-40000095</t>
  </si>
  <si>
    <t>gun-50000095</t>
  </si>
  <si>
    <t>gun-60000095</t>
  </si>
  <si>
    <t>gun-10000096</t>
  </si>
  <si>
    <t>gun-40000096</t>
  </si>
  <si>
    <t>gun-50000096</t>
  </si>
  <si>
    <t>gun-60000096</t>
  </si>
  <si>
    <t>gun-10000097</t>
  </si>
  <si>
    <t>gun-40000097</t>
  </si>
  <si>
    <t>gun-50000097</t>
  </si>
  <si>
    <t>gun-60000097</t>
  </si>
  <si>
    <t>gun-10000098</t>
  </si>
  <si>
    <t>gun-40000098</t>
  </si>
  <si>
    <t>gun-50000098</t>
  </si>
  <si>
    <t>gun-60000098</t>
  </si>
  <si>
    <t>gun-10000099</t>
  </si>
  <si>
    <t>gun-40000099</t>
  </si>
  <si>
    <t>gun-50000099</t>
  </si>
  <si>
    <t>gun-60000099</t>
  </si>
  <si>
    <t>gun-10000100</t>
  </si>
  <si>
    <t>gun-40000100</t>
  </si>
  <si>
    <t>gun-50000100</t>
  </si>
  <si>
    <t>gun-60000100</t>
  </si>
  <si>
    <t>gun-10000101</t>
  </si>
  <si>
    <t>gun-40000101</t>
  </si>
  <si>
    <t>gun-50000101</t>
  </si>
  <si>
    <t>gun-60000101</t>
  </si>
  <si>
    <t>gun-10000102</t>
  </si>
  <si>
    <t>gun-40000102</t>
  </si>
  <si>
    <t>gun-50000102</t>
  </si>
  <si>
    <t>gun-60000102</t>
  </si>
  <si>
    <t>gun-10000103</t>
  </si>
  <si>
    <t>gun-40000103</t>
  </si>
  <si>
    <t>gun-50000103</t>
  </si>
  <si>
    <t>gun-60000103</t>
  </si>
  <si>
    <t>gun-10000104</t>
  </si>
  <si>
    <t>G36C</t>
  </si>
  <si>
    <t>gun-40000104</t>
  </si>
  <si>
    <t>gun-50000104</t>
  </si>
  <si>
    <t>gun-60000104</t>
  </si>
  <si>
    <t>gun-10000105</t>
  </si>
  <si>
    <t>gun-40000105</t>
  </si>
  <si>
    <t>gun-50000105</t>
  </si>
  <si>
    <t>gun-60000105</t>
  </si>
  <si>
    <t>gun-10000106</t>
  </si>
  <si>
    <t>FNFAL</t>
  </si>
  <si>
    <t>gun-40000106</t>
  </si>
  <si>
    <t>gun-50000106</t>
  </si>
  <si>
    <t>gun-60000106</t>
  </si>
  <si>
    <t>gun-10000107</t>
  </si>
  <si>
    <t>gun-40000107</t>
  </si>
  <si>
    <t>gun-50000107</t>
  </si>
  <si>
    <t>gun-60000107</t>
  </si>
  <si>
    <t>gun-10000108</t>
  </si>
  <si>
    <t>gun-40000108</t>
  </si>
  <si>
    <t>gun-50000108</t>
  </si>
  <si>
    <t>gun-60000108</t>
  </si>
  <si>
    <t>gun-10000109</t>
  </si>
  <si>
    <t>gun-40000109</t>
  </si>
  <si>
    <t>gun-50000109</t>
  </si>
  <si>
    <t>gun-60000109</t>
  </si>
  <si>
    <t>gun-10000110</t>
  </si>
  <si>
    <t>gun-40000110</t>
  </si>
  <si>
    <t>gun-50000110</t>
  </si>
  <si>
    <t>gun-60000110</t>
  </si>
  <si>
    <t>gun-10000111</t>
  </si>
  <si>
    <t>gun-40000111</t>
  </si>
  <si>
    <t>gun-50000111</t>
  </si>
  <si>
    <t>gun-60000111</t>
  </si>
  <si>
    <t>gun-10000112</t>
  </si>
  <si>
    <t>NEGEV</t>
  </si>
  <si>
    <t>gun-40000112</t>
  </si>
  <si>
    <t>gun-50000112</t>
  </si>
  <si>
    <t>gun-60000112</t>
  </si>
  <si>
    <t>gun-10000113</t>
  </si>
  <si>
    <t>SPS</t>
  </si>
  <si>
    <t>gun-40000113</t>
  </si>
  <si>
    <t>gun-50000113</t>
  </si>
  <si>
    <t>gun-60000113</t>
  </si>
  <si>
    <t>gun-10000114</t>
  </si>
  <si>
    <t>Welrod</t>
  </si>
  <si>
    <t>gun-40000114</t>
  </si>
  <si>
    <t>gun-50000114</t>
  </si>
  <si>
    <t>gun-60000114</t>
  </si>
  <si>
    <t>gun-10000115</t>
  </si>
  <si>
    <t>KP31</t>
  </si>
  <si>
    <t>gun-40000115</t>
  </si>
  <si>
    <t>gun-50000115</t>
  </si>
  <si>
    <t>gun-60000115</t>
  </si>
  <si>
    <t>gun-10000116</t>
  </si>
  <si>
    <t>gun-40000116</t>
  </si>
  <si>
    <t>gun-50000116</t>
  </si>
  <si>
    <t>gun-60000116</t>
  </si>
  <si>
    <t>gun-10000117</t>
  </si>
  <si>
    <t>gun-40000117</t>
  </si>
  <si>
    <t>gun-50000117</t>
  </si>
  <si>
    <t>gun-60000117</t>
  </si>
  <si>
    <t>gun-10000118</t>
  </si>
  <si>
    <t>gun-40000118</t>
  </si>
  <si>
    <t>gun-50000118</t>
  </si>
  <si>
    <t>gun-60000118</t>
  </si>
  <si>
    <t>gun-10000119</t>
  </si>
  <si>
    <t>gun-40000119</t>
  </si>
  <si>
    <t>gun-50000119</t>
  </si>
  <si>
    <t>gun-60000119</t>
  </si>
  <si>
    <t>gun-10000120</t>
  </si>
  <si>
    <t>gun-40000120</t>
  </si>
  <si>
    <t>gun-50000120</t>
  </si>
  <si>
    <t>gun-60000120</t>
  </si>
  <si>
    <t>gun-10000121</t>
  </si>
  <si>
    <t>gun-40000121</t>
  </si>
  <si>
    <t>gun-50000121</t>
  </si>
  <si>
    <t>gun-60000121</t>
  </si>
  <si>
    <t>gun-10000122</t>
  </si>
  <si>
    <t>gun-40000122</t>
  </si>
  <si>
    <t>gun-50000122</t>
  </si>
  <si>
    <t>gun-60000122</t>
  </si>
  <si>
    <t>gun-10000123</t>
  </si>
  <si>
    <t>gun-40000123</t>
  </si>
  <si>
    <t>gun-50000123</t>
  </si>
  <si>
    <t>gun-60000123</t>
  </si>
  <si>
    <t>gun-10000124</t>
  </si>
  <si>
    <t>SuperSASS</t>
  </si>
  <si>
    <t>gun-40000124</t>
  </si>
  <si>
    <t>gun-50000124</t>
  </si>
  <si>
    <t>gun-60000124</t>
  </si>
  <si>
    <t>gun-10000125</t>
  </si>
  <si>
    <t>gun-40000125</t>
  </si>
  <si>
    <t>gun-50000125</t>
  </si>
  <si>
    <t>gun-60000125</t>
  </si>
  <si>
    <t>gun-10000126</t>
  </si>
  <si>
    <t>gun-40000126</t>
  </si>
  <si>
    <t>gun-50000126</t>
  </si>
  <si>
    <t>gun-60000126</t>
  </si>
  <si>
    <t>gun-10000127</t>
  </si>
  <si>
    <t>79type</t>
  </si>
  <si>
    <t>gun-40000127</t>
  </si>
  <si>
    <t>gun-50000127</t>
  </si>
  <si>
    <t>gun-60000127</t>
  </si>
  <si>
    <t>gun-10000128</t>
  </si>
  <si>
    <t>gun-40000128</t>
  </si>
  <si>
    <t>gun-50000128</t>
  </si>
  <si>
    <t>gun-60000128</t>
  </si>
  <si>
    <t>gun-10000129</t>
  </si>
  <si>
    <t>95type</t>
  </si>
  <si>
    <t>gun-40000129</t>
  </si>
  <si>
    <t>gun-50000129</t>
  </si>
  <si>
    <t>gun-60000129</t>
  </si>
  <si>
    <t>gun-10000130</t>
  </si>
  <si>
    <t>97type</t>
  </si>
  <si>
    <t>gun-40000130</t>
  </si>
  <si>
    <t>gun-50000130</t>
  </si>
  <si>
    <t>gun-60000130</t>
  </si>
  <si>
    <t>gun-10000131</t>
  </si>
  <si>
    <t>EVO3</t>
  </si>
  <si>
    <t>gun-40000131</t>
  </si>
  <si>
    <t>gun-50000131</t>
  </si>
  <si>
    <t>gun-60000131</t>
  </si>
  <si>
    <t>gun-10000132</t>
  </si>
  <si>
    <t>59type</t>
  </si>
  <si>
    <t>gun-40000132</t>
  </si>
  <si>
    <t>gun-50000132</t>
  </si>
  <si>
    <t>gun-60000132</t>
  </si>
  <si>
    <t>gun-10000133</t>
  </si>
  <si>
    <t>63type</t>
  </si>
  <si>
    <t>gun-40000133</t>
  </si>
  <si>
    <t>gun-50000133</t>
  </si>
  <si>
    <t>gun-60000133</t>
  </si>
  <si>
    <t>gun-10000134</t>
  </si>
  <si>
    <t>gun-40000134</t>
  </si>
  <si>
    <t>gun-50000134</t>
  </si>
  <si>
    <t>gun-60000134</t>
  </si>
  <si>
    <t>gun-10000135</t>
  </si>
  <si>
    <t>gun-40000135</t>
  </si>
  <si>
    <t>gun-50000135</t>
  </si>
  <si>
    <t>gun-60000135</t>
  </si>
  <si>
    <t>gun-10000136</t>
  </si>
  <si>
    <t>gun-40000136</t>
  </si>
  <si>
    <t>gun-50000136</t>
  </si>
  <si>
    <t>gun-60000136</t>
  </si>
  <si>
    <t>gun-10000137</t>
  </si>
  <si>
    <t>gun-40000137</t>
  </si>
  <si>
    <t>gun-50000137</t>
  </si>
  <si>
    <t>gun-60000137</t>
  </si>
  <si>
    <t>gun-10000138</t>
  </si>
  <si>
    <t>gun-40000138</t>
  </si>
  <si>
    <t>gun-50000138</t>
  </si>
  <si>
    <t>gun-60000138</t>
  </si>
  <si>
    <t>gun-10000139</t>
  </si>
  <si>
    <t>BrenTen</t>
  </si>
  <si>
    <t>gun-40000139</t>
  </si>
  <si>
    <t>gun-50000139</t>
  </si>
  <si>
    <t>gun-60000139</t>
  </si>
  <si>
    <t>gun-10000140</t>
  </si>
  <si>
    <t>gun-40000140</t>
  </si>
  <si>
    <t>gun-50000140</t>
  </si>
  <si>
    <t>gun-60000140</t>
  </si>
  <si>
    <t>gun-10000141</t>
  </si>
  <si>
    <t>gun-40000141</t>
  </si>
  <si>
    <t>gun-50000141</t>
  </si>
  <si>
    <t>gun-60000141</t>
  </si>
  <si>
    <t>gun-10000142</t>
  </si>
  <si>
    <t>FN57</t>
  </si>
  <si>
    <t>gun-40000142</t>
  </si>
  <si>
    <t>gun-50000142</t>
  </si>
  <si>
    <t>gun-60000142</t>
  </si>
  <si>
    <t>gun-10000143</t>
  </si>
  <si>
    <t>gun-40000143</t>
  </si>
  <si>
    <t>gun-50000143</t>
  </si>
  <si>
    <t>gun-60000143</t>
  </si>
  <si>
    <t>gun-10000144</t>
  </si>
  <si>
    <t>gun-40000144</t>
  </si>
  <si>
    <t>gun-50000144</t>
  </si>
  <si>
    <t>gun-60000144</t>
  </si>
  <si>
    <t>gun-10000145</t>
  </si>
  <si>
    <t>OC44</t>
  </si>
  <si>
    <t>gun-40000145</t>
  </si>
  <si>
    <t>gun-50000145</t>
  </si>
  <si>
    <t>gun-60000145</t>
  </si>
  <si>
    <t>gun-10000146</t>
  </si>
  <si>
    <t>gun-40000146</t>
  </si>
  <si>
    <t>gun-50000146</t>
  </si>
  <si>
    <t>gun-60000146</t>
  </si>
  <si>
    <t>gun-10000147</t>
  </si>
  <si>
    <t>SSG69</t>
  </si>
  <si>
    <t>gun-40000147</t>
  </si>
  <si>
    <t>gun-50000147</t>
  </si>
  <si>
    <t>gun-60000147</t>
  </si>
  <si>
    <t>gun-10000148</t>
  </si>
  <si>
    <t>IWS2000</t>
  </si>
  <si>
    <t>gun-40000148</t>
  </si>
  <si>
    <t>gun-50000148</t>
  </si>
  <si>
    <t>gun-60000148</t>
  </si>
  <si>
    <t>gun-10000149</t>
  </si>
  <si>
    <t>gun-40000149</t>
  </si>
  <si>
    <t>gun-50000149</t>
  </si>
  <si>
    <t>gun-60000149</t>
  </si>
  <si>
    <t>gun-10000150</t>
  </si>
  <si>
    <t>gun-40000150</t>
  </si>
  <si>
    <t>gun-50000150</t>
  </si>
  <si>
    <t>gun-60000150</t>
  </si>
  <si>
    <t>gun-10000151</t>
  </si>
  <si>
    <t>gun-40000151</t>
  </si>
  <si>
    <t>gun-50000151</t>
  </si>
  <si>
    <t>gun-60000151</t>
  </si>
  <si>
    <t>gun-10000152</t>
  </si>
  <si>
    <t>gun-40000152</t>
  </si>
  <si>
    <t>gun-50000152</t>
  </si>
  <si>
    <t>gun-60000152</t>
  </si>
  <si>
    <t>gun-10000153</t>
  </si>
  <si>
    <t>Ithaca37</t>
  </si>
  <si>
    <t>gun-40000153</t>
  </si>
  <si>
    <t>gun-50000153</t>
  </si>
  <si>
    <t>gun-60000153</t>
  </si>
  <si>
    <t>gun-10000154</t>
  </si>
  <si>
    <t>gun-40000154</t>
  </si>
  <si>
    <t>gun-50000154</t>
  </si>
  <si>
    <t>gun-60000154</t>
  </si>
  <si>
    <t>gun-10000155</t>
  </si>
  <si>
    <t>gun-40000155</t>
  </si>
  <si>
    <t>gun-50000155</t>
  </si>
  <si>
    <t>gun-60000155</t>
  </si>
  <si>
    <t>gun-10000156</t>
  </si>
  <si>
    <t>gun-40000156</t>
  </si>
  <si>
    <t>gun-50000156</t>
  </si>
  <si>
    <t>gun-60000156</t>
  </si>
  <si>
    <t>gun-10000157</t>
  </si>
  <si>
    <t>gun-40000157</t>
  </si>
  <si>
    <t>gun-50000157</t>
  </si>
  <si>
    <t>gun-60000157</t>
  </si>
  <si>
    <t>gun-10000158</t>
  </si>
  <si>
    <t>gun-40000158</t>
  </si>
  <si>
    <t>gun-50000158</t>
  </si>
  <si>
    <t>gun-60000158</t>
  </si>
  <si>
    <t>gun-10000159</t>
  </si>
  <si>
    <t>gun-40000159</t>
  </si>
  <si>
    <t>gun-50000159</t>
  </si>
  <si>
    <t>gun-60000159</t>
  </si>
  <si>
    <t>gun-10000160</t>
  </si>
  <si>
    <t>gun-40000160</t>
  </si>
  <si>
    <t>gun-50000160</t>
  </si>
  <si>
    <t>gun-60000160</t>
  </si>
  <si>
    <t>gun-10000161</t>
  </si>
  <si>
    <t>97typeS</t>
  </si>
  <si>
    <t>gun-40000161</t>
  </si>
  <si>
    <t>gun-50000161</t>
  </si>
  <si>
    <t>gun-60000161</t>
  </si>
  <si>
    <t>gun-10000162</t>
  </si>
  <si>
    <t>gun-40000162</t>
  </si>
  <si>
    <t>gun-50000162</t>
  </si>
  <si>
    <t>gun-60000162</t>
  </si>
  <si>
    <t>gun-10000163</t>
  </si>
  <si>
    <t>gun-40000163</t>
  </si>
  <si>
    <t>gun-50000163</t>
  </si>
  <si>
    <t>gun-60000163</t>
  </si>
  <si>
    <t>gun-10000164</t>
  </si>
  <si>
    <t>gun-40000164</t>
  </si>
  <si>
    <t>gun-50000164</t>
  </si>
  <si>
    <t>gun-60000164</t>
  </si>
  <si>
    <t>gun-10000165</t>
  </si>
  <si>
    <t>gun-40000165</t>
  </si>
  <si>
    <t>gun-50000165</t>
  </si>
  <si>
    <t>gun-60000165</t>
  </si>
  <si>
    <t>gun-10000166</t>
  </si>
  <si>
    <t>gun-40000166</t>
  </si>
  <si>
    <t>gun-50000166</t>
  </si>
  <si>
    <t>gun-60000166</t>
  </si>
  <si>
    <t>gun-10000167</t>
  </si>
  <si>
    <t>gun-40000167</t>
  </si>
  <si>
    <t>gun-50000167</t>
  </si>
  <si>
    <t>gun-60000167</t>
  </si>
  <si>
    <t>gun-10000168</t>
  </si>
  <si>
    <t>gun-40000168</t>
  </si>
  <si>
    <t>gun-50000168</t>
  </si>
  <si>
    <t>gun-60000168</t>
  </si>
  <si>
    <t>gun-10000169</t>
  </si>
  <si>
    <t>ColtSCW</t>
  </si>
  <si>
    <t>gun-40000169</t>
  </si>
  <si>
    <t>gun-50000169</t>
  </si>
  <si>
    <t>gun-60000169</t>
  </si>
  <si>
    <t>gun-10000170</t>
  </si>
  <si>
    <t>Ash127</t>
  </si>
  <si>
    <t>gun-40000170</t>
  </si>
  <si>
    <t>gun-50000170</t>
  </si>
  <si>
    <t>gun-60000170</t>
  </si>
  <si>
    <t>gun-10000171</t>
  </si>
  <si>
    <t>Ribeyrolles</t>
  </si>
  <si>
    <t>gun-40000171</t>
  </si>
  <si>
    <t>gun-50000171</t>
  </si>
  <si>
    <t>gun-60000171</t>
  </si>
  <si>
    <t>gun-10000172</t>
  </si>
  <si>
    <t>gun-40000172</t>
  </si>
  <si>
    <t>gun-50000172</t>
  </si>
  <si>
    <t>gun-60000172</t>
  </si>
  <si>
    <t>gun-10000173</t>
  </si>
  <si>
    <t>gun-40000173</t>
  </si>
  <si>
    <t>gun-50000173</t>
  </si>
  <si>
    <t>gun-60000173</t>
  </si>
  <si>
    <t>gun-10000174</t>
  </si>
  <si>
    <t>81typeR</t>
  </si>
  <si>
    <t>gun-40000174</t>
  </si>
  <si>
    <t>gun-50000174</t>
  </si>
  <si>
    <t>gun-60000174</t>
  </si>
  <si>
    <t>gun-10000175</t>
  </si>
  <si>
    <t>gun-40000175</t>
  </si>
  <si>
    <t>gun-50000175</t>
  </si>
  <si>
    <t>gun-60000175</t>
  </si>
  <si>
    <t>gun-10000176</t>
  </si>
  <si>
    <t>gun-40000176</t>
  </si>
  <si>
    <t>gun-50000176</t>
  </si>
  <si>
    <t>gun-60000176</t>
  </si>
  <si>
    <t>gun-10000177</t>
  </si>
  <si>
    <t>gun-40000177</t>
  </si>
  <si>
    <t>gun-50000177</t>
  </si>
  <si>
    <t>gun-60000177</t>
  </si>
  <si>
    <t>gun-10000178</t>
  </si>
  <si>
    <t>gun-40000178</t>
  </si>
  <si>
    <t>gun-50000178</t>
  </si>
  <si>
    <t>gun-60000178</t>
  </si>
  <si>
    <t>gun-10000179</t>
  </si>
  <si>
    <t>gun-40000179</t>
  </si>
  <si>
    <t>gun-50000179</t>
  </si>
  <si>
    <t>gun-60000179</t>
  </si>
  <si>
    <t>gun-10000180</t>
  </si>
  <si>
    <t>gun-40000180</t>
  </si>
  <si>
    <t>gun-50000180</t>
  </si>
  <si>
    <t>gun-60000180</t>
  </si>
  <si>
    <t>gun-10000181</t>
  </si>
  <si>
    <t>gun-40000181</t>
  </si>
  <si>
    <t>gun-50000181</t>
  </si>
  <si>
    <t>gun-60000181</t>
  </si>
  <si>
    <t>gun-10000182</t>
  </si>
  <si>
    <t>wz29</t>
  </si>
  <si>
    <t>gun-40000182</t>
  </si>
  <si>
    <t>gun-50000182</t>
  </si>
  <si>
    <t>gun-60000182</t>
  </si>
  <si>
    <t>gun-10000183</t>
  </si>
  <si>
    <t>gun-40000183</t>
  </si>
  <si>
    <t>gun-50000183</t>
  </si>
  <si>
    <t>gun-60000183</t>
  </si>
  <si>
    <t>gun-10000184</t>
  </si>
  <si>
    <t>gun-40000184</t>
  </si>
  <si>
    <t>gun-50000184</t>
  </si>
  <si>
    <t>gun-60000184</t>
  </si>
  <si>
    <t>gun-10000185</t>
  </si>
  <si>
    <t>gun-40000185</t>
  </si>
  <si>
    <t>gun-50000185</t>
  </si>
  <si>
    <t>gun-60000185</t>
  </si>
  <si>
    <t>gun-10000186</t>
  </si>
  <si>
    <t>gun-40000186</t>
  </si>
  <si>
    <t>gun-50000186</t>
  </si>
  <si>
    <t>gun-60000186</t>
  </si>
  <si>
    <t>gun-10000187</t>
  </si>
  <si>
    <t>gun-40000187</t>
  </si>
  <si>
    <t>gun-50000187</t>
  </si>
  <si>
    <t>gun-60000187</t>
  </si>
  <si>
    <t>gun-10000188</t>
  </si>
  <si>
    <t>SAT8</t>
  </si>
  <si>
    <t>gun-40000188</t>
  </si>
  <si>
    <t>gun-50000188</t>
  </si>
  <si>
    <t>gun-60000188</t>
  </si>
  <si>
    <t>gun-10000189</t>
  </si>
  <si>
    <t>gun-40000189</t>
  </si>
  <si>
    <t>gun-50000189</t>
  </si>
  <si>
    <t>gun-60000189</t>
  </si>
  <si>
    <t>gun-10000190</t>
  </si>
  <si>
    <t>gun-40000190</t>
  </si>
  <si>
    <t>gun-50000190</t>
  </si>
  <si>
    <t>gun-60000190</t>
  </si>
  <si>
    <t>gun-10000191</t>
  </si>
  <si>
    <t>gun-40000191</t>
  </si>
  <si>
    <t>gun-50000191</t>
  </si>
  <si>
    <t>gun-60000191</t>
  </si>
  <si>
    <t>gun-10000192</t>
  </si>
  <si>
    <t>JS-127</t>
  </si>
  <si>
    <t>gun-40000192</t>
  </si>
  <si>
    <t>gun-50000192</t>
  </si>
  <si>
    <t>gun-60000192</t>
  </si>
  <si>
    <t>gun-10000193</t>
  </si>
  <si>
    <t>gun-40000193</t>
  </si>
  <si>
    <t>gun-50000193</t>
  </si>
  <si>
    <t>gun-60000193</t>
  </si>
  <si>
    <t>gun-10000194</t>
  </si>
  <si>
    <t>gun-40000194</t>
  </si>
  <si>
    <t>gun-50000194</t>
  </si>
  <si>
    <t>gun-60000194</t>
  </si>
  <si>
    <t>gun-10000195</t>
  </si>
  <si>
    <t>gun-40000195</t>
  </si>
  <si>
    <t>gun-50000195</t>
  </si>
  <si>
    <t>gun-60000195</t>
  </si>
  <si>
    <t>gun-10000196</t>
  </si>
  <si>
    <t>ZastavaM21</t>
  </si>
  <si>
    <t>gun-40000196</t>
  </si>
  <si>
    <t>gun-50000196</t>
  </si>
  <si>
    <t>gun-60000196</t>
  </si>
  <si>
    <t>gun-10000197</t>
  </si>
  <si>
    <t>Carcano1891</t>
  </si>
  <si>
    <t>gun-40000197</t>
  </si>
  <si>
    <t>gun-50000197</t>
  </si>
  <si>
    <t>gun-60000197</t>
  </si>
  <si>
    <t>gun-10000198</t>
  </si>
  <si>
    <t>Carcano1938</t>
  </si>
  <si>
    <t>gun-40000198</t>
  </si>
  <si>
    <t>gun-50000198</t>
  </si>
  <si>
    <t>gun-60000198</t>
  </si>
  <si>
    <t>gun-10000199</t>
  </si>
  <si>
    <t>80type</t>
  </si>
  <si>
    <t>gun-40000199</t>
  </si>
  <si>
    <t>gun-50000199</t>
  </si>
  <si>
    <t>gun-60000199</t>
  </si>
  <si>
    <t>gun-10000200</t>
  </si>
  <si>
    <t>xm3</t>
  </si>
  <si>
    <t>gun-40000200</t>
  </si>
  <si>
    <t>gun-50000200</t>
  </si>
  <si>
    <t>gun-60000200</t>
  </si>
  <si>
    <t>gun-10000201</t>
  </si>
  <si>
    <t>GepardM1</t>
  </si>
  <si>
    <t>gun-40000201</t>
  </si>
  <si>
    <t>gun-50000201</t>
  </si>
  <si>
    <t>gun-60000201</t>
  </si>
  <si>
    <t>gun-10000202</t>
  </si>
  <si>
    <t>Thunder50</t>
  </si>
  <si>
    <t>gun-40000202</t>
  </si>
  <si>
    <t>gun-50000202</t>
  </si>
  <si>
    <t>gun-60000202</t>
  </si>
  <si>
    <t>gun-10000203</t>
  </si>
  <si>
    <t>PDW</t>
  </si>
  <si>
    <t>gun-40000203</t>
  </si>
  <si>
    <t>gun-50000203</t>
  </si>
  <si>
    <t>gun-60000203</t>
  </si>
  <si>
    <t>gun-10000204</t>
  </si>
  <si>
    <t>gun-40000204</t>
  </si>
  <si>
    <t>gun-50000204</t>
  </si>
  <si>
    <t>gun-60000204</t>
  </si>
  <si>
    <t>gun-10000205</t>
  </si>
  <si>
    <t>gun-40000205</t>
  </si>
  <si>
    <t>gun-50000205</t>
  </si>
  <si>
    <t>gun-60000205</t>
  </si>
  <si>
    <t>gun-10000206</t>
  </si>
  <si>
    <t>gun-40000206</t>
  </si>
  <si>
    <t>gun-50000206</t>
  </si>
  <si>
    <t>gun-60000206</t>
  </si>
  <si>
    <t>gun-10000207</t>
  </si>
  <si>
    <t>gun-40000207</t>
  </si>
  <si>
    <t>gun-50000207</t>
  </si>
  <si>
    <t>gun-60000207</t>
  </si>
  <si>
    <t>gun-10000208</t>
  </si>
  <si>
    <t>gun-40000208</t>
  </si>
  <si>
    <t>gun-50000208</t>
  </si>
  <si>
    <t>gun-60000208</t>
  </si>
  <si>
    <t>gun-10000209</t>
  </si>
  <si>
    <t>gun-40000209</t>
  </si>
  <si>
    <t>gun-50000209</t>
  </si>
  <si>
    <t>gun-60000209</t>
  </si>
  <si>
    <t>gun-10000210</t>
  </si>
  <si>
    <t>gun-40000210</t>
  </si>
  <si>
    <t>gun-50000210</t>
  </si>
  <si>
    <t>gun-60000210</t>
  </si>
  <si>
    <t>gun-10000211</t>
  </si>
  <si>
    <t>gun-40000211</t>
  </si>
  <si>
    <t>gun-50000211</t>
  </si>
  <si>
    <t>gun-60000211</t>
  </si>
  <si>
    <t>gun-10000212</t>
  </si>
  <si>
    <t>gun-40000212</t>
  </si>
  <si>
    <t>gun-50000212</t>
  </si>
  <si>
    <t>gun-60000212</t>
  </si>
  <si>
    <t>gun-10000213</t>
  </si>
  <si>
    <t>CBJMS</t>
  </si>
  <si>
    <t>gun-40000213</t>
  </si>
  <si>
    <t>gun-50000213</t>
  </si>
  <si>
    <t>gun-60000213</t>
  </si>
  <si>
    <t>gun-10000214</t>
  </si>
  <si>
    <t>gun-40000214</t>
  </si>
  <si>
    <t>gun-50000214</t>
  </si>
  <si>
    <t>gun-60000214</t>
  </si>
  <si>
    <t>gun-10000215</t>
  </si>
  <si>
    <t>gun-40000215</t>
  </si>
  <si>
    <t>gun-50000215</t>
  </si>
  <si>
    <t>gun-60000215</t>
  </si>
  <si>
    <t>gun-10000216</t>
  </si>
  <si>
    <t>gun-40000216</t>
  </si>
  <si>
    <t>gun-50000216</t>
  </si>
  <si>
    <t>gun-60000216</t>
  </si>
  <si>
    <t>gun-10000217</t>
  </si>
  <si>
    <t>HEZISM1</t>
  </si>
  <si>
    <t>gun-40000217</t>
  </si>
  <si>
    <t>gun-50000217</t>
  </si>
  <si>
    <t>gun-60000217</t>
  </si>
  <si>
    <t>gun-10000218</t>
  </si>
  <si>
    <t>gun-40000218</t>
  </si>
  <si>
    <t>gun-50000218</t>
  </si>
  <si>
    <t>gun-60000218</t>
  </si>
  <si>
    <t>gun-10000220</t>
  </si>
  <si>
    <t>gun-40000220</t>
  </si>
  <si>
    <t>gun-50000220</t>
  </si>
  <si>
    <t>gun-60000220</t>
  </si>
  <si>
    <t>gun-10000221</t>
  </si>
  <si>
    <t>GSH18</t>
  </si>
  <si>
    <t>gun-40000221</t>
  </si>
  <si>
    <t>gun-50000221</t>
  </si>
  <si>
    <t>gun-60000221</t>
  </si>
  <si>
    <t>gun-10000222</t>
  </si>
  <si>
    <t>gun-40000222</t>
  </si>
  <si>
    <t>gun-50000222</t>
  </si>
  <si>
    <t>gun-60000222</t>
  </si>
  <si>
    <t>gun-10000223</t>
  </si>
  <si>
    <t>CETME556</t>
  </si>
  <si>
    <t>gun-40000223</t>
  </si>
  <si>
    <t>gun-50000223</t>
  </si>
  <si>
    <t>gun-60000223</t>
  </si>
  <si>
    <t>gun-10000224</t>
  </si>
  <si>
    <t>gun-40000224</t>
  </si>
  <si>
    <t>gun-50000224</t>
  </si>
  <si>
    <t>gun-60000224</t>
  </si>
  <si>
    <t>gun-10000225</t>
  </si>
  <si>
    <t>Cx4Storm</t>
  </si>
  <si>
    <t>gun-40000225</t>
  </si>
  <si>
    <t>gun-50000225</t>
  </si>
  <si>
    <t>gun-60000225</t>
  </si>
  <si>
    <t>gun-10000226</t>
  </si>
  <si>
    <t>gun-40000226</t>
  </si>
  <si>
    <t>gun-50000226</t>
  </si>
  <si>
    <t>gun-60000226</t>
  </si>
  <si>
    <t>gun-10000227</t>
  </si>
  <si>
    <t>gun-40000227</t>
  </si>
  <si>
    <t>gun-50000227</t>
  </si>
  <si>
    <t>gun-60000227</t>
  </si>
  <si>
    <t>gun-10000228</t>
  </si>
  <si>
    <t>Type100</t>
  </si>
  <si>
    <t>gun-40000228</t>
  </si>
  <si>
    <t>gun-50000228</t>
  </si>
  <si>
    <t>gun-60000228</t>
  </si>
  <si>
    <t>gun-10000229</t>
  </si>
  <si>
    <t>gun-40000229</t>
  </si>
  <si>
    <t>gun-50000229</t>
  </si>
  <si>
    <t>gun-60000229</t>
  </si>
  <si>
    <t>gun-10000230</t>
  </si>
  <si>
    <t>gun-40000230</t>
  </si>
  <si>
    <t>gun-50000230</t>
  </si>
  <si>
    <t>gun-60000230</t>
  </si>
  <si>
    <t>gun-10000231</t>
  </si>
  <si>
    <t>gun-40000231</t>
  </si>
  <si>
    <t>gun-50000231</t>
  </si>
  <si>
    <t>gun-60000231</t>
  </si>
  <si>
    <t>gun-10000232</t>
  </si>
  <si>
    <t>gun-40000232</t>
  </si>
  <si>
    <t>gun-50000232</t>
  </si>
  <si>
    <t>gun-60000232</t>
  </si>
  <si>
    <t>gun-10000233</t>
  </si>
  <si>
    <t>Px4Storm</t>
  </si>
  <si>
    <t>gun-40000233</t>
  </si>
  <si>
    <t>gun-50000233</t>
  </si>
  <si>
    <t>gun-60000233</t>
  </si>
  <si>
    <t>gun-10000234</t>
  </si>
  <si>
    <t>JS9mm</t>
  </si>
  <si>
    <t>gun-40000234</t>
  </si>
  <si>
    <t>gun-50000234</t>
  </si>
  <si>
    <t>gun-60000234</t>
  </si>
  <si>
    <t>gun-10000235</t>
  </si>
  <si>
    <t>FNSPR</t>
  </si>
  <si>
    <t>gun-40000235</t>
  </si>
  <si>
    <t>gun-50000235</t>
  </si>
  <si>
    <t>gun-60000235</t>
  </si>
  <si>
    <t>gun-10000236</t>
  </si>
  <si>
    <t>gun-40000236</t>
  </si>
  <si>
    <t>gun-50000236</t>
  </si>
  <si>
    <t>gun-60000236</t>
  </si>
  <si>
    <t>gun-10000237</t>
  </si>
  <si>
    <t>gun-40000237</t>
  </si>
  <si>
    <t>gun-50000237</t>
  </si>
  <si>
    <t>gun-60000237</t>
  </si>
  <si>
    <t>gun-10000238</t>
  </si>
  <si>
    <t>gun-40000238</t>
  </si>
  <si>
    <t>gun-50000238</t>
  </si>
  <si>
    <t>gun-60000238</t>
  </si>
  <si>
    <t>gun-10000239</t>
  </si>
  <si>
    <t>gun-40000239</t>
  </si>
  <si>
    <t>gun-50000239</t>
  </si>
  <si>
    <t>gun-60000239</t>
  </si>
  <si>
    <t>gun-10000240</t>
  </si>
  <si>
    <t>gun-40000240</t>
  </si>
  <si>
    <t>gun-50000240</t>
  </si>
  <si>
    <t>gun-60000240</t>
  </si>
  <si>
    <t>gun-10000241</t>
  </si>
  <si>
    <t>gun-40000241</t>
  </si>
  <si>
    <t>gun-50000241</t>
  </si>
  <si>
    <t>gun-60000241</t>
  </si>
  <si>
    <t>gun-10000242</t>
  </si>
  <si>
    <t>gun-40000242</t>
  </si>
  <si>
    <t>gun-50000242</t>
  </si>
  <si>
    <t>gun-60000242</t>
  </si>
  <si>
    <t>gun-10000243</t>
  </si>
  <si>
    <t>Type64-AR</t>
  </si>
  <si>
    <t>gun-40000243</t>
  </si>
  <si>
    <t>gun-50000243</t>
  </si>
  <si>
    <t>gun-60000243</t>
  </si>
  <si>
    <t>gun-10000244</t>
  </si>
  <si>
    <t>gun-40000244</t>
  </si>
  <si>
    <t>gun-50000244</t>
  </si>
  <si>
    <t>gun-60000244</t>
  </si>
  <si>
    <t>gun-10000245</t>
  </si>
  <si>
    <t>gun-40000245</t>
  </si>
  <si>
    <t>gun-50000245</t>
  </si>
  <si>
    <t>gun-60000245</t>
  </si>
  <si>
    <t>gun-10000247</t>
  </si>
  <si>
    <t>gun-40000247</t>
  </si>
  <si>
    <t>gun-50000247</t>
  </si>
  <si>
    <t>gun-60000247</t>
  </si>
  <si>
    <t>gun-10000248</t>
  </si>
  <si>
    <t>gun-40000248</t>
  </si>
  <si>
    <t>gun-50000248</t>
  </si>
  <si>
    <t>gun-60000248</t>
  </si>
  <si>
    <t>gun-10000249</t>
  </si>
  <si>
    <t>gun-40000249</t>
  </si>
  <si>
    <t>gun-50000249</t>
  </si>
  <si>
    <t>gun-60000249</t>
  </si>
  <si>
    <t>gun-10000250</t>
  </si>
  <si>
    <t>gun-40000250</t>
  </si>
  <si>
    <t>gun-50000250</t>
  </si>
  <si>
    <t>gun-60000250</t>
  </si>
  <si>
    <t>gun-10000251</t>
  </si>
  <si>
    <t>gun-40000251</t>
  </si>
  <si>
    <t>gun-50000251</t>
  </si>
  <si>
    <t>gun-60000251</t>
  </si>
  <si>
    <t>gun-10000252</t>
  </si>
  <si>
    <t>gun-40000252</t>
  </si>
  <si>
    <t>gun-50000252</t>
  </si>
  <si>
    <t>gun-60000252</t>
  </si>
  <si>
    <t>gun-10000253</t>
  </si>
  <si>
    <t>gun-40000253</t>
  </si>
  <si>
    <t>gun-50000253</t>
  </si>
  <si>
    <t>gun-60000253</t>
  </si>
  <si>
    <t>gun-10000254</t>
  </si>
  <si>
    <t>gun-40000254</t>
  </si>
  <si>
    <t>gun-50000254</t>
  </si>
  <si>
    <t>gun-60000254</t>
  </si>
  <si>
    <t>gun-10000255</t>
  </si>
  <si>
    <t>scout</t>
  </si>
  <si>
    <t>gun-40000255</t>
  </si>
  <si>
    <t>gun-50000255</t>
  </si>
  <si>
    <t>gun-60000255</t>
  </si>
  <si>
    <t>gun-10000256</t>
  </si>
  <si>
    <t>gun-40000256</t>
  </si>
  <si>
    <t>gun-50000256</t>
  </si>
  <si>
    <t>gun-60000256</t>
  </si>
  <si>
    <t>gun-10000257</t>
  </si>
  <si>
    <t>gun-40000257</t>
  </si>
  <si>
    <t>gun-50000257</t>
  </si>
  <si>
    <t>gun-60000257</t>
  </si>
  <si>
    <t>gun-10000258</t>
  </si>
  <si>
    <t>gun-40000258</t>
  </si>
  <si>
    <t>gun-50000258</t>
  </si>
  <si>
    <t>gun-60000258</t>
  </si>
  <si>
    <t>gun-10000259</t>
  </si>
  <si>
    <t>gun-40000259</t>
  </si>
  <si>
    <t>gun-50000259</t>
  </si>
  <si>
    <t>gun-60000259</t>
  </si>
  <si>
    <t>gun-10000260</t>
  </si>
  <si>
    <t>gun-40000260</t>
  </si>
  <si>
    <t>gun-50000260</t>
  </si>
  <si>
    <t>gun-60000260</t>
  </si>
  <si>
    <t>gun-10000261</t>
  </si>
  <si>
    <t>gun-40000261</t>
  </si>
  <si>
    <t>gun-50000261</t>
  </si>
  <si>
    <t>gun-60000261</t>
  </si>
  <si>
    <t>gun-10000262</t>
  </si>
  <si>
    <t>gun-40000262</t>
  </si>
  <si>
    <t>gun-50000262</t>
  </si>
  <si>
    <t>gun-60000262</t>
  </si>
  <si>
    <t>gun-10000263</t>
  </si>
  <si>
    <t>gun-40000263</t>
  </si>
  <si>
    <t>gun-50000263</t>
  </si>
  <si>
    <t>gun-60000263</t>
  </si>
  <si>
    <t>gun-10000264</t>
  </si>
  <si>
    <t>ChauchatM1915</t>
  </si>
  <si>
    <t>gun-40000264</t>
  </si>
  <si>
    <t>gun-50000264</t>
  </si>
  <si>
    <t>gun-60000264</t>
  </si>
  <si>
    <t>gun-10000265</t>
  </si>
  <si>
    <t>gun-40000265</t>
  </si>
  <si>
    <t>gun-50000265</t>
  </si>
  <si>
    <t>gun-60000265</t>
  </si>
  <si>
    <t>gun-10000266</t>
  </si>
  <si>
    <t>gun-40000266</t>
  </si>
  <si>
    <t>gun-50000266</t>
  </si>
  <si>
    <t>gun-60000266</t>
  </si>
  <si>
    <t>gun-10000267</t>
  </si>
  <si>
    <t>gun-40000267</t>
  </si>
  <si>
    <t>gun-50000267</t>
  </si>
  <si>
    <t>gun-60000267</t>
  </si>
  <si>
    <t>gun-10000268</t>
  </si>
  <si>
    <t>gun-40000268</t>
  </si>
  <si>
    <t>gun-50000268</t>
  </si>
  <si>
    <t>gun-60000268</t>
  </si>
  <si>
    <t>gun-10000269</t>
  </si>
  <si>
    <t>gun-40000269</t>
  </si>
  <si>
    <t>gun-50000269</t>
  </si>
  <si>
    <t>gun-60000269</t>
  </si>
  <si>
    <t>gun-10000270</t>
  </si>
  <si>
    <t>4type</t>
  </si>
  <si>
    <t>gun-40000270</t>
  </si>
  <si>
    <t>gun-50000270</t>
  </si>
  <si>
    <t>gun-60000270</t>
  </si>
  <si>
    <t>gun-10000271</t>
  </si>
  <si>
    <t>gun-40000271</t>
  </si>
  <si>
    <t>gun-50000271</t>
  </si>
  <si>
    <t>gun-60000271</t>
  </si>
  <si>
    <t>gun-10000272</t>
  </si>
  <si>
    <t>DesertEagle</t>
  </si>
  <si>
    <t>gun-40000272</t>
  </si>
  <si>
    <t>gun-50000272</t>
  </si>
  <si>
    <t>gun-60000272</t>
  </si>
  <si>
    <t>gun-10000273</t>
  </si>
  <si>
    <t>gun-40000273</t>
  </si>
  <si>
    <t>gun-50000273</t>
  </si>
  <si>
    <t>gun-60000273</t>
  </si>
  <si>
    <t>gun-10000274</t>
  </si>
  <si>
    <t>gun-40000274</t>
  </si>
  <si>
    <t>gun-50000274</t>
  </si>
  <si>
    <t>gun-60000274</t>
  </si>
  <si>
    <t>gun-10000275</t>
  </si>
  <si>
    <t>M1895MG</t>
  </si>
  <si>
    <t>gun-40000275</t>
  </si>
  <si>
    <t>gun-50000275</t>
  </si>
  <si>
    <t>gun-60000275</t>
  </si>
  <si>
    <t>gun-10000276</t>
  </si>
  <si>
    <t>gun-40000276</t>
  </si>
  <si>
    <t>gun-50000276</t>
  </si>
  <si>
    <t>gun-60000276</t>
  </si>
  <si>
    <t>gun-10000277</t>
  </si>
  <si>
    <t>gun-40000277</t>
  </si>
  <si>
    <t>gun-50000277</t>
  </si>
  <si>
    <t>gun-60000277</t>
  </si>
  <si>
    <t>gun-10000278</t>
  </si>
  <si>
    <t>gun-40000278</t>
  </si>
  <si>
    <t>gun-50000278</t>
  </si>
  <si>
    <t>gun-60000278</t>
  </si>
  <si>
    <t>gun-10000279</t>
  </si>
  <si>
    <t>gun-40000279</t>
  </si>
  <si>
    <t>gun-50000279</t>
  </si>
  <si>
    <t>gun-60000279</t>
  </si>
  <si>
    <t>gun-10000280</t>
  </si>
  <si>
    <t>gun-40000280</t>
  </si>
  <si>
    <t>gun-50000280</t>
  </si>
  <si>
    <t>gun-60000280</t>
  </si>
  <si>
    <t>gun-10000281</t>
  </si>
  <si>
    <t>HKCAWS</t>
  </si>
  <si>
    <t>gun-40000281</t>
  </si>
  <si>
    <t>gun-50000281</t>
  </si>
  <si>
    <t>gun-60000281</t>
  </si>
  <si>
    <t>gun-10000282</t>
  </si>
  <si>
    <t>gun-40000282</t>
  </si>
  <si>
    <t>gun-50000282</t>
  </si>
  <si>
    <t>gun-60000282</t>
  </si>
  <si>
    <t>gun-10000283</t>
  </si>
  <si>
    <t>gun-40000283</t>
  </si>
  <si>
    <t>gun-50000283</t>
  </si>
  <si>
    <t>gun-60000283</t>
  </si>
  <si>
    <t>gun-10000284</t>
  </si>
  <si>
    <t>ZasM76</t>
  </si>
  <si>
    <t>gun-40000284</t>
  </si>
  <si>
    <t>gun-50000284</t>
  </si>
  <si>
    <t>gun-60000284</t>
  </si>
  <si>
    <t>gun-10000285</t>
  </si>
  <si>
    <t>gun-40000285</t>
  </si>
  <si>
    <t>gun-50000285</t>
  </si>
  <si>
    <t>gun-60000285</t>
  </si>
  <si>
    <t>gun-10000286</t>
  </si>
  <si>
    <t>KAC</t>
  </si>
  <si>
    <t>gun-40000286</t>
  </si>
  <si>
    <t>gun-50000286</t>
  </si>
  <si>
    <t>gun-60000286</t>
  </si>
  <si>
    <t>gun-10000287</t>
  </si>
  <si>
    <t>gun-40000287</t>
  </si>
  <si>
    <t>gun-50000287</t>
  </si>
  <si>
    <t>gun-60000287</t>
  </si>
  <si>
    <t>gun-10000288</t>
  </si>
  <si>
    <t>gun-40000288</t>
  </si>
  <si>
    <t>gun-50000288</t>
  </si>
  <si>
    <t>gun-60000288</t>
  </si>
  <si>
    <t>gun-10000289</t>
  </si>
  <si>
    <t>R5RGP</t>
  </si>
  <si>
    <t>gun-40000289</t>
  </si>
  <si>
    <t>gun-50000289</t>
  </si>
  <si>
    <t>gun-60000289</t>
  </si>
  <si>
    <t>gun-10000290</t>
  </si>
  <si>
    <t>HowaType89</t>
  </si>
  <si>
    <t>gun-40000290</t>
  </si>
  <si>
    <t>gun-50000290</t>
  </si>
  <si>
    <t>gun-60000290</t>
  </si>
  <si>
    <t>gun-10000291</t>
  </si>
  <si>
    <t>Danuvia43M</t>
  </si>
  <si>
    <t>gun-40000291</t>
  </si>
  <si>
    <t>gun-50000291</t>
  </si>
  <si>
    <t>gun-60000291</t>
  </si>
  <si>
    <t>gun-10000292</t>
  </si>
  <si>
    <t>gun-40000292</t>
  </si>
  <si>
    <t>gun-50000292</t>
  </si>
  <si>
    <t>gun-60000292</t>
  </si>
  <si>
    <t>gun-10000293</t>
  </si>
  <si>
    <t>gun-40000293</t>
  </si>
  <si>
    <t>gun-50000293</t>
  </si>
  <si>
    <t>gun-60000293</t>
  </si>
  <si>
    <t>gun-10000294</t>
  </si>
  <si>
    <t>gun-40000294</t>
  </si>
  <si>
    <t>gun-50000294</t>
  </si>
  <si>
    <t>gun-60000294</t>
  </si>
  <si>
    <t>gun-10000295</t>
  </si>
  <si>
    <t>06TypeSMG</t>
  </si>
  <si>
    <t>gun-40000295</t>
  </si>
  <si>
    <t>gun-50000295</t>
  </si>
  <si>
    <t>gun-60000295</t>
  </si>
  <si>
    <t>gun-10000296</t>
  </si>
  <si>
    <t>gun-40000296</t>
  </si>
  <si>
    <t>gun-50000296</t>
  </si>
  <si>
    <t>gun-60000296</t>
  </si>
  <si>
    <t>gun-10000297</t>
  </si>
  <si>
    <t>gun-40000297</t>
  </si>
  <si>
    <t>gun-50000297</t>
  </si>
  <si>
    <t>gun-60000297</t>
  </si>
  <si>
    <t>gun-10000298</t>
  </si>
  <si>
    <t>VEPR</t>
  </si>
  <si>
    <t>gun-40000298</t>
  </si>
  <si>
    <t>gun-50000298</t>
  </si>
  <si>
    <t>gun-60000298</t>
  </si>
  <si>
    <t>gun-10000299</t>
  </si>
  <si>
    <t>gun-40000299</t>
  </si>
  <si>
    <t>gun-50000299</t>
  </si>
  <si>
    <t>gun-60000299</t>
  </si>
  <si>
    <t>gun-10000300</t>
  </si>
  <si>
    <t>gun-40000300</t>
  </si>
  <si>
    <t>gun-50000300</t>
  </si>
  <si>
    <t>gun-60000300</t>
  </si>
  <si>
    <t>gun-10000301</t>
  </si>
  <si>
    <t>gun-40000301</t>
  </si>
  <si>
    <t>gun-50000301</t>
  </si>
  <si>
    <t>gun-60000301</t>
  </si>
  <si>
    <t>gun-10000302</t>
  </si>
  <si>
    <t>ColtDefender</t>
  </si>
  <si>
    <t>gun-40000302</t>
  </si>
  <si>
    <t>gun-50000302</t>
  </si>
  <si>
    <t>gun-60000302</t>
  </si>
  <si>
    <t>gun-10000303</t>
  </si>
  <si>
    <t>BrowningHP</t>
  </si>
  <si>
    <t>gun-40000303</t>
  </si>
  <si>
    <t>gun-50000303</t>
  </si>
  <si>
    <t>gun-60000303</t>
  </si>
  <si>
    <t>gun-10000304</t>
  </si>
  <si>
    <t>gun-40000304</t>
  </si>
  <si>
    <t>gun-50000304</t>
  </si>
  <si>
    <t>gun-60000304</t>
  </si>
  <si>
    <t>gun-10000305</t>
  </si>
  <si>
    <t>gun-40000305</t>
  </si>
  <si>
    <t>gun-50000305</t>
  </si>
  <si>
    <t>gun-60000305</t>
  </si>
  <si>
    <t>gun-10000306</t>
  </si>
  <si>
    <t>gun-40000306</t>
  </si>
  <si>
    <t>gun-50000306</t>
  </si>
  <si>
    <t>gun-60000306</t>
  </si>
  <si>
    <t>gun-10000307</t>
  </si>
  <si>
    <t>gun-40000307</t>
  </si>
  <si>
    <t>gun-50000307</t>
  </si>
  <si>
    <t>gun-60000307</t>
  </si>
  <si>
    <t>gun-10000308</t>
  </si>
  <si>
    <t>gun-40000308</t>
  </si>
  <si>
    <t>gun-50000308</t>
  </si>
  <si>
    <t>gun-60000308</t>
  </si>
  <si>
    <t>gun-10000309</t>
  </si>
  <si>
    <t>WKP</t>
  </si>
  <si>
    <t>gun-40000309</t>
  </si>
  <si>
    <t>gun-50000309</t>
  </si>
  <si>
    <t>gun-60000309</t>
  </si>
  <si>
    <t>gun-10000310</t>
  </si>
  <si>
    <t>RexZero1</t>
  </si>
  <si>
    <t>gun-40000310</t>
  </si>
  <si>
    <t>gun-50000310</t>
  </si>
  <si>
    <t>gun-60000310</t>
  </si>
  <si>
    <t>gun-10000311</t>
  </si>
  <si>
    <t>gun-40000311</t>
  </si>
  <si>
    <t>gun-50000311</t>
  </si>
  <si>
    <t>gun-60000311</t>
  </si>
  <si>
    <t>gun-10000312</t>
  </si>
  <si>
    <t>VSK</t>
  </si>
  <si>
    <t>gun-40000312</t>
  </si>
  <si>
    <t>gun-50000312</t>
  </si>
  <si>
    <t>gun-60000312</t>
  </si>
  <si>
    <t>gun-10000313</t>
  </si>
  <si>
    <t>gun-40000313</t>
  </si>
  <si>
    <t>gun-50000313</t>
  </si>
  <si>
    <t>gun-60000313</t>
  </si>
  <si>
    <t>gun-10000314</t>
  </si>
  <si>
    <t>stg940</t>
  </si>
  <si>
    <t>gun-40000314</t>
  </si>
  <si>
    <t>gun-50000314</t>
  </si>
  <si>
    <t>gun-60000314</t>
  </si>
  <si>
    <t>gun-10000315</t>
  </si>
  <si>
    <t>AUGPARA</t>
  </si>
  <si>
    <t>gun-40000315</t>
  </si>
  <si>
    <t>gun-50000315</t>
  </si>
  <si>
    <t>gun-60000315</t>
  </si>
  <si>
    <t>gun-10000316</t>
  </si>
  <si>
    <t>gun-40000316</t>
  </si>
  <si>
    <t>gun-50000316</t>
  </si>
  <si>
    <t>gun-60000316</t>
  </si>
  <si>
    <t>gun-10000317</t>
  </si>
  <si>
    <t>gun-40000317</t>
  </si>
  <si>
    <t>gun-50000317</t>
  </si>
  <si>
    <t>gun-60000317</t>
  </si>
  <si>
    <t>gun-10000318</t>
  </si>
  <si>
    <t>gun-40000318</t>
  </si>
  <si>
    <t>gun-50000318</t>
  </si>
  <si>
    <t>gun-60000318</t>
  </si>
  <si>
    <t>gun-10000319</t>
  </si>
  <si>
    <t>gun-40000319</t>
  </si>
  <si>
    <t>gun-50000319</t>
  </si>
  <si>
    <t>gun-60000319</t>
  </si>
  <si>
    <t>gun-10000320</t>
  </si>
  <si>
    <t>Gm6Lynx</t>
  </si>
  <si>
    <t>gun-40000320</t>
  </si>
  <si>
    <t>gun-50000320</t>
  </si>
  <si>
    <t>gun-60000320</t>
  </si>
  <si>
    <t>gun-10000321</t>
  </si>
  <si>
    <t>TavorTS12</t>
  </si>
  <si>
    <t>gun-40000321</t>
  </si>
  <si>
    <t>gun-50000321</t>
  </si>
  <si>
    <t>gun-60000321</t>
  </si>
  <si>
    <t>gun-10000322</t>
  </si>
  <si>
    <t>gun-40000322</t>
  </si>
  <si>
    <t>gun-50000322</t>
  </si>
  <si>
    <t>gun-60000322</t>
  </si>
  <si>
    <t>gun-10000323</t>
  </si>
  <si>
    <t>gun-40000323</t>
  </si>
  <si>
    <t>gun-50000323</t>
  </si>
  <si>
    <t>gun-60000323</t>
  </si>
  <si>
    <t>gun-10000324</t>
  </si>
  <si>
    <t>M6ASW</t>
  </si>
  <si>
    <t>gun-40000324</t>
  </si>
  <si>
    <t>gun-50000324</t>
  </si>
  <si>
    <t>gun-60000324</t>
  </si>
  <si>
    <t>gun-10000325</t>
  </si>
  <si>
    <t>gun-40000325</t>
  </si>
  <si>
    <t>gun-50000325</t>
  </si>
  <si>
    <t>gun-60000325</t>
  </si>
  <si>
    <t>gun-10000326</t>
  </si>
  <si>
    <t>gun-40000326</t>
  </si>
  <si>
    <t>gun-50000326</t>
  </si>
  <si>
    <t>gun-60000326</t>
  </si>
  <si>
    <t>gun-10000327</t>
  </si>
  <si>
    <t>gun-40000327</t>
  </si>
  <si>
    <t>gun-50000327</t>
  </si>
  <si>
    <t>gun-60000327</t>
  </si>
  <si>
    <t>gun-10000328</t>
  </si>
  <si>
    <t>gun-40000328</t>
  </si>
  <si>
    <t>gun-50000328</t>
  </si>
  <si>
    <t>gun-60000328</t>
  </si>
  <si>
    <t>gun-10000329</t>
  </si>
  <si>
    <t>gun-40000329</t>
  </si>
  <si>
    <t>gun-50000329</t>
  </si>
  <si>
    <t>gun-60000329</t>
  </si>
  <si>
    <t>gun-10000330</t>
  </si>
  <si>
    <t>gun-40000330</t>
  </si>
  <si>
    <t>gun-50000330</t>
  </si>
  <si>
    <t>gun-60000330</t>
  </si>
  <si>
    <t>gun-10000331</t>
  </si>
  <si>
    <t>gun-40000331</t>
  </si>
  <si>
    <t>gun-50000331</t>
  </si>
  <si>
    <t>gun-60000331</t>
  </si>
  <si>
    <t>gun-10000332</t>
  </si>
  <si>
    <t>gun-40000332</t>
  </si>
  <si>
    <t>gun-50000332</t>
  </si>
  <si>
    <t>gun-60000332</t>
  </si>
  <si>
    <t>gun-10000333</t>
  </si>
  <si>
    <t>gun-40000333</t>
  </si>
  <si>
    <t>gun-50000333</t>
  </si>
  <si>
    <t>gun-60000333</t>
  </si>
  <si>
    <t>gun-10000334</t>
  </si>
  <si>
    <t>Savage99</t>
  </si>
  <si>
    <t>gun-40000334</t>
  </si>
  <si>
    <t>gun-50000334</t>
  </si>
  <si>
    <t>gun-60000334</t>
  </si>
  <si>
    <t>gun-10000335</t>
  </si>
  <si>
    <t>gun-40000335</t>
  </si>
  <si>
    <t>gun-50000335</t>
  </si>
  <si>
    <t>gun-60000335</t>
  </si>
  <si>
    <t>gun-10000336</t>
  </si>
  <si>
    <t>gun-40000336</t>
  </si>
  <si>
    <t>gun-50000336</t>
  </si>
  <si>
    <t>gun-60000336</t>
  </si>
  <si>
    <t>gun-10000337</t>
  </si>
  <si>
    <t>Delisle</t>
  </si>
  <si>
    <t>gun-40000337</t>
  </si>
  <si>
    <t>gun-50000337</t>
  </si>
  <si>
    <t>gun-60000337</t>
  </si>
  <si>
    <t>gun-10000338</t>
  </si>
  <si>
    <t>SIGMCX</t>
  </si>
  <si>
    <t>gun-40000338</t>
  </si>
  <si>
    <t>gun-50000338</t>
  </si>
  <si>
    <t>gun-60000338</t>
  </si>
  <si>
    <t>gun-10000339</t>
  </si>
  <si>
    <t>gun-40000339</t>
  </si>
  <si>
    <t>gun-50000339</t>
  </si>
  <si>
    <t>gun-60000339</t>
  </si>
  <si>
    <t>gun-10000340</t>
  </si>
  <si>
    <t>gun-40000340</t>
  </si>
  <si>
    <t>gun-50000340</t>
  </si>
  <si>
    <t>gun-60000340</t>
  </si>
  <si>
    <t>gun-10000341</t>
  </si>
  <si>
    <t>gun-40000341</t>
  </si>
  <si>
    <t>gun-50000341</t>
  </si>
  <si>
    <t>gun-60000341</t>
  </si>
  <si>
    <t>gun-10000342</t>
  </si>
  <si>
    <t>gun-40000342</t>
  </si>
  <si>
    <t>gun-50000342</t>
  </si>
  <si>
    <t>gun-60000342</t>
  </si>
  <si>
    <t>gun-10000343</t>
  </si>
  <si>
    <t>gun-40000343</t>
  </si>
  <si>
    <t>gun-50000343</t>
  </si>
  <si>
    <t>gun-60000343</t>
  </si>
  <si>
    <t>gun-10000344</t>
  </si>
  <si>
    <t>gun-40000344</t>
  </si>
  <si>
    <t>gun-50000344</t>
  </si>
  <si>
    <t>gun-60000344</t>
  </si>
  <si>
    <t>gun-10000345</t>
  </si>
  <si>
    <t>gun-40000345</t>
  </si>
  <si>
    <t>gun-50000345</t>
  </si>
  <si>
    <t>gun-60000345</t>
  </si>
  <si>
    <t>gun-10000346</t>
  </si>
  <si>
    <t>gun-40000346</t>
  </si>
  <si>
    <t>gun-50000346</t>
  </si>
  <si>
    <t>gun-60000346</t>
  </si>
  <si>
    <t>gun-10000347</t>
  </si>
  <si>
    <t>gun-40000347</t>
  </si>
  <si>
    <t>gun-50000347</t>
  </si>
  <si>
    <t>gun-60000347</t>
  </si>
  <si>
    <t>gun-10000348</t>
  </si>
  <si>
    <t>gun-40000348</t>
  </si>
  <si>
    <t>gun-50000348</t>
  </si>
  <si>
    <t>gun-60000348</t>
  </si>
  <si>
    <t>gun-10000349</t>
  </si>
  <si>
    <t>gun-40000349</t>
  </si>
  <si>
    <t>gun-50000349</t>
  </si>
  <si>
    <t>gun-60000349</t>
  </si>
  <si>
    <t>gun-10001001</t>
  </si>
  <si>
    <t>BB_Noel</t>
  </si>
  <si>
    <t>gun-40001001</t>
  </si>
  <si>
    <t>gun-50001001</t>
  </si>
  <si>
    <t>gun-60001001</t>
  </si>
  <si>
    <t>gun-10001002</t>
  </si>
  <si>
    <t>GG_elfeldt</t>
  </si>
  <si>
    <t>gun-40001002</t>
  </si>
  <si>
    <t>gun-50001002</t>
  </si>
  <si>
    <t>gun-60001002</t>
  </si>
  <si>
    <t>gun-10001003</t>
  </si>
  <si>
    <t>gun-40001003</t>
  </si>
  <si>
    <t>gun-50001003</t>
  </si>
  <si>
    <t>gun-60001003</t>
  </si>
  <si>
    <t>gun-10001004</t>
  </si>
  <si>
    <t>RaidenMei</t>
  </si>
  <si>
    <t>gun-40001004</t>
  </si>
  <si>
    <t>gun-50001004</t>
  </si>
  <si>
    <t>gun-60001004</t>
  </si>
  <si>
    <t>gun-10001005</t>
  </si>
  <si>
    <t>gun-40001005</t>
  </si>
  <si>
    <t>gun-50001005</t>
  </si>
  <si>
    <t>gun-60001005</t>
  </si>
  <si>
    <t>gun-10001006</t>
  </si>
  <si>
    <t>gun-40001006</t>
  </si>
  <si>
    <t>gun-50001006</t>
  </si>
  <si>
    <t>gun-60001006</t>
  </si>
  <si>
    <t>gun-10001007</t>
  </si>
  <si>
    <t>gun-40001007</t>
  </si>
  <si>
    <t>gun-50001007</t>
  </si>
  <si>
    <t>gun-60001007</t>
  </si>
  <si>
    <t>gun-10001008</t>
  </si>
  <si>
    <t>gun-40001008</t>
  </si>
  <si>
    <t>gun-50001008</t>
  </si>
  <si>
    <t>gun-60001008</t>
  </si>
  <si>
    <t>gun-10001009</t>
  </si>
  <si>
    <t>gun-40001009</t>
  </si>
  <si>
    <t>gun-50001009</t>
  </si>
  <si>
    <t>gun-60001009</t>
  </si>
  <si>
    <t>gun-10001010</t>
  </si>
  <si>
    <t>gun-40001010</t>
  </si>
  <si>
    <t>gun-50001010</t>
  </si>
  <si>
    <t>gun-60001010</t>
  </si>
  <si>
    <t>gun-10001017</t>
  </si>
  <si>
    <t>gun-40001017</t>
  </si>
  <si>
    <t>gun-50001017</t>
  </si>
  <si>
    <t>gun-60001017</t>
  </si>
  <si>
    <t>gun-10001018</t>
  </si>
  <si>
    <t>SEI</t>
  </si>
  <si>
    <t>gun-40001018</t>
  </si>
  <si>
    <t>gun-50001018</t>
  </si>
  <si>
    <t>gun-60001018</t>
  </si>
  <si>
    <t>gun-10001019</t>
  </si>
  <si>
    <t>gun-40001019</t>
  </si>
  <si>
    <t>gun-50001019</t>
  </si>
  <si>
    <t>gun-60001019</t>
  </si>
  <si>
    <t>gun-10001020</t>
  </si>
  <si>
    <t>gun-40001020</t>
  </si>
  <si>
    <t>gun-50001020</t>
  </si>
  <si>
    <t>gun-60001020</t>
  </si>
  <si>
    <t>gun-10001021</t>
  </si>
  <si>
    <t>gun-40001021</t>
  </si>
  <si>
    <t>gun-50001021</t>
  </si>
  <si>
    <t>gun-60001021</t>
  </si>
  <si>
    <t>gun-10001022</t>
  </si>
  <si>
    <t>gun-40001022</t>
  </si>
  <si>
    <t>gun-50001022</t>
  </si>
  <si>
    <t>gun-60001022</t>
  </si>
  <si>
    <t>gun-10001023</t>
  </si>
  <si>
    <t>gun-40001023</t>
  </si>
  <si>
    <t>gun-50001023</t>
  </si>
  <si>
    <t>gun-60001023</t>
  </si>
  <si>
    <t>gun-10001024</t>
  </si>
  <si>
    <t>gun-40001024</t>
  </si>
  <si>
    <t>gun-50001024</t>
  </si>
  <si>
    <t>gun-60001024</t>
  </si>
  <si>
    <t>gun-10001025</t>
  </si>
  <si>
    <t>gun-40001025</t>
  </si>
  <si>
    <t>gun-50001025</t>
  </si>
  <si>
    <t>gun-60001025</t>
  </si>
  <si>
    <t>gun-10001026</t>
  </si>
  <si>
    <t>gun-40001026</t>
  </si>
  <si>
    <t>gun-50001026</t>
  </si>
  <si>
    <t>gun-60001026</t>
  </si>
  <si>
    <t>gun-10001027</t>
  </si>
  <si>
    <t>gun-40001027</t>
  </si>
  <si>
    <t>gun-50001027</t>
  </si>
  <si>
    <t>gun-60001027</t>
  </si>
  <si>
    <t>gun-10001028</t>
  </si>
  <si>
    <t>VectorAgent</t>
  </si>
  <si>
    <t>gun-40001028</t>
  </si>
  <si>
    <t>gun-50001028</t>
  </si>
  <si>
    <t>gun-60001028</t>
  </si>
  <si>
    <t>gun-10001029</t>
  </si>
  <si>
    <t>HK416Agent</t>
  </si>
  <si>
    <t>gun-40001029</t>
  </si>
  <si>
    <t>gun-50001029</t>
  </si>
  <si>
    <t>gun-60001029</t>
  </si>
  <si>
    <t>gun-10001030</t>
  </si>
  <si>
    <t>Jashinchan</t>
  </si>
  <si>
    <t>gun-40001030</t>
  </si>
  <si>
    <t>gun-50001030</t>
  </si>
  <si>
    <t>gun-60001030</t>
  </si>
  <si>
    <t>gun-10001031</t>
  </si>
  <si>
    <t>Pekora</t>
  </si>
  <si>
    <t>gun-40001031</t>
  </si>
  <si>
    <t>gun-50001031</t>
  </si>
  <si>
    <t>gun-60001031</t>
  </si>
  <si>
    <t>gun-10001032</t>
  </si>
  <si>
    <t>gun-40001032</t>
  </si>
  <si>
    <t>gun-50001032</t>
  </si>
  <si>
    <t>gun-60001032</t>
  </si>
  <si>
    <t>gun-10001033</t>
  </si>
  <si>
    <t>gun-40001033</t>
  </si>
  <si>
    <t>gun-50001033</t>
  </si>
  <si>
    <t>gun-60001033</t>
  </si>
  <si>
    <t>gun-10001034</t>
  </si>
  <si>
    <t>Minosu</t>
  </si>
  <si>
    <t>gun-40001034</t>
  </si>
  <si>
    <t>gun-50001034</t>
  </si>
  <si>
    <t>gun-60001034</t>
  </si>
  <si>
    <t>gun-10020001</t>
  </si>
  <si>
    <t>M1873Mod</t>
  </si>
  <si>
    <t>gun-40020001</t>
  </si>
  <si>
    <t>gun-50020001</t>
  </si>
  <si>
    <t>gun-60020001</t>
  </si>
  <si>
    <t>gun-10020002</t>
  </si>
  <si>
    <t>gun-40020002</t>
  </si>
  <si>
    <t>gun-50020002</t>
  </si>
  <si>
    <t>gun-60020002</t>
  </si>
  <si>
    <t>gun-10020005</t>
  </si>
  <si>
    <t>gun-40020005</t>
  </si>
  <si>
    <t>gun-50020005</t>
  </si>
  <si>
    <t>gun-60020005</t>
  </si>
  <si>
    <t>gun-10020007</t>
  </si>
  <si>
    <t>APSMod</t>
  </si>
  <si>
    <t>gun-40020007</t>
  </si>
  <si>
    <t>gun-50020007</t>
  </si>
  <si>
    <t>gun-60020007</t>
  </si>
  <si>
    <t>gun-10020008</t>
  </si>
  <si>
    <t>PMMod</t>
  </si>
  <si>
    <t>gun-40020008</t>
  </si>
  <si>
    <t>gun-50020008</t>
  </si>
  <si>
    <t>gun-60020008</t>
  </si>
  <si>
    <t>gun-10020012</t>
  </si>
  <si>
    <t>gun-40020012</t>
  </si>
  <si>
    <t>gun-50020012</t>
  </si>
  <si>
    <t>gun-60020012</t>
  </si>
  <si>
    <t>gun-10020026</t>
  </si>
  <si>
    <t>gun-40020026</t>
  </si>
  <si>
    <t>gun-50020026</t>
  </si>
  <si>
    <t>gun-60020026</t>
  </si>
  <si>
    <t>gun-10020029</t>
  </si>
  <si>
    <t>StenMK2Mod</t>
  </si>
  <si>
    <t>gun-40020029</t>
  </si>
  <si>
    <t>gun-50020029</t>
  </si>
  <si>
    <t>gun-60020029</t>
  </si>
  <si>
    <t>gun-10020031</t>
  </si>
  <si>
    <t>MAB38Mod</t>
  </si>
  <si>
    <t>gun-40020031</t>
  </si>
  <si>
    <t>gun-50020031</t>
  </si>
  <si>
    <t>gun-60020031</t>
  </si>
  <si>
    <t>gun-10020032</t>
  </si>
  <si>
    <t>MicroUZIMod</t>
  </si>
  <si>
    <t>gun-40020032</t>
  </si>
  <si>
    <t>gun-50020032</t>
  </si>
  <si>
    <t>gun-60020032</t>
  </si>
  <si>
    <t>gun-10020037</t>
  </si>
  <si>
    <t>gun-40020037</t>
  </si>
  <si>
    <t>gun-50020037</t>
  </si>
  <si>
    <t>gun-60020037</t>
  </si>
  <si>
    <t>gun-10020039</t>
  </si>
  <si>
    <t>M1891Mod</t>
  </si>
  <si>
    <t>gun-40020039</t>
  </si>
  <si>
    <t>gun-50020039</t>
  </si>
  <si>
    <t>gun-60020039</t>
  </si>
  <si>
    <t>gun-10020044</t>
  </si>
  <si>
    <t>gun-40020044</t>
  </si>
  <si>
    <t>gun-50020044</t>
  </si>
  <si>
    <t>gun-60020044</t>
  </si>
  <si>
    <t>gun-10020049</t>
  </si>
  <si>
    <t>56typeRMod</t>
  </si>
  <si>
    <t>gun-40020049</t>
  </si>
  <si>
    <t>gun-50020049</t>
  </si>
  <si>
    <t>gun-60020049</t>
  </si>
  <si>
    <t>gun-10020051</t>
  </si>
  <si>
    <t>gun-40020051</t>
  </si>
  <si>
    <t>gun-50020051</t>
  </si>
  <si>
    <t>gun-60020051</t>
  </si>
  <si>
    <t>gun-10020053</t>
  </si>
  <si>
    <t>gun-40020053</t>
  </si>
  <si>
    <t>gun-50020053</t>
  </si>
  <si>
    <t>gun-60020053</t>
  </si>
  <si>
    <t>gun-10020055</t>
  </si>
  <si>
    <t>gun-40020055</t>
  </si>
  <si>
    <t>gun-50020055</t>
  </si>
  <si>
    <t>gun-60020055</t>
  </si>
  <si>
    <t>gun-10020056</t>
  </si>
  <si>
    <t>gun-40020056</t>
  </si>
  <si>
    <t>gun-50020056</t>
  </si>
  <si>
    <t>gun-60020056</t>
  </si>
  <si>
    <t>gun-10020057</t>
  </si>
  <si>
    <t>AR15Mod</t>
  </si>
  <si>
    <t>gun-40020057</t>
  </si>
  <si>
    <t>gun-50020057</t>
  </si>
  <si>
    <t>gun-60020057</t>
  </si>
  <si>
    <t>gun-10020060</t>
  </si>
  <si>
    <t>ASVALMod</t>
  </si>
  <si>
    <t>gun-40020060</t>
  </si>
  <si>
    <t>gun-50020060</t>
  </si>
  <si>
    <t>gun-60020060</t>
  </si>
  <si>
    <t>gun-10020061</t>
  </si>
  <si>
    <t>STG44Mod</t>
  </si>
  <si>
    <t>gun-40020061</t>
  </si>
  <si>
    <t>gun-50020061</t>
  </si>
  <si>
    <t>gun-60020061</t>
  </si>
  <si>
    <t>gun-10020063</t>
  </si>
  <si>
    <t>gun-40020063</t>
  </si>
  <si>
    <t>gun-50020063</t>
  </si>
  <si>
    <t>gun-60020063</t>
  </si>
  <si>
    <t>gun-10020064</t>
  </si>
  <si>
    <t>gun-40020064</t>
  </si>
  <si>
    <t>gun-50020064</t>
  </si>
  <si>
    <t>gun-60020064</t>
  </si>
  <si>
    <t>gun-10020065</t>
  </si>
  <si>
    <t>gun-40020065</t>
  </si>
  <si>
    <t>gun-50020065</t>
  </si>
  <si>
    <t>gun-60020065</t>
  </si>
  <si>
    <t>gun-10020071</t>
  </si>
  <si>
    <t>ARMod</t>
  </si>
  <si>
    <t>gun-40020071</t>
  </si>
  <si>
    <t>gun-50020071</t>
  </si>
  <si>
    <t>gun-60020071</t>
  </si>
  <si>
    <t>gun-10020075</t>
  </si>
  <si>
    <t>gun-40020075</t>
  </si>
  <si>
    <t>gun-50020075</t>
  </si>
  <si>
    <t>gun-60020075</t>
  </si>
  <si>
    <t>gun-10020081</t>
  </si>
  <si>
    <t>gun-40020081</t>
  </si>
  <si>
    <t>gun-50020081</t>
  </si>
  <si>
    <t>gun-60020081</t>
  </si>
  <si>
    <t>gun-10020089</t>
  </si>
  <si>
    <t>BrenMKMod</t>
  </si>
  <si>
    <t>gun-40020089</t>
  </si>
  <si>
    <t>gun-50020089</t>
  </si>
  <si>
    <t>gun-60020089</t>
  </si>
  <si>
    <t>gun-10020091</t>
  </si>
  <si>
    <t>gun-40020091</t>
  </si>
  <si>
    <t>gun-50020091</t>
  </si>
  <si>
    <t>gun-60020091</t>
  </si>
  <si>
    <t>gun-10020093</t>
  </si>
  <si>
    <t>gun-40020093</t>
  </si>
  <si>
    <t>gun-50020093</t>
  </si>
  <si>
    <t>gun-60020093</t>
  </si>
  <si>
    <t>gun-10020094</t>
  </si>
  <si>
    <t>64typeMod</t>
  </si>
  <si>
    <t>gun-40020094</t>
  </si>
  <si>
    <t>gun-50020094</t>
  </si>
  <si>
    <t>gun-60020094</t>
  </si>
  <si>
    <t>gun-10020095</t>
  </si>
  <si>
    <t>88typeMod</t>
  </si>
  <si>
    <t>gun-40020095</t>
  </si>
  <si>
    <t>gun-50020095</t>
  </si>
  <si>
    <t>gun-60020095</t>
  </si>
  <si>
    <t>gun-10020097</t>
  </si>
  <si>
    <t>gun-40020097</t>
  </si>
  <si>
    <t>gun-50020097</t>
  </si>
  <si>
    <t>gun-60020097</t>
  </si>
  <si>
    <t>gun-10020101</t>
  </si>
  <si>
    <t>gun-40020101</t>
  </si>
  <si>
    <t>gun-50020101</t>
  </si>
  <si>
    <t>gun-60020101</t>
  </si>
  <si>
    <t>gun-10020103</t>
  </si>
  <si>
    <t>gun-40020103</t>
  </si>
  <si>
    <t>gun-50020103</t>
  </si>
  <si>
    <t>gun-60020103</t>
  </si>
  <si>
    <t>gun-10020114</t>
  </si>
  <si>
    <t>WelrodMod</t>
  </si>
  <si>
    <t>gun-40020114</t>
  </si>
  <si>
    <t>gun-50020114</t>
  </si>
  <si>
    <t>gun-60020114</t>
  </si>
  <si>
    <t>gun-10020122</t>
  </si>
  <si>
    <t>gun-40020122</t>
  </si>
  <si>
    <t>gun-50020122</t>
  </si>
  <si>
    <t>gun-60020122</t>
  </si>
  <si>
    <t>gun-10020124</t>
  </si>
  <si>
    <t>SuperSASSMod</t>
  </si>
  <si>
    <t>gun-40020124</t>
  </si>
  <si>
    <t>gun-50020124</t>
  </si>
  <si>
    <t>gun-60020124</t>
  </si>
  <si>
    <t>gun-10020125</t>
  </si>
  <si>
    <t>gun-40020125</t>
  </si>
  <si>
    <t>gun-50020125</t>
  </si>
  <si>
    <t>gun-60020125</t>
  </si>
  <si>
    <t>gun-10020136</t>
  </si>
  <si>
    <t>gun-40020136</t>
  </si>
  <si>
    <t>gun-50020136</t>
  </si>
  <si>
    <t>gun-60020136</t>
  </si>
  <si>
    <t>gun-10020143</t>
  </si>
  <si>
    <t>gun-40020143</t>
  </si>
  <si>
    <t>gun-50020143</t>
  </si>
  <si>
    <t>gun-60020143</t>
  </si>
  <si>
    <t>gun-10020152</t>
  </si>
  <si>
    <t>gun-40020152</t>
  </si>
  <si>
    <t>gun-50020152</t>
  </si>
  <si>
    <t>gun-60020152</t>
  </si>
  <si>
    <t>gun-10020154</t>
  </si>
  <si>
    <t>gun-40020154</t>
  </si>
  <si>
    <t>gun-50020154</t>
  </si>
  <si>
    <t>gun-60020154</t>
  </si>
  <si>
    <t>gun-10020159</t>
  </si>
  <si>
    <t>gun-40020159</t>
  </si>
  <si>
    <t>gun-50020159</t>
  </si>
  <si>
    <t>gun-60020159</t>
  </si>
  <si>
    <t>gun-10020161</t>
  </si>
  <si>
    <t>97typeSMod</t>
  </si>
  <si>
    <t>gun-40020161</t>
  </si>
  <si>
    <t>gun-50020161</t>
  </si>
  <si>
    <t>gun-60020161</t>
  </si>
  <si>
    <t>gun-10020178</t>
  </si>
  <si>
    <t>gun-40020178</t>
  </si>
  <si>
    <t>gun-50020178</t>
  </si>
  <si>
    <t>gun-60020178</t>
  </si>
  <si>
    <t>gun-10020199</t>
  </si>
  <si>
    <t>80typeMod</t>
  </si>
  <si>
    <t>gun-40020199</t>
  </si>
  <si>
    <t>gun-50020199</t>
  </si>
  <si>
    <t>gun-60020199</t>
  </si>
  <si>
    <t>gun-10020200</t>
  </si>
  <si>
    <t>gun-40020200</t>
  </si>
  <si>
    <t>gun-50020200</t>
  </si>
  <si>
    <t>gun-60020200</t>
  </si>
  <si>
    <t>gun-10020221</t>
  </si>
  <si>
    <t>GSH18Mod</t>
  </si>
  <si>
    <t>gun-40020221</t>
  </si>
  <si>
    <t>gun-50020221</t>
  </si>
  <si>
    <t>gun-60020221</t>
  </si>
  <si>
    <t>gun-10020252</t>
  </si>
  <si>
    <t>gun-40020252</t>
  </si>
  <si>
    <t>gun-50020252</t>
  </si>
  <si>
    <t>gun-60020252</t>
  </si>
  <si>
    <t>gun-10020104</t>
  </si>
  <si>
    <t>gun-40020104</t>
  </si>
  <si>
    <t>gun-50020104</t>
  </si>
  <si>
    <t>gun-60020104</t>
  </si>
  <si>
    <t>gun-10020171</t>
  </si>
  <si>
    <t>RibeyrollesMod</t>
  </si>
  <si>
    <t>gun-40020171</t>
  </si>
  <si>
    <t>gun-50020171</t>
  </si>
  <si>
    <t>gun-60020171</t>
  </si>
  <si>
    <t>gun-10020201</t>
  </si>
  <si>
    <t>GepardM1Mod</t>
  </si>
  <si>
    <t>gun-40020201</t>
  </si>
  <si>
    <t>gun-50020201</t>
  </si>
  <si>
    <t>gun-60020201</t>
  </si>
  <si>
    <t>gun-10020220</t>
  </si>
  <si>
    <t>gun-40020220</t>
  </si>
  <si>
    <t>gun-50020220</t>
  </si>
  <si>
    <t>gun-60020220</t>
  </si>
  <si>
    <t>forces</t>
  </si>
  <si>
    <t>ap_add</t>
  </si>
  <si>
    <t>skill2_type</t>
  </si>
  <si>
    <t>skill_resolution</t>
  </si>
  <si>
    <t>passive_skill2</t>
  </si>
  <si>
    <t>crit_dmg</t>
  </si>
  <si>
    <t>attack_range_type</t>
  </si>
  <si>
    <t>assist_attack_range</t>
  </si>
  <si>
    <t>search_range</t>
  </si>
  <si>
    <t>type_chip1</t>
  </si>
  <si>
    <t>type_chip2</t>
  </si>
  <si>
    <t>type_chip3</t>
  </si>
  <si>
    <t>illustration_id</t>
  </si>
  <si>
    <t>display_enemy_team</t>
  </si>
  <si>
    <t>picture_offset</t>
  </si>
  <si>
    <t>picture_scale</t>
  </si>
  <si>
    <t>dorm_scale</t>
  </si>
  <si>
    <t>sangvis-10001016</t>
  </si>
  <si>
    <t>Intruder_Halloween</t>
  </si>
  <si>
    <t>sangvis-40001016</t>
  </si>
  <si>
    <t>,,</t>
  </si>
  <si>
    <t>sangvis-30001016</t>
  </si>
  <si>
    <t>750080</t>
  </si>
  <si>
    <t>750084</t>
  </si>
  <si>
    <t>750085,750083</t>
  </si>
  <si>
    <t>0:4,10;8,10|3:1,15</t>
  </si>
  <si>
    <t>1,2,3</t>
  </si>
  <si>
    <t>2016-05-20 00:00:00</t>
  </si>
  <si>
    <t>-100.001,-65.021</t>
  </si>
  <si>
    <t>0.864,0.864</t>
  </si>
  <si>
    <t>sangvis-10002015</t>
  </si>
  <si>
    <t>Jaeger_SWAP</t>
  </si>
  <si>
    <t>sangvis-40002015</t>
  </si>
  <si>
    <t>sangvis-30002015</t>
  </si>
  <si>
    <t>902167</t>
  </si>
  <si>
    <t>sangvis-10001012</t>
  </si>
  <si>
    <t>sangvis-40001012</t>
  </si>
  <si>
    <t>sangvis-30001012</t>
  </si>
  <si>
    <t>902163</t>
  </si>
  <si>
    <t>902190,902204,902205</t>
  </si>
  <si>
    <t>0:1,15;3,15;4,15</t>
  </si>
  <si>
    <t>sangvis-10001008</t>
  </si>
  <si>
    <t>sangvis-40001008</t>
  </si>
  <si>
    <t>sangvis-30001008</t>
  </si>
  <si>
    <t>900926</t>
  </si>
  <si>
    <t>900929,900930,901920,902920,903920,904920</t>
  </si>
  <si>
    <t>900925,900927</t>
  </si>
  <si>
    <t>0:1,10;5,10|5:3,18;4,18</t>
  </si>
  <si>
    <t>sangvis-10001006</t>
  </si>
  <si>
    <t>BossArchitect</t>
  </si>
  <si>
    <t>sangvis-40001006</t>
  </si>
  <si>
    <t>sangvis-30001006</t>
  </si>
  <si>
    <t>900784</t>
  </si>
  <si>
    <t>900787,900788</t>
  </si>
  <si>
    <t>0:3,12;4,12|3:1,12;3,12</t>
  </si>
  <si>
    <t>sangvis-10001015</t>
  </si>
  <si>
    <t>BossArchitect_Summer</t>
  </si>
  <si>
    <t>sangvis-40001015</t>
  </si>
  <si>
    <t>sangvis-30001015</t>
  </si>
  <si>
    <t>750002</t>
  </si>
  <si>
    <t>750004</t>
  </si>
  <si>
    <t>750005,750006,750010</t>
  </si>
  <si>
    <t>3:1,15;3,15;4,15</t>
  </si>
  <si>
    <t>sangvis-10001005</t>
  </si>
  <si>
    <t>sangvis-40001005</t>
  </si>
  <si>
    <t>sangvis-30001005</t>
  </si>
  <si>
    <t>900738</t>
  </si>
  <si>
    <t>900732,900990</t>
  </si>
  <si>
    <t>900731</t>
  </si>
  <si>
    <t>1:1,10;8,10|3:1,10;3,15</t>
  </si>
  <si>
    <t>sangvis-10001009</t>
  </si>
  <si>
    <t>sangvis-40001009</t>
  </si>
  <si>
    <t>sangvis-30001009</t>
  </si>
  <si>
    <t>900960</t>
  </si>
  <si>
    <t>900966,900967,900968,900969,900989</t>
  </si>
  <si>
    <t>0:3,15;4,15|6:1,10;5,10</t>
  </si>
  <si>
    <t>2020-10-01 10:00:00</t>
  </si>
  <si>
    <t>sangvis-10001002</t>
  </si>
  <si>
    <t>sangvis-40001002</t>
  </si>
  <si>
    <t>sangvis-30001002</t>
  </si>
  <si>
    <t>600308,0,0,0</t>
  </si>
  <si>
    <t>600306</t>
  </si>
  <si>
    <t>600305,600307,600312,600313</t>
  </si>
  <si>
    <t>sangvis-10001010</t>
  </si>
  <si>
    <t>BossGager</t>
  </si>
  <si>
    <t>sangvis-40001010</t>
  </si>
  <si>
    <t>sangvis-30001010</t>
  </si>
  <si>
    <t>901031</t>
  </si>
  <si>
    <t>901036,901037,901038</t>
  </si>
  <si>
    <t>901039,911039</t>
  </si>
  <si>
    <t>0:1,15|4:3,10;5,10|5:4,10;8,10</t>
  </si>
  <si>
    <t>sangvis-10001003</t>
  </si>
  <si>
    <t>sangvis-40001003</t>
  </si>
  <si>
    <t>sangvis-30001003</t>
  </si>
  <si>
    <t>900598,0,0,0</t>
  </si>
  <si>
    <t>900593,900595,900599,901591</t>
  </si>
  <si>
    <t>0:2,6;3,6|5:3,12;4,12|6:1,10;3,12</t>
  </si>
  <si>
    <t>sangvis-10001004</t>
  </si>
  <si>
    <t>sangvis-40001004</t>
  </si>
  <si>
    <t>sangvis-30001004</t>
  </si>
  <si>
    <t>900674</t>
  </si>
  <si>
    <t>0:1,10;3,10;4,10;5,10</t>
  </si>
  <si>
    <t>sangvis-10001011</t>
  </si>
  <si>
    <t>sangvis-40001011</t>
  </si>
  <si>
    <t>sangvis-30001011</t>
  </si>
  <si>
    <t>901201</t>
  </si>
  <si>
    <t>902145</t>
  </si>
  <si>
    <t>901224</t>
  </si>
  <si>
    <t>0:1,10;2,10;5,10;8,10</t>
  </si>
  <si>
    <t>sangvis-10001013</t>
  </si>
  <si>
    <t>sangvis-40001013</t>
  </si>
  <si>
    <t>sangvis-30001013</t>
  </si>
  <si>
    <t>902362</t>
  </si>
  <si>
    <t>902363,902364,902367</t>
  </si>
  <si>
    <t>0:2,20|4:1,10;3,10</t>
  </si>
  <si>
    <t>sangvis-10001014</t>
  </si>
  <si>
    <t>sangvis-40001014</t>
  </si>
  <si>
    <t>sangvis-30001014</t>
  </si>
  <si>
    <t>902442</t>
  </si>
  <si>
    <t>902437,902438,902439</t>
  </si>
  <si>
    <t>902441</t>
  </si>
  <si>
    <t>4:1,12;3,12|5:4,12;5,12</t>
  </si>
  <si>
    <t>sangvis-10001001</t>
  </si>
  <si>
    <t>sangvis-40001001</t>
  </si>
  <si>
    <t>sangvis-30001001</t>
  </si>
  <si>
    <t>900526,0,0,0</t>
  </si>
  <si>
    <t>900513,900514,900517</t>
  </si>
  <si>
    <t>4:2,15;4,20</t>
  </si>
  <si>
    <t>sangvis-10001007</t>
  </si>
  <si>
    <t>sangvis-40001007</t>
  </si>
  <si>
    <t>sangvis-30001007</t>
  </si>
  <si>
    <t>900834</t>
  </si>
  <si>
    <t>900835,900836,900837,900838</t>
  </si>
  <si>
    <t>0:4,15;5,15|2:1,12;3,12</t>
  </si>
  <si>
    <t>sangvis-10002003</t>
  </si>
  <si>
    <t>sangvis-40002003</t>
  </si>
  <si>
    <t>sangvis-30002003</t>
  </si>
  <si>
    <t>600702</t>
  </si>
  <si>
    <t>sangvis-10002014</t>
  </si>
  <si>
    <t>sangvis-40002014</t>
  </si>
  <si>
    <t>sangvis-30002014</t>
  </si>
  <si>
    <t>sangvis-10002001</t>
  </si>
  <si>
    <t>sangvis-40002001</t>
  </si>
  <si>
    <t>sangvis-30002001</t>
  </si>
  <si>
    <t>900580,900581</t>
  </si>
  <si>
    <t>sangvis-10002002</t>
  </si>
  <si>
    <t>sangvis-40002002</t>
  </si>
  <si>
    <t>sangvis-30002002</t>
  </si>
  <si>
    <t>900521,901519,901520,902167</t>
  </si>
  <si>
    <t>sangvis-10002012</t>
  </si>
  <si>
    <t>sangvis-40002012</t>
  </si>
  <si>
    <t>sangvis-30002012</t>
  </si>
  <si>
    <t>900983,900984,900985</t>
  </si>
  <si>
    <t>sangvis-10002008</t>
  </si>
  <si>
    <t>sangvis-40002008</t>
  </si>
  <si>
    <t>sangvis-30002008</t>
  </si>
  <si>
    <t>900749</t>
  </si>
  <si>
    <t>sangvis-10002006</t>
  </si>
  <si>
    <t>sangvis-40002006</t>
  </si>
  <si>
    <t>sangvis-30002006</t>
  </si>
  <si>
    <t>900614,902167</t>
  </si>
  <si>
    <t>900616,901618,902618</t>
  </si>
  <si>
    <t>sangvis-10002004</t>
  </si>
  <si>
    <t>sangvis-40002004</t>
  </si>
  <si>
    <t>sangvis-30002004</t>
  </si>
  <si>
    <t>sangvis-10002011</t>
  </si>
  <si>
    <t>sangvis-40002011</t>
  </si>
  <si>
    <t>sangvis-30002011</t>
  </si>
  <si>
    <t>900935,900936</t>
  </si>
  <si>
    <t>sangvis-10002009</t>
  </si>
  <si>
    <t>sangvis-40002009</t>
  </si>
  <si>
    <t>sangvis-30002009</t>
  </si>
  <si>
    <t>900631,900632,900633,900634,900635,900775,902167</t>
  </si>
  <si>
    <t>900771,900773,900776,900777,900774</t>
  </si>
  <si>
    <t>sangvis-10002013</t>
  </si>
  <si>
    <t>sangvis-40002013</t>
  </si>
  <si>
    <t>sangvis-30002013</t>
  </si>
  <si>
    <t>901254,902167</t>
  </si>
  <si>
    <t>901252,901255</t>
  </si>
  <si>
    <t>sangvis-10002005</t>
  </si>
  <si>
    <t>sangvis-40002005</t>
  </si>
  <si>
    <t>sangvis-30002005</t>
  </si>
  <si>
    <t>900631,900632,900633,900634,900635,902167</t>
  </si>
  <si>
    <t>900651</t>
  </si>
  <si>
    <t>sangvis-10002010</t>
  </si>
  <si>
    <t>sangvis-40002010</t>
  </si>
  <si>
    <t>sangvis-30002010</t>
  </si>
  <si>
    <t>900843</t>
  </si>
  <si>
    <t>sangvis-10003006</t>
  </si>
  <si>
    <t>sangvis-40003006</t>
  </si>
  <si>
    <t>sangvis-30003006</t>
  </si>
  <si>
    <t>900636,900652</t>
  </si>
  <si>
    <t>sangvis-10003010</t>
  </si>
  <si>
    <t>sangvis-40003010</t>
  </si>
  <si>
    <t>sangvis-30003010</t>
  </si>
  <si>
    <t>901040,902167</t>
  </si>
  <si>
    <t>sangvis-10003003</t>
  </si>
  <si>
    <t>sangvis-40003003</t>
  </si>
  <si>
    <t>sangvis-30003003</t>
  </si>
  <si>
    <t>901524,901525</t>
  </si>
  <si>
    <t>sangvis-10003004</t>
  </si>
  <si>
    <t>sangvis-40003004</t>
  </si>
  <si>
    <t>sangvis-30003004</t>
  </si>
  <si>
    <t>sangvis-10003009</t>
  </si>
  <si>
    <t>sangvis-40003009</t>
  </si>
  <si>
    <t>sangvis-30003009</t>
  </si>
  <si>
    <t>sangvis-10003008</t>
  </si>
  <si>
    <t>sangvis-40003008</t>
  </si>
  <si>
    <t>sangvis-30003008</t>
  </si>
  <si>
    <t>901574,900576</t>
  </si>
  <si>
    <t>sangvis-10003001</t>
  </si>
  <si>
    <t>sangvis-40003001</t>
  </si>
  <si>
    <t>sangvis-30003001</t>
  </si>
  <si>
    <t>600502,600504</t>
  </si>
  <si>
    <t>sangvis-10003007</t>
  </si>
  <si>
    <t>sangvis-40003007</t>
  </si>
  <si>
    <t>sangvis-30003007</t>
  </si>
  <si>
    <t>sangvis-10003005</t>
  </si>
  <si>
    <t>sangvis-40003005</t>
  </si>
  <si>
    <t>sangvis-30003005</t>
  </si>
  <si>
    <t>901570</t>
  </si>
  <si>
    <t>sangvis-10003002</t>
  </si>
  <si>
    <t>sangvis-40003002</t>
  </si>
  <si>
    <t>sangvis-30003002</t>
  </si>
  <si>
    <t>unlock_num</t>
  </si>
  <si>
    <t>cost_reduce</t>
  </si>
  <si>
    <t>4:2,6;4,9</t>
  </si>
  <si>
    <t>4:2,10;4,15</t>
  </si>
  <si>
    <t>0:1,6;5,6|5:3,10;4,10</t>
  </si>
  <si>
    <t>0:2,3;3,3|5:3,8;4,8|6:1,6;3,8</t>
  </si>
  <si>
    <t>0:1,6;3,6;4,6;5,6</t>
  </si>
  <si>
    <t>1:1,6;8,6|3:1,6;3,9</t>
  </si>
  <si>
    <t>0:3,8;4,8|3:1,8;3,8</t>
  </si>
  <si>
    <t>0:4,6;5,6|2:1,5;3,5</t>
  </si>
  <si>
    <t>3:2,9;3,9|5:1,9;4,9</t>
  </si>
  <si>
    <t>3:2,15;3,15|5:1,15;4,15</t>
  </si>
  <si>
    <t>0:3,9;4,9|6:1,6;5,6</t>
  </si>
  <si>
    <t>0:1,10|4:3,6;5,6|5:4,6;8,6</t>
  </si>
  <si>
    <t>0:1,6;2,6;5,6;8,6</t>
  </si>
  <si>
    <t>0:1,10;3,10;4,10</t>
  </si>
  <si>
    <t>0:2,12|4:1,6;3,6</t>
  </si>
  <si>
    <t>4:1,8;3,8|5:4,8;5,8</t>
  </si>
  <si>
    <t>3:1,10;3,10;4,10</t>
  </si>
  <si>
    <t>0:4,6;8,6|3:1,10</t>
  </si>
  <si>
    <t>gun-10000350</t>
  </si>
  <si>
    <t>FO12</t>
  </si>
  <si>
    <t>gun-40000350</t>
  </si>
  <si>
    <t>gun-50000350</t>
  </si>
  <si>
    <t>gun-60000350</t>
  </si>
  <si>
    <t>300202,750193,750149,750152,750153,750154,750155,750156,750158,750159,750160,750161,750162,750163,750164,750165,750166,750167</t>
  </si>
  <si>
    <t>750150</t>
  </si>
  <si>
    <t>5</t>
  </si>
  <si>
    <t>1,10;5,30</t>
  </si>
  <si>
    <t>2021-11-18 00:00:00</t>
  </si>
  <si>
    <t>2</t>
  </si>
  <si>
    <t>nation_US</t>
  </si>
  <si>
    <t>gun-10000351</t>
  </si>
  <si>
    <t>M26-MASS</t>
  </si>
  <si>
    <t>M26MASS</t>
  </si>
  <si>
    <t>gun-40000351</t>
  </si>
  <si>
    <t>gun-50000351</t>
  </si>
  <si>
    <t>gun-60000351</t>
  </si>
  <si>
    <t>750142,750143,750144,750145,750146,300202,300203</t>
  </si>
  <si>
    <t>2,3,4</t>
  </si>
  <si>
    <t>1,15;3,10</t>
  </si>
  <si>
    <t>gun-10000352</t>
  </si>
  <si>
    <t>Nova</t>
  </si>
  <si>
    <t>gun-40000352</t>
  </si>
  <si>
    <t>gun-50000352</t>
  </si>
  <si>
    <t>gun-60000352</t>
  </si>
  <si>
    <t>300202,300203,750189,750192</t>
  </si>
  <si>
    <t>750190,750191</t>
  </si>
  <si>
    <t>7,12,17,8,18,9,14,19</t>
  </si>
  <si>
    <t>1,10;8,10</t>
  </si>
  <si>
    <t>nation_Italy</t>
  </si>
  <si>
    <t>8,12,14,18</t>
  </si>
  <si>
    <t>1,12;3,25</t>
  </si>
  <si>
    <t>1;4,13,16,18</t>
  </si>
  <si>
    <t>10:20,45:200;10:40,45:1000;10:60,45:2000</t>
  </si>
  <si>
    <t>2,10;3,25</t>
  </si>
  <si>
    <t>10:10,45:200;10:20,45:600;10:30,45:1200</t>
  </si>
  <si>
    <t>68</t>
  </si>
  <si>
    <t>12,14,17,19</t>
  </si>
  <si>
    <t>1,10;4,10</t>
  </si>
  <si>
    <t>12,24</t>
  </si>
  <si>
    <t>7,8,19,12,14,18</t>
  </si>
  <si>
    <t>1,15;5,10</t>
  </si>
  <si>
    <t>2018-08-16 00:00:00</t>
  </si>
  <si>
    <t>411</t>
  </si>
  <si>
    <t>8,12,14</t>
  </si>
  <si>
    <t>1,16;5,8</t>
  </si>
  <si>
    <t>6,25,54,58,70,73</t>
  </si>
  <si>
    <t>nation_Russia</t>
  </si>
  <si>
    <t>702031,999999,756164</t>
  </si>
  <si>
    <t>57</t>
  </si>
  <si>
    <t>1,6;2,12</t>
  </si>
  <si>
    <t>3;10,20</t>
  </si>
  <si>
    <t>1</t>
  </si>
  <si>
    <t>7,8,9,18</t>
  </si>
  <si>
    <t>1,10;2,6</t>
  </si>
  <si>
    <t>10:15,45:200;10:30,45:800;10:45,45:1600</t>
  </si>
  <si>
    <t>14,37,48</t>
  </si>
  <si>
    <t>2,7;3,28</t>
  </si>
  <si>
    <t>12,55</t>
  </si>
  <si>
    <t>nation_German</t>
  </si>
  <si>
    <t>999999,756161</t>
  </si>
  <si>
    <t>2,16;5,8</t>
  </si>
  <si>
    <t>30,71</t>
  </si>
  <si>
    <t>12,14,18</t>
  </si>
  <si>
    <t>1,7;3,35</t>
  </si>
  <si>
    <t>27,55</t>
  </si>
  <si>
    <t>7,9,18</t>
  </si>
  <si>
    <t>3,32;4,15</t>
  </si>
  <si>
    <t>55,57,67</t>
  </si>
  <si>
    <t>200427,702031,999999,756161</t>
  </si>
  <si>
    <t>7,8,9,12,14,17,18,19</t>
  </si>
  <si>
    <t>3,25;4,20</t>
  </si>
  <si>
    <t>37,38,48,53</t>
  </si>
  <si>
    <t>nation_China</t>
  </si>
  <si>
    <t>7,9,17,19</t>
  </si>
  <si>
    <t>2,10;4,10</t>
  </si>
  <si>
    <t>5,31</t>
  </si>
  <si>
    <t>7,9,17,18,19</t>
  </si>
  <si>
    <t>8,9</t>
  </si>
  <si>
    <t>29,46</t>
  </si>
  <si>
    <t>4</t>
  </si>
  <si>
    <t>1,12;4,15</t>
  </si>
  <si>
    <t>19,34,41,50</t>
  </si>
  <si>
    <t>8</t>
  </si>
  <si>
    <t>3,40;4,30</t>
  </si>
  <si>
    <t>7,8,9</t>
  </si>
  <si>
    <t>1,12</t>
  </si>
  <si>
    <t>1,3,2</t>
  </si>
  <si>
    <t>33,52</t>
  </si>
  <si>
    <t>1,10;4,12</t>
  </si>
  <si>
    <t>10,11</t>
  </si>
  <si>
    <t>29</t>
  </si>
  <si>
    <t>2,25</t>
  </si>
  <si>
    <t>9,10,18,23,35,69</t>
  </si>
  <si>
    <t>1,10;2,5</t>
  </si>
  <si>
    <t>7,50,54,69</t>
  </si>
  <si>
    <t>30,50,54</t>
  </si>
  <si>
    <t>1,8;4,20</t>
  </si>
  <si>
    <t>2016-12-15 00:00:00</t>
  </si>
  <si>
    <t>1,10;3,25</t>
  </si>
  <si>
    <t>12</t>
  </si>
  <si>
    <t>7,27,55</t>
  </si>
  <si>
    <t>3,40;5,20</t>
  </si>
  <si>
    <t>6,18,58,70</t>
  </si>
  <si>
    <t>900156,702031,999999,756175,756160</t>
  </si>
  <si>
    <t>2,15;3,50</t>
  </si>
  <si>
    <t>30,52</t>
  </si>
  <si>
    <t>2,15;3,25</t>
  </si>
  <si>
    <t>2018-02-08 00:00:00</t>
  </si>
  <si>
    <t>403,2</t>
  </si>
  <si>
    <t>2,28</t>
  </si>
  <si>
    <t>3,10;4,30</t>
  </si>
  <si>
    <t>31,47,48,68</t>
  </si>
  <si>
    <t>1,5;2,10</t>
  </si>
  <si>
    <t>1,18</t>
  </si>
  <si>
    <t>3,8</t>
  </si>
  <si>
    <t>6,12</t>
  </si>
  <si>
    <t>26,45,64</t>
  </si>
  <si>
    <t>2016-10-28 00:00:00</t>
  </si>
  <si>
    <t>18,19</t>
  </si>
  <si>
    <t>45,57</t>
  </si>
  <si>
    <t>19</t>
  </si>
  <si>
    <t>6,15</t>
  </si>
  <si>
    <t>3,26,66</t>
  </si>
  <si>
    <t>17,19</t>
  </si>
  <si>
    <t>1;1,2,3,13,18</t>
  </si>
  <si>
    <t>31,45,67</t>
  </si>
  <si>
    <t>14,15</t>
  </si>
  <si>
    <t>11,45,68</t>
  </si>
  <si>
    <t>3;15,20</t>
  </si>
  <si>
    <t>8,50,54,68</t>
  </si>
  <si>
    <t>12,50</t>
  </si>
  <si>
    <t>2016-08-31 00:00:00</t>
  </si>
  <si>
    <t>50,57,59</t>
  </si>
  <si>
    <t>37</t>
  </si>
  <si>
    <t>6,18</t>
  </si>
  <si>
    <t>27,35,41,55,66</t>
  </si>
  <si>
    <t>22,23,55</t>
  </si>
  <si>
    <t>2016-08-21 00:00:00</t>
  </si>
  <si>
    <t>101</t>
  </si>
  <si>
    <t>53,75</t>
  </si>
  <si>
    <t>14,17,35,79</t>
  </si>
  <si>
    <t>3,49,64</t>
  </si>
  <si>
    <t>nation_Belgium</t>
  </si>
  <si>
    <t>13,20</t>
  </si>
  <si>
    <t>10:25,45:200,51:2;10:50,45:1200,51:3;10:75,45:2400,51:5</t>
  </si>
  <si>
    <t>60</t>
  </si>
  <si>
    <t>3;9,10,11,20</t>
  </si>
  <si>
    <t>6</t>
  </si>
  <si>
    <t>50,84</t>
  </si>
  <si>
    <t>team_ar</t>
  </si>
  <si>
    <t>12,14,17,18,19</t>
  </si>
  <si>
    <t>1,18;5,30</t>
  </si>
  <si>
    <t>69,84</t>
  </si>
  <si>
    <t>17,18,19</t>
  </si>
  <si>
    <t>3,50;4,12</t>
  </si>
  <si>
    <t>1;1,2,3,4,13,16,18</t>
  </si>
  <si>
    <t>2,10;4,12</t>
  </si>
  <si>
    <t>2;8,19</t>
  </si>
  <si>
    <t>20,84</t>
  </si>
  <si>
    <t>118013,999999</t>
  </si>
  <si>
    <t>4,18</t>
  </si>
  <si>
    <t>22,50,75</t>
  </si>
  <si>
    <t>200418,118013</t>
  </si>
  <si>
    <t>110044,118004</t>
  </si>
  <si>
    <t>1,15;3,25</t>
  </si>
  <si>
    <t>212</t>
  </si>
  <si>
    <t>1,25;2,10</t>
  </si>
  <si>
    <t>9,50,69</t>
  </si>
  <si>
    <t>4,20;3,60</t>
  </si>
  <si>
    <t>3,50;4,15</t>
  </si>
  <si>
    <t>51</t>
  </si>
  <si>
    <t>2,20;3,50</t>
  </si>
  <si>
    <t>26,69</t>
  </si>
  <si>
    <t>17,18</t>
  </si>
  <si>
    <t>1,30;2,10</t>
  </si>
  <si>
    <t>3,27,34,44,73</t>
  </si>
  <si>
    <t>1,40</t>
  </si>
  <si>
    <t>9,10,83,86</t>
  </si>
  <si>
    <t>team_404</t>
  </si>
  <si>
    <t>4,15;5,10</t>
  </si>
  <si>
    <t>5,53</t>
  </si>
  <si>
    <t>1,20;3,50</t>
  </si>
  <si>
    <t>8,17,31,39,47</t>
  </si>
  <si>
    <t>1,25;3,60</t>
  </si>
  <si>
    <t>10,27,56,77</t>
  </si>
  <si>
    <t>999999,756162</t>
  </si>
  <si>
    <t>1,5,49</t>
  </si>
  <si>
    <t>3,50;4,10</t>
  </si>
  <si>
    <t>5,7,31,39,67</t>
  </si>
  <si>
    <t>37,38,78</t>
  </si>
  <si>
    <t>109702,756162</t>
  </si>
  <si>
    <t>12,18,19,14,17</t>
  </si>
  <si>
    <t>1,12;3,20</t>
  </si>
  <si>
    <t>2018-05-16 00:00:00</t>
  </si>
  <si>
    <t>207</t>
  </si>
  <si>
    <t>9,14,46,51</t>
  </si>
  <si>
    <t>1,20;2,10</t>
  </si>
  <si>
    <t>20</t>
  </si>
  <si>
    <t>23</t>
  </si>
  <si>
    <t>1,15;8,10</t>
  </si>
  <si>
    <t>1;1,2,3,16,18</t>
  </si>
  <si>
    <t>3;14,20</t>
  </si>
  <si>
    <t>28,62</t>
  </si>
  <si>
    <t>1,22</t>
  </si>
  <si>
    <t>28</t>
  </si>
  <si>
    <t>21,23</t>
  </si>
  <si>
    <t>1,10;2,8</t>
  </si>
  <si>
    <t>20,27,41,73</t>
  </si>
  <si>
    <t>22,23</t>
  </si>
  <si>
    <t>2,12;3,10</t>
  </si>
  <si>
    <t>16,17</t>
  </si>
  <si>
    <t>300201,300202,999999,756183</t>
  </si>
  <si>
    <t>25</t>
  </si>
  <si>
    <t>3,25;8,10</t>
  </si>
  <si>
    <t>8,11,60</t>
  </si>
  <si>
    <t>1,10;2,10</t>
  </si>
  <si>
    <t>10,38,78</t>
  </si>
  <si>
    <t>23,25</t>
  </si>
  <si>
    <t>2,15</t>
  </si>
  <si>
    <t>30,54</t>
  </si>
  <si>
    <t>22,24</t>
  </si>
  <si>
    <t>2,16</t>
  </si>
  <si>
    <t>2016-06-21 00:00:00</t>
  </si>
  <si>
    <t>102</t>
  </si>
  <si>
    <t>750194,300202,756177,750195</t>
  </si>
  <si>
    <t>750197</t>
  </si>
  <si>
    <t>23,24</t>
  </si>
  <si>
    <t>9,10,14,69</t>
  </si>
  <si>
    <t>39,43,55,57</t>
  </si>
  <si>
    <t>1,20</t>
  </si>
  <si>
    <t>27,43,55,67</t>
  </si>
  <si>
    <t>1,10;3,15</t>
  </si>
  <si>
    <t>11,43,67</t>
  </si>
  <si>
    <t>2,10;3,12</t>
  </si>
  <si>
    <t>17,20,25,27,47</t>
  </si>
  <si>
    <t>2,10;3,20</t>
  </si>
  <si>
    <t>7,8,9,12,14</t>
  </si>
  <si>
    <t>1,14</t>
  </si>
  <si>
    <t>4,20</t>
  </si>
  <si>
    <t>8,11,47</t>
  </si>
  <si>
    <t>2,20</t>
  </si>
  <si>
    <t>53</t>
  </si>
  <si>
    <t>7,9,12,14,18</t>
  </si>
  <si>
    <t>1,15;4,10</t>
  </si>
  <si>
    <t>11,60,81</t>
  </si>
  <si>
    <t>1,236</t>
  </si>
  <si>
    <t>65,77</t>
  </si>
  <si>
    <t>7,9,12,14</t>
  </si>
  <si>
    <t>1,6;3,45</t>
  </si>
  <si>
    <t>2016-08-11 00:00:00</t>
  </si>
  <si>
    <t>3,51</t>
  </si>
  <si>
    <t>7,9,12,14,17,19</t>
  </si>
  <si>
    <t>8,30</t>
  </si>
  <si>
    <t>2,12;3,30</t>
  </si>
  <si>
    <t>83</t>
  </si>
  <si>
    <t>5,500</t>
  </si>
  <si>
    <t>2017-07-27 00:00:00</t>
  </si>
  <si>
    <t>31</t>
  </si>
  <si>
    <t>2016-07-07 00:00:00</t>
  </si>
  <si>
    <t>35,37,83</t>
  </si>
  <si>
    <t>2016-09-14 00:00:00</t>
  </si>
  <si>
    <t>44</t>
  </si>
  <si>
    <t>1,15;2,20</t>
  </si>
  <si>
    <t>900156,756162</t>
  </si>
  <si>
    <t>16,24,36,41,49,51</t>
  </si>
  <si>
    <t>1,20;4,10</t>
  </si>
  <si>
    <t>5,15,49</t>
  </si>
  <si>
    <t>2,25;3,50</t>
  </si>
  <si>
    <t>12,13</t>
  </si>
  <si>
    <t>1,3,2,236</t>
  </si>
  <si>
    <t>19,35,41</t>
  </si>
  <si>
    <t>3,30</t>
  </si>
  <si>
    <t>39,48</t>
  </si>
  <si>
    <t>22,23,24</t>
  </si>
  <si>
    <t>8,20</t>
  </si>
  <si>
    <t>41</t>
  </si>
  <si>
    <t>999999,756173</t>
  </si>
  <si>
    <t>2016-07-21 00:00:00</t>
  </si>
  <si>
    <t>9,17,27,40,47,82</t>
  </si>
  <si>
    <t>702040,756160</t>
  </si>
  <si>
    <t>2,15;3,30</t>
  </si>
  <si>
    <t>31,40,65</t>
  </si>
  <si>
    <t>7,8</t>
  </si>
  <si>
    <t>1,12;4,10</t>
  </si>
  <si>
    <t>2,102</t>
  </si>
  <si>
    <t>9,14</t>
  </si>
  <si>
    <t>756116</t>
  </si>
  <si>
    <t>2,10;4,15</t>
  </si>
  <si>
    <t>12,33,50</t>
  </si>
  <si>
    <t>2,25;3,65</t>
  </si>
  <si>
    <t>41,51</t>
  </si>
  <si>
    <t>1,25;3,50</t>
  </si>
  <si>
    <t>2,18</t>
  </si>
  <si>
    <t>33</t>
  </si>
  <si>
    <t>1,30;4,10</t>
  </si>
  <si>
    <t>10,18,62,83,86</t>
  </si>
  <si>
    <t>2,6;4,18</t>
  </si>
  <si>
    <t>25,77</t>
  </si>
  <si>
    <t>2016-09-21 00:00:00</t>
  </si>
  <si>
    <t>32</t>
  </si>
  <si>
    <t>3,12;8,15</t>
  </si>
  <si>
    <t>2;5,17,19</t>
  </si>
  <si>
    <t>8,12,14,17,18,19</t>
  </si>
  <si>
    <t>1,10;4,15</t>
  </si>
  <si>
    <t>2016-09-29 00:00:00</t>
  </si>
  <si>
    <t>16,23,24,27,53</t>
  </si>
  <si>
    <t>1,2,236</t>
  </si>
  <si>
    <t>41,53,58</t>
  </si>
  <si>
    <t>1,10;4,18</t>
  </si>
  <si>
    <t>3,42,53,66</t>
  </si>
  <si>
    <t>2,10;4,18</t>
  </si>
  <si>
    <t>8,42,53,67,75</t>
  </si>
  <si>
    <t>3,55</t>
  </si>
  <si>
    <t>2016-10-21 00:00:00</t>
  </si>
  <si>
    <t>2016-11-21 00:00:00</t>
  </si>
  <si>
    <t>25,53</t>
  </si>
  <si>
    <t>1,10;2,20</t>
  </si>
  <si>
    <t>2,16;3,75</t>
  </si>
  <si>
    <t>2016-12-21 00:00:00</t>
  </si>
  <si>
    <t>2,18;5,30</t>
  </si>
  <si>
    <t>8,51,59</t>
  </si>
  <si>
    <t>1,24</t>
  </si>
  <si>
    <t>2017-12-07 00:00:00</t>
  </si>
  <si>
    <t>1,35</t>
  </si>
  <si>
    <t>2017-01-21 00:00:00</t>
  </si>
  <si>
    <t>1,8;2,5</t>
  </si>
  <si>
    <t>2017-01-13 00:00:00</t>
  </si>
  <si>
    <t>8,17,18,19</t>
  </si>
  <si>
    <t>3,28;4,18</t>
  </si>
  <si>
    <t>20,21</t>
  </si>
  <si>
    <t>2,14</t>
  </si>
  <si>
    <t>2,15;5,10</t>
  </si>
  <si>
    <t>2017-01-25 00:00:00</t>
  </si>
  <si>
    <t>234</t>
  </si>
  <si>
    <t>16,36,49,51,57,85</t>
  </si>
  <si>
    <t>2,10;3,35</t>
  </si>
  <si>
    <t>40,48,82,84</t>
  </si>
  <si>
    <t>2017-02-21 00:00:00</t>
  </si>
  <si>
    <t>2,101</t>
  </si>
  <si>
    <t>4,31</t>
  </si>
  <si>
    <t>2017-03-21 00:00:00</t>
  </si>
  <si>
    <t>2017-03-09 00:00:00</t>
  </si>
  <si>
    <t>13,46,57</t>
  </si>
  <si>
    <t>2,15;8,10</t>
  </si>
  <si>
    <t>60,65</t>
  </si>
  <si>
    <t>2,15;4,10</t>
  </si>
  <si>
    <t>1,20;3,20</t>
  </si>
  <si>
    <t>239</t>
  </si>
  <si>
    <t>3,50</t>
  </si>
  <si>
    <t>2;7,19</t>
  </si>
  <si>
    <t>2017-04-06 00:00:00</t>
  </si>
  <si>
    <t>1;1,2,3,4,18</t>
  </si>
  <si>
    <t>1,15;3,20</t>
  </si>
  <si>
    <t>52,58</t>
  </si>
  <si>
    <t>300202,300203,756181</t>
  </si>
  <si>
    <t>1,12;3,30</t>
  </si>
  <si>
    <t>3;11,20</t>
  </si>
  <si>
    <t>1,15</t>
  </si>
  <si>
    <t>7</t>
  </si>
  <si>
    <t>300202,300203,300109,756169,756178</t>
  </si>
  <si>
    <t>2017-06-20 00:00:00</t>
  </si>
  <si>
    <t>300202,300203,110023,756169,756181</t>
  </si>
  <si>
    <t>2,3,1</t>
  </si>
  <si>
    <t>1,12;3,10</t>
  </si>
  <si>
    <t>30,33,40</t>
  </si>
  <si>
    <t>21,51</t>
  </si>
  <si>
    <t>1,8;2,10</t>
  </si>
  <si>
    <t>2017-03-30 00:00:00</t>
  </si>
  <si>
    <t>19,34</t>
  </si>
  <si>
    <t>1,16</t>
  </si>
  <si>
    <t>2017-05-21 00:00:00</t>
  </si>
  <si>
    <t>756173</t>
  </si>
  <si>
    <t>12,14,22,24</t>
  </si>
  <si>
    <t>2017-05-04 00:00:00</t>
  </si>
  <si>
    <t>65</t>
  </si>
  <si>
    <t>1,6;2,10</t>
  </si>
  <si>
    <t>1,30</t>
  </si>
  <si>
    <t>2017-04-21 00:00:00</t>
  </si>
  <si>
    <t>56</t>
  </si>
  <si>
    <t>3,30;4,18</t>
  </si>
  <si>
    <t>15,16</t>
  </si>
  <si>
    <t>300108,300201,300202,756180</t>
  </si>
  <si>
    <t>21,22,23</t>
  </si>
  <si>
    <t>2,15;3,12</t>
  </si>
  <si>
    <t>9,10,20,59,75</t>
  </si>
  <si>
    <t>2017-06-21 00:00:00</t>
  </si>
  <si>
    <t>2017-06-01 00:00:00</t>
  </si>
  <si>
    <t>8,11,30,52,81</t>
  </si>
  <si>
    <t>999999,756166,756175</t>
  </si>
  <si>
    <t>2017-07-21 00:00:00</t>
  </si>
  <si>
    <t>403</t>
  </si>
  <si>
    <t>3,40;4,15</t>
  </si>
  <si>
    <t>2,105</t>
  </si>
  <si>
    <t>14,52</t>
  </si>
  <si>
    <t>18,23</t>
  </si>
  <si>
    <t>71</t>
  </si>
  <si>
    <t>55,60</t>
  </si>
  <si>
    <t>16,18</t>
  </si>
  <si>
    <t>1,20;4,12</t>
  </si>
  <si>
    <t>2017-08-17 00:00:00</t>
  </si>
  <si>
    <t>26,40,53</t>
  </si>
  <si>
    <t>2017-08-21 00:00:00</t>
  </si>
  <si>
    <t>12,17</t>
  </si>
  <si>
    <t>1,10;8,15</t>
  </si>
  <si>
    <t>2017-09-21 00:00:00</t>
  </si>
  <si>
    <t>1709,403</t>
  </si>
  <si>
    <t>756186</t>
  </si>
  <si>
    <t>1,15;3,30</t>
  </si>
  <si>
    <t>27,28</t>
  </si>
  <si>
    <t>21,31,64</t>
  </si>
  <si>
    <t>300202,300203,300109,999999,756184</t>
  </si>
  <si>
    <t>1,8;4,8</t>
  </si>
  <si>
    <t>2017-09-28 00:00:00</t>
  </si>
  <si>
    <t>1710,403</t>
  </si>
  <si>
    <t>301,234</t>
  </si>
  <si>
    <t>15,29,53,68,79</t>
  </si>
  <si>
    <t>2017-11-01 00:00:00</t>
  </si>
  <si>
    <t>1711,403</t>
  </si>
  <si>
    <t>2017-10-26 00:00:00</t>
  </si>
  <si>
    <t>1,8;8,12</t>
  </si>
  <si>
    <t>2017-12-21 00:00:00</t>
  </si>
  <si>
    <t>1712,403</t>
  </si>
  <si>
    <t>2,12;4,15</t>
  </si>
  <si>
    <t>11,12</t>
  </si>
  <si>
    <t>35,51</t>
  </si>
  <si>
    <t>24,25</t>
  </si>
  <si>
    <t>28,53</t>
  </si>
  <si>
    <t>29,30</t>
  </si>
  <si>
    <t>2018-01-21 00:00:00</t>
  </si>
  <si>
    <t>756170</t>
  </si>
  <si>
    <t>9</t>
  </si>
  <si>
    <t>756166,756187</t>
  </si>
  <si>
    <t>759010</t>
  </si>
  <si>
    <t>1,20;5,20</t>
  </si>
  <si>
    <t>204,234</t>
  </si>
  <si>
    <t>205</t>
  </si>
  <si>
    <t>17,18,16</t>
  </si>
  <si>
    <t>3,55;4,16</t>
  </si>
  <si>
    <t>team_defy</t>
  </si>
  <si>
    <t>108503,200404,200426,201438,201003,702028,118013</t>
  </si>
  <si>
    <t>20,18,19</t>
  </si>
  <si>
    <t>1,25;2,15</t>
  </si>
  <si>
    <t>29,32</t>
  </si>
  <si>
    <t>204</t>
  </si>
  <si>
    <t>1,15;8,15</t>
  </si>
  <si>
    <t>900156,999999,756169</t>
  </si>
  <si>
    <t>2018-03-21 00:00:00</t>
  </si>
  <si>
    <t>2018-02-21 00:00:00</t>
  </si>
  <si>
    <t>2018-03-08 00:00:00</t>
  </si>
  <si>
    <t>310</t>
  </si>
  <si>
    <t>7,8,9,12,14,18</t>
  </si>
  <si>
    <t>2018-03-22 00:00:00</t>
  </si>
  <si>
    <t>29,37,61</t>
  </si>
  <si>
    <t>1,15;2,5</t>
  </si>
  <si>
    <t>1,2,241</t>
  </si>
  <si>
    <t>39</t>
  </si>
  <si>
    <t>2019-07-11 00:00:00</t>
  </si>
  <si>
    <t>1,25;3,65</t>
  </si>
  <si>
    <t>1,20;4,15</t>
  </si>
  <si>
    <t>30</t>
  </si>
  <si>
    <t>2,12</t>
  </si>
  <si>
    <t>2018-05-21 00:00:00</t>
  </si>
  <si>
    <t>9,10,36,53</t>
  </si>
  <si>
    <t>2018-06-21 00:00:00</t>
  </si>
  <si>
    <t>12,14,7,8,9</t>
  </si>
  <si>
    <t>2018-06-07 00:00:00</t>
  </si>
  <si>
    <t>13,29</t>
  </si>
  <si>
    <t>2018-06-11 00:00:00</t>
  </si>
  <si>
    <t>209</t>
  </si>
  <si>
    <t>1,81</t>
  </si>
  <si>
    <t>999999,756165</t>
  </si>
  <si>
    <t>2018-07-21 00:00:00</t>
  </si>
  <si>
    <t>415</t>
  </si>
  <si>
    <t>1,12;3,35</t>
  </si>
  <si>
    <t>2018-07-12 00:00:00</t>
  </si>
  <si>
    <t>210</t>
  </si>
  <si>
    <t>212,239</t>
  </si>
  <si>
    <t>16,17,18</t>
  </si>
  <si>
    <t>2018-11-29 00:00:00</t>
  </si>
  <si>
    <t>1,18;3,12</t>
  </si>
  <si>
    <t>2018-08-21 00:00:00</t>
  </si>
  <si>
    <t>31,38</t>
  </si>
  <si>
    <t>213</t>
  </si>
  <si>
    <t>999999,756170</t>
  </si>
  <si>
    <t>2018-09-21 00:00:00</t>
  </si>
  <si>
    <t>6,7,8,12</t>
  </si>
  <si>
    <t>2018-09-06 00:00:00</t>
  </si>
  <si>
    <t>6,7,8</t>
  </si>
  <si>
    <t>2018-09-22 00:00:00</t>
  </si>
  <si>
    <t>214</t>
  </si>
  <si>
    <t>53,73</t>
  </si>
  <si>
    <t>1,20;3,55</t>
  </si>
  <si>
    <t>110081,300202,110074,110075,110076,110079,110105,756180</t>
  </si>
  <si>
    <t>23,24,25</t>
  </si>
  <si>
    <t>3,10;8,15</t>
  </si>
  <si>
    <t>9,24,53</t>
  </si>
  <si>
    <t>1,12;4,12</t>
  </si>
  <si>
    <t>2018-10-21 00:00:00</t>
  </si>
  <si>
    <t>1,10;3,10</t>
  </si>
  <si>
    <t>31,32</t>
  </si>
  <si>
    <t>2018-11-21 00:00:00</t>
  </si>
  <si>
    <t>8,9,10,14,19</t>
  </si>
  <si>
    <t>1,18;4,18</t>
  </si>
  <si>
    <t>8,9,12,14,18</t>
  </si>
  <si>
    <t>2019-01-21 00:00:00</t>
  </si>
  <si>
    <t>424</t>
  </si>
  <si>
    <t>49,52</t>
  </si>
  <si>
    <t>8,9,18,19</t>
  </si>
  <si>
    <t>3,18;8,8</t>
  </si>
  <si>
    <t>2018-12-21 00:00:00</t>
  </si>
  <si>
    <t>9,10,14,15,19,20</t>
  </si>
  <si>
    <t>217,234</t>
  </si>
  <si>
    <t>216,239</t>
  </si>
  <si>
    <t>2019-02-21 00:00:00</t>
  </si>
  <si>
    <t>2019-03-21 00:00:00</t>
  </si>
  <si>
    <t>2019-04-29 00:00:00</t>
  </si>
  <si>
    <t>2019-04-21 00:00:00</t>
  </si>
  <si>
    <t>2019-04-11 00:00:00</t>
  </si>
  <si>
    <t>218</t>
  </si>
  <si>
    <t>112006,702040,756173</t>
  </si>
  <si>
    <t>7,8,11,12,17,18</t>
  </si>
  <si>
    <t>15,18,19,20</t>
  </si>
  <si>
    <t>300202,111902,111907,111908,756180</t>
  </si>
  <si>
    <t>18,23,24</t>
  </si>
  <si>
    <t>300202,111708,111710,111704,111705,111706,111707,111711,756177</t>
  </si>
  <si>
    <t>2,12;8,12</t>
  </si>
  <si>
    <t>2019-05-21 00:00:00</t>
  </si>
  <si>
    <t>2019-05-20 00:00:00</t>
  </si>
  <si>
    <t>219</t>
  </si>
  <si>
    <t>2019-06-21 00:00:00</t>
  </si>
  <si>
    <t>2019-07-21 00:00:00</t>
  </si>
  <si>
    <t>1907</t>
  </si>
  <si>
    <t>7,8,17,18</t>
  </si>
  <si>
    <t>1,9;3,30</t>
  </si>
  <si>
    <t>14,17,18,19</t>
  </si>
  <si>
    <t>3,10;8,10</t>
  </si>
  <si>
    <t>2019-08-21 00:00:00</t>
  </si>
  <si>
    <t>1908</t>
  </si>
  <si>
    <t>11,12,17,18,23</t>
  </si>
  <si>
    <t>2019-08-08 00:00:00</t>
  </si>
  <si>
    <t>225,234</t>
  </si>
  <si>
    <t>18,19,20</t>
  </si>
  <si>
    <t>226</t>
  </si>
  <si>
    <t>3,10;8,12</t>
  </si>
  <si>
    <t>225</t>
  </si>
  <si>
    <t>2019-09-21 00:00:00</t>
  </si>
  <si>
    <t>1909</t>
  </si>
  <si>
    <t>1,10;3,20</t>
  </si>
  <si>
    <t>2019-10-21 00:00:00</t>
  </si>
  <si>
    <t>1910</t>
  </si>
  <si>
    <t>2019-11-21 00:00:00</t>
  </si>
  <si>
    <t>1911</t>
  </si>
  <si>
    <t>2019-12-19 00:00:00</t>
  </si>
  <si>
    <t>33,34</t>
  </si>
  <si>
    <t>2019-11-19 00:00:00</t>
  </si>
  <si>
    <t>2,241</t>
  </si>
  <si>
    <t>1,15;3,15</t>
  </si>
  <si>
    <t>2,236</t>
  </si>
  <si>
    <t>999999,756171</t>
  </si>
  <si>
    <t>2019-12-21 00:00:00</t>
  </si>
  <si>
    <t>1912</t>
  </si>
  <si>
    <t>14,15,18,19,23</t>
  </si>
  <si>
    <t>2019-12-26 00:00:00</t>
  </si>
  <si>
    <t>702034,756169</t>
  </si>
  <si>
    <t>2019-12-28 00:00:00</t>
  </si>
  <si>
    <t>227</t>
  </si>
  <si>
    <t>2020-02-06 00:00:00</t>
  </si>
  <si>
    <t>2020-01-21 00:00:00</t>
  </si>
  <si>
    <t>2001,234</t>
  </si>
  <si>
    <t>11,12,17,22,23</t>
  </si>
  <si>
    <t>1,12;8,18</t>
  </si>
  <si>
    <t>2020-01-16 00:00:00</t>
  </si>
  <si>
    <t>900416,702028,118011,118013</t>
  </si>
  <si>
    <t>8,9,10,14,18</t>
  </si>
  <si>
    <t>229</t>
  </si>
  <si>
    <t>1,20;3,25</t>
  </si>
  <si>
    <t>14,15,19,24</t>
  </si>
  <si>
    <t>230,239</t>
  </si>
  <si>
    <t>228,234</t>
  </si>
  <si>
    <t>2020-02-21 00:00:00</t>
  </si>
  <si>
    <t>2002,234</t>
  </si>
  <si>
    <t>300202,300203,999999,756184</t>
  </si>
  <si>
    <t>2020-03-21 00:00:00</t>
  </si>
  <si>
    <t>2003,234</t>
  </si>
  <si>
    <t>2020-04-21 00:00:00</t>
  </si>
  <si>
    <t>2004,234</t>
  </si>
  <si>
    <t>1,18;5,20</t>
  </si>
  <si>
    <t>2020-05-21 00:00:00</t>
  </si>
  <si>
    <t>2005,234</t>
  </si>
  <si>
    <t>8,3,4,14</t>
  </si>
  <si>
    <t>2020-05-07 00:00:00</t>
  </si>
  <si>
    <t>36,37</t>
  </si>
  <si>
    <t>8,18,9,14,19,15</t>
  </si>
  <si>
    <t>2020-04-30 00:00:00</t>
  </si>
  <si>
    <t>8,7</t>
  </si>
  <si>
    <t>115702,115704,118005,118006,118007,118008,118009,118010,118013</t>
  </si>
  <si>
    <t>18,19,23</t>
  </si>
  <si>
    <t>2,15;8,15</t>
  </si>
  <si>
    <t>2020-06-21 00:00:00</t>
  </si>
  <si>
    <t>2006,234</t>
  </si>
  <si>
    <t>19,14,15</t>
  </si>
  <si>
    <t>2020-07-21 00:00:00</t>
  </si>
  <si>
    <t>2007,239</t>
  </si>
  <si>
    <t>7,12,17,8,18</t>
  </si>
  <si>
    <t>2020-07-30 00:00:00</t>
  </si>
  <si>
    <t>1,18;5,25</t>
  </si>
  <si>
    <t>2020-07-23 00:00:00</t>
  </si>
  <si>
    <t>312</t>
  </si>
  <si>
    <t>4,15</t>
  </si>
  <si>
    <t>2020-08-21 00:00:00</t>
  </si>
  <si>
    <t>2008,239</t>
  </si>
  <si>
    <t>116104,116105,116106,116110,116111,756166</t>
  </si>
  <si>
    <t>2020-08-20 00:00:00</t>
  </si>
  <si>
    <t>236,239</t>
  </si>
  <si>
    <t>900862,756171</t>
  </si>
  <si>
    <t>235</t>
  </si>
  <si>
    <t>300202,900868,756177</t>
  </si>
  <si>
    <t>17,22,18</t>
  </si>
  <si>
    <t>2020-09-21 00:00:00</t>
  </si>
  <si>
    <t>2009,239</t>
  </si>
  <si>
    <t>2020-10-21 00:00:00</t>
  </si>
  <si>
    <t>2010,239</t>
  </si>
  <si>
    <t>2020-11-21 00:00:00</t>
  </si>
  <si>
    <t>2011,239</t>
  </si>
  <si>
    <t>2,3,4,7,8,9</t>
  </si>
  <si>
    <t>2020-11-12 00:00:00</t>
  </si>
  <si>
    <t>901065,901067,901068,901069,901064,756181</t>
  </si>
  <si>
    <t>3,4,5,8,10</t>
  </si>
  <si>
    <t>300202,300203,901062,901063,756178</t>
  </si>
  <si>
    <t>2,4,7,8</t>
  </si>
  <si>
    <t>991077,991078,756178</t>
  </si>
  <si>
    <t>2,3,4,8,12,14</t>
  </si>
  <si>
    <t>999999,756175</t>
  </si>
  <si>
    <t>6,11,16,7,12,17,8,18</t>
  </si>
  <si>
    <t>1,20;3,20;5,10</t>
  </si>
  <si>
    <t>2020-12-21 00:00:00</t>
  </si>
  <si>
    <t>2012,239</t>
  </si>
  <si>
    <t>902159,756160,756187</t>
  </si>
  <si>
    <t>7,8,9,12</t>
  </si>
  <si>
    <t>2021-01-07 00:00:00</t>
  </si>
  <si>
    <t>756171</t>
  </si>
  <si>
    <t>902157,756159,756174,756186</t>
  </si>
  <si>
    <t>8,18,14,10,15,20</t>
  </si>
  <si>
    <t>1,18;3,20</t>
  </si>
  <si>
    <t>2021-02-04 00:00:00</t>
  </si>
  <si>
    <t>240</t>
  </si>
  <si>
    <t>12,17,16</t>
  </si>
  <si>
    <t>1,25</t>
  </si>
  <si>
    <t>241</t>
  </si>
  <si>
    <t>14,15,18</t>
  </si>
  <si>
    <t>902316,902317,902318,902319,902320,756165,756174</t>
  </si>
  <si>
    <t>902396,756187</t>
  </si>
  <si>
    <t>2021-03-25 00:00:00</t>
  </si>
  <si>
    <t>18,19,14,20</t>
  </si>
  <si>
    <t>902401,902402,756165</t>
  </si>
  <si>
    <t>18,17</t>
  </si>
  <si>
    <t>23,22</t>
  </si>
  <si>
    <t>1,18;8,12</t>
  </si>
  <si>
    <t>2021-04-22 00:00:00</t>
  </si>
  <si>
    <t>313</t>
  </si>
  <si>
    <t>8,14,10,15</t>
  </si>
  <si>
    <t>1,30;2,-5;4,20</t>
  </si>
  <si>
    <t>2021-08-26 00:00:00</t>
  </si>
  <si>
    <t>247</t>
  </si>
  <si>
    <t>1,-10;4,35</t>
  </si>
  <si>
    <t>245</t>
  </si>
  <si>
    <t>246</t>
  </si>
  <si>
    <t>18,22,23,24</t>
  </si>
  <si>
    <t>8,9,14</t>
  </si>
  <si>
    <t>2021-09-23 00:00:00</t>
  </si>
  <si>
    <t>7,12,17,8,18,11</t>
  </si>
  <si>
    <t>3,50;5,20</t>
  </si>
  <si>
    <t>11,12,17,18</t>
  </si>
  <si>
    <t>12,17,18,14,19</t>
  </si>
  <si>
    <t>2017-06-22 00:00:00</t>
  </si>
  <si>
    <t>collab</t>
  </si>
  <si>
    <t>2017-11-16 00:00:00</t>
  </si>
  <si>
    <t>309</t>
  </si>
  <si>
    <t>14,19</t>
  </si>
  <si>
    <t>307</t>
  </si>
  <si>
    <t>306</t>
  </si>
  <si>
    <t>1,20;2,20</t>
  </si>
  <si>
    <t>308</t>
  </si>
  <si>
    <t>1,20;3,10</t>
  </si>
  <si>
    <t>206</t>
  </si>
  <si>
    <t>2019-06-13 00:00:00</t>
  </si>
  <si>
    <t>221</t>
  </si>
  <si>
    <t>7,12,18,9,14</t>
  </si>
  <si>
    <t>223</t>
  </si>
  <si>
    <t>220</t>
  </si>
  <si>
    <t>8,9,14,15</t>
  </si>
  <si>
    <t>2020-07-20 00:00:00</t>
  </si>
  <si>
    <t>231</t>
  </si>
  <si>
    <t>12,11,16</t>
  </si>
  <si>
    <t>233</t>
  </si>
  <si>
    <t>8,2,3,4</t>
  </si>
  <si>
    <t>232</t>
  </si>
  <si>
    <t>2020-11-26 00:00:00</t>
  </si>
  <si>
    <t>238</t>
  </si>
  <si>
    <t>237</t>
  </si>
  <si>
    <t>1,25;4,20</t>
  </si>
  <si>
    <t>2021-07-22 00:00:00</t>
  </si>
  <si>
    <t>244</t>
  </si>
  <si>
    <t>242</t>
  </si>
  <si>
    <t>243</t>
  </si>
  <si>
    <t>35</t>
  </si>
  <si>
    <t>2,12;3,25</t>
  </si>
  <si>
    <t>1,18;5,10</t>
  </si>
  <si>
    <t>1,8;2,12</t>
  </si>
  <si>
    <t>18,7,8,9</t>
  </si>
  <si>
    <t>1,12;2,6</t>
  </si>
  <si>
    <t>3,40;4,20</t>
  </si>
  <si>
    <t>3,45;5,20</t>
  </si>
  <si>
    <t>3,30;4,40</t>
  </si>
  <si>
    <t>12,14,8</t>
  </si>
  <si>
    <t>1,18;3,15</t>
  </si>
  <si>
    <t>6,20</t>
  </si>
  <si>
    <t>1,20;5,32</t>
  </si>
  <si>
    <t>2,25;3,55</t>
  </si>
  <si>
    <t>1,30;2,15</t>
  </si>
  <si>
    <t>1,45</t>
  </si>
  <si>
    <t>18,12,14</t>
  </si>
  <si>
    <t>3,55;4,15</t>
  </si>
  <si>
    <t>1,18;8,10</t>
  </si>
  <si>
    <t>1,15;2,15</t>
  </si>
  <si>
    <t>2,10;3,15</t>
  </si>
  <si>
    <t>4,20;5,10</t>
  </si>
  <si>
    <t>2,24</t>
  </si>
  <si>
    <t>7,8,9,17,19</t>
  </si>
  <si>
    <t>2,16;3,30</t>
  </si>
  <si>
    <t>1,20;5,30</t>
  </si>
  <si>
    <t>6,7,8,12,18,17</t>
  </si>
  <si>
    <t>1,12;2,10</t>
  </si>
  <si>
    <t>1,35;4,12</t>
  </si>
  <si>
    <t>3,20;8,18</t>
  </si>
  <si>
    <t>1,25;3,15</t>
  </si>
  <si>
    <t>2,15;3,40</t>
  </si>
  <si>
    <t>8,2,3</t>
  </si>
  <si>
    <t>1,10;3,50</t>
  </si>
  <si>
    <t>1,18;3,10</t>
  </si>
  <si>
    <t>1,12;3,40</t>
  </si>
  <si>
    <t>2,3,4,8</t>
  </si>
  <si>
    <t>12,14,9,7</t>
  </si>
  <si>
    <t>3,50;4,20</t>
  </si>
  <si>
    <t>14,19,24,25</t>
  </si>
  <si>
    <t>12,14,18,7,8,9</t>
  </si>
  <si>
    <t>1,6</t>
  </si>
  <si>
    <t>17,18,23</t>
  </si>
  <si>
    <t>1,15;2,10</t>
  </si>
  <si>
    <t>gun-10000353</t>
  </si>
  <si>
    <t>MAG7</t>
  </si>
  <si>
    <t>gun-40000353</t>
  </si>
  <si>
    <t>gun-50000353</t>
  </si>
  <si>
    <t>gun-60000353</t>
  </si>
  <si>
    <t>300202,300203,750169,750170,750171,750173,750174,750176,750187,750186</t>
  </si>
  <si>
    <t>750175,750177,750178,750179,750180,750181,750182,750184,750185</t>
  </si>
  <si>
    <t>3,4,5</t>
  </si>
  <si>
    <t>gun-10000354</t>
  </si>
  <si>
    <t>ZIP22</t>
  </si>
  <si>
    <t>gun-40000354</t>
  </si>
  <si>
    <t>gun-50000354</t>
  </si>
  <si>
    <t>gun-60000354</t>
  </si>
  <si>
    <t>750209</t>
  </si>
  <si>
    <t>750210,750211,750212,750214</t>
  </si>
  <si>
    <t>6,8,7,16,17,18</t>
  </si>
  <si>
    <t>2021-12-16 00:00:00</t>
  </si>
  <si>
    <t>gun-10000355</t>
  </si>
  <si>
    <t>VigneronM2</t>
  </si>
  <si>
    <t>gun-40000355</t>
  </si>
  <si>
    <t>gun-50000355</t>
  </si>
  <si>
    <t>gun-60000355</t>
  </si>
  <si>
    <t>750227</t>
  </si>
  <si>
    <t>gun-10000356</t>
  </si>
  <si>
    <t>A545</t>
  </si>
  <si>
    <t>gun-40000356</t>
  </si>
  <si>
    <t>gun-50000356</t>
  </si>
  <si>
    <t>gun-60000356</t>
  </si>
  <si>
    <t>750203,750204,750205</t>
  </si>
  <si>
    <t>750200,750201,750207</t>
  </si>
  <si>
    <t>ASh127</t>
  </si>
  <si>
    <t>ZiP 22</t>
  </si>
  <si>
    <t>Thunder</t>
  </si>
  <si>
    <t>equip-10000265</t>
  </si>
  <si>
    <t>equip-20000265</t>
  </si>
  <si>
    <t>ITC</t>
  </si>
  <si>
    <t>153</t>
  </si>
  <si>
    <t>equip-30000265</t>
  </si>
  <si>
    <t>pow:600,hit:1000</t>
  </si>
  <si>
    <t>759019</t>
  </si>
  <si>
    <t>equip-10000266</t>
  </si>
  <si>
    <t>equip-20000266</t>
  </si>
  <si>
    <t>B&amp;T</t>
  </si>
  <si>
    <t>equip-30000266</t>
  </si>
  <si>
    <t>dodge:700,critical_percent:1000</t>
  </si>
  <si>
    <t>DR - PPG</t>
  </si>
  <si>
    <t>DR - M4/Grape</t>
  </si>
  <si>
    <t>DR - G11/Grape</t>
  </si>
  <si>
    <t>M Scripts for Updater:</t>
  </si>
  <si>
    <t>弹匣_穿甲弹_N</t>
  </si>
  <si>
    <t>equip-10000021</t>
  </si>
  <si>
    <t>equip-20000021</t>
  </si>
  <si>
    <t>equip-30000021</t>
  </si>
  <si>
    <t>equip-10000022</t>
  </si>
  <si>
    <t>equip-20000022</t>
  </si>
  <si>
    <t>22</t>
  </si>
  <si>
    <t>equip-30000022</t>
  </si>
  <si>
    <t>equip-10000023</t>
  </si>
  <si>
    <t>equip-20000023</t>
  </si>
  <si>
    <t>equip-30000023</t>
  </si>
  <si>
    <t>equip-10000024</t>
  </si>
  <si>
    <t>equip-20000024</t>
  </si>
  <si>
    <t>equip-30000024</t>
  </si>
  <si>
    <t>equip-10000025</t>
  </si>
  <si>
    <t>equip-20000025</t>
  </si>
  <si>
    <t>equip-30000025</t>
  </si>
  <si>
    <t>equip-10000026</t>
  </si>
  <si>
    <t>equip-20000026</t>
  </si>
  <si>
    <t>26</t>
  </si>
  <si>
    <t>equip-30000026</t>
  </si>
  <si>
    <t>equip-10000027</t>
  </si>
  <si>
    <t>equip-20000027</t>
  </si>
  <si>
    <t>equip-30000027</t>
  </si>
  <si>
    <t>equip-10000028</t>
  </si>
  <si>
    <t>equip-20000028</t>
  </si>
  <si>
    <t>equip-30000028</t>
  </si>
  <si>
    <t>equip-10000033</t>
  </si>
  <si>
    <t>equip-20000033</t>
  </si>
  <si>
    <t>equip-30000033</t>
  </si>
  <si>
    <t>equip-10000034</t>
  </si>
  <si>
    <t>equip-20000034</t>
  </si>
  <si>
    <t>34</t>
  </si>
  <si>
    <t>equip-30000034</t>
  </si>
  <si>
    <t>equip-10000035</t>
  </si>
  <si>
    <t>equip-20000035</t>
  </si>
  <si>
    <t>equip-30000035</t>
  </si>
  <si>
    <t>equip-10000036</t>
  </si>
  <si>
    <t>equip-20000036</t>
  </si>
  <si>
    <t>equip-30000036</t>
  </si>
  <si>
    <t>人形装备_防弹插板_N</t>
  </si>
  <si>
    <t>equip-10000045</t>
  </si>
  <si>
    <t>equip-20000045</t>
  </si>
  <si>
    <t>45</t>
  </si>
  <si>
    <t>equip-30000045</t>
  </si>
  <si>
    <t>equip-10000046</t>
  </si>
  <si>
    <t>equip-20000046</t>
  </si>
  <si>
    <t>equip-30000046</t>
  </si>
  <si>
    <t>equip-10000047</t>
  </si>
  <si>
    <t>equip-20000047</t>
  </si>
  <si>
    <t>47</t>
  </si>
  <si>
    <t>equip-30000047</t>
  </si>
  <si>
    <t>equip-10000048</t>
  </si>
  <si>
    <t>equip-20000048</t>
  </si>
  <si>
    <t>equip-30000048</t>
  </si>
  <si>
    <t>equip-10000049</t>
  </si>
  <si>
    <t>equip-20000049</t>
  </si>
  <si>
    <t>配件_红外夜视仪_S</t>
  </si>
  <si>
    <t>equip-30000049</t>
  </si>
  <si>
    <t>equip-10000050</t>
  </si>
  <si>
    <t>equip-20000050</t>
  </si>
  <si>
    <t>120,120</t>
  </si>
  <si>
    <t>弹匣_穿甲弹_S</t>
  </si>
  <si>
    <t>equip-30000050</t>
  </si>
  <si>
    <t>equip-10000051</t>
  </si>
  <si>
    <t>equip-20000051</t>
  </si>
  <si>
    <t>15,25</t>
  </si>
  <si>
    <t>equip-30000051</t>
  </si>
  <si>
    <t>equip-10000052</t>
  </si>
  <si>
    <t>equip-20000052</t>
  </si>
  <si>
    <t>35,50</t>
  </si>
  <si>
    <t>equip-30000052</t>
  </si>
  <si>
    <t>equip-10000053</t>
  </si>
  <si>
    <t>equip-20000053</t>
  </si>
  <si>
    <t>60,75</t>
  </si>
  <si>
    <t>equip-30000053</t>
  </si>
  <si>
    <t>equip-10000054</t>
  </si>
  <si>
    <t>equip-20000054</t>
  </si>
  <si>
    <t>-40,-25</t>
  </si>
  <si>
    <t>85,100</t>
  </si>
  <si>
    <t>equip-30000054</t>
  </si>
  <si>
    <t>equip-10000081</t>
  </si>
  <si>
    <t>equip-20000081</t>
  </si>
  <si>
    <t>人形装备_防弹插板_S</t>
  </si>
  <si>
    <t>equip-30000081</t>
  </si>
  <si>
    <t>equip-10000082</t>
  </si>
  <si>
    <t>equip-20000082</t>
  </si>
  <si>
    <t>弹匣_霰弹_鹿弹_S</t>
  </si>
  <si>
    <t>equip-30000082</t>
  </si>
  <si>
    <t>equip-10000095</t>
  </si>
  <si>
    <t>equip-20000095</t>
  </si>
  <si>
    <t>弹匣_状态弹_空尖弹_S</t>
  </si>
  <si>
    <t>equip-30000095</t>
  </si>
  <si>
    <t>equip-10000096</t>
  </si>
  <si>
    <t>equip-20000096</t>
  </si>
  <si>
    <t>人形装备_伪装披风_N3_S</t>
  </si>
  <si>
    <t>equip-30000096</t>
  </si>
  <si>
    <t>equip-10000097</t>
  </si>
  <si>
    <t>equip-20000097</t>
  </si>
  <si>
    <t>500,500</t>
  </si>
  <si>
    <t>9001,9002,9003,9004,9005,9006,9007,9008,9009,9010,9011</t>
  </si>
  <si>
    <t>equip-30000097</t>
  </si>
  <si>
    <t>equip-10000098</t>
  </si>
  <si>
    <t>equip-20000098</t>
  </si>
  <si>
    <t>equip-30000098</t>
  </si>
  <si>
    <t>equip-10000109</t>
  </si>
  <si>
    <t>equip-20000109</t>
  </si>
  <si>
    <t>配件_光学瞄准镜_S</t>
  </si>
  <si>
    <t>equip-30000109</t>
  </si>
  <si>
    <t>equip-10000110</t>
  </si>
  <si>
    <t>equip-20000110</t>
  </si>
  <si>
    <t>弹匣_高速弹_S</t>
  </si>
  <si>
    <t>equip-30000110</t>
  </si>
  <si>
    <t>equip-10000120</t>
  </si>
  <si>
    <t>equip-20000120</t>
  </si>
  <si>
    <t>配件_ACOG瞄准镜_S</t>
  </si>
  <si>
    <t>equip-30000120</t>
  </si>
  <si>
    <t>equip-10000121</t>
  </si>
  <si>
    <t>equip-20000121</t>
  </si>
  <si>
    <t>人形装备_外骨骼_S</t>
  </si>
  <si>
    <t>equip-30000121</t>
  </si>
  <si>
    <t>759018</t>
  </si>
  <si>
    <t>let
    Source = Json.Document(Web.Contents("https://raw.githubusercontent.com/randomqwerty/GFLData/main/ch/stc/equip.json")),
    #"Converted to Table" = Table.FromList(Source, Splitter.SplitByNothing(), null, null, ExtraValues.Error),
    #"Expanded Column1" = Table.ExpandRecordColumn(#"Converted to Table", "Column1",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"equip_group_id"}, {"id", "name", "description", "rank", "category", "type", "pow", "hit", "dodge", "speed", "rate", "critical_harm_rate", "critical_percent", "armor_piercing", "armor", "shield", "damage_amplify", "damage_reduction", "night_view_percent", "bullet_number_up", "skill_effect_per", "skill_effect", "slow_down_percent", "slow_down_rate", "slow_down_time", "dot_percent", "dot_damage", "dot_time", "retire_mp", "retire_ammo", "retire_mre", "retire_part", "code", "develop_duration", "company", "skill_level_up", "fit_guns", "equip_introduction", "powerup_mp", "powerup_ammo", "powerup_mre", "powerup_part", "exclusive_rate", "bonus_type", "skill", "passive_skill", "max_level", "auto_select_id", "equip_group_id"})
in
    #"Expanded Column1"</t>
  </si>
  <si>
    <t>M870</t>
  </si>
  <si>
    <t>Place this file in the parent directory of the battle sim (i.e., the same directory as GFBattleSimulator.exe).</t>
  </si>
  <si>
    <t>9411321,9411322,9411323,9411324,9411325,9411326,9411327,9411328,9411329</t>
  </si>
  <si>
    <t>To report any errors or provide feedback, contact Randomqwerty#4678 (Discord) or /u/UnironicWeeaboo (Reddit).</t>
  </si>
  <si>
    <t>equip-10000267</t>
  </si>
  <si>
    <t>equip-20000267</t>
  </si>
  <si>
    <t>equip-30000267</t>
  </si>
  <si>
    <t>equip-10000268</t>
  </si>
  <si>
    <t>equip-20000268</t>
  </si>
  <si>
    <t>equip-30000268</t>
  </si>
  <si>
    <t>equip-10000269</t>
  </si>
  <si>
    <t>equip-20000269</t>
  </si>
  <si>
    <t>Insight</t>
  </si>
  <si>
    <t>99</t>
  </si>
  <si>
    <t>equip-30000269</t>
  </si>
  <si>
    <t>equip-10000270</t>
  </si>
  <si>
    <t>equip-20000270</t>
  </si>
  <si>
    <t>CZ</t>
  </si>
  <si>
    <t>166</t>
  </si>
  <si>
    <t>equip-30000270</t>
  </si>
  <si>
    <t>pow:700,hit:700,critical_percent:1000</t>
  </si>
  <si>
    <t>sangvis-10001017</t>
  </si>
  <si>
    <t>Destroyer_Christmas</t>
  </si>
  <si>
    <t>sangvis-40001017</t>
  </si>
  <si>
    <t>sangvis-30001017</t>
  </si>
  <si>
    <t>750277</t>
  </si>
  <si>
    <t>750296,750281,750282,750283,750284</t>
  </si>
  <si>
    <t>750295,750285,750286,750287,750288,750289,750290,750291,750292</t>
  </si>
  <si>
    <t>2:1,10;8,10;|3:2,10;3,15</t>
  </si>
  <si>
    <t>sangvis-10002016</t>
  </si>
  <si>
    <t>Guard_chm</t>
  </si>
  <si>
    <t>sangvis-40002016</t>
  </si>
  <si>
    <t>sangvis-30002016</t>
  </si>
  <si>
    <t>Guard_Christmas</t>
  </si>
  <si>
    <t>1:1,6;8,6|4:3,9;4,9</t>
  </si>
  <si>
    <t>1:1,10;8,10|4:3,15;4,15</t>
  </si>
  <si>
    <t>Cost</t>
  </si>
  <si>
    <t>Sniper5</t>
  </si>
  <si>
    <t>Sniper4</t>
  </si>
  <si>
    <t>Sanvis Info</t>
  </si>
  <si>
    <t>PR - Alch, 2 Golyat, 1 SWAP Dragoon</t>
  </si>
  <si>
    <t>PR - Alch, 2 Golyat, 1 Manti</t>
  </si>
  <si>
    <t>gun-10000357</t>
  </si>
  <si>
    <t>Rhino</t>
  </si>
  <si>
    <t>gun-40000357</t>
  </si>
  <si>
    <t>gun-50000357</t>
  </si>
  <si>
    <t>gun-60000357</t>
  </si>
  <si>
    <t>750267,750268,750269,750273,750349,750350,750351,750352,750353,750354,750355,750356,750357,750358,750359,750360</t>
  </si>
  <si>
    <t>750270,750271,750272,750274,750275</t>
  </si>
  <si>
    <t>12,17,18,8,9,14</t>
  </si>
  <si>
    <t>2022-01-13 00:00:00</t>
  </si>
  <si>
    <t>250</t>
  </si>
  <si>
    <t>gun-10000358</t>
  </si>
  <si>
    <t>PPQ</t>
  </si>
  <si>
    <t>gun-40000358</t>
  </si>
  <si>
    <t>gun-50000358</t>
  </si>
  <si>
    <t>gun-60000358</t>
  </si>
  <si>
    <t>750248,750249,750250,750251</t>
  </si>
  <si>
    <t>12,19,18,8,9,14</t>
  </si>
  <si>
    <t>gun-10000359</t>
  </si>
  <si>
    <t>Sterling</t>
  </si>
  <si>
    <t>gun-40000359</t>
  </si>
  <si>
    <t>gun-50000359</t>
  </si>
  <si>
    <t>gun-60000359</t>
  </si>
  <si>
    <t>900156,119102,119106,119104</t>
  </si>
  <si>
    <t>119105</t>
  </si>
  <si>
    <t>12,8,9,14,7</t>
  </si>
  <si>
    <t>gun-10000360</t>
  </si>
  <si>
    <t>TFQ</t>
  </si>
  <si>
    <t>gun-40000360</t>
  </si>
  <si>
    <t>gun-50000360</t>
  </si>
  <si>
    <t>gun-60000360</t>
  </si>
  <si>
    <t>750243</t>
  </si>
  <si>
    <t>750245</t>
  </si>
  <si>
    <t>18,14</t>
  </si>
  <si>
    <t>249</t>
  </si>
  <si>
    <t>gun-10000361</t>
  </si>
  <si>
    <t>QBZ191</t>
  </si>
  <si>
    <t>gun-40000361</t>
  </si>
  <si>
    <t>gun-50000361</t>
  </si>
  <si>
    <t>gun-60000361</t>
  </si>
  <si>
    <t>119002,119004,119005,119006,119007,119008,119030,119031,119032,119033,119034</t>
  </si>
  <si>
    <t>2,-10;4,35</t>
  </si>
  <si>
    <t>gun-10000362</t>
  </si>
  <si>
    <t>LS26</t>
  </si>
  <si>
    <t>gun-40000362</t>
  </si>
  <si>
    <t>gun-50000362</t>
  </si>
  <si>
    <t>gun-60000362</t>
  </si>
  <si>
    <t>750239,750240,750241,750254</t>
  </si>
  <si>
    <t>750253</t>
  </si>
  <si>
    <t>gun-10020021</t>
  </si>
  <si>
    <t>PPsh41Mod</t>
  </si>
  <si>
    <t>gun-40020021</t>
  </si>
  <si>
    <t>gun-50020021</t>
  </si>
  <si>
    <t>gun-60020021</t>
  </si>
  <si>
    <t>750317,750319,750320,900156</t>
  </si>
  <si>
    <t>750321,750322</t>
  </si>
  <si>
    <t>12,18,14</t>
  </si>
  <si>
    <t>gun-10020205</t>
  </si>
  <si>
    <t>AN94Mod</t>
  </si>
  <si>
    <t>gun-40020205</t>
  </si>
  <si>
    <t>gun-50020205</t>
  </si>
  <si>
    <t>gun-60020205</t>
  </si>
  <si>
    <t>750338,750337,750336,750335,750341,750313</t>
  </si>
  <si>
    <t>3,65;4,25</t>
  </si>
  <si>
    <t>gun-10020216</t>
  </si>
  <si>
    <t>XM8Mod</t>
  </si>
  <si>
    <t>gun-40020216</t>
  </si>
  <si>
    <t>gun-50020216</t>
  </si>
  <si>
    <t>gun-60020216</t>
  </si>
  <si>
    <t>750304</t>
  </si>
  <si>
    <t>750302,750303</t>
  </si>
  <si>
    <t>19,20</t>
  </si>
  <si>
    <t>1,20;4,20</t>
  </si>
  <si>
    <t>gun-10020293</t>
  </si>
  <si>
    <t>AK15Mod</t>
  </si>
  <si>
    <t>gun-40020293</t>
  </si>
  <si>
    <t>gun-50020293</t>
  </si>
  <si>
    <t>gun-60020293</t>
  </si>
  <si>
    <t>900416,702028,118011,118013,750325,750326,750327,750328,750329,750333,750344</t>
  </si>
  <si>
    <t>900423,750331</t>
  </si>
  <si>
    <t>1,30;3,65</t>
  </si>
  <si>
    <t>21,20021</t>
  </si>
  <si>
    <t>equip-10000271</t>
  </si>
  <si>
    <t>equip-20000271</t>
  </si>
  <si>
    <t>equip-30000271</t>
  </si>
  <si>
    <t>equip-10000272</t>
  </si>
  <si>
    <t>equip-20000272</t>
  </si>
  <si>
    <t>equip-30000272</t>
  </si>
  <si>
    <t>equip-10000273</t>
  </si>
  <si>
    <t>equip-20000273</t>
  </si>
  <si>
    <t>216,20216</t>
  </si>
  <si>
    <t>equip-30000273</t>
  </si>
  <si>
    <t>equip-10000274</t>
  </si>
  <si>
    <t>equip-20000274</t>
  </si>
  <si>
    <t>20,24</t>
  </si>
  <si>
    <t>205,20205</t>
  </si>
  <si>
    <t>equip-30000274</t>
  </si>
  <si>
    <t>critical_percent:1000,critical_harm_rate:700</t>
  </si>
  <si>
    <t>equip-10000275</t>
  </si>
  <si>
    <t>equip-20000275</t>
  </si>
  <si>
    <t>293,20293</t>
  </si>
  <si>
    <t>equip-30000275</t>
  </si>
  <si>
    <t>pow:1000,dodge:700,critical_harm_rate:1000</t>
  </si>
  <si>
    <t>PPSh41Mod</t>
  </si>
  <si>
    <t>*21</t>
  </si>
  <si>
    <t>Trap</t>
  </si>
  <si>
    <t>let
    Source = Json.Document(Web.Contents("https://raw.githubusercontent.com/randomqwerty/GFLData/main/ch/stc/gun.json")),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"org_id"}, {"id", "name", "en_name", "code", "introduce", "dialogue", "extra", "en_introduce", "character", "type", "rank", "develop_duration", "baseammo", "basemre", "ammo_add_withnumber", "mre_add_withnumber", "retiremp", "retireammo", "retiremre", "retirepart", "ratio_life", "ratio_pow", "ratio_rate", "ratio_speed", "ratio_hit", "ratio_dodge", "ratio_armor", "armor_piercing", "crit", "special", "eat_ratio", "ratio_range", "skill1", "skill2", "normal_attack", "passive_skill", "dynamic_passive_skill", "effect_grid_center", "effect_guntype", "effect_grid_pos", "effect_grid_effect", "max_equip", "type_equip1", "type_equip2", "type_equip3", "type_equip4", "ai", "is_additional", "launch_time", "obtain_ids", "rank_display", "prize_id", "mindupdate_consume", "explore_tag", "gun_detail_bg", "org_id"})
in
    #"Expanded Column1"</t>
  </si>
  <si>
    <t>PPSh-41</t>
  </si>
  <si>
    <t>Super-Shorty</t>
  </si>
  <si>
    <t>FP-6</t>
  </si>
  <si>
    <t>VSK-94</t>
  </si>
  <si>
    <t>Jashin-chan</t>
  </si>
  <si>
    <t>gun-10009001</t>
  </si>
  <si>
    <t>Cyclops</t>
  </si>
  <si>
    <t>Cyclops_F</t>
  </si>
  <si>
    <t>gun-40009001</t>
  </si>
  <si>
    <t>gun-50009001</t>
  </si>
  <si>
    <t>gun-60009001</t>
  </si>
  <si>
    <t>402604</t>
  </si>
  <si>
    <t>3;9,11</t>
  </si>
  <si>
    <t>3;9,14</t>
  </si>
  <si>
    <t>2030-12-31 23:59:59</t>
  </si>
  <si>
    <t>gun-10009002</t>
  </si>
  <si>
    <t>Cyclops_SG</t>
  </si>
  <si>
    <t>Cyclops_SG_F</t>
  </si>
  <si>
    <t>gun-40009002</t>
  </si>
  <si>
    <t>gun-50009002</t>
  </si>
  <si>
    <t>gun-60009002</t>
  </si>
  <si>
    <t>gun-10009003</t>
  </si>
  <si>
    <t>Cerynitis</t>
  </si>
  <si>
    <t>Cerynitis_F</t>
  </si>
  <si>
    <t>gun-40009003</t>
  </si>
  <si>
    <t>gun-50009003</t>
  </si>
  <si>
    <t>gun-60009003</t>
  </si>
  <si>
    <t>gun-10009004</t>
  </si>
  <si>
    <t>Hydra</t>
  </si>
  <si>
    <t>Hydra_F</t>
  </si>
  <si>
    <t>gun-40009004</t>
  </si>
  <si>
    <t>gun-50009004</t>
  </si>
  <si>
    <t>gun-60009004</t>
  </si>
  <si>
    <t>402602</t>
  </si>
  <si>
    <t>gun-10009005</t>
  </si>
  <si>
    <t>Aegis_GA</t>
  </si>
  <si>
    <t>Aegis_GA_F</t>
  </si>
  <si>
    <t>gun-40009005</t>
  </si>
  <si>
    <t>gun-50009005</t>
  </si>
  <si>
    <t>gun-60009005</t>
  </si>
  <si>
    <t>gun-10009006</t>
  </si>
  <si>
    <t>gun-40009006</t>
  </si>
  <si>
    <t>gun-50009006</t>
  </si>
  <si>
    <t>gun-60009006</t>
  </si>
  <si>
    <t>gun-10009007</t>
  </si>
  <si>
    <t>gun-40009007</t>
  </si>
  <si>
    <t>gun-50009007</t>
  </si>
  <si>
    <t>gun-60009007</t>
  </si>
  <si>
    <t>gun-10009008</t>
  </si>
  <si>
    <t>gun-40009008</t>
  </si>
  <si>
    <t>gun-50009008</t>
  </si>
  <si>
    <t>gun-60009008</t>
  </si>
  <si>
    <t>gun-10009009</t>
  </si>
  <si>
    <t>gun-40009009</t>
  </si>
  <si>
    <t>gun-50009009</t>
  </si>
  <si>
    <t>gun-60009009</t>
  </si>
  <si>
    <t>gun-10009010</t>
  </si>
  <si>
    <t>gun-40009010</t>
  </si>
  <si>
    <t>gun-50009010</t>
  </si>
  <si>
    <t>gun-60009010</t>
  </si>
  <si>
    <t>gun-10009011</t>
  </si>
  <si>
    <t>gun-40009011</t>
  </si>
  <si>
    <t>gun-50009011</t>
  </si>
  <si>
    <t>gun-60009011</t>
  </si>
  <si>
    <t>gun-10009012</t>
  </si>
  <si>
    <t>gun-40009012</t>
  </si>
  <si>
    <t>gun-50009012</t>
  </si>
  <si>
    <t>gun-60009012</t>
  </si>
  <si>
    <t>801202</t>
  </si>
  <si>
    <t>1,20;5,35</t>
  </si>
  <si>
    <t>3;9,10,12</t>
  </si>
  <si>
    <t>gun-10009013</t>
  </si>
  <si>
    <t>gun-40009013</t>
  </si>
  <si>
    <t>gun-50009013</t>
  </si>
  <si>
    <t>gun-60009013</t>
  </si>
  <si>
    <t>700205,700214,700215,700210,700213,700211,700212</t>
  </si>
  <si>
    <t>1;4,13</t>
  </si>
  <si>
    <t>gun-10009014</t>
  </si>
  <si>
    <t>Thunder .50</t>
  </si>
  <si>
    <t>gun-40009014</t>
  </si>
  <si>
    <t>gun-50009014</t>
  </si>
  <si>
    <t>gun-60009014</t>
  </si>
  <si>
    <t>700206,700214,700215,700210,700213,700211,700212</t>
  </si>
  <si>
    <t>gun-10009015</t>
  </si>
  <si>
    <t>gun-40009015</t>
  </si>
  <si>
    <t>gun-50009015</t>
  </si>
  <si>
    <t>gun-60009015</t>
  </si>
  <si>
    <t>700207,700214,700215,700210,700213,700211,700212</t>
  </si>
  <si>
    <t>1;1,2,3</t>
  </si>
  <si>
    <t>gun-10009016</t>
  </si>
  <si>
    <t>gun-40009016</t>
  </si>
  <si>
    <t>gun-50009016</t>
  </si>
  <si>
    <t>gun-60009016</t>
  </si>
  <si>
    <t>700208,700214,700215,700210,700213,700211,700212</t>
  </si>
  <si>
    <t>gun-10009017</t>
  </si>
  <si>
    <t>gun-40009017</t>
  </si>
  <si>
    <t>gun-50009017</t>
  </si>
  <si>
    <t>gun-60009017</t>
  </si>
  <si>
    <t>gun-10009018</t>
  </si>
  <si>
    <t>gun-40009018</t>
  </si>
  <si>
    <t>gun-50009018</t>
  </si>
  <si>
    <t>gun-60009018</t>
  </si>
  <si>
    <t>gun-10009019</t>
  </si>
  <si>
    <t>gun-40009019</t>
  </si>
  <si>
    <t>gun-50009019</t>
  </si>
  <si>
    <t>gun-60009019</t>
  </si>
  <si>
    <t>gun-10009020</t>
  </si>
  <si>
    <t>gun-40009020</t>
  </si>
  <si>
    <t>gun-50009020</t>
  </si>
  <si>
    <t>gun-60009020</t>
  </si>
  <si>
    <t>gun-10009021</t>
  </si>
  <si>
    <t>gun-40009021</t>
  </si>
  <si>
    <t>gun-50009021</t>
  </si>
  <si>
    <t>gun-60009021</t>
  </si>
  <si>
    <t>gun-10009022</t>
  </si>
  <si>
    <t>gun-40009022</t>
  </si>
  <si>
    <t>gun-50009022</t>
  </si>
  <si>
    <t>gun-60009022</t>
  </si>
  <si>
    <t>gun-10009023</t>
  </si>
  <si>
    <t>gun-40009023</t>
  </si>
  <si>
    <t>gun-50009023</t>
  </si>
  <si>
    <t>gun-60009023</t>
  </si>
  <si>
    <t>gun-10009024</t>
  </si>
  <si>
    <t>gun-40009024</t>
  </si>
  <si>
    <t>gun-50009024</t>
  </si>
  <si>
    <t>gun-60009024</t>
  </si>
  <si>
    <t>gun-10009025</t>
  </si>
  <si>
    <t>gun-40009025</t>
  </si>
  <si>
    <t>gun-50009025</t>
  </si>
  <si>
    <t>gun-60009025</t>
  </si>
  <si>
    <t>gun-10009026</t>
  </si>
  <si>
    <t>gun-40009026</t>
  </si>
  <si>
    <t>gun-50009026</t>
  </si>
  <si>
    <t>gun-60009026</t>
  </si>
  <si>
    <t>gun-10009027</t>
  </si>
  <si>
    <t>gun-40009027</t>
  </si>
  <si>
    <t>gun-50009027</t>
  </si>
  <si>
    <t>gun-60009027</t>
  </si>
  <si>
    <t>gun-10009028</t>
  </si>
  <si>
    <t>gun-40009028</t>
  </si>
  <si>
    <t>gun-50009028</t>
  </si>
  <si>
    <t>gun-60009028</t>
  </si>
  <si>
    <t>gun-10009029</t>
  </si>
  <si>
    <t>gun-40009029</t>
  </si>
  <si>
    <t>gun-50009029</t>
  </si>
  <si>
    <t>gun-60009029</t>
  </si>
  <si>
    <t>gun-10009030</t>
  </si>
  <si>
    <t>gun-40009030</t>
  </si>
  <si>
    <t>gun-50009030</t>
  </si>
  <si>
    <t>gun-60009030</t>
  </si>
  <si>
    <t>gun-10009031</t>
  </si>
  <si>
    <t>gun-40009031</t>
  </si>
  <si>
    <t>gun-50009031</t>
  </si>
  <si>
    <t>gun-60009031</t>
  </si>
  <si>
    <t>gun-10009032</t>
  </si>
  <si>
    <t>gun-40009032</t>
  </si>
  <si>
    <t>gun-50009032</t>
  </si>
  <si>
    <t>gun-60009032</t>
  </si>
  <si>
    <t>gun-10009034</t>
  </si>
  <si>
    <t>gun-40009034</t>
  </si>
  <si>
    <t>gun-50009034</t>
  </si>
  <si>
    <t>gun-60009034</t>
  </si>
  <si>
    <t>108503,200404</t>
  </si>
  <si>
    <t>gun-10009035</t>
  </si>
  <si>
    <t>gun-40009035</t>
  </si>
  <si>
    <t>gun-50009035</t>
  </si>
  <si>
    <t>gun-60009035</t>
  </si>
  <si>
    <t>108608,108609,108610,108611</t>
  </si>
  <si>
    <t>gun-10009036</t>
  </si>
  <si>
    <t>M4A1_Motor</t>
  </si>
  <si>
    <t>gun-40009036</t>
  </si>
  <si>
    <t>gun-50009036</t>
  </si>
  <si>
    <t>gun-60009036</t>
  </si>
  <si>
    <t>501098,501104,501115,501119,501093,501109,501114</t>
  </si>
  <si>
    <t>gun-10009037</t>
  </si>
  <si>
    <t>AR15_Motor</t>
  </si>
  <si>
    <t>gun-40009037</t>
  </si>
  <si>
    <t>gun-50009037</t>
  </si>
  <si>
    <t>gun-60009037</t>
  </si>
  <si>
    <t>501100,501105,501094,501111,501116</t>
  </si>
  <si>
    <t>1;1,2,3,4,13,16</t>
  </si>
  <si>
    <t>gun-10009038</t>
  </si>
  <si>
    <t>AK12_Motor</t>
  </si>
  <si>
    <t>gun-40009038</t>
  </si>
  <si>
    <t>gun-50009038</t>
  </si>
  <si>
    <t>gun-60009038</t>
  </si>
  <si>
    <t>501102,501107,501092,501096,501113,501118</t>
  </si>
  <si>
    <t>gun-10009039</t>
  </si>
  <si>
    <t>AN94_Motor</t>
  </si>
  <si>
    <t>gun-40009039</t>
  </si>
  <si>
    <t>gun-50009039</t>
  </si>
  <si>
    <t>gun-60009039</t>
  </si>
  <si>
    <t>501103,501106,501095,501112,501117</t>
  </si>
  <si>
    <t>gun-10009040</t>
  </si>
  <si>
    <t>gun-40009040</t>
  </si>
  <si>
    <t>gun-50009040</t>
  </si>
  <si>
    <t>gun-60009040</t>
  </si>
  <si>
    <t>701006,701005</t>
  </si>
  <si>
    <t>gun-10009041</t>
  </si>
  <si>
    <t>gun-40009041</t>
  </si>
  <si>
    <t>gun-50009041</t>
  </si>
  <si>
    <t>gun-60009041</t>
  </si>
  <si>
    <t>701005</t>
  </si>
  <si>
    <t>gun-10009042</t>
  </si>
  <si>
    <t>gun-40009042</t>
  </si>
  <si>
    <t>gun-50009042</t>
  </si>
  <si>
    <t>gun-60009042</t>
  </si>
  <si>
    <t>gun-10009043</t>
  </si>
  <si>
    <t>gun-40009043</t>
  </si>
  <si>
    <t>gun-50009043</t>
  </si>
  <si>
    <t>gun-60009043</t>
  </si>
  <si>
    <t>gun-10009044</t>
  </si>
  <si>
    <t>M16A1_NPC</t>
  </si>
  <si>
    <t>gun-40009044</t>
  </si>
  <si>
    <t>gun-50009044</t>
  </si>
  <si>
    <t>gun-60009044</t>
  </si>
  <si>
    <t>403415,403416,403417,403418,403419,403420,403405</t>
  </si>
  <si>
    <t>3;9,10,11</t>
  </si>
  <si>
    <t>gun-10009045</t>
  </si>
  <si>
    <t>Carina</t>
  </si>
  <si>
    <t>Tank_R_Ally</t>
  </si>
  <si>
    <t>gun-40009045</t>
  </si>
  <si>
    <t>gun-50009045</t>
  </si>
  <si>
    <t>gun-60009045</t>
  </si>
  <si>
    <t>gun-10009046</t>
  </si>
  <si>
    <t xml:space="preserve">Vela </t>
  </si>
  <si>
    <t>Tank_M_Ally</t>
  </si>
  <si>
    <t>gun-40009046</t>
  </si>
  <si>
    <t>gun-50009046</t>
  </si>
  <si>
    <t>gun-60009046</t>
  </si>
  <si>
    <t>gun-10009047</t>
  </si>
  <si>
    <t>Puppis</t>
  </si>
  <si>
    <t>Tank_L_Ally</t>
  </si>
  <si>
    <t>gun-40009047</t>
  </si>
  <si>
    <t>gun-50009047</t>
  </si>
  <si>
    <t>gun-60009047</t>
  </si>
  <si>
    <t>gun-10009048</t>
  </si>
  <si>
    <t>M4A1Mod_Ogas</t>
  </si>
  <si>
    <t>gun-40009048</t>
  </si>
  <si>
    <t>gun-50009048</t>
  </si>
  <si>
    <t>gun-60009048</t>
  </si>
  <si>
    <t>990101,405402,405403,405404,405405,405409,405410,405411,405412,405413</t>
  </si>
  <si>
    <t>gun-10009049</t>
  </si>
  <si>
    <t>Scarecrow_Ally</t>
  </si>
  <si>
    <t>gun-40009049</t>
  </si>
  <si>
    <t>gun-50009049</t>
  </si>
  <si>
    <t>gun-60009049</t>
  </si>
  <si>
    <t>900511,900512,900513,900514,900517</t>
  </si>
  <si>
    <t>gun-10009050</t>
  </si>
  <si>
    <t>Excutioner_Griffin</t>
  </si>
  <si>
    <t>gun-40009050</t>
  </si>
  <si>
    <t>gun-50009050</t>
  </si>
  <si>
    <t>gun-60009050</t>
  </si>
  <si>
    <t>gun-10009051</t>
  </si>
  <si>
    <t>Boss9_Ally</t>
  </si>
  <si>
    <t>gun-40009051</t>
  </si>
  <si>
    <t>gun-50009051</t>
  </si>
  <si>
    <t>gun-60009051</t>
  </si>
  <si>
    <t>gun-10009052</t>
  </si>
  <si>
    <t>Hunter_Ally</t>
  </si>
  <si>
    <t>gun-40009052</t>
  </si>
  <si>
    <t>gun-50009052</t>
  </si>
  <si>
    <t>gun-60009052</t>
  </si>
  <si>
    <t>gun-10009053</t>
  </si>
  <si>
    <t>gun-40009053</t>
  </si>
  <si>
    <t>gun-50009053</t>
  </si>
  <si>
    <t>gun-60009053</t>
  </si>
  <si>
    <t>200412,801107,200403,201435,201001,202001,702016</t>
  </si>
  <si>
    <t>gun-10009054</t>
  </si>
  <si>
    <t>Scarecrow_shadow</t>
  </si>
  <si>
    <t>gun-40009054</t>
  </si>
  <si>
    <t>gun-50009054</t>
  </si>
  <si>
    <t>gun-60009054</t>
  </si>
  <si>
    <t>gun-10009055</t>
  </si>
  <si>
    <t>HostageCommander</t>
  </si>
  <si>
    <t>gun-40009055</t>
  </si>
  <si>
    <t>gun-50009055</t>
  </si>
  <si>
    <t>gun-60009055</t>
  </si>
  <si>
    <t>gun-10009056</t>
  </si>
  <si>
    <t>gun-40009056</t>
  </si>
  <si>
    <t>gun-50009056</t>
  </si>
  <si>
    <t>gun-60009056</t>
  </si>
  <si>
    <t>406610,406801,406804,406805,406806,406807,406808,406809,406810,406811,406812,406813,406814,406815,406816,406817,406818,406819,406820,406821,406822,406823,406824,406825,406826,406827,406828,406829,406830,406831,406832,406833,406834</t>
  </si>
  <si>
    <t>3;9,15,12</t>
  </si>
  <si>
    <t>gun-10009057</t>
  </si>
  <si>
    <t>gun-40009057</t>
  </si>
  <si>
    <t>gun-50009057</t>
  </si>
  <si>
    <t>gun-60009057</t>
  </si>
  <si>
    <t>406613,406801,406804,406805,406806,406807,406808,406809,406810,406811,406812,406813,406814,406815,406816,406817,406818,406819,406820,406821,406822,406823,406824,406825,406826,406827,406828,406829,406830,406831,406832,406833,406842</t>
  </si>
  <si>
    <t>gun-10009058</t>
  </si>
  <si>
    <t>gun-40009058</t>
  </si>
  <si>
    <t>gun-50009058</t>
  </si>
  <si>
    <t>gun-60009058</t>
  </si>
  <si>
    <t>gun-10009059</t>
  </si>
  <si>
    <t>gun-40009059</t>
  </si>
  <si>
    <t>gun-50009059</t>
  </si>
  <si>
    <t>gun-60009059</t>
  </si>
  <si>
    <t>gun-10009060</t>
  </si>
  <si>
    <t>Ange_Jump</t>
  </si>
  <si>
    <t>gun-40009060</t>
  </si>
  <si>
    <t>gun-50009060</t>
  </si>
  <si>
    <t>gun-60009060</t>
  </si>
  <si>
    <t>406902,406903,406909,406910,406912,406913,406914,406915,406916,406917,406907,406904,406905,406906,406901</t>
  </si>
  <si>
    <t>gun-10009061</t>
  </si>
  <si>
    <t>refugee_hg</t>
  </si>
  <si>
    <t>gun-40009061</t>
  </si>
  <si>
    <t>gun-50009061</t>
  </si>
  <si>
    <t>gun-60009061</t>
  </si>
  <si>
    <t>gun-10009062</t>
  </si>
  <si>
    <t>refugee_smg</t>
  </si>
  <si>
    <t>gun-40009062</t>
  </si>
  <si>
    <t>gun-50009062</t>
  </si>
  <si>
    <t>gun-60009062</t>
  </si>
  <si>
    <t>gun-10009063</t>
  </si>
  <si>
    <t>Ange_Suit</t>
  </si>
  <si>
    <t>gun-40009063</t>
  </si>
  <si>
    <t>gun-50009063</t>
  </si>
  <si>
    <t>gun-60009063</t>
  </si>
  <si>
    <t>900945,900946,900947</t>
  </si>
  <si>
    <t>gun-10009064</t>
  </si>
  <si>
    <t>gun-40009064</t>
  </si>
  <si>
    <t>gun-50009064</t>
  </si>
  <si>
    <t>gun-60009064</t>
  </si>
  <si>
    <t>902001,901080,901082,901091,901094,901097,902100,902106,902107,901083</t>
  </si>
  <si>
    <t>gun-10009065</t>
  </si>
  <si>
    <t>gun-40009065</t>
  </si>
  <si>
    <t>gun-50009065</t>
  </si>
  <si>
    <t>gun-60009065</t>
  </si>
  <si>
    <t>902001,901081,901082,901091,901094,901097,902100,902108,902109,902116,902117,901084</t>
  </si>
  <si>
    <t>gun-10009066</t>
  </si>
  <si>
    <t>Mahelian</t>
  </si>
  <si>
    <t>gun-40009066</t>
  </si>
  <si>
    <t>gun-50009066</t>
  </si>
  <si>
    <t>gun-60009066</t>
  </si>
  <si>
    <t>gun-10009067</t>
  </si>
  <si>
    <t>Rogue_D</t>
  </si>
  <si>
    <t>gun-40009067</t>
  </si>
  <si>
    <t>gun-50009067</t>
  </si>
  <si>
    <t>gun-60009067</t>
  </si>
  <si>
    <t>gun-10009068</t>
  </si>
  <si>
    <t>gun-40009068</t>
  </si>
  <si>
    <t>gun-50009068</t>
  </si>
  <si>
    <t>gun-60009068</t>
  </si>
  <si>
    <t>903100,903201,903301,903102,903103,903104,903105,903106,903202,903302,903107</t>
  </si>
  <si>
    <t>gun-10009069</t>
  </si>
  <si>
    <t>Dandelion_Gri</t>
  </si>
  <si>
    <t>gun-40009069</t>
  </si>
  <si>
    <t>gun-50009069</t>
  </si>
  <si>
    <t>gun-60009069</t>
  </si>
  <si>
    <t>gun-10009070</t>
  </si>
  <si>
    <t>gun-40009070</t>
  </si>
  <si>
    <t>gun-50009070</t>
  </si>
  <si>
    <t>gun-60009070</t>
  </si>
  <si>
    <t>117001,117002,117003,117004,117005,117006</t>
  </si>
  <si>
    <t>gun-10009071</t>
  </si>
  <si>
    <t>NPC_Kevin</t>
  </si>
  <si>
    <t>gun-40009071</t>
  </si>
  <si>
    <t>gun-50009071</t>
  </si>
  <si>
    <t>gun-60009071</t>
  </si>
  <si>
    <t>gun-10009072</t>
  </si>
  <si>
    <t>Jason</t>
  </si>
  <si>
    <t>gun-40009072</t>
  </si>
  <si>
    <t>gun-50009072</t>
  </si>
  <si>
    <t>gun-60009072</t>
  </si>
  <si>
    <t>gun-10009073</t>
  </si>
  <si>
    <t>NPC_Kryuger</t>
  </si>
  <si>
    <t>gun-40009073</t>
  </si>
  <si>
    <t>gun-50009073</t>
  </si>
  <si>
    <t>gun-60009073</t>
  </si>
  <si>
    <t>gun-10009074</t>
  </si>
  <si>
    <t>Kryuger_2021summer</t>
  </si>
  <si>
    <t>gun-40009074</t>
  </si>
  <si>
    <t>gun-50009074</t>
  </si>
  <si>
    <t>gun-60009074</t>
  </si>
  <si>
    <t>gun-10009075</t>
  </si>
  <si>
    <t>Helianthus</t>
  </si>
  <si>
    <t>gun-40009075</t>
  </si>
  <si>
    <t>gun-50009075</t>
  </si>
  <si>
    <t>gun-60009075</t>
  </si>
  <si>
    <t>gun-10009076</t>
  </si>
  <si>
    <t>NPC_Persica</t>
  </si>
  <si>
    <t>gun-40009076</t>
  </si>
  <si>
    <t>gun-50009076</t>
  </si>
  <si>
    <t>gun-60009076</t>
  </si>
  <si>
    <t>gun-10009077</t>
  </si>
  <si>
    <t>Plaincloth_Ally</t>
  </si>
  <si>
    <t>gun-40009077</t>
  </si>
  <si>
    <t>gun-50009077</t>
  </si>
  <si>
    <t>gun-60009077</t>
  </si>
  <si>
    <t>gun-10009078</t>
  </si>
  <si>
    <t>Nele</t>
  </si>
  <si>
    <t>gun-40009078</t>
  </si>
  <si>
    <t>gun-50009078</t>
  </si>
  <si>
    <t>gun-60009078</t>
  </si>
  <si>
    <t>gun-10009079</t>
  </si>
  <si>
    <t>Dandelion_M4</t>
  </si>
  <si>
    <t>gun-40009079</t>
  </si>
  <si>
    <t>gun-50009079</t>
  </si>
  <si>
    <t>gun-60009079</t>
  </si>
  <si>
    <t>117601,117602,117603,117604,117606,117619,117621,117624,117634,117635,117637,117638,117636</t>
  </si>
  <si>
    <t>gun-10009080</t>
  </si>
  <si>
    <t>gun-40009080</t>
  </si>
  <si>
    <t>gun-50009080</t>
  </si>
  <si>
    <t>gun-60009080</t>
  </si>
  <si>
    <t>gun-10009081</t>
  </si>
  <si>
    <t>Dana_Car</t>
  </si>
  <si>
    <t>gun-40009081</t>
  </si>
  <si>
    <t>gun-50009081</t>
  </si>
  <si>
    <t>gun-60009081</t>
  </si>
  <si>
    <t>721006,701005</t>
  </si>
  <si>
    <t>gun-10009082</t>
  </si>
  <si>
    <t>gun-40009082</t>
  </si>
  <si>
    <t>gun-50009082</t>
  </si>
  <si>
    <t>gun-60009082</t>
  </si>
  <si>
    <t>gun-10009083</t>
  </si>
  <si>
    <t>gun-40009083</t>
  </si>
  <si>
    <t>gun-50009083</t>
  </si>
  <si>
    <t>gun-60009083</t>
  </si>
  <si>
    <t>gun-10009084</t>
  </si>
  <si>
    <t>gun-40009084</t>
  </si>
  <si>
    <t>gun-50009084</t>
  </si>
  <si>
    <t>gun-60009084</t>
  </si>
  <si>
    <t>gun-10009085</t>
  </si>
  <si>
    <t>gun-40009085</t>
  </si>
  <si>
    <t>gun-50009085</t>
  </si>
  <si>
    <t>gun-60009085</t>
  </si>
  <si>
    <t>gun-10009086</t>
  </si>
  <si>
    <t>TOW_Ally</t>
  </si>
  <si>
    <t>gun-40009086</t>
  </si>
  <si>
    <t>gun-50009086</t>
  </si>
  <si>
    <t>gun-60009086</t>
  </si>
  <si>
    <t>gun-10009087</t>
  </si>
  <si>
    <t>PP93_Ally</t>
  </si>
  <si>
    <t>gun-40009087</t>
  </si>
  <si>
    <t>gun-50009087</t>
  </si>
  <si>
    <t>gun-60009087</t>
  </si>
  <si>
    <t>gun-10009088</t>
  </si>
  <si>
    <t>QLZ04_Ally</t>
  </si>
  <si>
    <t>gun-40009088</t>
  </si>
  <si>
    <t>gun-50009088</t>
  </si>
  <si>
    <t>gun-60009088</t>
  </si>
  <si>
    <t>gun-10009089</t>
  </si>
  <si>
    <t>empty</t>
  </si>
  <si>
    <t>gun-40009089</t>
  </si>
  <si>
    <t>gun-50009089</t>
  </si>
  <si>
    <t>gun-60009089</t>
  </si>
  <si>
    <t>118301,118304,118302,118309</t>
  </si>
  <si>
    <t>gun-10009090</t>
  </si>
  <si>
    <t>gun-40009090</t>
  </si>
  <si>
    <t>gun-50009090</t>
  </si>
  <si>
    <t>gun-60009090</t>
  </si>
  <si>
    <t>118115,118117,118123,118124,118121,118122,118125,118205,118126,118159,118160,118171</t>
  </si>
  <si>
    <t>1,0;4,0</t>
  </si>
  <si>
    <t>gun-10009091</t>
  </si>
  <si>
    <t>gun-40009091</t>
  </si>
  <si>
    <t>gun-50009091</t>
  </si>
  <si>
    <t>gun-60009091</t>
  </si>
  <si>
    <t>118130,118131,118127,118228,118144,118145,118146,118147,118159,118160</t>
  </si>
  <si>
    <t>6,0</t>
  </si>
  <si>
    <t>gun-10009092</t>
  </si>
  <si>
    <t>gun-40009092</t>
  </si>
  <si>
    <t>gun-50009092</t>
  </si>
  <si>
    <t>gun-60009092</t>
  </si>
  <si>
    <t>118136,118137,118138,118139,118140,118132,118233,118159,118160</t>
  </si>
  <si>
    <t>1,0;3,0</t>
  </si>
  <si>
    <t>gun-10009093</t>
  </si>
  <si>
    <t>DesertEagle_6501</t>
  </si>
  <si>
    <t>gun-40009093</t>
  </si>
  <si>
    <t>gun-50009093</t>
  </si>
  <si>
    <t>gun-60009093</t>
  </si>
  <si>
    <t>118149,118150,118151,118152,118153,118156,118157,118158,118255</t>
  </si>
  <si>
    <t>1,0;5,0</t>
  </si>
  <si>
    <t>gun-10009094</t>
  </si>
  <si>
    <t>gun-40009094</t>
  </si>
  <si>
    <t>gun-50009094</t>
  </si>
  <si>
    <t>gun-60009094</t>
  </si>
  <si>
    <t>118162,118163,118164,118165,118166,118167,118159,118160,118172,118173</t>
  </si>
  <si>
    <t>3,0;8,0</t>
  </si>
  <si>
    <t>gun-10009095</t>
  </si>
  <si>
    <t>gun-40009095</t>
  </si>
  <si>
    <t>gun-50009095</t>
  </si>
  <si>
    <t>gun-60009095</t>
  </si>
  <si>
    <t>118303,118301,118302,118309</t>
  </si>
  <si>
    <t>gun-10009096</t>
  </si>
  <si>
    <t>gun-40009096</t>
  </si>
  <si>
    <t>gun-50009096</t>
  </si>
  <si>
    <t>gun-60009096</t>
  </si>
  <si>
    <t>118305,118301,118302,118307,118308,118309</t>
  </si>
  <si>
    <t>gun-10009097</t>
  </si>
  <si>
    <t>gun-40009097</t>
  </si>
  <si>
    <t>gun-50009097</t>
  </si>
  <si>
    <t>gun-60009097</t>
  </si>
  <si>
    <t>118306,118301,118302,118307,118308,118309</t>
  </si>
  <si>
    <t>gun-10009098</t>
  </si>
  <si>
    <t>gun-40009098</t>
  </si>
  <si>
    <t>gun-50009098</t>
  </si>
  <si>
    <t>gun-60009098</t>
  </si>
  <si>
    <t>403415,403416,403417,403418,403419,403420</t>
  </si>
  <si>
    <t>gun-10009099</t>
  </si>
  <si>
    <t>Beak</t>
  </si>
  <si>
    <t>gun-40009099</t>
  </si>
  <si>
    <t>gun-50009099</t>
  </si>
  <si>
    <t>gun-60009099</t>
  </si>
  <si>
    <t>gun-10009100</t>
  </si>
  <si>
    <t>Dupijin</t>
  </si>
  <si>
    <t>gun-40009100</t>
  </si>
  <si>
    <t>gun-50009100</t>
  </si>
  <si>
    <t>gun-60009100</t>
  </si>
  <si>
    <t>gun-10030156</t>
  </si>
  <si>
    <t>SuperShorty_sangvis</t>
  </si>
  <si>
    <t>gun-40030156</t>
  </si>
  <si>
    <t>gun-50030156</t>
  </si>
  <si>
    <t>gun-60030156</t>
  </si>
  <si>
    <t>gun-10030164</t>
  </si>
  <si>
    <t>FP6_sangvis</t>
  </si>
  <si>
    <t>gun-40030164</t>
  </si>
  <si>
    <t>gun-50030164</t>
  </si>
  <si>
    <t>gun-60030164</t>
  </si>
  <si>
    <t>300202,300203,110023</t>
  </si>
  <si>
    <t>gun-10030229</t>
  </si>
  <si>
    <t>M870_sangvis</t>
  </si>
  <si>
    <t>gun-40030229</t>
  </si>
  <si>
    <t>gun-50030229</t>
  </si>
  <si>
    <t>gun-60030229</t>
  </si>
  <si>
    <t>300202,300203,200429</t>
  </si>
  <si>
    <t>gun-10090001</t>
  </si>
  <si>
    <t>ISC</t>
  </si>
  <si>
    <t>gun-40090001</t>
  </si>
  <si>
    <t>gun-50090001</t>
  </si>
  <si>
    <t>gun-60090001</t>
  </si>
  <si>
    <t>equip-10000276</t>
  </si>
  <si>
    <t>equip-20000276</t>
  </si>
  <si>
    <t>100</t>
  </si>
  <si>
    <t>equip-30000276</t>
  </si>
  <si>
    <t>MS - Hole 1 DEFY</t>
  </si>
  <si>
    <t>DR Hole 2</t>
  </si>
  <si>
    <t>DR Hole 3</t>
  </si>
  <si>
    <t>9411408,9411407,9411409,9411410,9411411,9411412,9411413,9411414,9411415,9411416,9411417,9411418,9411419,9411420,9411421,9411422</t>
  </si>
  <si>
    <t>MS Hole 1</t>
  </si>
  <si>
    <t>44430009,44430008,44430005,44430003,44430004,44430002,44430010,44430006,44430007,44430011</t>
  </si>
  <si>
    <t>MS Hole 2 Layer 1</t>
  </si>
  <si>
    <t>44440001,44440002,44440003,44440004,44440005,44440006,44440035,44440036,44440037,44440038,44440039</t>
  </si>
  <si>
    <t>MS Hole 2 Layer 2</t>
  </si>
  <si>
    <t>44440010,44440017,44440019,44440013,44440014,44440015,44440016,44440040</t>
  </si>
  <si>
    <t>MS Hole 2 Layer 3</t>
  </si>
  <si>
    <t>44440018,44440020,44440022,44440023,44440025,44440026,44440024,44440021</t>
  </si>
  <si>
    <t>MS Hole 2 Layer 4</t>
  </si>
  <si>
    <t>44440027,44440028,44440029,44440030,44440031,44440032,44440033,44440034,44440009,44440043,44440045,44440046,44440047,44440048</t>
  </si>
  <si>
    <t>IDs</t>
  </si>
  <si>
    <t>PL - PPBB</t>
  </si>
  <si>
    <t>PL - 3MG Kordboat</t>
  </si>
  <si>
    <t>DR - 2MG Kordboat</t>
  </si>
  <si>
    <t>Generic - 5HG</t>
  </si>
  <si>
    <t>Generic - ARSMG</t>
  </si>
  <si>
    <t>Generic - RFHG</t>
  </si>
  <si>
    <t>Generic - 2 Manti, 1 Jaeger</t>
  </si>
  <si>
    <t>Generic - 1 Manti, 2 Nem, 1 Jaeger</t>
  </si>
  <si>
    <t>Generic - Intruder Tarantulas</t>
  </si>
  <si>
    <t>Parachute Debuff</t>
  </si>
  <si>
    <t>Strategy Skill</t>
  </si>
  <si>
    <t>"fairy_skill_on_team":"{\"1\":{\"1\":{\"team_id\":1,\"buff_id\":\"buff1\",\"source_type\":1,\"source_value\":1,\"start_turn\":\"turnnum\",\"battle_count\":0,\"battle_finish_count\":0,\"person_move_count\":1,\"person_shift_count\":1,\"mission_skill_config_id\":\"config1skill1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</si>
  <si>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}}",</t>
  </si>
  <si>
    <t>"fairy_skill_on_team":"{\"1\":{\"1\":{\"team_id\":1,\"buff_id\":\"buff1\",\"source_type\":1,\"source_value\":1,\"start_turn\":\"turnnum\",\"battle_count\":1,\"battle_finish_count\":0,\"person_move_count\":1,\"person_shift_count\":1,\"mission_skill_config_id\":\"config1skill1\"},\"2\":{\"team_id\":1,\"buff_id\":\"buff2\",\"source_type\":1,\"source_value\":1,\"start_turn\":\"turnnum\",\"battle_count\":1,\"battle_finish_count\":0,\"person_move_count\":1,\"person_shift_count\":1,\"mission_skill_config_id\":\"config2skill2\"},\"3\":{\"team_id\":1,\"buff_id\":\"buff3\",\"source_type\":1,\"source_value\":1,\"start_turn\":\"turnnum\",\"battle_count\":1,\"battle_finish_count\":0,\"person_move_count\":1,\"person_shift_count\":1,\"mission_skill_config_id\":\"config3skill3\"}}}",</t>
  </si>
  <si>
    <t>Defense (old)</t>
  </si>
  <si>
    <t>Desert 1 (negation)</t>
  </si>
  <si>
    <t>Desert 2 (debuff)</t>
  </si>
  <si>
    <t>Sangvis:</t>
  </si>
  <si>
    <t>Sangvis Res:</t>
  </si>
  <si>
    <t>let
    Source = Json.Document(Web.Contents("https://raw.githubusercontent.com/randomqwerty/GFLData/main/ch/stc/sangvis_resolution.json")),
    #"Converted to Table" = Table.FromList(Source, Splitter.SplitByNothing(), null, null, ExtraValues.Error),
    #"Expanded Column1" = Table.ExpandRecordColumn(#"Converted to Table", "Column1",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"skill_advance"}, {"id", "group_id", "lv", "unlock_num", "if_skill_up", "resolution_number", "resolution_hp", "resolution_pow", "resolution_rate", "resolution_hit", "resolution_dodge", "resolution_armor", "resolution_armor_piercing", "resolution_crit", "resolution_crit_dmg", "resolution_speed", "resolution_effect", "effect_grid_effect", "ap_add", "cost_reduce", "skill1", "skill2", "skill3", "skill_advance"})
in
    #"Expanded Column1"</t>
  </si>
  <si>
    <t>equip-10000277</t>
  </si>
  <si>
    <t>equip-20000277</t>
  </si>
  <si>
    <t>DHG</t>
  </si>
  <si>
    <t>equip-30000277</t>
  </si>
  <si>
    <t>dodge:1000,hit:700</t>
  </si>
  <si>
    <t>sangvis-10001018</t>
  </si>
  <si>
    <t>Hunter_WhiteDay</t>
  </si>
  <si>
    <t>sangvis-40001018</t>
  </si>
  <si>
    <t>sangvis-30001018</t>
  </si>
  <si>
    <t>750364</t>
  </si>
  <si>
    <t>750371</t>
  </si>
  <si>
    <t>750368,750369,750372,750374,750375,750376</t>
  </si>
  <si>
    <t>5:2,10;4,15|6:1,10;3,15</t>
  </si>
  <si>
    <t>sangvis-10002017</t>
  </si>
  <si>
    <t>Vespid_bride</t>
  </si>
  <si>
    <t>sangvis-40002017</t>
  </si>
  <si>
    <t>sangvis-30002017</t>
  </si>
  <si>
    <t>5:2,6;4,10|6:1,6;3,10</t>
  </si>
  <si>
    <t>let
    Source = Json.Document(Web.Contents("https://raw.githubusercontent.com/randomqwerty/GFLData/main/ch/stc/sangvis.json")),
    #"Converted to Table" = Table.FromList(Source, Splitter.SplitByNothing(), null, null, ExtraValues.Error),
    #"Expanded Column1" = Table.ExpandRecordColumn(#"Converted to Table", "Column1",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"org_id"}, {"id", "name", "en_name", "code", "introduce", "dialogue", "extra", "en_introduce", "forces", "type", "character", "formation", "resolution", "shape_scale", "ap_cost", "ap_add", "rank", "skill1", "skill2_type", "skill2", "skill3", "skill_advance", "skill_resolution", "passive_skill2", "dynamic_passive_skill", "normal_attack", "baseammo", "basemre", "ammo_add_withnumber", "mre_add_withnumber", "ratio_hp", "ratio_pow", "ratio_rate", "ratio_hit", "ratio_dodge", "ratio_armor", "armor_piercing", "crit", "crit_dmg", "eat_ratio", "ratio_speed", "special", "attack_range_type", "assist_attack_range", "ratio_range", "search_range", "effect_grid_effect", "type_chip1", "type_chip2", "type_chip3", "illustration_id", "ai", "is_additional", "launch_time", "obtain_ids", "display_enemy_team", "picture_offset", "picture_scale", "dorm_scale", "org_id"}),
    #"Filtered Rows" = Table.SelectRows(#"Expanded Column1", each [id] &lt; 9000)
in
    #"Filtered Rows"</t>
  </si>
  <si>
    <t>This tab provides a list of comma-delimited IDs that can be used to populate the Enemy ID box when using the TargetTrain feature.</t>
  </si>
  <si>
    <t>Vespid_Bride</t>
  </si>
  <si>
    <t>MS - Layer 1 Armor</t>
  </si>
  <si>
    <t>MS - Layer 2 M4/Rico</t>
  </si>
  <si>
    <t>MS - Layer 3 Alchemist</t>
  </si>
  <si>
    <t>MS - Layer 1 Hunter</t>
  </si>
  <si>
    <t>ITI</t>
  </si>
  <si>
    <t>ITI2</t>
  </si>
  <si>
    <t>ITI3</t>
  </si>
  <si>
    <t>ITI4</t>
  </si>
  <si>
    <t>ITI5</t>
  </si>
  <si>
    <t>MS - Layer 3 M500 Shieldspam</t>
  </si>
  <si>
    <t>MS - Layer 4 Desert</t>
  </si>
  <si>
    <t>For an actual stat calculator:</t>
  </si>
  <si>
    <t>https://docs.google.com/spreadsheets/d/1TYKbdjuOdOMsvaaIduWW_8FF0tm27BjwKbC4uggl1wE/edit#gid=79016818</t>
  </si>
  <si>
    <t>MS - Layer 2 Boss (LTLX)</t>
  </si>
  <si>
    <t>MS - Layer 2 Boss (RFB)</t>
  </si>
  <si>
    <t>VFl</t>
  </si>
  <si>
    <t>MS - Layer 1 RFSMG w/ Backline Retarget</t>
  </si>
  <si>
    <t>PR - M4exodia</t>
  </si>
  <si>
    <t>Armo5</t>
  </si>
  <si>
    <t>PR - MG4/Grape</t>
  </si>
  <si>
    <t>PR - Pekola/T56r/Welmod</t>
  </si>
  <si>
    <t>G36cMod</t>
  </si>
  <si>
    <t>FP - RO/PPQ/Zip/Pekola/MG338</t>
  </si>
  <si>
    <t>FP - Ribey/AK15/QBZ/G36c/SP9</t>
  </si>
  <si>
    <t>FP - Defender/RMB/3MG</t>
  </si>
  <si>
    <t>FP - Deagle/SAA/Welmod/M500/Grape</t>
  </si>
  <si>
    <t>gun-10000363</t>
  </si>
  <si>
    <t>gun-40000363</t>
  </si>
  <si>
    <t>gun-50000363</t>
  </si>
  <si>
    <t>gun-60000363</t>
  </si>
  <si>
    <t>119306,119310</t>
  </si>
  <si>
    <t>119302,119303,119304,119308,119309</t>
  </si>
  <si>
    <t>7,8,18,9</t>
  </si>
  <si>
    <t>2022-04-07 00:00:00</t>
  </si>
  <si>
    <t>gun-10000364</t>
  </si>
  <si>
    <t>MPK</t>
  </si>
  <si>
    <t>gun-40000364</t>
  </si>
  <si>
    <t>gun-50000364</t>
  </si>
  <si>
    <t>gun-60000364</t>
  </si>
  <si>
    <t>119202,119210,119211</t>
  </si>
  <si>
    <t>119203,119204,119206,119207,119208,119209</t>
  </si>
  <si>
    <t>2,3,8,4</t>
  </si>
  <si>
    <t>gun-10000365</t>
  </si>
  <si>
    <t>SCR</t>
  </si>
  <si>
    <t>gun-40000365</t>
  </si>
  <si>
    <t>gun-50000365</t>
  </si>
  <si>
    <t>gun-60000365</t>
  </si>
  <si>
    <t>750384,750385,750386,750387,750388,750389,750390,750391,750392,750393,750394,750395,750396</t>
  </si>
  <si>
    <t>4,25</t>
  </si>
  <si>
    <t>equip-10000278</t>
  </si>
  <si>
    <t>equip-20000278</t>
  </si>
  <si>
    <t>equip-30000278</t>
  </si>
  <si>
    <t>equip-10000279</t>
  </si>
  <si>
    <t>equip-20000279</t>
  </si>
  <si>
    <t>equip-30000279</t>
  </si>
  <si>
    <t>equip-10000280</t>
  </si>
  <si>
    <t>equip-20000280</t>
  </si>
  <si>
    <t>7,12</t>
  </si>
  <si>
    <t>WOLF</t>
  </si>
  <si>
    <t>equip-30000280</t>
  </si>
  <si>
    <t>pow:900,hit:700</t>
  </si>
  <si>
    <t>equip-10000281</t>
  </si>
  <si>
    <t>equip-20000281</t>
  </si>
  <si>
    <t>40</t>
  </si>
  <si>
    <t>equip-30000281</t>
  </si>
  <si>
    <t>equip-10000282</t>
  </si>
  <si>
    <t>equip-20000282</t>
  </si>
  <si>
    <t>equip-30000282</t>
  </si>
  <si>
    <t>Doll1</t>
  </si>
  <si>
    <t>Doll2</t>
  </si>
  <si>
    <t>Eq1-1</t>
  </si>
  <si>
    <t>Eq1-2</t>
  </si>
  <si>
    <t>Eq1-3</t>
  </si>
  <si>
    <t>Eq2-1</t>
  </si>
  <si>
    <t>Eq2-2</t>
  </si>
  <si>
    <t>Eq2-3</t>
  </si>
  <si>
    <t>Eq3-1</t>
  </si>
  <si>
    <t>Eq3-2</t>
  </si>
  <si>
    <t>Eq3-3</t>
  </si>
  <si>
    <t>Eq4-1</t>
  </si>
  <si>
    <t>Eq4-2</t>
  </si>
  <si>
    <t>Eq4-3</t>
  </si>
  <si>
    <t>Eq5-1</t>
  </si>
  <si>
    <t>Eq5-2</t>
  </si>
  <si>
    <t>Eq5-3</t>
  </si>
  <si>
    <t>Final Dropdowns -&gt;</t>
  </si>
  <si>
    <t>Doll3</t>
  </si>
  <si>
    <t>Doll4</t>
  </si>
  <si>
    <t>Doll5</t>
  </si>
  <si>
    <t>Base Path (Excel):</t>
  </si>
  <si>
    <t>Base Path (Libre):</t>
  </si>
  <si>
    <r>
      <t xml:space="preserve">Enter doll info below - recommended to use name dropdowns; select rarity/class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</si>
  <si>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r>
      <t xml:space="preserve">Enter equipment info below - recommended to name dropdowns; select equipment type first; 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instead of filling down:</t>
    </r>
  </si>
  <si>
    <t>Generic - 3MG1SG</t>
  </si>
  <si>
    <r>
      <t xml:space="preserve">Basic equipment presets - copy/paste </t>
    </r>
    <r>
      <rPr>
        <b/>
        <u/>
        <sz val="11"/>
        <rFont val="Calibri"/>
        <family val="2"/>
        <scheme val="minor"/>
      </rPr>
      <t>values</t>
    </r>
    <r>
      <rPr>
        <b/>
        <sz val="11"/>
        <rFont val="Calibri"/>
        <family val="2"/>
        <scheme val="minor"/>
      </rPr>
      <t xml:space="preserve"> to the area above and adjust as needed; does not account for SPEQs:</t>
    </r>
  </si>
  <si>
    <t>equip-10000283</t>
  </si>
  <si>
    <t>equip-20000283</t>
  </si>
  <si>
    <t>equip-30000283</t>
  </si>
  <si>
    <t>sangvis-10001019</t>
  </si>
  <si>
    <t>Cerberus</t>
  </si>
  <si>
    <t>BossCerberus</t>
  </si>
  <si>
    <t>sangvis-40001019</t>
  </si>
  <si>
    <t>sangvis-30001019</t>
  </si>
  <si>
    <t>750398</t>
  </si>
  <si>
    <t>750408</t>
  </si>
  <si>
    <t>3:1,15;4,15;5,15</t>
  </si>
  <si>
    <t>3:1,10;4,10;5,10</t>
  </si>
  <si>
    <t>fairy_skill_on_sangvis</t>
  </si>
  <si>
    <t>Judge Shields &amp; Armor/Eva</t>
  </si>
  <si>
    <t>Agent Parachute Debuff</t>
  </si>
  <si>
    <t>300201,300202,740029</t>
  </si>
  <si>
    <t>gun-10020010</t>
  </si>
  <si>
    <t>PPKMod</t>
  </si>
  <si>
    <t>gun-40020010</t>
  </si>
  <si>
    <t>gun-50020010</t>
  </si>
  <si>
    <t>gun-60020010</t>
  </si>
  <si>
    <t>804113,804114,804115,804116</t>
  </si>
  <si>
    <t>7,8,9,18,12,14</t>
  </si>
  <si>
    <t>2,18;5,10</t>
  </si>
  <si>
    <t>gun-10020088</t>
  </si>
  <si>
    <t>MG3Mod</t>
  </si>
  <si>
    <t>gun-40020088</t>
  </si>
  <si>
    <t>gun-50020088</t>
  </si>
  <si>
    <t>gun-60020088</t>
  </si>
  <si>
    <t>740028,740031</t>
  </si>
  <si>
    <t>gun-10020115</t>
  </si>
  <si>
    <t>KP31Mod</t>
  </si>
  <si>
    <t>gun-40020115</t>
  </si>
  <si>
    <t>gun-50020115</t>
  </si>
  <si>
    <t>gun-60020115</t>
  </si>
  <si>
    <t>804218,804204</t>
  </si>
  <si>
    <t>804202,804206</t>
  </si>
  <si>
    <t>gun-10020230</t>
  </si>
  <si>
    <t>OBRMod</t>
  </si>
  <si>
    <t>gun-40020230</t>
  </si>
  <si>
    <t>gun-50020230</t>
  </si>
  <si>
    <t>gun-60020230</t>
  </si>
  <si>
    <t>740036</t>
  </si>
  <si>
    <t>740033,740035</t>
  </si>
  <si>
    <t>88,20088</t>
  </si>
  <si>
    <t>10,20010</t>
  </si>
  <si>
    <t>115,20115</t>
  </si>
  <si>
    <t>equip-10000284</t>
  </si>
  <si>
    <t>equip-20000284</t>
  </si>
  <si>
    <t>equip-30000284</t>
  </si>
  <si>
    <t>equip-10000285</t>
  </si>
  <si>
    <t>equip-20000285</t>
  </si>
  <si>
    <t>equip-30000285</t>
  </si>
  <si>
    <t>equip-10000286</t>
  </si>
  <si>
    <t>equip-20000286</t>
  </si>
  <si>
    <t>VKT</t>
  </si>
  <si>
    <t>equip-30000286</t>
  </si>
  <si>
    <t>759034</t>
  </si>
  <si>
    <t>equip-10000287</t>
  </si>
  <si>
    <t>equip-20000287</t>
  </si>
  <si>
    <t>HARRIS</t>
  </si>
  <si>
    <t>230,20230</t>
  </si>
  <si>
    <t>equip-30000287</t>
  </si>
  <si>
    <t>SuomiMod</t>
  </si>
  <si>
    <t>Seed #:</t>
  </si>
  <si>
    <t>Node Color:</t>
  </si>
  <si>
    <t>Mode:</t>
  </si>
  <si>
    <t>GitHub Repo:</t>
  </si>
  <si>
    <t>Generic - MGSG</t>
  </si>
  <si>
    <t>seed</t>
  </si>
  <si>
    <t>TargetTrain</t>
  </si>
  <si>
    <t>equip-10000288</t>
  </si>
  <si>
    <t>equip-20000288</t>
  </si>
  <si>
    <t>187</t>
  </si>
  <si>
    <t>equip-30000288</t>
  </si>
  <si>
    <t>pow:1000,hit:750</t>
  </si>
  <si>
    <t>759041</t>
  </si>
  <si>
    <t>sangvis-10001020</t>
  </si>
  <si>
    <t>Nyto_White_Summer</t>
  </si>
  <si>
    <t>sangvis-40001020</t>
  </si>
  <si>
    <t>sangvis-30001020</t>
  </si>
  <si>
    <t>750410</t>
  </si>
  <si>
    <t>750421,750422,750424,750425,750426,750427,750428,750429,750431,750447</t>
  </si>
  <si>
    <t>750010</t>
  </si>
  <si>
    <t>1:5,10;8,10|4:1,15;4,15</t>
  </si>
  <si>
    <t>sangvis-10002018</t>
  </si>
  <si>
    <t>RecceCentreSwim_buhuo</t>
  </si>
  <si>
    <t>sangvis-40002018</t>
  </si>
  <si>
    <t>sangvis-30002018</t>
  </si>
  <si>
    <t>20,60</t>
  </si>
  <si>
    <t>750432,902167</t>
  </si>
  <si>
    <t>750445,750446</t>
  </si>
  <si>
    <t>1:5,6;8,6|4:1,10;4,10</t>
  </si>
  <si>
    <t>RecceCentre_Swim</t>
  </si>
  <si>
    <t>equip-10000289</t>
  </si>
  <si>
    <t>equip-20000289</t>
  </si>
  <si>
    <t>120</t>
  </si>
  <si>
    <t>equip-30000289</t>
  </si>
  <si>
    <t>pow:1000,critical_percent:800</t>
  </si>
  <si>
    <t>equip-10000290</t>
  </si>
  <si>
    <t>equip-20000290</t>
  </si>
  <si>
    <t>19,24</t>
  </si>
  <si>
    <t>86</t>
  </si>
  <si>
    <t>equip-30000290</t>
  </si>
  <si>
    <t>pow:1000,critical_percent:1000,hit:1000</t>
  </si>
  <si>
    <t>equip-10000291</t>
  </si>
  <si>
    <t>equip-20000291</t>
  </si>
  <si>
    <t>11</t>
  </si>
  <si>
    <t>equip-30000291</t>
  </si>
  <si>
    <t>equip-10000292</t>
  </si>
  <si>
    <t>equip-20000292</t>
  </si>
  <si>
    <t>PT</t>
  </si>
  <si>
    <t>160</t>
  </si>
  <si>
    <t>equip-30000292</t>
  </si>
  <si>
    <t>759044</t>
  </si>
  <si>
    <t xml:space="preserve"> </t>
  </si>
  <si>
    <r>
      <t xml:space="preserve">GFL KR Battle Sim - JSON Creator </t>
    </r>
    <r>
      <rPr>
        <b/>
        <sz val="12"/>
        <rFont val="Calibri"/>
        <family val="2"/>
        <scheme val="minor"/>
      </rPr>
      <t>(last updated July 13, 2022)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</si>
</sst>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9"/>
      <color indexed="81"/>
      <name val="Tahoma"/>
      <family val="2"/>
    </font>
    <font>
      <b/>
      <sz val="11"/>
      <name val="Calibri"/>
      <family val="2"/>
      <scheme val="minor"/>
    </font>
    <font>
      <b/>
      <sz val="20"/>
      <name val="Calibri"/>
      <family val="2"/>
      <scheme val="minor"/>
    </font>
    <font>
      <sz val="9"/>
      <color rgb="FF24292E"/>
      <name val="Consolas"/>
      <family val="3"/>
    </font>
    <font>
      <u/>
      <sz val="11"/>
      <color theme="10"/>
      <name val="Calibri"/>
      <family val="2"/>
      <scheme val="minor"/>
    </font>
    <font>
      <b/>
      <sz val="14"/>
      <name val="Calibri"/>
      <family val="2"/>
      <scheme val="minor"/>
    </font>
    <font>
      <sz val="11"/>
      <name val="Calibri"/>
      <family val="2"/>
    </font>
    <font>
      <b/>
      <sz val="12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</font>
    <font>
      <b/>
      <u/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2CC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55">
    <xf numFmtId="0" fontId="0" fillId="0" borderId="0" xfId="0"/>
    <xf numFmtId="0" fontId="0" fillId="0" borderId="0" xfId="0" applyAlignment="1">
      <alignment horizontal="center"/>
    </xf>
    <xf numFmtId="165" fontId="0" fillId="0" borderId="2" xfId="0" applyNumberFormat="1" applyBorder="1" applyAlignment="1">
      <alignment horizontal="center"/>
    </xf>
    <xf numFmtId="165" fontId="0" fillId="0" borderId="3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0" xfId="0" applyNumberFormat="1"/>
    <xf numFmtId="0" fontId="0" fillId="0" borderId="0" xfId="0" applyAlignment="1">
      <alignment horizontal="left"/>
    </xf>
    <xf numFmtId="0" fontId="1" fillId="0" borderId="0" xfId="0" applyFont="1"/>
    <xf numFmtId="164" fontId="0" fillId="0" borderId="0" xfId="0" applyNumberFormat="1" applyFill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6" xfId="0" applyNumberFormat="1" applyBorder="1" applyAlignment="1">
      <alignment horizontal="center"/>
    </xf>
    <xf numFmtId="0" fontId="0" fillId="0" borderId="2" xfId="0" applyFont="1" applyBorder="1" applyAlignment="1">
      <alignment horizontal="center"/>
    </xf>
    <xf numFmtId="0" fontId="0" fillId="0" borderId="0" xfId="0" applyFont="1"/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0" fillId="0" borderId="0" xfId="0" applyNumberFormat="1" applyFill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4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1" fontId="0" fillId="0" borderId="0" xfId="0" applyNumberFormat="1" applyBorder="1" applyAlignment="1">
      <alignment horizontal="center"/>
    </xf>
    <xf numFmtId="1" fontId="0" fillId="0" borderId="6" xfId="0" applyNumberFormat="1" applyBorder="1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0" fillId="0" borderId="0" xfId="0" applyNumberFormat="1"/>
    <xf numFmtId="1" fontId="0" fillId="2" borderId="2" xfId="0" applyNumberFormat="1" applyFill="1" applyBorder="1" applyAlignment="1">
      <alignment horizontal="center"/>
    </xf>
    <xf numFmtId="1" fontId="0" fillId="2" borderId="3" xfId="0" applyNumberFormat="1" applyFill="1" applyBorder="1" applyAlignment="1">
      <alignment horizontal="center"/>
    </xf>
    <xf numFmtId="1" fontId="0" fillId="2" borderId="5" xfId="0" applyNumberForma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1" fontId="0" fillId="2" borderId="7" xfId="0" applyNumberFormat="1" applyFill="1" applyBorder="1" applyAlignment="1">
      <alignment horizontal="center"/>
    </xf>
    <xf numFmtId="1" fontId="0" fillId="2" borderId="8" xfId="0" applyNumberFormat="1" applyFill="1" applyBorder="1" applyAlignment="1">
      <alignment horizontal="center"/>
    </xf>
    <xf numFmtId="1" fontId="0" fillId="2" borderId="4" xfId="0" applyNumberFormat="1" applyFill="1" applyBorder="1" applyAlignment="1">
      <alignment horizontal="center"/>
    </xf>
    <xf numFmtId="1" fontId="0" fillId="2" borderId="6" xfId="0" applyNumberFormat="1" applyFill="1" applyBorder="1" applyAlignment="1">
      <alignment horizontal="center"/>
    </xf>
    <xf numFmtId="1" fontId="0" fillId="2" borderId="9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2" fillId="0" borderId="0" xfId="0" applyFont="1" applyFill="1"/>
    <xf numFmtId="3" fontId="2" fillId="0" borderId="0" xfId="0" applyNumberFormat="1" applyFont="1" applyFill="1"/>
    <xf numFmtId="0" fontId="0" fillId="2" borderId="0" xfId="0" applyFill="1"/>
    <xf numFmtId="0" fontId="1" fillId="0" borderId="0" xfId="0" applyFont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2" fillId="3" borderId="9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2" fillId="4" borderId="11" xfId="0" applyFont="1" applyFill="1" applyBorder="1" applyAlignment="1">
      <alignment horizontal="center"/>
    </xf>
    <xf numFmtId="0" fontId="2" fillId="4" borderId="12" xfId="0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4" borderId="0" xfId="0" applyFont="1" applyFill="1"/>
    <xf numFmtId="0" fontId="2" fillId="4" borderId="7" xfId="0" applyFont="1" applyFill="1" applyBorder="1" applyAlignment="1">
      <alignment horizontal="center"/>
    </xf>
    <xf numFmtId="0" fontId="2" fillId="4" borderId="8" xfId="0" applyFont="1" applyFill="1" applyBorder="1" applyAlignment="1">
      <alignment horizontal="center"/>
    </xf>
    <xf numFmtId="0" fontId="2" fillId="4" borderId="9" xfId="0" applyFont="1" applyFill="1" applyBorder="1" applyAlignment="1">
      <alignment horizontal="center"/>
    </xf>
    <xf numFmtId="0" fontId="2" fillId="4" borderId="1" xfId="0" applyFont="1" applyFill="1" applyBorder="1"/>
    <xf numFmtId="0" fontId="0" fillId="4" borderId="2" xfId="0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0" fillId="4" borderId="7" xfId="0" applyFill="1" applyBorder="1" applyAlignment="1">
      <alignment horizontal="center"/>
    </xf>
    <xf numFmtId="0" fontId="0" fillId="4" borderId="3" xfId="0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164" fontId="0" fillId="4" borderId="2" xfId="0" applyNumberFormat="1" applyFill="1" applyBorder="1" applyAlignment="1">
      <alignment horizontal="center"/>
    </xf>
    <xf numFmtId="164" fontId="0" fillId="4" borderId="3" xfId="0" applyNumberFormat="1" applyFill="1" applyBorder="1" applyAlignment="1">
      <alignment horizontal="center"/>
    </xf>
    <xf numFmtId="164" fontId="0" fillId="4" borderId="4" xfId="0" applyNumberFormat="1" applyFill="1" applyBorder="1" applyAlignment="1">
      <alignment horizontal="center"/>
    </xf>
    <xf numFmtId="1" fontId="0" fillId="4" borderId="2" xfId="0" applyNumberFormat="1" applyFill="1" applyBorder="1" applyAlignment="1">
      <alignment horizontal="center"/>
    </xf>
    <xf numFmtId="1" fontId="0" fillId="4" borderId="3" xfId="0" applyNumberFormat="1" applyFill="1" applyBorder="1" applyAlignment="1">
      <alignment horizontal="center"/>
    </xf>
    <xf numFmtId="1" fontId="0" fillId="4" borderId="4" xfId="0" applyNumberFormat="1" applyFill="1" applyBorder="1" applyAlignment="1">
      <alignment horizontal="center"/>
    </xf>
    <xf numFmtId="0" fontId="0" fillId="4" borderId="5" xfId="0" applyFon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1" fontId="0" fillId="4" borderId="5" xfId="0" applyNumberFormat="1" applyFill="1" applyBorder="1" applyAlignment="1">
      <alignment horizontal="center"/>
    </xf>
    <xf numFmtId="1" fontId="0" fillId="4" borderId="0" xfId="0" applyNumberFormat="1" applyFill="1" applyBorder="1" applyAlignment="1">
      <alignment horizontal="center"/>
    </xf>
    <xf numFmtId="1" fontId="0" fillId="4" borderId="6" xfId="0" applyNumberFormat="1" applyFill="1" applyBorder="1" applyAlignment="1">
      <alignment horizontal="center"/>
    </xf>
    <xf numFmtId="0" fontId="0" fillId="4" borderId="7" xfId="0" applyFont="1" applyFill="1" applyBorder="1" applyAlignment="1">
      <alignment horizontal="center"/>
    </xf>
    <xf numFmtId="164" fontId="0" fillId="4" borderId="7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1" fontId="0" fillId="4" borderId="7" xfId="0" applyNumberFormat="1" applyFill="1" applyBorder="1" applyAlignment="1">
      <alignment horizontal="center"/>
    </xf>
    <xf numFmtId="1" fontId="0" fillId="4" borderId="8" xfId="0" applyNumberFormat="1" applyFill="1" applyBorder="1" applyAlignment="1">
      <alignment horizontal="center"/>
    </xf>
    <xf numFmtId="1" fontId="0" fillId="4" borderId="9" xfId="0" applyNumberFormat="1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165" fontId="0" fillId="4" borderId="3" xfId="0" applyNumberFormat="1" applyFill="1" applyBorder="1" applyAlignment="1">
      <alignment horizontal="center"/>
    </xf>
    <xf numFmtId="165" fontId="0" fillId="4" borderId="4" xfId="0" applyNumberFormat="1" applyFill="1" applyBorder="1" applyAlignment="1">
      <alignment horizontal="center"/>
    </xf>
    <xf numFmtId="165" fontId="0" fillId="4" borderId="5" xfId="0" applyNumberFormat="1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6" xfId="0" applyNumberFormat="1" applyFill="1" applyBorder="1" applyAlignment="1">
      <alignment horizontal="center"/>
    </xf>
    <xf numFmtId="165" fontId="0" fillId="4" borderId="7" xfId="0" applyNumberFormat="1" applyFill="1" applyBorder="1" applyAlignment="1">
      <alignment horizontal="center"/>
    </xf>
    <xf numFmtId="165" fontId="0" fillId="4" borderId="8" xfId="0" applyNumberFormat="1" applyFill="1" applyBorder="1" applyAlignment="1">
      <alignment horizontal="center"/>
    </xf>
    <xf numFmtId="165" fontId="0" fillId="4" borderId="9" xfId="0" applyNumberFormat="1" applyFill="1" applyBorder="1" applyAlignment="1">
      <alignment horizontal="center"/>
    </xf>
    <xf numFmtId="0" fontId="6" fillId="0" borderId="0" xfId="0" applyFont="1"/>
    <xf numFmtId="0" fontId="1" fillId="0" borderId="0" xfId="0" applyFont="1" applyAlignment="1">
      <alignment horizontal="left"/>
    </xf>
    <xf numFmtId="0" fontId="1" fillId="0" borderId="8" xfId="0" applyFont="1" applyBorder="1" applyAlignment="1">
      <alignment horizontal="center"/>
    </xf>
    <xf numFmtId="0" fontId="1" fillId="2" borderId="0" xfId="0" applyFont="1" applyFill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center"/>
    </xf>
    <xf numFmtId="0" fontId="2" fillId="4" borderId="10" xfId="0" applyFon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3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0" fillId="3" borderId="5" xfId="0" applyNumberFormat="1" applyFill="1" applyBorder="1" applyAlignment="1">
      <alignment horizontal="center"/>
    </xf>
    <xf numFmtId="1" fontId="0" fillId="3" borderId="0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0" fillId="3" borderId="7" xfId="0" applyNumberFormat="1" applyFill="1" applyBorder="1" applyAlignment="1">
      <alignment horizontal="center"/>
    </xf>
    <xf numFmtId="1" fontId="0" fillId="3" borderId="8" xfId="0" applyNumberFormat="1" applyFill="1" applyBorder="1" applyAlignment="1">
      <alignment horizontal="center"/>
    </xf>
    <xf numFmtId="1" fontId="0" fillId="3" borderId="9" xfId="0" applyNumberFormat="1" applyFill="1" applyBorder="1" applyAlignment="1">
      <alignment horizontal="center"/>
    </xf>
    <xf numFmtId="164" fontId="0" fillId="3" borderId="2" xfId="0" applyNumberFormat="1" applyFill="1" applyBorder="1" applyAlignment="1">
      <alignment horizontal="center"/>
    </xf>
    <xf numFmtId="164" fontId="0" fillId="3" borderId="3" xfId="0" applyNumberFormat="1" applyFill="1" applyBorder="1" applyAlignment="1">
      <alignment horizontal="center"/>
    </xf>
    <xf numFmtId="164" fontId="0" fillId="3" borderId="4" xfId="0" applyNumberFormat="1" applyFill="1" applyBorder="1" applyAlignment="1">
      <alignment horizontal="center"/>
    </xf>
    <xf numFmtId="164" fontId="0" fillId="3" borderId="5" xfId="0" applyNumberFormat="1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0" fillId="3" borderId="6" xfId="0" applyNumberFormat="1" applyFill="1" applyBorder="1" applyAlignment="1">
      <alignment horizontal="center"/>
    </xf>
    <xf numFmtId="164" fontId="0" fillId="3" borderId="7" xfId="0" applyNumberFormat="1" applyFill="1" applyBorder="1" applyAlignment="1">
      <alignment horizontal="center"/>
    </xf>
    <xf numFmtId="164" fontId="0" fillId="3" borderId="8" xfId="0" applyNumberFormat="1" applyFill="1" applyBorder="1" applyAlignment="1">
      <alignment horizontal="center"/>
    </xf>
    <xf numFmtId="164" fontId="0" fillId="3" borderId="9" xfId="0" applyNumberFormat="1" applyFill="1" applyBorder="1" applyAlignment="1">
      <alignment horizontal="center"/>
    </xf>
    <xf numFmtId="165" fontId="0" fillId="3" borderId="2" xfId="0" applyNumberFormat="1" applyFill="1" applyBorder="1" applyAlignment="1">
      <alignment horizontal="center"/>
    </xf>
    <xf numFmtId="165" fontId="0" fillId="3" borderId="3" xfId="0" applyNumberFormat="1" applyFill="1" applyBorder="1" applyAlignment="1">
      <alignment horizontal="center"/>
    </xf>
    <xf numFmtId="165" fontId="0" fillId="3" borderId="4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165" fontId="0" fillId="3" borderId="9" xfId="0" applyNumberForma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3" xfId="0" applyNumberFormat="1" applyFont="1" applyFill="1" applyBorder="1" applyAlignment="1">
      <alignment horizontal="center"/>
    </xf>
    <xf numFmtId="0" fontId="2" fillId="0" borderId="15" xfId="0" applyFont="1" applyFill="1" applyBorder="1" applyAlignment="1">
      <alignment horizontal="center"/>
    </xf>
    <xf numFmtId="0" fontId="2" fillId="0" borderId="10" xfId="0" applyFont="1" applyFill="1" applyBorder="1" applyAlignment="1">
      <alignment horizontal="center"/>
    </xf>
    <xf numFmtId="0" fontId="2" fillId="0" borderId="5" xfId="0" applyFont="1" applyFill="1" applyBorder="1" applyAlignment="1">
      <alignment horizontal="center"/>
    </xf>
    <xf numFmtId="0" fontId="2" fillId="0" borderId="6" xfId="0" applyFont="1" applyFill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0" fontId="2" fillId="0" borderId="9" xfId="0" applyFont="1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8" xfId="0" applyBorder="1" applyAlignment="1"/>
    <xf numFmtId="0" fontId="0" fillId="0" borderId="0" xfId="0" applyBorder="1" applyAlignment="1"/>
    <xf numFmtId="0" fontId="0" fillId="4" borderId="13" xfId="0" applyFont="1" applyFill="1" applyBorder="1" applyAlignment="1">
      <alignment horizontal="center"/>
    </xf>
    <xf numFmtId="0" fontId="0" fillId="4" borderId="11" xfId="0" applyFont="1" applyFill="1" applyBorder="1" applyAlignment="1">
      <alignment horizontal="center"/>
    </xf>
    <xf numFmtId="0" fontId="0" fillId="4" borderId="12" xfId="0" applyFont="1" applyFill="1" applyBorder="1" applyAlignment="1">
      <alignment horizontal="center"/>
    </xf>
    <xf numFmtId="1" fontId="0" fillId="3" borderId="15" xfId="0" applyNumberFormat="1" applyFill="1" applyBorder="1" applyAlignment="1">
      <alignment horizontal="center"/>
    </xf>
    <xf numFmtId="1" fontId="0" fillId="3" borderId="14" xfId="0" applyNumberFormat="1" applyFill="1" applyBorder="1" applyAlignment="1">
      <alignment horizontal="center"/>
    </xf>
    <xf numFmtId="1" fontId="0" fillId="3" borderId="10" xfId="0" applyNumberFormat="1" applyFill="1" applyBorder="1" applyAlignment="1">
      <alignment horizontal="center"/>
    </xf>
    <xf numFmtId="0" fontId="7" fillId="0" borderId="0" xfId="1"/>
    <xf numFmtId="0" fontId="1" fillId="0" borderId="8" xfId="0" applyFont="1" applyFill="1" applyBorder="1" applyAlignment="1">
      <alignment horizontal="center"/>
    </xf>
    <xf numFmtId="0" fontId="2" fillId="0" borderId="0" xfId="0" applyFont="1" applyFill="1" applyBorder="1"/>
    <xf numFmtId="0" fontId="2" fillId="0" borderId="0" xfId="0" applyFont="1" applyFill="1" applyBorder="1" applyAlignment="1">
      <alignment horizontal="left"/>
    </xf>
    <xf numFmtId="0" fontId="4" fillId="0" borderId="0" xfId="0" applyFont="1" applyFill="1" applyBorder="1"/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5" fillId="4" borderId="0" xfId="0" applyFont="1" applyFill="1" applyProtection="1">
      <protection locked="0"/>
    </xf>
    <xf numFmtId="0" fontId="2" fillId="4" borderId="0" xfId="0" applyFont="1" applyFill="1" applyProtection="1">
      <protection locked="0"/>
    </xf>
    <xf numFmtId="0" fontId="7" fillId="4" borderId="0" xfId="1" applyFill="1" applyProtection="1">
      <protection locked="0"/>
    </xf>
    <xf numFmtId="0" fontId="4" fillId="4" borderId="1" xfId="0" applyFont="1" applyFill="1" applyBorder="1" applyProtection="1">
      <protection locked="0"/>
    </xf>
    <xf numFmtId="0" fontId="4" fillId="4" borderId="12" xfId="0" applyFont="1" applyFill="1" applyBorder="1" applyProtection="1">
      <protection locked="0"/>
    </xf>
    <xf numFmtId="0" fontId="2" fillId="3" borderId="9" xfId="0" applyFont="1" applyFill="1" applyBorder="1" applyAlignment="1" applyProtection="1">
      <alignment horizontal="center"/>
      <protection locked="0"/>
    </xf>
    <xf numFmtId="0" fontId="4" fillId="4" borderId="0" xfId="0" applyFont="1" applyFill="1" applyProtection="1">
      <protection locked="0"/>
    </xf>
    <xf numFmtId="0" fontId="2" fillId="3" borderId="1" xfId="0" applyFont="1" applyFill="1" applyBorder="1" applyAlignment="1" applyProtection="1">
      <alignment horizontal="center"/>
      <protection locked="0"/>
    </xf>
    <xf numFmtId="0" fontId="8" fillId="4" borderId="0" xfId="0" applyFont="1" applyFill="1" applyProtection="1">
      <protection locked="0"/>
    </xf>
    <xf numFmtId="0" fontId="2" fillId="4" borderId="0" xfId="0" applyFont="1" applyFill="1" applyBorder="1" applyAlignment="1" applyProtection="1">
      <alignment horizontal="left"/>
      <protection locked="0"/>
    </xf>
    <xf numFmtId="0" fontId="4" fillId="4" borderId="8" xfId="0" applyFont="1" applyFill="1" applyBorder="1" applyAlignment="1" applyProtection="1">
      <protection locked="0"/>
    </xf>
    <xf numFmtId="0" fontId="2" fillId="4" borderId="13" xfId="0" applyFont="1" applyFill="1" applyBorder="1" applyProtection="1">
      <protection locked="0"/>
    </xf>
    <xf numFmtId="0" fontId="2" fillId="4" borderId="3" xfId="0" applyFont="1" applyFill="1" applyBorder="1" applyAlignment="1" applyProtection="1">
      <alignment horizontal="centerContinuous"/>
      <protection locked="0"/>
    </xf>
    <xf numFmtId="0" fontId="2" fillId="4" borderId="4" xfId="0" applyFont="1" applyFill="1" applyBorder="1" applyAlignment="1" applyProtection="1">
      <alignment horizontal="centerContinuous"/>
      <protection locked="0"/>
    </xf>
    <xf numFmtId="0" fontId="2" fillId="4" borderId="2" xfId="0" applyFont="1" applyFill="1" applyBorder="1" applyAlignment="1" applyProtection="1">
      <alignment horizontal="centerContinuous"/>
      <protection locked="0"/>
    </xf>
    <xf numFmtId="0" fontId="2" fillId="4" borderId="12" xfId="0" applyFont="1" applyFill="1" applyBorder="1" applyAlignment="1" applyProtection="1">
      <alignment horizontal="center"/>
      <protection locked="0"/>
    </xf>
    <xf numFmtId="0" fontId="2" fillId="4" borderId="8" xfId="0" applyFont="1" applyFill="1" applyBorder="1" applyAlignment="1" applyProtection="1">
      <alignment horizontal="center"/>
      <protection locked="0"/>
    </xf>
    <xf numFmtId="0" fontId="2" fillId="4" borderId="9" xfId="0" applyFont="1" applyFill="1" applyBorder="1" applyAlignment="1" applyProtection="1">
      <alignment horizontal="center"/>
      <protection locked="0"/>
    </xf>
    <xf numFmtId="0" fontId="2" fillId="4" borderId="7" xfId="0" applyFont="1" applyFill="1" applyBorder="1" applyAlignment="1" applyProtection="1">
      <alignment horizontal="center"/>
      <protection locked="0"/>
    </xf>
    <xf numFmtId="0" fontId="2" fillId="3" borderId="2" xfId="0" applyFont="1" applyFill="1" applyBorder="1" applyAlignment="1" applyProtection="1">
      <alignment horizontal="center"/>
      <protection locked="0"/>
    </xf>
    <xf numFmtId="0" fontId="2" fillId="3" borderId="3" xfId="0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alignment horizontal="center"/>
      <protection locked="0"/>
    </xf>
    <xf numFmtId="0" fontId="2" fillId="4" borderId="0" xfId="0" applyFont="1" applyFill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center"/>
      <protection locked="0"/>
    </xf>
    <xf numFmtId="0" fontId="2" fillId="3" borderId="0" xfId="0" applyFont="1" applyFill="1" applyBorder="1" applyAlignment="1" applyProtection="1">
      <alignment horizontal="center"/>
      <protection locked="0"/>
    </xf>
    <xf numFmtId="9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6" xfId="0" applyFont="1" applyFill="1" applyBorder="1" applyAlignment="1" applyProtection="1">
      <alignment horizontal="center"/>
      <protection locked="0"/>
    </xf>
    <xf numFmtId="0" fontId="2" fillId="3" borderId="7" xfId="0" applyFont="1" applyFill="1" applyBorder="1" applyAlignment="1" applyProtection="1">
      <alignment horizontal="center"/>
      <protection locked="0"/>
    </xf>
    <xf numFmtId="0" fontId="2" fillId="3" borderId="8" xfId="0" applyFont="1" applyFill="1" applyBorder="1" applyAlignment="1" applyProtection="1">
      <alignment horizontal="center"/>
      <protection locked="0"/>
    </xf>
    <xf numFmtId="9" fontId="2" fillId="3" borderId="9" xfId="0" applyNumberFormat="1" applyFont="1" applyFill="1" applyBorder="1" applyAlignment="1" applyProtection="1">
      <alignment horizontal="center"/>
      <protection locked="0"/>
    </xf>
    <xf numFmtId="0" fontId="2" fillId="3" borderId="4" xfId="0" applyFont="1" applyFill="1" applyBorder="1" applyAlignment="1" applyProtection="1"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4" xfId="0" applyFont="1" applyFill="1" applyBorder="1" applyAlignment="1" applyProtection="1">
      <alignment horizontal="center"/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8" fillId="4" borderId="0" xfId="0" applyFont="1" applyFill="1" applyBorder="1" applyAlignment="1" applyProtection="1">
      <protection locked="0"/>
    </xf>
    <xf numFmtId="0" fontId="2" fillId="4" borderId="0" xfId="0" applyFont="1" applyFill="1" applyBorder="1" applyProtection="1">
      <protection locked="0"/>
    </xf>
    <xf numFmtId="0" fontId="2" fillId="4" borderId="13" xfId="0" applyFont="1" applyFill="1" applyBorder="1" applyAlignment="1" applyProtection="1">
      <protection locked="0"/>
    </xf>
    <xf numFmtId="0" fontId="2" fillId="4" borderId="13" xfId="0" applyFont="1" applyFill="1" applyBorder="1" applyAlignment="1" applyProtection="1">
      <alignment horizontal="center"/>
      <protection locked="0"/>
    </xf>
    <xf numFmtId="0" fontId="2" fillId="3" borderId="11" xfId="0" applyFont="1" applyFill="1" applyBorder="1" applyProtection="1">
      <protection locked="0"/>
    </xf>
    <xf numFmtId="0" fontId="2" fillId="3" borderId="12" xfId="0" applyFont="1" applyFill="1" applyBorder="1" applyProtection="1">
      <protection locked="0"/>
    </xf>
    <xf numFmtId="0" fontId="0" fillId="4" borderId="0" xfId="0" applyFill="1" applyProtection="1">
      <protection locked="0"/>
    </xf>
    <xf numFmtId="0" fontId="2" fillId="4" borderId="2" xfId="0" applyFont="1" applyFill="1" applyBorder="1" applyProtection="1">
      <protection locked="0"/>
    </xf>
    <xf numFmtId="0" fontId="2" fillId="4" borderId="2" xfId="0" applyFont="1" applyFill="1" applyBorder="1" applyAlignment="1" applyProtection="1">
      <protection locked="0"/>
    </xf>
    <xf numFmtId="0" fontId="2" fillId="4" borderId="4" xfId="0" applyFont="1" applyFill="1" applyBorder="1" applyAlignment="1" applyProtection="1">
      <protection locked="0"/>
    </xf>
    <xf numFmtId="0" fontId="2" fillId="4" borderId="1" xfId="0" applyFont="1" applyFill="1" applyBorder="1" applyAlignment="1" applyProtection="1">
      <alignment horizontal="center"/>
      <protection locked="0"/>
    </xf>
    <xf numFmtId="0" fontId="2" fillId="3" borderId="5" xfId="0" applyFont="1" applyFill="1" applyBorder="1" applyAlignment="1" applyProtection="1">
      <alignment horizontal="left"/>
      <protection locked="0"/>
    </xf>
    <xf numFmtId="0" fontId="2" fillId="3" borderId="5" xfId="0" applyFont="1" applyFill="1" applyBorder="1" applyAlignment="1" applyProtection="1">
      <protection locked="0"/>
    </xf>
    <xf numFmtId="0" fontId="2" fillId="3" borderId="7" xfId="0" applyFont="1" applyFill="1" applyBorder="1" applyAlignment="1" applyProtection="1"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2" borderId="6" xfId="0" applyFont="1" applyFill="1" applyBorder="1" applyAlignment="1" applyProtection="1">
      <alignment horizontal="center"/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4" borderId="5" xfId="0" applyFont="1" applyFill="1" applyBorder="1" applyAlignment="1" applyProtection="1">
      <alignment horizontal="center"/>
    </xf>
    <xf numFmtId="0" fontId="2" fillId="4" borderId="7" xfId="0" applyFont="1" applyFill="1" applyBorder="1" applyAlignment="1" applyProtection="1">
      <alignment horizontal="center"/>
    </xf>
    <xf numFmtId="0" fontId="2" fillId="4" borderId="2" xfId="0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</xf>
    <xf numFmtId="0" fontId="2" fillId="4" borderId="12" xfId="0" applyFont="1" applyFill="1" applyBorder="1" applyAlignment="1" applyProtection="1">
      <alignment horizontal="center"/>
    </xf>
    <xf numFmtId="0" fontId="2" fillId="4" borderId="0" xfId="0" applyFont="1" applyFill="1" applyBorder="1" applyAlignment="1" applyProtection="1">
      <alignment horizontal="center"/>
      <protection locked="0"/>
    </xf>
    <xf numFmtId="0" fontId="4" fillId="4" borderId="0" xfId="0" applyFont="1" applyFill="1" applyBorder="1" applyAlignment="1" applyProtection="1">
      <protection locked="0"/>
    </xf>
    <xf numFmtId="0" fontId="0" fillId="0" borderId="0" xfId="0" applyFont="1" applyBorder="1"/>
    <xf numFmtId="0" fontId="0" fillId="0" borderId="16" xfId="0" applyBorder="1" applyAlignment="1">
      <alignment horizontal="left"/>
    </xf>
    <xf numFmtId="0" fontId="2" fillId="3" borderId="11" xfId="0" applyFont="1" applyFill="1" applyBorder="1" applyAlignment="1" applyProtection="1">
      <alignment horizontal="center"/>
      <protection locked="0"/>
    </xf>
    <xf numFmtId="0" fontId="0" fillId="4" borderId="13" xfId="0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  <xf numFmtId="0" fontId="2" fillId="5" borderId="13" xfId="0" applyFont="1" applyFill="1" applyBorder="1" applyAlignment="1" applyProtection="1">
      <alignment horizontal="center"/>
      <protection locked="0"/>
    </xf>
    <xf numFmtId="0" fontId="2" fillId="5" borderId="11" xfId="0" applyFont="1" applyFill="1" applyBorder="1" applyAlignment="1" applyProtection="1">
      <alignment horizontal="center"/>
      <protection locked="0"/>
    </xf>
    <xf numFmtId="0" fontId="2" fillId="5" borderId="12" xfId="0" applyFont="1" applyFill="1" applyBorder="1" applyAlignment="1" applyProtection="1">
      <alignment horizontal="center"/>
      <protection locked="0"/>
    </xf>
    <xf numFmtId="0" fontId="7" fillId="4" borderId="12" xfId="1" applyFill="1" applyBorder="1" applyAlignment="1" applyProtection="1">
      <alignment horizontal="center"/>
      <protection locked="0"/>
    </xf>
    <xf numFmtId="0" fontId="0" fillId="0" borderId="0" xfId="0" applyBorder="1" applyAlignment="1">
      <alignment horizontal="left"/>
    </xf>
    <xf numFmtId="0" fontId="2" fillId="3" borderId="6" xfId="0" applyNumberFormat="1" applyFont="1" applyFill="1" applyBorder="1" applyAlignment="1" applyProtection="1">
      <alignment horizontal="center"/>
      <protection locked="0"/>
    </xf>
    <xf numFmtId="0" fontId="2" fillId="3" borderId="9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/>
    <xf numFmtId="0" fontId="2" fillId="4" borderId="0" xfId="0" quotePrefix="1" applyFont="1" applyFill="1" applyProtection="1">
      <protection locked="0"/>
    </xf>
    <xf numFmtId="0" fontId="2" fillId="4" borderId="15" xfId="0" applyFont="1" applyFill="1" applyBorder="1" applyAlignment="1" applyProtection="1">
      <alignment horizontal="centerContinuous"/>
      <protection locked="0"/>
    </xf>
    <xf numFmtId="0" fontId="2" fillId="4" borderId="14" xfId="0" applyFont="1" applyFill="1" applyBorder="1" applyAlignment="1" applyProtection="1">
      <alignment horizontal="centerContinuous"/>
      <protection locked="0"/>
    </xf>
    <xf numFmtId="0" fontId="2" fillId="4" borderId="10" xfId="0" applyFont="1" applyFill="1" applyBorder="1" applyAlignment="1" applyProtection="1">
      <alignment horizontal="centerContinuous"/>
      <protection locked="0"/>
    </xf>
    <xf numFmtId="49" fontId="2" fillId="3" borderId="10" xfId="0" quotePrefix="1" applyNumberFormat="1" applyFont="1" applyFill="1" applyBorder="1" applyAlignment="1" applyProtection="1">
      <alignment horizontal="center" shrinkToFit="1"/>
      <protection locked="0"/>
    </xf>
    <xf numFmtId="49" fontId="0" fillId="0" borderId="0" xfId="0" applyNumberFormat="1"/>
    <xf numFmtId="0" fontId="0" fillId="0" borderId="0" xfId="0" quotePrefix="1"/>
    <xf numFmtId="0" fontId="4" fillId="0" borderId="0" xfId="0" applyFont="1"/>
    <xf numFmtId="0" fontId="0" fillId="4" borderId="1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Continuous"/>
    </xf>
    <xf numFmtId="0" fontId="2" fillId="4" borderId="3" xfId="0" applyFont="1" applyFill="1" applyBorder="1" applyAlignment="1">
      <alignment horizontal="centerContinuous"/>
    </xf>
    <xf numFmtId="0" fontId="2" fillId="4" borderId="4" xfId="0" applyFont="1" applyFill="1" applyBorder="1" applyAlignment="1">
      <alignment horizontal="centerContinuous"/>
    </xf>
    <xf numFmtId="0" fontId="0" fillId="4" borderId="12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Continuous"/>
    </xf>
    <xf numFmtId="0" fontId="4" fillId="4" borderId="0" xfId="0" applyFont="1" applyFill="1" applyAlignment="1">
      <alignment horizontal="centerContinuous"/>
    </xf>
    <xf numFmtId="0" fontId="0" fillId="0" borderId="0" xfId="0" applyFill="1" applyAlignment="1">
      <alignment horizontal="center"/>
    </xf>
    <xf numFmtId="0" fontId="2" fillId="4" borderId="0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  <protection locked="0"/>
    </xf>
    <xf numFmtId="0" fontId="2" fillId="4" borderId="3" xfId="0" applyFont="1" applyFill="1" applyBorder="1" applyAlignment="1" applyProtection="1">
      <alignment horizontal="center"/>
    </xf>
    <xf numFmtId="9" fontId="2" fillId="4" borderId="4" xfId="0" applyNumberFormat="1" applyFont="1" applyFill="1" applyBorder="1" applyAlignment="1" applyProtection="1">
      <alignment horizontal="center"/>
    </xf>
    <xf numFmtId="9" fontId="2" fillId="4" borderId="6" xfId="0" applyNumberFormat="1" applyFont="1" applyFill="1" applyBorder="1" applyAlignment="1" applyProtection="1">
      <alignment horizontal="center"/>
    </xf>
    <xf numFmtId="0" fontId="2" fillId="4" borderId="8" xfId="0" applyFont="1" applyFill="1" applyBorder="1" applyAlignment="1" applyProtection="1">
      <alignment horizontal="center"/>
    </xf>
    <xf numFmtId="9" fontId="2" fillId="4" borderId="9" xfId="0" applyNumberFormat="1" applyFont="1" applyFill="1" applyBorder="1" applyAlignment="1" applyProtection="1">
      <alignment horizontal="center"/>
    </xf>
    <xf numFmtId="0" fontId="2" fillId="4" borderId="11" xfId="0" applyFont="1" applyFill="1" applyBorder="1" applyAlignment="1" applyProtection="1">
      <alignment horizontal="center"/>
      <protection locked="0"/>
    </xf>
    <xf numFmtId="0" fontId="2" fillId="4" borderId="6" xfId="0" applyFont="1" applyFill="1" applyBorder="1" applyAlignment="1" applyProtection="1">
      <alignment horizontal="center"/>
      <protection locked="0"/>
    </xf>
    <xf numFmtId="0" fontId="0" fillId="0" borderId="4" xfId="0" applyBorder="1" applyProtection="1">
      <protection locked="0"/>
    </xf>
    <xf numFmtId="0" fontId="2" fillId="4" borderId="9" xfId="0" applyFont="1" applyFill="1" applyBorder="1" applyAlignment="1" applyProtection="1">
      <protection locked="0"/>
    </xf>
    <xf numFmtId="0" fontId="2" fillId="3" borderId="15" xfId="0" applyFont="1" applyFill="1" applyBorder="1" applyAlignment="1" applyProtection="1">
      <alignment horizontal="left"/>
      <protection locked="0"/>
    </xf>
    <xf numFmtId="0" fontId="2" fillId="3" borderId="10" xfId="0" applyFont="1" applyFill="1" applyBorder="1" applyAlignment="1" applyProtection="1">
      <alignment horizontal="left"/>
      <protection locked="0"/>
    </xf>
  </cellXfs>
  <cellStyles count="2">
    <cellStyle name="Hyperlink" xfId="1" builtinId="8"/>
    <cellStyle name="Normal" xfId="0" builtinId="0"/>
  </cellStyles>
  <dxfs count="14"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  <dxf>
      <font>
        <color theme="0" tint="-0.24994659260841701"/>
      </font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FFF2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styles" Target="styles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5</xdr:row>
          <xdr:rowOff>66675</xdr:rowOff>
        </xdr:from>
        <xdr:to>
          <xdr:col>7</xdr:col>
          <xdr:colOff>485775</xdr:colOff>
          <xdr:row>7</xdr:row>
          <xdr:rowOff>47625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JSONs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13</xdr:row>
          <xdr:rowOff>133350</xdr:rowOff>
        </xdr:from>
        <xdr:to>
          <xdr:col>4</xdr:col>
          <xdr:colOff>123825</xdr:colOff>
          <xdr:row>15</xdr:row>
          <xdr:rowOff>85725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13</xdr:row>
          <xdr:rowOff>133350</xdr:rowOff>
        </xdr:from>
        <xdr:to>
          <xdr:col>5</xdr:col>
          <xdr:colOff>428625</xdr:colOff>
          <xdr:row>15</xdr:row>
          <xdr:rowOff>85725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13</xdr:row>
          <xdr:rowOff>133350</xdr:rowOff>
        </xdr:from>
        <xdr:to>
          <xdr:col>7</xdr:col>
          <xdr:colOff>47625</xdr:colOff>
          <xdr:row>15</xdr:row>
          <xdr:rowOff>85725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447675</xdr:colOff>
          <xdr:row>7</xdr:row>
          <xdr:rowOff>161925</xdr:rowOff>
        </xdr:from>
        <xdr:to>
          <xdr:col>7</xdr:col>
          <xdr:colOff>485775</xdr:colOff>
          <xdr:row>9</xdr:row>
          <xdr:rowOff>133350</xdr:rowOff>
        </xdr:to>
        <xdr:sp macro="" textlink="">
          <xdr:nvSpPr>
            <xdr:cNvPr id="1132" name="Button 108" hidden="1">
              <a:extLst>
                <a:ext uri="{63B3BB69-23CF-44E3-9099-C40C66FF867C}">
                  <a14:compatExt spid="_x0000_s1132"/>
                </a:ext>
                <a:ext uri="{FF2B5EF4-FFF2-40B4-BE49-F238E27FC236}">
                  <a16:creationId xmlns:a16="http://schemas.microsoft.com/office/drawing/2014/main" id="{00000000-0008-0000-0000-00006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161925</xdr:colOff>
          <xdr:row>0</xdr:row>
          <xdr:rowOff>180975</xdr:rowOff>
        </xdr:from>
        <xdr:to>
          <xdr:col>10</xdr:col>
          <xdr:colOff>676275</xdr:colOff>
          <xdr:row>2</xdr:row>
          <xdr:rowOff>104775</xdr:rowOff>
        </xdr:to>
        <xdr:sp macro="" textlink="">
          <xdr:nvSpPr>
            <xdr:cNvPr id="1135" name="Button 111" hidden="1">
              <a:extLst>
                <a:ext uri="{63B3BB69-23CF-44E3-9099-C40C66FF867C}">
                  <a14:compatExt spid="_x0000_s1135"/>
                </a:ext>
                <a:ext uri="{FF2B5EF4-FFF2-40B4-BE49-F238E27FC236}">
                  <a16:creationId xmlns:a16="http://schemas.microsoft.com/office/drawing/2014/main" id="{00000000-0008-0000-0000-00006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Latest </a:t>
              </a:r>
            </a:p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Version from GitHub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33</xdr:row>
          <xdr:rowOff>133350</xdr:rowOff>
        </xdr:from>
        <xdr:to>
          <xdr:col>4</xdr:col>
          <xdr:colOff>123825</xdr:colOff>
          <xdr:row>35</xdr:row>
          <xdr:rowOff>85725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33</xdr:row>
          <xdr:rowOff>133350</xdr:rowOff>
        </xdr:from>
        <xdr:to>
          <xdr:col>5</xdr:col>
          <xdr:colOff>428625</xdr:colOff>
          <xdr:row>35</xdr:row>
          <xdr:rowOff>85725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  <a:ext uri="{FF2B5EF4-FFF2-40B4-BE49-F238E27FC236}">
                  <a16:creationId xmlns:a16="http://schemas.microsoft.com/office/drawing/2014/main" id="{00000000-0008-0000-0000-00007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Preset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495300</xdr:colOff>
          <xdr:row>33</xdr:row>
          <xdr:rowOff>133350</xdr:rowOff>
        </xdr:from>
        <xdr:to>
          <xdr:col>7</xdr:col>
          <xdr:colOff>47625</xdr:colOff>
          <xdr:row>35</xdr:row>
          <xdr:rowOff>85725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Preset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hyperlink" Target="https://github.com/randomqwerty/GFLBattleSim-JSONGenerator" TargetMode="External"/><Relationship Id="rId1" Type="http://schemas.openxmlformats.org/officeDocument/2006/relationships/hyperlink" Target="https://imgur.com/a/xnHAlSd" TargetMode="External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vmlDrawing" Target="../drawings/vmlDrawing1.vml"/><Relationship Id="rId15" Type="http://schemas.openxmlformats.org/officeDocument/2006/relationships/comments" Target="../comments1.xml"/><Relationship Id="rId10" Type="http://schemas.openxmlformats.org/officeDocument/2006/relationships/ctrlProp" Target="../ctrlProps/ctrlProp5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Relationship Id="rId14" Type="http://schemas.openxmlformats.org/officeDocument/2006/relationships/ctrlProp" Target="../ctrlProps/ctrlProp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docs.google.com/spreadsheets/d/1TYKbdjuOdOMsvaaIduWW_8FF0tm27BjwKbC4uggl1wE/edit" TargetMode="External"/><Relationship Id="rId1" Type="http://schemas.openxmlformats.org/officeDocument/2006/relationships/hyperlink" Target="https://bbs.nga.cn/read.php?tid=20891117&amp;rand=438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8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BF9F6-FF80-450A-803F-6BE22C40856E}">
  <sheetPr codeName="Sheet1">
    <tabColor theme="7" tint="0.79998168889431442"/>
  </sheetPr>
  <dimension ref="A1:AC83"/>
  <sheetViews>
    <sheetView tabSelected="1" zoomScale="90" zoomScaleNormal="90" workbookViewId="0"/>
  </sheetViews>
  <sheetFormatPr defaultRowHeight="15" outlineLevelRow="1" x14ac:dyDescent="0.25"/>
  <cols>
    <col min="1" max="1" width="12.7109375" style="155" customWidth="1"/>
    <col min="2" max="2" width="13.140625" style="155" customWidth="1"/>
    <col min="3" max="3" width="11.42578125" style="155" bestFit="1" customWidth="1"/>
    <col min="4" max="4" width="15.140625" style="155" bestFit="1" customWidth="1"/>
    <col min="5" max="5" width="10.85546875" style="155" bestFit="1" customWidth="1"/>
    <col min="6" max="6" width="12.42578125" style="155" customWidth="1"/>
    <col min="7" max="7" width="9.28515625" style="155" bestFit="1" customWidth="1"/>
    <col min="8" max="8" width="10" style="155" customWidth="1"/>
    <col min="9" max="10" width="9.140625" style="155"/>
    <col min="11" max="14" width="13.5703125" style="155" customWidth="1"/>
    <col min="15" max="15" width="9.140625" style="155"/>
    <col min="16" max="16" width="11.7109375" style="155" customWidth="1"/>
    <col min="17" max="17" width="11.140625" style="155" customWidth="1"/>
    <col min="18" max="16384" width="9.140625" style="155"/>
  </cols>
  <sheetData>
    <row r="1" spans="1:5" ht="26.25" x14ac:dyDescent="0.4">
      <c r="A1" s="154" t="s">
        <v>6641</v>
      </c>
    </row>
    <row r="2" spans="1:5" x14ac:dyDescent="0.25">
      <c r="A2" s="155" t="s">
        <v>857</v>
      </c>
    </row>
    <row r="3" spans="1:5" x14ac:dyDescent="0.25">
      <c r="A3" s="155" t="s">
        <v>5693</v>
      </c>
    </row>
    <row r="4" spans="1:5" x14ac:dyDescent="0.25">
      <c r="A4" s="155" t="s">
        <v>5695</v>
      </c>
    </row>
    <row r="5" spans="1:5" x14ac:dyDescent="0.25">
      <c r="A5" s="155" t="s">
        <v>6592</v>
      </c>
      <c r="B5" s="156" t="s">
        <v>933</v>
      </c>
    </row>
    <row r="7" spans="1:5" x14ac:dyDescent="0.25">
      <c r="A7" s="157" t="s">
        <v>1062</v>
      </c>
      <c r="B7" s="161" t="s">
        <v>1771</v>
      </c>
      <c r="D7" s="157" t="s">
        <v>1727</v>
      </c>
      <c r="E7" s="230" t="s">
        <v>6381</v>
      </c>
    </row>
    <row r="8" spans="1:5" x14ac:dyDescent="0.25">
      <c r="A8" s="158" t="s">
        <v>6591</v>
      </c>
      <c r="B8" s="159" t="s">
        <v>6595</v>
      </c>
      <c r="D8" s="158" t="s">
        <v>850</v>
      </c>
      <c r="E8" s="159">
        <v>220000</v>
      </c>
    </row>
    <row r="9" spans="1:5" x14ac:dyDescent="0.25">
      <c r="A9" s="158" t="s">
        <v>6590</v>
      </c>
      <c r="B9" s="159" t="s">
        <v>971</v>
      </c>
      <c r="D9" s="158" t="s">
        <v>851</v>
      </c>
      <c r="E9" s="159" t="b">
        <v>1</v>
      </c>
    </row>
    <row r="10" spans="1:5" x14ac:dyDescent="0.25">
      <c r="A10" s="158" t="s">
        <v>1728</v>
      </c>
      <c r="B10" s="159">
        <v>8</v>
      </c>
      <c r="D10" s="158" t="s">
        <v>852</v>
      </c>
      <c r="E10" s="159" t="b">
        <v>1</v>
      </c>
    </row>
    <row r="11" spans="1:5" x14ac:dyDescent="0.25">
      <c r="A11" s="158" t="s">
        <v>6589</v>
      </c>
      <c r="B11" s="159">
        <v>1234</v>
      </c>
    </row>
    <row r="13" spans="1:5" ht="18.75" x14ac:dyDescent="0.3">
      <c r="A13" s="162" t="s">
        <v>1060</v>
      </c>
      <c r="B13" s="163"/>
    </row>
    <row r="14" spans="1:5" outlineLevel="1" x14ac:dyDescent="0.25">
      <c r="A14" s="160"/>
      <c r="B14" s="163"/>
    </row>
    <row r="15" spans="1:5" outlineLevel="1" x14ac:dyDescent="0.25">
      <c r="A15" s="160" t="s">
        <v>974</v>
      </c>
      <c r="B15" s="253" t="s">
        <v>6430</v>
      </c>
      <c r="C15" s="254"/>
    </row>
    <row r="16" spans="1:5" outlineLevel="1" x14ac:dyDescent="0.25">
      <c r="A16" s="160"/>
      <c r="B16" s="163"/>
    </row>
    <row r="17" spans="1:29" outlineLevel="1" x14ac:dyDescent="0.25">
      <c r="A17" s="164" t="s">
        <v>6521</v>
      </c>
      <c r="B17" s="164"/>
      <c r="C17" s="164"/>
      <c r="D17" s="164"/>
      <c r="E17" s="164"/>
      <c r="F17" s="164"/>
      <c r="G17" s="164"/>
      <c r="H17" s="164"/>
      <c r="I17" s="164"/>
      <c r="J17" s="164"/>
      <c r="L17" s="164" t="s">
        <v>6522</v>
      </c>
      <c r="M17" s="164"/>
      <c r="N17" s="164"/>
      <c r="O17" s="164"/>
      <c r="P17" s="164"/>
      <c r="Q17" s="164"/>
      <c r="R17" s="164"/>
      <c r="S17" s="164"/>
      <c r="T17" s="164"/>
      <c r="U17" s="164"/>
      <c r="V17" s="164"/>
      <c r="W17" s="164"/>
    </row>
    <row r="18" spans="1:29" outlineLevel="1" x14ac:dyDescent="0.25">
      <c r="A18" s="165"/>
      <c r="B18" s="166" t="s">
        <v>573</v>
      </c>
      <c r="C18" s="166"/>
      <c r="D18" s="166"/>
      <c r="E18" s="166"/>
      <c r="F18" s="166"/>
      <c r="G18" s="166"/>
      <c r="H18" s="166"/>
      <c r="I18" s="166"/>
      <c r="J18" s="167"/>
      <c r="L18" s="168" t="s">
        <v>705</v>
      </c>
      <c r="M18" s="166"/>
      <c r="N18" s="166"/>
      <c r="O18" s="167"/>
      <c r="P18" s="166" t="s">
        <v>706</v>
      </c>
      <c r="Q18" s="166"/>
      <c r="R18" s="166"/>
      <c r="S18" s="167"/>
      <c r="T18" s="166" t="s">
        <v>707</v>
      </c>
      <c r="U18" s="166"/>
      <c r="V18" s="166"/>
      <c r="W18" s="167"/>
      <c r="Y18" s="168" t="s">
        <v>968</v>
      </c>
      <c r="Z18" s="166"/>
      <c r="AA18" s="166"/>
      <c r="AB18" s="167"/>
      <c r="AC18" s="184" t="b">
        <v>1</v>
      </c>
    </row>
    <row r="19" spans="1:29" outlineLevel="1" x14ac:dyDescent="0.25">
      <c r="A19" s="169" t="s">
        <v>0</v>
      </c>
      <c r="B19" s="170" t="s">
        <v>1094</v>
      </c>
      <c r="C19" s="170" t="s">
        <v>1</v>
      </c>
      <c r="D19" s="170" t="s">
        <v>8</v>
      </c>
      <c r="E19" s="170" t="s">
        <v>18</v>
      </c>
      <c r="F19" s="170" t="s">
        <v>281</v>
      </c>
      <c r="G19" s="170" t="s">
        <v>58</v>
      </c>
      <c r="H19" s="170" t="s">
        <v>59</v>
      </c>
      <c r="I19" s="170" t="s">
        <v>269</v>
      </c>
      <c r="J19" s="171" t="s">
        <v>60</v>
      </c>
      <c r="L19" s="172" t="s">
        <v>703</v>
      </c>
      <c r="M19" s="170" t="s">
        <v>8</v>
      </c>
      <c r="N19" s="170" t="s">
        <v>18</v>
      </c>
      <c r="O19" s="171" t="s">
        <v>704</v>
      </c>
      <c r="P19" s="170" t="s">
        <v>703</v>
      </c>
      <c r="Q19" s="170" t="s">
        <v>8</v>
      </c>
      <c r="R19" s="170" t="s">
        <v>18</v>
      </c>
      <c r="S19" s="171" t="s">
        <v>704</v>
      </c>
      <c r="T19" s="170" t="s">
        <v>703</v>
      </c>
      <c r="U19" s="170" t="s">
        <v>8</v>
      </c>
      <c r="V19" s="170" t="s">
        <v>18</v>
      </c>
      <c r="W19" s="171" t="s">
        <v>704</v>
      </c>
      <c r="Y19" s="185" t="s">
        <v>970</v>
      </c>
      <c r="Z19" s="186" t="s">
        <v>10</v>
      </c>
      <c r="AA19" s="186" t="s">
        <v>11</v>
      </c>
      <c r="AB19" s="186" t="s">
        <v>12</v>
      </c>
      <c r="AC19" s="187" t="s">
        <v>13</v>
      </c>
    </row>
    <row r="20" spans="1:29" outlineLevel="1" x14ac:dyDescent="0.25">
      <c r="A20" s="249">
        <v>1</v>
      </c>
      <c r="B20" s="173">
        <v>5</v>
      </c>
      <c r="C20" s="174" t="s">
        <v>4</v>
      </c>
      <c r="D20" s="175" t="s">
        <v>212</v>
      </c>
      <c r="E20" s="174">
        <v>100</v>
      </c>
      <c r="F20" s="174">
        <v>5</v>
      </c>
      <c r="G20" s="174">
        <v>10</v>
      </c>
      <c r="H20" s="174">
        <v>0</v>
      </c>
      <c r="I20" s="174">
        <v>0</v>
      </c>
      <c r="J20" s="175">
        <v>100</v>
      </c>
      <c r="K20" s="176"/>
      <c r="L20" s="177" t="s">
        <v>713</v>
      </c>
      <c r="M20" s="178" t="s">
        <v>523</v>
      </c>
      <c r="N20" s="178">
        <v>10</v>
      </c>
      <c r="O20" s="179">
        <v>1</v>
      </c>
      <c r="P20" s="177" t="s">
        <v>721</v>
      </c>
      <c r="Q20" s="178" t="s">
        <v>535</v>
      </c>
      <c r="R20" s="178">
        <v>10</v>
      </c>
      <c r="S20" s="179">
        <v>1</v>
      </c>
      <c r="T20" s="177" t="s">
        <v>742</v>
      </c>
      <c r="U20" s="178" t="s">
        <v>556</v>
      </c>
      <c r="V20" s="178">
        <v>10</v>
      </c>
      <c r="W20" s="179">
        <v>1</v>
      </c>
      <c r="Y20" s="177"/>
      <c r="Z20" s="178"/>
      <c r="AA20" s="178"/>
      <c r="AB20" s="178"/>
      <c r="AC20" s="223"/>
    </row>
    <row r="21" spans="1:29" outlineLevel="1" x14ac:dyDescent="0.25">
      <c r="A21" s="249">
        <v>2</v>
      </c>
      <c r="B21" s="177">
        <v>5</v>
      </c>
      <c r="C21" s="178" t="s">
        <v>4</v>
      </c>
      <c r="D21" s="180" t="s">
        <v>1691</v>
      </c>
      <c r="E21" s="178">
        <v>100</v>
      </c>
      <c r="F21" s="178">
        <v>5</v>
      </c>
      <c r="G21" s="178">
        <v>10</v>
      </c>
      <c r="H21" s="178">
        <v>0</v>
      </c>
      <c r="I21" s="178">
        <v>0</v>
      </c>
      <c r="J21" s="180">
        <v>100</v>
      </c>
      <c r="K21" s="176"/>
      <c r="L21" s="177" t="s">
        <v>713</v>
      </c>
      <c r="M21" s="178" t="s">
        <v>523</v>
      </c>
      <c r="N21" s="178">
        <v>10</v>
      </c>
      <c r="O21" s="179">
        <v>1</v>
      </c>
      <c r="P21" s="177" t="s">
        <v>721</v>
      </c>
      <c r="Q21" s="178" t="s">
        <v>535</v>
      </c>
      <c r="R21" s="178">
        <v>10</v>
      </c>
      <c r="S21" s="179">
        <v>1</v>
      </c>
      <c r="T21" s="177" t="s">
        <v>742</v>
      </c>
      <c r="U21" s="178" t="s">
        <v>556</v>
      </c>
      <c r="V21" s="178">
        <v>10</v>
      </c>
      <c r="W21" s="179">
        <v>1</v>
      </c>
      <c r="Y21" s="177"/>
      <c r="Z21" s="178"/>
      <c r="AA21" s="178"/>
      <c r="AB21" s="178"/>
      <c r="AC21" s="223"/>
    </row>
    <row r="22" spans="1:29" outlineLevel="1" x14ac:dyDescent="0.25">
      <c r="A22" s="249">
        <v>3</v>
      </c>
      <c r="B22" s="177">
        <v>6</v>
      </c>
      <c r="C22" s="178" t="s">
        <v>2</v>
      </c>
      <c r="D22" s="180" t="s">
        <v>259</v>
      </c>
      <c r="E22" s="178">
        <v>115</v>
      </c>
      <c r="F22" s="178">
        <v>5</v>
      </c>
      <c r="G22" s="178">
        <v>10</v>
      </c>
      <c r="H22" s="178">
        <v>10</v>
      </c>
      <c r="I22" s="178">
        <v>3</v>
      </c>
      <c r="J22" s="180">
        <v>100</v>
      </c>
      <c r="K22" s="176"/>
      <c r="L22" s="177" t="s">
        <v>702</v>
      </c>
      <c r="M22" s="178" t="s">
        <v>223</v>
      </c>
      <c r="N22" s="178">
        <v>10</v>
      </c>
      <c r="O22" s="179">
        <v>1</v>
      </c>
      <c r="P22" s="177" t="s">
        <v>728</v>
      </c>
      <c r="Q22" s="178" t="s">
        <v>539</v>
      </c>
      <c r="R22" s="178">
        <v>10</v>
      </c>
      <c r="S22" s="179">
        <v>1</v>
      </c>
      <c r="T22" s="177" t="s">
        <v>702</v>
      </c>
      <c r="U22" s="178" t="s">
        <v>259</v>
      </c>
      <c r="V22" s="178">
        <v>10</v>
      </c>
      <c r="W22" s="179">
        <v>1</v>
      </c>
      <c r="Y22" s="177"/>
      <c r="Z22" s="178"/>
      <c r="AA22" s="178"/>
      <c r="AB22" s="178"/>
      <c r="AC22" s="223"/>
    </row>
    <row r="23" spans="1:29" outlineLevel="1" x14ac:dyDescent="0.25">
      <c r="A23" s="249">
        <v>4</v>
      </c>
      <c r="B23" s="177">
        <v>5</v>
      </c>
      <c r="C23" s="178" t="s">
        <v>5</v>
      </c>
      <c r="D23" s="180" t="s">
        <v>1687</v>
      </c>
      <c r="E23" s="178">
        <v>100</v>
      </c>
      <c r="F23" s="178">
        <v>5</v>
      </c>
      <c r="G23" s="178">
        <v>10</v>
      </c>
      <c r="H23" s="178">
        <v>0</v>
      </c>
      <c r="I23" s="178">
        <v>0</v>
      </c>
      <c r="J23" s="180">
        <v>100</v>
      </c>
      <c r="K23" s="176"/>
      <c r="L23" s="177" t="s">
        <v>6434</v>
      </c>
      <c r="M23" s="178" t="s">
        <v>6438</v>
      </c>
      <c r="N23" s="178">
        <v>10</v>
      </c>
      <c r="O23" s="179">
        <v>1</v>
      </c>
      <c r="P23" s="177" t="s">
        <v>922</v>
      </c>
      <c r="Q23" s="178" t="s">
        <v>913</v>
      </c>
      <c r="R23" s="178">
        <v>10</v>
      </c>
      <c r="S23" s="179">
        <v>1</v>
      </c>
      <c r="T23" s="177" t="s">
        <v>638</v>
      </c>
      <c r="U23" s="178" t="s">
        <v>546</v>
      </c>
      <c r="V23" s="178">
        <v>10</v>
      </c>
      <c r="W23" s="179">
        <v>1</v>
      </c>
      <c r="Y23" s="177"/>
      <c r="Z23" s="178"/>
      <c r="AA23" s="178"/>
      <c r="AB23" s="178"/>
      <c r="AC23" s="223"/>
    </row>
    <row r="24" spans="1:29" outlineLevel="1" x14ac:dyDescent="0.25">
      <c r="A24" s="169">
        <v>5</v>
      </c>
      <c r="B24" s="181">
        <v>5</v>
      </c>
      <c r="C24" s="182" t="s">
        <v>3</v>
      </c>
      <c r="D24" s="159" t="s">
        <v>197</v>
      </c>
      <c r="E24" s="182">
        <v>100</v>
      </c>
      <c r="F24" s="182">
        <v>5</v>
      </c>
      <c r="G24" s="182">
        <v>10</v>
      </c>
      <c r="H24" s="182">
        <v>0</v>
      </c>
      <c r="I24" s="182">
        <v>0</v>
      </c>
      <c r="J24" s="159">
        <v>100</v>
      </c>
      <c r="K24" s="176"/>
      <c r="L24" s="181" t="s">
        <v>754</v>
      </c>
      <c r="M24" s="182" t="s">
        <v>554</v>
      </c>
      <c r="N24" s="182">
        <v>10</v>
      </c>
      <c r="O24" s="183">
        <v>1</v>
      </c>
      <c r="P24" s="181" t="s">
        <v>9</v>
      </c>
      <c r="Q24" s="182" t="s">
        <v>560</v>
      </c>
      <c r="R24" s="182">
        <v>10</v>
      </c>
      <c r="S24" s="183">
        <v>1</v>
      </c>
      <c r="T24" s="181" t="s">
        <v>733</v>
      </c>
      <c r="U24" s="182" t="s">
        <v>543</v>
      </c>
      <c r="V24" s="182">
        <v>10</v>
      </c>
      <c r="W24" s="183">
        <v>1</v>
      </c>
      <c r="Y24" s="181"/>
      <c r="Z24" s="182"/>
      <c r="AA24" s="182"/>
      <c r="AB24" s="182"/>
      <c r="AC24" s="224"/>
    </row>
    <row r="25" spans="1:29" outlineLevel="1" x14ac:dyDescent="0.25"/>
    <row r="26" spans="1:29" outlineLevel="1" x14ac:dyDescent="0.25">
      <c r="A26" s="164" t="s">
        <v>955</v>
      </c>
      <c r="B26" s="164"/>
      <c r="C26" s="164"/>
      <c r="D26" s="164"/>
      <c r="E26" s="164"/>
      <c r="F26" s="164"/>
      <c r="H26" s="164" t="s">
        <v>956</v>
      </c>
      <c r="I26" s="164"/>
      <c r="J26" s="164"/>
      <c r="L26" s="160" t="s">
        <v>6524</v>
      </c>
    </row>
    <row r="27" spans="1:29" outlineLevel="1" x14ac:dyDescent="0.25">
      <c r="A27" s="165"/>
      <c r="B27" s="168" t="s">
        <v>764</v>
      </c>
      <c r="C27" s="166"/>
      <c r="D27" s="166"/>
      <c r="E27" s="166"/>
      <c r="F27" s="167"/>
      <c r="H27" s="161">
        <v>2</v>
      </c>
      <c r="I27" s="161"/>
      <c r="J27" s="161"/>
      <c r="L27" s="207" t="str">
        <f>IF($C20="","",IF(OR($C20="HG",$C20="SMG"),"SPP",IF($C20="SG","ITI","VFL")))</f>
        <v>VFL</v>
      </c>
      <c r="M27" s="244" t="str">
        <f>IF($C20="","",IF(OR($C20="HG",$C20="SMG"),"SPP5",IF($C20="SG","ITI5","VFL5")))</f>
        <v>VFL5</v>
      </c>
      <c r="N27" s="244">
        <f>IF($C20="","",10)</f>
        <v>10</v>
      </c>
      <c r="O27" s="245">
        <f>IF($C20="","",100%)</f>
        <v>1</v>
      </c>
      <c r="P27" s="207" t="str">
        <f>IF($C20="","",IF(OR($C20="HG",$C20="SMG"),"HP",IF($C20="AR","HV",IF($C20="RF","AP","New"))))</f>
        <v>New</v>
      </c>
      <c r="Q27" s="244" t="str">
        <f>IF($C20="","",IF(OR($C20="HG",$C20="SMG"),"HP5",IF($C20="AR","HV5",IF($C20="RF","AP5",IF($C20="SG","Flashbang","SLAP5")))))</f>
        <v>SLAP5</v>
      </c>
      <c r="R27" s="244">
        <f>IF($C20="","",10)</f>
        <v>10</v>
      </c>
      <c r="S27" s="245">
        <f>IF($C20="","",100%)</f>
        <v>1</v>
      </c>
      <c r="T27" s="207" t="str">
        <f>IF($C20="","",IF(OR($C20="HG",$C20="SMG"),"Exo",IF($C20="RF","Cape",IF($C20="SG","Armor",IF($C20="MG","Ammo","New")))))</f>
        <v>Ammo</v>
      </c>
      <c r="U27" s="244" t="str">
        <f>IF($C20="","",IF(OR($C20="HG",$C20="SMG"),"TExo5",IF($C20="RF","Cape5",IF($C20="SG","Armor5",IF($C20="MG","Ammo5","Chip5")))))</f>
        <v>Ammo5</v>
      </c>
      <c r="V27" s="244">
        <f>IF($C20="","",10)</f>
        <v>10</v>
      </c>
      <c r="W27" s="245">
        <f>IF($C20="","",100%)</f>
        <v>1</v>
      </c>
    </row>
    <row r="28" spans="1:29" outlineLevel="1" x14ac:dyDescent="0.25">
      <c r="A28" s="169" t="s">
        <v>768</v>
      </c>
      <c r="B28" s="172" t="s">
        <v>8</v>
      </c>
      <c r="C28" s="170" t="s">
        <v>1094</v>
      </c>
      <c r="D28" s="170" t="s">
        <v>18</v>
      </c>
      <c r="E28" s="170" t="s">
        <v>769</v>
      </c>
      <c r="F28" s="171" t="s">
        <v>580</v>
      </c>
      <c r="H28" s="161">
        <v>1</v>
      </c>
      <c r="I28" s="161"/>
      <c r="J28" s="161">
        <v>4</v>
      </c>
      <c r="L28" s="205" t="str">
        <f t="shared" ref="L28:L31" si="0">IF($C21="","",IF(OR($C21="HG",$C21="SMG"),"SPP",IF($C21="SG","ITI","VFL")))</f>
        <v>VFL</v>
      </c>
      <c r="M28" s="242" t="str">
        <f t="shared" ref="M28:M31" si="1">IF($C21="","",IF(OR($C21="HG",$C21="SMG"),"SPP5",IF($C21="SG","ITI5","VFL5")))</f>
        <v>VFL5</v>
      </c>
      <c r="N28" s="242">
        <f t="shared" ref="N28:N31" si="2">IF($C21="","",10)</f>
        <v>10</v>
      </c>
      <c r="O28" s="246">
        <f t="shared" ref="O28:O31" si="3">IF($C21="","",100%)</f>
        <v>1</v>
      </c>
      <c r="P28" s="205" t="str">
        <f t="shared" ref="P28:P31" si="4">IF($C21="","",IF(OR($C21="HG",$C21="SMG"),"HP",IF($C21="AR","HV",IF($C21="RF","AP","New"))))</f>
        <v>New</v>
      </c>
      <c r="Q28" s="242" t="str">
        <f t="shared" ref="Q28:Q31" si="5">IF($C21="","",IF(OR($C21="HG",$C21="SMG"),"HP5",IF($C21="AR","HV5",IF($C21="RF","AP5",IF($C21="SG","Flashbang","SLAP5")))))</f>
        <v>SLAP5</v>
      </c>
      <c r="R28" s="242">
        <f t="shared" ref="R28" si="6">IF($C21="","",10)</f>
        <v>10</v>
      </c>
      <c r="S28" s="246">
        <f t="shared" ref="S28:S31" si="7">IF($C21="","",100%)</f>
        <v>1</v>
      </c>
      <c r="T28" s="205" t="str">
        <f t="shared" ref="T28:T31" si="8">IF($C21="","",IF(OR($C21="HG",$C21="SMG"),"Exo",IF($C21="RF","Cape",IF($C21="SG","Armor",IF($C21="MG","Ammo","New")))))</f>
        <v>Ammo</v>
      </c>
      <c r="U28" s="242" t="str">
        <f t="shared" ref="U28:U31" si="9">IF($C21="","",IF(OR($C21="HG",$C21="SMG"),"TExo5",IF($C21="RF","Cape5",IF($C21="SG","Armor5",IF($C21="MG","Ammo5","Chip5")))))</f>
        <v>Ammo5</v>
      </c>
      <c r="V28" s="242">
        <f t="shared" ref="V28" si="10">IF($C21="","",10)</f>
        <v>10</v>
      </c>
      <c r="W28" s="246">
        <f t="shared" ref="W28:W31" si="11">IF($C21="","",100%)</f>
        <v>1</v>
      </c>
    </row>
    <row r="29" spans="1:29" outlineLevel="1" x14ac:dyDescent="0.25">
      <c r="A29" s="169">
        <v>1</v>
      </c>
      <c r="B29" s="181" t="s">
        <v>638</v>
      </c>
      <c r="C29" s="182">
        <v>5</v>
      </c>
      <c r="D29" s="182">
        <v>100</v>
      </c>
      <c r="E29" s="182">
        <v>10</v>
      </c>
      <c r="F29" s="159" t="s">
        <v>668</v>
      </c>
      <c r="H29" s="161">
        <v>3</v>
      </c>
      <c r="I29" s="161">
        <v>5</v>
      </c>
      <c r="J29" s="161"/>
      <c r="L29" s="205" t="str">
        <f t="shared" si="0"/>
        <v>VFL</v>
      </c>
      <c r="M29" s="242" t="str">
        <f t="shared" si="1"/>
        <v>VFL5</v>
      </c>
      <c r="N29" s="242">
        <f t="shared" si="2"/>
        <v>10</v>
      </c>
      <c r="O29" s="246">
        <f t="shared" si="3"/>
        <v>1</v>
      </c>
      <c r="P29" s="205" t="str">
        <f t="shared" si="4"/>
        <v>HV</v>
      </c>
      <c r="Q29" s="242" t="str">
        <f t="shared" si="5"/>
        <v>HV5</v>
      </c>
      <c r="R29" s="242">
        <f t="shared" ref="R29" si="12">IF($C22="","",10)</f>
        <v>10</v>
      </c>
      <c r="S29" s="246">
        <f t="shared" si="7"/>
        <v>1</v>
      </c>
      <c r="T29" s="205" t="str">
        <f t="shared" si="8"/>
        <v>New</v>
      </c>
      <c r="U29" s="242" t="str">
        <f t="shared" si="9"/>
        <v>Chip5</v>
      </c>
      <c r="V29" s="242">
        <f t="shared" ref="V29" si="13">IF($C22="","",10)</f>
        <v>10</v>
      </c>
      <c r="W29" s="246">
        <f t="shared" si="11"/>
        <v>1</v>
      </c>
    </row>
    <row r="30" spans="1:29" outlineLevel="1" x14ac:dyDescent="0.25">
      <c r="L30" s="205" t="str">
        <f t="shared" si="0"/>
        <v>ITI</v>
      </c>
      <c r="M30" s="242" t="str">
        <f t="shared" si="1"/>
        <v>ITI5</v>
      </c>
      <c r="N30" s="242">
        <f t="shared" si="2"/>
        <v>10</v>
      </c>
      <c r="O30" s="246">
        <f t="shared" si="3"/>
        <v>1</v>
      </c>
      <c r="P30" s="205" t="str">
        <f t="shared" si="4"/>
        <v>New</v>
      </c>
      <c r="Q30" s="242" t="str">
        <f t="shared" si="5"/>
        <v>Flashbang</v>
      </c>
      <c r="R30" s="242">
        <f t="shared" ref="R30" si="14">IF($C23="","",10)</f>
        <v>10</v>
      </c>
      <c r="S30" s="246">
        <f t="shared" si="7"/>
        <v>1</v>
      </c>
      <c r="T30" s="205" t="str">
        <f t="shared" si="8"/>
        <v>Armor</v>
      </c>
      <c r="U30" s="242" t="str">
        <f t="shared" si="9"/>
        <v>Armor5</v>
      </c>
      <c r="V30" s="242">
        <f t="shared" ref="V30" si="15">IF($C23="","",10)</f>
        <v>10</v>
      </c>
      <c r="W30" s="246">
        <f t="shared" si="11"/>
        <v>1</v>
      </c>
    </row>
    <row r="31" spans="1:29" outlineLevel="1" x14ac:dyDescent="0.25">
      <c r="L31" s="206" t="str">
        <f t="shared" si="0"/>
        <v>SPP</v>
      </c>
      <c r="M31" s="247" t="str">
        <f t="shared" si="1"/>
        <v>SPP5</v>
      </c>
      <c r="N31" s="247">
        <f t="shared" si="2"/>
        <v>10</v>
      </c>
      <c r="O31" s="248">
        <f t="shared" si="3"/>
        <v>1</v>
      </c>
      <c r="P31" s="206" t="str">
        <f t="shared" si="4"/>
        <v>HP</v>
      </c>
      <c r="Q31" s="247" t="str">
        <f t="shared" si="5"/>
        <v>HP5</v>
      </c>
      <c r="R31" s="247">
        <f t="shared" ref="R31" si="16">IF($C24="","",10)</f>
        <v>10</v>
      </c>
      <c r="S31" s="248">
        <f t="shared" si="7"/>
        <v>1</v>
      </c>
      <c r="T31" s="206" t="str">
        <f t="shared" si="8"/>
        <v>Exo</v>
      </c>
      <c r="U31" s="247" t="str">
        <f t="shared" si="9"/>
        <v>TExo5</v>
      </c>
      <c r="V31" s="247">
        <f t="shared" ref="V31" si="17">IF($C24="","",10)</f>
        <v>10</v>
      </c>
      <c r="W31" s="248">
        <f t="shared" si="11"/>
        <v>1</v>
      </c>
    </row>
    <row r="33" spans="1:21" ht="18.75" x14ac:dyDescent="0.3">
      <c r="A33" s="188" t="s">
        <v>1061</v>
      </c>
      <c r="B33" s="188"/>
      <c r="C33" s="188"/>
      <c r="D33" s="188"/>
      <c r="E33" s="188"/>
      <c r="F33" s="188"/>
      <c r="G33" s="188"/>
      <c r="H33" s="188"/>
      <c r="I33" s="188"/>
      <c r="J33" s="188"/>
    </row>
    <row r="34" spans="1:21" outlineLevel="1" x14ac:dyDescent="0.25">
      <c r="A34" s="160"/>
      <c r="B34" s="163"/>
    </row>
    <row r="35" spans="1:21" outlineLevel="1" x14ac:dyDescent="0.25">
      <c r="A35" s="160" t="s">
        <v>974</v>
      </c>
      <c r="B35" s="253" t="s">
        <v>6433</v>
      </c>
      <c r="C35" s="254"/>
    </row>
    <row r="36" spans="1:21" outlineLevel="1" x14ac:dyDescent="0.25">
      <c r="A36" s="160"/>
      <c r="B36" s="163"/>
    </row>
    <row r="37" spans="1:21" s="189" customFormat="1" ht="15" customHeight="1" outlineLevel="1" x14ac:dyDescent="0.3">
      <c r="A37" s="211" t="s">
        <v>1133</v>
      </c>
      <c r="B37" s="188"/>
      <c r="C37" s="188"/>
      <c r="D37" s="188"/>
      <c r="E37" s="188"/>
      <c r="F37" s="188"/>
      <c r="G37" s="188"/>
      <c r="H37" s="188"/>
      <c r="I37" s="210"/>
      <c r="J37" s="210"/>
      <c r="K37" s="210"/>
      <c r="L37" s="188"/>
      <c r="M37" s="188"/>
    </row>
    <row r="38" spans="1:21" outlineLevel="1" x14ac:dyDescent="0.25">
      <c r="A38" s="190"/>
      <c r="B38" s="168" t="s">
        <v>1057</v>
      </c>
      <c r="C38" s="166"/>
      <c r="D38" s="166"/>
      <c r="E38" s="166"/>
      <c r="F38" s="166"/>
      <c r="G38" s="166"/>
      <c r="H38" s="166"/>
      <c r="I38" s="168" t="s">
        <v>769</v>
      </c>
      <c r="J38" s="166"/>
      <c r="K38" s="166"/>
      <c r="L38" s="167"/>
      <c r="M38" s="168" t="s">
        <v>1051</v>
      </c>
      <c r="N38" s="167"/>
      <c r="O38" s="191" t="s">
        <v>5728</v>
      </c>
      <c r="Q38" s="191" t="s">
        <v>1130</v>
      </c>
    </row>
    <row r="39" spans="1:21" outlineLevel="1" x14ac:dyDescent="0.25">
      <c r="A39" s="169" t="s">
        <v>1050</v>
      </c>
      <c r="B39" s="170" t="s">
        <v>1093</v>
      </c>
      <c r="C39" s="210" t="s">
        <v>8</v>
      </c>
      <c r="D39" s="210" t="s">
        <v>18</v>
      </c>
      <c r="E39" s="210" t="s">
        <v>1793</v>
      </c>
      <c r="F39" s="210" t="s">
        <v>1792</v>
      </c>
      <c r="G39" s="210" t="s">
        <v>1054</v>
      </c>
      <c r="H39" s="210" t="s">
        <v>60</v>
      </c>
      <c r="I39" s="172">
        <v>1</v>
      </c>
      <c r="J39" s="170">
        <v>2</v>
      </c>
      <c r="K39" s="170">
        <v>3</v>
      </c>
      <c r="L39" s="171">
        <v>4</v>
      </c>
      <c r="M39" s="172">
        <v>1</v>
      </c>
      <c r="N39" s="171">
        <v>2</v>
      </c>
      <c r="O39" s="169">
        <f>SUM(O40:O48)</f>
        <v>36</v>
      </c>
      <c r="Q39" s="161" t="b">
        <v>1</v>
      </c>
    </row>
    <row r="40" spans="1:21" outlineLevel="1" x14ac:dyDescent="0.25">
      <c r="A40" s="191">
        <v>1</v>
      </c>
      <c r="B40" s="207">
        <f>IFERROR(4-INDEX('SF Data'!J:J,MATCH(C40,'SF Data'!C:C,0)),"")</f>
        <v>3</v>
      </c>
      <c r="C40" s="173" t="s">
        <v>992</v>
      </c>
      <c r="D40" s="174">
        <v>90</v>
      </c>
      <c r="E40" s="174">
        <v>5</v>
      </c>
      <c r="F40" s="174">
        <v>0</v>
      </c>
      <c r="G40" s="174"/>
      <c r="H40" s="175">
        <v>100</v>
      </c>
      <c r="I40" s="178">
        <v>10</v>
      </c>
      <c r="J40" s="178">
        <v>10</v>
      </c>
      <c r="K40" s="178">
        <v>5</v>
      </c>
      <c r="L40" s="180">
        <v>5</v>
      </c>
      <c r="M40" s="177" t="s">
        <v>1096</v>
      </c>
      <c r="N40" s="180" t="s">
        <v>1033</v>
      </c>
      <c r="O40" s="208">
        <f>IF(B40="","",INDEX('SF Data'!$O:$O,MATCH(C40,'SF Data'!$C:$C,0)))</f>
        <v>10</v>
      </c>
      <c r="Q40" s="192"/>
      <c r="S40" s="164" t="s">
        <v>1122</v>
      </c>
      <c r="T40" s="164"/>
      <c r="U40" s="164"/>
    </row>
    <row r="41" spans="1:21" outlineLevel="1" x14ac:dyDescent="0.25">
      <c r="A41" s="249">
        <v>2</v>
      </c>
      <c r="B41" s="205">
        <f>IFERROR(4-INDEX('SF Data'!J:J,MATCH(C41,'SF Data'!C:C,0)),"")</f>
        <v>2</v>
      </c>
      <c r="C41" s="177" t="s">
        <v>1012</v>
      </c>
      <c r="D41" s="178">
        <v>90</v>
      </c>
      <c r="E41" s="178">
        <v>5</v>
      </c>
      <c r="F41" s="178">
        <v>4</v>
      </c>
      <c r="G41" s="178" t="s">
        <v>1069</v>
      </c>
      <c r="H41" s="180">
        <v>100</v>
      </c>
      <c r="I41" s="178">
        <v>5</v>
      </c>
      <c r="J41" s="178">
        <v>5</v>
      </c>
      <c r="K41" s="178"/>
      <c r="L41" s="180"/>
      <c r="M41" s="177"/>
      <c r="N41" s="180"/>
      <c r="O41" s="208">
        <f>IF(B41="","",INDEX('SF Data'!$O:$O,MATCH(C41,'SF Data'!$C:$C,0)))</f>
        <v>10</v>
      </c>
      <c r="Q41" s="192"/>
      <c r="S41" s="161">
        <v>5</v>
      </c>
      <c r="T41" s="161">
        <v>2</v>
      </c>
      <c r="U41" s="161"/>
    </row>
    <row r="42" spans="1:21" outlineLevel="1" x14ac:dyDescent="0.25">
      <c r="A42" s="249">
        <v>3</v>
      </c>
      <c r="B42" s="205">
        <f>IFERROR(4-INDEX('SF Data'!J:J,MATCH(C42,'SF Data'!C:C,0)),"")</f>
        <v>2</v>
      </c>
      <c r="C42" s="177" t="s">
        <v>1008</v>
      </c>
      <c r="D42" s="178">
        <v>90</v>
      </c>
      <c r="E42" s="178">
        <v>5</v>
      </c>
      <c r="F42" s="178">
        <v>4</v>
      </c>
      <c r="G42" s="178" t="s">
        <v>1069</v>
      </c>
      <c r="H42" s="180">
        <v>100</v>
      </c>
      <c r="I42" s="178">
        <v>5</v>
      </c>
      <c r="J42" s="178">
        <v>5</v>
      </c>
      <c r="K42" s="178"/>
      <c r="L42" s="180"/>
      <c r="M42" s="177"/>
      <c r="N42" s="180"/>
      <c r="O42" s="208">
        <f>IF(B42="","",INDEX('SF Data'!$O:$O,MATCH(C42,'SF Data'!$C:$C,0)))</f>
        <v>6</v>
      </c>
      <c r="Q42" s="192"/>
      <c r="S42" s="161">
        <v>1</v>
      </c>
      <c r="T42" s="161">
        <v>4</v>
      </c>
      <c r="U42" s="161"/>
    </row>
    <row r="43" spans="1:21" outlineLevel="1" x14ac:dyDescent="0.25">
      <c r="A43" s="249">
        <v>4</v>
      </c>
      <c r="B43" s="205">
        <f>IFERROR(4-INDEX('SF Data'!J:J,MATCH(C43,'SF Data'!C:C,0)),"")</f>
        <v>2</v>
      </c>
      <c r="C43" s="177" t="s">
        <v>1014</v>
      </c>
      <c r="D43" s="178">
        <v>90</v>
      </c>
      <c r="E43" s="178">
        <v>5</v>
      </c>
      <c r="F43" s="178">
        <v>4</v>
      </c>
      <c r="G43" s="178" t="s">
        <v>1069</v>
      </c>
      <c r="H43" s="180">
        <v>100</v>
      </c>
      <c r="I43" s="178">
        <v>5</v>
      </c>
      <c r="J43" s="178">
        <v>5</v>
      </c>
      <c r="K43" s="178"/>
      <c r="L43" s="180"/>
      <c r="M43" s="177"/>
      <c r="N43" s="180"/>
      <c r="O43" s="208">
        <f>IF(B43="","",INDEX('SF Data'!$O:$O,MATCH(C43,'SF Data'!$C:$C,0)))</f>
        <v>6</v>
      </c>
      <c r="Q43" s="192"/>
      <c r="S43" s="161">
        <v>3</v>
      </c>
      <c r="T43" s="161"/>
      <c r="U43" s="161"/>
    </row>
    <row r="44" spans="1:21" outlineLevel="1" x14ac:dyDescent="0.25">
      <c r="A44" s="249">
        <v>5</v>
      </c>
      <c r="B44" s="205">
        <f>IFERROR(4-INDEX('SF Data'!J:J,MATCH(C44,'SF Data'!C:C,0)),"")</f>
        <v>1</v>
      </c>
      <c r="C44" s="177" t="s">
        <v>1024</v>
      </c>
      <c r="D44" s="178">
        <v>90</v>
      </c>
      <c r="E44" s="178">
        <v>5</v>
      </c>
      <c r="F44" s="178">
        <v>4</v>
      </c>
      <c r="G44" s="178" t="s">
        <v>1053</v>
      </c>
      <c r="H44" s="180">
        <v>100</v>
      </c>
      <c r="I44" s="178">
        <v>5</v>
      </c>
      <c r="J44" s="178"/>
      <c r="K44" s="178"/>
      <c r="L44" s="180"/>
      <c r="M44" s="177"/>
      <c r="N44" s="180"/>
      <c r="O44" s="208">
        <f>IF(B44="","",INDEX('SF Data'!$O:$O,MATCH(C44,'SF Data'!$C:$C,0)))</f>
        <v>4</v>
      </c>
      <c r="Q44" s="192"/>
    </row>
    <row r="45" spans="1:21" outlineLevel="1" x14ac:dyDescent="0.25">
      <c r="A45" s="249">
        <v>6</v>
      </c>
      <c r="B45" s="205" t="str">
        <f>IFERROR(4-INDEX('SF Data'!J:J,MATCH(C45,'SF Data'!C:C,0)),"")</f>
        <v/>
      </c>
      <c r="C45" s="177"/>
      <c r="D45" s="178"/>
      <c r="E45" s="178"/>
      <c r="F45" s="178"/>
      <c r="G45" s="178"/>
      <c r="H45" s="180"/>
      <c r="I45" s="178"/>
      <c r="J45" s="178"/>
      <c r="K45" s="178"/>
      <c r="L45" s="180"/>
      <c r="M45" s="177"/>
      <c r="N45" s="180"/>
      <c r="O45" s="208" t="str">
        <f>IF(B45="","",INDEX('SF Data'!$O:$O,MATCH(C45,'SF Data'!$C:$C,0)))</f>
        <v/>
      </c>
      <c r="Q45" s="192"/>
    </row>
    <row r="46" spans="1:21" outlineLevel="1" x14ac:dyDescent="0.25">
      <c r="A46" s="249">
        <v>7</v>
      </c>
      <c r="B46" s="205" t="str">
        <f>IFERROR(4-INDEX('SF Data'!J:J,MATCH(C46,'SF Data'!C:C,0)),"")</f>
        <v/>
      </c>
      <c r="C46" s="177"/>
      <c r="D46" s="178"/>
      <c r="E46" s="178"/>
      <c r="F46" s="178"/>
      <c r="G46" s="178"/>
      <c r="H46" s="180"/>
      <c r="I46" s="178"/>
      <c r="J46" s="178"/>
      <c r="K46" s="178"/>
      <c r="L46" s="180"/>
      <c r="M46" s="177"/>
      <c r="N46" s="180"/>
      <c r="O46" s="208" t="str">
        <f>IF(B46="","",INDEX('SF Data'!$O:$O,MATCH(C46,'SF Data'!$C:$C,0)))</f>
        <v/>
      </c>
      <c r="Q46" s="192"/>
    </row>
    <row r="47" spans="1:21" outlineLevel="1" x14ac:dyDescent="0.25">
      <c r="A47" s="249">
        <v>8</v>
      </c>
      <c r="B47" s="205" t="str">
        <f>IFERROR(4-INDEX('SF Data'!J:J,MATCH(C47,'SF Data'!C:C,0)),"")</f>
        <v/>
      </c>
      <c r="C47" s="177"/>
      <c r="D47" s="178"/>
      <c r="E47" s="178"/>
      <c r="F47" s="178"/>
      <c r="G47" s="178"/>
      <c r="H47" s="180"/>
      <c r="I47" s="178"/>
      <c r="J47" s="178"/>
      <c r="K47" s="178"/>
      <c r="L47" s="180"/>
      <c r="M47" s="177"/>
      <c r="N47" s="180"/>
      <c r="O47" s="208" t="str">
        <f>IF(B47="","",INDEX('SF Data'!$O:$O,MATCH(C47,'SF Data'!$C:$C,0)))</f>
        <v/>
      </c>
      <c r="Q47" s="192"/>
    </row>
    <row r="48" spans="1:21" outlineLevel="1" x14ac:dyDescent="0.25">
      <c r="A48" s="169">
        <v>9</v>
      </c>
      <c r="B48" s="206" t="str">
        <f>IFERROR(4-INDEX('SF Data'!J:J,MATCH(C48,'SF Data'!C:C,0)),"")</f>
        <v/>
      </c>
      <c r="C48" s="181"/>
      <c r="D48" s="182"/>
      <c r="E48" s="182"/>
      <c r="F48" s="182"/>
      <c r="G48" s="182"/>
      <c r="H48" s="159"/>
      <c r="I48" s="182"/>
      <c r="J48" s="182"/>
      <c r="K48" s="182"/>
      <c r="L48" s="159"/>
      <c r="M48" s="181"/>
      <c r="N48" s="159"/>
      <c r="O48" s="209" t="str">
        <f>IF(B48="","",INDEX('SF Data'!$O:$O,MATCH(C48,'SF Data'!$C:$C,0)))</f>
        <v/>
      </c>
      <c r="Q48" s="193"/>
    </row>
    <row r="49" spans="1:10" outlineLevel="1" x14ac:dyDescent="0.25"/>
    <row r="51" spans="1:10" ht="18.75" x14ac:dyDescent="0.3">
      <c r="A51" s="188" t="s">
        <v>1794</v>
      </c>
    </row>
    <row r="52" spans="1:10" outlineLevel="1" x14ac:dyDescent="0.25">
      <c r="A52" s="164" t="s">
        <v>1832</v>
      </c>
      <c r="B52" s="164"/>
      <c r="C52" s="164"/>
      <c r="D52" s="164"/>
      <c r="E52" s="164"/>
      <c r="F52" s="164"/>
      <c r="G52" s="164"/>
      <c r="H52" s="164"/>
      <c r="I52" s="164"/>
      <c r="J52" s="164"/>
    </row>
    <row r="53" spans="1:10" outlineLevel="1" x14ac:dyDescent="0.25">
      <c r="A53" s="195"/>
      <c r="B53" s="196"/>
      <c r="C53" s="197"/>
      <c r="D53" s="168" t="s">
        <v>888</v>
      </c>
      <c r="E53" s="166"/>
      <c r="F53" s="166"/>
      <c r="G53" s="167"/>
      <c r="H53" s="168" t="s">
        <v>769</v>
      </c>
      <c r="I53" s="166"/>
      <c r="J53" s="167"/>
    </row>
    <row r="54" spans="1:10" outlineLevel="1" x14ac:dyDescent="0.25">
      <c r="A54" s="172" t="s">
        <v>856</v>
      </c>
      <c r="B54" s="172" t="s">
        <v>861</v>
      </c>
      <c r="C54" s="171" t="s">
        <v>8</v>
      </c>
      <c r="D54" s="170" t="s">
        <v>871</v>
      </c>
      <c r="E54" s="170" t="s">
        <v>870</v>
      </c>
      <c r="F54" s="170" t="s">
        <v>872</v>
      </c>
      <c r="G54" s="171" t="s">
        <v>873</v>
      </c>
      <c r="H54" s="170">
        <v>1</v>
      </c>
      <c r="I54" s="170">
        <v>2</v>
      </c>
      <c r="J54" s="171">
        <v>3</v>
      </c>
    </row>
    <row r="55" spans="1:10" outlineLevel="1" x14ac:dyDescent="0.25">
      <c r="A55" s="177"/>
      <c r="B55" s="243">
        <v>1</v>
      </c>
      <c r="C55" s="250" t="s">
        <v>862</v>
      </c>
      <c r="D55" s="178">
        <v>547</v>
      </c>
      <c r="E55" s="178">
        <v>891</v>
      </c>
      <c r="F55" s="178">
        <v>596</v>
      </c>
      <c r="G55" s="180">
        <v>153</v>
      </c>
      <c r="H55" s="178">
        <v>10</v>
      </c>
      <c r="I55" s="178">
        <v>10</v>
      </c>
      <c r="J55" s="180">
        <v>10</v>
      </c>
    </row>
    <row r="56" spans="1:10" outlineLevel="1" x14ac:dyDescent="0.25">
      <c r="A56" s="177"/>
      <c r="B56" s="243">
        <v>2</v>
      </c>
      <c r="C56" s="250" t="s">
        <v>863</v>
      </c>
      <c r="D56" s="178">
        <v>292</v>
      </c>
      <c r="E56" s="178">
        <v>336</v>
      </c>
      <c r="F56" s="178">
        <v>381</v>
      </c>
      <c r="G56" s="180">
        <v>744</v>
      </c>
      <c r="H56" s="178">
        <v>10</v>
      </c>
      <c r="I56" s="178">
        <v>10</v>
      </c>
      <c r="J56" s="180">
        <v>10</v>
      </c>
    </row>
    <row r="57" spans="1:10" outlineLevel="1" x14ac:dyDescent="0.25">
      <c r="A57" s="177"/>
      <c r="B57" s="243">
        <v>3</v>
      </c>
      <c r="C57" s="250" t="s">
        <v>864</v>
      </c>
      <c r="D57" s="178">
        <v>621</v>
      </c>
      <c r="E57" s="178">
        <v>146</v>
      </c>
      <c r="F57" s="178">
        <v>266</v>
      </c>
      <c r="G57" s="180">
        <v>306</v>
      </c>
      <c r="H57" s="178">
        <v>10</v>
      </c>
      <c r="I57" s="178">
        <v>10</v>
      </c>
      <c r="J57" s="180">
        <v>10</v>
      </c>
    </row>
    <row r="58" spans="1:10" outlineLevel="1" x14ac:dyDescent="0.25">
      <c r="A58" s="177"/>
      <c r="B58" s="243">
        <v>4</v>
      </c>
      <c r="C58" s="250" t="s">
        <v>865</v>
      </c>
      <c r="D58" s="178">
        <v>519</v>
      </c>
      <c r="E58" s="178">
        <v>138</v>
      </c>
      <c r="F58" s="178">
        <v>266</v>
      </c>
      <c r="G58" s="180">
        <v>401</v>
      </c>
      <c r="H58" s="178">
        <v>10</v>
      </c>
      <c r="I58" s="178">
        <v>10</v>
      </c>
      <c r="J58" s="180">
        <v>10</v>
      </c>
    </row>
    <row r="59" spans="1:10" outlineLevel="1" x14ac:dyDescent="0.25">
      <c r="A59" s="177"/>
      <c r="B59" s="243">
        <v>5</v>
      </c>
      <c r="C59" s="250" t="s">
        <v>866</v>
      </c>
      <c r="D59" s="178">
        <v>434</v>
      </c>
      <c r="E59" s="178">
        <v>631</v>
      </c>
      <c r="F59" s="178">
        <v>550</v>
      </c>
      <c r="G59" s="180">
        <v>241</v>
      </c>
      <c r="H59" s="178">
        <v>10</v>
      </c>
      <c r="I59" s="178">
        <v>10</v>
      </c>
      <c r="J59" s="180">
        <v>10</v>
      </c>
    </row>
    <row r="60" spans="1:10" outlineLevel="1" x14ac:dyDescent="0.25">
      <c r="A60" s="177"/>
      <c r="B60" s="243">
        <v>6</v>
      </c>
      <c r="C60" s="250" t="s">
        <v>867</v>
      </c>
      <c r="D60" s="178">
        <v>335</v>
      </c>
      <c r="E60" s="178">
        <v>325</v>
      </c>
      <c r="F60" s="178">
        <v>373</v>
      </c>
      <c r="G60" s="180">
        <v>640</v>
      </c>
      <c r="H60" s="178">
        <v>10</v>
      </c>
      <c r="I60" s="178">
        <v>10</v>
      </c>
      <c r="J60" s="180">
        <v>10</v>
      </c>
    </row>
    <row r="61" spans="1:10" outlineLevel="1" x14ac:dyDescent="0.25">
      <c r="A61" s="177"/>
      <c r="B61" s="243">
        <v>7</v>
      </c>
      <c r="C61" s="250" t="s">
        <v>868</v>
      </c>
      <c r="D61" s="178">
        <v>466</v>
      </c>
      <c r="E61" s="178">
        <v>617</v>
      </c>
      <c r="F61" s="178">
        <v>459</v>
      </c>
      <c r="G61" s="180">
        <v>222</v>
      </c>
      <c r="H61" s="178">
        <v>10</v>
      </c>
      <c r="I61" s="178">
        <v>10</v>
      </c>
      <c r="J61" s="180">
        <v>10</v>
      </c>
    </row>
    <row r="62" spans="1:10" outlineLevel="1" x14ac:dyDescent="0.25">
      <c r="A62" s="181"/>
      <c r="B62" s="172">
        <v>8</v>
      </c>
      <c r="C62" s="171" t="s">
        <v>1770</v>
      </c>
      <c r="D62" s="182">
        <v>469</v>
      </c>
      <c r="E62" s="182">
        <v>214</v>
      </c>
      <c r="F62" s="182">
        <v>366</v>
      </c>
      <c r="G62" s="159">
        <v>311</v>
      </c>
      <c r="H62" s="182">
        <v>10</v>
      </c>
      <c r="I62" s="182">
        <v>10</v>
      </c>
      <c r="J62" s="159">
        <v>10</v>
      </c>
    </row>
    <row r="63" spans="1:10" outlineLevel="1" x14ac:dyDescent="0.25"/>
    <row r="64" spans="1:10" outlineLevel="1" x14ac:dyDescent="0.25">
      <c r="A64" s="164" t="s">
        <v>1833</v>
      </c>
    </row>
    <row r="65" spans="1:16" s="189" customFormat="1" outlineLevel="1" x14ac:dyDescent="0.25">
      <c r="A65" s="165"/>
      <c r="B65" s="196"/>
      <c r="C65" s="251"/>
      <c r="D65" s="166" t="s">
        <v>1795</v>
      </c>
      <c r="E65" s="166"/>
      <c r="F65" s="166"/>
      <c r="G65" s="167"/>
      <c r="H65" s="166" t="s">
        <v>769</v>
      </c>
      <c r="I65" s="166"/>
      <c r="J65" s="166"/>
      <c r="K65" s="167"/>
      <c r="L65" s="166" t="s">
        <v>1051</v>
      </c>
      <c r="M65" s="167"/>
      <c r="N65" s="191" t="s">
        <v>1796</v>
      </c>
    </row>
    <row r="66" spans="1:16" s="189" customFormat="1" outlineLevel="1" x14ac:dyDescent="0.25">
      <c r="A66" s="169" t="s">
        <v>856</v>
      </c>
      <c r="B66" s="172" t="s">
        <v>1050</v>
      </c>
      <c r="C66" s="171" t="s">
        <v>8</v>
      </c>
      <c r="D66" s="170" t="s">
        <v>18</v>
      </c>
      <c r="E66" s="170" t="s">
        <v>1793</v>
      </c>
      <c r="F66" s="170" t="s">
        <v>1792</v>
      </c>
      <c r="G66" s="171" t="s">
        <v>60</v>
      </c>
      <c r="H66" s="170">
        <v>1</v>
      </c>
      <c r="I66" s="170">
        <v>2</v>
      </c>
      <c r="J66" s="170">
        <v>3</v>
      </c>
      <c r="K66" s="171">
        <v>4</v>
      </c>
      <c r="L66" s="170">
        <v>1</v>
      </c>
      <c r="M66" s="171">
        <v>2</v>
      </c>
      <c r="N66" s="221" t="s">
        <v>1831</v>
      </c>
    </row>
    <row r="67" spans="1:16" outlineLevel="1" x14ac:dyDescent="0.25">
      <c r="A67" s="214"/>
      <c r="B67" s="243">
        <v>1</v>
      </c>
      <c r="C67" s="250" t="s">
        <v>1724</v>
      </c>
      <c r="D67" s="178">
        <v>100</v>
      </c>
      <c r="E67" s="178">
        <v>5</v>
      </c>
      <c r="F67" s="178">
        <v>4</v>
      </c>
      <c r="G67" s="180">
        <v>100</v>
      </c>
      <c r="H67" s="178">
        <v>10</v>
      </c>
      <c r="I67" s="178">
        <v>10</v>
      </c>
      <c r="J67" s="178">
        <v>5</v>
      </c>
      <c r="K67" s="180">
        <v>5</v>
      </c>
      <c r="L67" s="178"/>
      <c r="M67" s="180"/>
      <c r="N67" s="218">
        <v>100</v>
      </c>
      <c r="P67" s="226"/>
    </row>
    <row r="68" spans="1:16" outlineLevel="1" x14ac:dyDescent="0.25">
      <c r="A68" s="214"/>
      <c r="B68" s="243">
        <v>2</v>
      </c>
      <c r="C68" s="250" t="s">
        <v>994</v>
      </c>
      <c r="D68" s="178">
        <v>100</v>
      </c>
      <c r="E68" s="178">
        <v>5</v>
      </c>
      <c r="F68" s="178">
        <v>4</v>
      </c>
      <c r="G68" s="180">
        <v>100</v>
      </c>
      <c r="H68" s="178">
        <v>10</v>
      </c>
      <c r="I68" s="178">
        <v>10</v>
      </c>
      <c r="J68" s="178">
        <v>5</v>
      </c>
      <c r="K68" s="180">
        <v>5</v>
      </c>
      <c r="L68" s="178"/>
      <c r="M68" s="180"/>
      <c r="N68" s="219">
        <v>102</v>
      </c>
    </row>
    <row r="69" spans="1:16" outlineLevel="1" x14ac:dyDescent="0.25">
      <c r="A69" s="214"/>
      <c r="B69" s="243">
        <v>3</v>
      </c>
      <c r="C69" s="250" t="s">
        <v>997</v>
      </c>
      <c r="D69" s="178">
        <v>100</v>
      </c>
      <c r="E69" s="178">
        <v>5</v>
      </c>
      <c r="F69" s="178">
        <v>4</v>
      </c>
      <c r="G69" s="180">
        <v>100</v>
      </c>
      <c r="H69" s="178">
        <v>10</v>
      </c>
      <c r="I69" s="178">
        <v>10</v>
      </c>
      <c r="J69" s="178">
        <v>5</v>
      </c>
      <c r="K69" s="180">
        <v>5</v>
      </c>
      <c r="L69" s="178"/>
      <c r="M69" s="180"/>
      <c r="N69" s="219">
        <v>104</v>
      </c>
    </row>
    <row r="70" spans="1:16" outlineLevel="1" x14ac:dyDescent="0.25">
      <c r="A70" s="214"/>
      <c r="B70" s="243">
        <v>4</v>
      </c>
      <c r="C70" s="250" t="s">
        <v>1003</v>
      </c>
      <c r="D70" s="178">
        <v>100</v>
      </c>
      <c r="E70" s="178">
        <v>5</v>
      </c>
      <c r="F70" s="178">
        <v>4</v>
      </c>
      <c r="G70" s="180">
        <v>100</v>
      </c>
      <c r="H70" s="178">
        <v>10</v>
      </c>
      <c r="I70" s="178">
        <v>10</v>
      </c>
      <c r="J70" s="178">
        <v>5</v>
      </c>
      <c r="K70" s="180">
        <v>5</v>
      </c>
      <c r="L70" s="178"/>
      <c r="M70" s="180"/>
      <c r="N70" s="219">
        <v>105</v>
      </c>
    </row>
    <row r="71" spans="1:16" outlineLevel="1" x14ac:dyDescent="0.25">
      <c r="A71" s="204"/>
      <c r="B71" s="172">
        <v>5</v>
      </c>
      <c r="C71" s="171" t="s">
        <v>1002</v>
      </c>
      <c r="D71" s="182">
        <v>100</v>
      </c>
      <c r="E71" s="182">
        <v>5</v>
      </c>
      <c r="F71" s="182">
        <v>4</v>
      </c>
      <c r="G71" s="159">
        <v>100</v>
      </c>
      <c r="H71" s="182">
        <v>10</v>
      </c>
      <c r="I71" s="182">
        <v>10</v>
      </c>
      <c r="J71" s="182">
        <v>5</v>
      </c>
      <c r="K71" s="159">
        <v>5</v>
      </c>
      <c r="L71" s="182"/>
      <c r="M71" s="159"/>
      <c r="N71" s="220">
        <v>106</v>
      </c>
    </row>
    <row r="72" spans="1:16" s="194" customFormat="1" outlineLevel="1" x14ac:dyDescent="0.25"/>
    <row r="73" spans="1:16" outlineLevel="1" x14ac:dyDescent="0.25">
      <c r="A73" s="164" t="s">
        <v>1131</v>
      </c>
      <c r="B73" s="164"/>
      <c r="C73" s="164"/>
      <c r="E73" s="226"/>
    </row>
    <row r="74" spans="1:16" outlineLevel="1" x14ac:dyDescent="0.25">
      <c r="A74" s="198" t="s">
        <v>953</v>
      </c>
      <c r="B74" s="186" t="s">
        <v>784</v>
      </c>
      <c r="C74" s="187" t="s">
        <v>769</v>
      </c>
    </row>
    <row r="75" spans="1:16" outlineLevel="1" x14ac:dyDescent="0.25">
      <c r="A75" s="243">
        <v>1</v>
      </c>
      <c r="B75" s="199"/>
      <c r="C75" s="180"/>
    </row>
    <row r="76" spans="1:16" outlineLevel="1" x14ac:dyDescent="0.25">
      <c r="A76" s="243">
        <v>2</v>
      </c>
      <c r="B76" s="200"/>
      <c r="C76" s="180"/>
    </row>
    <row r="77" spans="1:16" outlineLevel="1" x14ac:dyDescent="0.25">
      <c r="A77" s="172">
        <v>3</v>
      </c>
      <c r="B77" s="201"/>
      <c r="C77" s="159"/>
    </row>
    <row r="78" spans="1:16" outlineLevel="1" x14ac:dyDescent="0.25">
      <c r="A78" s="194"/>
      <c r="B78" s="194"/>
      <c r="C78" s="194"/>
    </row>
    <row r="79" spans="1:16" outlineLevel="1" x14ac:dyDescent="0.25">
      <c r="A79" s="160" t="s">
        <v>1132</v>
      </c>
    </row>
    <row r="80" spans="1:16" outlineLevel="1" x14ac:dyDescent="0.25">
      <c r="A80" s="191" t="s">
        <v>856</v>
      </c>
      <c r="B80" s="190" t="s">
        <v>8</v>
      </c>
      <c r="C80" s="187" t="s">
        <v>769</v>
      </c>
    </row>
    <row r="81" spans="1:3" outlineLevel="1" x14ac:dyDescent="0.25">
      <c r="A81" s="202"/>
      <c r="B81" s="197" t="s">
        <v>954</v>
      </c>
      <c r="C81" s="203"/>
    </row>
    <row r="82" spans="1:3" outlineLevel="1" x14ac:dyDescent="0.25">
      <c r="A82" s="204"/>
      <c r="B82" s="252" t="s">
        <v>660</v>
      </c>
      <c r="C82" s="204"/>
    </row>
    <row r="83" spans="1:3" outlineLevel="1" x14ac:dyDescent="0.25"/>
  </sheetData>
  <mergeCells count="2">
    <mergeCell ref="B15:C15"/>
    <mergeCell ref="B35:C35"/>
  </mergeCells>
  <conditionalFormatting sqref="M40:M48">
    <cfRule type="expression" dxfId="13" priority="16">
      <formula>$B40&lt;&gt;3</formula>
    </cfRule>
  </conditionalFormatting>
  <conditionalFormatting sqref="N40:N48">
    <cfRule type="expression" dxfId="12" priority="15">
      <formula>OR($B40&lt;&gt;3,AND($B40=3,$E40&lt;4))</formula>
    </cfRule>
  </conditionalFormatting>
  <conditionalFormatting sqref="G45:G48 G40:G42">
    <cfRule type="expression" dxfId="11" priority="14">
      <formula>$B40=3</formula>
    </cfRule>
  </conditionalFormatting>
  <conditionalFormatting sqref="L40:L48">
    <cfRule type="expression" dxfId="10" priority="13">
      <formula>OR($B40&lt;&gt;3,$E40&lt;4)</formula>
    </cfRule>
  </conditionalFormatting>
  <conditionalFormatting sqref="K40:K48">
    <cfRule type="expression" dxfId="9" priority="12">
      <formula>B40&lt;&gt;3</formula>
    </cfRule>
  </conditionalFormatting>
  <conditionalFormatting sqref="J44:J48 J40:J42">
    <cfRule type="expression" dxfId="8" priority="11">
      <formula>$B40&lt;2</formula>
    </cfRule>
  </conditionalFormatting>
  <conditionalFormatting sqref="J67:J71">
    <cfRule type="expression" dxfId="7" priority="6">
      <formula>#REF!&lt;&gt;3</formula>
    </cfRule>
  </conditionalFormatting>
  <conditionalFormatting sqref="I67:I71">
    <cfRule type="expression" dxfId="6" priority="5">
      <formula>#REF!&lt;2</formula>
    </cfRule>
  </conditionalFormatting>
  <conditionalFormatting sqref="M67:M71">
    <cfRule type="expression" dxfId="5" priority="19">
      <formula>$E67&lt;4</formula>
    </cfRule>
  </conditionalFormatting>
  <conditionalFormatting sqref="K67:K71">
    <cfRule type="expression" dxfId="4" priority="20">
      <formula>$E67&lt;4</formula>
    </cfRule>
  </conditionalFormatting>
  <conditionalFormatting sqref="G43:G44">
    <cfRule type="expression" dxfId="3" priority="4">
      <formula>$B43=3</formula>
    </cfRule>
  </conditionalFormatting>
  <conditionalFormatting sqref="J43">
    <cfRule type="expression" dxfId="2" priority="3">
      <formula>$B43&lt;2</formula>
    </cfRule>
  </conditionalFormatting>
  <conditionalFormatting sqref="G43:G44">
    <cfRule type="expression" dxfId="1" priority="2">
      <formula>$B43=3</formula>
    </cfRule>
  </conditionalFormatting>
  <conditionalFormatting sqref="G41:G42">
    <cfRule type="expression" dxfId="0" priority="1">
      <formula>$B41=3</formula>
    </cfRule>
  </conditionalFormatting>
  <dataValidations count="30">
    <dataValidation type="list" allowBlank="1" showInputMessage="1" showErrorMessage="1" sqref="F20:F24 C29" xr:uid="{AC6C51FD-ADEA-47FA-86B2-96FC07BAA930}">
      <formula1>"1,2,3,4,5"</formula1>
    </dataValidation>
    <dataValidation type="list" allowBlank="1" showInputMessage="1" showErrorMessage="1" sqref="C81:C82 C75:C77" xr:uid="{085D9B0C-675C-400E-920A-4A9DD3F50DF7}">
      <formula1>"1,2,3,4,5,6,7,8,9,10"</formula1>
    </dataValidation>
    <dataValidation type="whole" allowBlank="1" showInputMessage="1" showErrorMessage="1" sqref="D40:D48 D67:D71 D29" xr:uid="{BA5FC3C1-8461-475D-B5BE-436A81A09DAB}">
      <formula1>1</formula1>
      <formula2>100</formula2>
    </dataValidation>
    <dataValidation type="custom" allowBlank="1" showInputMessage="1" showErrorMessage="1" sqref="H27:J29" xr:uid="{3F435862-50B5-4A04-9E02-AF7D1C20F7E3}">
      <formula1>AND(COUNTA($H$27:$J$29)&lt;=5,COUNTIF($H$27:$J$29,1)&lt;=1,COUNTIF($H$27:$J$29,2)&lt;=1,COUNTIF($H$27:$J$29,3)&lt;=1,COUNTIF($H$27:$J$29,4)&lt;=1,COUNTIF($H$27:$J$29,5)&lt;=1)</formula1>
    </dataValidation>
    <dataValidation type="list" allowBlank="1" showInputMessage="1" showErrorMessage="1" sqref="B9" xr:uid="{56D6840A-E54A-439E-98AC-E09D8A2F2B5E}">
      <formula1>"Yellow,Red,Blue,White"</formula1>
    </dataValidation>
    <dataValidation type="list" allowBlank="1" showInputMessage="1" showErrorMessage="1" sqref="Q39 AC18 E9:E10" xr:uid="{C924A1A3-9E6E-453D-BC93-59EAD5ED0705}">
      <formula1>"TRUE,FALSE"</formula1>
    </dataValidation>
    <dataValidation type="list" allowBlank="1" showInputMessage="1" showErrorMessage="1" sqref="B8" xr:uid="{9CA96794-84F7-4EAD-946A-B81EE202A9B5}">
      <formula1>"Day,Night,TargetTrain"</formula1>
    </dataValidation>
    <dataValidation type="whole" allowBlank="1" showInputMessage="1" showErrorMessage="1" sqref="B10" xr:uid="{19BC27A7-D257-4A7C-A679-B8BB79E4443C}">
      <formula1>1</formula1>
      <formula2>99</formula2>
    </dataValidation>
    <dataValidation type="whole" operator="greaterThan" allowBlank="1" showInputMessage="1" showErrorMessage="1" sqref="E8" xr:uid="{FA2173B9-2ECE-4A1E-83A4-BEAB27BA9F9F}">
      <formula1>0</formula1>
    </dataValidation>
    <dataValidation type="whole" operator="greaterThanOrEqual" allowBlank="1" showInputMessage="1" showErrorMessage="1" sqref="Y20:AC24 D55:G62" xr:uid="{7DC17B50-9BE9-4E85-942D-3F31FCDF6A5A}">
      <formula1>0</formula1>
    </dataValidation>
    <dataValidation type="list" allowBlank="1" showInputMessage="1" showErrorMessage="1" sqref="B15" xr:uid="{3779F5A9-74CD-4042-9AFE-7698C51F71BC}">
      <formula1>ListOfPresets</formula1>
    </dataValidation>
    <dataValidation type="whole" allowBlank="1" showInputMessage="1" showErrorMessage="1" sqref="E20:E24" xr:uid="{A362E44A-5FAC-4C4D-B1E0-5C4BC73B872B}">
      <formula1>1</formula1>
      <formula2>120</formula2>
    </dataValidation>
    <dataValidation type="list" allowBlank="1" showInputMessage="1" showErrorMessage="1" sqref="I20:I24 F67:F71 F40:F48" xr:uid="{93B2A126-FD6F-405C-BD80-D6B7FB4F7BB9}">
      <formula1>"0,1,2,3,4"</formula1>
    </dataValidation>
    <dataValidation type="whole" allowBlank="1" showInputMessage="1" showErrorMessage="1" sqref="J20:J24" xr:uid="{4B993A50-F065-4F90-9719-CE7F2908B47A}">
      <formula1>0</formula1>
      <formula2>200</formula2>
    </dataValidation>
    <dataValidation type="list" allowBlank="1" showInputMessage="1" showErrorMessage="1" sqref="H20:H24 N20:N24 V20:V24 R20:R24 G20:G24 E29 H55:J62" xr:uid="{5CE955CB-A5EC-4453-A108-0E2EFB47CB44}">
      <formula1>"0,1,2,3,4,5,6,7,8,9,10"</formula1>
    </dataValidation>
    <dataValidation type="custom" allowBlank="1" showInputMessage="1" showErrorMessage="1" errorTitle="Error:" error="Input must:_x000a_- Be an integer from 1 to 5_x000a_- Not be smaller than the base rarity" sqref="E40:E48" xr:uid="{C75C6278-B57F-44EF-817E-6A1150CB2167}">
      <formula1>AND(OR(E40=1,E40=2,E40=3,E40=4,E40=5),E40&gt;=B40)</formula1>
    </dataValidation>
    <dataValidation type="list" allowBlank="1" showInputMessage="1" showErrorMessage="1" sqref="G40:G48" xr:uid="{BB36C61D-3B65-4D05-8EEF-CBF84B229675}">
      <formula1>"XS,S,M,L,XL"</formula1>
    </dataValidation>
    <dataValidation type="list" allowBlank="1" showInputMessage="1" showErrorMessage="1" sqref="B7" xr:uid="{624FBFB8-A661-4EFA-BFD4-ECFE9CBB04D6}">
      <formula1>"G&amp;K,SF"</formula1>
    </dataValidation>
    <dataValidation type="custom" allowBlank="1" showInputMessage="1" showErrorMessage="1" sqref="H40:H48" xr:uid="{33E168EF-E413-4A15-AD77-75CB9FC4761F}">
      <formula1>IF($B40&lt;3,AND(H40&gt;=0,H40&lt;=100,H40=INT(H40)),AND(H40&gt;=0,H40&lt;=150,H40=INT(H40)))</formula1>
    </dataValidation>
    <dataValidation type="custom" allowBlank="1" showInputMessage="1" showErrorMessage="1" sqref="S41:U43" xr:uid="{02A87657-CDEE-4FB1-A3B7-168E379D94EB}">
      <formula1>AND(S41&gt;=1,S41&lt;=9,S41=INT(S41),COUNTIF($S$41:$U$43,S41)&lt;=1)</formula1>
    </dataValidation>
    <dataValidation type="custom" allowBlank="1" showInputMessage="1" showErrorMessage="1" sqref="A81:A82" xr:uid="{335F0DA9-2E49-469E-8A7C-890E5F920904}">
      <formula1>AND(A81="X",COUNTA($A$81:$A$82)&lt;=1)</formula1>
    </dataValidation>
    <dataValidation type="custom" allowBlank="1" showInputMessage="1" showErrorMessage="1" sqref="A55:A62 A67:A71" xr:uid="{4CCF200C-3D8B-4513-A0CA-D0E348312C4E}">
      <formula1>A55="X"</formula1>
    </dataValidation>
    <dataValidation type="custom" allowBlank="1" showInputMessage="1" showErrorMessage="1" sqref="I40:J48" xr:uid="{906C07C6-64E8-4904-B09C-9F8A60A077A6}">
      <formula1>IF($B40=3,AND(I40&gt;=0,I40&lt;=10,I40=INT(I40)),AND(I40&gt;=0,I40&lt;=5,I40=INT(I40)))</formula1>
    </dataValidation>
    <dataValidation type="custom" allowBlank="1" showInputMessage="1" showErrorMessage="1" sqref="K40:L48 J67:K71" xr:uid="{0186327F-36E0-4FF9-BAC8-50734C469171}">
      <formula1>AND(J40&gt;=0,J40&lt;=5,J40=INT(J40))</formula1>
    </dataValidation>
    <dataValidation type="custom" allowBlank="1" showInputMessage="1" showErrorMessage="1" errorTitle="Error:" error="Input must:_x000a_- Be an integer from 1 to 5_x000a_- Not be smaller than the base rarity" sqref="E67:E71" xr:uid="{D2F69B15-75AC-411E-918E-07828F1F2C06}">
      <formula1>AND(OR(E67=1,E67=2,E67=3,E67=4,E67=5),E67&gt;=3)</formula1>
    </dataValidation>
    <dataValidation type="custom" allowBlank="1" showInputMessage="1" showErrorMessage="1" sqref="G67:G71" xr:uid="{6117B0B1-BD61-4031-A8DD-CAAB092F0644}">
      <formula1>AND(G67&gt;=0,G67&lt;=150,G67=INT(G67))</formula1>
    </dataValidation>
    <dataValidation type="custom" allowBlank="1" showInputMessage="1" showErrorMessage="1" sqref="H67:I71" xr:uid="{18E55432-524A-477B-8B68-3136B4E41723}">
      <formula1>AND(H67&gt;=0,H67&lt;=10,H67=INT(H67))</formula1>
    </dataValidation>
    <dataValidation operator="greaterThan" allowBlank="1" showInputMessage="1" showErrorMessage="1" sqref="E7" xr:uid="{6BB90263-4D1A-4CC4-91B7-C59E5FB69A9E}"/>
    <dataValidation type="list" allowBlank="1" showInputMessage="1" showErrorMessage="1" sqref="B35:C35" xr:uid="{DDBC16F6-16E6-425E-B83B-062B981C736F}">
      <formula1>ListOfPresetsSF</formula1>
    </dataValidation>
    <dataValidation type="whole" allowBlank="1" showInputMessage="1" showErrorMessage="1" sqref="B11" xr:uid="{EA69D0E7-BA56-420F-8178-43CE55324184}">
      <formula1>1</formula1>
      <formula2>9999</formula2>
    </dataValidation>
  </dataValidations>
  <hyperlinks>
    <hyperlink ref="N66" r:id="rId1" xr:uid="{C9B6B32C-C0B9-4935-BA6E-CAC6C812B73C}"/>
    <hyperlink ref="B5" r:id="rId2" xr:uid="{CC4B866B-5C06-4BB1-B7C7-AE7333F777BC}"/>
  </hyperlinks>
  <pageMargins left="0.7" right="0.7" top="0.75" bottom="0.75" header="0.3" footer="0.3"/>
  <pageSetup orientation="portrait" r:id="rId3"/>
  <ignoredErrors>
    <ignoredError sqref="O39" unlockedFormula="1"/>
  </ignoredError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KRSimJSON">
                <anchor moveWithCells="1" sizeWithCells="1">
                  <from>
                    <xdr:col>5</xdr:col>
                    <xdr:colOff>447675</xdr:colOff>
                    <xdr:row>5</xdr:row>
                    <xdr:rowOff>66675</xdr:rowOff>
                  </from>
                  <to>
                    <xdr:col>7</xdr:col>
                    <xdr:colOff>485775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7" name="Button 27">
              <controlPr defaultSize="0" print="0" autoFill="0" autoPict="0" macro="[0]!LoadTeam">
                <anchor moveWithCells="1" sizeWithCells="1">
                  <from>
                    <xdr:col>3</xdr:col>
                    <xdr:colOff>133350</xdr:colOff>
                    <xdr:row>13</xdr:row>
                    <xdr:rowOff>133350</xdr:rowOff>
                  </from>
                  <to>
                    <xdr:col>4</xdr:col>
                    <xdr:colOff>123825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8" name="Button 29">
              <controlPr defaultSize="0" print="0" autoFill="0" autoPict="0" macro="[0]!SaveTeam">
                <anchor moveWithCells="1" sizeWithCells="1">
                  <from>
                    <xdr:col>4</xdr:col>
                    <xdr:colOff>190500</xdr:colOff>
                    <xdr:row>13</xdr:row>
                    <xdr:rowOff>133350</xdr:rowOff>
                  </from>
                  <to>
                    <xdr:col>5</xdr:col>
                    <xdr:colOff>428625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9" name="Button 38">
              <controlPr defaultSize="0" print="0" autoFill="0" autoPict="0" macro="[0]!DeleteTeam">
                <anchor moveWithCells="1" sizeWithCells="1">
                  <from>
                    <xdr:col>5</xdr:col>
                    <xdr:colOff>495300</xdr:colOff>
                    <xdr:row>13</xdr:row>
                    <xdr:rowOff>133350</xdr:rowOff>
                  </from>
                  <to>
                    <xdr:col>7</xdr:col>
                    <xdr:colOff>47625</xdr:colOff>
                    <xdr:row>15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" r:id="rId10" name="Button 108">
              <controlPr defaultSize="0" print="0" autoFill="0" autoPict="0" macro="[0]!ClearInput">
                <anchor moveWithCells="1" sizeWithCells="1">
                  <from>
                    <xdr:col>5</xdr:col>
                    <xdr:colOff>447675</xdr:colOff>
                    <xdr:row>7</xdr:row>
                    <xdr:rowOff>161925</xdr:rowOff>
                  </from>
                  <to>
                    <xdr:col>7</xdr:col>
                    <xdr:colOff>485775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5" r:id="rId11" name="Button 111">
              <controlPr defaultSize="0" print="0" autoFill="0" autoPict="0" macro="[0]!UpdateWorkbook">
                <anchor moveWithCells="1" sizeWithCells="1">
                  <from>
                    <xdr:col>8</xdr:col>
                    <xdr:colOff>161925</xdr:colOff>
                    <xdr:row>0</xdr:row>
                    <xdr:rowOff>180975</xdr:rowOff>
                  </from>
                  <to>
                    <xdr:col>10</xdr:col>
                    <xdr:colOff>676275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12" name="Button 112">
              <controlPr defaultSize="0" print="0" autoFill="0" autoPict="0" macro="[0]!LoadTeamSF">
                <anchor moveWithCells="1" sizeWithCells="1">
                  <from>
                    <xdr:col>3</xdr:col>
                    <xdr:colOff>133350</xdr:colOff>
                    <xdr:row>33</xdr:row>
                    <xdr:rowOff>133350</xdr:rowOff>
                  </from>
                  <to>
                    <xdr:col>4</xdr:col>
                    <xdr:colOff>123825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13" name="Button 113">
              <controlPr defaultSize="0" print="0" autoFill="0" autoPict="0" macro="[0]!SaveTeamSF">
                <anchor moveWithCells="1" sizeWithCells="1">
                  <from>
                    <xdr:col>4</xdr:col>
                    <xdr:colOff>190500</xdr:colOff>
                    <xdr:row>33</xdr:row>
                    <xdr:rowOff>133350</xdr:rowOff>
                  </from>
                  <to>
                    <xdr:col>5</xdr:col>
                    <xdr:colOff>428625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14" name="Button 114">
              <controlPr defaultSize="0" print="0" autoFill="0" autoPict="0" macro="[0]!DeleteTeamSF">
                <anchor moveWithCells="1" sizeWithCells="1">
                  <from>
                    <xdr:col>5</xdr:col>
                    <xdr:colOff>495300</xdr:colOff>
                    <xdr:row>33</xdr:row>
                    <xdr:rowOff>133350</xdr:rowOff>
                  </from>
                  <to>
                    <xdr:col>7</xdr:col>
                    <xdr:colOff>47625</xdr:colOff>
                    <xdr:row>35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9">
        <x14:dataValidation type="list" allowBlank="1" showInputMessage="1" showErrorMessage="1" xr:uid="{5C76BE62-692E-44C5-B039-D4301883BC98}">
          <x14:formula1>
            <xm:f>Dropdowns!$BD$3:$BD$252</xm:f>
          </x14:formula1>
          <xm:sqref>D24</xm:sqref>
        </x14:dataValidation>
        <x14:dataValidation type="list" allowBlank="1" showInputMessage="1" showErrorMessage="1" xr:uid="{0E0E0804-CB23-47A8-BC2E-7E5A32A6143E}">
          <x14:formula1>
            <xm:f>Dropdowns!$BS$3:$BS$252</xm:f>
          </x14:formula1>
          <xm:sqref>U24</xm:sqref>
        </x14:dataValidation>
        <x14:dataValidation type="list" allowBlank="1" showInputMessage="1" showErrorMessage="1" xr:uid="{271CFE87-2A32-4AC8-BB96-971350184057}">
          <x14:formula1>
            <xm:f>'Fairy Data'!$B$2:$B$101</xm:f>
          </x14:formula1>
          <xm:sqref>B29</xm:sqref>
        </x14:dataValidation>
        <x14:dataValidation type="list" allowBlank="1" showInputMessage="1" showErrorMessage="1" xr:uid="{9FE0DFE9-0745-4AD1-9E45-5D4096D3A798}">
          <x14:formula1>
            <xm:f>'Talent Data'!$A$2:$A$100</xm:f>
          </x14:formula1>
          <xm:sqref>F29</xm:sqref>
        </x14:dataValidation>
        <x14:dataValidation type="list" allowBlank="1" showInputMessage="1" showErrorMessage="1" xr:uid="{42E914E3-5BCD-4290-8E3F-0D12CA6C6A7B}">
          <x14:formula1>
            <xm:f>Dropdowns!$B$2:$B$7</xm:f>
          </x14:formula1>
          <xm:sqref>C20:C24</xm:sqref>
        </x14:dataValidation>
        <x14:dataValidation type="list" allowBlank="1" showInputMessage="1" showErrorMessage="1" xr:uid="{71C77CC5-281F-459D-BB0E-7265F0E0E93A}">
          <x14:formula1>
            <xm:f>Dropdowns!$A$2:$A$6</xm:f>
          </x14:formula1>
          <xm:sqref>B20:B24</xm:sqref>
        </x14:dataValidation>
        <x14:dataValidation type="list" allowBlank="1" showInputMessage="1" showErrorMessage="1" xr:uid="{85328822-DF77-439C-A9C8-F72A76FE2AFF}">
          <x14:formula1>
            <xm:f>Dropdowns!$AH$1:$AV$1</xm:f>
          </x14:formula1>
          <xm:sqref>L20:L24 T20:T24 P20:P24</xm:sqref>
        </x14:dataValidation>
        <x14:dataValidation type="list" allowBlank="1" showInputMessage="1" showErrorMessage="1" xr:uid="{258D3604-DBE5-4CA0-9969-B5FAD0F2CF53}">
          <x14:formula1>
            <xm:f>'SF Data'!$C$2:$C$1048576</xm:f>
          </x14:formula1>
          <xm:sqref>C40:C48</xm:sqref>
        </x14:dataValidation>
        <x14:dataValidation type="list" allowBlank="1" showInputMessage="1" showErrorMessage="1" xr:uid="{99572AB0-7606-422F-A868-8537EBB9DC89}">
          <x14:formula1>
            <xm:f>'SF Chip Data'!$B$2:$B$1048576</xm:f>
          </x14:formula1>
          <xm:sqref>M40:N48 L67:M71</xm:sqref>
        </x14:dataValidation>
        <x14:dataValidation type="list" allowBlank="1" showInputMessage="1" showErrorMessage="1" xr:uid="{4F9F8DDF-23DA-40A0-B895-2CD897D2332D}">
          <x14:formula1>
            <xm:f>Dropdowns!$AZ$3:$AZ$252</xm:f>
          </x14:formula1>
          <xm:sqref>D20</xm:sqref>
        </x14:dataValidation>
        <x14:dataValidation type="list" allowBlank="1" showInputMessage="1" showErrorMessage="1" xr:uid="{1A1CA998-5337-48BF-A62B-348C13CF9BBA}">
          <x14:formula1>
            <xm:f>Dropdowns!$BA$3:$BA$252</xm:f>
          </x14:formula1>
          <xm:sqref>D21</xm:sqref>
        </x14:dataValidation>
        <x14:dataValidation type="list" allowBlank="1" showInputMessage="1" showErrorMessage="1" xr:uid="{E6B7F2A9-307E-4F1E-A703-6A65F738E845}">
          <x14:formula1>
            <xm:f>Dropdowns!$BB$3:$BB$252</xm:f>
          </x14:formula1>
          <xm:sqref>D22</xm:sqref>
        </x14:dataValidation>
        <x14:dataValidation type="list" allowBlank="1" showInputMessage="1" showErrorMessage="1" xr:uid="{35C8A237-C450-4541-BFBD-6D4B3B6DEF30}">
          <x14:formula1>
            <xm:f>Dropdowns!$BC$3:$BC$252</xm:f>
          </x14:formula1>
          <xm:sqref>D23</xm:sqref>
        </x14:dataValidation>
        <x14:dataValidation type="list" allowBlank="1" showInputMessage="1" showErrorMessage="1" xr:uid="{1425B5A4-DBCF-4104-A3A5-F8E7730C714F}">
          <x14:formula1>
            <xm:f>Dropdowns!$BE$2:$BE$252</xm:f>
          </x14:formula1>
          <xm:sqref>M20</xm:sqref>
        </x14:dataValidation>
        <x14:dataValidation type="list" allowBlank="1" showInputMessage="1" showErrorMessage="1" xr:uid="{3FE987CD-A15E-4C8C-BA4C-8010E3DB7153}">
          <x14:formula1>
            <xm:f>Dropdowns!$BF$3:$BF$252</xm:f>
          </x14:formula1>
          <xm:sqref>M21</xm:sqref>
        </x14:dataValidation>
        <x14:dataValidation type="list" allowBlank="1" showInputMessage="1" showErrorMessage="1" xr:uid="{9C007909-901E-434E-B7F7-4773388BDBBF}">
          <x14:formula1>
            <xm:f>Dropdowns!$BG$3:$BG$252</xm:f>
          </x14:formula1>
          <xm:sqref>M22</xm:sqref>
        </x14:dataValidation>
        <x14:dataValidation type="list" allowBlank="1" showInputMessage="1" showErrorMessage="1" xr:uid="{96DD0585-2571-4700-999C-EE78CA9B6DA1}">
          <x14:formula1>
            <xm:f>Dropdowns!$BH$3:$BH$252</xm:f>
          </x14:formula1>
          <xm:sqref>M23</xm:sqref>
        </x14:dataValidation>
        <x14:dataValidation type="list" allowBlank="1" showInputMessage="1" showErrorMessage="1" xr:uid="{126BFA10-C9E4-4720-813C-D2271FAC79BA}">
          <x14:formula1>
            <xm:f>Dropdowns!$BI$3:$BI$252</xm:f>
          </x14:formula1>
          <xm:sqref>M24</xm:sqref>
        </x14:dataValidation>
        <x14:dataValidation type="list" allowBlank="1" showInputMessage="1" showErrorMessage="1" xr:uid="{E35ECFB2-973D-472D-AD2F-89838E32F1EB}">
          <x14:formula1>
            <xm:f>Dropdowns!$BJ$3:$BJ$252</xm:f>
          </x14:formula1>
          <xm:sqref>Q20</xm:sqref>
        </x14:dataValidation>
        <x14:dataValidation type="list" allowBlank="1" showInputMessage="1" showErrorMessage="1" xr:uid="{2F94C125-28E8-4DC3-BD90-6B421B06C994}">
          <x14:formula1>
            <xm:f>Dropdowns!$BK$3:$BK$252</xm:f>
          </x14:formula1>
          <xm:sqref>Q21</xm:sqref>
        </x14:dataValidation>
        <x14:dataValidation type="list" allowBlank="1" showInputMessage="1" showErrorMessage="1" xr:uid="{980A2F94-D662-48B9-8064-2C01F3F5144D}">
          <x14:formula1>
            <xm:f>Dropdowns!$BL$3:$BL$252</xm:f>
          </x14:formula1>
          <xm:sqref>Q22</xm:sqref>
        </x14:dataValidation>
        <x14:dataValidation type="list" allowBlank="1" showInputMessage="1" showErrorMessage="1" xr:uid="{EF5A75C6-E497-4730-ACF5-974E94CF839C}">
          <x14:formula1>
            <xm:f>Dropdowns!$BM$3:$BM$252</xm:f>
          </x14:formula1>
          <xm:sqref>Q23</xm:sqref>
        </x14:dataValidation>
        <x14:dataValidation type="list" allowBlank="1" showInputMessage="1" showErrorMessage="1" xr:uid="{1887057D-F776-4A45-88A4-7869401B9F5E}">
          <x14:formula1>
            <xm:f>Dropdowns!$BN$3:$BN$252</xm:f>
          </x14:formula1>
          <xm:sqref>Q24</xm:sqref>
        </x14:dataValidation>
        <x14:dataValidation type="list" allowBlank="1" showInputMessage="1" showErrorMessage="1" xr:uid="{E06405C0-AE35-43B7-9FD6-11A1328425A8}">
          <x14:formula1>
            <xm:f>Dropdowns!$BO$3:$BO$252</xm:f>
          </x14:formula1>
          <xm:sqref>U20</xm:sqref>
        </x14:dataValidation>
        <x14:dataValidation type="list" allowBlank="1" showInputMessage="1" showErrorMessage="1" xr:uid="{14EF62EE-C1F4-4318-89E0-9E5D7076EC78}">
          <x14:formula1>
            <xm:f>Dropdowns!$BP$3:$BP$252</xm:f>
          </x14:formula1>
          <xm:sqref>U21</xm:sqref>
        </x14:dataValidation>
        <x14:dataValidation type="list" allowBlank="1" showInputMessage="1" showErrorMessage="1" xr:uid="{828D6CDE-D6A6-49D8-82AC-028974278007}">
          <x14:formula1>
            <xm:f>Dropdowns!$BQ$3:$BQ$252</xm:f>
          </x14:formula1>
          <xm:sqref>U22</xm:sqref>
        </x14:dataValidation>
        <x14:dataValidation type="list" allowBlank="1" showInputMessage="1" showErrorMessage="1" xr:uid="{318743CF-B009-4699-86D0-0E87B3972162}">
          <x14:formula1>
            <xm:f>Dropdowns!$BR$3:$BR$252</xm:f>
          </x14:formula1>
          <xm:sqref>U23</xm:sqref>
        </x14:dataValidation>
        <x14:dataValidation type="list" allowBlank="1" showInputMessage="1" showErrorMessage="1" xr:uid="{34F279DE-970C-41F4-96EA-E3B744A6E2C1}">
          <x14:formula1>
            <xm:f>'Strat Buff Data'!$A$2:$A$1048576</xm:f>
          </x14:formula1>
          <xm:sqref>B75:B77</xm:sqref>
        </x14:dataValidation>
        <x14:dataValidation type="custom" allowBlank="1" showInputMessage="1" showErrorMessage="1" errorTitle="Error: Invalid Spot ID" error="Input must be a spot ID from 1-3 or 8-3N._x000a__x000a_https://pengupengupengu.github.io/gflmaps/#campaign=1001&amp;mission=7_x000a__x000a_https://pengupengupengu.github.io/gflmaps/#campaign=1008&amp;mission=90030" xr:uid="{9AE21329-A4D0-4F24-8721-265826FB3760}">
          <x14:formula1>
            <xm:f>IF($B$8="Night",Spot_Act_Info_Night!A2:A31,Spot_Act_Info_Day!A2:A9)</xm:f>
          </x14:formula1>
          <xm:sqref>N67:N71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E21909-F34E-40D7-A155-9E1CB389A99B}">
  <sheetPr codeName="Sheet28"/>
  <dimension ref="A1:B9"/>
  <sheetViews>
    <sheetView workbookViewId="0">
      <pane ySplit="2" topLeftCell="A3" activePane="bottomLeft" state="frozen"/>
      <selection pane="bottomLeft" activeCell="B6" sqref="B6"/>
    </sheetView>
  </sheetViews>
  <sheetFormatPr defaultRowHeight="15" x14ac:dyDescent="0.25"/>
  <cols>
    <col min="1" max="1" width="19" customWidth="1"/>
  </cols>
  <sheetData>
    <row r="1" spans="1:2" x14ac:dyDescent="0.25">
      <c r="A1" s="233" t="s">
        <v>6428</v>
      </c>
    </row>
    <row r="2" spans="1:2" x14ac:dyDescent="0.25">
      <c r="A2" s="10" t="s">
        <v>701</v>
      </c>
      <c r="B2" s="10" t="s">
        <v>6388</v>
      </c>
    </row>
    <row r="3" spans="1:2" x14ac:dyDescent="0.25">
      <c r="A3" t="s">
        <v>6375</v>
      </c>
      <c r="B3" s="231" t="s">
        <v>5694</v>
      </c>
    </row>
    <row r="4" spans="1:2" x14ac:dyDescent="0.25">
      <c r="A4" t="s">
        <v>6376</v>
      </c>
      <c r="B4" s="232" t="s">
        <v>6377</v>
      </c>
    </row>
    <row r="5" spans="1:2" x14ac:dyDescent="0.25">
      <c r="A5" t="s">
        <v>6378</v>
      </c>
      <c r="B5" s="231" t="s">
        <v>6379</v>
      </c>
    </row>
    <row r="6" spans="1:2" x14ac:dyDescent="0.25">
      <c r="A6" t="s">
        <v>6380</v>
      </c>
      <c r="B6" s="231" t="s">
        <v>6381</v>
      </c>
    </row>
    <row r="7" spans="1:2" x14ac:dyDescent="0.25">
      <c r="A7" t="s">
        <v>6382</v>
      </c>
      <c r="B7" s="231" t="s">
        <v>6383</v>
      </c>
    </row>
    <row r="8" spans="1:2" x14ac:dyDescent="0.25">
      <c r="A8" t="s">
        <v>6384</v>
      </c>
      <c r="B8" s="231" t="s">
        <v>6385</v>
      </c>
    </row>
    <row r="9" spans="1:2" x14ac:dyDescent="0.25">
      <c r="A9" t="s">
        <v>6386</v>
      </c>
      <c r="B9" s="231" t="s">
        <v>6387</v>
      </c>
    </row>
  </sheetData>
  <pageMargins left="0.7" right="0.7" top="0.75" bottom="0.75" header="0.3" footer="0.3"/>
  <ignoredErrors>
    <ignoredError sqref="B3:B9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FA3E-23AE-4E64-B5C6-F5CC4A793D5C}">
  <sheetPr codeName="Sheet16"/>
  <dimension ref="A2:AO153"/>
  <sheetViews>
    <sheetView topLeftCell="A107" workbookViewId="0">
      <pane xSplit="6" topLeftCell="G1" activePane="topRight" state="frozen"/>
      <selection pane="topRight" activeCell="AM118" sqref="AM118"/>
    </sheetView>
  </sheetViews>
  <sheetFormatPr defaultRowHeight="15" x14ac:dyDescent="0.25"/>
  <cols>
    <col min="1" max="1" width="13.85546875" bestFit="1" customWidth="1"/>
    <col min="3" max="3" width="16.28515625" customWidth="1"/>
    <col min="4" max="4" width="13.140625" customWidth="1"/>
    <col min="5" max="5" width="8.7109375" customWidth="1"/>
    <col min="6" max="6" width="13.85546875" bestFit="1" customWidth="1"/>
    <col min="7" max="7" width="10.140625" customWidth="1"/>
    <col min="8" max="8" width="10.28515625" customWidth="1"/>
    <col min="14" max="14" width="10.85546875" customWidth="1"/>
  </cols>
  <sheetData>
    <row r="2" spans="1:41" x14ac:dyDescent="0.25">
      <c r="D2" s="235" t="s">
        <v>573</v>
      </c>
      <c r="E2" s="236"/>
      <c r="F2" s="236"/>
      <c r="G2" s="236"/>
      <c r="H2" s="236"/>
      <c r="I2" s="236"/>
      <c r="J2" s="236"/>
      <c r="K2" s="236"/>
      <c r="L2" s="237"/>
      <c r="M2" s="54"/>
      <c r="N2" s="235" t="s">
        <v>705</v>
      </c>
      <c r="O2" s="236"/>
      <c r="P2" s="236"/>
      <c r="Q2" s="237"/>
      <c r="R2" s="235" t="s">
        <v>706</v>
      </c>
      <c r="S2" s="236"/>
      <c r="T2" s="236"/>
      <c r="U2" s="237"/>
      <c r="V2" s="235" t="s">
        <v>707</v>
      </c>
      <c r="W2" s="236"/>
      <c r="X2" s="236"/>
      <c r="Y2" s="237"/>
      <c r="AA2" s="227" t="s">
        <v>968</v>
      </c>
      <c r="AB2" s="228"/>
      <c r="AC2" s="228"/>
      <c r="AD2" s="228"/>
      <c r="AE2" s="229"/>
      <c r="AG2" s="168" t="s">
        <v>764</v>
      </c>
      <c r="AH2" s="166"/>
      <c r="AI2" s="166"/>
      <c r="AJ2" s="166"/>
      <c r="AK2" s="167"/>
    </row>
    <row r="3" spans="1:41" x14ac:dyDescent="0.25">
      <c r="A3" s="10" t="s">
        <v>975</v>
      </c>
      <c r="D3" s="55" t="s">
        <v>282</v>
      </c>
      <c r="E3" s="56" t="s">
        <v>1</v>
      </c>
      <c r="F3" s="56" t="s">
        <v>8</v>
      </c>
      <c r="G3" s="56" t="s">
        <v>18</v>
      </c>
      <c r="H3" s="56" t="s">
        <v>281</v>
      </c>
      <c r="I3" s="56" t="s">
        <v>58</v>
      </c>
      <c r="J3" s="56" t="s">
        <v>59</v>
      </c>
      <c r="K3" s="56" t="s">
        <v>269</v>
      </c>
      <c r="L3" s="57" t="s">
        <v>60</v>
      </c>
      <c r="M3" s="54"/>
      <c r="N3" s="55" t="s">
        <v>703</v>
      </c>
      <c r="O3" s="56" t="s">
        <v>8</v>
      </c>
      <c r="P3" s="56" t="s">
        <v>18</v>
      </c>
      <c r="Q3" s="57" t="s">
        <v>704</v>
      </c>
      <c r="R3" s="56" t="s">
        <v>703</v>
      </c>
      <c r="S3" s="56" t="s">
        <v>8</v>
      </c>
      <c r="T3" s="56" t="s">
        <v>18</v>
      </c>
      <c r="U3" s="57" t="s">
        <v>704</v>
      </c>
      <c r="V3" s="56" t="s">
        <v>703</v>
      </c>
      <c r="W3" s="56" t="s">
        <v>8</v>
      </c>
      <c r="X3" s="56" t="s">
        <v>18</v>
      </c>
      <c r="Y3" s="57" t="s">
        <v>704</v>
      </c>
      <c r="AA3" s="185" t="s">
        <v>970</v>
      </c>
      <c r="AB3" s="186" t="s">
        <v>10</v>
      </c>
      <c r="AC3" s="186" t="s">
        <v>11</v>
      </c>
      <c r="AD3" s="186" t="s">
        <v>12</v>
      </c>
      <c r="AE3" s="187" t="s">
        <v>13</v>
      </c>
      <c r="AG3" s="172" t="s">
        <v>8</v>
      </c>
      <c r="AH3" s="170" t="s">
        <v>1094</v>
      </c>
      <c r="AI3" s="170" t="s">
        <v>18</v>
      </c>
      <c r="AJ3" s="170" t="s">
        <v>769</v>
      </c>
      <c r="AK3" s="171" t="s">
        <v>580</v>
      </c>
    </row>
    <row r="4" spans="1:41" x14ac:dyDescent="0.25">
      <c r="A4" t="s">
        <v>6391</v>
      </c>
      <c r="C4" t="s">
        <v>972</v>
      </c>
      <c r="D4" s="173">
        <v>5</v>
      </c>
      <c r="E4" s="174" t="s">
        <v>6</v>
      </c>
      <c r="F4" s="175" t="s">
        <v>266</v>
      </c>
      <c r="G4" s="174">
        <v>115</v>
      </c>
      <c r="H4" s="174">
        <v>5</v>
      </c>
      <c r="I4" s="174">
        <v>10</v>
      </c>
      <c r="J4" s="174">
        <v>10</v>
      </c>
      <c r="K4" s="174">
        <v>3</v>
      </c>
      <c r="L4" s="175">
        <v>100</v>
      </c>
      <c r="M4" s="176"/>
      <c r="N4" s="177" t="s">
        <v>713</v>
      </c>
      <c r="O4" s="178" t="s">
        <v>523</v>
      </c>
      <c r="P4" s="178">
        <v>10</v>
      </c>
      <c r="Q4" s="179">
        <v>1</v>
      </c>
      <c r="R4" s="177" t="s">
        <v>702</v>
      </c>
      <c r="S4" s="178" t="s">
        <v>266</v>
      </c>
      <c r="T4" s="178">
        <v>10</v>
      </c>
      <c r="U4" s="179">
        <v>1</v>
      </c>
      <c r="V4" s="177" t="s">
        <v>743</v>
      </c>
      <c r="W4" s="178" t="s">
        <v>572</v>
      </c>
      <c r="X4" s="178">
        <v>10</v>
      </c>
      <c r="Y4" s="179">
        <v>1</v>
      </c>
      <c r="AA4" s="177"/>
      <c r="AB4" s="178"/>
      <c r="AC4" s="178"/>
      <c r="AD4" s="178"/>
      <c r="AE4" s="223"/>
      <c r="AG4" s="181" t="s">
        <v>658</v>
      </c>
      <c r="AH4" s="182">
        <v>5</v>
      </c>
      <c r="AI4" s="182">
        <v>100</v>
      </c>
      <c r="AJ4" s="182">
        <v>10</v>
      </c>
      <c r="AK4" s="159" t="s">
        <v>698</v>
      </c>
      <c r="AM4" s="161">
        <v>1</v>
      </c>
      <c r="AN4" s="161">
        <v>5</v>
      </c>
      <c r="AO4" s="161"/>
    </row>
    <row r="5" spans="1:41" x14ac:dyDescent="0.25">
      <c r="A5" t="s">
        <v>980</v>
      </c>
      <c r="D5" s="177">
        <v>5</v>
      </c>
      <c r="E5" s="178" t="s">
        <v>6</v>
      </c>
      <c r="F5" s="180" t="s">
        <v>807</v>
      </c>
      <c r="G5" s="178">
        <v>100</v>
      </c>
      <c r="H5" s="178">
        <v>5</v>
      </c>
      <c r="I5" s="178">
        <v>10</v>
      </c>
      <c r="J5" s="178">
        <v>0</v>
      </c>
      <c r="K5" s="178">
        <v>0</v>
      </c>
      <c r="L5" s="180">
        <v>100</v>
      </c>
      <c r="M5" s="176"/>
      <c r="N5" s="177" t="s">
        <v>713</v>
      </c>
      <c r="O5" s="178" t="s">
        <v>523</v>
      </c>
      <c r="P5" s="178">
        <v>10</v>
      </c>
      <c r="Q5" s="179">
        <v>1</v>
      </c>
      <c r="R5" s="177" t="s">
        <v>721</v>
      </c>
      <c r="S5" s="178" t="s">
        <v>535</v>
      </c>
      <c r="T5" s="178">
        <v>10</v>
      </c>
      <c r="U5" s="179">
        <v>1</v>
      </c>
      <c r="V5" s="177" t="s">
        <v>743</v>
      </c>
      <c r="W5" s="178" t="s">
        <v>572</v>
      </c>
      <c r="X5" s="178">
        <v>10</v>
      </c>
      <c r="Y5" s="179">
        <v>1</v>
      </c>
      <c r="AA5" s="177"/>
      <c r="AB5" s="178"/>
      <c r="AC5" s="178"/>
      <c r="AD5" s="178"/>
      <c r="AE5" s="223"/>
      <c r="AM5" s="161">
        <v>4</v>
      </c>
      <c r="AN5" s="161">
        <v>3</v>
      </c>
      <c r="AO5" s="161"/>
    </row>
    <row r="6" spans="1:41" x14ac:dyDescent="0.25">
      <c r="A6" t="s">
        <v>973</v>
      </c>
      <c r="D6" s="177">
        <v>6</v>
      </c>
      <c r="E6" s="178" t="s">
        <v>3</v>
      </c>
      <c r="F6" s="180" t="s">
        <v>263</v>
      </c>
      <c r="G6" s="178">
        <v>110</v>
      </c>
      <c r="H6" s="178">
        <v>5</v>
      </c>
      <c r="I6" s="178">
        <v>10</v>
      </c>
      <c r="J6" s="178">
        <v>10</v>
      </c>
      <c r="K6" s="178">
        <v>2</v>
      </c>
      <c r="L6" s="180">
        <v>100</v>
      </c>
      <c r="M6" s="176"/>
      <c r="N6" s="177" t="s">
        <v>754</v>
      </c>
      <c r="O6" s="178" t="s">
        <v>554</v>
      </c>
      <c r="P6" s="178">
        <v>10</v>
      </c>
      <c r="Q6" s="179">
        <v>1</v>
      </c>
      <c r="R6" s="177" t="s">
        <v>9</v>
      </c>
      <c r="S6" s="178" t="s">
        <v>560</v>
      </c>
      <c r="T6" s="178">
        <v>10</v>
      </c>
      <c r="U6" s="179">
        <v>1</v>
      </c>
      <c r="V6" s="177" t="s">
        <v>733</v>
      </c>
      <c r="W6" s="178" t="s">
        <v>543</v>
      </c>
      <c r="X6" s="178">
        <v>10</v>
      </c>
      <c r="Y6" s="179">
        <v>1</v>
      </c>
      <c r="AA6" s="177"/>
      <c r="AB6" s="178"/>
      <c r="AC6" s="178"/>
      <c r="AD6" s="178"/>
      <c r="AE6" s="223"/>
      <c r="AM6" s="161">
        <v>2</v>
      </c>
      <c r="AN6" s="161"/>
      <c r="AO6" s="161"/>
    </row>
    <row r="7" spans="1:41" x14ac:dyDescent="0.25">
      <c r="A7" t="s">
        <v>1730</v>
      </c>
      <c r="D7" s="177">
        <v>4</v>
      </c>
      <c r="E7" s="178" t="s">
        <v>3</v>
      </c>
      <c r="F7" s="180" t="s">
        <v>1712</v>
      </c>
      <c r="G7" s="178">
        <v>110</v>
      </c>
      <c r="H7" s="178">
        <v>5</v>
      </c>
      <c r="I7" s="178">
        <v>10</v>
      </c>
      <c r="J7" s="178">
        <v>10</v>
      </c>
      <c r="K7" s="178">
        <v>2</v>
      </c>
      <c r="L7" s="180">
        <v>100</v>
      </c>
      <c r="M7" s="176"/>
      <c r="N7" s="177" t="s">
        <v>754</v>
      </c>
      <c r="O7" s="178" t="s">
        <v>554</v>
      </c>
      <c r="P7" s="178">
        <v>10</v>
      </c>
      <c r="Q7" s="179">
        <v>1</v>
      </c>
      <c r="R7" s="177" t="s">
        <v>9</v>
      </c>
      <c r="S7" s="178" t="s">
        <v>560</v>
      </c>
      <c r="T7" s="178">
        <v>10</v>
      </c>
      <c r="U7" s="179">
        <v>1</v>
      </c>
      <c r="V7" s="177" t="s">
        <v>733</v>
      </c>
      <c r="W7" s="178" t="s">
        <v>543</v>
      </c>
      <c r="X7" s="178">
        <v>10</v>
      </c>
      <c r="Y7" s="179">
        <v>1</v>
      </c>
      <c r="AA7" s="177"/>
      <c r="AB7" s="178"/>
      <c r="AC7" s="178"/>
      <c r="AD7" s="178"/>
      <c r="AE7" s="223"/>
    </row>
    <row r="8" spans="1:41" x14ac:dyDescent="0.25">
      <c r="A8" t="s">
        <v>5567</v>
      </c>
      <c r="D8" s="181">
        <v>6</v>
      </c>
      <c r="E8" s="182" t="s">
        <v>7</v>
      </c>
      <c r="F8" s="159" t="s">
        <v>828</v>
      </c>
      <c r="G8" s="182">
        <v>110</v>
      </c>
      <c r="H8" s="182">
        <v>5</v>
      </c>
      <c r="I8" s="182">
        <v>10</v>
      </c>
      <c r="J8" s="182">
        <v>10</v>
      </c>
      <c r="K8" s="182">
        <v>2</v>
      </c>
      <c r="L8" s="159">
        <v>100</v>
      </c>
      <c r="M8" s="176"/>
      <c r="N8" s="181" t="s">
        <v>754</v>
      </c>
      <c r="O8" s="182" t="s">
        <v>554</v>
      </c>
      <c r="P8" s="182">
        <v>10</v>
      </c>
      <c r="Q8" s="183">
        <v>1</v>
      </c>
      <c r="R8" s="181" t="s">
        <v>9</v>
      </c>
      <c r="S8" s="182" t="s">
        <v>560</v>
      </c>
      <c r="T8" s="182">
        <v>10</v>
      </c>
      <c r="U8" s="183">
        <v>1</v>
      </c>
      <c r="V8" s="181" t="s">
        <v>733</v>
      </c>
      <c r="W8" s="182" t="s">
        <v>543</v>
      </c>
      <c r="X8" s="182">
        <v>10</v>
      </c>
      <c r="Y8" s="183">
        <v>1</v>
      </c>
      <c r="AA8" s="181"/>
      <c r="AB8" s="182"/>
      <c r="AC8" s="182"/>
      <c r="AD8" s="182"/>
      <c r="AE8" s="224"/>
    </row>
    <row r="9" spans="1:41" x14ac:dyDescent="0.25">
      <c r="A9" t="s">
        <v>972</v>
      </c>
      <c r="C9" t="s">
        <v>973</v>
      </c>
      <c r="D9" s="173">
        <v>6</v>
      </c>
      <c r="E9" s="174" t="s">
        <v>2</v>
      </c>
      <c r="F9" s="175" t="s">
        <v>259</v>
      </c>
      <c r="G9" s="174">
        <v>115</v>
      </c>
      <c r="H9" s="174">
        <v>5</v>
      </c>
      <c r="I9" s="174">
        <v>10</v>
      </c>
      <c r="J9" s="174">
        <v>10</v>
      </c>
      <c r="K9" s="174">
        <v>3</v>
      </c>
      <c r="L9" s="175">
        <v>100</v>
      </c>
      <c r="M9" s="176"/>
      <c r="N9" s="177" t="s">
        <v>702</v>
      </c>
      <c r="O9" s="178" t="s">
        <v>223</v>
      </c>
      <c r="P9" s="178">
        <v>10</v>
      </c>
      <c r="Q9" s="179">
        <v>1</v>
      </c>
      <c r="R9" s="177" t="s">
        <v>728</v>
      </c>
      <c r="S9" s="178" t="s">
        <v>539</v>
      </c>
      <c r="T9" s="178">
        <v>10</v>
      </c>
      <c r="U9" s="179">
        <v>1</v>
      </c>
      <c r="V9" s="177" t="s">
        <v>702</v>
      </c>
      <c r="W9" s="178" t="s">
        <v>259</v>
      </c>
      <c r="X9" s="178">
        <v>10</v>
      </c>
      <c r="Y9" s="179">
        <v>1</v>
      </c>
      <c r="AA9" s="177"/>
      <c r="AB9" s="178"/>
      <c r="AC9" s="178"/>
      <c r="AD9" s="178"/>
      <c r="AE9" s="223"/>
      <c r="AG9" s="181" t="s">
        <v>641</v>
      </c>
      <c r="AH9" s="182">
        <v>5</v>
      </c>
      <c r="AI9" s="182">
        <v>100</v>
      </c>
      <c r="AJ9" s="182">
        <v>10</v>
      </c>
      <c r="AK9" s="159" t="s">
        <v>698</v>
      </c>
      <c r="AM9" s="161">
        <v>1</v>
      </c>
      <c r="AN9" s="161"/>
      <c r="AO9" s="161"/>
    </row>
    <row r="10" spans="1:41" x14ac:dyDescent="0.25">
      <c r="A10" t="s">
        <v>5566</v>
      </c>
      <c r="D10" s="177">
        <v>5</v>
      </c>
      <c r="E10" s="178" t="s">
        <v>3</v>
      </c>
      <c r="F10" s="180" t="s">
        <v>267</v>
      </c>
      <c r="G10" s="178">
        <v>110</v>
      </c>
      <c r="H10" s="178">
        <v>5</v>
      </c>
      <c r="I10" s="178">
        <v>10</v>
      </c>
      <c r="J10" s="178">
        <v>10</v>
      </c>
      <c r="K10" s="178">
        <v>2</v>
      </c>
      <c r="L10" s="180">
        <v>100</v>
      </c>
      <c r="M10" s="176"/>
      <c r="N10" s="177" t="s">
        <v>754</v>
      </c>
      <c r="O10" s="178" t="s">
        <v>554</v>
      </c>
      <c r="P10" s="178">
        <v>10</v>
      </c>
      <c r="Q10" s="179">
        <v>1</v>
      </c>
      <c r="R10" s="177" t="s">
        <v>9</v>
      </c>
      <c r="S10" s="178" t="s">
        <v>560</v>
      </c>
      <c r="T10" s="178">
        <v>10</v>
      </c>
      <c r="U10" s="179">
        <v>1</v>
      </c>
      <c r="V10" s="177" t="s">
        <v>733</v>
      </c>
      <c r="W10" s="178" t="s">
        <v>543</v>
      </c>
      <c r="X10" s="178">
        <v>10</v>
      </c>
      <c r="Y10" s="179">
        <v>1</v>
      </c>
      <c r="AA10" s="177"/>
      <c r="AB10" s="178"/>
      <c r="AC10" s="178"/>
      <c r="AD10" s="178"/>
      <c r="AE10" s="223"/>
      <c r="AM10" s="161">
        <v>2</v>
      </c>
      <c r="AN10" s="161">
        <v>4</v>
      </c>
      <c r="AO10" s="161"/>
    </row>
    <row r="11" spans="1:41" x14ac:dyDescent="0.25">
      <c r="A11" t="s">
        <v>5565</v>
      </c>
      <c r="D11" s="177">
        <v>6</v>
      </c>
      <c r="E11" s="178" t="s">
        <v>6</v>
      </c>
      <c r="F11" s="180" t="s">
        <v>1710</v>
      </c>
      <c r="G11" s="178">
        <v>115</v>
      </c>
      <c r="H11" s="178">
        <v>5</v>
      </c>
      <c r="I11" s="178">
        <v>10</v>
      </c>
      <c r="J11" s="178">
        <v>10</v>
      </c>
      <c r="K11" s="178">
        <v>3</v>
      </c>
      <c r="L11" s="180">
        <v>100</v>
      </c>
      <c r="M11" s="176"/>
      <c r="N11" s="177" t="s">
        <v>713</v>
      </c>
      <c r="O11" s="178" t="s">
        <v>523</v>
      </c>
      <c r="P11" s="178">
        <v>10</v>
      </c>
      <c r="Q11" s="179">
        <v>1</v>
      </c>
      <c r="R11" s="177" t="s">
        <v>702</v>
      </c>
      <c r="S11" s="178" t="s">
        <v>1710</v>
      </c>
      <c r="T11" s="178">
        <v>10</v>
      </c>
      <c r="U11" s="179">
        <v>1</v>
      </c>
      <c r="V11" s="177" t="s">
        <v>743</v>
      </c>
      <c r="W11" s="178" t="s">
        <v>572</v>
      </c>
      <c r="X11" s="178">
        <v>10</v>
      </c>
      <c r="Y11" s="179">
        <v>1</v>
      </c>
      <c r="AA11" s="177"/>
      <c r="AB11" s="178"/>
      <c r="AC11" s="178"/>
      <c r="AD11" s="178"/>
      <c r="AE11" s="223"/>
      <c r="AM11" s="161">
        <v>3</v>
      </c>
      <c r="AN11" s="161">
        <v>5</v>
      </c>
      <c r="AO11" s="161"/>
    </row>
    <row r="12" spans="1:41" x14ac:dyDescent="0.25">
      <c r="A12" t="s">
        <v>6455</v>
      </c>
      <c r="D12" s="177">
        <v>5</v>
      </c>
      <c r="E12" s="178" t="s">
        <v>7</v>
      </c>
      <c r="F12" s="180" t="s">
        <v>1630</v>
      </c>
      <c r="G12" s="178">
        <v>100</v>
      </c>
      <c r="H12" s="178">
        <v>5</v>
      </c>
      <c r="I12" s="178">
        <v>10</v>
      </c>
      <c r="J12" s="178">
        <v>0</v>
      </c>
      <c r="K12" s="178">
        <v>0</v>
      </c>
      <c r="L12" s="180">
        <v>100</v>
      </c>
      <c r="M12" s="176"/>
      <c r="N12" s="177" t="s">
        <v>754</v>
      </c>
      <c r="O12" s="178" t="s">
        <v>554</v>
      </c>
      <c r="P12" s="178">
        <v>10</v>
      </c>
      <c r="Q12" s="179">
        <v>1</v>
      </c>
      <c r="R12" s="177" t="s">
        <v>9</v>
      </c>
      <c r="S12" s="178" t="s">
        <v>560</v>
      </c>
      <c r="T12" s="178">
        <v>10</v>
      </c>
      <c r="U12" s="179">
        <v>1</v>
      </c>
      <c r="V12" s="177" t="s">
        <v>733</v>
      </c>
      <c r="W12" s="178" t="s">
        <v>543</v>
      </c>
      <c r="X12" s="178">
        <v>10</v>
      </c>
      <c r="Y12" s="179">
        <v>1</v>
      </c>
      <c r="AA12" s="177"/>
      <c r="AB12" s="178"/>
      <c r="AC12" s="178"/>
      <c r="AD12" s="178"/>
      <c r="AE12" s="223"/>
    </row>
    <row r="13" spans="1:41" x14ac:dyDescent="0.25">
      <c r="A13" t="s">
        <v>6454</v>
      </c>
      <c r="D13" s="181">
        <v>5</v>
      </c>
      <c r="E13" s="182" t="s">
        <v>3</v>
      </c>
      <c r="F13" s="159" t="s">
        <v>197</v>
      </c>
      <c r="G13" s="182">
        <v>100</v>
      </c>
      <c r="H13" s="182">
        <v>5</v>
      </c>
      <c r="I13" s="182">
        <v>10</v>
      </c>
      <c r="J13" s="182">
        <v>0</v>
      </c>
      <c r="K13" s="182">
        <v>0</v>
      </c>
      <c r="L13" s="159">
        <v>100</v>
      </c>
      <c r="M13" s="176"/>
      <c r="N13" s="181" t="s">
        <v>754</v>
      </c>
      <c r="O13" s="182" t="s">
        <v>554</v>
      </c>
      <c r="P13" s="182">
        <v>10</v>
      </c>
      <c r="Q13" s="183">
        <v>1</v>
      </c>
      <c r="R13" s="181" t="s">
        <v>9</v>
      </c>
      <c r="S13" s="182" t="s">
        <v>560</v>
      </c>
      <c r="T13" s="182">
        <v>10</v>
      </c>
      <c r="U13" s="183">
        <v>1</v>
      </c>
      <c r="V13" s="181" t="s">
        <v>733</v>
      </c>
      <c r="W13" s="182" t="s">
        <v>543</v>
      </c>
      <c r="X13" s="182">
        <v>10</v>
      </c>
      <c r="Y13" s="183">
        <v>1</v>
      </c>
      <c r="AA13" s="181"/>
      <c r="AB13" s="182"/>
      <c r="AC13" s="182"/>
      <c r="AD13" s="182"/>
      <c r="AE13" s="224"/>
    </row>
    <row r="14" spans="1:41" x14ac:dyDescent="0.25">
      <c r="A14" t="s">
        <v>6453</v>
      </c>
      <c r="C14" t="s">
        <v>980</v>
      </c>
      <c r="D14" s="173">
        <v>6</v>
      </c>
      <c r="E14" s="174" t="s">
        <v>2</v>
      </c>
      <c r="F14" s="175" t="s">
        <v>259</v>
      </c>
      <c r="G14" s="174">
        <v>115</v>
      </c>
      <c r="H14" s="174">
        <v>5</v>
      </c>
      <c r="I14" s="174">
        <v>10</v>
      </c>
      <c r="J14" s="174">
        <v>10</v>
      </c>
      <c r="K14" s="174">
        <v>3</v>
      </c>
      <c r="L14" s="175">
        <v>100</v>
      </c>
      <c r="M14" s="176"/>
      <c r="N14" s="177" t="s">
        <v>702</v>
      </c>
      <c r="O14" s="178" t="s">
        <v>223</v>
      </c>
      <c r="P14" s="178">
        <v>10</v>
      </c>
      <c r="Q14" s="179">
        <v>1</v>
      </c>
      <c r="R14" s="177" t="s">
        <v>728</v>
      </c>
      <c r="S14" s="178" t="s">
        <v>539</v>
      </c>
      <c r="T14" s="178">
        <v>10</v>
      </c>
      <c r="U14" s="179">
        <v>1</v>
      </c>
      <c r="V14" s="177" t="s">
        <v>702</v>
      </c>
      <c r="W14" s="178" t="s">
        <v>259</v>
      </c>
      <c r="X14" s="178">
        <v>10</v>
      </c>
      <c r="Y14" s="179">
        <v>1</v>
      </c>
      <c r="AA14" s="177"/>
      <c r="AB14" s="178"/>
      <c r="AC14" s="178"/>
      <c r="AD14" s="178"/>
      <c r="AE14" s="223"/>
      <c r="AG14" s="181" t="s">
        <v>641</v>
      </c>
      <c r="AH14" s="182">
        <v>5</v>
      </c>
      <c r="AI14" s="182">
        <v>100</v>
      </c>
      <c r="AJ14" s="182">
        <v>10</v>
      </c>
      <c r="AK14" s="159" t="s">
        <v>698</v>
      </c>
      <c r="AM14" s="161">
        <v>1</v>
      </c>
      <c r="AN14" s="161"/>
      <c r="AO14" s="161"/>
    </row>
    <row r="15" spans="1:41" x14ac:dyDescent="0.25">
      <c r="A15" t="s">
        <v>6452</v>
      </c>
      <c r="D15" s="177">
        <v>5</v>
      </c>
      <c r="E15" s="178" t="s">
        <v>4</v>
      </c>
      <c r="F15" s="180" t="s">
        <v>212</v>
      </c>
      <c r="G15" s="178">
        <v>100</v>
      </c>
      <c r="H15" s="178">
        <v>5</v>
      </c>
      <c r="I15" s="178">
        <v>10</v>
      </c>
      <c r="J15" s="178">
        <v>0</v>
      </c>
      <c r="K15" s="178">
        <v>0</v>
      </c>
      <c r="L15" s="180">
        <v>100</v>
      </c>
      <c r="M15" s="176"/>
      <c r="N15" s="177" t="s">
        <v>713</v>
      </c>
      <c r="O15" s="178" t="s">
        <v>523</v>
      </c>
      <c r="P15" s="178">
        <v>10</v>
      </c>
      <c r="Q15" s="179">
        <v>1</v>
      </c>
      <c r="R15" s="177" t="s">
        <v>721</v>
      </c>
      <c r="S15" s="178" t="s">
        <v>535</v>
      </c>
      <c r="T15" s="178">
        <v>10</v>
      </c>
      <c r="U15" s="179">
        <v>1</v>
      </c>
      <c r="V15" s="177" t="s">
        <v>742</v>
      </c>
      <c r="W15" s="178" t="s">
        <v>556</v>
      </c>
      <c r="X15" s="178">
        <v>10</v>
      </c>
      <c r="Y15" s="179">
        <v>1</v>
      </c>
      <c r="AA15" s="177"/>
      <c r="AB15" s="178"/>
      <c r="AC15" s="178"/>
      <c r="AD15" s="178"/>
      <c r="AE15" s="223"/>
      <c r="AM15" s="161">
        <v>2</v>
      </c>
      <c r="AN15" s="161">
        <v>4</v>
      </c>
      <c r="AO15" s="161"/>
    </row>
    <row r="16" spans="1:41" x14ac:dyDescent="0.25">
      <c r="A16" t="s">
        <v>6523</v>
      </c>
      <c r="D16" s="177">
        <v>5</v>
      </c>
      <c r="E16" s="178" t="s">
        <v>6</v>
      </c>
      <c r="F16" s="180" t="s">
        <v>171</v>
      </c>
      <c r="G16" s="178">
        <v>100</v>
      </c>
      <c r="H16" s="178">
        <v>5</v>
      </c>
      <c r="I16" s="178">
        <v>10</v>
      </c>
      <c r="J16" s="178">
        <v>0</v>
      </c>
      <c r="K16" s="178">
        <v>0</v>
      </c>
      <c r="L16" s="180">
        <v>100</v>
      </c>
      <c r="M16" s="176"/>
      <c r="N16" s="177" t="s">
        <v>713</v>
      </c>
      <c r="O16" s="178" t="s">
        <v>523</v>
      </c>
      <c r="P16" s="178">
        <v>10</v>
      </c>
      <c r="Q16" s="179">
        <v>1</v>
      </c>
      <c r="R16" s="177" t="s">
        <v>721</v>
      </c>
      <c r="S16" s="178" t="s">
        <v>535</v>
      </c>
      <c r="T16" s="178">
        <v>10</v>
      </c>
      <c r="U16" s="179">
        <v>1</v>
      </c>
      <c r="V16" s="177" t="s">
        <v>743</v>
      </c>
      <c r="W16" s="178" t="s">
        <v>572</v>
      </c>
      <c r="X16" s="178">
        <v>10</v>
      </c>
      <c r="Y16" s="179">
        <v>1</v>
      </c>
      <c r="AA16" s="177"/>
      <c r="AB16" s="178"/>
      <c r="AC16" s="178"/>
      <c r="AD16" s="178"/>
      <c r="AE16" s="223"/>
      <c r="AM16" s="161">
        <v>3</v>
      </c>
      <c r="AN16" s="161">
        <v>5</v>
      </c>
      <c r="AO16" s="161"/>
    </row>
    <row r="17" spans="1:41" x14ac:dyDescent="0.25">
      <c r="A17" t="s">
        <v>6392</v>
      </c>
      <c r="D17" s="177">
        <v>4</v>
      </c>
      <c r="E17" s="178" t="s">
        <v>3</v>
      </c>
      <c r="F17" s="180" t="s">
        <v>1206</v>
      </c>
      <c r="G17" s="178">
        <v>100</v>
      </c>
      <c r="H17" s="178">
        <v>5</v>
      </c>
      <c r="I17" s="178">
        <v>10</v>
      </c>
      <c r="J17" s="178">
        <v>0</v>
      </c>
      <c r="K17" s="178">
        <v>0</v>
      </c>
      <c r="L17" s="180">
        <v>100</v>
      </c>
      <c r="M17" s="176"/>
      <c r="N17" s="177" t="s">
        <v>754</v>
      </c>
      <c r="O17" s="178" t="s">
        <v>554</v>
      </c>
      <c r="P17" s="178">
        <v>10</v>
      </c>
      <c r="Q17" s="179">
        <v>1</v>
      </c>
      <c r="R17" s="177" t="s">
        <v>9</v>
      </c>
      <c r="S17" s="178" t="s">
        <v>560</v>
      </c>
      <c r="T17" s="178">
        <v>10</v>
      </c>
      <c r="U17" s="179">
        <v>1</v>
      </c>
      <c r="V17" s="177" t="s">
        <v>733</v>
      </c>
      <c r="W17" s="178" t="s">
        <v>543</v>
      </c>
      <c r="X17" s="178">
        <v>10</v>
      </c>
      <c r="Y17" s="179">
        <v>1</v>
      </c>
      <c r="AA17" s="177"/>
      <c r="AB17" s="178"/>
      <c r="AC17" s="178"/>
      <c r="AD17" s="178"/>
      <c r="AE17" s="223"/>
    </row>
    <row r="18" spans="1:41" x14ac:dyDescent="0.25">
      <c r="A18" t="s">
        <v>6393</v>
      </c>
      <c r="D18" s="181">
        <v>5</v>
      </c>
      <c r="E18" s="182" t="s">
        <v>3</v>
      </c>
      <c r="F18" s="159" t="s">
        <v>197</v>
      </c>
      <c r="G18" s="182">
        <v>100</v>
      </c>
      <c r="H18" s="182">
        <v>5</v>
      </c>
      <c r="I18" s="182">
        <v>10</v>
      </c>
      <c r="J18" s="182">
        <v>0</v>
      </c>
      <c r="K18" s="182">
        <v>0</v>
      </c>
      <c r="L18" s="159">
        <v>100</v>
      </c>
      <c r="M18" s="176"/>
      <c r="N18" s="181" t="s">
        <v>754</v>
      </c>
      <c r="O18" s="182" t="s">
        <v>554</v>
      </c>
      <c r="P18" s="182">
        <v>10</v>
      </c>
      <c r="Q18" s="183">
        <v>1</v>
      </c>
      <c r="R18" s="181" t="s">
        <v>9</v>
      </c>
      <c r="S18" s="182" t="s">
        <v>560</v>
      </c>
      <c r="T18" s="182">
        <v>10</v>
      </c>
      <c r="U18" s="183">
        <v>1</v>
      </c>
      <c r="V18" s="181" t="s">
        <v>733</v>
      </c>
      <c r="W18" s="182" t="s">
        <v>543</v>
      </c>
      <c r="X18" s="182">
        <v>10</v>
      </c>
      <c r="Y18" s="183">
        <v>1</v>
      </c>
      <c r="AA18" s="181"/>
      <c r="AB18" s="182"/>
      <c r="AC18" s="182"/>
      <c r="AD18" s="182"/>
      <c r="AE18" s="224"/>
    </row>
    <row r="19" spans="1:41" x14ac:dyDescent="0.25">
      <c r="A19" t="s">
        <v>6593</v>
      </c>
      <c r="C19" t="s">
        <v>1730</v>
      </c>
      <c r="D19" s="173">
        <v>5</v>
      </c>
      <c r="E19" s="174" t="s">
        <v>4</v>
      </c>
      <c r="F19" s="175" t="s">
        <v>212</v>
      </c>
      <c r="G19" s="174">
        <v>100</v>
      </c>
      <c r="H19" s="174">
        <v>5</v>
      </c>
      <c r="I19" s="174">
        <v>10</v>
      </c>
      <c r="J19" s="174">
        <v>0</v>
      </c>
      <c r="K19" s="174">
        <v>0</v>
      </c>
      <c r="L19" s="175">
        <v>100</v>
      </c>
      <c r="M19" s="176"/>
      <c r="N19" s="177" t="s">
        <v>713</v>
      </c>
      <c r="O19" s="178" t="s">
        <v>523</v>
      </c>
      <c r="P19" s="178">
        <v>10</v>
      </c>
      <c r="Q19" s="179">
        <v>1</v>
      </c>
      <c r="R19" s="177" t="s">
        <v>721</v>
      </c>
      <c r="S19" s="178" t="s">
        <v>535</v>
      </c>
      <c r="T19" s="178">
        <v>10</v>
      </c>
      <c r="U19" s="179">
        <v>1</v>
      </c>
      <c r="V19" s="177" t="s">
        <v>742</v>
      </c>
      <c r="W19" s="178" t="s">
        <v>556</v>
      </c>
      <c r="X19" s="178">
        <v>10</v>
      </c>
      <c r="Y19" s="179">
        <v>1</v>
      </c>
      <c r="AA19" s="177"/>
      <c r="AB19" s="178"/>
      <c r="AC19" s="178"/>
      <c r="AD19" s="178"/>
      <c r="AE19" s="223"/>
      <c r="AG19" s="181" t="s">
        <v>638</v>
      </c>
      <c r="AH19" s="182">
        <v>5</v>
      </c>
      <c r="AI19" s="182">
        <v>100</v>
      </c>
      <c r="AJ19" s="182">
        <v>10</v>
      </c>
      <c r="AK19" s="159" t="s">
        <v>680</v>
      </c>
      <c r="AM19" s="161">
        <v>2</v>
      </c>
      <c r="AN19" s="161"/>
      <c r="AO19" s="161"/>
    </row>
    <row r="20" spans="1:41" x14ac:dyDescent="0.25">
      <c r="A20" t="s">
        <v>6394</v>
      </c>
      <c r="D20" s="177">
        <v>5</v>
      </c>
      <c r="E20" s="178" t="s">
        <v>4</v>
      </c>
      <c r="F20" s="180" t="s">
        <v>1691</v>
      </c>
      <c r="G20" s="178">
        <v>100</v>
      </c>
      <c r="H20" s="178">
        <v>5</v>
      </c>
      <c r="I20" s="178">
        <v>10</v>
      </c>
      <c r="J20" s="178">
        <v>0</v>
      </c>
      <c r="K20" s="178">
        <v>0</v>
      </c>
      <c r="L20" s="180">
        <v>100</v>
      </c>
      <c r="M20" s="176"/>
      <c r="N20" s="177" t="s">
        <v>713</v>
      </c>
      <c r="O20" s="178" t="s">
        <v>523</v>
      </c>
      <c r="P20" s="178">
        <v>10</v>
      </c>
      <c r="Q20" s="179">
        <v>1</v>
      </c>
      <c r="R20" s="177" t="s">
        <v>721</v>
      </c>
      <c r="S20" s="178" t="s">
        <v>535</v>
      </c>
      <c r="T20" s="178">
        <v>10</v>
      </c>
      <c r="U20" s="179">
        <v>1</v>
      </c>
      <c r="V20" s="177" t="s">
        <v>742</v>
      </c>
      <c r="W20" s="178" t="s">
        <v>556</v>
      </c>
      <c r="X20" s="178">
        <v>10</v>
      </c>
      <c r="Y20" s="179">
        <v>1</v>
      </c>
      <c r="AA20" s="177"/>
      <c r="AB20" s="178"/>
      <c r="AC20" s="178"/>
      <c r="AD20" s="178"/>
      <c r="AE20" s="223"/>
      <c r="AM20" s="161">
        <v>1</v>
      </c>
      <c r="AN20" s="161">
        <v>5</v>
      </c>
      <c r="AO20" s="161">
        <v>4</v>
      </c>
    </row>
    <row r="21" spans="1:41" x14ac:dyDescent="0.25">
      <c r="A21" t="s">
        <v>6374</v>
      </c>
      <c r="D21" s="177">
        <v>5</v>
      </c>
      <c r="E21" s="178" t="s">
        <v>4</v>
      </c>
      <c r="F21" s="180" t="s">
        <v>241</v>
      </c>
      <c r="G21" s="178">
        <v>100</v>
      </c>
      <c r="H21" s="178">
        <v>5</v>
      </c>
      <c r="I21" s="178">
        <v>10</v>
      </c>
      <c r="J21" s="178">
        <v>0</v>
      </c>
      <c r="K21" s="178">
        <v>0</v>
      </c>
      <c r="L21" s="180">
        <v>100</v>
      </c>
      <c r="M21" s="176"/>
      <c r="N21" s="177" t="s">
        <v>713</v>
      </c>
      <c r="O21" s="178" t="s">
        <v>523</v>
      </c>
      <c r="P21" s="178">
        <v>10</v>
      </c>
      <c r="Q21" s="179">
        <v>1</v>
      </c>
      <c r="R21" s="177" t="s">
        <v>721</v>
      </c>
      <c r="S21" s="178" t="s">
        <v>535</v>
      </c>
      <c r="T21" s="178">
        <v>10</v>
      </c>
      <c r="U21" s="179">
        <v>1</v>
      </c>
      <c r="V21" s="177" t="s">
        <v>742</v>
      </c>
      <c r="W21" s="178" t="s">
        <v>556</v>
      </c>
      <c r="X21" s="178">
        <v>10</v>
      </c>
      <c r="Y21" s="179">
        <v>1</v>
      </c>
      <c r="AA21" s="177"/>
      <c r="AB21" s="178"/>
      <c r="AC21" s="178"/>
      <c r="AD21" s="178"/>
      <c r="AE21" s="223"/>
      <c r="AM21" s="161">
        <v>3</v>
      </c>
      <c r="AN21" s="161"/>
      <c r="AO21" s="161"/>
    </row>
    <row r="22" spans="1:41" x14ac:dyDescent="0.25">
      <c r="A22" t="s">
        <v>6430</v>
      </c>
      <c r="D22" s="177">
        <v>5</v>
      </c>
      <c r="E22" s="178" t="s">
        <v>5</v>
      </c>
      <c r="F22" s="180" t="s">
        <v>5692</v>
      </c>
      <c r="G22" s="178">
        <v>100</v>
      </c>
      <c r="H22" s="178">
        <v>5</v>
      </c>
      <c r="I22" s="178">
        <v>10</v>
      </c>
      <c r="J22" s="178">
        <v>0</v>
      </c>
      <c r="K22" s="178">
        <v>0</v>
      </c>
      <c r="L22" s="180">
        <v>100</v>
      </c>
      <c r="M22" s="176"/>
      <c r="N22" s="177" t="s">
        <v>6434</v>
      </c>
      <c r="O22" s="178" t="s">
        <v>6438</v>
      </c>
      <c r="P22" s="178">
        <v>10</v>
      </c>
      <c r="Q22" s="179">
        <v>1</v>
      </c>
      <c r="R22" s="177" t="s">
        <v>922</v>
      </c>
      <c r="S22" s="178" t="s">
        <v>913</v>
      </c>
      <c r="T22" s="178">
        <v>10</v>
      </c>
      <c r="U22" s="179">
        <v>1</v>
      </c>
      <c r="V22" s="177" t="s">
        <v>638</v>
      </c>
      <c r="W22" s="178" t="s">
        <v>546</v>
      </c>
      <c r="X22" s="178">
        <v>10</v>
      </c>
      <c r="Y22" s="179">
        <v>1</v>
      </c>
      <c r="AA22" s="177"/>
      <c r="AB22" s="178"/>
      <c r="AC22" s="178"/>
      <c r="AD22" s="178"/>
      <c r="AE22" s="223"/>
    </row>
    <row r="23" spans="1:41" x14ac:dyDescent="0.25">
      <c r="A23" t="s">
        <v>6446</v>
      </c>
      <c r="D23" s="181">
        <v>5</v>
      </c>
      <c r="E23" s="182" t="s">
        <v>3</v>
      </c>
      <c r="F23" s="159" t="s">
        <v>1721</v>
      </c>
      <c r="G23" s="182">
        <v>100</v>
      </c>
      <c r="H23" s="182">
        <v>5</v>
      </c>
      <c r="I23" s="182">
        <v>10</v>
      </c>
      <c r="J23" s="182">
        <v>0</v>
      </c>
      <c r="K23" s="182">
        <v>0</v>
      </c>
      <c r="L23" s="159">
        <v>100</v>
      </c>
      <c r="M23" s="176"/>
      <c r="N23" s="181" t="s">
        <v>702</v>
      </c>
      <c r="O23" s="182" t="s">
        <v>755</v>
      </c>
      <c r="P23" s="182"/>
      <c r="Q23" s="183">
        <v>1</v>
      </c>
      <c r="R23" s="181" t="s">
        <v>702</v>
      </c>
      <c r="S23" s="182" t="s">
        <v>758</v>
      </c>
      <c r="T23" s="182"/>
      <c r="U23" s="183">
        <v>1</v>
      </c>
      <c r="V23" s="181" t="s">
        <v>702</v>
      </c>
      <c r="W23" s="182" t="s">
        <v>761</v>
      </c>
      <c r="X23" s="182"/>
      <c r="Y23" s="183">
        <v>1</v>
      </c>
      <c r="AA23" s="181"/>
      <c r="AB23" s="182"/>
      <c r="AC23" s="182"/>
      <c r="AD23" s="182"/>
      <c r="AE23" s="224"/>
    </row>
    <row r="24" spans="1:41" x14ac:dyDescent="0.25">
      <c r="A24" t="s">
        <v>6443</v>
      </c>
      <c r="C24" t="s">
        <v>5565</v>
      </c>
      <c r="D24" s="173">
        <v>4</v>
      </c>
      <c r="E24" s="174" t="s">
        <v>6</v>
      </c>
      <c r="F24" s="175" t="s">
        <v>841</v>
      </c>
      <c r="G24" s="174">
        <v>115</v>
      </c>
      <c r="H24" s="174">
        <v>5</v>
      </c>
      <c r="I24" s="174">
        <v>10</v>
      </c>
      <c r="J24" s="174">
        <v>10</v>
      </c>
      <c r="K24" s="174">
        <v>3</v>
      </c>
      <c r="L24" s="175">
        <v>100</v>
      </c>
      <c r="M24" s="176"/>
      <c r="N24" s="177" t="s">
        <v>702</v>
      </c>
      <c r="O24" s="178" t="s">
        <v>841</v>
      </c>
      <c r="P24" s="178">
        <v>10</v>
      </c>
      <c r="Q24" s="179">
        <v>1</v>
      </c>
      <c r="R24" s="177" t="s">
        <v>702</v>
      </c>
      <c r="S24" s="178" t="s">
        <v>119</v>
      </c>
      <c r="T24" s="178">
        <v>10</v>
      </c>
      <c r="U24" s="179">
        <v>1</v>
      </c>
      <c r="V24" s="177" t="s">
        <v>743</v>
      </c>
      <c r="W24" s="178" t="s">
        <v>572</v>
      </c>
      <c r="X24" s="178">
        <v>10</v>
      </c>
      <c r="Y24" s="179">
        <v>1</v>
      </c>
      <c r="AA24" s="177"/>
      <c r="AB24" s="178"/>
      <c r="AC24" s="178"/>
      <c r="AD24" s="178"/>
      <c r="AE24" s="223"/>
      <c r="AG24" s="181" t="s">
        <v>646</v>
      </c>
      <c r="AH24" s="182">
        <v>5</v>
      </c>
      <c r="AI24" s="182">
        <v>100</v>
      </c>
      <c r="AJ24" s="182">
        <v>10</v>
      </c>
      <c r="AK24" s="159" t="s">
        <v>698</v>
      </c>
      <c r="AM24" s="161">
        <v>1</v>
      </c>
      <c r="AN24" s="161"/>
      <c r="AO24" s="161"/>
    </row>
    <row r="25" spans="1:41" x14ac:dyDescent="0.25">
      <c r="A25" t="s">
        <v>6444</v>
      </c>
      <c r="D25" s="177">
        <v>5</v>
      </c>
      <c r="E25" s="178" t="s">
        <v>6</v>
      </c>
      <c r="F25" s="180" t="s">
        <v>171</v>
      </c>
      <c r="G25" s="178">
        <v>100</v>
      </c>
      <c r="H25" s="178">
        <v>5</v>
      </c>
      <c r="I25" s="178">
        <v>10</v>
      </c>
      <c r="J25" s="178">
        <v>0</v>
      </c>
      <c r="K25" s="178">
        <v>0</v>
      </c>
      <c r="L25" s="180">
        <v>100</v>
      </c>
      <c r="M25" s="176"/>
      <c r="N25" s="177" t="s">
        <v>713</v>
      </c>
      <c r="O25" s="178" t="s">
        <v>523</v>
      </c>
      <c r="P25" s="178">
        <v>10</v>
      </c>
      <c r="Q25" s="179">
        <v>1</v>
      </c>
      <c r="R25" s="177" t="s">
        <v>721</v>
      </c>
      <c r="S25" s="178" t="s">
        <v>535</v>
      </c>
      <c r="T25" s="178">
        <v>10</v>
      </c>
      <c r="U25" s="179">
        <v>1</v>
      </c>
      <c r="V25" s="177" t="s">
        <v>743</v>
      </c>
      <c r="W25" s="178" t="s">
        <v>572</v>
      </c>
      <c r="X25" s="178">
        <v>10</v>
      </c>
      <c r="Y25" s="179">
        <v>1</v>
      </c>
      <c r="AA25" s="177"/>
      <c r="AB25" s="178"/>
      <c r="AC25" s="178"/>
      <c r="AD25" s="178"/>
      <c r="AE25" s="223"/>
      <c r="AM25" s="161">
        <v>4</v>
      </c>
      <c r="AN25" s="161">
        <v>3</v>
      </c>
      <c r="AO25" s="161"/>
    </row>
    <row r="26" spans="1:41" x14ac:dyDescent="0.25">
      <c r="A26" t="s">
        <v>6431</v>
      </c>
      <c r="D26" s="177">
        <v>5</v>
      </c>
      <c r="E26" s="178" t="s">
        <v>7</v>
      </c>
      <c r="F26" s="180" t="s">
        <v>1437</v>
      </c>
      <c r="G26" s="178">
        <v>110</v>
      </c>
      <c r="H26" s="178">
        <v>5</v>
      </c>
      <c r="I26" s="178">
        <v>10</v>
      </c>
      <c r="J26" s="178">
        <v>10</v>
      </c>
      <c r="K26" s="178">
        <v>2</v>
      </c>
      <c r="L26" s="180">
        <v>100</v>
      </c>
      <c r="M26" s="176"/>
      <c r="N26" s="177" t="s">
        <v>754</v>
      </c>
      <c r="O26" s="178" t="s">
        <v>554</v>
      </c>
      <c r="P26" s="178">
        <v>10</v>
      </c>
      <c r="Q26" s="179">
        <v>1</v>
      </c>
      <c r="R26" s="177" t="s">
        <v>9</v>
      </c>
      <c r="S26" s="178" t="s">
        <v>560</v>
      </c>
      <c r="T26" s="178">
        <v>10</v>
      </c>
      <c r="U26" s="179">
        <v>1</v>
      </c>
      <c r="V26" s="177" t="s">
        <v>702</v>
      </c>
      <c r="W26" s="178" t="s">
        <v>730</v>
      </c>
      <c r="X26" s="178">
        <v>10</v>
      </c>
      <c r="Y26" s="179">
        <v>1</v>
      </c>
      <c r="AA26" s="177"/>
      <c r="AB26" s="178"/>
      <c r="AC26" s="178"/>
      <c r="AD26" s="178"/>
      <c r="AE26" s="223"/>
      <c r="AM26" s="161">
        <v>2</v>
      </c>
      <c r="AN26" s="161">
        <v>5</v>
      </c>
      <c r="AO26" s="161"/>
    </row>
    <row r="27" spans="1:41" x14ac:dyDescent="0.25">
      <c r="A27" t="s">
        <v>6439</v>
      </c>
      <c r="D27" s="177">
        <v>5</v>
      </c>
      <c r="E27" s="178" t="s">
        <v>3</v>
      </c>
      <c r="F27" s="180" t="s">
        <v>740</v>
      </c>
      <c r="G27" s="178">
        <v>110</v>
      </c>
      <c r="H27" s="178">
        <v>5</v>
      </c>
      <c r="I27" s="178">
        <v>10</v>
      </c>
      <c r="J27" s="178">
        <v>10</v>
      </c>
      <c r="K27" s="178">
        <v>2</v>
      </c>
      <c r="L27" s="180">
        <v>100</v>
      </c>
      <c r="M27" s="176"/>
      <c r="N27" s="177" t="s">
        <v>702</v>
      </c>
      <c r="O27" s="178" t="s">
        <v>67</v>
      </c>
      <c r="P27" s="178">
        <v>10</v>
      </c>
      <c r="Q27" s="179">
        <v>1</v>
      </c>
      <c r="R27" s="177" t="s">
        <v>9</v>
      </c>
      <c r="S27" s="178" t="s">
        <v>560</v>
      </c>
      <c r="T27" s="178">
        <v>10</v>
      </c>
      <c r="U27" s="179">
        <v>1</v>
      </c>
      <c r="V27" s="177" t="s">
        <v>733</v>
      </c>
      <c r="W27" s="178" t="s">
        <v>543</v>
      </c>
      <c r="X27" s="178">
        <v>10</v>
      </c>
      <c r="Y27" s="179">
        <v>1</v>
      </c>
      <c r="AA27" s="177"/>
      <c r="AB27" s="178"/>
      <c r="AC27" s="178"/>
      <c r="AD27" s="178"/>
      <c r="AE27" s="223"/>
    </row>
    <row r="28" spans="1:41" x14ac:dyDescent="0.25">
      <c r="A28" t="s">
        <v>6440</v>
      </c>
      <c r="D28" s="181">
        <v>5</v>
      </c>
      <c r="E28" s="182" t="s">
        <v>3</v>
      </c>
      <c r="F28" s="159" t="s">
        <v>197</v>
      </c>
      <c r="G28" s="182">
        <v>100</v>
      </c>
      <c r="H28" s="182">
        <v>5</v>
      </c>
      <c r="I28" s="182">
        <v>10</v>
      </c>
      <c r="J28" s="182">
        <v>0</v>
      </c>
      <c r="K28" s="182">
        <v>0</v>
      </c>
      <c r="L28" s="159">
        <v>100</v>
      </c>
      <c r="M28" s="176"/>
      <c r="N28" s="181" t="s">
        <v>754</v>
      </c>
      <c r="O28" s="182" t="s">
        <v>554</v>
      </c>
      <c r="P28" s="182">
        <v>10</v>
      </c>
      <c r="Q28" s="183">
        <v>1</v>
      </c>
      <c r="R28" s="181" t="s">
        <v>9</v>
      </c>
      <c r="S28" s="182" t="s">
        <v>560</v>
      </c>
      <c r="T28" s="182">
        <v>10</v>
      </c>
      <c r="U28" s="183">
        <v>1</v>
      </c>
      <c r="V28" s="181" t="s">
        <v>733</v>
      </c>
      <c r="W28" s="182" t="s">
        <v>543</v>
      </c>
      <c r="X28" s="182">
        <v>10</v>
      </c>
      <c r="Y28" s="183">
        <v>1</v>
      </c>
      <c r="AA28" s="181"/>
      <c r="AB28" s="182"/>
      <c r="AC28" s="182"/>
      <c r="AD28" s="182"/>
      <c r="AE28" s="224"/>
    </row>
    <row r="29" spans="1:41" x14ac:dyDescent="0.25">
      <c r="A29" t="s">
        <v>6390</v>
      </c>
      <c r="C29" t="s">
        <v>5566</v>
      </c>
      <c r="D29" s="173">
        <v>5</v>
      </c>
      <c r="E29" s="174" t="s">
        <v>2</v>
      </c>
      <c r="F29" s="175" t="s">
        <v>256</v>
      </c>
      <c r="G29" s="174">
        <v>115</v>
      </c>
      <c r="H29" s="174">
        <v>5</v>
      </c>
      <c r="I29" s="174">
        <v>10</v>
      </c>
      <c r="J29" s="174">
        <v>10</v>
      </c>
      <c r="K29" s="174">
        <v>3</v>
      </c>
      <c r="L29" s="175">
        <v>100</v>
      </c>
      <c r="M29" s="176"/>
      <c r="N29" s="177" t="s">
        <v>713</v>
      </c>
      <c r="O29" s="178" t="s">
        <v>523</v>
      </c>
      <c r="P29" s="178">
        <v>10</v>
      </c>
      <c r="Q29" s="179">
        <v>1</v>
      </c>
      <c r="R29" s="177" t="s">
        <v>728</v>
      </c>
      <c r="S29" s="178" t="s">
        <v>539</v>
      </c>
      <c r="T29" s="178">
        <v>10</v>
      </c>
      <c r="U29" s="179">
        <v>1</v>
      </c>
      <c r="V29" s="177" t="s">
        <v>702</v>
      </c>
      <c r="W29" s="178" t="s">
        <v>256</v>
      </c>
      <c r="X29" s="178">
        <v>10</v>
      </c>
      <c r="Y29" s="179">
        <v>1</v>
      </c>
      <c r="AA29" s="177"/>
      <c r="AB29" s="178"/>
      <c r="AC29" s="178"/>
      <c r="AD29" s="178"/>
      <c r="AE29" s="223"/>
      <c r="AG29" s="181" t="s">
        <v>656</v>
      </c>
      <c r="AH29" s="182">
        <v>5</v>
      </c>
      <c r="AI29" s="182">
        <v>100</v>
      </c>
      <c r="AJ29" s="182">
        <v>10</v>
      </c>
      <c r="AK29" s="159" t="s">
        <v>698</v>
      </c>
      <c r="AM29" s="161">
        <v>1</v>
      </c>
      <c r="AN29" s="161"/>
      <c r="AO29" s="161"/>
    </row>
    <row r="30" spans="1:41" x14ac:dyDescent="0.25">
      <c r="A30" t="s">
        <v>6389</v>
      </c>
      <c r="D30" s="177">
        <v>5</v>
      </c>
      <c r="E30" s="178" t="s">
        <v>6</v>
      </c>
      <c r="F30" s="180" t="s">
        <v>171</v>
      </c>
      <c r="G30" s="178">
        <v>100</v>
      </c>
      <c r="H30" s="178">
        <v>5</v>
      </c>
      <c r="I30" s="178">
        <v>10</v>
      </c>
      <c r="J30" s="178">
        <v>0</v>
      </c>
      <c r="K30" s="178">
        <v>0</v>
      </c>
      <c r="L30" s="180">
        <v>100</v>
      </c>
      <c r="M30" s="176"/>
      <c r="N30" s="177" t="s">
        <v>713</v>
      </c>
      <c r="O30" s="178" t="s">
        <v>523</v>
      </c>
      <c r="P30" s="178">
        <v>10</v>
      </c>
      <c r="Q30" s="179">
        <v>1</v>
      </c>
      <c r="R30" s="177" t="s">
        <v>721</v>
      </c>
      <c r="S30" s="178" t="s">
        <v>535</v>
      </c>
      <c r="T30" s="178">
        <v>10</v>
      </c>
      <c r="U30" s="179">
        <v>1</v>
      </c>
      <c r="V30" s="177" t="s">
        <v>743</v>
      </c>
      <c r="W30" s="178" t="s">
        <v>572</v>
      </c>
      <c r="X30" s="178">
        <v>10</v>
      </c>
      <c r="Y30" s="179">
        <v>1</v>
      </c>
      <c r="AA30" s="177"/>
      <c r="AB30" s="178"/>
      <c r="AC30" s="178"/>
      <c r="AD30" s="178"/>
      <c r="AE30" s="223"/>
      <c r="AM30" s="161">
        <v>5</v>
      </c>
      <c r="AN30" s="161">
        <v>3</v>
      </c>
      <c r="AO30" s="161"/>
    </row>
    <row r="31" spans="1:41" x14ac:dyDescent="0.25">
      <c r="A31" t="s">
        <v>6447</v>
      </c>
      <c r="D31" s="177">
        <v>6</v>
      </c>
      <c r="E31" s="178" t="s">
        <v>3</v>
      </c>
      <c r="F31" s="180" t="s">
        <v>263</v>
      </c>
      <c r="G31" s="178">
        <v>110</v>
      </c>
      <c r="H31" s="178">
        <v>5</v>
      </c>
      <c r="I31" s="178">
        <v>10</v>
      </c>
      <c r="J31" s="178">
        <v>10</v>
      </c>
      <c r="K31" s="178">
        <v>2</v>
      </c>
      <c r="L31" s="180">
        <v>100</v>
      </c>
      <c r="M31" s="176"/>
      <c r="N31" s="177" t="s">
        <v>754</v>
      </c>
      <c r="O31" s="178" t="s">
        <v>554</v>
      </c>
      <c r="P31" s="178">
        <v>10</v>
      </c>
      <c r="Q31" s="179">
        <v>1</v>
      </c>
      <c r="R31" s="177" t="s">
        <v>9</v>
      </c>
      <c r="S31" s="178" t="s">
        <v>560</v>
      </c>
      <c r="T31" s="178">
        <v>10</v>
      </c>
      <c r="U31" s="179">
        <v>1</v>
      </c>
      <c r="V31" s="177" t="s">
        <v>733</v>
      </c>
      <c r="W31" s="178" t="s">
        <v>543</v>
      </c>
      <c r="X31" s="178">
        <v>10</v>
      </c>
      <c r="Y31" s="179">
        <v>1</v>
      </c>
      <c r="AA31" s="177"/>
      <c r="AB31" s="178"/>
      <c r="AC31" s="178"/>
      <c r="AD31" s="178"/>
      <c r="AE31" s="223"/>
      <c r="AM31" s="161">
        <v>2</v>
      </c>
      <c r="AN31" s="161">
        <v>4</v>
      </c>
      <c r="AO31" s="161"/>
    </row>
    <row r="32" spans="1:41" x14ac:dyDescent="0.25">
      <c r="A32" t="s">
        <v>6449</v>
      </c>
      <c r="D32" s="177">
        <v>5</v>
      </c>
      <c r="E32" s="178" t="s">
        <v>3</v>
      </c>
      <c r="F32" s="180" t="s">
        <v>795</v>
      </c>
      <c r="G32" s="178">
        <v>100</v>
      </c>
      <c r="H32" s="178">
        <v>5</v>
      </c>
      <c r="I32" s="178">
        <v>10</v>
      </c>
      <c r="J32" s="178">
        <v>0</v>
      </c>
      <c r="K32" s="178">
        <v>0</v>
      </c>
      <c r="L32" s="180">
        <v>100</v>
      </c>
      <c r="M32" s="176"/>
      <c r="N32" s="177" t="s">
        <v>754</v>
      </c>
      <c r="O32" s="178" t="s">
        <v>554</v>
      </c>
      <c r="P32" s="178">
        <v>10</v>
      </c>
      <c r="Q32" s="179">
        <v>1</v>
      </c>
      <c r="R32" s="177" t="s">
        <v>9</v>
      </c>
      <c r="S32" s="178" t="s">
        <v>560</v>
      </c>
      <c r="T32" s="178">
        <v>10</v>
      </c>
      <c r="U32" s="179">
        <v>1</v>
      </c>
      <c r="V32" s="177" t="s">
        <v>733</v>
      </c>
      <c r="W32" s="178" t="s">
        <v>543</v>
      </c>
      <c r="X32" s="178">
        <v>10</v>
      </c>
      <c r="Y32" s="179">
        <v>1</v>
      </c>
      <c r="AA32" s="177"/>
      <c r="AB32" s="178"/>
      <c r="AC32" s="178"/>
      <c r="AD32" s="178"/>
      <c r="AE32" s="223"/>
    </row>
    <row r="33" spans="1:41" x14ac:dyDescent="0.25">
      <c r="A33" t="s">
        <v>6450</v>
      </c>
      <c r="D33" s="181">
        <v>5</v>
      </c>
      <c r="E33" s="182" t="s">
        <v>3</v>
      </c>
      <c r="F33" s="159" t="s">
        <v>740</v>
      </c>
      <c r="G33" s="182">
        <v>110</v>
      </c>
      <c r="H33" s="182">
        <v>5</v>
      </c>
      <c r="I33" s="182">
        <v>10</v>
      </c>
      <c r="J33" s="182">
        <v>10</v>
      </c>
      <c r="K33" s="182">
        <v>2</v>
      </c>
      <c r="L33" s="159">
        <v>100</v>
      </c>
      <c r="M33" s="176"/>
      <c r="N33" s="181" t="s">
        <v>702</v>
      </c>
      <c r="O33" s="182" t="s">
        <v>67</v>
      </c>
      <c r="P33" s="182">
        <v>10</v>
      </c>
      <c r="Q33" s="183">
        <v>1</v>
      </c>
      <c r="R33" s="181" t="s">
        <v>9</v>
      </c>
      <c r="S33" s="182" t="s">
        <v>560</v>
      </c>
      <c r="T33" s="182">
        <v>10</v>
      </c>
      <c r="U33" s="183">
        <v>1</v>
      </c>
      <c r="V33" s="181" t="s">
        <v>733</v>
      </c>
      <c r="W33" s="182" t="s">
        <v>543</v>
      </c>
      <c r="X33" s="182">
        <v>10</v>
      </c>
      <c r="Y33" s="183">
        <v>1</v>
      </c>
      <c r="AA33" s="181"/>
      <c r="AB33" s="182"/>
      <c r="AC33" s="182"/>
      <c r="AD33" s="182"/>
      <c r="AE33" s="224"/>
    </row>
    <row r="34" spans="1:41" x14ac:dyDescent="0.25">
      <c r="C34" t="s">
        <v>5567</v>
      </c>
      <c r="D34" s="173">
        <v>6</v>
      </c>
      <c r="E34" s="174" t="s">
        <v>2</v>
      </c>
      <c r="F34" s="175" t="s">
        <v>1475</v>
      </c>
      <c r="G34" s="174">
        <v>115</v>
      </c>
      <c r="H34" s="174">
        <v>5</v>
      </c>
      <c r="I34" s="174">
        <v>10</v>
      </c>
      <c r="J34" s="174">
        <v>10</v>
      </c>
      <c r="K34" s="174">
        <v>3</v>
      </c>
      <c r="L34" s="175">
        <v>100</v>
      </c>
      <c r="M34" s="176"/>
      <c r="N34" s="177" t="s">
        <v>713</v>
      </c>
      <c r="O34" s="178" t="s">
        <v>523</v>
      </c>
      <c r="P34" s="178">
        <v>10</v>
      </c>
      <c r="Q34" s="179">
        <v>1</v>
      </c>
      <c r="R34" s="177" t="s">
        <v>728</v>
      </c>
      <c r="S34" s="178" t="s">
        <v>539</v>
      </c>
      <c r="T34" s="178">
        <v>10</v>
      </c>
      <c r="U34" s="179">
        <v>1</v>
      </c>
      <c r="V34" s="177" t="s">
        <v>702</v>
      </c>
      <c r="W34" s="178" t="s">
        <v>1475</v>
      </c>
      <c r="X34" s="178">
        <v>10</v>
      </c>
      <c r="Y34" s="179">
        <v>1</v>
      </c>
      <c r="AA34" s="177"/>
      <c r="AB34" s="178"/>
      <c r="AC34" s="178"/>
      <c r="AD34" s="178"/>
      <c r="AE34" s="223"/>
      <c r="AG34" s="181" t="s">
        <v>656</v>
      </c>
      <c r="AH34" s="182">
        <v>5</v>
      </c>
      <c r="AI34" s="182">
        <v>100</v>
      </c>
      <c r="AJ34" s="182">
        <v>10</v>
      </c>
      <c r="AK34" s="159" t="s">
        <v>698</v>
      </c>
      <c r="AM34" s="161">
        <v>1</v>
      </c>
      <c r="AN34" s="161">
        <v>3</v>
      </c>
      <c r="AO34" s="161"/>
    </row>
    <row r="35" spans="1:41" x14ac:dyDescent="0.25">
      <c r="D35" s="177">
        <v>5</v>
      </c>
      <c r="E35" s="178" t="s">
        <v>6</v>
      </c>
      <c r="F35" s="180" t="s">
        <v>171</v>
      </c>
      <c r="G35" s="178">
        <v>100</v>
      </c>
      <c r="H35" s="178">
        <v>5</v>
      </c>
      <c r="I35" s="178">
        <v>10</v>
      </c>
      <c r="J35" s="178">
        <v>0</v>
      </c>
      <c r="K35" s="178">
        <v>0</v>
      </c>
      <c r="L35" s="180">
        <v>100</v>
      </c>
      <c r="M35" s="176"/>
      <c r="N35" s="177" t="s">
        <v>713</v>
      </c>
      <c r="O35" s="178" t="s">
        <v>523</v>
      </c>
      <c r="P35" s="178">
        <v>10</v>
      </c>
      <c r="Q35" s="179">
        <v>1</v>
      </c>
      <c r="R35" s="177" t="s">
        <v>721</v>
      </c>
      <c r="S35" s="178" t="s">
        <v>535</v>
      </c>
      <c r="T35" s="178">
        <v>10</v>
      </c>
      <c r="U35" s="179">
        <v>1</v>
      </c>
      <c r="V35" s="177" t="s">
        <v>743</v>
      </c>
      <c r="W35" s="178" t="s">
        <v>572</v>
      </c>
      <c r="X35" s="178">
        <v>10</v>
      </c>
      <c r="Y35" s="179">
        <v>1</v>
      </c>
      <c r="AA35" s="177"/>
      <c r="AB35" s="178"/>
      <c r="AC35" s="178"/>
      <c r="AD35" s="178"/>
      <c r="AE35" s="223"/>
      <c r="AM35" s="161"/>
      <c r="AN35" s="161">
        <v>4</v>
      </c>
      <c r="AO35" s="161"/>
    </row>
    <row r="36" spans="1:41" x14ac:dyDescent="0.25">
      <c r="D36" s="177">
        <v>5</v>
      </c>
      <c r="E36" s="178" t="s">
        <v>3</v>
      </c>
      <c r="F36" s="180" t="s">
        <v>186</v>
      </c>
      <c r="G36" s="178">
        <v>100</v>
      </c>
      <c r="H36" s="178">
        <v>5</v>
      </c>
      <c r="I36" s="178">
        <v>10</v>
      </c>
      <c r="J36" s="178">
        <v>0</v>
      </c>
      <c r="K36" s="178">
        <v>0</v>
      </c>
      <c r="L36" s="180">
        <v>100</v>
      </c>
      <c r="M36" s="176"/>
      <c r="N36" s="177" t="s">
        <v>754</v>
      </c>
      <c r="O36" s="178" t="s">
        <v>554</v>
      </c>
      <c r="P36" s="178">
        <v>10</v>
      </c>
      <c r="Q36" s="179">
        <v>1</v>
      </c>
      <c r="R36" s="177" t="s">
        <v>9</v>
      </c>
      <c r="S36" s="178" t="s">
        <v>560</v>
      </c>
      <c r="T36" s="178">
        <v>10</v>
      </c>
      <c r="U36" s="179">
        <v>1</v>
      </c>
      <c r="V36" s="177" t="s">
        <v>733</v>
      </c>
      <c r="W36" s="178" t="s">
        <v>543</v>
      </c>
      <c r="X36" s="178">
        <v>10</v>
      </c>
      <c r="Y36" s="179">
        <v>1</v>
      </c>
      <c r="AA36" s="177"/>
      <c r="AB36" s="178"/>
      <c r="AC36" s="178"/>
      <c r="AD36" s="178"/>
      <c r="AE36" s="223"/>
      <c r="AM36" s="161">
        <v>2</v>
      </c>
      <c r="AN36" s="161">
        <v>5</v>
      </c>
      <c r="AO36" s="161"/>
    </row>
    <row r="37" spans="1:41" x14ac:dyDescent="0.25">
      <c r="D37" s="177">
        <v>2</v>
      </c>
      <c r="E37" s="178" t="s">
        <v>3</v>
      </c>
      <c r="F37" s="180" t="s">
        <v>70</v>
      </c>
      <c r="G37" s="178">
        <v>100</v>
      </c>
      <c r="H37" s="178">
        <v>5</v>
      </c>
      <c r="I37" s="178">
        <v>10</v>
      </c>
      <c r="J37" s="178">
        <v>0</v>
      </c>
      <c r="K37" s="178">
        <v>0</v>
      </c>
      <c r="L37" s="180">
        <v>100</v>
      </c>
      <c r="M37" s="176"/>
      <c r="N37" s="177" t="s">
        <v>754</v>
      </c>
      <c r="O37" s="178" t="s">
        <v>554</v>
      </c>
      <c r="P37" s="178">
        <v>10</v>
      </c>
      <c r="Q37" s="179">
        <v>1</v>
      </c>
      <c r="R37" s="177" t="s">
        <v>9</v>
      </c>
      <c r="S37" s="178" t="s">
        <v>560</v>
      </c>
      <c r="T37" s="178">
        <v>10</v>
      </c>
      <c r="U37" s="179">
        <v>1</v>
      </c>
      <c r="V37" s="177" t="s">
        <v>733</v>
      </c>
      <c r="W37" s="178" t="s">
        <v>543</v>
      </c>
      <c r="X37" s="178">
        <v>10</v>
      </c>
      <c r="Y37" s="179">
        <v>1</v>
      </c>
      <c r="AA37" s="177"/>
      <c r="AB37" s="178"/>
      <c r="AC37" s="178"/>
      <c r="AD37" s="178"/>
      <c r="AE37" s="223"/>
    </row>
    <row r="38" spans="1:41" x14ac:dyDescent="0.25">
      <c r="D38" s="181">
        <v>5</v>
      </c>
      <c r="E38" s="182" t="s">
        <v>3</v>
      </c>
      <c r="F38" s="159" t="s">
        <v>197</v>
      </c>
      <c r="G38" s="182">
        <v>100</v>
      </c>
      <c r="H38" s="182">
        <v>5</v>
      </c>
      <c r="I38" s="182">
        <v>10</v>
      </c>
      <c r="J38" s="182">
        <v>0</v>
      </c>
      <c r="K38" s="182">
        <v>0</v>
      </c>
      <c r="L38" s="159">
        <v>100</v>
      </c>
      <c r="M38" s="176"/>
      <c r="N38" s="181" t="s">
        <v>754</v>
      </c>
      <c r="O38" s="182" t="s">
        <v>554</v>
      </c>
      <c r="P38" s="182">
        <v>10</v>
      </c>
      <c r="Q38" s="183">
        <v>1</v>
      </c>
      <c r="R38" s="181" t="s">
        <v>9</v>
      </c>
      <c r="S38" s="182" t="s">
        <v>560</v>
      </c>
      <c r="T38" s="182">
        <v>10</v>
      </c>
      <c r="U38" s="183">
        <v>1</v>
      </c>
      <c r="V38" s="181" t="s">
        <v>733</v>
      </c>
      <c r="W38" s="182" t="s">
        <v>543</v>
      </c>
      <c r="X38" s="182">
        <v>10</v>
      </c>
      <c r="Y38" s="183">
        <v>1</v>
      </c>
      <c r="AA38" s="181"/>
      <c r="AB38" s="182"/>
      <c r="AC38" s="182"/>
      <c r="AD38" s="182"/>
      <c r="AE38" s="224"/>
    </row>
    <row r="39" spans="1:41" x14ac:dyDescent="0.25">
      <c r="C39" t="s">
        <v>6374</v>
      </c>
      <c r="D39" s="173">
        <v>5</v>
      </c>
      <c r="E39" s="174" t="s">
        <v>3</v>
      </c>
      <c r="F39" s="175" t="s">
        <v>6154</v>
      </c>
      <c r="G39" s="174">
        <v>100</v>
      </c>
      <c r="H39" s="174">
        <v>1</v>
      </c>
      <c r="I39" s="174">
        <v>1</v>
      </c>
      <c r="J39" s="174">
        <v>0</v>
      </c>
      <c r="K39" s="174">
        <v>0</v>
      </c>
      <c r="L39" s="175">
        <v>50</v>
      </c>
      <c r="M39" s="176"/>
      <c r="N39" s="177"/>
      <c r="O39" s="178"/>
      <c r="P39" s="178"/>
      <c r="Q39" s="179"/>
      <c r="R39" s="177"/>
      <c r="S39" s="178"/>
      <c r="T39" s="178"/>
      <c r="U39" s="179"/>
      <c r="V39" s="177"/>
      <c r="W39" s="178"/>
      <c r="X39" s="178"/>
      <c r="Y39" s="179"/>
      <c r="Z39" s="155"/>
      <c r="AA39" s="177">
        <v>1188</v>
      </c>
      <c r="AB39" s="178">
        <v>145</v>
      </c>
      <c r="AC39" s="178">
        <v>242</v>
      </c>
      <c r="AD39" s="178">
        <v>76</v>
      </c>
      <c r="AE39" s="223">
        <v>115</v>
      </c>
      <c r="AG39" s="181"/>
      <c r="AH39" s="182"/>
      <c r="AI39" s="182"/>
      <c r="AJ39" s="182"/>
      <c r="AK39" s="159"/>
      <c r="AM39" s="161">
        <v>3</v>
      </c>
      <c r="AN39" s="161">
        <v>4</v>
      </c>
      <c r="AO39" s="161"/>
    </row>
    <row r="40" spans="1:41" x14ac:dyDescent="0.25">
      <c r="D40" s="177">
        <v>5</v>
      </c>
      <c r="E40" s="178" t="s">
        <v>2</v>
      </c>
      <c r="F40" s="180" t="s">
        <v>234</v>
      </c>
      <c r="G40" s="178">
        <v>100</v>
      </c>
      <c r="H40" s="178">
        <v>5</v>
      </c>
      <c r="I40" s="178">
        <v>10</v>
      </c>
      <c r="J40" s="178">
        <v>0</v>
      </c>
      <c r="K40" s="178">
        <v>0</v>
      </c>
      <c r="L40" s="180">
        <v>50</v>
      </c>
      <c r="M40" s="176"/>
      <c r="N40" s="177"/>
      <c r="O40" s="178"/>
      <c r="P40" s="178"/>
      <c r="Q40" s="179"/>
      <c r="R40" s="177"/>
      <c r="S40" s="178"/>
      <c r="T40" s="178"/>
      <c r="U40" s="179"/>
      <c r="V40" s="177"/>
      <c r="W40" s="178"/>
      <c r="X40" s="178"/>
      <c r="Y40" s="179"/>
      <c r="Z40" s="155"/>
      <c r="AA40" s="177">
        <v>110</v>
      </c>
      <c r="AB40" s="178">
        <v>56</v>
      </c>
      <c r="AC40" s="178">
        <v>78</v>
      </c>
      <c r="AD40" s="178">
        <v>62</v>
      </c>
      <c r="AE40" s="223">
        <v>52</v>
      </c>
      <c r="AM40" s="161">
        <v>1</v>
      </c>
      <c r="AN40" s="161"/>
      <c r="AO40" s="161"/>
    </row>
    <row r="41" spans="1:41" x14ac:dyDescent="0.25">
      <c r="D41" s="177">
        <v>5</v>
      </c>
      <c r="E41" s="178" t="s">
        <v>2</v>
      </c>
      <c r="F41" s="180" t="s">
        <v>1692</v>
      </c>
      <c r="G41" s="178">
        <v>100</v>
      </c>
      <c r="H41" s="178">
        <v>5</v>
      </c>
      <c r="I41" s="178">
        <v>10</v>
      </c>
      <c r="J41" s="178">
        <v>0</v>
      </c>
      <c r="K41" s="178">
        <v>0</v>
      </c>
      <c r="L41" s="180">
        <v>50</v>
      </c>
      <c r="M41" s="176"/>
      <c r="N41" s="177"/>
      <c r="O41" s="178"/>
      <c r="P41" s="178"/>
      <c r="Q41" s="179"/>
      <c r="R41" s="177"/>
      <c r="S41" s="178"/>
      <c r="T41" s="178"/>
      <c r="U41" s="179"/>
      <c r="V41" s="177"/>
      <c r="W41" s="178"/>
      <c r="X41" s="178"/>
      <c r="Y41" s="179"/>
      <c r="Z41" s="155"/>
      <c r="AA41" s="177">
        <v>110</v>
      </c>
      <c r="AB41" s="178">
        <v>108</v>
      </c>
      <c r="AC41" s="178">
        <v>127</v>
      </c>
      <c r="AD41" s="178">
        <v>102</v>
      </c>
      <c r="AE41" s="223">
        <v>101</v>
      </c>
      <c r="AM41" s="161">
        <v>2</v>
      </c>
      <c r="AN41" s="161"/>
      <c r="AO41" s="161"/>
    </row>
    <row r="42" spans="1:41" x14ac:dyDescent="0.25">
      <c r="D42" s="177">
        <v>5</v>
      </c>
      <c r="E42" s="178" t="s">
        <v>4</v>
      </c>
      <c r="F42" s="180" t="s">
        <v>1691</v>
      </c>
      <c r="G42" s="178">
        <v>100</v>
      </c>
      <c r="H42" s="178">
        <v>5</v>
      </c>
      <c r="I42" s="178">
        <v>10</v>
      </c>
      <c r="J42" s="178">
        <v>0</v>
      </c>
      <c r="K42" s="178">
        <v>0</v>
      </c>
      <c r="L42" s="180">
        <v>50</v>
      </c>
      <c r="M42" s="176"/>
      <c r="N42" s="177"/>
      <c r="O42" s="178"/>
      <c r="P42" s="178"/>
      <c r="Q42" s="179"/>
      <c r="R42" s="177"/>
      <c r="S42" s="178"/>
      <c r="T42" s="178"/>
      <c r="U42" s="179"/>
      <c r="V42" s="177"/>
      <c r="W42" s="178"/>
      <c r="X42" s="178"/>
      <c r="Y42" s="179"/>
      <c r="Z42" s="155"/>
      <c r="AA42" s="177">
        <v>165</v>
      </c>
      <c r="AB42" s="178">
        <v>135</v>
      </c>
      <c r="AC42" s="178">
        <v>179</v>
      </c>
      <c r="AD42" s="178">
        <v>87</v>
      </c>
      <c r="AE42" s="223">
        <v>86</v>
      </c>
    </row>
    <row r="43" spans="1:41" x14ac:dyDescent="0.25">
      <c r="D43" s="181"/>
      <c r="E43" s="182"/>
      <c r="F43" s="159"/>
      <c r="G43" s="182"/>
      <c r="H43" s="182"/>
      <c r="I43" s="182"/>
      <c r="J43" s="182"/>
      <c r="K43" s="182"/>
      <c r="L43" s="159"/>
      <c r="M43" s="176"/>
      <c r="N43" s="181"/>
      <c r="O43" s="182"/>
      <c r="P43" s="182"/>
      <c r="Q43" s="183"/>
      <c r="R43" s="181"/>
      <c r="S43" s="182"/>
      <c r="T43" s="182"/>
      <c r="U43" s="183"/>
      <c r="V43" s="181"/>
      <c r="W43" s="182"/>
      <c r="X43" s="182"/>
      <c r="Y43" s="183"/>
      <c r="Z43" s="155"/>
      <c r="AA43" s="181"/>
      <c r="AB43" s="182"/>
      <c r="AC43" s="182"/>
      <c r="AD43" s="182"/>
      <c r="AE43" s="224"/>
    </row>
    <row r="44" spans="1:41" x14ac:dyDescent="0.25">
      <c r="C44" t="s">
        <v>6389</v>
      </c>
      <c r="D44" s="173">
        <v>5</v>
      </c>
      <c r="E44" s="174" t="s">
        <v>6</v>
      </c>
      <c r="F44" s="175" t="s">
        <v>266</v>
      </c>
      <c r="G44" s="174">
        <v>115</v>
      </c>
      <c r="H44" s="174">
        <v>5</v>
      </c>
      <c r="I44" s="174">
        <v>10</v>
      </c>
      <c r="J44" s="174">
        <v>10</v>
      </c>
      <c r="K44" s="174">
        <v>3</v>
      </c>
      <c r="L44" s="175">
        <v>100</v>
      </c>
      <c r="M44" s="176"/>
      <c r="N44" s="177" t="s">
        <v>713</v>
      </c>
      <c r="O44" s="178" t="s">
        <v>523</v>
      </c>
      <c r="P44" s="178">
        <v>10</v>
      </c>
      <c r="Q44" s="179">
        <v>1</v>
      </c>
      <c r="R44" s="177" t="s">
        <v>702</v>
      </c>
      <c r="S44" s="178" t="s">
        <v>266</v>
      </c>
      <c r="T44" s="178">
        <v>10</v>
      </c>
      <c r="U44" s="179">
        <v>1</v>
      </c>
      <c r="V44" s="177" t="s">
        <v>743</v>
      </c>
      <c r="W44" s="178" t="s">
        <v>572</v>
      </c>
      <c r="X44" s="178">
        <v>10</v>
      </c>
      <c r="Y44" s="179">
        <v>1</v>
      </c>
      <c r="Z44" s="155"/>
      <c r="AA44" s="177"/>
      <c r="AB44" s="178"/>
      <c r="AC44" s="178"/>
      <c r="AD44" s="178"/>
      <c r="AE44" s="223"/>
      <c r="AG44" s="181" t="s">
        <v>656</v>
      </c>
      <c r="AH44" s="182">
        <v>5</v>
      </c>
      <c r="AI44" s="182">
        <v>100</v>
      </c>
      <c r="AJ44" s="182">
        <v>10</v>
      </c>
      <c r="AK44" s="159" t="s">
        <v>698</v>
      </c>
      <c r="AM44" s="161">
        <v>2</v>
      </c>
      <c r="AN44" s="161"/>
      <c r="AO44" s="161"/>
    </row>
    <row r="45" spans="1:41" x14ac:dyDescent="0.25">
      <c r="D45" s="177">
        <v>4</v>
      </c>
      <c r="E45" s="178" t="s">
        <v>6</v>
      </c>
      <c r="F45" s="180" t="s">
        <v>841</v>
      </c>
      <c r="G45" s="178">
        <v>115</v>
      </c>
      <c r="H45" s="178">
        <v>5</v>
      </c>
      <c r="I45" s="178">
        <v>10</v>
      </c>
      <c r="J45" s="178">
        <v>10</v>
      </c>
      <c r="K45" s="178">
        <v>3</v>
      </c>
      <c r="L45" s="180">
        <v>100</v>
      </c>
      <c r="M45" s="176"/>
      <c r="N45" s="177" t="s">
        <v>702</v>
      </c>
      <c r="O45" s="178" t="s">
        <v>841</v>
      </c>
      <c r="P45" s="178">
        <v>10</v>
      </c>
      <c r="Q45" s="179">
        <v>1</v>
      </c>
      <c r="R45" s="177" t="s">
        <v>702</v>
      </c>
      <c r="S45" s="178" t="s">
        <v>119</v>
      </c>
      <c r="T45" s="178">
        <v>10</v>
      </c>
      <c r="U45" s="179">
        <v>1</v>
      </c>
      <c r="V45" s="177" t="s">
        <v>743</v>
      </c>
      <c r="W45" s="178" t="s">
        <v>572</v>
      </c>
      <c r="X45" s="178">
        <v>10</v>
      </c>
      <c r="Y45" s="179">
        <v>1</v>
      </c>
      <c r="Z45" s="155"/>
      <c r="AA45" s="177"/>
      <c r="AB45" s="178"/>
      <c r="AC45" s="178"/>
      <c r="AD45" s="178"/>
      <c r="AE45" s="223"/>
      <c r="AM45" s="161">
        <v>5</v>
      </c>
      <c r="AN45" s="161">
        <v>3</v>
      </c>
      <c r="AO45" s="161"/>
    </row>
    <row r="46" spans="1:41" x14ac:dyDescent="0.25">
      <c r="D46" s="177">
        <v>6</v>
      </c>
      <c r="E46" s="178" t="s">
        <v>3</v>
      </c>
      <c r="F46" s="180" t="s">
        <v>263</v>
      </c>
      <c r="G46" s="178">
        <v>110</v>
      </c>
      <c r="H46" s="178">
        <v>5</v>
      </c>
      <c r="I46" s="178">
        <v>10</v>
      </c>
      <c r="J46" s="178">
        <v>10</v>
      </c>
      <c r="K46" s="178">
        <v>2</v>
      </c>
      <c r="L46" s="180">
        <v>100</v>
      </c>
      <c r="M46" s="176"/>
      <c r="N46" s="177" t="s">
        <v>754</v>
      </c>
      <c r="O46" s="178" t="s">
        <v>554</v>
      </c>
      <c r="P46" s="178">
        <v>10</v>
      </c>
      <c r="Q46" s="179">
        <v>1</v>
      </c>
      <c r="R46" s="177" t="s">
        <v>9</v>
      </c>
      <c r="S46" s="178" t="s">
        <v>560</v>
      </c>
      <c r="T46" s="178">
        <v>10</v>
      </c>
      <c r="U46" s="179">
        <v>1</v>
      </c>
      <c r="V46" s="177" t="s">
        <v>733</v>
      </c>
      <c r="W46" s="178" t="s">
        <v>543</v>
      </c>
      <c r="X46" s="178">
        <v>10</v>
      </c>
      <c r="Y46" s="179">
        <v>1</v>
      </c>
      <c r="Z46" s="155"/>
      <c r="AA46" s="177"/>
      <c r="AB46" s="178"/>
      <c r="AC46" s="178"/>
      <c r="AD46" s="178"/>
      <c r="AE46" s="223"/>
      <c r="AM46" s="161">
        <v>1</v>
      </c>
      <c r="AN46" s="161">
        <v>4</v>
      </c>
      <c r="AO46" s="161"/>
    </row>
    <row r="47" spans="1:41" x14ac:dyDescent="0.25">
      <c r="D47" s="177">
        <v>5</v>
      </c>
      <c r="E47" s="178" t="s">
        <v>3</v>
      </c>
      <c r="F47" s="180" t="s">
        <v>795</v>
      </c>
      <c r="G47" s="178">
        <v>100</v>
      </c>
      <c r="H47" s="178">
        <v>5</v>
      </c>
      <c r="I47" s="178">
        <v>10</v>
      </c>
      <c r="J47" s="178">
        <v>0</v>
      </c>
      <c r="K47" s="178">
        <v>0</v>
      </c>
      <c r="L47" s="180">
        <v>100</v>
      </c>
      <c r="M47" s="176"/>
      <c r="N47" s="177" t="s">
        <v>754</v>
      </c>
      <c r="O47" s="178" t="s">
        <v>554</v>
      </c>
      <c r="P47" s="178">
        <v>10</v>
      </c>
      <c r="Q47" s="179">
        <v>1</v>
      </c>
      <c r="R47" s="177" t="s">
        <v>9</v>
      </c>
      <c r="S47" s="178" t="s">
        <v>560</v>
      </c>
      <c r="T47" s="178">
        <v>10</v>
      </c>
      <c r="U47" s="179">
        <v>1</v>
      </c>
      <c r="V47" s="177" t="s">
        <v>733</v>
      </c>
      <c r="W47" s="178" t="s">
        <v>543</v>
      </c>
      <c r="X47" s="178">
        <v>10</v>
      </c>
      <c r="Y47" s="179">
        <v>1</v>
      </c>
      <c r="Z47" s="155"/>
      <c r="AA47" s="177"/>
      <c r="AB47" s="178"/>
      <c r="AC47" s="178"/>
      <c r="AD47" s="178"/>
      <c r="AE47" s="223"/>
    </row>
    <row r="48" spans="1:41" x14ac:dyDescent="0.25">
      <c r="D48" s="181">
        <v>5</v>
      </c>
      <c r="E48" s="182" t="s">
        <v>3</v>
      </c>
      <c r="F48" s="159" t="s">
        <v>120</v>
      </c>
      <c r="G48" s="182">
        <v>100</v>
      </c>
      <c r="H48" s="182">
        <v>5</v>
      </c>
      <c r="I48" s="182">
        <v>10</v>
      </c>
      <c r="J48" s="182">
        <v>0</v>
      </c>
      <c r="K48" s="182">
        <v>0</v>
      </c>
      <c r="L48" s="159">
        <v>100</v>
      </c>
      <c r="M48" s="176"/>
      <c r="N48" s="181" t="s">
        <v>754</v>
      </c>
      <c r="O48" s="182" t="s">
        <v>554</v>
      </c>
      <c r="P48" s="182">
        <v>10</v>
      </c>
      <c r="Q48" s="183">
        <v>1</v>
      </c>
      <c r="R48" s="181" t="s">
        <v>9</v>
      </c>
      <c r="S48" s="182" t="s">
        <v>560</v>
      </c>
      <c r="T48" s="182">
        <v>10</v>
      </c>
      <c r="U48" s="183">
        <v>1</v>
      </c>
      <c r="V48" s="181" t="s">
        <v>733</v>
      </c>
      <c r="W48" s="182" t="s">
        <v>543</v>
      </c>
      <c r="X48" s="182">
        <v>10</v>
      </c>
      <c r="Y48" s="183">
        <v>1</v>
      </c>
      <c r="Z48" s="155"/>
      <c r="AA48" s="181"/>
      <c r="AB48" s="182"/>
      <c r="AC48" s="182"/>
      <c r="AD48" s="182"/>
      <c r="AE48" s="224"/>
    </row>
    <row r="49" spans="3:41" x14ac:dyDescent="0.25">
      <c r="C49" t="s">
        <v>6390</v>
      </c>
      <c r="D49" s="173">
        <v>5</v>
      </c>
      <c r="E49" s="174" t="s">
        <v>4</v>
      </c>
      <c r="F49" s="175" t="s">
        <v>212</v>
      </c>
      <c r="G49" s="174">
        <v>100</v>
      </c>
      <c r="H49" s="174">
        <v>5</v>
      </c>
      <c r="I49" s="174">
        <v>10</v>
      </c>
      <c r="J49" s="174">
        <v>0</v>
      </c>
      <c r="K49" s="174">
        <v>0</v>
      </c>
      <c r="L49" s="175">
        <v>100</v>
      </c>
      <c r="M49" s="176"/>
      <c r="N49" s="177" t="s">
        <v>713</v>
      </c>
      <c r="O49" s="178" t="s">
        <v>523</v>
      </c>
      <c r="P49" s="178">
        <v>10</v>
      </c>
      <c r="Q49" s="179">
        <v>1</v>
      </c>
      <c r="R49" s="177" t="s">
        <v>721</v>
      </c>
      <c r="S49" s="178" t="s">
        <v>535</v>
      </c>
      <c r="T49" s="178">
        <v>10</v>
      </c>
      <c r="U49" s="179">
        <v>1</v>
      </c>
      <c r="V49" s="177" t="s">
        <v>742</v>
      </c>
      <c r="W49" s="178" t="s">
        <v>556</v>
      </c>
      <c r="X49" s="178">
        <v>10</v>
      </c>
      <c r="Y49" s="179">
        <v>1</v>
      </c>
      <c r="Z49" s="155"/>
      <c r="AA49" s="177"/>
      <c r="AB49" s="178"/>
      <c r="AC49" s="178"/>
      <c r="AD49" s="178"/>
      <c r="AE49" s="223"/>
      <c r="AG49" s="181" t="s">
        <v>656</v>
      </c>
      <c r="AH49" s="182">
        <v>5</v>
      </c>
      <c r="AI49" s="182">
        <v>100</v>
      </c>
      <c r="AJ49" s="182">
        <v>10</v>
      </c>
      <c r="AK49" s="159" t="s">
        <v>698</v>
      </c>
      <c r="AM49" s="161">
        <v>1</v>
      </c>
      <c r="AN49" s="161">
        <v>3</v>
      </c>
      <c r="AO49" s="161"/>
    </row>
    <row r="50" spans="3:41" x14ac:dyDescent="0.25">
      <c r="D50" s="177">
        <v>4</v>
      </c>
      <c r="E50" s="178" t="s">
        <v>4</v>
      </c>
      <c r="F50" s="180" t="s">
        <v>839</v>
      </c>
      <c r="G50" s="178">
        <v>100</v>
      </c>
      <c r="H50" s="178">
        <v>5</v>
      </c>
      <c r="I50" s="178">
        <v>10</v>
      </c>
      <c r="J50" s="178">
        <v>0</v>
      </c>
      <c r="K50" s="178">
        <v>0</v>
      </c>
      <c r="L50" s="180">
        <v>100</v>
      </c>
      <c r="M50" s="176"/>
      <c r="N50" s="177" t="s">
        <v>713</v>
      </c>
      <c r="O50" s="178" t="s">
        <v>523</v>
      </c>
      <c r="P50" s="178">
        <v>10</v>
      </c>
      <c r="Q50" s="179">
        <v>1</v>
      </c>
      <c r="R50" s="177" t="s">
        <v>721</v>
      </c>
      <c r="S50" s="178" t="s">
        <v>535</v>
      </c>
      <c r="T50" s="178">
        <v>10</v>
      </c>
      <c r="U50" s="179">
        <v>1</v>
      </c>
      <c r="V50" s="177" t="s">
        <v>742</v>
      </c>
      <c r="W50" s="178" t="s">
        <v>556</v>
      </c>
      <c r="X50" s="178">
        <v>10</v>
      </c>
      <c r="Y50" s="179">
        <v>1</v>
      </c>
      <c r="Z50" s="155"/>
      <c r="AA50" s="177"/>
      <c r="AB50" s="178"/>
      <c r="AC50" s="178"/>
      <c r="AD50" s="178"/>
      <c r="AE50" s="223"/>
      <c r="AM50" s="161">
        <v>4</v>
      </c>
      <c r="AN50" s="161">
        <v>5</v>
      </c>
      <c r="AO50" s="161"/>
    </row>
    <row r="51" spans="3:41" x14ac:dyDescent="0.25">
      <c r="D51" s="177">
        <v>5</v>
      </c>
      <c r="E51" s="178" t="s">
        <v>4</v>
      </c>
      <c r="F51" s="180" t="s">
        <v>154</v>
      </c>
      <c r="G51" s="178">
        <v>100</v>
      </c>
      <c r="H51" s="178">
        <v>5</v>
      </c>
      <c r="I51" s="178">
        <v>10</v>
      </c>
      <c r="J51" s="178">
        <v>0</v>
      </c>
      <c r="K51" s="178">
        <v>0</v>
      </c>
      <c r="L51" s="180">
        <v>100</v>
      </c>
      <c r="M51" s="176"/>
      <c r="N51" s="177" t="s">
        <v>713</v>
      </c>
      <c r="O51" s="178" t="s">
        <v>523</v>
      </c>
      <c r="P51" s="178">
        <v>10</v>
      </c>
      <c r="Q51" s="179">
        <v>1</v>
      </c>
      <c r="R51" s="177" t="s">
        <v>721</v>
      </c>
      <c r="S51" s="178" t="s">
        <v>535</v>
      </c>
      <c r="T51" s="178">
        <v>10</v>
      </c>
      <c r="U51" s="179">
        <v>1</v>
      </c>
      <c r="V51" s="177" t="s">
        <v>742</v>
      </c>
      <c r="W51" s="178" t="s">
        <v>556</v>
      </c>
      <c r="X51" s="178">
        <v>10</v>
      </c>
      <c r="Y51" s="179">
        <v>1</v>
      </c>
      <c r="Z51" s="155"/>
      <c r="AA51" s="177"/>
      <c r="AB51" s="178"/>
      <c r="AC51" s="178"/>
      <c r="AD51" s="178"/>
      <c r="AE51" s="223"/>
      <c r="AM51" s="161">
        <v>2</v>
      </c>
      <c r="AN51" s="161"/>
      <c r="AO51" s="161"/>
    </row>
    <row r="52" spans="3:41" x14ac:dyDescent="0.25">
      <c r="D52" s="177">
        <v>5</v>
      </c>
      <c r="E52" s="178" t="s">
        <v>3</v>
      </c>
      <c r="F52" s="180" t="s">
        <v>64</v>
      </c>
      <c r="G52" s="178">
        <v>100</v>
      </c>
      <c r="H52" s="178">
        <v>5</v>
      </c>
      <c r="I52" s="178">
        <v>10</v>
      </c>
      <c r="J52" s="178">
        <v>0</v>
      </c>
      <c r="K52" s="178">
        <v>0</v>
      </c>
      <c r="L52" s="180">
        <v>100</v>
      </c>
      <c r="M52" s="176"/>
      <c r="N52" s="177" t="s">
        <v>922</v>
      </c>
      <c r="O52" s="178" t="s">
        <v>931</v>
      </c>
      <c r="P52" s="178">
        <v>10</v>
      </c>
      <c r="Q52" s="179">
        <v>1</v>
      </c>
      <c r="R52" s="177" t="s">
        <v>9</v>
      </c>
      <c r="S52" s="178" t="s">
        <v>560</v>
      </c>
      <c r="T52" s="178">
        <v>10</v>
      </c>
      <c r="U52" s="179">
        <v>1</v>
      </c>
      <c r="V52" s="177" t="s">
        <v>733</v>
      </c>
      <c r="W52" s="178" t="s">
        <v>550</v>
      </c>
      <c r="X52" s="178">
        <v>10</v>
      </c>
      <c r="Y52" s="179">
        <v>1</v>
      </c>
      <c r="Z52" s="155"/>
      <c r="AA52" s="177"/>
      <c r="AB52" s="178"/>
      <c r="AC52" s="178"/>
      <c r="AD52" s="178"/>
      <c r="AE52" s="223"/>
    </row>
    <row r="53" spans="3:41" x14ac:dyDescent="0.25">
      <c r="D53" s="181">
        <v>5</v>
      </c>
      <c r="E53" s="182" t="s">
        <v>3</v>
      </c>
      <c r="F53" s="159" t="s">
        <v>1721</v>
      </c>
      <c r="G53" s="182">
        <v>100</v>
      </c>
      <c r="H53" s="182">
        <v>5</v>
      </c>
      <c r="I53" s="182">
        <v>10</v>
      </c>
      <c r="J53" s="182">
        <v>0</v>
      </c>
      <c r="K53" s="182">
        <v>0</v>
      </c>
      <c r="L53" s="159">
        <v>100</v>
      </c>
      <c r="M53" s="176"/>
      <c r="N53" s="181" t="s">
        <v>702</v>
      </c>
      <c r="O53" s="182" t="s">
        <v>755</v>
      </c>
      <c r="P53" s="182">
        <v>10</v>
      </c>
      <c r="Q53" s="183">
        <v>1</v>
      </c>
      <c r="R53" s="181" t="s">
        <v>702</v>
      </c>
      <c r="S53" s="182" t="s">
        <v>758</v>
      </c>
      <c r="T53" s="182">
        <v>10</v>
      </c>
      <c r="U53" s="183">
        <v>1</v>
      </c>
      <c r="V53" s="181" t="s">
        <v>702</v>
      </c>
      <c r="W53" s="182" t="s">
        <v>761</v>
      </c>
      <c r="X53" s="182">
        <v>10</v>
      </c>
      <c r="Y53" s="183">
        <v>1</v>
      </c>
      <c r="Z53" s="155"/>
      <c r="AA53" s="181"/>
      <c r="AB53" s="182"/>
      <c r="AC53" s="182"/>
      <c r="AD53" s="182"/>
      <c r="AE53" s="224"/>
    </row>
    <row r="54" spans="3:41" x14ac:dyDescent="0.25">
      <c r="C54" t="s">
        <v>6391</v>
      </c>
      <c r="D54" s="173">
        <v>5</v>
      </c>
      <c r="E54" s="174" t="s">
        <v>4</v>
      </c>
      <c r="F54" s="175" t="s">
        <v>212</v>
      </c>
      <c r="G54" s="174">
        <v>100</v>
      </c>
      <c r="H54" s="174">
        <v>5</v>
      </c>
      <c r="I54" s="174">
        <v>10</v>
      </c>
      <c r="J54" s="174">
        <v>0</v>
      </c>
      <c r="K54" s="174">
        <v>0</v>
      </c>
      <c r="L54" s="175">
        <v>100</v>
      </c>
      <c r="M54" s="176"/>
      <c r="N54" s="177" t="s">
        <v>713</v>
      </c>
      <c r="O54" s="178" t="s">
        <v>523</v>
      </c>
      <c r="P54" s="178">
        <v>10</v>
      </c>
      <c r="Q54" s="179">
        <v>1</v>
      </c>
      <c r="R54" s="177" t="s">
        <v>721</v>
      </c>
      <c r="S54" s="178" t="s">
        <v>535</v>
      </c>
      <c r="T54" s="178">
        <v>10</v>
      </c>
      <c r="U54" s="179">
        <v>1</v>
      </c>
      <c r="V54" s="177" t="s">
        <v>742</v>
      </c>
      <c r="W54" s="178" t="s">
        <v>556</v>
      </c>
      <c r="X54" s="178">
        <v>10</v>
      </c>
      <c r="Y54" s="179">
        <v>1</v>
      </c>
      <c r="Z54" s="155"/>
      <c r="AA54" s="177"/>
      <c r="AB54" s="178"/>
      <c r="AC54" s="178"/>
      <c r="AD54" s="178"/>
      <c r="AE54" s="223"/>
      <c r="AG54" s="181" t="s">
        <v>656</v>
      </c>
      <c r="AH54" s="182">
        <v>5</v>
      </c>
      <c r="AI54" s="182">
        <v>100</v>
      </c>
      <c r="AJ54" s="182">
        <v>10</v>
      </c>
      <c r="AK54" s="159" t="s">
        <v>698</v>
      </c>
      <c r="AM54" s="161">
        <v>1</v>
      </c>
      <c r="AN54" s="161"/>
      <c r="AO54" s="161"/>
    </row>
    <row r="55" spans="3:41" x14ac:dyDescent="0.25">
      <c r="D55" s="177">
        <v>4</v>
      </c>
      <c r="E55" s="178" t="s">
        <v>4</v>
      </c>
      <c r="F55" s="180" t="s">
        <v>839</v>
      </c>
      <c r="G55" s="178">
        <v>100</v>
      </c>
      <c r="H55" s="178">
        <v>5</v>
      </c>
      <c r="I55" s="178">
        <v>10</v>
      </c>
      <c r="J55" s="178">
        <v>0</v>
      </c>
      <c r="K55" s="178">
        <v>0</v>
      </c>
      <c r="L55" s="180">
        <v>100</v>
      </c>
      <c r="M55" s="176"/>
      <c r="N55" s="177" t="s">
        <v>713</v>
      </c>
      <c r="O55" s="178" t="s">
        <v>523</v>
      </c>
      <c r="P55" s="178">
        <v>10</v>
      </c>
      <c r="Q55" s="179">
        <v>1</v>
      </c>
      <c r="R55" s="177" t="s">
        <v>721</v>
      </c>
      <c r="S55" s="178" t="s">
        <v>535</v>
      </c>
      <c r="T55" s="178">
        <v>10</v>
      </c>
      <c r="U55" s="179">
        <v>1</v>
      </c>
      <c r="V55" s="177" t="s">
        <v>742</v>
      </c>
      <c r="W55" s="178" t="s">
        <v>556</v>
      </c>
      <c r="X55" s="178">
        <v>10</v>
      </c>
      <c r="Y55" s="179">
        <v>1</v>
      </c>
      <c r="Z55" s="155"/>
      <c r="AA55" s="177"/>
      <c r="AB55" s="178"/>
      <c r="AC55" s="178"/>
      <c r="AD55" s="178"/>
      <c r="AE55" s="223"/>
      <c r="AM55" s="161">
        <v>4</v>
      </c>
      <c r="AN55" s="161">
        <v>3</v>
      </c>
      <c r="AO55" s="161"/>
    </row>
    <row r="56" spans="3:41" x14ac:dyDescent="0.25">
      <c r="D56" s="177">
        <v>5</v>
      </c>
      <c r="E56" s="178" t="s">
        <v>3</v>
      </c>
      <c r="F56" s="180" t="s">
        <v>1721</v>
      </c>
      <c r="G56" s="178">
        <v>100</v>
      </c>
      <c r="H56" s="178">
        <v>5</v>
      </c>
      <c r="I56" s="178">
        <v>10</v>
      </c>
      <c r="J56" s="178">
        <v>0</v>
      </c>
      <c r="K56" s="178">
        <v>0</v>
      </c>
      <c r="L56" s="180">
        <v>100</v>
      </c>
      <c r="M56" s="176"/>
      <c r="N56" s="177" t="s">
        <v>702</v>
      </c>
      <c r="O56" s="178" t="s">
        <v>755</v>
      </c>
      <c r="P56" s="178">
        <v>10</v>
      </c>
      <c r="Q56" s="179">
        <v>1</v>
      </c>
      <c r="R56" s="177" t="s">
        <v>702</v>
      </c>
      <c r="S56" s="178" t="s">
        <v>758</v>
      </c>
      <c r="T56" s="178">
        <v>10</v>
      </c>
      <c r="U56" s="179">
        <v>1</v>
      </c>
      <c r="V56" s="177" t="s">
        <v>702</v>
      </c>
      <c r="W56" s="178" t="s">
        <v>761</v>
      </c>
      <c r="X56" s="178">
        <v>10</v>
      </c>
      <c r="Y56" s="179">
        <v>1</v>
      </c>
      <c r="Z56" s="155"/>
      <c r="AA56" s="177"/>
      <c r="AB56" s="178"/>
      <c r="AC56" s="178"/>
      <c r="AD56" s="178"/>
      <c r="AE56" s="223"/>
      <c r="AM56" s="161">
        <v>2</v>
      </c>
      <c r="AN56" s="161">
        <v>5</v>
      </c>
      <c r="AO56" s="161"/>
    </row>
    <row r="57" spans="3:41" x14ac:dyDescent="0.25">
      <c r="D57" s="177">
        <v>5</v>
      </c>
      <c r="E57" s="178" t="s">
        <v>3</v>
      </c>
      <c r="F57" s="180" t="s">
        <v>64</v>
      </c>
      <c r="G57" s="178">
        <v>100</v>
      </c>
      <c r="H57" s="178">
        <v>5</v>
      </c>
      <c r="I57" s="178">
        <v>10</v>
      </c>
      <c r="J57" s="178">
        <v>0</v>
      </c>
      <c r="K57" s="178">
        <v>0</v>
      </c>
      <c r="L57" s="180">
        <v>100</v>
      </c>
      <c r="M57" s="176"/>
      <c r="N57" s="177" t="s">
        <v>922</v>
      </c>
      <c r="O57" s="178" t="s">
        <v>931</v>
      </c>
      <c r="P57" s="178">
        <v>10</v>
      </c>
      <c r="Q57" s="179">
        <v>1</v>
      </c>
      <c r="R57" s="177" t="s">
        <v>9</v>
      </c>
      <c r="S57" s="178" t="s">
        <v>560</v>
      </c>
      <c r="T57" s="178">
        <v>10</v>
      </c>
      <c r="U57" s="179">
        <v>1</v>
      </c>
      <c r="V57" s="177" t="s">
        <v>733</v>
      </c>
      <c r="W57" s="178" t="s">
        <v>550</v>
      </c>
      <c r="X57" s="178">
        <v>10</v>
      </c>
      <c r="Y57" s="179">
        <v>1</v>
      </c>
      <c r="Z57" s="155"/>
      <c r="AA57" s="177"/>
      <c r="AB57" s="178"/>
      <c r="AC57" s="178"/>
      <c r="AD57" s="178"/>
      <c r="AE57" s="223"/>
    </row>
    <row r="58" spans="3:41" x14ac:dyDescent="0.25">
      <c r="D58" s="181">
        <v>5</v>
      </c>
      <c r="E58" s="182" t="s">
        <v>3</v>
      </c>
      <c r="F58" s="159" t="s">
        <v>197</v>
      </c>
      <c r="G58" s="182">
        <v>100</v>
      </c>
      <c r="H58" s="182">
        <v>5</v>
      </c>
      <c r="I58" s="182">
        <v>10</v>
      </c>
      <c r="J58" s="182">
        <v>0</v>
      </c>
      <c r="K58" s="182">
        <v>0</v>
      </c>
      <c r="L58" s="159">
        <v>100</v>
      </c>
      <c r="M58" s="176"/>
      <c r="N58" s="181" t="s">
        <v>754</v>
      </c>
      <c r="O58" s="182" t="s">
        <v>554</v>
      </c>
      <c r="P58" s="182">
        <v>10</v>
      </c>
      <c r="Q58" s="183">
        <v>1</v>
      </c>
      <c r="R58" s="181" t="s">
        <v>9</v>
      </c>
      <c r="S58" s="182" t="s">
        <v>560</v>
      </c>
      <c r="T58" s="182">
        <v>10</v>
      </c>
      <c r="U58" s="183">
        <v>1</v>
      </c>
      <c r="V58" s="181" t="s">
        <v>733</v>
      </c>
      <c r="W58" s="182" t="s">
        <v>543</v>
      </c>
      <c r="X58" s="182">
        <v>10</v>
      </c>
      <c r="Y58" s="183">
        <v>1</v>
      </c>
      <c r="Z58" s="155"/>
      <c r="AA58" s="181"/>
      <c r="AB58" s="182"/>
      <c r="AC58" s="182"/>
      <c r="AD58" s="182"/>
      <c r="AE58" s="224"/>
    </row>
    <row r="59" spans="3:41" x14ac:dyDescent="0.25">
      <c r="C59" t="s">
        <v>6392</v>
      </c>
      <c r="D59" s="173">
        <v>5</v>
      </c>
      <c r="E59" s="174" t="s">
        <v>3</v>
      </c>
      <c r="F59" s="175" t="s">
        <v>1715</v>
      </c>
      <c r="G59" s="174">
        <v>100</v>
      </c>
      <c r="H59" s="174">
        <v>5</v>
      </c>
      <c r="I59" s="174">
        <v>10</v>
      </c>
      <c r="J59" s="174">
        <v>0</v>
      </c>
      <c r="K59" s="174">
        <v>0</v>
      </c>
      <c r="L59" s="175">
        <v>100</v>
      </c>
      <c r="M59" s="176"/>
      <c r="N59" s="177" t="s">
        <v>922</v>
      </c>
      <c r="O59" s="178" t="s">
        <v>931</v>
      </c>
      <c r="P59" s="178">
        <v>10</v>
      </c>
      <c r="Q59" s="179">
        <v>1</v>
      </c>
      <c r="R59" s="177" t="s">
        <v>9</v>
      </c>
      <c r="S59" s="178" t="s">
        <v>560</v>
      </c>
      <c r="T59" s="178">
        <v>10</v>
      </c>
      <c r="U59" s="179">
        <v>1</v>
      </c>
      <c r="V59" s="177" t="s">
        <v>733</v>
      </c>
      <c r="W59" s="178" t="s">
        <v>550</v>
      </c>
      <c r="X59" s="178">
        <v>10</v>
      </c>
      <c r="Y59" s="179">
        <v>1</v>
      </c>
      <c r="Z59" s="155"/>
      <c r="AA59" s="177"/>
      <c r="AB59" s="178"/>
      <c r="AC59" s="178"/>
      <c r="AD59" s="178"/>
      <c r="AE59" s="223"/>
      <c r="AG59" s="181" t="s">
        <v>656</v>
      </c>
      <c r="AH59" s="182">
        <v>5</v>
      </c>
      <c r="AI59" s="182">
        <v>100</v>
      </c>
      <c r="AJ59" s="182">
        <v>10</v>
      </c>
      <c r="AK59" s="159" t="s">
        <v>698</v>
      </c>
      <c r="AM59" s="161">
        <v>1</v>
      </c>
      <c r="AN59" s="161">
        <v>4</v>
      </c>
      <c r="AO59" s="161"/>
    </row>
    <row r="60" spans="3:41" x14ac:dyDescent="0.25">
      <c r="D60" s="177">
        <v>5</v>
      </c>
      <c r="E60" s="178" t="s">
        <v>3</v>
      </c>
      <c r="F60" s="180" t="s">
        <v>64</v>
      </c>
      <c r="G60" s="178">
        <v>100</v>
      </c>
      <c r="H60" s="178">
        <v>5</v>
      </c>
      <c r="I60" s="178">
        <v>10</v>
      </c>
      <c r="J60" s="178">
        <v>0</v>
      </c>
      <c r="K60" s="178">
        <v>0</v>
      </c>
      <c r="L60" s="180">
        <v>100</v>
      </c>
      <c r="M60" s="176"/>
      <c r="N60" s="177" t="s">
        <v>922</v>
      </c>
      <c r="O60" s="178" t="s">
        <v>931</v>
      </c>
      <c r="P60" s="178">
        <v>10</v>
      </c>
      <c r="Q60" s="179">
        <v>1</v>
      </c>
      <c r="R60" s="177" t="s">
        <v>9</v>
      </c>
      <c r="S60" s="178" t="s">
        <v>560</v>
      </c>
      <c r="T60" s="178">
        <v>10</v>
      </c>
      <c r="U60" s="179">
        <v>1</v>
      </c>
      <c r="V60" s="177" t="s">
        <v>733</v>
      </c>
      <c r="W60" s="178" t="s">
        <v>550</v>
      </c>
      <c r="X60" s="178">
        <v>10</v>
      </c>
      <c r="Y60" s="179">
        <v>1</v>
      </c>
      <c r="Z60" s="155"/>
      <c r="AA60" s="177"/>
      <c r="AB60" s="178"/>
      <c r="AC60" s="178"/>
      <c r="AD60" s="178"/>
      <c r="AE60" s="223"/>
      <c r="AM60" s="161">
        <v>2</v>
      </c>
      <c r="AN60" s="161">
        <v>3</v>
      </c>
      <c r="AO60" s="161"/>
    </row>
    <row r="61" spans="3:41" x14ac:dyDescent="0.25">
      <c r="D61" s="177">
        <v>6</v>
      </c>
      <c r="E61" s="178" t="s">
        <v>3</v>
      </c>
      <c r="F61" s="180" t="s">
        <v>263</v>
      </c>
      <c r="G61" s="178">
        <v>110</v>
      </c>
      <c r="H61" s="178">
        <v>5</v>
      </c>
      <c r="I61" s="178">
        <v>10</v>
      </c>
      <c r="J61" s="178">
        <v>10</v>
      </c>
      <c r="K61" s="178">
        <v>2</v>
      </c>
      <c r="L61" s="180">
        <v>100</v>
      </c>
      <c r="M61" s="176"/>
      <c r="N61" s="177" t="s">
        <v>754</v>
      </c>
      <c r="O61" s="178" t="s">
        <v>554</v>
      </c>
      <c r="P61" s="178">
        <v>10</v>
      </c>
      <c r="Q61" s="179">
        <v>1</v>
      </c>
      <c r="R61" s="177" t="s">
        <v>9</v>
      </c>
      <c r="S61" s="178" t="s">
        <v>560</v>
      </c>
      <c r="T61" s="178">
        <v>10</v>
      </c>
      <c r="U61" s="179">
        <v>1</v>
      </c>
      <c r="V61" s="177" t="s">
        <v>733</v>
      </c>
      <c r="W61" s="178" t="s">
        <v>543</v>
      </c>
      <c r="X61" s="178">
        <v>10</v>
      </c>
      <c r="Y61" s="179">
        <v>1</v>
      </c>
      <c r="Z61" s="155"/>
      <c r="AA61" s="177"/>
      <c r="AB61" s="178"/>
      <c r="AC61" s="178"/>
      <c r="AD61" s="178"/>
      <c r="AE61" s="223"/>
      <c r="AM61" s="161"/>
      <c r="AN61" s="161">
        <v>5</v>
      </c>
      <c r="AO61" s="161"/>
    </row>
    <row r="62" spans="3:41" x14ac:dyDescent="0.25">
      <c r="D62" s="177">
        <v>5</v>
      </c>
      <c r="E62" s="178" t="s">
        <v>3</v>
      </c>
      <c r="F62" s="180" t="s">
        <v>186</v>
      </c>
      <c r="G62" s="178">
        <v>100</v>
      </c>
      <c r="H62" s="178">
        <v>5</v>
      </c>
      <c r="I62" s="178">
        <v>10</v>
      </c>
      <c r="J62" s="178">
        <v>0</v>
      </c>
      <c r="K62" s="178">
        <v>0</v>
      </c>
      <c r="L62" s="180">
        <v>100</v>
      </c>
      <c r="M62" s="176"/>
      <c r="N62" s="177" t="s">
        <v>754</v>
      </c>
      <c r="O62" s="178" t="s">
        <v>554</v>
      </c>
      <c r="P62" s="178">
        <v>10</v>
      </c>
      <c r="Q62" s="179">
        <v>1</v>
      </c>
      <c r="R62" s="177" t="s">
        <v>9</v>
      </c>
      <c r="S62" s="178" t="s">
        <v>560</v>
      </c>
      <c r="T62" s="178">
        <v>10</v>
      </c>
      <c r="U62" s="179">
        <v>1</v>
      </c>
      <c r="V62" s="177" t="s">
        <v>733</v>
      </c>
      <c r="W62" s="178" t="s">
        <v>543</v>
      </c>
      <c r="X62" s="178">
        <v>10</v>
      </c>
      <c r="Y62" s="179">
        <v>1</v>
      </c>
      <c r="Z62" s="155"/>
      <c r="AA62" s="177"/>
      <c r="AB62" s="178"/>
      <c r="AC62" s="178"/>
      <c r="AD62" s="178"/>
      <c r="AE62" s="223"/>
    </row>
    <row r="63" spans="3:41" x14ac:dyDescent="0.25">
      <c r="D63" s="181">
        <v>5</v>
      </c>
      <c r="E63" s="182" t="s">
        <v>3</v>
      </c>
      <c r="F63" s="159" t="s">
        <v>197</v>
      </c>
      <c r="G63" s="182">
        <v>100</v>
      </c>
      <c r="H63" s="182">
        <v>5</v>
      </c>
      <c r="I63" s="182">
        <v>10</v>
      </c>
      <c r="J63" s="182">
        <v>0</v>
      </c>
      <c r="K63" s="182">
        <v>0</v>
      </c>
      <c r="L63" s="159">
        <v>100</v>
      </c>
      <c r="M63" s="176"/>
      <c r="N63" s="181" t="s">
        <v>754</v>
      </c>
      <c r="O63" s="182" t="s">
        <v>554</v>
      </c>
      <c r="P63" s="182">
        <v>10</v>
      </c>
      <c r="Q63" s="183">
        <v>1</v>
      </c>
      <c r="R63" s="181" t="s">
        <v>9</v>
      </c>
      <c r="S63" s="182" t="s">
        <v>560</v>
      </c>
      <c r="T63" s="182">
        <v>10</v>
      </c>
      <c r="U63" s="183">
        <v>1</v>
      </c>
      <c r="V63" s="181" t="s">
        <v>733</v>
      </c>
      <c r="W63" s="182" t="s">
        <v>543</v>
      </c>
      <c r="X63" s="182">
        <v>10</v>
      </c>
      <c r="Y63" s="183">
        <v>1</v>
      </c>
      <c r="Z63" s="155"/>
      <c r="AA63" s="181"/>
      <c r="AB63" s="182"/>
      <c r="AC63" s="182"/>
      <c r="AD63" s="182"/>
      <c r="AE63" s="224"/>
    </row>
    <row r="64" spans="3:41" x14ac:dyDescent="0.25">
      <c r="C64" t="s">
        <v>6393</v>
      </c>
      <c r="D64" s="173">
        <v>5</v>
      </c>
      <c r="E64" s="174" t="s">
        <v>2</v>
      </c>
      <c r="F64" s="175" t="s">
        <v>256</v>
      </c>
      <c r="G64" s="174">
        <v>115</v>
      </c>
      <c r="H64" s="174">
        <v>5</v>
      </c>
      <c r="I64" s="174">
        <v>10</v>
      </c>
      <c r="J64" s="174">
        <v>10</v>
      </c>
      <c r="K64" s="174">
        <v>3</v>
      </c>
      <c r="L64" s="175">
        <v>100</v>
      </c>
      <c r="M64" s="176"/>
      <c r="N64" s="177" t="s">
        <v>713</v>
      </c>
      <c r="O64" s="178" t="s">
        <v>523</v>
      </c>
      <c r="P64" s="178">
        <v>10</v>
      </c>
      <c r="Q64" s="179">
        <v>1</v>
      </c>
      <c r="R64" s="177" t="s">
        <v>728</v>
      </c>
      <c r="S64" s="178" t="s">
        <v>539</v>
      </c>
      <c r="T64" s="178">
        <v>10</v>
      </c>
      <c r="U64" s="179">
        <v>1</v>
      </c>
      <c r="V64" s="177" t="s">
        <v>702</v>
      </c>
      <c r="W64" s="178" t="s">
        <v>256</v>
      </c>
      <c r="X64" s="178">
        <v>10</v>
      </c>
      <c r="Y64" s="179">
        <v>1</v>
      </c>
      <c r="Z64" s="155"/>
      <c r="AA64" s="177"/>
      <c r="AB64" s="178"/>
      <c r="AC64" s="178"/>
      <c r="AD64" s="178"/>
      <c r="AE64" s="223"/>
      <c r="AG64" s="181" t="s">
        <v>656</v>
      </c>
      <c r="AH64" s="182">
        <v>5</v>
      </c>
      <c r="AI64" s="182">
        <v>100</v>
      </c>
      <c r="AJ64" s="182">
        <v>10</v>
      </c>
      <c r="AK64" s="159" t="s">
        <v>698</v>
      </c>
      <c r="AM64" s="161">
        <v>2</v>
      </c>
      <c r="AN64" s="161"/>
      <c r="AO64" s="161"/>
    </row>
    <row r="65" spans="3:41" x14ac:dyDescent="0.25">
      <c r="D65" s="177">
        <v>6</v>
      </c>
      <c r="E65" s="178" t="s">
        <v>2</v>
      </c>
      <c r="F65" s="180" t="s">
        <v>1475</v>
      </c>
      <c r="G65" s="178">
        <v>115</v>
      </c>
      <c r="H65" s="178">
        <v>5</v>
      </c>
      <c r="I65" s="178">
        <v>10</v>
      </c>
      <c r="J65" s="178">
        <v>10</v>
      </c>
      <c r="K65" s="178">
        <v>3</v>
      </c>
      <c r="L65" s="180">
        <v>100</v>
      </c>
      <c r="M65" s="176"/>
      <c r="N65" s="177" t="s">
        <v>713</v>
      </c>
      <c r="O65" s="178" t="s">
        <v>523</v>
      </c>
      <c r="P65" s="178">
        <v>10</v>
      </c>
      <c r="Q65" s="179">
        <v>1</v>
      </c>
      <c r="R65" s="177" t="s">
        <v>728</v>
      </c>
      <c r="S65" s="178" t="s">
        <v>539</v>
      </c>
      <c r="T65" s="178">
        <v>10</v>
      </c>
      <c r="U65" s="179">
        <v>1</v>
      </c>
      <c r="V65" s="177" t="s">
        <v>702</v>
      </c>
      <c r="W65" s="178" t="s">
        <v>1475</v>
      </c>
      <c r="X65" s="178">
        <v>10</v>
      </c>
      <c r="Y65" s="179">
        <v>1</v>
      </c>
      <c r="Z65" s="155"/>
      <c r="AA65" s="177"/>
      <c r="AB65" s="178"/>
      <c r="AC65" s="178"/>
      <c r="AD65" s="178"/>
      <c r="AE65" s="223"/>
      <c r="AM65" s="161">
        <v>1</v>
      </c>
      <c r="AN65" s="161">
        <v>4</v>
      </c>
      <c r="AO65" s="161"/>
    </row>
    <row r="66" spans="3:41" x14ac:dyDescent="0.25">
      <c r="D66" s="177">
        <v>6</v>
      </c>
      <c r="E66" s="178" t="s">
        <v>2</v>
      </c>
      <c r="F66" s="180" t="s">
        <v>259</v>
      </c>
      <c r="G66" s="178">
        <v>115</v>
      </c>
      <c r="H66" s="178">
        <v>5</v>
      </c>
      <c r="I66" s="178">
        <v>10</v>
      </c>
      <c r="J66" s="178">
        <v>10</v>
      </c>
      <c r="K66" s="178">
        <v>3</v>
      </c>
      <c r="L66" s="180">
        <v>100</v>
      </c>
      <c r="M66" s="176"/>
      <c r="N66" s="177" t="s">
        <v>702</v>
      </c>
      <c r="O66" s="178" t="s">
        <v>223</v>
      </c>
      <c r="P66" s="178">
        <v>10</v>
      </c>
      <c r="Q66" s="179">
        <v>1</v>
      </c>
      <c r="R66" s="177" t="s">
        <v>728</v>
      </c>
      <c r="S66" s="178" t="s">
        <v>539</v>
      </c>
      <c r="T66" s="178">
        <v>10</v>
      </c>
      <c r="U66" s="179">
        <v>1</v>
      </c>
      <c r="V66" s="177" t="s">
        <v>702</v>
      </c>
      <c r="W66" s="178" t="s">
        <v>259</v>
      </c>
      <c r="X66" s="178">
        <v>10</v>
      </c>
      <c r="Y66" s="179">
        <v>1</v>
      </c>
      <c r="Z66" s="155"/>
      <c r="AA66" s="177"/>
      <c r="AB66" s="178"/>
      <c r="AC66" s="178"/>
      <c r="AD66" s="178"/>
      <c r="AE66" s="223"/>
      <c r="AM66" s="161">
        <v>3</v>
      </c>
      <c r="AN66" s="161">
        <v>5</v>
      </c>
      <c r="AO66" s="161"/>
    </row>
    <row r="67" spans="3:41" x14ac:dyDescent="0.25">
      <c r="D67" s="177">
        <v>5</v>
      </c>
      <c r="E67" s="178" t="s">
        <v>7</v>
      </c>
      <c r="F67" s="180" t="s">
        <v>265</v>
      </c>
      <c r="G67" s="178">
        <v>110</v>
      </c>
      <c r="H67" s="178">
        <v>5</v>
      </c>
      <c r="I67" s="178">
        <v>10</v>
      </c>
      <c r="J67" s="178">
        <v>10</v>
      </c>
      <c r="K67" s="178">
        <v>2</v>
      </c>
      <c r="L67" s="180">
        <v>100</v>
      </c>
      <c r="M67" s="176"/>
      <c r="N67" s="177" t="s">
        <v>702</v>
      </c>
      <c r="O67" s="178" t="s">
        <v>265</v>
      </c>
      <c r="P67" s="178">
        <v>10</v>
      </c>
      <c r="Q67" s="179">
        <v>1</v>
      </c>
      <c r="R67" s="177" t="s">
        <v>9</v>
      </c>
      <c r="S67" s="178" t="s">
        <v>560</v>
      </c>
      <c r="T67" s="178">
        <v>10</v>
      </c>
      <c r="U67" s="179">
        <v>1</v>
      </c>
      <c r="V67" s="177" t="s">
        <v>702</v>
      </c>
      <c r="W67" s="178" t="s">
        <v>731</v>
      </c>
      <c r="X67" s="178">
        <v>10</v>
      </c>
      <c r="Y67" s="179">
        <v>1</v>
      </c>
      <c r="Z67" s="155"/>
      <c r="AA67" s="177"/>
      <c r="AB67" s="178"/>
      <c r="AC67" s="178"/>
      <c r="AD67" s="178"/>
      <c r="AE67" s="223"/>
    </row>
    <row r="68" spans="3:41" x14ac:dyDescent="0.25">
      <c r="D68" s="181">
        <v>5</v>
      </c>
      <c r="E68" s="182" t="s">
        <v>3</v>
      </c>
      <c r="F68" s="159" t="s">
        <v>197</v>
      </c>
      <c r="G68" s="182">
        <v>100</v>
      </c>
      <c r="H68" s="182">
        <v>5</v>
      </c>
      <c r="I68" s="182">
        <v>10</v>
      </c>
      <c r="J68" s="182">
        <v>0</v>
      </c>
      <c r="K68" s="182">
        <v>0</v>
      </c>
      <c r="L68" s="159">
        <v>100</v>
      </c>
      <c r="M68" s="176"/>
      <c r="N68" s="181" t="s">
        <v>754</v>
      </c>
      <c r="O68" s="182" t="s">
        <v>554</v>
      </c>
      <c r="P68" s="182">
        <v>10</v>
      </c>
      <c r="Q68" s="183">
        <v>1</v>
      </c>
      <c r="R68" s="181" t="s">
        <v>9</v>
      </c>
      <c r="S68" s="182" t="s">
        <v>560</v>
      </c>
      <c r="T68" s="182">
        <v>10</v>
      </c>
      <c r="U68" s="183">
        <v>1</v>
      </c>
      <c r="V68" s="181" t="s">
        <v>733</v>
      </c>
      <c r="W68" s="182" t="s">
        <v>543</v>
      </c>
      <c r="X68" s="182">
        <v>10</v>
      </c>
      <c r="Y68" s="183">
        <v>1</v>
      </c>
      <c r="Z68" s="155"/>
      <c r="AA68" s="181"/>
      <c r="AB68" s="182"/>
      <c r="AC68" s="182"/>
      <c r="AD68" s="182"/>
      <c r="AE68" s="224"/>
    </row>
    <row r="69" spans="3:41" x14ac:dyDescent="0.25">
      <c r="C69" t="s">
        <v>6394</v>
      </c>
      <c r="D69" s="173">
        <v>5</v>
      </c>
      <c r="E69" s="174" t="s">
        <v>6</v>
      </c>
      <c r="F69" s="175" t="s">
        <v>96</v>
      </c>
      <c r="G69" s="174">
        <v>100</v>
      </c>
      <c r="H69" s="174">
        <v>5</v>
      </c>
      <c r="I69" s="174">
        <v>10</v>
      </c>
      <c r="J69" s="174">
        <v>0</v>
      </c>
      <c r="K69" s="174">
        <v>0</v>
      </c>
      <c r="L69" s="175">
        <v>100</v>
      </c>
      <c r="M69" s="176"/>
      <c r="N69" s="177" t="s">
        <v>702</v>
      </c>
      <c r="O69" s="178" t="s">
        <v>96</v>
      </c>
      <c r="P69" s="178">
        <v>10</v>
      </c>
      <c r="Q69" s="179">
        <v>1</v>
      </c>
      <c r="R69" s="177" t="s">
        <v>721</v>
      </c>
      <c r="S69" s="178" t="s">
        <v>535</v>
      </c>
      <c r="T69" s="178">
        <v>10</v>
      </c>
      <c r="U69" s="179">
        <v>1</v>
      </c>
      <c r="V69" s="177" t="s">
        <v>743</v>
      </c>
      <c r="W69" s="178" t="s">
        <v>572</v>
      </c>
      <c r="X69" s="178">
        <v>10</v>
      </c>
      <c r="Y69" s="179">
        <v>1</v>
      </c>
      <c r="Z69" s="155"/>
      <c r="AA69" s="177"/>
      <c r="AB69" s="178"/>
      <c r="AC69" s="178"/>
      <c r="AD69" s="178"/>
      <c r="AE69" s="223"/>
      <c r="AG69" s="181" t="s">
        <v>656</v>
      </c>
      <c r="AH69" s="182">
        <v>5</v>
      </c>
      <c r="AI69" s="182">
        <v>100</v>
      </c>
      <c r="AJ69" s="182">
        <v>10</v>
      </c>
      <c r="AK69" s="159" t="s">
        <v>698</v>
      </c>
      <c r="AM69" s="161">
        <v>1</v>
      </c>
      <c r="AN69" s="161"/>
      <c r="AO69" s="161"/>
    </row>
    <row r="70" spans="3:41" x14ac:dyDescent="0.25">
      <c r="D70" s="177">
        <v>5</v>
      </c>
      <c r="E70" s="178" t="s">
        <v>6</v>
      </c>
      <c r="F70" s="180" t="s">
        <v>207</v>
      </c>
      <c r="G70" s="178">
        <v>100</v>
      </c>
      <c r="H70" s="178">
        <v>5</v>
      </c>
      <c r="I70" s="178">
        <v>10</v>
      </c>
      <c r="J70" s="178">
        <v>0</v>
      </c>
      <c r="K70" s="178">
        <v>0</v>
      </c>
      <c r="L70" s="180">
        <v>100</v>
      </c>
      <c r="M70" s="176"/>
      <c r="N70" s="177" t="s">
        <v>713</v>
      </c>
      <c r="O70" s="178" t="s">
        <v>523</v>
      </c>
      <c r="P70" s="178">
        <v>10</v>
      </c>
      <c r="Q70" s="179">
        <v>1</v>
      </c>
      <c r="R70" s="177" t="s">
        <v>721</v>
      </c>
      <c r="S70" s="178" t="s">
        <v>535</v>
      </c>
      <c r="T70" s="178">
        <v>10</v>
      </c>
      <c r="U70" s="179">
        <v>1</v>
      </c>
      <c r="V70" s="177" t="s">
        <v>743</v>
      </c>
      <c r="W70" s="178" t="s">
        <v>572</v>
      </c>
      <c r="X70" s="178">
        <v>10</v>
      </c>
      <c r="Y70" s="179">
        <v>1</v>
      </c>
      <c r="Z70" s="155"/>
      <c r="AA70" s="177"/>
      <c r="AB70" s="178"/>
      <c r="AC70" s="178"/>
      <c r="AD70" s="178"/>
      <c r="AE70" s="223"/>
      <c r="AM70" s="161">
        <v>3</v>
      </c>
      <c r="AN70" s="161">
        <v>4</v>
      </c>
      <c r="AO70" s="161"/>
    </row>
    <row r="71" spans="3:41" x14ac:dyDescent="0.25">
      <c r="D71" s="177">
        <v>5</v>
      </c>
      <c r="E71" s="178" t="s">
        <v>3</v>
      </c>
      <c r="F71" s="180" t="s">
        <v>740</v>
      </c>
      <c r="G71" s="178">
        <v>120</v>
      </c>
      <c r="H71" s="178">
        <v>5</v>
      </c>
      <c r="I71" s="178">
        <v>10</v>
      </c>
      <c r="J71" s="178">
        <v>10</v>
      </c>
      <c r="K71" s="178">
        <v>3</v>
      </c>
      <c r="L71" s="180">
        <v>100</v>
      </c>
      <c r="M71" s="176"/>
      <c r="N71" s="177" t="s">
        <v>702</v>
      </c>
      <c r="O71" s="178" t="s">
        <v>67</v>
      </c>
      <c r="P71" s="178">
        <v>10</v>
      </c>
      <c r="Q71" s="179">
        <v>1</v>
      </c>
      <c r="R71" s="177" t="s">
        <v>9</v>
      </c>
      <c r="S71" s="178" t="s">
        <v>560</v>
      </c>
      <c r="T71" s="178">
        <v>10</v>
      </c>
      <c r="U71" s="179">
        <v>1</v>
      </c>
      <c r="V71" s="177" t="s">
        <v>733</v>
      </c>
      <c r="W71" s="178" t="s">
        <v>543</v>
      </c>
      <c r="X71" s="178">
        <v>10</v>
      </c>
      <c r="Y71" s="179">
        <v>1</v>
      </c>
      <c r="Z71" s="155"/>
      <c r="AA71" s="177"/>
      <c r="AB71" s="178"/>
      <c r="AC71" s="178"/>
      <c r="AD71" s="178"/>
      <c r="AE71" s="223"/>
      <c r="AM71" s="161">
        <v>2</v>
      </c>
      <c r="AN71" s="161">
        <v>5</v>
      </c>
      <c r="AO71" s="161"/>
    </row>
    <row r="72" spans="3:41" x14ac:dyDescent="0.25">
      <c r="D72" s="177">
        <v>6</v>
      </c>
      <c r="E72" s="178" t="s">
        <v>3</v>
      </c>
      <c r="F72" s="180" t="s">
        <v>263</v>
      </c>
      <c r="G72" s="178">
        <v>110</v>
      </c>
      <c r="H72" s="178">
        <v>5</v>
      </c>
      <c r="I72" s="178">
        <v>10</v>
      </c>
      <c r="J72" s="178">
        <v>10</v>
      </c>
      <c r="K72" s="178">
        <v>2</v>
      </c>
      <c r="L72" s="180">
        <v>100</v>
      </c>
      <c r="M72" s="176"/>
      <c r="N72" s="177" t="s">
        <v>754</v>
      </c>
      <c r="O72" s="178" t="s">
        <v>554</v>
      </c>
      <c r="P72" s="178">
        <v>10</v>
      </c>
      <c r="Q72" s="179">
        <v>1</v>
      </c>
      <c r="R72" s="177" t="s">
        <v>9</v>
      </c>
      <c r="S72" s="178" t="s">
        <v>560</v>
      </c>
      <c r="T72" s="178">
        <v>10</v>
      </c>
      <c r="U72" s="179">
        <v>1</v>
      </c>
      <c r="V72" s="177" t="s">
        <v>733</v>
      </c>
      <c r="W72" s="178" t="s">
        <v>543</v>
      </c>
      <c r="X72" s="178">
        <v>10</v>
      </c>
      <c r="Y72" s="179">
        <v>1</v>
      </c>
      <c r="Z72" s="155"/>
      <c r="AA72" s="177"/>
      <c r="AB72" s="178"/>
      <c r="AC72" s="178"/>
      <c r="AD72" s="178"/>
      <c r="AE72" s="223"/>
    </row>
    <row r="73" spans="3:41" x14ac:dyDescent="0.25">
      <c r="D73" s="181">
        <v>5</v>
      </c>
      <c r="E73" s="182" t="s">
        <v>3</v>
      </c>
      <c r="F73" s="159" t="s">
        <v>197</v>
      </c>
      <c r="G73" s="182">
        <v>100</v>
      </c>
      <c r="H73" s="182">
        <v>5</v>
      </c>
      <c r="I73" s="182">
        <v>10</v>
      </c>
      <c r="J73" s="182">
        <v>0</v>
      </c>
      <c r="K73" s="182">
        <v>0</v>
      </c>
      <c r="L73" s="159">
        <v>100</v>
      </c>
      <c r="M73" s="176"/>
      <c r="N73" s="181" t="s">
        <v>754</v>
      </c>
      <c r="O73" s="182" t="s">
        <v>554</v>
      </c>
      <c r="P73" s="182">
        <v>10</v>
      </c>
      <c r="Q73" s="183">
        <v>1</v>
      </c>
      <c r="R73" s="181" t="s">
        <v>9</v>
      </c>
      <c r="S73" s="182" t="s">
        <v>560</v>
      </c>
      <c r="T73" s="182">
        <v>10</v>
      </c>
      <c r="U73" s="183">
        <v>1</v>
      </c>
      <c r="V73" s="181" t="s">
        <v>733</v>
      </c>
      <c r="W73" s="182" t="s">
        <v>543</v>
      </c>
      <c r="X73" s="182">
        <v>10</v>
      </c>
      <c r="Y73" s="183">
        <v>1</v>
      </c>
      <c r="Z73" s="155"/>
      <c r="AA73" s="181"/>
      <c r="AB73" s="182"/>
      <c r="AC73" s="182"/>
      <c r="AD73" s="182"/>
      <c r="AE73" s="224"/>
    </row>
    <row r="74" spans="3:41" x14ac:dyDescent="0.25">
      <c r="C74" t="s">
        <v>6430</v>
      </c>
      <c r="D74" s="173">
        <v>5</v>
      </c>
      <c r="E74" s="174" t="s">
        <v>4</v>
      </c>
      <c r="F74" s="175" t="s">
        <v>212</v>
      </c>
      <c r="G74" s="174">
        <v>100</v>
      </c>
      <c r="H74" s="174">
        <v>5</v>
      </c>
      <c r="I74" s="174">
        <v>10</v>
      </c>
      <c r="J74" s="174">
        <v>0</v>
      </c>
      <c r="K74" s="174">
        <v>0</v>
      </c>
      <c r="L74" s="175">
        <v>100</v>
      </c>
      <c r="M74" s="176"/>
      <c r="N74" s="177" t="s">
        <v>713</v>
      </c>
      <c r="O74" s="178" t="s">
        <v>523</v>
      </c>
      <c r="P74" s="178">
        <v>10</v>
      </c>
      <c r="Q74" s="179">
        <v>1</v>
      </c>
      <c r="R74" s="177" t="s">
        <v>721</v>
      </c>
      <c r="S74" s="178" t="s">
        <v>535</v>
      </c>
      <c r="T74" s="178">
        <v>10</v>
      </c>
      <c r="U74" s="179">
        <v>1</v>
      </c>
      <c r="V74" s="177" t="s">
        <v>742</v>
      </c>
      <c r="W74" s="178" t="s">
        <v>556</v>
      </c>
      <c r="X74" s="178">
        <v>10</v>
      </c>
      <c r="Y74" s="179">
        <v>1</v>
      </c>
      <c r="Z74" s="155"/>
      <c r="AA74" s="177"/>
      <c r="AB74" s="178"/>
      <c r="AC74" s="178"/>
      <c r="AD74" s="178"/>
      <c r="AE74" s="223"/>
      <c r="AG74" s="181" t="s">
        <v>638</v>
      </c>
      <c r="AH74" s="182">
        <v>5</v>
      </c>
      <c r="AI74" s="182">
        <v>100</v>
      </c>
      <c r="AJ74" s="182">
        <v>10</v>
      </c>
      <c r="AK74" s="159" t="s">
        <v>668</v>
      </c>
      <c r="AM74" s="161">
        <v>2</v>
      </c>
      <c r="AN74" s="161"/>
      <c r="AO74" s="161"/>
    </row>
    <row r="75" spans="3:41" x14ac:dyDescent="0.25">
      <c r="D75" s="177">
        <v>5</v>
      </c>
      <c r="E75" s="178" t="s">
        <v>4</v>
      </c>
      <c r="F75" s="180" t="s">
        <v>1691</v>
      </c>
      <c r="G75" s="178">
        <v>100</v>
      </c>
      <c r="H75" s="178">
        <v>5</v>
      </c>
      <c r="I75" s="178">
        <v>10</v>
      </c>
      <c r="J75" s="178">
        <v>0</v>
      </c>
      <c r="K75" s="178">
        <v>0</v>
      </c>
      <c r="L75" s="180">
        <v>100</v>
      </c>
      <c r="M75" s="176"/>
      <c r="N75" s="177" t="s">
        <v>713</v>
      </c>
      <c r="O75" s="178" t="s">
        <v>523</v>
      </c>
      <c r="P75" s="178">
        <v>10</v>
      </c>
      <c r="Q75" s="179">
        <v>1</v>
      </c>
      <c r="R75" s="177" t="s">
        <v>721</v>
      </c>
      <c r="S75" s="178" t="s">
        <v>535</v>
      </c>
      <c r="T75" s="178">
        <v>10</v>
      </c>
      <c r="U75" s="179">
        <v>1</v>
      </c>
      <c r="V75" s="177" t="s">
        <v>742</v>
      </c>
      <c r="W75" s="178" t="s">
        <v>556</v>
      </c>
      <c r="X75" s="178">
        <v>10</v>
      </c>
      <c r="Y75" s="179">
        <v>1</v>
      </c>
      <c r="Z75" s="155"/>
      <c r="AA75" s="177"/>
      <c r="AB75" s="178"/>
      <c r="AC75" s="178"/>
      <c r="AD75" s="178"/>
      <c r="AE75" s="223"/>
      <c r="AM75" s="161">
        <v>1</v>
      </c>
      <c r="AN75" s="161"/>
      <c r="AO75" s="161">
        <v>4</v>
      </c>
    </row>
    <row r="76" spans="3:41" x14ac:dyDescent="0.25">
      <c r="D76" s="177">
        <v>6</v>
      </c>
      <c r="E76" s="178" t="s">
        <v>2</v>
      </c>
      <c r="F76" s="180" t="s">
        <v>259</v>
      </c>
      <c r="G76" s="178">
        <v>115</v>
      </c>
      <c r="H76" s="178">
        <v>5</v>
      </c>
      <c r="I76" s="178">
        <v>10</v>
      </c>
      <c r="J76" s="178">
        <v>10</v>
      </c>
      <c r="K76" s="178">
        <v>3</v>
      </c>
      <c r="L76" s="180">
        <v>100</v>
      </c>
      <c r="M76" s="176"/>
      <c r="N76" s="177" t="s">
        <v>702</v>
      </c>
      <c r="O76" s="178" t="s">
        <v>223</v>
      </c>
      <c r="P76" s="178">
        <v>10</v>
      </c>
      <c r="Q76" s="179">
        <v>1</v>
      </c>
      <c r="R76" s="177" t="s">
        <v>728</v>
      </c>
      <c r="S76" s="178" t="s">
        <v>539</v>
      </c>
      <c r="T76" s="178">
        <v>10</v>
      </c>
      <c r="U76" s="179">
        <v>1</v>
      </c>
      <c r="V76" s="177" t="s">
        <v>702</v>
      </c>
      <c r="W76" s="178" t="s">
        <v>259</v>
      </c>
      <c r="X76" s="178">
        <v>10</v>
      </c>
      <c r="Y76" s="179">
        <v>1</v>
      </c>
      <c r="Z76" s="155"/>
      <c r="AA76" s="177"/>
      <c r="AB76" s="178"/>
      <c r="AC76" s="178"/>
      <c r="AD76" s="178"/>
      <c r="AE76" s="223"/>
      <c r="AM76" s="161">
        <v>3</v>
      </c>
      <c r="AN76" s="161">
        <v>5</v>
      </c>
      <c r="AO76" s="161"/>
    </row>
    <row r="77" spans="3:41" x14ac:dyDescent="0.25">
      <c r="D77" s="177">
        <v>5</v>
      </c>
      <c r="E77" s="178" t="s">
        <v>5</v>
      </c>
      <c r="F77" s="180" t="s">
        <v>1687</v>
      </c>
      <c r="G77" s="178">
        <v>100</v>
      </c>
      <c r="H77" s="178">
        <v>5</v>
      </c>
      <c r="I77" s="178">
        <v>10</v>
      </c>
      <c r="J77" s="178">
        <v>0</v>
      </c>
      <c r="K77" s="178">
        <v>0</v>
      </c>
      <c r="L77" s="180">
        <v>100</v>
      </c>
      <c r="M77" s="176"/>
      <c r="N77" s="177" t="s">
        <v>6434</v>
      </c>
      <c r="O77" s="178" t="s">
        <v>6438</v>
      </c>
      <c r="P77" s="178">
        <v>10</v>
      </c>
      <c r="Q77" s="179">
        <v>1</v>
      </c>
      <c r="R77" s="177" t="s">
        <v>922</v>
      </c>
      <c r="S77" s="178" t="s">
        <v>913</v>
      </c>
      <c r="T77" s="178">
        <v>10</v>
      </c>
      <c r="U77" s="179">
        <v>1</v>
      </c>
      <c r="V77" s="177" t="s">
        <v>638</v>
      </c>
      <c r="W77" s="178" t="s">
        <v>546</v>
      </c>
      <c r="X77" s="178">
        <v>10</v>
      </c>
      <c r="Y77" s="179">
        <v>1</v>
      </c>
      <c r="Z77" s="155"/>
      <c r="AA77" s="177"/>
      <c r="AB77" s="178"/>
      <c r="AC77" s="178"/>
      <c r="AD77" s="178"/>
      <c r="AE77" s="223"/>
    </row>
    <row r="78" spans="3:41" x14ac:dyDescent="0.25">
      <c r="D78" s="181">
        <v>5</v>
      </c>
      <c r="E78" s="182" t="s">
        <v>3</v>
      </c>
      <c r="F78" s="159" t="s">
        <v>197</v>
      </c>
      <c r="G78" s="182">
        <v>100</v>
      </c>
      <c r="H78" s="182">
        <v>5</v>
      </c>
      <c r="I78" s="182">
        <v>10</v>
      </c>
      <c r="J78" s="182">
        <v>0</v>
      </c>
      <c r="K78" s="182">
        <v>0</v>
      </c>
      <c r="L78" s="159">
        <v>100</v>
      </c>
      <c r="M78" s="176"/>
      <c r="N78" s="181" t="s">
        <v>754</v>
      </c>
      <c r="O78" s="182" t="s">
        <v>554</v>
      </c>
      <c r="P78" s="182">
        <v>10</v>
      </c>
      <c r="Q78" s="183">
        <v>1</v>
      </c>
      <c r="R78" s="181" t="s">
        <v>9</v>
      </c>
      <c r="S78" s="182" t="s">
        <v>560</v>
      </c>
      <c r="T78" s="182">
        <v>10</v>
      </c>
      <c r="U78" s="183">
        <v>1</v>
      </c>
      <c r="V78" s="181" t="s">
        <v>733</v>
      </c>
      <c r="W78" s="182" t="s">
        <v>543</v>
      </c>
      <c r="X78" s="182">
        <v>10</v>
      </c>
      <c r="Y78" s="183">
        <v>1</v>
      </c>
      <c r="Z78" s="155"/>
      <c r="AA78" s="181"/>
      <c r="AB78" s="182"/>
      <c r="AC78" s="182"/>
      <c r="AD78" s="182"/>
      <c r="AE78" s="224"/>
    </row>
    <row r="79" spans="3:41" x14ac:dyDescent="0.25">
      <c r="C79" t="s">
        <v>6431</v>
      </c>
      <c r="D79" s="173">
        <v>5</v>
      </c>
      <c r="E79" s="174" t="s">
        <v>2</v>
      </c>
      <c r="F79" s="175" t="s">
        <v>256</v>
      </c>
      <c r="G79" s="174">
        <v>115</v>
      </c>
      <c r="H79" s="174">
        <v>5</v>
      </c>
      <c r="I79" s="174">
        <v>10</v>
      </c>
      <c r="J79" s="174">
        <v>10</v>
      </c>
      <c r="K79" s="174">
        <v>3</v>
      </c>
      <c r="L79" s="175">
        <v>100</v>
      </c>
      <c r="M79" s="176"/>
      <c r="N79" s="177" t="s">
        <v>713</v>
      </c>
      <c r="O79" s="178" t="s">
        <v>523</v>
      </c>
      <c r="P79" s="178">
        <v>10</v>
      </c>
      <c r="Q79" s="179">
        <v>1</v>
      </c>
      <c r="R79" s="177" t="s">
        <v>728</v>
      </c>
      <c r="S79" s="178" t="s">
        <v>539</v>
      </c>
      <c r="T79" s="178">
        <v>10</v>
      </c>
      <c r="U79" s="179">
        <v>1</v>
      </c>
      <c r="V79" s="177" t="s">
        <v>702</v>
      </c>
      <c r="W79" s="178" t="s">
        <v>256</v>
      </c>
      <c r="X79" s="178">
        <v>10</v>
      </c>
      <c r="Y79" s="179">
        <v>1</v>
      </c>
      <c r="Z79" s="155"/>
      <c r="AA79" s="177"/>
      <c r="AB79" s="178"/>
      <c r="AC79" s="178"/>
      <c r="AD79" s="178"/>
      <c r="AE79" s="223"/>
      <c r="AG79" s="181" t="s">
        <v>641</v>
      </c>
      <c r="AH79" s="182">
        <v>5</v>
      </c>
      <c r="AI79" s="182">
        <v>100</v>
      </c>
      <c r="AJ79" s="182">
        <v>10</v>
      </c>
      <c r="AK79" s="159" t="s">
        <v>698</v>
      </c>
      <c r="AM79" s="161">
        <v>2</v>
      </c>
      <c r="AN79" s="161"/>
      <c r="AO79" s="161"/>
    </row>
    <row r="80" spans="3:41" x14ac:dyDescent="0.25">
      <c r="D80" s="177">
        <v>5</v>
      </c>
      <c r="E80" s="178" t="s">
        <v>6</v>
      </c>
      <c r="F80" s="180" t="s">
        <v>249</v>
      </c>
      <c r="G80" s="178">
        <v>100</v>
      </c>
      <c r="H80" s="178">
        <v>5</v>
      </c>
      <c r="I80" s="178">
        <v>10</v>
      </c>
      <c r="J80" s="178">
        <v>0</v>
      </c>
      <c r="K80" s="178">
        <v>0</v>
      </c>
      <c r="L80" s="180">
        <v>100</v>
      </c>
      <c r="M80" s="176"/>
      <c r="N80" s="177" t="s">
        <v>713</v>
      </c>
      <c r="O80" s="178" t="s">
        <v>523</v>
      </c>
      <c r="P80" s="178">
        <v>10</v>
      </c>
      <c r="Q80" s="179">
        <v>1</v>
      </c>
      <c r="R80" s="177" t="s">
        <v>721</v>
      </c>
      <c r="S80" s="178" t="s">
        <v>535</v>
      </c>
      <c r="T80" s="178">
        <v>10</v>
      </c>
      <c r="U80" s="179">
        <v>1</v>
      </c>
      <c r="V80" s="177" t="s">
        <v>702</v>
      </c>
      <c r="W80" s="178" t="s">
        <v>249</v>
      </c>
      <c r="X80" s="178">
        <v>10</v>
      </c>
      <c r="Y80" s="179">
        <v>1</v>
      </c>
      <c r="Z80" s="155"/>
      <c r="AA80" s="177"/>
      <c r="AB80" s="178"/>
      <c r="AC80" s="178"/>
      <c r="AD80" s="178"/>
      <c r="AE80" s="223"/>
      <c r="AM80" s="161">
        <v>5</v>
      </c>
      <c r="AN80" s="161">
        <v>3</v>
      </c>
      <c r="AO80" s="161"/>
    </row>
    <row r="81" spans="3:41" x14ac:dyDescent="0.25">
      <c r="D81" s="177">
        <v>6</v>
      </c>
      <c r="E81" s="178" t="s">
        <v>3</v>
      </c>
      <c r="F81" s="180" t="s">
        <v>263</v>
      </c>
      <c r="G81" s="178">
        <v>110</v>
      </c>
      <c r="H81" s="178">
        <v>5</v>
      </c>
      <c r="I81" s="178">
        <v>10</v>
      </c>
      <c r="J81" s="178">
        <v>10</v>
      </c>
      <c r="K81" s="178">
        <v>2</v>
      </c>
      <c r="L81" s="180">
        <v>100</v>
      </c>
      <c r="M81" s="176"/>
      <c r="N81" s="177" t="s">
        <v>754</v>
      </c>
      <c r="O81" s="178" t="s">
        <v>554</v>
      </c>
      <c r="P81" s="178">
        <v>10</v>
      </c>
      <c r="Q81" s="179">
        <v>1</v>
      </c>
      <c r="R81" s="177" t="s">
        <v>9</v>
      </c>
      <c r="S81" s="178" t="s">
        <v>560</v>
      </c>
      <c r="T81" s="178">
        <v>10</v>
      </c>
      <c r="U81" s="179">
        <v>1</v>
      </c>
      <c r="V81" s="177" t="s">
        <v>733</v>
      </c>
      <c r="W81" s="178" t="s">
        <v>543</v>
      </c>
      <c r="X81" s="178">
        <v>10</v>
      </c>
      <c r="Y81" s="179">
        <v>1</v>
      </c>
      <c r="Z81" s="155"/>
      <c r="AA81" s="177"/>
      <c r="AB81" s="178"/>
      <c r="AC81" s="178"/>
      <c r="AD81" s="178"/>
      <c r="AE81" s="223"/>
      <c r="AM81" s="161">
        <v>1</v>
      </c>
      <c r="AN81" s="161">
        <v>4</v>
      </c>
      <c r="AO81" s="161"/>
    </row>
    <row r="82" spans="3:41" x14ac:dyDescent="0.25">
      <c r="D82" s="177">
        <v>5</v>
      </c>
      <c r="E82" s="178" t="s">
        <v>3</v>
      </c>
      <c r="F82" s="180" t="s">
        <v>795</v>
      </c>
      <c r="G82" s="178">
        <v>100</v>
      </c>
      <c r="H82" s="178">
        <v>5</v>
      </c>
      <c r="I82" s="178">
        <v>10</v>
      </c>
      <c r="J82" s="178">
        <v>0</v>
      </c>
      <c r="K82" s="178">
        <v>0</v>
      </c>
      <c r="L82" s="180">
        <v>100</v>
      </c>
      <c r="M82" s="176"/>
      <c r="N82" s="177" t="s">
        <v>754</v>
      </c>
      <c r="O82" s="178" t="s">
        <v>554</v>
      </c>
      <c r="P82" s="178">
        <v>10</v>
      </c>
      <c r="Q82" s="179">
        <v>1</v>
      </c>
      <c r="R82" s="177" t="s">
        <v>9</v>
      </c>
      <c r="S82" s="178" t="s">
        <v>560</v>
      </c>
      <c r="T82" s="178">
        <v>10</v>
      </c>
      <c r="U82" s="179">
        <v>1</v>
      </c>
      <c r="V82" s="177" t="s">
        <v>733</v>
      </c>
      <c r="W82" s="178" t="s">
        <v>543</v>
      </c>
      <c r="X82" s="178">
        <v>10</v>
      </c>
      <c r="Y82" s="179">
        <v>1</v>
      </c>
      <c r="Z82" s="155"/>
      <c r="AA82" s="177"/>
      <c r="AB82" s="178"/>
      <c r="AC82" s="178"/>
      <c r="AD82" s="178"/>
      <c r="AE82" s="223"/>
    </row>
    <row r="83" spans="3:41" x14ac:dyDescent="0.25">
      <c r="D83" s="181">
        <v>5</v>
      </c>
      <c r="E83" s="182" t="s">
        <v>3</v>
      </c>
      <c r="F83" s="159" t="s">
        <v>740</v>
      </c>
      <c r="G83" s="182">
        <v>110</v>
      </c>
      <c r="H83" s="182">
        <v>5</v>
      </c>
      <c r="I83" s="182">
        <v>10</v>
      </c>
      <c r="J83" s="182">
        <v>10</v>
      </c>
      <c r="K83" s="182">
        <v>2</v>
      </c>
      <c r="L83" s="159">
        <v>100</v>
      </c>
      <c r="M83" s="176"/>
      <c r="N83" s="181" t="s">
        <v>702</v>
      </c>
      <c r="O83" s="182" t="s">
        <v>67</v>
      </c>
      <c r="P83" s="182">
        <v>10</v>
      </c>
      <c r="Q83" s="183">
        <v>1</v>
      </c>
      <c r="R83" s="181" t="s">
        <v>9</v>
      </c>
      <c r="S83" s="182" t="s">
        <v>560</v>
      </c>
      <c r="T83" s="182">
        <v>10</v>
      </c>
      <c r="U83" s="183">
        <v>1</v>
      </c>
      <c r="V83" s="181" t="s">
        <v>733</v>
      </c>
      <c r="W83" s="182" t="s">
        <v>543</v>
      </c>
      <c r="X83" s="182">
        <v>10</v>
      </c>
      <c r="Y83" s="183">
        <v>1</v>
      </c>
      <c r="Z83" s="155"/>
      <c r="AA83" s="181"/>
      <c r="AB83" s="182"/>
      <c r="AC83" s="182"/>
      <c r="AD83" s="182"/>
      <c r="AE83" s="224"/>
    </row>
    <row r="84" spans="3:41" x14ac:dyDescent="0.25">
      <c r="C84" t="s">
        <v>6439</v>
      </c>
      <c r="D84" s="173">
        <v>4</v>
      </c>
      <c r="E84" s="174" t="s">
        <v>6</v>
      </c>
      <c r="F84" s="175" t="s">
        <v>841</v>
      </c>
      <c r="G84" s="174">
        <v>115</v>
      </c>
      <c r="H84" s="174">
        <v>5</v>
      </c>
      <c r="I84" s="174">
        <v>10</v>
      </c>
      <c r="J84" s="174">
        <v>10</v>
      </c>
      <c r="K84" s="174">
        <v>3</v>
      </c>
      <c r="L84" s="175">
        <v>100</v>
      </c>
      <c r="M84" s="176"/>
      <c r="N84" s="177" t="s">
        <v>702</v>
      </c>
      <c r="O84" s="178" t="s">
        <v>841</v>
      </c>
      <c r="P84" s="178">
        <v>10</v>
      </c>
      <c r="Q84" s="179">
        <v>1</v>
      </c>
      <c r="R84" s="177" t="s">
        <v>702</v>
      </c>
      <c r="S84" s="178" t="s">
        <v>119</v>
      </c>
      <c r="T84" s="178">
        <v>10</v>
      </c>
      <c r="U84" s="179">
        <v>1</v>
      </c>
      <c r="V84" s="177" t="s">
        <v>743</v>
      </c>
      <c r="W84" s="178" t="s">
        <v>572</v>
      </c>
      <c r="X84" s="178">
        <v>10</v>
      </c>
      <c r="Y84" s="179">
        <v>1</v>
      </c>
      <c r="Z84" s="155"/>
      <c r="AA84" s="177"/>
      <c r="AB84" s="178"/>
      <c r="AC84" s="178"/>
      <c r="AD84" s="178"/>
      <c r="AE84" s="223"/>
      <c r="AG84" s="181" t="s">
        <v>638</v>
      </c>
      <c r="AH84" s="182">
        <v>5</v>
      </c>
      <c r="AI84" s="182">
        <v>100</v>
      </c>
      <c r="AJ84" s="182">
        <v>10</v>
      </c>
      <c r="AK84" s="159" t="s">
        <v>698</v>
      </c>
      <c r="AM84" s="161">
        <v>1</v>
      </c>
      <c r="AN84" s="161">
        <v>4</v>
      </c>
      <c r="AO84" s="161"/>
    </row>
    <row r="85" spans="3:41" x14ac:dyDescent="0.25">
      <c r="D85" s="177">
        <v>5</v>
      </c>
      <c r="E85" s="178" t="s">
        <v>6</v>
      </c>
      <c r="F85" s="180" t="s">
        <v>171</v>
      </c>
      <c r="G85" s="178">
        <v>100</v>
      </c>
      <c r="H85" s="178">
        <v>5</v>
      </c>
      <c r="I85" s="178">
        <v>10</v>
      </c>
      <c r="J85" s="178">
        <v>0</v>
      </c>
      <c r="K85" s="178">
        <v>0</v>
      </c>
      <c r="L85" s="180">
        <v>100</v>
      </c>
      <c r="M85" s="176"/>
      <c r="N85" s="177" t="s">
        <v>713</v>
      </c>
      <c r="O85" s="178" t="s">
        <v>523</v>
      </c>
      <c r="P85" s="178">
        <v>10</v>
      </c>
      <c r="Q85" s="179">
        <v>1</v>
      </c>
      <c r="R85" s="177" t="s">
        <v>721</v>
      </c>
      <c r="S85" s="178" t="s">
        <v>535</v>
      </c>
      <c r="T85" s="178">
        <v>10</v>
      </c>
      <c r="U85" s="179">
        <v>1</v>
      </c>
      <c r="V85" s="177" t="s">
        <v>743</v>
      </c>
      <c r="W85" s="178" t="s">
        <v>572</v>
      </c>
      <c r="X85" s="178">
        <v>10</v>
      </c>
      <c r="Y85" s="179">
        <v>1</v>
      </c>
      <c r="Z85" s="155"/>
      <c r="AA85" s="177"/>
      <c r="AB85" s="178"/>
      <c r="AC85" s="178"/>
      <c r="AD85" s="178"/>
      <c r="AE85" s="223"/>
      <c r="AM85" s="161">
        <v>3</v>
      </c>
      <c r="AN85" s="161">
        <v>5</v>
      </c>
      <c r="AO85" s="161"/>
    </row>
    <row r="86" spans="3:41" x14ac:dyDescent="0.25">
      <c r="D86" s="177">
        <v>5</v>
      </c>
      <c r="E86" s="178" t="s">
        <v>3</v>
      </c>
      <c r="F86" s="180" t="s">
        <v>64</v>
      </c>
      <c r="G86" s="178">
        <v>100</v>
      </c>
      <c r="H86" s="178">
        <v>5</v>
      </c>
      <c r="I86" s="178">
        <v>10</v>
      </c>
      <c r="J86" s="178">
        <v>0</v>
      </c>
      <c r="K86" s="178">
        <v>0</v>
      </c>
      <c r="L86" s="180">
        <v>100</v>
      </c>
      <c r="M86" s="176"/>
      <c r="N86" s="177" t="s">
        <v>754</v>
      </c>
      <c r="O86" s="178" t="s">
        <v>554</v>
      </c>
      <c r="P86" s="178">
        <v>10</v>
      </c>
      <c r="Q86" s="179">
        <v>1</v>
      </c>
      <c r="R86" s="177" t="s">
        <v>9</v>
      </c>
      <c r="S86" s="178" t="s">
        <v>560</v>
      </c>
      <c r="T86" s="178">
        <v>10</v>
      </c>
      <c r="U86" s="179">
        <v>1</v>
      </c>
      <c r="V86" s="177" t="s">
        <v>733</v>
      </c>
      <c r="W86" s="178" t="s">
        <v>550</v>
      </c>
      <c r="X86" s="178">
        <v>10</v>
      </c>
      <c r="Y86" s="179">
        <v>1</v>
      </c>
      <c r="Z86" s="155"/>
      <c r="AA86" s="177"/>
      <c r="AB86" s="178"/>
      <c r="AC86" s="178"/>
      <c r="AD86" s="178"/>
      <c r="AE86" s="223"/>
      <c r="AM86" s="161">
        <v>2</v>
      </c>
      <c r="AN86" s="161"/>
      <c r="AO86" s="161"/>
    </row>
    <row r="87" spans="3:41" x14ac:dyDescent="0.25">
      <c r="D87" s="177">
        <v>5</v>
      </c>
      <c r="E87" s="178" t="s">
        <v>3</v>
      </c>
      <c r="F87" s="180" t="s">
        <v>267</v>
      </c>
      <c r="G87" s="178">
        <v>110</v>
      </c>
      <c r="H87" s="178">
        <v>5</v>
      </c>
      <c r="I87" s="178">
        <v>10</v>
      </c>
      <c r="J87" s="178">
        <v>10</v>
      </c>
      <c r="K87" s="178">
        <v>2</v>
      </c>
      <c r="L87" s="180">
        <v>100</v>
      </c>
      <c r="M87" s="176"/>
      <c r="N87" s="177" t="s">
        <v>754</v>
      </c>
      <c r="O87" s="178" t="s">
        <v>554</v>
      </c>
      <c r="P87" s="178">
        <v>10</v>
      </c>
      <c r="Q87" s="179">
        <v>1</v>
      </c>
      <c r="R87" s="177" t="s">
        <v>9</v>
      </c>
      <c r="S87" s="178" t="s">
        <v>560</v>
      </c>
      <c r="T87" s="178">
        <v>10</v>
      </c>
      <c r="U87" s="179">
        <v>1</v>
      </c>
      <c r="V87" s="177" t="s">
        <v>733</v>
      </c>
      <c r="W87" s="178" t="s">
        <v>543</v>
      </c>
      <c r="X87" s="178">
        <v>10</v>
      </c>
      <c r="Y87" s="179">
        <v>1</v>
      </c>
      <c r="Z87" s="155"/>
      <c r="AA87" s="177"/>
      <c r="AB87" s="178"/>
      <c r="AC87" s="178"/>
      <c r="AD87" s="178"/>
      <c r="AE87" s="223"/>
    </row>
    <row r="88" spans="3:41" x14ac:dyDescent="0.25">
      <c r="D88" s="181">
        <v>4</v>
      </c>
      <c r="E88" s="182" t="s">
        <v>5</v>
      </c>
      <c r="F88" s="159" t="s">
        <v>716</v>
      </c>
      <c r="G88" s="182">
        <v>110</v>
      </c>
      <c r="H88" s="182">
        <v>5</v>
      </c>
      <c r="I88" s="182">
        <v>10</v>
      </c>
      <c r="J88" s="182">
        <v>10</v>
      </c>
      <c r="K88" s="182">
        <v>2</v>
      </c>
      <c r="L88" s="159">
        <v>100</v>
      </c>
      <c r="M88" s="176"/>
      <c r="N88" s="181" t="s">
        <v>638</v>
      </c>
      <c r="O88" s="182" t="s">
        <v>546</v>
      </c>
      <c r="P88" s="182">
        <v>10</v>
      </c>
      <c r="Q88" s="183">
        <v>1</v>
      </c>
      <c r="R88" s="181" t="s">
        <v>922</v>
      </c>
      <c r="S88" s="182" t="s">
        <v>913</v>
      </c>
      <c r="T88" s="182">
        <v>10</v>
      </c>
      <c r="U88" s="183">
        <v>1</v>
      </c>
      <c r="V88" s="181" t="s">
        <v>6434</v>
      </c>
      <c r="W88" s="182" t="s">
        <v>6438</v>
      </c>
      <c r="X88" s="182">
        <v>10</v>
      </c>
      <c r="Y88" s="183">
        <v>1</v>
      </c>
      <c r="Z88" s="155"/>
      <c r="AA88" s="181"/>
      <c r="AB88" s="182"/>
      <c r="AC88" s="182"/>
      <c r="AD88" s="182"/>
      <c r="AE88" s="224"/>
    </row>
    <row r="89" spans="3:41" x14ac:dyDescent="0.25">
      <c r="C89" t="s">
        <v>6440</v>
      </c>
      <c r="D89" s="173">
        <v>6</v>
      </c>
      <c r="E89" s="174" t="s">
        <v>3</v>
      </c>
      <c r="F89" s="175" t="s">
        <v>263</v>
      </c>
      <c r="G89" s="174">
        <v>110</v>
      </c>
      <c r="H89" s="174">
        <v>5</v>
      </c>
      <c r="I89" s="174">
        <v>10</v>
      </c>
      <c r="J89" s="174">
        <v>10</v>
      </c>
      <c r="K89" s="174">
        <v>2</v>
      </c>
      <c r="L89" s="175">
        <v>100</v>
      </c>
      <c r="M89" s="176"/>
      <c r="N89" s="177" t="s">
        <v>754</v>
      </c>
      <c r="O89" s="178" t="s">
        <v>554</v>
      </c>
      <c r="P89" s="178">
        <v>10</v>
      </c>
      <c r="Q89" s="179">
        <v>1</v>
      </c>
      <c r="R89" s="177" t="s">
        <v>9</v>
      </c>
      <c r="S89" s="178" t="s">
        <v>560</v>
      </c>
      <c r="T89" s="178">
        <v>10</v>
      </c>
      <c r="U89" s="179">
        <v>1</v>
      </c>
      <c r="V89" s="177" t="s">
        <v>733</v>
      </c>
      <c r="W89" s="178" t="s">
        <v>543</v>
      </c>
      <c r="X89" s="178">
        <v>10</v>
      </c>
      <c r="Y89" s="179">
        <v>1</v>
      </c>
      <c r="Z89" s="155"/>
      <c r="AA89" s="177"/>
      <c r="AB89" s="178"/>
      <c r="AC89" s="178"/>
      <c r="AD89" s="178"/>
      <c r="AE89" s="223"/>
      <c r="AG89" s="181" t="s">
        <v>661</v>
      </c>
      <c r="AH89" s="182">
        <v>5</v>
      </c>
      <c r="AI89" s="182">
        <v>100</v>
      </c>
      <c r="AJ89" s="182">
        <v>10</v>
      </c>
      <c r="AK89" s="159" t="s">
        <v>698</v>
      </c>
      <c r="AM89" s="161">
        <v>5</v>
      </c>
      <c r="AN89" s="161"/>
      <c r="AO89" s="161"/>
    </row>
    <row r="90" spans="3:41" x14ac:dyDescent="0.25">
      <c r="D90" s="177">
        <v>5</v>
      </c>
      <c r="E90" s="178" t="s">
        <v>3</v>
      </c>
      <c r="F90" s="180" t="s">
        <v>120</v>
      </c>
      <c r="G90" s="178">
        <v>100</v>
      </c>
      <c r="H90" s="178">
        <v>5</v>
      </c>
      <c r="I90" s="178">
        <v>10</v>
      </c>
      <c r="J90" s="178">
        <v>0</v>
      </c>
      <c r="K90" s="178">
        <v>0</v>
      </c>
      <c r="L90" s="180">
        <v>100</v>
      </c>
      <c r="M90" s="176"/>
      <c r="N90" s="177" t="s">
        <v>754</v>
      </c>
      <c r="O90" s="178" t="s">
        <v>554</v>
      </c>
      <c r="P90" s="178">
        <v>10</v>
      </c>
      <c r="Q90" s="179">
        <v>1</v>
      </c>
      <c r="R90" s="177" t="s">
        <v>9</v>
      </c>
      <c r="S90" s="178" t="s">
        <v>560</v>
      </c>
      <c r="T90" s="178">
        <v>10</v>
      </c>
      <c r="U90" s="179">
        <v>1</v>
      </c>
      <c r="V90" s="177" t="s">
        <v>733</v>
      </c>
      <c r="W90" s="178" t="s">
        <v>543</v>
      </c>
      <c r="X90" s="178">
        <v>10</v>
      </c>
      <c r="Y90" s="179">
        <v>1</v>
      </c>
      <c r="Z90" s="155"/>
      <c r="AA90" s="177"/>
      <c r="AB90" s="178"/>
      <c r="AC90" s="178"/>
      <c r="AD90" s="178"/>
      <c r="AE90" s="223"/>
      <c r="AM90" s="161">
        <v>2</v>
      </c>
      <c r="AN90" s="161">
        <v>1</v>
      </c>
      <c r="AO90" s="161"/>
    </row>
    <row r="91" spans="3:41" x14ac:dyDescent="0.25">
      <c r="D91" s="177">
        <v>5</v>
      </c>
      <c r="E91" s="178" t="s">
        <v>3</v>
      </c>
      <c r="F91" s="180" t="s">
        <v>197</v>
      </c>
      <c r="G91" s="178">
        <v>100</v>
      </c>
      <c r="H91" s="178">
        <v>5</v>
      </c>
      <c r="I91" s="178">
        <v>10</v>
      </c>
      <c r="J91" s="178">
        <v>0</v>
      </c>
      <c r="K91" s="178">
        <v>0</v>
      </c>
      <c r="L91" s="180">
        <v>100</v>
      </c>
      <c r="M91" s="176"/>
      <c r="N91" s="177" t="s">
        <v>754</v>
      </c>
      <c r="O91" s="178" t="s">
        <v>554</v>
      </c>
      <c r="P91" s="178">
        <v>10</v>
      </c>
      <c r="Q91" s="179">
        <v>1</v>
      </c>
      <c r="R91" s="177" t="s">
        <v>9</v>
      </c>
      <c r="S91" s="178" t="s">
        <v>560</v>
      </c>
      <c r="T91" s="178">
        <v>10</v>
      </c>
      <c r="U91" s="179">
        <v>1</v>
      </c>
      <c r="V91" s="177" t="s">
        <v>733</v>
      </c>
      <c r="W91" s="178" t="s">
        <v>543</v>
      </c>
      <c r="X91" s="178">
        <v>10</v>
      </c>
      <c r="Y91" s="179">
        <v>1</v>
      </c>
      <c r="Z91" s="155"/>
      <c r="AA91" s="177"/>
      <c r="AB91" s="178"/>
      <c r="AC91" s="178"/>
      <c r="AD91" s="178"/>
      <c r="AE91" s="223"/>
      <c r="AM91" s="161">
        <v>4</v>
      </c>
      <c r="AN91" s="161">
        <v>3</v>
      </c>
      <c r="AO91" s="161"/>
    </row>
    <row r="92" spans="3:41" x14ac:dyDescent="0.25">
      <c r="D92" s="177">
        <v>5</v>
      </c>
      <c r="E92" s="178" t="s">
        <v>6</v>
      </c>
      <c r="F92" s="180" t="s">
        <v>171</v>
      </c>
      <c r="G92" s="178">
        <v>100</v>
      </c>
      <c r="H92" s="178">
        <v>5</v>
      </c>
      <c r="I92" s="178">
        <v>10</v>
      </c>
      <c r="J92" s="178">
        <v>0</v>
      </c>
      <c r="K92" s="178">
        <v>0</v>
      </c>
      <c r="L92" s="180">
        <v>100</v>
      </c>
      <c r="M92" s="176"/>
      <c r="N92" s="177" t="s">
        <v>713</v>
      </c>
      <c r="O92" s="178" t="s">
        <v>523</v>
      </c>
      <c r="P92" s="178">
        <v>10</v>
      </c>
      <c r="Q92" s="179">
        <v>1</v>
      </c>
      <c r="R92" s="177" t="s">
        <v>721</v>
      </c>
      <c r="S92" s="178" t="s">
        <v>535</v>
      </c>
      <c r="T92" s="178">
        <v>10</v>
      </c>
      <c r="U92" s="179">
        <v>1</v>
      </c>
      <c r="V92" s="177" t="s">
        <v>743</v>
      </c>
      <c r="W92" s="178" t="s">
        <v>572</v>
      </c>
      <c r="X92" s="178">
        <v>10</v>
      </c>
      <c r="Y92" s="179">
        <v>1</v>
      </c>
      <c r="Z92" s="155"/>
      <c r="AA92" s="177"/>
      <c r="AB92" s="178"/>
      <c r="AC92" s="178"/>
      <c r="AD92" s="178"/>
      <c r="AE92" s="223"/>
    </row>
    <row r="93" spans="3:41" x14ac:dyDescent="0.25">
      <c r="D93" s="181">
        <v>5</v>
      </c>
      <c r="E93" s="182" t="s">
        <v>6</v>
      </c>
      <c r="F93" s="159" t="s">
        <v>266</v>
      </c>
      <c r="G93" s="182">
        <v>115</v>
      </c>
      <c r="H93" s="182">
        <v>5</v>
      </c>
      <c r="I93" s="182">
        <v>10</v>
      </c>
      <c r="J93" s="182">
        <v>10</v>
      </c>
      <c r="K93" s="182">
        <v>3</v>
      </c>
      <c r="L93" s="159">
        <v>100</v>
      </c>
      <c r="M93" s="176"/>
      <c r="N93" s="181" t="s">
        <v>713</v>
      </c>
      <c r="O93" s="182" t="s">
        <v>523</v>
      </c>
      <c r="P93" s="182">
        <v>10</v>
      </c>
      <c r="Q93" s="183">
        <v>1</v>
      </c>
      <c r="R93" s="181" t="s">
        <v>702</v>
      </c>
      <c r="S93" s="182" t="s">
        <v>266</v>
      </c>
      <c r="T93" s="182">
        <v>10</v>
      </c>
      <c r="U93" s="183">
        <v>1</v>
      </c>
      <c r="V93" s="181" t="s">
        <v>743</v>
      </c>
      <c r="W93" s="182" t="s">
        <v>572</v>
      </c>
      <c r="X93" s="182">
        <v>10</v>
      </c>
      <c r="Y93" s="183">
        <v>1</v>
      </c>
      <c r="Z93" s="155"/>
      <c r="AA93" s="181"/>
      <c r="AB93" s="182"/>
      <c r="AC93" s="182"/>
      <c r="AD93" s="182"/>
      <c r="AE93" s="224"/>
    </row>
    <row r="94" spans="3:41" x14ac:dyDescent="0.25">
      <c r="C94" t="s">
        <v>6443</v>
      </c>
      <c r="D94" s="173">
        <v>5</v>
      </c>
      <c r="E94" s="174" t="s">
        <v>5</v>
      </c>
      <c r="F94" s="175" t="s">
        <v>813</v>
      </c>
      <c r="G94" s="174">
        <v>100</v>
      </c>
      <c r="H94" s="174">
        <v>5</v>
      </c>
      <c r="I94" s="174">
        <v>10</v>
      </c>
      <c r="J94" s="174">
        <v>0</v>
      </c>
      <c r="K94" s="174">
        <v>0</v>
      </c>
      <c r="L94" s="175">
        <v>100</v>
      </c>
      <c r="M94" s="176"/>
      <c r="N94" s="177" t="s">
        <v>638</v>
      </c>
      <c r="O94" s="178" t="s">
        <v>546</v>
      </c>
      <c r="P94" s="178">
        <v>10</v>
      </c>
      <c r="Q94" s="179">
        <v>1</v>
      </c>
      <c r="R94" s="177" t="s">
        <v>922</v>
      </c>
      <c r="S94" s="178" t="s">
        <v>913</v>
      </c>
      <c r="T94" s="178">
        <v>0</v>
      </c>
      <c r="U94" s="179">
        <v>1</v>
      </c>
      <c r="V94" s="177" t="s">
        <v>6434</v>
      </c>
      <c r="W94" s="178" t="s">
        <v>6438</v>
      </c>
      <c r="X94" s="178">
        <v>10</v>
      </c>
      <c r="Y94" s="179">
        <v>1</v>
      </c>
      <c r="Z94" s="155"/>
      <c r="AA94" s="177"/>
      <c r="AB94" s="178"/>
      <c r="AC94" s="178"/>
      <c r="AD94" s="178"/>
      <c r="AE94" s="223"/>
      <c r="AG94" s="181" t="s">
        <v>646</v>
      </c>
      <c r="AH94" s="182">
        <v>5</v>
      </c>
      <c r="AI94" s="182">
        <v>100</v>
      </c>
      <c r="AJ94" s="182">
        <v>10</v>
      </c>
      <c r="AK94" s="159" t="s">
        <v>698</v>
      </c>
      <c r="AM94" s="161">
        <v>2</v>
      </c>
      <c r="AN94" s="161"/>
      <c r="AO94" s="161"/>
    </row>
    <row r="95" spans="3:41" x14ac:dyDescent="0.25">
      <c r="D95" s="177">
        <v>6</v>
      </c>
      <c r="E95" s="178" t="s">
        <v>2</v>
      </c>
      <c r="F95" s="180" t="s">
        <v>1475</v>
      </c>
      <c r="G95" s="178">
        <v>115</v>
      </c>
      <c r="H95" s="178">
        <v>5</v>
      </c>
      <c r="I95" s="178">
        <v>10</v>
      </c>
      <c r="J95" s="178">
        <v>10</v>
      </c>
      <c r="K95" s="178">
        <v>3</v>
      </c>
      <c r="L95" s="180">
        <v>100</v>
      </c>
      <c r="M95" s="176"/>
      <c r="N95" s="177" t="s">
        <v>713</v>
      </c>
      <c r="O95" s="178" t="s">
        <v>523</v>
      </c>
      <c r="P95" s="178">
        <v>10</v>
      </c>
      <c r="Q95" s="179">
        <v>1</v>
      </c>
      <c r="R95" s="177" t="s">
        <v>728</v>
      </c>
      <c r="S95" s="178" t="s">
        <v>539</v>
      </c>
      <c r="T95" s="178">
        <v>10</v>
      </c>
      <c r="U95" s="179">
        <v>1</v>
      </c>
      <c r="V95" s="177" t="s">
        <v>702</v>
      </c>
      <c r="W95" s="178" t="s">
        <v>1475</v>
      </c>
      <c r="X95" s="178">
        <v>10</v>
      </c>
      <c r="Y95" s="179">
        <v>1</v>
      </c>
      <c r="Z95" s="155"/>
      <c r="AA95" s="177"/>
      <c r="AB95" s="178"/>
      <c r="AC95" s="178"/>
      <c r="AD95" s="178"/>
      <c r="AE95" s="223"/>
      <c r="AM95" s="161">
        <v>4</v>
      </c>
      <c r="AN95" s="161">
        <v>1</v>
      </c>
      <c r="AO95" s="161"/>
    </row>
    <row r="96" spans="3:41" x14ac:dyDescent="0.25">
      <c r="D96" s="177">
        <v>5</v>
      </c>
      <c r="E96" s="178" t="s">
        <v>2</v>
      </c>
      <c r="F96" s="180" t="s">
        <v>1711</v>
      </c>
      <c r="G96" s="178">
        <v>115</v>
      </c>
      <c r="H96" s="178">
        <v>5</v>
      </c>
      <c r="I96" s="178">
        <v>10</v>
      </c>
      <c r="J96" s="178">
        <v>10</v>
      </c>
      <c r="K96" s="178">
        <v>3</v>
      </c>
      <c r="L96" s="180">
        <v>100</v>
      </c>
      <c r="M96" s="176"/>
      <c r="N96" s="177" t="s">
        <v>713</v>
      </c>
      <c r="O96" s="178" t="s">
        <v>523</v>
      </c>
      <c r="P96" s="178">
        <v>10</v>
      </c>
      <c r="Q96" s="179">
        <v>1</v>
      </c>
      <c r="R96" s="177" t="s">
        <v>702</v>
      </c>
      <c r="S96" s="178" t="s">
        <v>1711</v>
      </c>
      <c r="T96" s="178">
        <v>10</v>
      </c>
      <c r="U96" s="179">
        <v>1</v>
      </c>
      <c r="V96" s="177" t="s">
        <v>702</v>
      </c>
      <c r="W96" s="178" t="s">
        <v>100</v>
      </c>
      <c r="X96" s="178">
        <v>10</v>
      </c>
      <c r="Y96" s="179">
        <v>1</v>
      </c>
      <c r="Z96" s="155"/>
      <c r="AA96" s="177"/>
      <c r="AB96" s="178"/>
      <c r="AC96" s="178"/>
      <c r="AD96" s="178"/>
      <c r="AE96" s="223"/>
      <c r="AM96" s="161">
        <v>3</v>
      </c>
      <c r="AN96" s="161">
        <v>5</v>
      </c>
      <c r="AO96" s="161"/>
    </row>
    <row r="97" spans="3:41" x14ac:dyDescent="0.25">
      <c r="D97" s="177">
        <v>5</v>
      </c>
      <c r="E97" s="178" t="s">
        <v>3</v>
      </c>
      <c r="F97" s="180" t="s">
        <v>120</v>
      </c>
      <c r="G97" s="178">
        <v>100</v>
      </c>
      <c r="H97" s="178">
        <v>5</v>
      </c>
      <c r="I97" s="178">
        <v>10</v>
      </c>
      <c r="J97" s="178">
        <v>0</v>
      </c>
      <c r="K97" s="178">
        <v>0</v>
      </c>
      <c r="L97" s="180">
        <v>100</v>
      </c>
      <c r="M97" s="176"/>
      <c r="N97" s="177" t="s">
        <v>754</v>
      </c>
      <c r="O97" s="178" t="s">
        <v>554</v>
      </c>
      <c r="P97" s="178">
        <v>10</v>
      </c>
      <c r="Q97" s="179">
        <v>1</v>
      </c>
      <c r="R97" s="177" t="s">
        <v>9</v>
      </c>
      <c r="S97" s="178" t="s">
        <v>560</v>
      </c>
      <c r="T97" s="178">
        <v>10</v>
      </c>
      <c r="U97" s="179">
        <v>1</v>
      </c>
      <c r="V97" s="177" t="s">
        <v>733</v>
      </c>
      <c r="W97" s="178" t="s">
        <v>543</v>
      </c>
      <c r="X97" s="178">
        <v>10</v>
      </c>
      <c r="Y97" s="179">
        <v>1</v>
      </c>
      <c r="Z97" s="155"/>
      <c r="AA97" s="177"/>
      <c r="AB97" s="178"/>
      <c r="AC97" s="178"/>
      <c r="AD97" s="178"/>
      <c r="AE97" s="223"/>
    </row>
    <row r="98" spans="3:41" x14ac:dyDescent="0.25">
      <c r="D98" s="181">
        <v>5</v>
      </c>
      <c r="E98" s="182" t="s">
        <v>3</v>
      </c>
      <c r="F98" s="159" t="s">
        <v>197</v>
      </c>
      <c r="G98" s="182">
        <v>100</v>
      </c>
      <c r="H98" s="182">
        <v>5</v>
      </c>
      <c r="I98" s="182">
        <v>10</v>
      </c>
      <c r="J98" s="182">
        <v>0</v>
      </c>
      <c r="K98" s="182">
        <v>0</v>
      </c>
      <c r="L98" s="159">
        <v>100</v>
      </c>
      <c r="M98" s="176"/>
      <c r="N98" s="181" t="s">
        <v>754</v>
      </c>
      <c r="O98" s="182" t="s">
        <v>554</v>
      </c>
      <c r="P98" s="182">
        <v>10</v>
      </c>
      <c r="Q98" s="183">
        <v>1</v>
      </c>
      <c r="R98" s="181" t="s">
        <v>9</v>
      </c>
      <c r="S98" s="182" t="s">
        <v>560</v>
      </c>
      <c r="T98" s="182">
        <v>10</v>
      </c>
      <c r="U98" s="183">
        <v>1</v>
      </c>
      <c r="V98" s="181" t="s">
        <v>733</v>
      </c>
      <c r="W98" s="182" t="s">
        <v>543</v>
      </c>
      <c r="X98" s="182">
        <v>10</v>
      </c>
      <c r="Y98" s="183">
        <v>1</v>
      </c>
      <c r="Z98" s="155"/>
      <c r="AA98" s="181"/>
      <c r="AB98" s="182"/>
      <c r="AC98" s="182"/>
      <c r="AD98" s="182"/>
      <c r="AE98" s="224"/>
    </row>
    <row r="99" spans="3:41" x14ac:dyDescent="0.25">
      <c r="C99" t="s">
        <v>6444</v>
      </c>
      <c r="D99" s="173">
        <v>5</v>
      </c>
      <c r="E99" s="174" t="s">
        <v>3</v>
      </c>
      <c r="F99" s="175" t="s">
        <v>1715</v>
      </c>
      <c r="G99" s="174">
        <v>100</v>
      </c>
      <c r="H99" s="174">
        <v>5</v>
      </c>
      <c r="I99" s="174">
        <v>10</v>
      </c>
      <c r="J99" s="174">
        <v>0</v>
      </c>
      <c r="K99" s="174">
        <v>0</v>
      </c>
      <c r="L99" s="175">
        <v>100</v>
      </c>
      <c r="M99" s="176"/>
      <c r="N99" s="177" t="s">
        <v>922</v>
      </c>
      <c r="O99" s="178" t="s">
        <v>931</v>
      </c>
      <c r="P99" s="178">
        <v>10</v>
      </c>
      <c r="Q99" s="179">
        <v>1</v>
      </c>
      <c r="R99" s="177" t="s">
        <v>9</v>
      </c>
      <c r="S99" s="178" t="s">
        <v>560</v>
      </c>
      <c r="T99" s="178">
        <v>10</v>
      </c>
      <c r="U99" s="179">
        <v>1</v>
      </c>
      <c r="V99" s="177" t="s">
        <v>733</v>
      </c>
      <c r="W99" s="178" t="s">
        <v>550</v>
      </c>
      <c r="X99" s="178">
        <v>10</v>
      </c>
      <c r="Y99" s="179">
        <v>1</v>
      </c>
      <c r="Z99" s="155"/>
      <c r="AA99" s="177"/>
      <c r="AB99" s="178"/>
      <c r="AC99" s="178"/>
      <c r="AD99" s="178"/>
      <c r="AE99" s="223"/>
      <c r="AG99" s="181" t="s">
        <v>646</v>
      </c>
      <c r="AH99" s="182">
        <v>5</v>
      </c>
      <c r="AI99" s="182">
        <v>100</v>
      </c>
      <c r="AJ99" s="182">
        <v>10</v>
      </c>
      <c r="AK99" s="159" t="s">
        <v>698</v>
      </c>
      <c r="AM99" s="161">
        <v>2</v>
      </c>
      <c r="AN99" s="161"/>
      <c r="AO99" s="161"/>
    </row>
    <row r="100" spans="3:41" x14ac:dyDescent="0.25">
      <c r="D100" s="177">
        <v>5</v>
      </c>
      <c r="E100" s="178" t="s">
        <v>2</v>
      </c>
      <c r="F100" s="180" t="s">
        <v>230</v>
      </c>
      <c r="G100" s="178">
        <v>100</v>
      </c>
      <c r="H100" s="178">
        <v>5</v>
      </c>
      <c r="I100" s="178">
        <v>10</v>
      </c>
      <c r="J100" s="178">
        <v>0</v>
      </c>
      <c r="K100" s="178">
        <v>0</v>
      </c>
      <c r="L100" s="180">
        <v>100</v>
      </c>
      <c r="M100" s="176"/>
      <c r="N100" s="177" t="s">
        <v>702</v>
      </c>
      <c r="O100" s="178" t="s">
        <v>230</v>
      </c>
      <c r="P100" s="178">
        <v>10</v>
      </c>
      <c r="Q100" s="179">
        <v>1</v>
      </c>
      <c r="R100" s="177" t="s">
        <v>728</v>
      </c>
      <c r="S100" s="178" t="s">
        <v>539</v>
      </c>
      <c r="T100" s="178">
        <v>10</v>
      </c>
      <c r="U100" s="179">
        <v>1</v>
      </c>
      <c r="V100" s="177" t="s">
        <v>922</v>
      </c>
      <c r="W100" s="178" t="s">
        <v>914</v>
      </c>
      <c r="X100" s="178">
        <v>10</v>
      </c>
      <c r="Y100" s="179">
        <v>1</v>
      </c>
      <c r="Z100" s="155"/>
      <c r="AA100" s="177"/>
      <c r="AB100" s="178"/>
      <c r="AC100" s="178"/>
      <c r="AD100" s="178"/>
      <c r="AE100" s="223"/>
      <c r="AM100" s="161">
        <v>3</v>
      </c>
      <c r="AN100" s="161">
        <v>4</v>
      </c>
      <c r="AO100" s="161"/>
    </row>
    <row r="101" spans="3:41" x14ac:dyDescent="0.25">
      <c r="D101" s="177">
        <v>5</v>
      </c>
      <c r="E101" s="178" t="s">
        <v>3</v>
      </c>
      <c r="F101" s="180" t="s">
        <v>161</v>
      </c>
      <c r="G101" s="178">
        <v>100</v>
      </c>
      <c r="H101" s="178">
        <v>5</v>
      </c>
      <c r="I101" s="178">
        <v>10</v>
      </c>
      <c r="J101" s="178">
        <v>0</v>
      </c>
      <c r="K101" s="178">
        <v>0</v>
      </c>
      <c r="L101" s="180">
        <v>100</v>
      </c>
      <c r="M101" s="176"/>
      <c r="N101" s="177" t="s">
        <v>754</v>
      </c>
      <c r="O101" s="178" t="s">
        <v>554</v>
      </c>
      <c r="P101" s="178">
        <v>10</v>
      </c>
      <c r="Q101" s="179">
        <v>1</v>
      </c>
      <c r="R101" s="177" t="s">
        <v>721</v>
      </c>
      <c r="S101" s="178" t="s">
        <v>535</v>
      </c>
      <c r="T101" s="178">
        <v>10</v>
      </c>
      <c r="U101" s="179">
        <v>1</v>
      </c>
      <c r="V101" s="177" t="s">
        <v>733</v>
      </c>
      <c r="W101" s="178" t="s">
        <v>543</v>
      </c>
      <c r="X101" s="178">
        <v>10</v>
      </c>
      <c r="Y101" s="179">
        <v>1</v>
      </c>
      <c r="Z101" s="155"/>
      <c r="AA101" s="177"/>
      <c r="AB101" s="178"/>
      <c r="AC101" s="178"/>
      <c r="AD101" s="178"/>
      <c r="AE101" s="223"/>
      <c r="AM101" s="161">
        <v>1</v>
      </c>
      <c r="AN101" s="161">
        <v>5</v>
      </c>
      <c r="AO101" s="161"/>
    </row>
    <row r="102" spans="3:41" x14ac:dyDescent="0.25">
      <c r="D102" s="177">
        <v>5</v>
      </c>
      <c r="E102" s="178" t="s">
        <v>7</v>
      </c>
      <c r="F102" s="180" t="s">
        <v>265</v>
      </c>
      <c r="G102" s="178">
        <v>110</v>
      </c>
      <c r="H102" s="178">
        <v>5</v>
      </c>
      <c r="I102" s="178">
        <v>10</v>
      </c>
      <c r="J102" s="178">
        <v>0</v>
      </c>
      <c r="K102" s="178">
        <v>2</v>
      </c>
      <c r="L102" s="180">
        <v>100</v>
      </c>
      <c r="M102" s="176"/>
      <c r="N102" s="177" t="s">
        <v>702</v>
      </c>
      <c r="O102" s="178" t="s">
        <v>265</v>
      </c>
      <c r="P102" s="178">
        <v>10</v>
      </c>
      <c r="Q102" s="179">
        <v>1</v>
      </c>
      <c r="R102" s="177" t="s">
        <v>9</v>
      </c>
      <c r="S102" s="178" t="s">
        <v>560</v>
      </c>
      <c r="T102" s="178">
        <v>10</v>
      </c>
      <c r="U102" s="179">
        <v>1</v>
      </c>
      <c r="V102" s="177" t="s">
        <v>702</v>
      </c>
      <c r="W102" s="178" t="s">
        <v>731</v>
      </c>
      <c r="X102" s="178">
        <v>10</v>
      </c>
      <c r="Y102" s="179">
        <v>1</v>
      </c>
      <c r="Z102" s="155"/>
      <c r="AA102" s="177"/>
      <c r="AB102" s="178"/>
      <c r="AC102" s="178"/>
      <c r="AD102" s="178"/>
      <c r="AE102" s="223"/>
    </row>
    <row r="103" spans="3:41" x14ac:dyDescent="0.25">
      <c r="D103" s="181">
        <v>5</v>
      </c>
      <c r="E103" s="182" t="s">
        <v>3</v>
      </c>
      <c r="F103" s="159" t="s">
        <v>197</v>
      </c>
      <c r="G103" s="182">
        <v>100</v>
      </c>
      <c r="H103" s="182">
        <v>5</v>
      </c>
      <c r="I103" s="182">
        <v>10</v>
      </c>
      <c r="J103" s="182">
        <v>0</v>
      </c>
      <c r="K103" s="182">
        <v>0</v>
      </c>
      <c r="L103" s="159">
        <v>100</v>
      </c>
      <c r="M103" s="176"/>
      <c r="N103" s="181" t="s">
        <v>754</v>
      </c>
      <c r="O103" s="182" t="s">
        <v>554</v>
      </c>
      <c r="P103" s="182">
        <v>10</v>
      </c>
      <c r="Q103" s="183">
        <v>1</v>
      </c>
      <c r="R103" s="181" t="s">
        <v>9</v>
      </c>
      <c r="S103" s="182" t="s">
        <v>560</v>
      </c>
      <c r="T103" s="182">
        <v>10</v>
      </c>
      <c r="U103" s="183">
        <v>1</v>
      </c>
      <c r="V103" s="181" t="s">
        <v>733</v>
      </c>
      <c r="W103" s="182" t="s">
        <v>543</v>
      </c>
      <c r="X103" s="182">
        <v>10</v>
      </c>
      <c r="Y103" s="183">
        <v>1</v>
      </c>
      <c r="Z103" s="155"/>
      <c r="AA103" s="181"/>
      <c r="AB103" s="182"/>
      <c r="AC103" s="182"/>
      <c r="AD103" s="182"/>
      <c r="AE103" s="224"/>
    </row>
    <row r="104" spans="3:41" x14ac:dyDescent="0.25">
      <c r="C104" t="s">
        <v>6446</v>
      </c>
      <c r="D104" s="173">
        <v>5</v>
      </c>
      <c r="E104" s="174" t="s">
        <v>6</v>
      </c>
      <c r="F104" s="175" t="s">
        <v>201</v>
      </c>
      <c r="G104" s="174">
        <v>100</v>
      </c>
      <c r="H104" s="174">
        <v>5</v>
      </c>
      <c r="I104" s="174">
        <v>10</v>
      </c>
      <c r="J104" s="174">
        <v>0</v>
      </c>
      <c r="K104" s="174">
        <v>0</v>
      </c>
      <c r="L104" s="175">
        <v>100</v>
      </c>
      <c r="M104" s="176"/>
      <c r="N104" s="177" t="s">
        <v>6445</v>
      </c>
      <c r="O104" s="178" t="s">
        <v>523</v>
      </c>
      <c r="P104" s="178">
        <v>10</v>
      </c>
      <c r="Q104" s="179">
        <v>1</v>
      </c>
      <c r="R104" s="177" t="s">
        <v>721</v>
      </c>
      <c r="S104" s="178" t="s">
        <v>535</v>
      </c>
      <c r="T104" s="178">
        <v>10</v>
      </c>
      <c r="U104" s="179">
        <v>1</v>
      </c>
      <c r="V104" s="177" t="s">
        <v>743</v>
      </c>
      <c r="W104" s="178" t="s">
        <v>572</v>
      </c>
      <c r="X104" s="178">
        <v>10</v>
      </c>
      <c r="Y104" s="179">
        <v>1</v>
      </c>
      <c r="Z104" s="155"/>
      <c r="AA104" s="177"/>
      <c r="AB104" s="178"/>
      <c r="AC104" s="178"/>
      <c r="AD104" s="178"/>
      <c r="AE104" s="223"/>
      <c r="AG104" s="181" t="s">
        <v>641</v>
      </c>
      <c r="AH104" s="182">
        <v>5</v>
      </c>
      <c r="AI104" s="182">
        <v>100</v>
      </c>
      <c r="AJ104" s="182">
        <v>10</v>
      </c>
      <c r="AK104" s="159" t="s">
        <v>698</v>
      </c>
      <c r="AM104" s="161">
        <v>1</v>
      </c>
      <c r="AN104" s="161"/>
      <c r="AO104" s="161"/>
    </row>
    <row r="105" spans="3:41" x14ac:dyDescent="0.25">
      <c r="D105" s="177">
        <v>5</v>
      </c>
      <c r="E105" s="178" t="s">
        <v>6</v>
      </c>
      <c r="F105" s="180" t="s">
        <v>207</v>
      </c>
      <c r="G105" s="178">
        <v>100</v>
      </c>
      <c r="H105" s="178">
        <v>5</v>
      </c>
      <c r="I105" s="178">
        <v>10</v>
      </c>
      <c r="J105" s="178">
        <v>0</v>
      </c>
      <c r="K105" s="178">
        <v>0</v>
      </c>
      <c r="L105" s="180">
        <v>100</v>
      </c>
      <c r="M105" s="176"/>
      <c r="N105" s="177" t="s">
        <v>713</v>
      </c>
      <c r="O105" s="178" t="s">
        <v>523</v>
      </c>
      <c r="P105" s="178">
        <v>10</v>
      </c>
      <c r="Q105" s="179">
        <v>1</v>
      </c>
      <c r="R105" s="177" t="s">
        <v>721</v>
      </c>
      <c r="S105" s="178" t="s">
        <v>535</v>
      </c>
      <c r="T105" s="178">
        <v>10</v>
      </c>
      <c r="U105" s="179">
        <v>1</v>
      </c>
      <c r="V105" s="177" t="s">
        <v>743</v>
      </c>
      <c r="W105" s="178" t="s">
        <v>572</v>
      </c>
      <c r="X105" s="178">
        <v>10</v>
      </c>
      <c r="Y105" s="179">
        <v>1</v>
      </c>
      <c r="Z105" s="155"/>
      <c r="AA105" s="177"/>
      <c r="AB105" s="178"/>
      <c r="AC105" s="178"/>
      <c r="AD105" s="178"/>
      <c r="AE105" s="223"/>
      <c r="AM105" s="161">
        <v>3</v>
      </c>
      <c r="AN105" s="161">
        <v>4</v>
      </c>
      <c r="AO105" s="161"/>
    </row>
    <row r="106" spans="3:41" x14ac:dyDescent="0.25">
      <c r="D106" s="177">
        <v>5</v>
      </c>
      <c r="E106" s="178" t="s">
        <v>3</v>
      </c>
      <c r="F106" s="180" t="s">
        <v>120</v>
      </c>
      <c r="G106" s="178">
        <v>100</v>
      </c>
      <c r="H106" s="178">
        <v>5</v>
      </c>
      <c r="I106" s="178">
        <v>10</v>
      </c>
      <c r="J106" s="178">
        <v>0</v>
      </c>
      <c r="K106" s="178">
        <v>0</v>
      </c>
      <c r="L106" s="180">
        <v>100</v>
      </c>
      <c r="M106" s="176"/>
      <c r="N106" s="177" t="s">
        <v>754</v>
      </c>
      <c r="O106" s="178" t="s">
        <v>554</v>
      </c>
      <c r="P106" s="178">
        <v>10</v>
      </c>
      <c r="Q106" s="179">
        <v>1</v>
      </c>
      <c r="R106" s="177" t="s">
        <v>9</v>
      </c>
      <c r="S106" s="178" t="s">
        <v>560</v>
      </c>
      <c r="T106" s="178">
        <v>10</v>
      </c>
      <c r="U106" s="179">
        <v>1</v>
      </c>
      <c r="V106" s="177" t="s">
        <v>702</v>
      </c>
      <c r="W106" s="178" t="s">
        <v>120</v>
      </c>
      <c r="X106" s="178">
        <v>10</v>
      </c>
      <c r="Y106" s="179">
        <v>1</v>
      </c>
      <c r="Z106" s="155"/>
      <c r="AA106" s="177"/>
      <c r="AB106" s="178"/>
      <c r="AC106" s="178"/>
      <c r="AD106" s="178"/>
      <c r="AE106" s="223"/>
      <c r="AM106" s="161">
        <v>2</v>
      </c>
      <c r="AN106" s="161">
        <v>5</v>
      </c>
      <c r="AO106" s="161"/>
    </row>
    <row r="107" spans="3:41" x14ac:dyDescent="0.25">
      <c r="D107" s="177">
        <v>5</v>
      </c>
      <c r="E107" s="178" t="s">
        <v>7</v>
      </c>
      <c r="F107" s="180" t="s">
        <v>1630</v>
      </c>
      <c r="G107" s="178">
        <v>100</v>
      </c>
      <c r="H107" s="178">
        <v>5</v>
      </c>
      <c r="I107" s="178">
        <v>10</v>
      </c>
      <c r="J107" s="178">
        <v>0</v>
      </c>
      <c r="K107" s="178">
        <v>0</v>
      </c>
      <c r="L107" s="180">
        <v>100</v>
      </c>
      <c r="M107" s="176"/>
      <c r="N107" s="177" t="s">
        <v>754</v>
      </c>
      <c r="O107" s="178" t="s">
        <v>554</v>
      </c>
      <c r="P107" s="178">
        <v>10</v>
      </c>
      <c r="Q107" s="179">
        <v>1</v>
      </c>
      <c r="R107" s="177" t="s">
        <v>9</v>
      </c>
      <c r="S107" s="178" t="s">
        <v>560</v>
      </c>
      <c r="T107" s="178">
        <v>10</v>
      </c>
      <c r="U107" s="179">
        <v>1</v>
      </c>
      <c r="V107" s="177" t="s">
        <v>733</v>
      </c>
      <c r="W107" s="178" t="s">
        <v>543</v>
      </c>
      <c r="X107" s="178">
        <v>10</v>
      </c>
      <c r="Y107" s="179">
        <v>1</v>
      </c>
      <c r="Z107" s="155"/>
      <c r="AA107" s="177"/>
      <c r="AB107" s="178"/>
      <c r="AC107" s="178"/>
      <c r="AD107" s="178"/>
      <c r="AE107" s="223"/>
    </row>
    <row r="108" spans="3:41" x14ac:dyDescent="0.25">
      <c r="D108" s="181">
        <v>5</v>
      </c>
      <c r="E108" s="182" t="s">
        <v>3</v>
      </c>
      <c r="F108" s="159" t="s">
        <v>197</v>
      </c>
      <c r="G108" s="182">
        <v>100</v>
      </c>
      <c r="H108" s="182">
        <v>5</v>
      </c>
      <c r="I108" s="182">
        <v>10</v>
      </c>
      <c r="J108" s="182">
        <v>0</v>
      </c>
      <c r="K108" s="182">
        <v>0</v>
      </c>
      <c r="L108" s="159">
        <v>100</v>
      </c>
      <c r="M108" s="176"/>
      <c r="N108" s="181" t="s">
        <v>754</v>
      </c>
      <c r="O108" s="182" t="s">
        <v>554</v>
      </c>
      <c r="P108" s="182">
        <v>10</v>
      </c>
      <c r="Q108" s="183">
        <v>1</v>
      </c>
      <c r="R108" s="181" t="s">
        <v>9</v>
      </c>
      <c r="S108" s="182" t="s">
        <v>560</v>
      </c>
      <c r="T108" s="182">
        <v>10</v>
      </c>
      <c r="U108" s="183">
        <v>1</v>
      </c>
      <c r="V108" s="181" t="s">
        <v>733</v>
      </c>
      <c r="W108" s="182" t="s">
        <v>543</v>
      </c>
      <c r="X108" s="182">
        <v>10</v>
      </c>
      <c r="Y108" s="183">
        <v>1</v>
      </c>
      <c r="Z108" s="155"/>
      <c r="AA108" s="181"/>
      <c r="AB108" s="182"/>
      <c r="AC108" s="182"/>
      <c r="AD108" s="182"/>
      <c r="AE108" s="224"/>
    </row>
    <row r="109" spans="3:41" x14ac:dyDescent="0.25">
      <c r="C109" t="s">
        <v>6447</v>
      </c>
      <c r="D109" s="173">
        <v>5</v>
      </c>
      <c r="E109" s="174" t="s">
        <v>2</v>
      </c>
      <c r="F109" s="175" t="s">
        <v>256</v>
      </c>
      <c r="G109" s="174">
        <v>115</v>
      </c>
      <c r="H109" s="174">
        <v>5</v>
      </c>
      <c r="I109" s="174">
        <v>10</v>
      </c>
      <c r="J109" s="174">
        <v>10</v>
      </c>
      <c r="K109" s="174">
        <v>3</v>
      </c>
      <c r="L109" s="175">
        <v>100</v>
      </c>
      <c r="M109" s="176"/>
      <c r="N109" s="177" t="s">
        <v>713</v>
      </c>
      <c r="O109" s="178" t="s">
        <v>523</v>
      </c>
      <c r="P109" s="178">
        <v>10</v>
      </c>
      <c r="Q109" s="179">
        <v>1</v>
      </c>
      <c r="R109" s="177" t="s">
        <v>728</v>
      </c>
      <c r="S109" s="178" t="s">
        <v>539</v>
      </c>
      <c r="T109" s="178">
        <v>10</v>
      </c>
      <c r="U109" s="179">
        <v>1</v>
      </c>
      <c r="V109" s="177" t="s">
        <v>702</v>
      </c>
      <c r="W109" s="178" t="s">
        <v>256</v>
      </c>
      <c r="X109" s="178">
        <v>10</v>
      </c>
      <c r="Y109" s="179">
        <v>1</v>
      </c>
      <c r="Z109" s="155"/>
      <c r="AA109" s="177"/>
      <c r="AB109" s="178"/>
      <c r="AC109" s="178"/>
      <c r="AD109" s="178"/>
      <c r="AE109" s="223"/>
      <c r="AG109" s="181" t="s">
        <v>646</v>
      </c>
      <c r="AH109" s="182">
        <v>5</v>
      </c>
      <c r="AI109" s="182">
        <v>100</v>
      </c>
      <c r="AJ109" s="182">
        <v>10</v>
      </c>
      <c r="AK109" s="159" t="s">
        <v>698</v>
      </c>
      <c r="AM109" s="161"/>
      <c r="AN109" s="161">
        <v>1</v>
      </c>
      <c r="AO109" s="161"/>
    </row>
    <row r="110" spans="3:41" x14ac:dyDescent="0.25">
      <c r="D110" s="177">
        <v>5</v>
      </c>
      <c r="E110" s="178" t="s">
        <v>3</v>
      </c>
      <c r="F110" s="180" t="s">
        <v>817</v>
      </c>
      <c r="G110" s="178">
        <v>100</v>
      </c>
      <c r="H110" s="178">
        <v>5</v>
      </c>
      <c r="I110" s="178">
        <v>10</v>
      </c>
      <c r="J110" s="178">
        <v>0</v>
      </c>
      <c r="K110" s="178">
        <v>0</v>
      </c>
      <c r="L110" s="180">
        <v>100</v>
      </c>
      <c r="M110" s="176"/>
      <c r="N110" s="177" t="s">
        <v>754</v>
      </c>
      <c r="O110" s="178" t="s">
        <v>554</v>
      </c>
      <c r="P110" s="178">
        <v>10</v>
      </c>
      <c r="Q110" s="179">
        <v>1</v>
      </c>
      <c r="R110" s="177" t="s">
        <v>9</v>
      </c>
      <c r="S110" s="178" t="s">
        <v>560</v>
      </c>
      <c r="T110" s="178">
        <v>10</v>
      </c>
      <c r="U110" s="179">
        <v>1</v>
      </c>
      <c r="V110" s="177" t="s">
        <v>733</v>
      </c>
      <c r="W110" s="178" t="s">
        <v>543</v>
      </c>
      <c r="X110" s="178">
        <v>10</v>
      </c>
      <c r="Y110" s="179">
        <v>1</v>
      </c>
      <c r="Z110" s="155"/>
      <c r="AA110" s="177"/>
      <c r="AB110" s="178"/>
      <c r="AC110" s="178"/>
      <c r="AD110" s="178"/>
      <c r="AE110" s="223"/>
      <c r="AM110" s="161"/>
      <c r="AN110" s="161">
        <v>5</v>
      </c>
      <c r="AO110" s="161">
        <v>3</v>
      </c>
    </row>
    <row r="111" spans="3:41" x14ac:dyDescent="0.25">
      <c r="D111" s="177">
        <v>6</v>
      </c>
      <c r="E111" s="178" t="s">
        <v>3</v>
      </c>
      <c r="F111" s="180" t="s">
        <v>263</v>
      </c>
      <c r="G111" s="178">
        <v>110</v>
      </c>
      <c r="H111" s="178">
        <v>5</v>
      </c>
      <c r="I111" s="178">
        <v>10</v>
      </c>
      <c r="J111" s="178">
        <v>10</v>
      </c>
      <c r="K111" s="178">
        <v>2</v>
      </c>
      <c r="L111" s="180">
        <v>100</v>
      </c>
      <c r="M111" s="176"/>
      <c r="N111" s="177" t="s">
        <v>754</v>
      </c>
      <c r="O111" s="178" t="s">
        <v>554</v>
      </c>
      <c r="P111" s="178">
        <v>10</v>
      </c>
      <c r="Q111" s="179">
        <v>1</v>
      </c>
      <c r="R111" s="177" t="s">
        <v>9</v>
      </c>
      <c r="S111" s="178" t="s">
        <v>560</v>
      </c>
      <c r="T111" s="178">
        <v>10</v>
      </c>
      <c r="U111" s="179">
        <v>1</v>
      </c>
      <c r="V111" s="177" t="s">
        <v>733</v>
      </c>
      <c r="W111" s="178" t="s">
        <v>543</v>
      </c>
      <c r="X111" s="178">
        <v>10</v>
      </c>
      <c r="Y111" s="179">
        <v>1</v>
      </c>
      <c r="Z111" s="155"/>
      <c r="AA111" s="177"/>
      <c r="AB111" s="178"/>
      <c r="AC111" s="178"/>
      <c r="AD111" s="178"/>
      <c r="AE111" s="223"/>
      <c r="AM111" s="161">
        <v>2</v>
      </c>
      <c r="AN111" s="161"/>
      <c r="AO111" s="161">
        <v>4</v>
      </c>
    </row>
    <row r="112" spans="3:41" x14ac:dyDescent="0.25">
      <c r="D112" s="177">
        <v>5</v>
      </c>
      <c r="E112" s="178" t="s">
        <v>3</v>
      </c>
      <c r="F112" s="180" t="s">
        <v>795</v>
      </c>
      <c r="G112" s="178">
        <v>100</v>
      </c>
      <c r="H112" s="178">
        <v>5</v>
      </c>
      <c r="I112" s="178">
        <v>10</v>
      </c>
      <c r="J112" s="178">
        <v>0</v>
      </c>
      <c r="K112" s="178">
        <v>0</v>
      </c>
      <c r="L112" s="180">
        <v>100</v>
      </c>
      <c r="M112" s="176"/>
      <c r="N112" s="177" t="s">
        <v>754</v>
      </c>
      <c r="O112" s="178" t="s">
        <v>554</v>
      </c>
      <c r="P112" s="178">
        <v>10</v>
      </c>
      <c r="Q112" s="179">
        <v>1</v>
      </c>
      <c r="R112" s="177" t="s">
        <v>9</v>
      </c>
      <c r="S112" s="178" t="s">
        <v>560</v>
      </c>
      <c r="T112" s="178">
        <v>10</v>
      </c>
      <c r="U112" s="179">
        <v>1</v>
      </c>
      <c r="V112" s="177" t="s">
        <v>733</v>
      </c>
      <c r="W112" s="178" t="s">
        <v>543</v>
      </c>
      <c r="X112" s="178">
        <v>10</v>
      </c>
      <c r="Y112" s="179">
        <v>1</v>
      </c>
      <c r="Z112" s="155"/>
      <c r="AA112" s="177"/>
      <c r="AB112" s="178"/>
      <c r="AC112" s="178"/>
      <c r="AD112" s="178"/>
      <c r="AE112" s="223"/>
    </row>
    <row r="113" spans="3:41" x14ac:dyDescent="0.25">
      <c r="D113" s="181">
        <v>5</v>
      </c>
      <c r="E113" s="182" t="s">
        <v>3</v>
      </c>
      <c r="F113" s="159" t="s">
        <v>740</v>
      </c>
      <c r="G113" s="182">
        <v>110</v>
      </c>
      <c r="H113" s="182">
        <v>5</v>
      </c>
      <c r="I113" s="182">
        <v>10</v>
      </c>
      <c r="J113" s="182">
        <v>10</v>
      </c>
      <c r="K113" s="182">
        <v>2</v>
      </c>
      <c r="L113" s="159">
        <v>100</v>
      </c>
      <c r="M113" s="176"/>
      <c r="N113" s="181" t="s">
        <v>702</v>
      </c>
      <c r="O113" s="182" t="s">
        <v>67</v>
      </c>
      <c r="P113" s="182">
        <v>10</v>
      </c>
      <c r="Q113" s="183">
        <v>1</v>
      </c>
      <c r="R113" s="181" t="s">
        <v>9</v>
      </c>
      <c r="S113" s="182" t="s">
        <v>560</v>
      </c>
      <c r="T113" s="182">
        <v>10</v>
      </c>
      <c r="U113" s="183">
        <v>1</v>
      </c>
      <c r="V113" s="181" t="s">
        <v>733</v>
      </c>
      <c r="W113" s="182" t="s">
        <v>543</v>
      </c>
      <c r="X113" s="182">
        <v>10</v>
      </c>
      <c r="Y113" s="183">
        <v>1</v>
      </c>
      <c r="Z113" s="155"/>
      <c r="AA113" s="181"/>
      <c r="AB113" s="182"/>
      <c r="AC113" s="182"/>
      <c r="AD113" s="182"/>
      <c r="AE113" s="224"/>
    </row>
    <row r="114" spans="3:41" x14ac:dyDescent="0.25">
      <c r="C114" t="s">
        <v>6449</v>
      </c>
      <c r="D114" s="173">
        <v>6</v>
      </c>
      <c r="E114" s="174" t="s">
        <v>4</v>
      </c>
      <c r="F114" s="175" t="s">
        <v>934</v>
      </c>
      <c r="G114" s="174">
        <v>115</v>
      </c>
      <c r="H114" s="174">
        <v>5</v>
      </c>
      <c r="I114" s="174">
        <v>10</v>
      </c>
      <c r="J114" s="174">
        <v>10</v>
      </c>
      <c r="K114" s="174">
        <v>3</v>
      </c>
      <c r="L114" s="175">
        <v>100</v>
      </c>
      <c r="M114" s="176"/>
      <c r="N114" s="177" t="s">
        <v>713</v>
      </c>
      <c r="O114" s="178" t="s">
        <v>523</v>
      </c>
      <c r="P114" s="178">
        <v>10</v>
      </c>
      <c r="Q114" s="179">
        <v>1</v>
      </c>
      <c r="R114" s="177" t="s">
        <v>702</v>
      </c>
      <c r="S114" s="178" t="s">
        <v>934</v>
      </c>
      <c r="T114" s="178">
        <v>10</v>
      </c>
      <c r="U114" s="179">
        <v>1</v>
      </c>
      <c r="V114" s="177" t="s">
        <v>742</v>
      </c>
      <c r="W114" s="178" t="s">
        <v>556</v>
      </c>
      <c r="X114" s="178">
        <v>10</v>
      </c>
      <c r="Y114" s="179">
        <v>1</v>
      </c>
      <c r="Z114" s="155"/>
      <c r="AA114" s="177"/>
      <c r="AB114" s="178"/>
      <c r="AC114" s="178"/>
      <c r="AD114" s="178"/>
      <c r="AE114" s="223"/>
      <c r="AG114" s="181" t="s">
        <v>646</v>
      </c>
      <c r="AH114" s="182">
        <v>5</v>
      </c>
      <c r="AI114" s="182">
        <v>100</v>
      </c>
      <c r="AJ114" s="182">
        <v>10</v>
      </c>
      <c r="AK114" s="159" t="s">
        <v>698</v>
      </c>
      <c r="AM114" s="161">
        <v>1</v>
      </c>
      <c r="AN114" s="161"/>
      <c r="AO114" s="161">
        <v>5</v>
      </c>
    </row>
    <row r="115" spans="3:41" x14ac:dyDescent="0.25">
      <c r="D115" s="177">
        <v>5</v>
      </c>
      <c r="E115" s="178" t="s">
        <v>6</v>
      </c>
      <c r="F115" s="180" t="s">
        <v>171</v>
      </c>
      <c r="G115" s="178">
        <v>100</v>
      </c>
      <c r="H115" s="178">
        <v>5</v>
      </c>
      <c r="I115" s="178">
        <v>10</v>
      </c>
      <c r="J115" s="178">
        <v>0</v>
      </c>
      <c r="K115" s="178">
        <v>0</v>
      </c>
      <c r="L115" s="180">
        <v>100</v>
      </c>
      <c r="M115" s="176"/>
      <c r="N115" s="177" t="s">
        <v>713</v>
      </c>
      <c r="O115" s="178" t="s">
        <v>523</v>
      </c>
      <c r="P115" s="178">
        <v>10</v>
      </c>
      <c r="Q115" s="179">
        <v>1</v>
      </c>
      <c r="R115" s="177" t="s">
        <v>721</v>
      </c>
      <c r="S115" s="178" t="s">
        <v>535</v>
      </c>
      <c r="T115" s="178">
        <v>10</v>
      </c>
      <c r="U115" s="179">
        <v>1</v>
      </c>
      <c r="V115" s="177" t="s">
        <v>743</v>
      </c>
      <c r="W115" s="178" t="s">
        <v>572</v>
      </c>
      <c r="X115" s="178">
        <v>10</v>
      </c>
      <c r="Y115" s="179">
        <v>1</v>
      </c>
      <c r="Z115" s="155"/>
      <c r="AA115" s="177"/>
      <c r="AB115" s="178"/>
      <c r="AC115" s="178"/>
      <c r="AD115" s="178"/>
      <c r="AE115" s="223"/>
      <c r="AM115" s="161">
        <v>3</v>
      </c>
      <c r="AN115" s="161"/>
      <c r="AO115" s="161">
        <v>4</v>
      </c>
    </row>
    <row r="116" spans="3:41" x14ac:dyDescent="0.25">
      <c r="D116" s="177">
        <v>5</v>
      </c>
      <c r="E116" s="178" t="s">
        <v>3</v>
      </c>
      <c r="F116" s="180" t="s">
        <v>267</v>
      </c>
      <c r="G116" s="178">
        <v>110</v>
      </c>
      <c r="H116" s="178">
        <v>5</v>
      </c>
      <c r="I116" s="178">
        <v>10</v>
      </c>
      <c r="J116" s="178">
        <v>10</v>
      </c>
      <c r="K116" s="178">
        <v>2</v>
      </c>
      <c r="L116" s="180">
        <v>100</v>
      </c>
      <c r="M116" s="176"/>
      <c r="N116" s="177" t="s">
        <v>754</v>
      </c>
      <c r="O116" s="178" t="s">
        <v>554</v>
      </c>
      <c r="P116" s="178">
        <v>10</v>
      </c>
      <c r="Q116" s="179">
        <v>1</v>
      </c>
      <c r="R116" s="177" t="s">
        <v>9</v>
      </c>
      <c r="S116" s="178" t="s">
        <v>560</v>
      </c>
      <c r="T116" s="178">
        <v>10</v>
      </c>
      <c r="U116" s="179">
        <v>1</v>
      </c>
      <c r="V116" s="177" t="s">
        <v>733</v>
      </c>
      <c r="W116" s="178" t="s">
        <v>543</v>
      </c>
      <c r="X116" s="178">
        <v>10</v>
      </c>
      <c r="Y116" s="179">
        <v>1</v>
      </c>
      <c r="Z116" s="155"/>
      <c r="AA116" s="177"/>
      <c r="AB116" s="178"/>
      <c r="AC116" s="178"/>
      <c r="AD116" s="178"/>
      <c r="AE116" s="223"/>
      <c r="AM116" s="161">
        <v>2</v>
      </c>
      <c r="AN116" s="161"/>
      <c r="AO116" s="161"/>
    </row>
    <row r="117" spans="3:41" x14ac:dyDescent="0.25">
      <c r="D117" s="177">
        <v>5</v>
      </c>
      <c r="E117" s="178" t="s">
        <v>5</v>
      </c>
      <c r="F117" s="180" t="s">
        <v>813</v>
      </c>
      <c r="G117" s="178">
        <v>100</v>
      </c>
      <c r="H117" s="178">
        <v>5</v>
      </c>
      <c r="I117" s="178">
        <v>10</v>
      </c>
      <c r="J117" s="178">
        <v>0</v>
      </c>
      <c r="K117" s="178">
        <v>0</v>
      </c>
      <c r="L117" s="180">
        <v>100</v>
      </c>
      <c r="M117" s="176"/>
      <c r="N117" s="177" t="s">
        <v>638</v>
      </c>
      <c r="O117" s="178" t="s">
        <v>6448</v>
      </c>
      <c r="P117" s="178">
        <v>10</v>
      </c>
      <c r="Q117" s="179">
        <v>1</v>
      </c>
      <c r="R117" s="177" t="s">
        <v>922</v>
      </c>
      <c r="S117" s="178" t="s">
        <v>913</v>
      </c>
      <c r="T117" s="178">
        <v>0</v>
      </c>
      <c r="U117" s="179">
        <v>1</v>
      </c>
      <c r="V117" s="177" t="s">
        <v>6434</v>
      </c>
      <c r="W117" s="178" t="s">
        <v>6438</v>
      </c>
      <c r="X117" s="178">
        <v>10</v>
      </c>
      <c r="Y117" s="179">
        <v>1</v>
      </c>
      <c r="Z117" s="155"/>
      <c r="AA117" s="177"/>
      <c r="AB117" s="178"/>
      <c r="AC117" s="178"/>
      <c r="AD117" s="178"/>
      <c r="AE117" s="223"/>
    </row>
    <row r="118" spans="3:41" x14ac:dyDescent="0.25">
      <c r="D118" s="181">
        <v>4</v>
      </c>
      <c r="E118" s="182" t="s">
        <v>5</v>
      </c>
      <c r="F118" s="159" t="s">
        <v>716</v>
      </c>
      <c r="G118" s="182">
        <v>110</v>
      </c>
      <c r="H118" s="182">
        <v>5</v>
      </c>
      <c r="I118" s="182">
        <v>10</v>
      </c>
      <c r="J118" s="182">
        <v>10</v>
      </c>
      <c r="K118" s="182">
        <v>2</v>
      </c>
      <c r="L118" s="159">
        <v>100</v>
      </c>
      <c r="M118" s="176"/>
      <c r="N118" s="181" t="s">
        <v>638</v>
      </c>
      <c r="O118" s="182" t="s">
        <v>6448</v>
      </c>
      <c r="P118" s="182">
        <v>10</v>
      </c>
      <c r="Q118" s="183">
        <v>1</v>
      </c>
      <c r="R118" s="181" t="s">
        <v>922</v>
      </c>
      <c r="S118" s="182" t="s">
        <v>913</v>
      </c>
      <c r="T118" s="182">
        <v>0</v>
      </c>
      <c r="U118" s="183">
        <v>1</v>
      </c>
      <c r="V118" s="181" t="s">
        <v>6434</v>
      </c>
      <c r="W118" s="182" t="s">
        <v>6438</v>
      </c>
      <c r="X118" s="182">
        <v>10</v>
      </c>
      <c r="Y118" s="183">
        <v>1</v>
      </c>
      <c r="Z118" s="155"/>
      <c r="AA118" s="181"/>
      <c r="AB118" s="182"/>
      <c r="AC118" s="182"/>
      <c r="AD118" s="182"/>
      <c r="AE118" s="224"/>
    </row>
    <row r="119" spans="3:41" x14ac:dyDescent="0.25">
      <c r="C119" t="s">
        <v>6450</v>
      </c>
      <c r="D119" s="173">
        <v>5</v>
      </c>
      <c r="E119" s="174" t="s">
        <v>6</v>
      </c>
      <c r="F119" s="175" t="s">
        <v>1421</v>
      </c>
      <c r="G119" s="174">
        <v>100</v>
      </c>
      <c r="H119" s="174">
        <v>5</v>
      </c>
      <c r="I119" s="174">
        <v>10</v>
      </c>
      <c r="J119" s="174">
        <v>0</v>
      </c>
      <c r="K119" s="174">
        <v>0</v>
      </c>
      <c r="L119" s="175">
        <v>100</v>
      </c>
      <c r="M119" s="176"/>
      <c r="N119" s="177" t="s">
        <v>713</v>
      </c>
      <c r="O119" s="178" t="s">
        <v>523</v>
      </c>
      <c r="P119" s="178">
        <v>10</v>
      </c>
      <c r="Q119" s="179">
        <v>1</v>
      </c>
      <c r="R119" s="177" t="s">
        <v>922</v>
      </c>
      <c r="S119" s="178" t="s">
        <v>5729</v>
      </c>
      <c r="T119" s="178">
        <v>10</v>
      </c>
      <c r="U119" s="179">
        <v>1</v>
      </c>
      <c r="V119" s="177" t="s">
        <v>702</v>
      </c>
      <c r="W119" s="178" t="s">
        <v>1421</v>
      </c>
      <c r="X119" s="178">
        <v>10</v>
      </c>
      <c r="Y119" s="179">
        <v>1</v>
      </c>
      <c r="Z119" s="155"/>
      <c r="AA119" s="177"/>
      <c r="AB119" s="178"/>
      <c r="AC119" s="178"/>
      <c r="AD119" s="178"/>
      <c r="AE119" s="223"/>
      <c r="AG119" s="181" t="s">
        <v>646</v>
      </c>
      <c r="AH119" s="182">
        <v>5</v>
      </c>
      <c r="AI119" s="182">
        <v>100</v>
      </c>
      <c r="AJ119" s="182">
        <v>10</v>
      </c>
      <c r="AK119" s="159" t="s">
        <v>698</v>
      </c>
      <c r="AM119" s="161">
        <v>2</v>
      </c>
      <c r="AN119" s="161">
        <v>5</v>
      </c>
      <c r="AO119" s="161"/>
    </row>
    <row r="120" spans="3:41" x14ac:dyDescent="0.25">
      <c r="D120" s="177">
        <v>4</v>
      </c>
      <c r="E120" s="178" t="s">
        <v>6</v>
      </c>
      <c r="F120" s="180" t="s">
        <v>832</v>
      </c>
      <c r="G120" s="178">
        <v>115</v>
      </c>
      <c r="H120" s="178">
        <v>5</v>
      </c>
      <c r="I120" s="178">
        <v>10</v>
      </c>
      <c r="J120" s="178">
        <v>10</v>
      </c>
      <c r="K120" s="178">
        <v>3</v>
      </c>
      <c r="L120" s="180">
        <v>100</v>
      </c>
      <c r="M120" s="176"/>
      <c r="N120" s="177" t="s">
        <v>713</v>
      </c>
      <c r="O120" s="178" t="s">
        <v>523</v>
      </c>
      <c r="P120" s="178">
        <v>10</v>
      </c>
      <c r="Q120" s="179">
        <v>1</v>
      </c>
      <c r="R120" s="177" t="s">
        <v>702</v>
      </c>
      <c r="S120" s="178" t="s">
        <v>832</v>
      </c>
      <c r="T120" s="178">
        <v>10</v>
      </c>
      <c r="U120" s="179">
        <v>1</v>
      </c>
      <c r="V120" s="177" t="s">
        <v>743</v>
      </c>
      <c r="W120" s="178" t="s">
        <v>572</v>
      </c>
      <c r="X120" s="178">
        <v>10</v>
      </c>
      <c r="Y120" s="179">
        <v>1</v>
      </c>
      <c r="Z120" s="155"/>
      <c r="AA120" s="177"/>
      <c r="AB120" s="178"/>
      <c r="AC120" s="178"/>
      <c r="AD120" s="178"/>
      <c r="AE120" s="223"/>
      <c r="AM120" s="161">
        <v>3</v>
      </c>
      <c r="AN120" s="161">
        <v>4</v>
      </c>
      <c r="AO120" s="161"/>
    </row>
    <row r="121" spans="3:41" x14ac:dyDescent="0.25">
      <c r="D121" s="177">
        <v>5</v>
      </c>
      <c r="E121" s="178" t="s">
        <v>3</v>
      </c>
      <c r="F121" s="180" t="s">
        <v>64</v>
      </c>
      <c r="G121" s="178">
        <v>100</v>
      </c>
      <c r="H121" s="178">
        <v>5</v>
      </c>
      <c r="I121" s="178">
        <v>10</v>
      </c>
      <c r="J121" s="178">
        <v>10</v>
      </c>
      <c r="K121" s="178">
        <v>0</v>
      </c>
      <c r="L121" s="180">
        <v>100</v>
      </c>
      <c r="M121" s="176"/>
      <c r="N121" s="177" t="s">
        <v>754</v>
      </c>
      <c r="O121" s="178" t="s">
        <v>554</v>
      </c>
      <c r="P121" s="178">
        <v>10</v>
      </c>
      <c r="Q121" s="179">
        <v>1</v>
      </c>
      <c r="R121" s="177" t="s">
        <v>9</v>
      </c>
      <c r="S121" s="178" t="s">
        <v>560</v>
      </c>
      <c r="T121" s="178">
        <v>10</v>
      </c>
      <c r="U121" s="179">
        <v>1</v>
      </c>
      <c r="V121" s="177" t="s">
        <v>733</v>
      </c>
      <c r="W121" s="178" t="s">
        <v>550</v>
      </c>
      <c r="X121" s="178">
        <v>10</v>
      </c>
      <c r="Y121" s="179">
        <v>1</v>
      </c>
      <c r="Z121" s="155"/>
      <c r="AA121" s="177"/>
      <c r="AB121" s="178"/>
      <c r="AC121" s="178"/>
      <c r="AD121" s="178"/>
      <c r="AE121" s="223"/>
      <c r="AM121" s="161">
        <v>1</v>
      </c>
      <c r="AN121" s="161"/>
      <c r="AO121" s="161"/>
    </row>
    <row r="122" spans="3:41" x14ac:dyDescent="0.25">
      <c r="D122" s="177">
        <v>6</v>
      </c>
      <c r="E122" s="178" t="s">
        <v>3</v>
      </c>
      <c r="F122" s="180" t="s">
        <v>263</v>
      </c>
      <c r="G122" s="178">
        <v>110</v>
      </c>
      <c r="H122" s="178">
        <v>5</v>
      </c>
      <c r="I122" s="178">
        <v>10</v>
      </c>
      <c r="J122" s="178">
        <v>10</v>
      </c>
      <c r="K122" s="178">
        <v>2</v>
      </c>
      <c r="L122" s="180">
        <v>100</v>
      </c>
      <c r="M122" s="176"/>
      <c r="N122" s="177" t="s">
        <v>754</v>
      </c>
      <c r="O122" s="178" t="s">
        <v>554</v>
      </c>
      <c r="P122" s="178">
        <v>10</v>
      </c>
      <c r="Q122" s="179">
        <v>1</v>
      </c>
      <c r="R122" s="177" t="s">
        <v>9</v>
      </c>
      <c r="S122" s="178" t="s">
        <v>560</v>
      </c>
      <c r="T122" s="178">
        <v>10</v>
      </c>
      <c r="U122" s="179">
        <v>1</v>
      </c>
      <c r="V122" s="177" t="s">
        <v>733</v>
      </c>
      <c r="W122" s="178" t="s">
        <v>543</v>
      </c>
      <c r="X122" s="178">
        <v>10</v>
      </c>
      <c r="Y122" s="179">
        <v>1</v>
      </c>
      <c r="Z122" s="155"/>
      <c r="AA122" s="177"/>
      <c r="AB122" s="178"/>
      <c r="AC122" s="178"/>
      <c r="AD122" s="178"/>
      <c r="AE122" s="223"/>
    </row>
    <row r="123" spans="3:41" x14ac:dyDescent="0.25">
      <c r="D123" s="181">
        <v>6</v>
      </c>
      <c r="E123" s="182" t="s">
        <v>3</v>
      </c>
      <c r="F123" s="159" t="s">
        <v>837</v>
      </c>
      <c r="G123" s="182">
        <v>115</v>
      </c>
      <c r="H123" s="182">
        <v>5</v>
      </c>
      <c r="I123" s="182">
        <v>10</v>
      </c>
      <c r="J123" s="182">
        <v>10</v>
      </c>
      <c r="K123" s="182">
        <v>3</v>
      </c>
      <c r="L123" s="159">
        <v>100</v>
      </c>
      <c r="M123" s="176"/>
      <c r="N123" s="181" t="s">
        <v>754</v>
      </c>
      <c r="O123" s="182" t="s">
        <v>554</v>
      </c>
      <c r="P123" s="182">
        <v>10</v>
      </c>
      <c r="Q123" s="183">
        <v>1</v>
      </c>
      <c r="R123" s="181" t="s">
        <v>9</v>
      </c>
      <c r="S123" s="182" t="s">
        <v>560</v>
      </c>
      <c r="T123" s="182">
        <v>10</v>
      </c>
      <c r="U123" s="183">
        <v>1</v>
      </c>
      <c r="V123" s="181" t="s">
        <v>702</v>
      </c>
      <c r="W123" s="182" t="s">
        <v>837</v>
      </c>
      <c r="X123" s="182">
        <v>10</v>
      </c>
      <c r="Y123" s="183">
        <v>1</v>
      </c>
      <c r="Z123" s="155"/>
      <c r="AA123" s="181"/>
      <c r="AB123" s="182"/>
      <c r="AC123" s="182"/>
      <c r="AD123" s="182"/>
      <c r="AE123" s="224"/>
    </row>
    <row r="124" spans="3:41" x14ac:dyDescent="0.25">
      <c r="C124" t="s">
        <v>6452</v>
      </c>
      <c r="D124" s="173">
        <v>4</v>
      </c>
      <c r="E124" s="174" t="s">
        <v>3</v>
      </c>
      <c r="F124" s="175" t="s">
        <v>5745</v>
      </c>
      <c r="G124" s="174">
        <v>100</v>
      </c>
      <c r="H124" s="174">
        <v>5</v>
      </c>
      <c r="I124" s="174">
        <v>10</v>
      </c>
      <c r="J124" s="174">
        <v>0</v>
      </c>
      <c r="K124" s="174">
        <v>0</v>
      </c>
      <c r="L124" s="175">
        <v>100</v>
      </c>
      <c r="M124" s="176"/>
      <c r="N124" s="177" t="s">
        <v>754</v>
      </c>
      <c r="O124" s="178" t="s">
        <v>554</v>
      </c>
      <c r="P124" s="178">
        <v>10</v>
      </c>
      <c r="Q124" s="179">
        <v>1</v>
      </c>
      <c r="R124" s="177" t="s">
        <v>922</v>
      </c>
      <c r="S124" s="178" t="s">
        <v>921</v>
      </c>
      <c r="T124" s="178">
        <v>10</v>
      </c>
      <c r="U124" s="179">
        <v>1</v>
      </c>
      <c r="V124" s="177" t="s">
        <v>733</v>
      </c>
      <c r="W124" s="178" t="s">
        <v>543</v>
      </c>
      <c r="X124" s="178">
        <v>10</v>
      </c>
      <c r="Y124" s="179">
        <v>1</v>
      </c>
      <c r="Z124" s="155"/>
      <c r="AA124" s="177"/>
      <c r="AB124" s="178"/>
      <c r="AC124" s="178"/>
      <c r="AD124" s="178"/>
      <c r="AE124" s="223"/>
      <c r="AG124" s="181" t="s">
        <v>646</v>
      </c>
      <c r="AH124" s="182">
        <v>5</v>
      </c>
      <c r="AI124" s="182">
        <v>100</v>
      </c>
      <c r="AJ124" s="182">
        <v>10</v>
      </c>
      <c r="AK124" s="159" t="s">
        <v>698</v>
      </c>
      <c r="AM124" s="161"/>
      <c r="AN124" s="161">
        <v>2</v>
      </c>
      <c r="AO124" s="161"/>
    </row>
    <row r="125" spans="3:41" x14ac:dyDescent="0.25">
      <c r="D125" s="177">
        <v>4</v>
      </c>
      <c r="E125" s="178" t="s">
        <v>3</v>
      </c>
      <c r="F125" s="180" t="s">
        <v>5551</v>
      </c>
      <c r="G125" s="178">
        <v>100</v>
      </c>
      <c r="H125" s="178">
        <v>5</v>
      </c>
      <c r="I125" s="178">
        <v>10</v>
      </c>
      <c r="J125" s="178">
        <v>0</v>
      </c>
      <c r="K125" s="178">
        <v>0</v>
      </c>
      <c r="L125" s="180">
        <v>100</v>
      </c>
      <c r="M125" s="176"/>
      <c r="N125" s="177" t="s">
        <v>754</v>
      </c>
      <c r="O125" s="178" t="s">
        <v>554</v>
      </c>
      <c r="P125" s="178">
        <v>10</v>
      </c>
      <c r="Q125" s="179">
        <v>1</v>
      </c>
      <c r="R125" s="177" t="s">
        <v>922</v>
      </c>
      <c r="S125" s="178" t="s">
        <v>921</v>
      </c>
      <c r="T125" s="178">
        <v>10</v>
      </c>
      <c r="U125" s="179">
        <v>1</v>
      </c>
      <c r="V125" s="177" t="s">
        <v>733</v>
      </c>
      <c r="W125" s="178" t="s">
        <v>543</v>
      </c>
      <c r="X125" s="178">
        <v>10</v>
      </c>
      <c r="Y125" s="179">
        <v>1</v>
      </c>
      <c r="Z125" s="155"/>
      <c r="AA125" s="177"/>
      <c r="AB125" s="178"/>
      <c r="AC125" s="178"/>
      <c r="AD125" s="178"/>
      <c r="AE125" s="223"/>
      <c r="AM125" s="161">
        <v>3</v>
      </c>
      <c r="AN125" s="161">
        <v>5</v>
      </c>
      <c r="AO125" s="161"/>
    </row>
    <row r="126" spans="3:41" x14ac:dyDescent="0.25">
      <c r="D126" s="177">
        <v>5</v>
      </c>
      <c r="E126" s="178" t="s">
        <v>6</v>
      </c>
      <c r="F126" s="180" t="s">
        <v>1421</v>
      </c>
      <c r="G126" s="178">
        <v>100</v>
      </c>
      <c r="H126" s="178">
        <v>5</v>
      </c>
      <c r="I126" s="178">
        <v>10</v>
      </c>
      <c r="J126" s="178">
        <v>0</v>
      </c>
      <c r="K126" s="178">
        <v>0</v>
      </c>
      <c r="L126" s="180">
        <v>100</v>
      </c>
      <c r="M126" s="176"/>
      <c r="N126" s="177" t="s">
        <v>713</v>
      </c>
      <c r="O126" s="178" t="s">
        <v>523</v>
      </c>
      <c r="P126" s="178">
        <v>10</v>
      </c>
      <c r="Q126" s="179">
        <v>1</v>
      </c>
      <c r="R126" s="177" t="s">
        <v>922</v>
      </c>
      <c r="S126" s="178" t="s">
        <v>5729</v>
      </c>
      <c r="T126" s="178">
        <v>10</v>
      </c>
      <c r="U126" s="179">
        <v>1</v>
      </c>
      <c r="V126" s="177" t="s">
        <v>702</v>
      </c>
      <c r="W126" s="178" t="s">
        <v>1421</v>
      </c>
      <c r="X126" s="178">
        <v>10</v>
      </c>
      <c r="Y126" s="179">
        <v>1</v>
      </c>
      <c r="Z126" s="155"/>
      <c r="AA126" s="177"/>
      <c r="AB126" s="178"/>
      <c r="AC126" s="178"/>
      <c r="AD126" s="178"/>
      <c r="AE126" s="223"/>
      <c r="AM126" s="161">
        <v>4</v>
      </c>
      <c r="AN126" s="161">
        <v>1</v>
      </c>
      <c r="AO126" s="161"/>
    </row>
    <row r="127" spans="3:41" x14ac:dyDescent="0.25">
      <c r="D127" s="177">
        <v>5</v>
      </c>
      <c r="E127" s="178" t="s">
        <v>4</v>
      </c>
      <c r="F127" s="180" t="s">
        <v>1743</v>
      </c>
      <c r="G127" s="178">
        <v>100</v>
      </c>
      <c r="H127" s="178">
        <v>5</v>
      </c>
      <c r="I127" s="178">
        <v>10</v>
      </c>
      <c r="J127" s="178">
        <v>0</v>
      </c>
      <c r="K127" s="178">
        <v>0</v>
      </c>
      <c r="L127" s="180">
        <v>100</v>
      </c>
      <c r="M127" s="176"/>
      <c r="N127" s="177" t="s">
        <v>713</v>
      </c>
      <c r="O127" s="178" t="s">
        <v>523</v>
      </c>
      <c r="P127" s="178">
        <v>10</v>
      </c>
      <c r="Q127" s="179">
        <v>1</v>
      </c>
      <c r="R127" s="177" t="s">
        <v>922</v>
      </c>
      <c r="S127" s="178" t="s">
        <v>5729</v>
      </c>
      <c r="T127" s="178">
        <v>10</v>
      </c>
      <c r="U127" s="179">
        <v>1</v>
      </c>
      <c r="V127" s="177" t="s">
        <v>742</v>
      </c>
      <c r="W127" s="178" t="s">
        <v>556</v>
      </c>
      <c r="X127" s="178">
        <v>10</v>
      </c>
      <c r="Y127" s="179">
        <v>1</v>
      </c>
      <c r="Z127" s="155"/>
      <c r="AA127" s="177"/>
      <c r="AB127" s="178"/>
      <c r="AC127" s="178"/>
      <c r="AD127" s="178"/>
      <c r="AE127" s="223"/>
    </row>
    <row r="128" spans="3:41" x14ac:dyDescent="0.25">
      <c r="D128" s="181">
        <v>6</v>
      </c>
      <c r="E128" s="182" t="s">
        <v>7</v>
      </c>
      <c r="F128" s="159" t="s">
        <v>828</v>
      </c>
      <c r="G128" s="182">
        <v>115</v>
      </c>
      <c r="H128" s="182">
        <v>5</v>
      </c>
      <c r="I128" s="182">
        <v>10</v>
      </c>
      <c r="J128" s="182">
        <v>10</v>
      </c>
      <c r="K128" s="182">
        <v>3</v>
      </c>
      <c r="L128" s="159">
        <v>100</v>
      </c>
      <c r="M128" s="176"/>
      <c r="N128" s="181" t="s">
        <v>754</v>
      </c>
      <c r="O128" s="182" t="s">
        <v>554</v>
      </c>
      <c r="P128" s="182">
        <v>10</v>
      </c>
      <c r="Q128" s="183">
        <v>1</v>
      </c>
      <c r="R128" s="181" t="s">
        <v>9</v>
      </c>
      <c r="S128" s="182" t="s">
        <v>560</v>
      </c>
      <c r="T128" s="182">
        <v>10</v>
      </c>
      <c r="U128" s="183">
        <v>1</v>
      </c>
      <c r="V128" s="181" t="s">
        <v>702</v>
      </c>
      <c r="W128" s="182" t="s">
        <v>828</v>
      </c>
      <c r="X128" s="182">
        <v>10</v>
      </c>
      <c r="Y128" s="183">
        <v>1</v>
      </c>
      <c r="Z128" s="155"/>
      <c r="AA128" s="181"/>
      <c r="AB128" s="182"/>
      <c r="AC128" s="182"/>
      <c r="AD128" s="182"/>
      <c r="AE128" s="224"/>
    </row>
    <row r="129" spans="3:41" x14ac:dyDescent="0.25">
      <c r="C129" t="s">
        <v>6453</v>
      </c>
      <c r="D129" s="173">
        <v>5</v>
      </c>
      <c r="E129" s="174" t="s">
        <v>2</v>
      </c>
      <c r="F129" s="175" t="s">
        <v>1783</v>
      </c>
      <c r="G129" s="174">
        <v>115</v>
      </c>
      <c r="H129" s="174">
        <v>5</v>
      </c>
      <c r="I129" s="174">
        <v>10</v>
      </c>
      <c r="J129" s="174">
        <v>10</v>
      </c>
      <c r="K129" s="174">
        <v>3</v>
      </c>
      <c r="L129" s="175">
        <v>100</v>
      </c>
      <c r="M129" s="176"/>
      <c r="N129" s="177" t="s">
        <v>702</v>
      </c>
      <c r="O129" s="178" t="s">
        <v>1783</v>
      </c>
      <c r="P129" s="178">
        <v>10</v>
      </c>
      <c r="Q129" s="179">
        <v>1</v>
      </c>
      <c r="R129" s="177" t="s">
        <v>728</v>
      </c>
      <c r="S129" s="178" t="s">
        <v>539</v>
      </c>
      <c r="T129" s="178">
        <v>10</v>
      </c>
      <c r="U129" s="179">
        <v>1</v>
      </c>
      <c r="V129" s="177" t="s">
        <v>922</v>
      </c>
      <c r="W129" s="178" t="s">
        <v>914</v>
      </c>
      <c r="X129" s="178">
        <v>10</v>
      </c>
      <c r="Y129" s="179">
        <v>1</v>
      </c>
      <c r="Z129" s="155"/>
      <c r="AA129" s="177"/>
      <c r="AB129" s="178"/>
      <c r="AC129" s="178"/>
      <c r="AD129" s="178"/>
      <c r="AE129" s="223"/>
      <c r="AG129" s="181" t="s">
        <v>1746</v>
      </c>
      <c r="AH129" s="182">
        <v>5</v>
      </c>
      <c r="AI129" s="182">
        <v>100</v>
      </c>
      <c r="AJ129" s="182">
        <v>10</v>
      </c>
      <c r="AK129" s="159" t="s">
        <v>698</v>
      </c>
      <c r="AM129" s="161">
        <v>2</v>
      </c>
      <c r="AN129" s="161"/>
      <c r="AO129" s="161"/>
    </row>
    <row r="130" spans="3:41" x14ac:dyDescent="0.25">
      <c r="D130" s="177">
        <v>6</v>
      </c>
      <c r="E130" s="178" t="s">
        <v>2</v>
      </c>
      <c r="F130" s="180" t="s">
        <v>5807</v>
      </c>
      <c r="G130" s="178">
        <v>115</v>
      </c>
      <c r="H130" s="178">
        <v>5</v>
      </c>
      <c r="I130" s="178">
        <v>10</v>
      </c>
      <c r="J130" s="178">
        <v>10</v>
      </c>
      <c r="K130" s="178">
        <v>3</v>
      </c>
      <c r="L130" s="180">
        <v>100</v>
      </c>
      <c r="M130" s="176"/>
      <c r="N130" s="177" t="s">
        <v>713</v>
      </c>
      <c r="O130" s="178" t="s">
        <v>523</v>
      </c>
      <c r="P130" s="178">
        <v>10</v>
      </c>
      <c r="Q130" s="179">
        <v>1</v>
      </c>
      <c r="R130" s="177" t="s">
        <v>728</v>
      </c>
      <c r="S130" s="178" t="s">
        <v>539</v>
      </c>
      <c r="T130" s="178">
        <v>10</v>
      </c>
      <c r="U130" s="179">
        <v>1</v>
      </c>
      <c r="V130" s="177" t="s">
        <v>702</v>
      </c>
      <c r="W130" s="178" t="s">
        <v>5807</v>
      </c>
      <c r="X130" s="178">
        <v>10</v>
      </c>
      <c r="Y130" s="179">
        <v>1</v>
      </c>
      <c r="Z130" s="155"/>
      <c r="AA130" s="177"/>
      <c r="AB130" s="178"/>
      <c r="AC130" s="178"/>
      <c r="AD130" s="178"/>
      <c r="AE130" s="223"/>
      <c r="AM130" s="161">
        <v>1</v>
      </c>
      <c r="AN130" s="161">
        <v>4</v>
      </c>
      <c r="AO130" s="161"/>
    </row>
    <row r="131" spans="3:41" x14ac:dyDescent="0.25">
      <c r="D131" s="177">
        <v>5</v>
      </c>
      <c r="E131" s="178" t="s">
        <v>2</v>
      </c>
      <c r="F131" s="180" t="s">
        <v>5769</v>
      </c>
      <c r="G131" s="178">
        <v>100</v>
      </c>
      <c r="H131" s="178">
        <v>5</v>
      </c>
      <c r="I131" s="178">
        <v>10</v>
      </c>
      <c r="J131" s="178">
        <v>0</v>
      </c>
      <c r="K131" s="178">
        <v>0</v>
      </c>
      <c r="L131" s="180">
        <v>100</v>
      </c>
      <c r="M131" s="176"/>
      <c r="N131" s="177" t="s">
        <v>713</v>
      </c>
      <c r="O131" s="178" t="s">
        <v>523</v>
      </c>
      <c r="P131" s="178">
        <v>10</v>
      </c>
      <c r="Q131" s="179">
        <v>1</v>
      </c>
      <c r="R131" s="177" t="s">
        <v>728</v>
      </c>
      <c r="S131" s="178" t="s">
        <v>539</v>
      </c>
      <c r="T131" s="178">
        <v>10</v>
      </c>
      <c r="U131" s="179">
        <v>1</v>
      </c>
      <c r="V131" s="177" t="s">
        <v>922</v>
      </c>
      <c r="W131" s="178" t="s">
        <v>914</v>
      </c>
      <c r="X131" s="178">
        <v>10</v>
      </c>
      <c r="Y131" s="179">
        <v>1</v>
      </c>
      <c r="Z131" s="155"/>
      <c r="AA131" s="177"/>
      <c r="AB131" s="178"/>
      <c r="AC131" s="178"/>
      <c r="AD131" s="178"/>
      <c r="AE131" s="223"/>
      <c r="AM131" s="161">
        <v>3</v>
      </c>
      <c r="AN131" s="161">
        <v>5</v>
      </c>
      <c r="AO131" s="161"/>
    </row>
    <row r="132" spans="3:41" x14ac:dyDescent="0.25">
      <c r="D132" s="177">
        <v>6</v>
      </c>
      <c r="E132" s="178" t="s">
        <v>7</v>
      </c>
      <c r="F132" s="180" t="s">
        <v>6451</v>
      </c>
      <c r="G132" s="178">
        <v>115</v>
      </c>
      <c r="H132" s="178">
        <v>5</v>
      </c>
      <c r="I132" s="178">
        <v>10</v>
      </c>
      <c r="J132" s="178">
        <v>10</v>
      </c>
      <c r="K132" s="178">
        <v>3</v>
      </c>
      <c r="L132" s="180">
        <v>100</v>
      </c>
      <c r="M132" s="176"/>
      <c r="N132" s="177" t="s">
        <v>754</v>
      </c>
      <c r="O132" s="178" t="s">
        <v>554</v>
      </c>
      <c r="P132" s="178">
        <v>10</v>
      </c>
      <c r="Q132" s="179">
        <v>1</v>
      </c>
      <c r="R132" s="177" t="s">
        <v>9</v>
      </c>
      <c r="S132" s="178" t="s">
        <v>560</v>
      </c>
      <c r="T132" s="178">
        <v>10</v>
      </c>
      <c r="U132" s="179">
        <v>1</v>
      </c>
      <c r="V132" s="177" t="s">
        <v>702</v>
      </c>
      <c r="W132" s="178" t="s">
        <v>1777</v>
      </c>
      <c r="X132" s="178">
        <v>10</v>
      </c>
      <c r="Y132" s="179">
        <v>1</v>
      </c>
      <c r="Z132" s="155"/>
      <c r="AA132" s="177"/>
      <c r="AB132" s="178"/>
      <c r="AC132" s="178"/>
      <c r="AD132" s="178"/>
      <c r="AE132" s="223"/>
    </row>
    <row r="133" spans="3:41" x14ac:dyDescent="0.25">
      <c r="D133" s="181">
        <v>5</v>
      </c>
      <c r="E133" s="182" t="s">
        <v>7</v>
      </c>
      <c r="F133" s="159" t="s">
        <v>1731</v>
      </c>
      <c r="G133" s="182">
        <v>100</v>
      </c>
      <c r="H133" s="182">
        <v>5</v>
      </c>
      <c r="I133" s="182">
        <v>10</v>
      </c>
      <c r="J133" s="182">
        <v>0</v>
      </c>
      <c r="K133" s="182">
        <v>0</v>
      </c>
      <c r="L133" s="159">
        <v>100</v>
      </c>
      <c r="M133" s="176"/>
      <c r="N133" s="181" t="s">
        <v>754</v>
      </c>
      <c r="O133" s="182" t="s">
        <v>554</v>
      </c>
      <c r="P133" s="182">
        <v>10</v>
      </c>
      <c r="Q133" s="183">
        <v>1</v>
      </c>
      <c r="R133" s="181" t="s">
        <v>9</v>
      </c>
      <c r="S133" s="182" t="s">
        <v>560</v>
      </c>
      <c r="T133" s="182">
        <v>10</v>
      </c>
      <c r="U133" s="183">
        <v>1</v>
      </c>
      <c r="V133" s="181" t="s">
        <v>733</v>
      </c>
      <c r="W133" s="182" t="s">
        <v>543</v>
      </c>
      <c r="X133" s="182">
        <v>10</v>
      </c>
      <c r="Y133" s="183">
        <v>1</v>
      </c>
      <c r="Z133" s="155"/>
      <c r="AA133" s="181"/>
      <c r="AB133" s="182"/>
      <c r="AC133" s="182"/>
      <c r="AD133" s="182"/>
      <c r="AE133" s="224"/>
    </row>
    <row r="134" spans="3:41" x14ac:dyDescent="0.25">
      <c r="C134" t="s">
        <v>6454</v>
      </c>
      <c r="D134" s="173">
        <v>4</v>
      </c>
      <c r="E134" s="174" t="s">
        <v>5</v>
      </c>
      <c r="F134" s="175" t="s">
        <v>1632</v>
      </c>
      <c r="G134" s="174">
        <v>100</v>
      </c>
      <c r="H134" s="174">
        <v>5</v>
      </c>
      <c r="I134" s="174">
        <v>10</v>
      </c>
      <c r="J134" s="174">
        <v>0</v>
      </c>
      <c r="K134" s="174">
        <v>0</v>
      </c>
      <c r="L134" s="175">
        <v>100</v>
      </c>
      <c r="M134" s="176"/>
      <c r="N134" s="177" t="s">
        <v>713</v>
      </c>
      <c r="O134" s="178" t="s">
        <v>523</v>
      </c>
      <c r="P134" s="178">
        <v>10</v>
      </c>
      <c r="Q134" s="179">
        <v>1</v>
      </c>
      <c r="R134" s="177" t="s">
        <v>922</v>
      </c>
      <c r="S134" s="178" t="s">
        <v>913</v>
      </c>
      <c r="T134" s="178">
        <v>10</v>
      </c>
      <c r="U134" s="179">
        <v>1</v>
      </c>
      <c r="V134" s="177" t="s">
        <v>638</v>
      </c>
      <c r="W134" s="178" t="s">
        <v>546</v>
      </c>
      <c r="X134" s="178">
        <v>10</v>
      </c>
      <c r="Y134" s="179">
        <v>1</v>
      </c>
      <c r="Z134" s="155"/>
      <c r="AA134" s="177"/>
      <c r="AB134" s="178"/>
      <c r="AC134" s="178"/>
      <c r="AD134" s="178"/>
      <c r="AE134" s="223"/>
      <c r="AG134" s="181" t="s">
        <v>646</v>
      </c>
      <c r="AH134" s="182">
        <v>5</v>
      </c>
      <c r="AI134" s="182">
        <v>100</v>
      </c>
      <c r="AJ134" s="182">
        <v>10</v>
      </c>
      <c r="AK134" s="159" t="s">
        <v>698</v>
      </c>
      <c r="AM134" s="161">
        <v>3</v>
      </c>
      <c r="AN134" s="161"/>
      <c r="AO134" s="161">
        <v>2</v>
      </c>
    </row>
    <row r="135" spans="3:41" x14ac:dyDescent="0.25">
      <c r="D135" s="177">
        <v>4</v>
      </c>
      <c r="E135" s="178" t="s">
        <v>5</v>
      </c>
      <c r="F135" s="180" t="s">
        <v>935</v>
      </c>
      <c r="G135" s="178">
        <v>115</v>
      </c>
      <c r="H135" s="178">
        <v>5</v>
      </c>
      <c r="I135" s="178">
        <v>10</v>
      </c>
      <c r="J135" s="178">
        <v>10</v>
      </c>
      <c r="K135" s="178">
        <v>3</v>
      </c>
      <c r="L135" s="180">
        <v>100</v>
      </c>
      <c r="M135" s="176"/>
      <c r="N135" s="177" t="s">
        <v>6434</v>
      </c>
      <c r="O135" s="178" t="s">
        <v>6438</v>
      </c>
      <c r="P135" s="178">
        <v>10</v>
      </c>
      <c r="Q135" s="179">
        <v>1</v>
      </c>
      <c r="R135" s="177" t="s">
        <v>922</v>
      </c>
      <c r="S135" s="178" t="s">
        <v>913</v>
      </c>
      <c r="T135" s="178">
        <v>10</v>
      </c>
      <c r="U135" s="179">
        <v>1</v>
      </c>
      <c r="V135" s="177" t="s">
        <v>702</v>
      </c>
      <c r="W135" s="178" t="s">
        <v>935</v>
      </c>
      <c r="X135" s="178">
        <v>10</v>
      </c>
      <c r="Y135" s="179">
        <v>1</v>
      </c>
      <c r="Z135" s="155"/>
      <c r="AA135" s="177"/>
      <c r="AB135" s="178"/>
      <c r="AC135" s="178"/>
      <c r="AD135" s="178"/>
      <c r="AE135" s="223"/>
      <c r="AM135" s="161">
        <v>4</v>
      </c>
      <c r="AN135" s="161"/>
      <c r="AO135" s="161">
        <v>1</v>
      </c>
    </row>
    <row r="136" spans="3:41" x14ac:dyDescent="0.25">
      <c r="D136" s="177">
        <v>5</v>
      </c>
      <c r="E136" s="178" t="s">
        <v>4</v>
      </c>
      <c r="F136" s="180" t="s">
        <v>1691</v>
      </c>
      <c r="G136" s="178">
        <v>100</v>
      </c>
      <c r="H136" s="178">
        <v>5</v>
      </c>
      <c r="I136" s="178">
        <v>10</v>
      </c>
      <c r="J136" s="178">
        <v>0</v>
      </c>
      <c r="K136" s="178">
        <v>0</v>
      </c>
      <c r="L136" s="180">
        <v>100</v>
      </c>
      <c r="M136" s="176"/>
      <c r="N136" s="177" t="s">
        <v>713</v>
      </c>
      <c r="O136" s="178" t="s">
        <v>523</v>
      </c>
      <c r="P136" s="178">
        <v>10</v>
      </c>
      <c r="Q136" s="179">
        <v>1</v>
      </c>
      <c r="R136" s="177" t="s">
        <v>721</v>
      </c>
      <c r="S136" s="178" t="s">
        <v>535</v>
      </c>
      <c r="T136" s="178">
        <v>10</v>
      </c>
      <c r="U136" s="179">
        <v>1</v>
      </c>
      <c r="V136" s="177" t="s">
        <v>742</v>
      </c>
      <c r="W136" s="178" t="s">
        <v>556</v>
      </c>
      <c r="X136" s="178">
        <v>10</v>
      </c>
      <c r="Y136" s="179">
        <v>1</v>
      </c>
      <c r="Z136" s="155"/>
      <c r="AA136" s="177"/>
      <c r="AB136" s="178"/>
      <c r="AC136" s="178"/>
      <c r="AD136" s="178"/>
      <c r="AE136" s="223"/>
      <c r="AM136" s="161">
        <v>5</v>
      </c>
      <c r="AN136" s="161"/>
      <c r="AO136" s="161"/>
    </row>
    <row r="137" spans="3:41" x14ac:dyDescent="0.25">
      <c r="D137" s="177">
        <v>5</v>
      </c>
      <c r="E137" s="178" t="s">
        <v>4</v>
      </c>
      <c r="F137" s="180" t="s">
        <v>212</v>
      </c>
      <c r="G137" s="178">
        <v>115</v>
      </c>
      <c r="H137" s="178">
        <v>5</v>
      </c>
      <c r="I137" s="178">
        <v>10</v>
      </c>
      <c r="J137" s="178">
        <v>10</v>
      </c>
      <c r="K137" s="178">
        <v>3</v>
      </c>
      <c r="L137" s="180">
        <v>100</v>
      </c>
      <c r="M137" s="176"/>
      <c r="N137" s="177" t="s">
        <v>713</v>
      </c>
      <c r="O137" s="178" t="s">
        <v>523</v>
      </c>
      <c r="P137" s="178">
        <v>10</v>
      </c>
      <c r="Q137" s="179">
        <v>1</v>
      </c>
      <c r="R137" s="177" t="s">
        <v>721</v>
      </c>
      <c r="S137" s="178" t="s">
        <v>535</v>
      </c>
      <c r="T137" s="178">
        <v>10</v>
      </c>
      <c r="U137" s="179">
        <v>1</v>
      </c>
      <c r="V137" s="177" t="s">
        <v>742</v>
      </c>
      <c r="W137" s="178" t="s">
        <v>556</v>
      </c>
      <c r="X137" s="178">
        <v>10</v>
      </c>
      <c r="Y137" s="179">
        <v>1</v>
      </c>
      <c r="Z137" s="155"/>
      <c r="AA137" s="177"/>
      <c r="AB137" s="178"/>
      <c r="AC137" s="178"/>
      <c r="AD137" s="178"/>
      <c r="AE137" s="223"/>
    </row>
    <row r="138" spans="3:41" x14ac:dyDescent="0.25">
      <c r="D138" s="181">
        <v>5</v>
      </c>
      <c r="E138" s="182" t="s">
        <v>4</v>
      </c>
      <c r="F138" s="159" t="s">
        <v>126</v>
      </c>
      <c r="G138" s="182">
        <v>100</v>
      </c>
      <c r="H138" s="182">
        <v>5</v>
      </c>
      <c r="I138" s="182">
        <v>10</v>
      </c>
      <c r="J138" s="182">
        <v>0</v>
      </c>
      <c r="K138" s="182">
        <v>0</v>
      </c>
      <c r="L138" s="159">
        <v>100</v>
      </c>
      <c r="M138" s="176"/>
      <c r="N138" s="181" t="s">
        <v>713</v>
      </c>
      <c r="O138" s="182" t="s">
        <v>523</v>
      </c>
      <c r="P138" s="182">
        <v>10</v>
      </c>
      <c r="Q138" s="183">
        <v>1</v>
      </c>
      <c r="R138" s="181" t="s">
        <v>721</v>
      </c>
      <c r="S138" s="182" t="s">
        <v>535</v>
      </c>
      <c r="T138" s="182">
        <v>10</v>
      </c>
      <c r="U138" s="183">
        <v>1</v>
      </c>
      <c r="V138" s="181" t="s">
        <v>742</v>
      </c>
      <c r="W138" s="182" t="s">
        <v>556</v>
      </c>
      <c r="X138" s="182">
        <v>10</v>
      </c>
      <c r="Y138" s="183">
        <v>1</v>
      </c>
      <c r="Z138" s="155"/>
      <c r="AA138" s="181"/>
      <c r="AB138" s="182"/>
      <c r="AC138" s="182"/>
      <c r="AD138" s="182"/>
      <c r="AE138" s="224"/>
    </row>
    <row r="139" spans="3:41" x14ac:dyDescent="0.25">
      <c r="C139" t="s">
        <v>6455</v>
      </c>
      <c r="D139" s="173">
        <v>5</v>
      </c>
      <c r="E139" s="174" t="s">
        <v>3</v>
      </c>
      <c r="F139" s="175" t="s">
        <v>1715</v>
      </c>
      <c r="G139" s="174">
        <v>100</v>
      </c>
      <c r="H139" s="174">
        <v>5</v>
      </c>
      <c r="I139" s="174">
        <v>10</v>
      </c>
      <c r="J139" s="174">
        <v>0</v>
      </c>
      <c r="K139" s="174">
        <v>0</v>
      </c>
      <c r="L139" s="175">
        <v>100</v>
      </c>
      <c r="M139" s="176"/>
      <c r="N139" s="177" t="s">
        <v>922</v>
      </c>
      <c r="O139" s="178" t="s">
        <v>931</v>
      </c>
      <c r="P139" s="178">
        <v>10</v>
      </c>
      <c r="Q139" s="179">
        <v>1</v>
      </c>
      <c r="R139" s="177" t="s">
        <v>9</v>
      </c>
      <c r="S139" s="178" t="s">
        <v>560</v>
      </c>
      <c r="T139" s="178">
        <v>10</v>
      </c>
      <c r="U139" s="179">
        <v>1</v>
      </c>
      <c r="V139" s="177" t="s">
        <v>733</v>
      </c>
      <c r="W139" s="178" t="s">
        <v>550</v>
      </c>
      <c r="X139" s="178">
        <v>10</v>
      </c>
      <c r="Y139" s="179">
        <v>1</v>
      </c>
      <c r="Z139" s="155"/>
      <c r="AA139" s="177"/>
      <c r="AB139" s="178"/>
      <c r="AC139" s="178"/>
      <c r="AD139" s="178"/>
      <c r="AE139" s="223"/>
      <c r="AG139" s="181" t="s">
        <v>646</v>
      </c>
      <c r="AH139" s="182">
        <v>5</v>
      </c>
      <c r="AI139" s="182">
        <v>100</v>
      </c>
      <c r="AJ139" s="182">
        <v>10</v>
      </c>
      <c r="AK139" s="159" t="s">
        <v>698</v>
      </c>
      <c r="AM139" s="161">
        <v>1</v>
      </c>
      <c r="AN139" s="161">
        <v>3</v>
      </c>
      <c r="AO139" s="161"/>
    </row>
    <row r="140" spans="3:41" x14ac:dyDescent="0.25">
      <c r="D140" s="177">
        <v>5</v>
      </c>
      <c r="E140" s="178" t="s">
        <v>3</v>
      </c>
      <c r="F140" s="180" t="s">
        <v>267</v>
      </c>
      <c r="G140" s="178">
        <v>110</v>
      </c>
      <c r="H140" s="178">
        <v>5</v>
      </c>
      <c r="I140" s="178">
        <v>10</v>
      </c>
      <c r="J140" s="178">
        <v>10</v>
      </c>
      <c r="K140" s="178">
        <v>2</v>
      </c>
      <c r="L140" s="180">
        <v>100</v>
      </c>
      <c r="M140" s="176"/>
      <c r="N140" s="177" t="s">
        <v>754</v>
      </c>
      <c r="O140" s="178" t="s">
        <v>554</v>
      </c>
      <c r="P140" s="178">
        <v>10</v>
      </c>
      <c r="Q140" s="179">
        <v>1</v>
      </c>
      <c r="R140" s="177" t="s">
        <v>9</v>
      </c>
      <c r="S140" s="178" t="s">
        <v>560</v>
      </c>
      <c r="T140" s="178">
        <v>10</v>
      </c>
      <c r="U140" s="179">
        <v>1</v>
      </c>
      <c r="V140" s="177" t="s">
        <v>733</v>
      </c>
      <c r="W140" s="178" t="s">
        <v>543</v>
      </c>
      <c r="X140" s="178">
        <v>10</v>
      </c>
      <c r="Y140" s="179">
        <v>1</v>
      </c>
      <c r="Z140" s="155"/>
      <c r="AA140" s="177"/>
      <c r="AB140" s="178"/>
      <c r="AC140" s="178"/>
      <c r="AD140" s="178"/>
      <c r="AE140" s="223"/>
      <c r="AM140" s="161">
        <v>2</v>
      </c>
      <c r="AN140" s="161">
        <v>4</v>
      </c>
      <c r="AO140" s="161"/>
    </row>
    <row r="141" spans="3:41" x14ac:dyDescent="0.25">
      <c r="D141" s="177">
        <v>6</v>
      </c>
      <c r="E141" s="178" t="s">
        <v>3</v>
      </c>
      <c r="F141" s="180" t="s">
        <v>837</v>
      </c>
      <c r="G141" s="178">
        <v>115</v>
      </c>
      <c r="H141" s="178">
        <v>5</v>
      </c>
      <c r="I141" s="178">
        <v>10</v>
      </c>
      <c r="J141" s="178">
        <v>10</v>
      </c>
      <c r="K141" s="178">
        <v>3</v>
      </c>
      <c r="L141" s="180">
        <v>100</v>
      </c>
      <c r="M141" s="176"/>
      <c r="N141" s="177" t="s">
        <v>754</v>
      </c>
      <c r="O141" s="178" t="s">
        <v>554</v>
      </c>
      <c r="P141" s="178">
        <v>10</v>
      </c>
      <c r="Q141" s="179">
        <v>1</v>
      </c>
      <c r="R141" s="177" t="s">
        <v>9</v>
      </c>
      <c r="S141" s="178" t="s">
        <v>560</v>
      </c>
      <c r="T141" s="178">
        <v>10</v>
      </c>
      <c r="U141" s="179">
        <v>1</v>
      </c>
      <c r="V141" s="177" t="s">
        <v>702</v>
      </c>
      <c r="W141" s="178" t="s">
        <v>837</v>
      </c>
      <c r="X141" s="178">
        <v>10</v>
      </c>
      <c r="Y141" s="179">
        <v>1</v>
      </c>
      <c r="Z141" s="155"/>
      <c r="AA141" s="177"/>
      <c r="AB141" s="178"/>
      <c r="AC141" s="178"/>
      <c r="AD141" s="178"/>
      <c r="AE141" s="223"/>
      <c r="AM141" s="161">
        <v>5</v>
      </c>
      <c r="AN141" s="161"/>
      <c r="AO141" s="161"/>
    </row>
    <row r="142" spans="3:41" x14ac:dyDescent="0.25">
      <c r="D142" s="177">
        <v>4</v>
      </c>
      <c r="E142" s="178" t="s">
        <v>5</v>
      </c>
      <c r="F142" s="180" t="s">
        <v>716</v>
      </c>
      <c r="G142" s="178">
        <v>110</v>
      </c>
      <c r="H142" s="178">
        <v>5</v>
      </c>
      <c r="I142" s="178">
        <v>10</v>
      </c>
      <c r="J142" s="178">
        <v>10</v>
      </c>
      <c r="K142" s="178">
        <v>2</v>
      </c>
      <c r="L142" s="180">
        <v>100</v>
      </c>
      <c r="M142" s="176"/>
      <c r="N142" s="177" t="s">
        <v>6434</v>
      </c>
      <c r="O142" s="178" t="s">
        <v>6438</v>
      </c>
      <c r="P142" s="178">
        <v>10</v>
      </c>
      <c r="Q142" s="179">
        <v>1</v>
      </c>
      <c r="R142" s="177" t="s">
        <v>922</v>
      </c>
      <c r="S142" s="178" t="s">
        <v>913</v>
      </c>
      <c r="T142" s="178">
        <v>10</v>
      </c>
      <c r="U142" s="179">
        <v>1</v>
      </c>
      <c r="V142" s="177" t="s">
        <v>638</v>
      </c>
      <c r="W142" s="178" t="s">
        <v>6448</v>
      </c>
      <c r="X142" s="178">
        <v>10</v>
      </c>
      <c r="Y142" s="179">
        <v>1</v>
      </c>
      <c r="Z142" s="155"/>
      <c r="AA142" s="177"/>
      <c r="AB142" s="178"/>
      <c r="AC142" s="178"/>
      <c r="AD142" s="178"/>
      <c r="AE142" s="223"/>
    </row>
    <row r="143" spans="3:41" x14ac:dyDescent="0.25">
      <c r="D143" s="181">
        <v>5</v>
      </c>
      <c r="E143" s="182" t="s">
        <v>6</v>
      </c>
      <c r="F143" s="159" t="s">
        <v>171</v>
      </c>
      <c r="G143" s="182">
        <v>100</v>
      </c>
      <c r="H143" s="182">
        <v>5</v>
      </c>
      <c r="I143" s="182">
        <v>10</v>
      </c>
      <c r="J143" s="182">
        <v>0</v>
      </c>
      <c r="K143" s="182">
        <v>0</v>
      </c>
      <c r="L143" s="159">
        <v>100</v>
      </c>
      <c r="M143" s="176"/>
      <c r="N143" s="181" t="s">
        <v>713</v>
      </c>
      <c r="O143" s="182" t="s">
        <v>523</v>
      </c>
      <c r="P143" s="182">
        <v>10</v>
      </c>
      <c r="Q143" s="183">
        <v>1</v>
      </c>
      <c r="R143" s="181" t="s">
        <v>721</v>
      </c>
      <c r="S143" s="182" t="s">
        <v>535</v>
      </c>
      <c r="T143" s="182">
        <v>10</v>
      </c>
      <c r="U143" s="183">
        <v>1</v>
      </c>
      <c r="V143" s="181" t="s">
        <v>743</v>
      </c>
      <c r="W143" s="182" t="s">
        <v>572</v>
      </c>
      <c r="X143" s="182">
        <v>10</v>
      </c>
      <c r="Y143" s="183">
        <v>1</v>
      </c>
      <c r="Z143" s="155"/>
      <c r="AA143" s="181"/>
      <c r="AB143" s="182"/>
      <c r="AC143" s="182"/>
      <c r="AD143" s="182"/>
      <c r="AE143" s="224"/>
    </row>
    <row r="144" spans="3:41" x14ac:dyDescent="0.25">
      <c r="C144" t="s">
        <v>6523</v>
      </c>
      <c r="D144" s="173">
        <v>5</v>
      </c>
      <c r="E144" s="174" t="s">
        <v>4</v>
      </c>
      <c r="F144" s="175" t="s">
        <v>212</v>
      </c>
      <c r="G144" s="174">
        <v>100</v>
      </c>
      <c r="H144" s="174">
        <v>5</v>
      </c>
      <c r="I144" s="174">
        <v>10</v>
      </c>
      <c r="J144" s="174">
        <v>0</v>
      </c>
      <c r="K144" s="174">
        <v>0</v>
      </c>
      <c r="L144" s="175">
        <v>100</v>
      </c>
      <c r="M144" s="176"/>
      <c r="N144" s="177" t="s">
        <v>713</v>
      </c>
      <c r="O144" s="178" t="s">
        <v>523</v>
      </c>
      <c r="P144" s="178">
        <v>10</v>
      </c>
      <c r="Q144" s="179">
        <v>1</v>
      </c>
      <c r="R144" s="177" t="s">
        <v>922</v>
      </c>
      <c r="S144" s="178" t="s">
        <v>919</v>
      </c>
      <c r="T144" s="178">
        <v>10</v>
      </c>
      <c r="U144" s="179">
        <v>1</v>
      </c>
      <c r="V144" s="177" t="s">
        <v>742</v>
      </c>
      <c r="W144" s="178" t="s">
        <v>556</v>
      </c>
      <c r="X144" s="178">
        <v>10</v>
      </c>
      <c r="Y144" s="179">
        <v>1</v>
      </c>
      <c r="Z144" s="155"/>
      <c r="AA144" s="177"/>
      <c r="AB144" s="178"/>
      <c r="AC144" s="178"/>
      <c r="AD144" s="178"/>
      <c r="AE144" s="223"/>
      <c r="AG144" s="181" t="s">
        <v>638</v>
      </c>
      <c r="AH144" s="182">
        <v>5</v>
      </c>
      <c r="AI144" s="182">
        <v>100</v>
      </c>
      <c r="AJ144" s="182">
        <v>10</v>
      </c>
      <c r="AK144" s="159" t="s">
        <v>698</v>
      </c>
      <c r="AM144" s="161">
        <v>2</v>
      </c>
      <c r="AN144" s="161"/>
      <c r="AO144" s="161"/>
    </row>
    <row r="145" spans="3:41" x14ac:dyDescent="0.25">
      <c r="D145" s="177">
        <v>5</v>
      </c>
      <c r="E145" s="178" t="s">
        <v>4</v>
      </c>
      <c r="F145" s="180" t="s">
        <v>1706</v>
      </c>
      <c r="G145" s="178">
        <v>100</v>
      </c>
      <c r="H145" s="178">
        <v>5</v>
      </c>
      <c r="I145" s="178">
        <v>10</v>
      </c>
      <c r="J145" s="178">
        <v>0</v>
      </c>
      <c r="K145" s="178">
        <v>0</v>
      </c>
      <c r="L145" s="180">
        <v>100</v>
      </c>
      <c r="M145" s="176"/>
      <c r="N145" s="177" t="s">
        <v>713</v>
      </c>
      <c r="O145" s="178" t="s">
        <v>523</v>
      </c>
      <c r="P145" s="178">
        <v>10</v>
      </c>
      <c r="Q145" s="179">
        <v>1</v>
      </c>
      <c r="R145" s="177" t="s">
        <v>922</v>
      </c>
      <c r="S145" s="178" t="s">
        <v>919</v>
      </c>
      <c r="T145" s="178">
        <v>10</v>
      </c>
      <c r="U145" s="179">
        <v>1</v>
      </c>
      <c r="V145" s="177" t="s">
        <v>742</v>
      </c>
      <c r="W145" s="178" t="s">
        <v>556</v>
      </c>
      <c r="X145" s="178">
        <v>10</v>
      </c>
      <c r="Y145" s="179">
        <v>1</v>
      </c>
      <c r="Z145" s="155"/>
      <c r="AA145" s="177"/>
      <c r="AB145" s="178"/>
      <c r="AC145" s="178"/>
      <c r="AD145" s="178"/>
      <c r="AE145" s="223"/>
      <c r="AM145" s="161">
        <v>1</v>
      </c>
      <c r="AN145" s="161"/>
      <c r="AO145" s="161">
        <v>4</v>
      </c>
    </row>
    <row r="146" spans="3:41" x14ac:dyDescent="0.25">
      <c r="D146" s="177">
        <v>5</v>
      </c>
      <c r="E146" s="178" t="s">
        <v>4</v>
      </c>
      <c r="F146" s="180" t="s">
        <v>241</v>
      </c>
      <c r="G146" s="178">
        <v>100</v>
      </c>
      <c r="H146" s="178">
        <v>5</v>
      </c>
      <c r="I146" s="178">
        <v>10</v>
      </c>
      <c r="J146" s="178">
        <v>0</v>
      </c>
      <c r="K146" s="178">
        <v>0</v>
      </c>
      <c r="L146" s="180">
        <v>100</v>
      </c>
      <c r="M146" s="176"/>
      <c r="N146" s="177" t="s">
        <v>713</v>
      </c>
      <c r="O146" s="178" t="s">
        <v>523</v>
      </c>
      <c r="P146" s="178">
        <v>10</v>
      </c>
      <c r="Q146" s="179">
        <v>1</v>
      </c>
      <c r="R146" s="177" t="s">
        <v>922</v>
      </c>
      <c r="S146" s="178" t="s">
        <v>919</v>
      </c>
      <c r="T146" s="178">
        <v>10</v>
      </c>
      <c r="U146" s="179">
        <v>1</v>
      </c>
      <c r="V146" s="177" t="s">
        <v>742</v>
      </c>
      <c r="W146" s="178" t="s">
        <v>556</v>
      </c>
      <c r="X146" s="178">
        <v>10</v>
      </c>
      <c r="Y146" s="179">
        <v>1</v>
      </c>
      <c r="Z146" s="155"/>
      <c r="AA146" s="177"/>
      <c r="AB146" s="178"/>
      <c r="AC146" s="178"/>
      <c r="AD146" s="178"/>
      <c r="AE146" s="223"/>
      <c r="AM146" s="161">
        <v>3</v>
      </c>
      <c r="AN146" s="161">
        <v>5</v>
      </c>
      <c r="AO146" s="161"/>
    </row>
    <row r="147" spans="3:41" x14ac:dyDescent="0.25">
      <c r="D147" s="177">
        <v>5</v>
      </c>
      <c r="E147" s="178" t="s">
        <v>5</v>
      </c>
      <c r="F147" s="180" t="s">
        <v>813</v>
      </c>
      <c r="G147" s="178">
        <v>100</v>
      </c>
      <c r="H147" s="178">
        <v>5</v>
      </c>
      <c r="I147" s="178">
        <v>10</v>
      </c>
      <c r="J147" s="178">
        <v>0</v>
      </c>
      <c r="K147" s="178">
        <v>0</v>
      </c>
      <c r="L147" s="180">
        <v>100</v>
      </c>
      <c r="M147" s="176"/>
      <c r="N147" s="177" t="s">
        <v>6434</v>
      </c>
      <c r="O147" s="178" t="s">
        <v>6438</v>
      </c>
      <c r="P147" s="178">
        <v>10</v>
      </c>
      <c r="Q147" s="179">
        <v>1</v>
      </c>
      <c r="R147" s="177" t="s">
        <v>922</v>
      </c>
      <c r="S147" s="178" t="s">
        <v>913</v>
      </c>
      <c r="T147" s="178">
        <v>10</v>
      </c>
      <c r="U147" s="179">
        <v>1</v>
      </c>
      <c r="V147" s="177" t="s">
        <v>638</v>
      </c>
      <c r="W147" s="178" t="s">
        <v>546</v>
      </c>
      <c r="X147" s="178">
        <v>10</v>
      </c>
      <c r="Y147" s="179">
        <v>1</v>
      </c>
      <c r="Z147" s="155"/>
      <c r="AA147" s="177"/>
      <c r="AB147" s="178"/>
      <c r="AC147" s="178"/>
      <c r="AD147" s="178"/>
      <c r="AE147" s="223"/>
    </row>
    <row r="148" spans="3:41" x14ac:dyDescent="0.25">
      <c r="D148" s="181">
        <v>5</v>
      </c>
      <c r="E148" s="182" t="s">
        <v>3</v>
      </c>
      <c r="F148" s="159" t="s">
        <v>197</v>
      </c>
      <c r="G148" s="182">
        <v>100</v>
      </c>
      <c r="H148" s="182">
        <v>5</v>
      </c>
      <c r="I148" s="182">
        <v>10</v>
      </c>
      <c r="J148" s="182">
        <v>0</v>
      </c>
      <c r="K148" s="182">
        <v>0</v>
      </c>
      <c r="L148" s="159">
        <v>100</v>
      </c>
      <c r="M148" s="176"/>
      <c r="N148" s="181" t="s">
        <v>754</v>
      </c>
      <c r="O148" s="182" t="s">
        <v>554</v>
      </c>
      <c r="P148" s="182">
        <v>10</v>
      </c>
      <c r="Q148" s="183">
        <v>1</v>
      </c>
      <c r="R148" s="181" t="s">
        <v>9</v>
      </c>
      <c r="S148" s="182" t="s">
        <v>560</v>
      </c>
      <c r="T148" s="182">
        <v>10</v>
      </c>
      <c r="U148" s="183">
        <v>1</v>
      </c>
      <c r="V148" s="181" t="s">
        <v>733</v>
      </c>
      <c r="W148" s="182" t="s">
        <v>543</v>
      </c>
      <c r="X148" s="182">
        <v>10</v>
      </c>
      <c r="Y148" s="183">
        <v>1</v>
      </c>
      <c r="Z148" s="155"/>
      <c r="AA148" s="181"/>
      <c r="AB148" s="182"/>
      <c r="AC148" s="182"/>
      <c r="AD148" s="182"/>
      <c r="AE148" s="224"/>
    </row>
    <row r="149" spans="3:41" x14ac:dyDescent="0.25">
      <c r="C149" t="s">
        <v>6593</v>
      </c>
      <c r="D149" s="173">
        <v>5</v>
      </c>
      <c r="E149" s="174" t="s">
        <v>5</v>
      </c>
      <c r="F149" s="175" t="s">
        <v>813</v>
      </c>
      <c r="G149" s="174">
        <v>100</v>
      </c>
      <c r="H149" s="174">
        <v>5</v>
      </c>
      <c r="I149" s="174">
        <v>10</v>
      </c>
      <c r="J149" s="174">
        <v>0</v>
      </c>
      <c r="K149" s="174">
        <v>0</v>
      </c>
      <c r="L149" s="175">
        <v>100</v>
      </c>
      <c r="M149" s="176"/>
      <c r="N149" s="177" t="s">
        <v>6434</v>
      </c>
      <c r="O149" s="178" t="s">
        <v>6438</v>
      </c>
      <c r="P149" s="178">
        <v>10</v>
      </c>
      <c r="Q149" s="179">
        <v>1</v>
      </c>
      <c r="R149" s="177" t="s">
        <v>922</v>
      </c>
      <c r="S149" s="178" t="s">
        <v>913</v>
      </c>
      <c r="T149" s="178">
        <v>10</v>
      </c>
      <c r="U149" s="179">
        <v>1</v>
      </c>
      <c r="V149" s="177" t="s">
        <v>638</v>
      </c>
      <c r="W149" s="178" t="s">
        <v>546</v>
      </c>
      <c r="X149" s="178">
        <v>10</v>
      </c>
      <c r="Y149" s="179">
        <v>1</v>
      </c>
      <c r="Z149" s="155"/>
      <c r="AA149" s="177"/>
      <c r="AB149" s="178"/>
      <c r="AC149" s="178"/>
      <c r="AD149" s="178"/>
      <c r="AE149" s="223"/>
      <c r="AG149" s="181" t="s">
        <v>656</v>
      </c>
      <c r="AH149" s="182">
        <v>5</v>
      </c>
      <c r="AI149" s="182">
        <v>100</v>
      </c>
      <c r="AJ149" s="182">
        <v>10</v>
      </c>
      <c r="AK149" s="159" t="s">
        <v>698</v>
      </c>
      <c r="AM149" s="161">
        <v>3</v>
      </c>
      <c r="AN149" s="161"/>
      <c r="AO149" s="161"/>
    </row>
    <row r="150" spans="3:41" x14ac:dyDescent="0.25">
      <c r="D150" s="177">
        <v>5</v>
      </c>
      <c r="E150" s="178" t="s">
        <v>4</v>
      </c>
      <c r="F150" s="180" t="s">
        <v>212</v>
      </c>
      <c r="G150" s="178">
        <v>100</v>
      </c>
      <c r="H150" s="178">
        <v>5</v>
      </c>
      <c r="I150" s="178">
        <v>10</v>
      </c>
      <c r="J150" s="178">
        <v>0</v>
      </c>
      <c r="K150" s="178">
        <v>0</v>
      </c>
      <c r="L150" s="180">
        <v>100</v>
      </c>
      <c r="M150" s="176"/>
      <c r="N150" s="177" t="s">
        <v>713</v>
      </c>
      <c r="O150" s="178" t="s">
        <v>523</v>
      </c>
      <c r="P150" s="178">
        <v>10</v>
      </c>
      <c r="Q150" s="179">
        <v>1</v>
      </c>
      <c r="R150" s="177" t="s">
        <v>922</v>
      </c>
      <c r="S150" s="178" t="s">
        <v>919</v>
      </c>
      <c r="T150" s="178">
        <v>10</v>
      </c>
      <c r="U150" s="179">
        <v>1</v>
      </c>
      <c r="V150" s="177" t="s">
        <v>742</v>
      </c>
      <c r="W150" s="178" t="s">
        <v>556</v>
      </c>
      <c r="X150" s="178">
        <v>10</v>
      </c>
      <c r="Y150" s="179">
        <v>1</v>
      </c>
      <c r="Z150" s="155"/>
      <c r="AA150" s="177"/>
      <c r="AB150" s="178"/>
      <c r="AC150" s="178"/>
      <c r="AD150" s="178"/>
      <c r="AE150" s="223"/>
      <c r="AM150" s="161">
        <v>2</v>
      </c>
      <c r="AN150" s="161"/>
      <c r="AO150" s="161">
        <v>1</v>
      </c>
    </row>
    <row r="151" spans="3:41" x14ac:dyDescent="0.25">
      <c r="D151" s="177">
        <v>5</v>
      </c>
      <c r="E151" s="178" t="s">
        <v>4</v>
      </c>
      <c r="F151" s="180" t="s">
        <v>1706</v>
      </c>
      <c r="G151" s="178">
        <v>100</v>
      </c>
      <c r="H151" s="178">
        <v>5</v>
      </c>
      <c r="I151" s="178">
        <v>10</v>
      </c>
      <c r="J151" s="178">
        <v>0</v>
      </c>
      <c r="K151" s="178">
        <v>0</v>
      </c>
      <c r="L151" s="180">
        <v>100</v>
      </c>
      <c r="M151" s="176"/>
      <c r="N151" s="177" t="s">
        <v>713</v>
      </c>
      <c r="O151" s="178" t="s">
        <v>523</v>
      </c>
      <c r="P151" s="178">
        <v>10</v>
      </c>
      <c r="Q151" s="179">
        <v>1</v>
      </c>
      <c r="R151" s="177" t="s">
        <v>922</v>
      </c>
      <c r="S151" s="178" t="s">
        <v>919</v>
      </c>
      <c r="T151" s="178">
        <v>10</v>
      </c>
      <c r="U151" s="179">
        <v>1</v>
      </c>
      <c r="V151" s="177" t="s">
        <v>742</v>
      </c>
      <c r="W151" s="178" t="s">
        <v>556</v>
      </c>
      <c r="X151" s="178">
        <v>10</v>
      </c>
      <c r="Y151" s="179">
        <v>1</v>
      </c>
      <c r="Z151" s="155"/>
      <c r="AA151" s="177"/>
      <c r="AB151" s="178"/>
      <c r="AC151" s="178"/>
      <c r="AD151" s="178"/>
      <c r="AE151" s="223"/>
      <c r="AM151" s="161">
        <v>4</v>
      </c>
      <c r="AN151" s="161">
        <v>5</v>
      </c>
      <c r="AO151" s="161"/>
    </row>
    <row r="152" spans="3:41" x14ac:dyDescent="0.25">
      <c r="D152" s="177">
        <v>5</v>
      </c>
      <c r="E152" s="178" t="s">
        <v>4</v>
      </c>
      <c r="F152" s="180" t="s">
        <v>241</v>
      </c>
      <c r="G152" s="178">
        <v>100</v>
      </c>
      <c r="H152" s="178">
        <v>5</v>
      </c>
      <c r="I152" s="178">
        <v>10</v>
      </c>
      <c r="J152" s="178">
        <v>0</v>
      </c>
      <c r="K152" s="178">
        <v>0</v>
      </c>
      <c r="L152" s="180">
        <v>100</v>
      </c>
      <c r="M152" s="176"/>
      <c r="N152" s="177" t="s">
        <v>713</v>
      </c>
      <c r="O152" s="178" t="s">
        <v>523</v>
      </c>
      <c r="P152" s="178">
        <v>10</v>
      </c>
      <c r="Q152" s="179">
        <v>1</v>
      </c>
      <c r="R152" s="177" t="s">
        <v>922</v>
      </c>
      <c r="S152" s="178" t="s">
        <v>919</v>
      </c>
      <c r="T152" s="178">
        <v>10</v>
      </c>
      <c r="U152" s="179">
        <v>1</v>
      </c>
      <c r="V152" s="177" t="s">
        <v>742</v>
      </c>
      <c r="W152" s="178" t="s">
        <v>556</v>
      </c>
      <c r="X152" s="178">
        <v>10</v>
      </c>
      <c r="Y152" s="179">
        <v>1</v>
      </c>
      <c r="Z152" s="155"/>
      <c r="AA152" s="177"/>
      <c r="AB152" s="178"/>
      <c r="AC152" s="178"/>
      <c r="AD152" s="178"/>
      <c r="AE152" s="223"/>
    </row>
    <row r="153" spans="3:41" x14ac:dyDescent="0.25">
      <c r="D153" s="181">
        <v>5</v>
      </c>
      <c r="E153" s="182" t="s">
        <v>3</v>
      </c>
      <c r="F153" s="159" t="s">
        <v>197</v>
      </c>
      <c r="G153" s="182">
        <v>100</v>
      </c>
      <c r="H153" s="182">
        <v>5</v>
      </c>
      <c r="I153" s="182">
        <v>10</v>
      </c>
      <c r="J153" s="182">
        <v>0</v>
      </c>
      <c r="K153" s="182">
        <v>0</v>
      </c>
      <c r="L153" s="159">
        <v>100</v>
      </c>
      <c r="M153" s="176"/>
      <c r="N153" s="181" t="s">
        <v>754</v>
      </c>
      <c r="O153" s="182" t="s">
        <v>554</v>
      </c>
      <c r="P153" s="182">
        <v>10</v>
      </c>
      <c r="Q153" s="183">
        <v>1</v>
      </c>
      <c r="R153" s="181" t="s">
        <v>9</v>
      </c>
      <c r="S153" s="182" t="s">
        <v>560</v>
      </c>
      <c r="T153" s="182">
        <v>10</v>
      </c>
      <c r="U153" s="183">
        <v>1</v>
      </c>
      <c r="V153" s="181" t="s">
        <v>733</v>
      </c>
      <c r="W153" s="182" t="s">
        <v>543</v>
      </c>
      <c r="X153" s="182">
        <v>10</v>
      </c>
      <c r="Y153" s="183">
        <v>1</v>
      </c>
      <c r="Z153" s="155"/>
      <c r="AA153" s="181"/>
      <c r="AB153" s="182"/>
      <c r="AC153" s="182"/>
      <c r="AD153" s="182"/>
      <c r="AE153" s="224"/>
    </row>
  </sheetData>
  <sortState ref="A4:A153">
    <sortCondition ref="A4"/>
  </sortState>
  <dataValidations count="7">
    <dataValidation type="list" allowBlank="1" showInputMessage="1" showErrorMessage="1" sqref="AJ39 AJ44 AJ49 AJ54 AJ59 AJ64 AJ69 AJ144 AJ79 AJ84 AJ139 AJ94 AJ99 AJ104 AJ109 AJ114 AJ119 AJ124 AJ129 AJ134" xr:uid="{277BBFE5-6D5E-4D2E-AAD6-2898E709E2AF}">
      <formula1>"1,2,3,4,5,6,7,8,9,10"</formula1>
    </dataValidation>
    <dataValidation type="custom" allowBlank="1" showInputMessage="1" showErrorMessage="1" sqref="AM44:AO46 AM49:AO51" xr:uid="{FF47CFD0-4FA7-4235-A94B-C45A5AE3B9E1}">
      <formula1>AND(COUNTA($H$14:$J$15)&lt;=5,COUNTIF($H$14:$J$15,1)&lt;=1,COUNTIF($H$14:$J$15,2)&lt;=1,COUNTIF($H$14:$J$15,3)&lt;=1,COUNTIF($H$14:$J$15,4)&lt;=1,COUNTIF($H$14:$J$15,5)&lt;=1)</formula1>
    </dataValidation>
    <dataValidation type="custom" allowBlank="1" showInputMessage="1" showErrorMessage="1" sqref="AM54:AO56" xr:uid="{D9C71C8A-5D95-46B2-BA0F-A675CA28B330}">
      <formula1>AND(COUNTA($H$18:$J$20)&lt;=5,COUNTIF($H$18:$J$20,1)&lt;=1,COUNTIF($H$18:$J$20,2)&lt;=1,COUNTIF($H$18:$J$20,3)&lt;=1,COUNTIF($H$18:$J$20,4)&lt;=1,COUNTIF($H$18:$J$20,5)&lt;=1)</formula1>
    </dataValidation>
    <dataValidation type="custom" allowBlank="1" showInputMessage="1" showErrorMessage="1" sqref="AM59:AO61" xr:uid="{C70FB40B-16D2-442D-BE98-FF19A8038C26}">
      <formula1>AND(COUNTA($H$23:$J$25)&lt;=5,COUNTIF($H$23:$J$25,1)&lt;=1,COUNTIF($H$23:$J$25,2)&lt;=1,COUNTIF($H$23:$J$25,3)&lt;=1,COUNTIF($H$23:$J$25,4)&lt;=1,COUNTIF($H$23:$J$25,5)&lt;=1)</formula1>
    </dataValidation>
    <dataValidation type="custom" allowBlank="1" showInputMessage="1" showErrorMessage="1" sqref="AM64:AO66 AM69:AO71 AM39:AO41 AM79:AO81 AM84:AO86 AM144:AO146 AM94:AO96 AM99:AO101 AM104:AO106 AM109:AO111 AM114:AO116 AM119:AO121 AM124:AO126 AM129:AO131 AM134:AO136 AM139:AO141" xr:uid="{4BE495A8-2A33-402E-AA77-81175DD4EE27}">
      <formula1>AND(COUNTA($H$28:$J$30)&lt;=5,COUNTIF($H$28:$J$30,1)&lt;=1,COUNTIF($H$28:$J$30,2)&lt;=1,COUNTIF($H$28:$J$30,3)&lt;=1,COUNTIF($H$28:$J$30,4)&lt;=1,COUNTIF($H$28:$J$30,5)&lt;=1)</formula1>
    </dataValidation>
    <dataValidation type="list" allowBlank="1" showInputMessage="1" showErrorMessage="1" sqref="AJ149 AJ74 AJ89" xr:uid="{A5A85E1A-5441-4189-81E8-3AC78F0B5E3D}">
      <formula1>"0,1,2,3,4,5,6,7,8,9,10"</formula1>
    </dataValidation>
    <dataValidation type="custom" allowBlank="1" showInputMessage="1" showErrorMessage="1" sqref="AM149:AO151 AM74:AO76 AM89:AO91" xr:uid="{F1B2FC6B-9DB9-4951-BBAA-8704B52F8E29}">
      <formula1>AND(COUNTA($H$27:$J$29)&lt;=5,COUNTIF($H$27:$J$29,1)&lt;=1,COUNTIF($H$27:$J$29,2)&lt;=1,COUNTIF($H$27:$J$29,3)&lt;=1,COUNTIF($H$27:$J$29,4)&lt;=1,COUNTIF($H$27:$J$29,5)&lt;=1)</formula1>
    </dataValidation>
  </dataValidations>
  <pageMargins left="0.7" right="0.7" top="0.75" bottom="0.75" header="0.3" footer="0.3"/>
  <legacy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372E740-9B65-43F0-B35F-EF07EB2CF4C6}">
          <x14:formula1>
            <xm:f>'Talent Data'!$A$2:$A$100</xm:f>
          </x14:formula1>
          <xm:sqref>AK144 AK44 AK49 AK54 AK59 AK64 AK69 AK149 AK79 AK84 AK74 AK94 AK99 AK104 AK109 AK114 AK119 AK124 AK129 AK134 AK139 AK39 AK89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DB2D5-D549-4CBA-BC5F-743EA234DDAB}">
  <sheetPr codeName="Sheet27"/>
  <dimension ref="A2:U66"/>
  <sheetViews>
    <sheetView topLeftCell="A30" zoomScaleNormal="100" workbookViewId="0">
      <pane xSplit="2" topLeftCell="C1" activePane="topRight" state="frozen"/>
      <selection pane="topRight" activeCell="A30" sqref="A30"/>
    </sheetView>
  </sheetViews>
  <sheetFormatPr defaultRowHeight="15" x14ac:dyDescent="0.25"/>
  <cols>
    <col min="1" max="1" width="13.85546875" bestFit="1" customWidth="1"/>
    <col min="3" max="3" width="18.140625" bestFit="1" customWidth="1"/>
  </cols>
  <sheetData>
    <row r="2" spans="1:21" x14ac:dyDescent="0.25">
      <c r="D2" s="168" t="s">
        <v>5731</v>
      </c>
      <c r="E2" s="166"/>
      <c r="F2" s="166"/>
      <c r="G2" s="166"/>
      <c r="H2" s="166"/>
      <c r="I2" s="166"/>
      <c r="J2" s="168" t="s">
        <v>769</v>
      </c>
      <c r="K2" s="166"/>
      <c r="L2" s="166"/>
      <c r="M2" s="167"/>
      <c r="N2" s="168" t="s">
        <v>1051</v>
      </c>
      <c r="O2" s="167"/>
    </row>
    <row r="3" spans="1:21" x14ac:dyDescent="0.25">
      <c r="A3" s="10" t="s">
        <v>975</v>
      </c>
      <c r="D3" s="172" t="s">
        <v>8</v>
      </c>
      <c r="E3" s="170" t="s">
        <v>18</v>
      </c>
      <c r="F3" s="170" t="s">
        <v>1793</v>
      </c>
      <c r="G3" s="170" t="s">
        <v>1792</v>
      </c>
      <c r="H3" s="170" t="s">
        <v>1054</v>
      </c>
      <c r="I3" s="170" t="s">
        <v>60</v>
      </c>
      <c r="J3" s="172">
        <v>1</v>
      </c>
      <c r="K3" s="170">
        <v>2</v>
      </c>
      <c r="L3" s="170">
        <v>3</v>
      </c>
      <c r="M3" s="171">
        <v>4</v>
      </c>
      <c r="N3" s="172">
        <v>1</v>
      </c>
      <c r="O3" s="171">
        <v>2</v>
      </c>
      <c r="Q3" s="191" t="s">
        <v>1130</v>
      </c>
    </row>
    <row r="4" spans="1:21" x14ac:dyDescent="0.25">
      <c r="A4" t="s">
        <v>5732</v>
      </c>
      <c r="C4" t="s">
        <v>5732</v>
      </c>
      <c r="D4" s="173" t="s">
        <v>996</v>
      </c>
      <c r="E4" s="174">
        <v>100</v>
      </c>
      <c r="F4" s="174">
        <v>5</v>
      </c>
      <c r="G4" s="174">
        <v>4</v>
      </c>
      <c r="H4" s="174"/>
      <c r="I4" s="175">
        <v>100</v>
      </c>
      <c r="J4" s="178">
        <v>10</v>
      </c>
      <c r="K4" s="178">
        <v>10</v>
      </c>
      <c r="L4" s="178">
        <v>5</v>
      </c>
      <c r="M4" s="180">
        <v>5</v>
      </c>
      <c r="N4" s="177" t="s">
        <v>1096</v>
      </c>
      <c r="O4" s="180" t="s">
        <v>1105</v>
      </c>
      <c r="Q4" s="192"/>
      <c r="S4" s="161">
        <v>3</v>
      </c>
      <c r="T4" s="161"/>
      <c r="U4" s="161"/>
    </row>
    <row r="5" spans="1:21" x14ac:dyDescent="0.25">
      <c r="A5" t="s">
        <v>5733</v>
      </c>
      <c r="D5" s="177" t="s">
        <v>1018</v>
      </c>
      <c r="E5" s="178">
        <v>100</v>
      </c>
      <c r="F5" s="178">
        <v>5</v>
      </c>
      <c r="G5" s="178">
        <v>4</v>
      </c>
      <c r="H5" s="178" t="s">
        <v>1053</v>
      </c>
      <c r="I5" s="180">
        <v>100</v>
      </c>
      <c r="J5" s="178">
        <v>5</v>
      </c>
      <c r="K5" s="178">
        <v>5</v>
      </c>
      <c r="L5" s="178"/>
      <c r="M5" s="180"/>
      <c r="N5" s="177"/>
      <c r="O5" s="180"/>
      <c r="Q5" s="192"/>
      <c r="S5" s="161">
        <v>4</v>
      </c>
      <c r="T5" s="161">
        <v>1</v>
      </c>
      <c r="U5" s="161"/>
    </row>
    <row r="6" spans="1:21" x14ac:dyDescent="0.25">
      <c r="A6" t="s">
        <v>6395</v>
      </c>
      <c r="D6" s="177" t="s">
        <v>1031</v>
      </c>
      <c r="E6" s="178">
        <v>100</v>
      </c>
      <c r="F6" s="178">
        <v>5</v>
      </c>
      <c r="G6" s="178">
        <v>4</v>
      </c>
      <c r="H6" s="178" t="s">
        <v>1053</v>
      </c>
      <c r="I6" s="180">
        <v>100</v>
      </c>
      <c r="J6" s="178">
        <v>5</v>
      </c>
      <c r="K6" s="178"/>
      <c r="L6" s="178"/>
      <c r="M6" s="180"/>
      <c r="N6" s="177"/>
      <c r="O6" s="180"/>
      <c r="Q6" s="192"/>
      <c r="S6" s="161">
        <v>5</v>
      </c>
      <c r="T6" s="161">
        <v>2</v>
      </c>
      <c r="U6" s="161"/>
    </row>
    <row r="7" spans="1:21" x14ac:dyDescent="0.25">
      <c r="A7" t="s">
        <v>6396</v>
      </c>
      <c r="D7" s="177" t="s">
        <v>1031</v>
      </c>
      <c r="E7" s="178">
        <v>100</v>
      </c>
      <c r="F7" s="178">
        <v>5</v>
      </c>
      <c r="G7" s="178">
        <v>4</v>
      </c>
      <c r="H7" s="178" t="s">
        <v>1053</v>
      </c>
      <c r="I7" s="180">
        <v>100</v>
      </c>
      <c r="J7" s="178">
        <v>5</v>
      </c>
      <c r="K7" s="178"/>
      <c r="L7" s="178"/>
      <c r="M7" s="180"/>
      <c r="N7" s="177"/>
      <c r="O7" s="180"/>
      <c r="Q7" s="192"/>
    </row>
    <row r="8" spans="1:21" x14ac:dyDescent="0.25">
      <c r="A8" t="s">
        <v>6397</v>
      </c>
      <c r="D8" s="177" t="s">
        <v>1029</v>
      </c>
      <c r="E8" s="178">
        <v>100</v>
      </c>
      <c r="F8" s="178">
        <v>5</v>
      </c>
      <c r="G8" s="178">
        <v>4</v>
      </c>
      <c r="H8" s="178" t="s">
        <v>1053</v>
      </c>
      <c r="I8" s="180">
        <v>100</v>
      </c>
      <c r="J8" s="178">
        <v>5</v>
      </c>
      <c r="K8" s="178"/>
      <c r="L8" s="178"/>
      <c r="M8" s="180"/>
      <c r="N8" s="177"/>
      <c r="O8" s="180"/>
      <c r="Q8" s="192"/>
    </row>
    <row r="9" spans="1:21" x14ac:dyDescent="0.25">
      <c r="A9" t="s">
        <v>6433</v>
      </c>
      <c r="D9" s="177"/>
      <c r="E9" s="178"/>
      <c r="F9" s="178"/>
      <c r="G9" s="178"/>
      <c r="H9" s="178"/>
      <c r="I9" s="180"/>
      <c r="J9" s="178"/>
      <c r="K9" s="178"/>
      <c r="L9" s="178"/>
      <c r="M9" s="180"/>
      <c r="N9" s="177"/>
      <c r="O9" s="180"/>
      <c r="Q9" s="192"/>
    </row>
    <row r="10" spans="1:21" x14ac:dyDescent="0.25">
      <c r="A10" t="s">
        <v>6432</v>
      </c>
      <c r="D10" s="177"/>
      <c r="E10" s="178"/>
      <c r="F10" s="178"/>
      <c r="G10" s="178"/>
      <c r="H10" s="178"/>
      <c r="I10" s="180"/>
      <c r="J10" s="178"/>
      <c r="K10" s="178"/>
      <c r="L10" s="178"/>
      <c r="M10" s="180"/>
      <c r="N10" s="177"/>
      <c r="O10" s="180"/>
      <c r="Q10" s="192"/>
    </row>
    <row r="11" spans="1:21" x14ac:dyDescent="0.25">
      <c r="D11" s="177"/>
      <c r="E11" s="178"/>
      <c r="F11" s="178"/>
      <c r="G11" s="178"/>
      <c r="H11" s="178"/>
      <c r="I11" s="180"/>
      <c r="J11" s="178"/>
      <c r="K11" s="178"/>
      <c r="L11" s="178"/>
      <c r="M11" s="180"/>
      <c r="N11" s="177"/>
      <c r="O11" s="180"/>
      <c r="Q11" s="192"/>
    </row>
    <row r="12" spans="1:21" x14ac:dyDescent="0.25">
      <c r="D12" s="181"/>
      <c r="E12" s="182"/>
      <c r="F12" s="182"/>
      <c r="G12" s="182"/>
      <c r="H12" s="182"/>
      <c r="I12" s="159"/>
      <c r="J12" s="182"/>
      <c r="K12" s="182"/>
      <c r="L12" s="182"/>
      <c r="M12" s="159"/>
      <c r="N12" s="181"/>
      <c r="O12" s="159"/>
      <c r="Q12" s="193"/>
    </row>
    <row r="13" spans="1:21" x14ac:dyDescent="0.25">
      <c r="C13" t="s">
        <v>5733</v>
      </c>
      <c r="D13" s="173" t="s">
        <v>996</v>
      </c>
      <c r="E13" s="174">
        <v>100</v>
      </c>
      <c r="F13" s="174">
        <v>5</v>
      </c>
      <c r="G13" s="174">
        <v>4</v>
      </c>
      <c r="H13" s="174"/>
      <c r="I13" s="175">
        <v>100</v>
      </c>
      <c r="J13" s="178">
        <v>10</v>
      </c>
      <c r="K13" s="178">
        <v>10</v>
      </c>
      <c r="L13" s="178">
        <v>5</v>
      </c>
      <c r="M13" s="180">
        <v>5</v>
      </c>
      <c r="N13" s="177" t="s">
        <v>1096</v>
      </c>
      <c r="O13" s="180" t="s">
        <v>1105</v>
      </c>
      <c r="Q13" s="192"/>
      <c r="S13" s="161">
        <v>2</v>
      </c>
      <c r="T13" s="161"/>
      <c r="U13" s="161"/>
    </row>
    <row r="14" spans="1:21" x14ac:dyDescent="0.25">
      <c r="D14" s="177" t="s">
        <v>1031</v>
      </c>
      <c r="E14" s="178">
        <v>100</v>
      </c>
      <c r="F14" s="178">
        <v>5</v>
      </c>
      <c r="G14" s="178">
        <v>4</v>
      </c>
      <c r="H14" s="178" t="s">
        <v>1053</v>
      </c>
      <c r="I14" s="180">
        <v>100</v>
      </c>
      <c r="J14" s="178">
        <v>5</v>
      </c>
      <c r="K14" s="178"/>
      <c r="L14" s="178"/>
      <c r="M14" s="180"/>
      <c r="N14" s="177"/>
      <c r="O14" s="180"/>
      <c r="Q14" s="192"/>
      <c r="S14" s="161">
        <v>3</v>
      </c>
      <c r="T14" s="161">
        <v>1</v>
      </c>
      <c r="U14" s="161"/>
    </row>
    <row r="15" spans="1:21" x14ac:dyDescent="0.25">
      <c r="D15" s="177" t="s">
        <v>1031</v>
      </c>
      <c r="E15" s="178">
        <v>100</v>
      </c>
      <c r="F15" s="178">
        <v>5</v>
      </c>
      <c r="G15" s="178">
        <v>4</v>
      </c>
      <c r="H15" s="178" t="s">
        <v>1053</v>
      </c>
      <c r="I15" s="180">
        <v>100</v>
      </c>
      <c r="J15" s="178">
        <v>5</v>
      </c>
      <c r="K15" s="178"/>
      <c r="L15" s="178"/>
      <c r="M15" s="180"/>
      <c r="N15" s="177"/>
      <c r="O15" s="180"/>
      <c r="Q15" s="192"/>
      <c r="S15" s="161">
        <v>4</v>
      </c>
      <c r="T15" s="161"/>
      <c r="U15" s="161"/>
    </row>
    <row r="16" spans="1:21" x14ac:dyDescent="0.25">
      <c r="D16" s="177" t="s">
        <v>1012</v>
      </c>
      <c r="E16" s="178">
        <v>100</v>
      </c>
      <c r="F16" s="178">
        <v>5</v>
      </c>
      <c r="G16" s="178">
        <v>4</v>
      </c>
      <c r="H16" s="178" t="s">
        <v>1053</v>
      </c>
      <c r="I16" s="180">
        <v>100</v>
      </c>
      <c r="J16" s="178">
        <v>5</v>
      </c>
      <c r="K16" s="178">
        <v>5</v>
      </c>
      <c r="L16" s="178"/>
      <c r="M16" s="180"/>
      <c r="N16" s="177"/>
      <c r="O16" s="180"/>
      <c r="Q16" s="192"/>
    </row>
    <row r="17" spans="3:21" x14ac:dyDescent="0.25">
      <c r="D17" s="177"/>
      <c r="E17" s="178"/>
      <c r="F17" s="178"/>
      <c r="G17" s="178"/>
      <c r="H17" s="178"/>
      <c r="I17" s="180"/>
      <c r="J17" s="178"/>
      <c r="K17" s="178"/>
      <c r="L17" s="178"/>
      <c r="M17" s="180"/>
      <c r="N17" s="177"/>
      <c r="O17" s="180"/>
      <c r="Q17" s="192"/>
    </row>
    <row r="18" spans="3:21" x14ac:dyDescent="0.25">
      <c r="D18" s="177"/>
      <c r="E18" s="178"/>
      <c r="F18" s="178"/>
      <c r="G18" s="178"/>
      <c r="H18" s="178"/>
      <c r="I18" s="180"/>
      <c r="J18" s="178"/>
      <c r="K18" s="178"/>
      <c r="L18" s="178"/>
      <c r="M18" s="180"/>
      <c r="N18" s="177"/>
      <c r="O18" s="180"/>
      <c r="Q18" s="192"/>
    </row>
    <row r="19" spans="3:21" x14ac:dyDescent="0.25">
      <c r="D19" s="177"/>
      <c r="E19" s="178"/>
      <c r="F19" s="178"/>
      <c r="G19" s="178"/>
      <c r="H19" s="178"/>
      <c r="I19" s="180"/>
      <c r="J19" s="178"/>
      <c r="K19" s="178"/>
      <c r="L19" s="178"/>
      <c r="M19" s="180"/>
      <c r="N19" s="177"/>
      <c r="O19" s="180"/>
      <c r="Q19" s="192"/>
    </row>
    <row r="20" spans="3:21" x14ac:dyDescent="0.25">
      <c r="D20" s="177"/>
      <c r="E20" s="178"/>
      <c r="F20" s="178"/>
      <c r="G20" s="178"/>
      <c r="H20" s="178"/>
      <c r="I20" s="180"/>
      <c r="J20" s="178"/>
      <c r="K20" s="178"/>
      <c r="L20" s="178"/>
      <c r="M20" s="180"/>
      <c r="N20" s="177"/>
      <c r="O20" s="180"/>
      <c r="Q20" s="192"/>
    </row>
    <row r="21" spans="3:21" x14ac:dyDescent="0.25">
      <c r="D21" s="181"/>
      <c r="E21" s="182"/>
      <c r="F21" s="182"/>
      <c r="G21" s="182"/>
      <c r="H21" s="182"/>
      <c r="I21" s="159"/>
      <c r="J21" s="182"/>
      <c r="K21" s="182"/>
      <c r="L21" s="182"/>
      <c r="M21" s="159"/>
      <c r="N21" s="181"/>
      <c r="O21" s="159"/>
      <c r="Q21" s="193"/>
    </row>
    <row r="22" spans="3:21" x14ac:dyDescent="0.25">
      <c r="C22" t="s">
        <v>6395</v>
      </c>
      <c r="D22" s="173" t="s">
        <v>987</v>
      </c>
      <c r="E22" s="174">
        <v>100</v>
      </c>
      <c r="F22" s="174">
        <v>5</v>
      </c>
      <c r="G22" s="174">
        <v>4</v>
      </c>
      <c r="H22" s="174"/>
      <c r="I22" s="175">
        <v>100</v>
      </c>
      <c r="J22" s="178">
        <v>10</v>
      </c>
      <c r="K22" s="178">
        <v>10</v>
      </c>
      <c r="L22" s="178">
        <v>5</v>
      </c>
      <c r="M22" s="180">
        <v>5</v>
      </c>
      <c r="N22" s="177" t="s">
        <v>1096</v>
      </c>
      <c r="O22" s="180" t="s">
        <v>1105</v>
      </c>
      <c r="Q22" s="192"/>
      <c r="S22" s="161">
        <v>4</v>
      </c>
      <c r="T22" s="161"/>
      <c r="U22" s="161"/>
    </row>
    <row r="23" spans="3:21" x14ac:dyDescent="0.25">
      <c r="D23" s="177" t="s">
        <v>1012</v>
      </c>
      <c r="E23" s="178">
        <v>100</v>
      </c>
      <c r="F23" s="178">
        <v>5</v>
      </c>
      <c r="G23" s="178">
        <v>4</v>
      </c>
      <c r="H23" s="178" t="s">
        <v>1053</v>
      </c>
      <c r="I23" s="180">
        <v>100</v>
      </c>
      <c r="J23" s="178">
        <v>5</v>
      </c>
      <c r="K23" s="178">
        <v>5</v>
      </c>
      <c r="L23" s="178"/>
      <c r="M23" s="180"/>
      <c r="N23" s="177"/>
      <c r="O23" s="180"/>
      <c r="Q23" s="192"/>
      <c r="S23" s="161">
        <v>2</v>
      </c>
      <c r="T23" s="161">
        <v>3</v>
      </c>
      <c r="U23" s="161"/>
    </row>
    <row r="24" spans="3:21" x14ac:dyDescent="0.25">
      <c r="D24" s="177" t="s">
        <v>1012</v>
      </c>
      <c r="E24" s="178">
        <v>100</v>
      </c>
      <c r="F24" s="178">
        <v>5</v>
      </c>
      <c r="G24" s="178">
        <v>4</v>
      </c>
      <c r="H24" s="178" t="s">
        <v>1053</v>
      </c>
      <c r="I24" s="180">
        <v>100</v>
      </c>
      <c r="J24" s="178">
        <v>5</v>
      </c>
      <c r="K24" s="178">
        <v>5</v>
      </c>
      <c r="L24" s="178"/>
      <c r="M24" s="180"/>
      <c r="N24" s="177"/>
      <c r="O24" s="180"/>
      <c r="Q24" s="192"/>
      <c r="S24" s="161">
        <v>1</v>
      </c>
      <c r="T24" s="161"/>
      <c r="U24" s="161"/>
    </row>
    <row r="25" spans="3:21" x14ac:dyDescent="0.25">
      <c r="D25" s="177" t="s">
        <v>1024</v>
      </c>
      <c r="E25" s="178">
        <v>100</v>
      </c>
      <c r="F25" s="178">
        <v>5</v>
      </c>
      <c r="G25" s="178">
        <v>4</v>
      </c>
      <c r="H25" s="178" t="s">
        <v>1053</v>
      </c>
      <c r="I25" s="180">
        <v>100</v>
      </c>
      <c r="J25" s="178">
        <v>5</v>
      </c>
      <c r="K25" s="178"/>
      <c r="L25" s="178"/>
      <c r="M25" s="180"/>
      <c r="N25" s="177"/>
      <c r="O25" s="180"/>
      <c r="Q25" s="192"/>
    </row>
    <row r="26" spans="3:21" x14ac:dyDescent="0.25">
      <c r="D26" s="177"/>
      <c r="E26" s="178"/>
      <c r="F26" s="178"/>
      <c r="G26" s="178"/>
      <c r="H26" s="178"/>
      <c r="I26" s="180"/>
      <c r="J26" s="178"/>
      <c r="K26" s="178"/>
      <c r="L26" s="178"/>
      <c r="M26" s="180"/>
      <c r="N26" s="177"/>
      <c r="O26" s="180"/>
      <c r="Q26" s="192"/>
    </row>
    <row r="27" spans="3:21" x14ac:dyDescent="0.25">
      <c r="D27" s="177"/>
      <c r="E27" s="178"/>
      <c r="F27" s="178"/>
      <c r="G27" s="178"/>
      <c r="H27" s="178"/>
      <c r="I27" s="180"/>
      <c r="J27" s="178"/>
      <c r="K27" s="178"/>
      <c r="L27" s="178"/>
      <c r="M27" s="180"/>
      <c r="N27" s="177"/>
      <c r="O27" s="180"/>
      <c r="Q27" s="192"/>
    </row>
    <row r="28" spans="3:21" x14ac:dyDescent="0.25">
      <c r="D28" s="177"/>
      <c r="E28" s="178"/>
      <c r="F28" s="178"/>
      <c r="G28" s="178"/>
      <c r="H28" s="178"/>
      <c r="I28" s="180"/>
      <c r="J28" s="178"/>
      <c r="K28" s="178"/>
      <c r="L28" s="178"/>
      <c r="M28" s="180"/>
      <c r="N28" s="177"/>
      <c r="O28" s="180"/>
      <c r="Q28" s="192"/>
    </row>
    <row r="29" spans="3:21" x14ac:dyDescent="0.25">
      <c r="D29" s="177"/>
      <c r="E29" s="178"/>
      <c r="F29" s="178"/>
      <c r="G29" s="178"/>
      <c r="H29" s="178"/>
      <c r="I29" s="180"/>
      <c r="J29" s="178"/>
      <c r="K29" s="178"/>
      <c r="L29" s="178"/>
      <c r="M29" s="180"/>
      <c r="N29" s="177"/>
      <c r="O29" s="180"/>
      <c r="Q29" s="192"/>
    </row>
    <row r="30" spans="3:21" x14ac:dyDescent="0.25">
      <c r="D30" s="181"/>
      <c r="E30" s="182"/>
      <c r="F30" s="182"/>
      <c r="G30" s="182"/>
      <c r="H30" s="182"/>
      <c r="I30" s="159"/>
      <c r="J30" s="182"/>
      <c r="K30" s="182"/>
      <c r="L30" s="182"/>
      <c r="M30" s="159"/>
      <c r="N30" s="181"/>
      <c r="O30" s="159"/>
      <c r="Q30" s="193"/>
    </row>
    <row r="31" spans="3:21" x14ac:dyDescent="0.25">
      <c r="C31" t="s">
        <v>6396</v>
      </c>
      <c r="D31" s="173" t="s">
        <v>987</v>
      </c>
      <c r="E31" s="174">
        <v>100</v>
      </c>
      <c r="F31" s="174">
        <v>5</v>
      </c>
      <c r="G31" s="174">
        <v>4</v>
      </c>
      <c r="H31" s="174"/>
      <c r="I31" s="175">
        <v>100</v>
      </c>
      <c r="J31" s="178">
        <v>10</v>
      </c>
      <c r="K31" s="178">
        <v>10</v>
      </c>
      <c r="L31" s="178">
        <v>5</v>
      </c>
      <c r="M31" s="180">
        <v>5</v>
      </c>
      <c r="N31" s="177" t="s">
        <v>1096</v>
      </c>
      <c r="O31" s="180" t="s">
        <v>1105</v>
      </c>
      <c r="Q31" s="192"/>
      <c r="S31" s="161">
        <v>3</v>
      </c>
      <c r="T31" s="161">
        <v>1</v>
      </c>
      <c r="U31" s="161"/>
    </row>
    <row r="32" spans="3:21" x14ac:dyDescent="0.25">
      <c r="D32" s="177" t="s">
        <v>1012</v>
      </c>
      <c r="E32" s="178">
        <v>100</v>
      </c>
      <c r="F32" s="178">
        <v>5</v>
      </c>
      <c r="G32" s="178">
        <v>4</v>
      </c>
      <c r="H32" s="178" t="s">
        <v>1053</v>
      </c>
      <c r="I32" s="180">
        <v>100</v>
      </c>
      <c r="J32" s="178">
        <v>5</v>
      </c>
      <c r="K32" s="178">
        <v>5</v>
      </c>
      <c r="L32" s="178"/>
      <c r="M32" s="180"/>
      <c r="N32" s="177"/>
      <c r="O32" s="180"/>
      <c r="Q32" s="192"/>
      <c r="S32" s="161">
        <v>5</v>
      </c>
      <c r="T32" s="161">
        <v>2</v>
      </c>
      <c r="U32" s="161"/>
    </row>
    <row r="33" spans="3:21" x14ac:dyDescent="0.25">
      <c r="D33" s="177" t="s">
        <v>1008</v>
      </c>
      <c r="E33" s="178">
        <v>100</v>
      </c>
      <c r="F33" s="178">
        <v>5</v>
      </c>
      <c r="G33" s="178">
        <v>4</v>
      </c>
      <c r="H33" s="178" t="s">
        <v>1053</v>
      </c>
      <c r="I33" s="180">
        <v>100</v>
      </c>
      <c r="J33" s="178">
        <v>5</v>
      </c>
      <c r="K33" s="178">
        <v>5</v>
      </c>
      <c r="L33" s="178"/>
      <c r="M33" s="180"/>
      <c r="N33" s="177"/>
      <c r="O33" s="180"/>
      <c r="Q33" s="192"/>
      <c r="S33" s="161">
        <v>4</v>
      </c>
      <c r="T33" s="161"/>
      <c r="U33" s="161"/>
    </row>
    <row r="34" spans="3:21" x14ac:dyDescent="0.25">
      <c r="D34" s="177" t="s">
        <v>1008</v>
      </c>
      <c r="E34" s="178">
        <v>100</v>
      </c>
      <c r="F34" s="178">
        <v>5</v>
      </c>
      <c r="G34" s="178">
        <v>4</v>
      </c>
      <c r="H34" s="178" t="s">
        <v>1053</v>
      </c>
      <c r="I34" s="180">
        <v>100</v>
      </c>
      <c r="J34" s="178">
        <v>5</v>
      </c>
      <c r="K34" s="178">
        <v>5</v>
      </c>
      <c r="L34" s="178"/>
      <c r="M34" s="180"/>
      <c r="N34" s="177"/>
      <c r="O34" s="180"/>
      <c r="Q34" s="192"/>
    </row>
    <row r="35" spans="3:21" x14ac:dyDescent="0.25">
      <c r="D35" s="177" t="s">
        <v>1024</v>
      </c>
      <c r="E35" s="178">
        <v>100</v>
      </c>
      <c r="F35" s="178">
        <v>5</v>
      </c>
      <c r="G35" s="178">
        <v>4</v>
      </c>
      <c r="H35" s="178" t="s">
        <v>1053</v>
      </c>
      <c r="I35" s="180">
        <v>100</v>
      </c>
      <c r="J35" s="178">
        <v>5</v>
      </c>
      <c r="K35" s="178"/>
      <c r="L35" s="178"/>
      <c r="M35" s="180"/>
      <c r="N35" s="177"/>
      <c r="O35" s="180"/>
      <c r="Q35" s="192"/>
    </row>
    <row r="36" spans="3:21" x14ac:dyDescent="0.25">
      <c r="D36" s="177"/>
      <c r="E36" s="178"/>
      <c r="F36" s="178"/>
      <c r="G36" s="178"/>
      <c r="H36" s="178"/>
      <c r="I36" s="180"/>
      <c r="J36" s="178"/>
      <c r="K36" s="178"/>
      <c r="L36" s="178"/>
      <c r="M36" s="180"/>
      <c r="N36" s="177"/>
      <c r="O36" s="180"/>
      <c r="Q36" s="192"/>
    </row>
    <row r="37" spans="3:21" x14ac:dyDescent="0.25">
      <c r="D37" s="177"/>
      <c r="E37" s="178"/>
      <c r="F37" s="178"/>
      <c r="G37" s="178"/>
      <c r="H37" s="178"/>
      <c r="I37" s="180"/>
      <c r="J37" s="178"/>
      <c r="K37" s="178"/>
      <c r="L37" s="178"/>
      <c r="M37" s="180"/>
      <c r="N37" s="177"/>
      <c r="O37" s="180"/>
      <c r="Q37" s="192"/>
    </row>
    <row r="38" spans="3:21" x14ac:dyDescent="0.25">
      <c r="D38" s="177"/>
      <c r="E38" s="178"/>
      <c r="F38" s="178"/>
      <c r="G38" s="178"/>
      <c r="H38" s="178"/>
      <c r="I38" s="180"/>
      <c r="J38" s="178"/>
      <c r="K38" s="178"/>
      <c r="L38" s="178"/>
      <c r="M38" s="180"/>
      <c r="N38" s="177"/>
      <c r="O38" s="180"/>
      <c r="Q38" s="192"/>
    </row>
    <row r="39" spans="3:21" x14ac:dyDescent="0.25">
      <c r="D39" s="181"/>
      <c r="E39" s="182"/>
      <c r="F39" s="182"/>
      <c r="G39" s="182"/>
      <c r="H39" s="182"/>
      <c r="I39" s="159"/>
      <c r="J39" s="182"/>
      <c r="K39" s="182"/>
      <c r="L39" s="182"/>
      <c r="M39" s="159"/>
      <c r="N39" s="181"/>
      <c r="O39" s="159"/>
      <c r="Q39" s="193"/>
    </row>
    <row r="40" spans="3:21" x14ac:dyDescent="0.25">
      <c r="C40" t="s">
        <v>6397</v>
      </c>
      <c r="D40" s="173" t="s">
        <v>993</v>
      </c>
      <c r="E40" s="174">
        <v>100</v>
      </c>
      <c r="F40" s="174">
        <v>5</v>
      </c>
      <c r="G40" s="174">
        <v>4</v>
      </c>
      <c r="H40" s="174"/>
      <c r="I40" s="175">
        <v>100</v>
      </c>
      <c r="J40" s="178">
        <v>10</v>
      </c>
      <c r="K40" s="178">
        <v>10</v>
      </c>
      <c r="L40" s="178">
        <v>5</v>
      </c>
      <c r="M40" s="180">
        <v>5</v>
      </c>
      <c r="N40" s="177" t="s">
        <v>1096</v>
      </c>
      <c r="O40" s="180" t="s">
        <v>1105</v>
      </c>
      <c r="Q40" s="192"/>
      <c r="S40" s="161">
        <v>2</v>
      </c>
      <c r="T40" s="161">
        <v>4</v>
      </c>
      <c r="U40" s="161">
        <v>7</v>
      </c>
    </row>
    <row r="41" spans="3:21" x14ac:dyDescent="0.25">
      <c r="D41" s="177" t="s">
        <v>1016</v>
      </c>
      <c r="E41" s="178">
        <v>100</v>
      </c>
      <c r="F41" s="178">
        <v>5</v>
      </c>
      <c r="G41" s="178">
        <v>4</v>
      </c>
      <c r="H41" s="178" t="s">
        <v>1053</v>
      </c>
      <c r="I41" s="180">
        <v>100</v>
      </c>
      <c r="J41" s="178">
        <v>5</v>
      </c>
      <c r="K41" s="178">
        <v>5</v>
      </c>
      <c r="L41" s="178"/>
      <c r="M41" s="180"/>
      <c r="N41" s="177"/>
      <c r="O41" s="180"/>
      <c r="Q41" s="192"/>
      <c r="S41" s="161">
        <v>1</v>
      </c>
      <c r="T41" s="161">
        <v>5</v>
      </c>
      <c r="U41" s="161">
        <v>8</v>
      </c>
    </row>
    <row r="42" spans="3:21" x14ac:dyDescent="0.25">
      <c r="D42" s="177" t="s">
        <v>1016</v>
      </c>
      <c r="E42" s="178">
        <v>100</v>
      </c>
      <c r="F42" s="178">
        <v>5</v>
      </c>
      <c r="G42" s="178">
        <v>4</v>
      </c>
      <c r="H42" s="178" t="s">
        <v>1053</v>
      </c>
      <c r="I42" s="180">
        <v>100</v>
      </c>
      <c r="J42" s="178">
        <v>5</v>
      </c>
      <c r="K42" s="178">
        <v>5</v>
      </c>
      <c r="L42" s="178"/>
      <c r="M42" s="180"/>
      <c r="N42" s="177"/>
      <c r="O42" s="180"/>
      <c r="Q42" s="192"/>
      <c r="S42" s="161">
        <v>3</v>
      </c>
      <c r="T42" s="161">
        <v>6</v>
      </c>
      <c r="U42" s="161">
        <v>9</v>
      </c>
    </row>
    <row r="43" spans="3:21" x14ac:dyDescent="0.25">
      <c r="D43" s="177" t="s">
        <v>1010</v>
      </c>
      <c r="E43" s="178">
        <v>100</v>
      </c>
      <c r="F43" s="178">
        <v>5</v>
      </c>
      <c r="G43" s="178">
        <v>4</v>
      </c>
      <c r="H43" s="178" t="s">
        <v>1053</v>
      </c>
      <c r="I43" s="180">
        <v>100</v>
      </c>
      <c r="J43" s="178">
        <v>5</v>
      </c>
      <c r="K43" s="178">
        <v>5</v>
      </c>
      <c r="L43" s="178"/>
      <c r="M43" s="180"/>
      <c r="N43" s="177"/>
      <c r="O43" s="180"/>
      <c r="Q43" s="192"/>
    </row>
    <row r="44" spans="3:21" x14ac:dyDescent="0.25">
      <c r="D44" s="177" t="s">
        <v>1010</v>
      </c>
      <c r="E44" s="178">
        <v>100</v>
      </c>
      <c r="F44" s="178">
        <v>5</v>
      </c>
      <c r="G44" s="178">
        <v>4</v>
      </c>
      <c r="H44" s="178" t="s">
        <v>1053</v>
      </c>
      <c r="I44" s="180">
        <v>100</v>
      </c>
      <c r="J44" s="178">
        <v>5</v>
      </c>
      <c r="K44" s="178">
        <v>5</v>
      </c>
      <c r="L44" s="178"/>
      <c r="M44" s="180"/>
      <c r="N44" s="177"/>
      <c r="O44" s="180"/>
      <c r="Q44" s="192"/>
    </row>
    <row r="45" spans="3:21" x14ac:dyDescent="0.25">
      <c r="D45" s="177" t="s">
        <v>1010</v>
      </c>
      <c r="E45" s="178">
        <v>100</v>
      </c>
      <c r="F45" s="178">
        <v>5</v>
      </c>
      <c r="G45" s="178">
        <v>4</v>
      </c>
      <c r="H45" s="178" t="s">
        <v>1053</v>
      </c>
      <c r="I45" s="180">
        <v>100</v>
      </c>
      <c r="J45" s="178">
        <v>5</v>
      </c>
      <c r="K45" s="178">
        <v>5</v>
      </c>
      <c r="L45" s="178"/>
      <c r="M45" s="180"/>
      <c r="N45" s="177"/>
      <c r="O45" s="180"/>
      <c r="Q45" s="192"/>
    </row>
    <row r="46" spans="3:21" x14ac:dyDescent="0.25">
      <c r="D46" s="177" t="s">
        <v>1010</v>
      </c>
      <c r="E46" s="178">
        <v>100</v>
      </c>
      <c r="F46" s="178">
        <v>5</v>
      </c>
      <c r="G46" s="178">
        <v>4</v>
      </c>
      <c r="H46" s="178" t="s">
        <v>1053</v>
      </c>
      <c r="I46" s="180">
        <v>100</v>
      </c>
      <c r="J46" s="178">
        <v>5</v>
      </c>
      <c r="K46" s="178">
        <v>5</v>
      </c>
      <c r="L46" s="178"/>
      <c r="M46" s="180"/>
      <c r="N46" s="177"/>
      <c r="O46" s="180"/>
      <c r="Q46" s="192"/>
    </row>
    <row r="47" spans="3:21" x14ac:dyDescent="0.25">
      <c r="D47" s="177" t="s">
        <v>1010</v>
      </c>
      <c r="E47" s="178">
        <v>100</v>
      </c>
      <c r="F47" s="178">
        <v>5</v>
      </c>
      <c r="G47" s="178">
        <v>4</v>
      </c>
      <c r="H47" s="178" t="s">
        <v>1053</v>
      </c>
      <c r="I47" s="180">
        <v>100</v>
      </c>
      <c r="J47" s="178">
        <v>5</v>
      </c>
      <c r="K47" s="178">
        <v>5</v>
      </c>
      <c r="L47" s="178"/>
      <c r="M47" s="180"/>
      <c r="N47" s="177"/>
      <c r="O47" s="180"/>
      <c r="Q47" s="192"/>
    </row>
    <row r="48" spans="3:21" x14ac:dyDescent="0.25">
      <c r="D48" s="181" t="s">
        <v>1010</v>
      </c>
      <c r="E48" s="182">
        <v>100</v>
      </c>
      <c r="F48" s="182">
        <v>5</v>
      </c>
      <c r="G48" s="182">
        <v>4</v>
      </c>
      <c r="H48" s="182" t="s">
        <v>1053</v>
      </c>
      <c r="I48" s="159">
        <v>100</v>
      </c>
      <c r="J48" s="182">
        <v>5</v>
      </c>
      <c r="K48" s="182">
        <v>5</v>
      </c>
      <c r="L48" s="182"/>
      <c r="M48" s="159"/>
      <c r="N48" s="181"/>
      <c r="O48" s="159"/>
      <c r="Q48" s="193"/>
    </row>
    <row r="49" spans="3:21" x14ac:dyDescent="0.25">
      <c r="C49" t="s">
        <v>6433</v>
      </c>
      <c r="D49" s="173" t="s">
        <v>992</v>
      </c>
      <c r="E49" s="174">
        <v>90</v>
      </c>
      <c r="F49" s="174">
        <v>5</v>
      </c>
      <c r="G49" s="174">
        <v>0</v>
      </c>
      <c r="H49" s="174"/>
      <c r="I49" s="175">
        <v>100</v>
      </c>
      <c r="J49" s="178">
        <v>10</v>
      </c>
      <c r="K49" s="178">
        <v>10</v>
      </c>
      <c r="L49" s="178">
        <v>5</v>
      </c>
      <c r="M49" s="180">
        <v>5</v>
      </c>
      <c r="N49" s="177" t="s">
        <v>1096</v>
      </c>
      <c r="O49" s="180" t="s">
        <v>1033</v>
      </c>
      <c r="Q49" s="192"/>
      <c r="S49" s="161">
        <v>5</v>
      </c>
      <c r="T49" s="161">
        <v>2</v>
      </c>
      <c r="U49" s="161"/>
    </row>
    <row r="50" spans="3:21" x14ac:dyDescent="0.25">
      <c r="D50" s="177" t="s">
        <v>1012</v>
      </c>
      <c r="E50" s="178">
        <v>90</v>
      </c>
      <c r="F50" s="178">
        <v>5</v>
      </c>
      <c r="G50" s="178">
        <v>4</v>
      </c>
      <c r="H50" s="178" t="s">
        <v>1069</v>
      </c>
      <c r="I50" s="180">
        <v>100</v>
      </c>
      <c r="J50" s="178">
        <v>5</v>
      </c>
      <c r="K50" s="178">
        <v>5</v>
      </c>
      <c r="L50" s="178"/>
      <c r="M50" s="180"/>
      <c r="N50" s="177"/>
      <c r="O50" s="180"/>
      <c r="Q50" s="192"/>
      <c r="S50" s="161">
        <v>1</v>
      </c>
      <c r="T50" s="161">
        <v>4</v>
      </c>
      <c r="U50" s="161"/>
    </row>
    <row r="51" spans="3:21" x14ac:dyDescent="0.25">
      <c r="D51" s="177" t="s">
        <v>1008</v>
      </c>
      <c r="E51" s="178">
        <v>90</v>
      </c>
      <c r="F51" s="178">
        <v>5</v>
      </c>
      <c r="G51" s="178">
        <v>4</v>
      </c>
      <c r="H51" s="178" t="s">
        <v>1069</v>
      </c>
      <c r="I51" s="180">
        <v>100</v>
      </c>
      <c r="J51" s="178">
        <v>5</v>
      </c>
      <c r="K51" s="178">
        <v>5</v>
      </c>
      <c r="L51" s="178"/>
      <c r="M51" s="180"/>
      <c r="N51" s="177"/>
      <c r="O51" s="180"/>
      <c r="Q51" s="192"/>
      <c r="S51" s="161">
        <v>3</v>
      </c>
      <c r="T51" s="161"/>
      <c r="U51" s="161"/>
    </row>
    <row r="52" spans="3:21" x14ac:dyDescent="0.25">
      <c r="D52" s="177" t="s">
        <v>1014</v>
      </c>
      <c r="E52" s="178">
        <v>90</v>
      </c>
      <c r="F52" s="178">
        <v>5</v>
      </c>
      <c r="G52" s="178">
        <v>4</v>
      </c>
      <c r="H52" s="178" t="s">
        <v>1069</v>
      </c>
      <c r="I52" s="180">
        <v>100</v>
      </c>
      <c r="J52" s="178">
        <v>5</v>
      </c>
      <c r="K52" s="178">
        <v>5</v>
      </c>
      <c r="L52" s="178"/>
      <c r="M52" s="180"/>
      <c r="N52" s="177"/>
      <c r="O52" s="180"/>
      <c r="Q52" s="192"/>
    </row>
    <row r="53" spans="3:21" x14ac:dyDescent="0.25">
      <c r="D53" s="177" t="s">
        <v>1024</v>
      </c>
      <c r="E53" s="178">
        <v>90</v>
      </c>
      <c r="F53" s="178">
        <v>5</v>
      </c>
      <c r="G53" s="178">
        <v>4</v>
      </c>
      <c r="H53" s="178" t="s">
        <v>1053</v>
      </c>
      <c r="I53" s="180">
        <v>100</v>
      </c>
      <c r="J53" s="178">
        <v>5</v>
      </c>
      <c r="K53" s="178"/>
      <c r="L53" s="178"/>
      <c r="M53" s="180"/>
      <c r="N53" s="177"/>
      <c r="O53" s="180"/>
      <c r="Q53" s="192"/>
    </row>
    <row r="54" spans="3:21" x14ac:dyDescent="0.25">
      <c r="D54" s="177"/>
      <c r="E54" s="178"/>
      <c r="F54" s="178"/>
      <c r="G54" s="178"/>
      <c r="H54" s="178"/>
      <c r="I54" s="180"/>
      <c r="J54" s="178"/>
      <c r="K54" s="178"/>
      <c r="L54" s="178"/>
      <c r="M54" s="180"/>
      <c r="N54" s="177"/>
      <c r="O54" s="180"/>
      <c r="Q54" s="192"/>
    </row>
    <row r="55" spans="3:21" x14ac:dyDescent="0.25">
      <c r="D55" s="177"/>
      <c r="E55" s="178"/>
      <c r="F55" s="178"/>
      <c r="G55" s="178"/>
      <c r="H55" s="178"/>
      <c r="I55" s="180"/>
      <c r="J55" s="178"/>
      <c r="K55" s="178"/>
      <c r="L55" s="178"/>
      <c r="M55" s="180"/>
      <c r="N55" s="177"/>
      <c r="O55" s="180"/>
      <c r="Q55" s="192"/>
    </row>
    <row r="56" spans="3:21" x14ac:dyDescent="0.25">
      <c r="D56" s="177"/>
      <c r="E56" s="178"/>
      <c r="F56" s="178"/>
      <c r="G56" s="178"/>
      <c r="H56" s="178"/>
      <c r="I56" s="180"/>
      <c r="J56" s="178"/>
      <c r="K56" s="178"/>
      <c r="L56" s="178"/>
      <c r="M56" s="180"/>
      <c r="N56" s="177"/>
      <c r="O56" s="180"/>
      <c r="Q56" s="192"/>
    </row>
    <row r="57" spans="3:21" x14ac:dyDescent="0.25">
      <c r="D57" s="181"/>
      <c r="E57" s="182"/>
      <c r="F57" s="182"/>
      <c r="G57" s="182"/>
      <c r="H57" s="182"/>
      <c r="I57" s="159"/>
      <c r="J57" s="182"/>
      <c r="K57" s="182"/>
      <c r="L57" s="182"/>
      <c r="M57" s="159"/>
      <c r="N57" s="181"/>
      <c r="O57" s="159"/>
      <c r="Q57" s="193"/>
    </row>
    <row r="58" spans="3:21" x14ac:dyDescent="0.25">
      <c r="C58" t="s">
        <v>6432</v>
      </c>
      <c r="D58" s="173" t="s">
        <v>996</v>
      </c>
      <c r="E58" s="174">
        <v>90</v>
      </c>
      <c r="F58" s="174">
        <v>5</v>
      </c>
      <c r="G58" s="174">
        <v>0</v>
      </c>
      <c r="H58" s="174"/>
      <c r="I58" s="175">
        <v>100</v>
      </c>
      <c r="J58" s="178">
        <v>10</v>
      </c>
      <c r="K58" s="178">
        <v>10</v>
      </c>
      <c r="L58" s="178">
        <v>5</v>
      </c>
      <c r="M58" s="180">
        <v>5</v>
      </c>
      <c r="N58" s="177" t="s">
        <v>1103</v>
      </c>
      <c r="O58" s="180" t="s">
        <v>1106</v>
      </c>
      <c r="Q58" s="192"/>
      <c r="S58" s="161">
        <v>3</v>
      </c>
      <c r="T58" s="161">
        <v>2</v>
      </c>
      <c r="U58" s="161"/>
    </row>
    <row r="59" spans="3:21" x14ac:dyDescent="0.25">
      <c r="D59" s="177" t="s">
        <v>1012</v>
      </c>
      <c r="E59" s="178">
        <v>90</v>
      </c>
      <c r="F59" s="178">
        <v>5</v>
      </c>
      <c r="G59" s="178">
        <v>4</v>
      </c>
      <c r="H59" s="178" t="s">
        <v>1069</v>
      </c>
      <c r="I59" s="180">
        <v>100</v>
      </c>
      <c r="J59" s="178">
        <v>5</v>
      </c>
      <c r="K59" s="178">
        <v>5</v>
      </c>
      <c r="L59" s="178"/>
      <c r="M59" s="180"/>
      <c r="N59" s="177"/>
      <c r="O59" s="180"/>
      <c r="Q59" s="192"/>
      <c r="S59" s="161">
        <v>4</v>
      </c>
      <c r="T59" s="161">
        <v>1</v>
      </c>
      <c r="U59" s="161"/>
    </row>
    <row r="60" spans="3:21" x14ac:dyDescent="0.25">
      <c r="D60" s="177" t="s">
        <v>1008</v>
      </c>
      <c r="E60" s="178">
        <v>90</v>
      </c>
      <c r="F60" s="178">
        <v>5</v>
      </c>
      <c r="G60" s="178">
        <v>4</v>
      </c>
      <c r="H60" s="178" t="s">
        <v>1069</v>
      </c>
      <c r="I60" s="180">
        <v>100</v>
      </c>
      <c r="J60" s="178">
        <v>5</v>
      </c>
      <c r="K60" s="178">
        <v>5</v>
      </c>
      <c r="L60" s="178"/>
      <c r="M60" s="180"/>
      <c r="N60" s="177"/>
      <c r="O60" s="180"/>
      <c r="Q60" s="192"/>
      <c r="S60" s="161">
        <v>5</v>
      </c>
      <c r="T60" s="161"/>
      <c r="U60" s="161"/>
    </row>
    <row r="61" spans="3:21" x14ac:dyDescent="0.25">
      <c r="D61" s="177" t="s">
        <v>1008</v>
      </c>
      <c r="E61" s="178">
        <v>90</v>
      </c>
      <c r="F61" s="178">
        <v>5</v>
      </c>
      <c r="G61" s="178">
        <v>4</v>
      </c>
      <c r="H61" s="178" t="s">
        <v>1069</v>
      </c>
      <c r="I61" s="180">
        <v>100</v>
      </c>
      <c r="J61" s="178">
        <v>5</v>
      </c>
      <c r="K61" s="178">
        <v>5</v>
      </c>
      <c r="L61" s="178"/>
      <c r="M61" s="180"/>
      <c r="N61" s="177"/>
      <c r="O61" s="180"/>
      <c r="Q61" s="192"/>
    </row>
    <row r="62" spans="3:21" x14ac:dyDescent="0.25">
      <c r="D62" s="177" t="s">
        <v>1029</v>
      </c>
      <c r="E62" s="178">
        <v>90</v>
      </c>
      <c r="F62" s="178">
        <v>5</v>
      </c>
      <c r="G62" s="178">
        <v>4</v>
      </c>
      <c r="H62" s="178" t="s">
        <v>1053</v>
      </c>
      <c r="I62" s="180">
        <v>100</v>
      </c>
      <c r="J62" s="178">
        <v>5</v>
      </c>
      <c r="K62" s="178"/>
      <c r="L62" s="178"/>
      <c r="M62" s="180"/>
      <c r="N62" s="177"/>
      <c r="O62" s="180"/>
      <c r="Q62" s="192"/>
    </row>
    <row r="63" spans="3:21" x14ac:dyDescent="0.25">
      <c r="D63" s="177"/>
      <c r="E63" s="178"/>
      <c r="F63" s="178"/>
      <c r="G63" s="178"/>
      <c r="H63" s="178"/>
      <c r="I63" s="180"/>
      <c r="J63" s="178"/>
      <c r="K63" s="178"/>
      <c r="L63" s="178"/>
      <c r="M63" s="180"/>
      <c r="N63" s="177"/>
      <c r="O63" s="180"/>
      <c r="Q63" s="192"/>
    </row>
    <row r="64" spans="3:21" x14ac:dyDescent="0.25">
      <c r="D64" s="177"/>
      <c r="E64" s="178"/>
      <c r="F64" s="178"/>
      <c r="G64" s="178"/>
      <c r="H64" s="178"/>
      <c r="I64" s="180"/>
      <c r="J64" s="178"/>
      <c r="K64" s="178"/>
      <c r="L64" s="178"/>
      <c r="M64" s="180"/>
      <c r="N64" s="177"/>
      <c r="O64" s="180"/>
      <c r="Q64" s="192"/>
    </row>
    <row r="65" spans="4:17" x14ac:dyDescent="0.25">
      <c r="D65" s="177"/>
      <c r="E65" s="178"/>
      <c r="F65" s="178"/>
      <c r="G65" s="178"/>
      <c r="H65" s="178"/>
      <c r="I65" s="180"/>
      <c r="J65" s="178"/>
      <c r="K65" s="178"/>
      <c r="L65" s="178"/>
      <c r="M65" s="180"/>
      <c r="N65" s="177"/>
      <c r="O65" s="180"/>
      <c r="Q65" s="192"/>
    </row>
    <row r="66" spans="4:17" x14ac:dyDescent="0.25">
      <c r="D66" s="181"/>
      <c r="E66" s="182"/>
      <c r="F66" s="182"/>
      <c r="G66" s="182"/>
      <c r="H66" s="182"/>
      <c r="I66" s="159"/>
      <c r="J66" s="182"/>
      <c r="K66" s="182"/>
      <c r="L66" s="182"/>
      <c r="M66" s="159"/>
      <c r="N66" s="181"/>
      <c r="O66" s="159"/>
      <c r="Q66" s="193"/>
    </row>
  </sheetData>
  <dataValidations count="4">
    <dataValidation type="custom" allowBlank="1" showInputMessage="1" showErrorMessage="1" sqref="T22:U24" xr:uid="{3088CE9D-B1B2-4E4E-B7CF-0DA8607FA813}">
      <formula1>AND(T22&gt;=1,T22&lt;=9,T22=INT(T22),COUNTIF($S$14:$U$16,T22)&lt;=1)</formula1>
    </dataValidation>
    <dataValidation type="custom" allowBlank="1" showInputMessage="1" showErrorMessage="1" sqref="T31:U33" xr:uid="{FA4A61A6-06BA-4D9A-A53A-1F3D75A71E26}">
      <formula1>AND(T31&gt;=1,T31&lt;=9,T31=INT(T31),COUNTIF($S$23:$U$25,T31)&lt;=1)</formula1>
    </dataValidation>
    <dataValidation type="custom" allowBlank="1" showInputMessage="1" showErrorMessage="1" sqref="T40:U42" xr:uid="{80348E63-FCE2-45C3-A9E9-3AC7762BA3DA}">
      <formula1>AND(T40&gt;=1,T40&lt;=9,T40=INT(T40),COUNTIF($S$32:$U$34,T40)&lt;=1)</formula1>
    </dataValidation>
    <dataValidation type="custom" allowBlank="1" showInputMessage="1" showErrorMessage="1" sqref="T49:U51 T58:U60" xr:uid="{14D8E98E-178F-4590-88E7-1F2CAAC40CAE}">
      <formula1>AND(T49&gt;=1,T49&lt;=9,T49=INT(T49),COUNTIF($S$41:$U$43,T49)&lt;=1)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BB9BCE-A83B-413F-8083-0C62E52589A8}">
  <sheetPr codeName="Sheet2"/>
  <dimension ref="A1:AG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27</v>
      </c>
      <c r="D1" s="96" t="s">
        <v>28</v>
      </c>
      <c r="E1" s="96" t="s">
        <v>29</v>
      </c>
      <c r="F1" s="96" t="s">
        <v>30</v>
      </c>
      <c r="G1" s="96" t="s">
        <v>31</v>
      </c>
      <c r="H1" s="96" t="s">
        <v>32</v>
      </c>
      <c r="I1" s="96" t="s">
        <v>33</v>
      </c>
      <c r="J1" s="96" t="s">
        <v>34</v>
      </c>
      <c r="K1" s="96" t="s">
        <v>35</v>
      </c>
      <c r="L1" s="96" t="s">
        <v>36</v>
      </c>
      <c r="M1" s="96" t="s">
        <v>37</v>
      </c>
      <c r="N1" s="96" t="s">
        <v>38</v>
      </c>
      <c r="O1" s="96" t="s">
        <v>39</v>
      </c>
      <c r="P1" s="96" t="s">
        <v>40</v>
      </c>
      <c r="Q1" s="96" t="s">
        <v>41</v>
      </c>
      <c r="R1" s="96" t="s">
        <v>42</v>
      </c>
      <c r="S1" s="96" t="s">
        <v>43</v>
      </c>
      <c r="T1" s="96" t="s">
        <v>44</v>
      </c>
      <c r="U1" s="96" t="s">
        <v>45</v>
      </c>
      <c r="V1" s="96" t="s">
        <v>46</v>
      </c>
      <c r="W1" s="96" t="s">
        <v>47</v>
      </c>
      <c r="X1" s="96" t="s">
        <v>48</v>
      </c>
      <c r="Y1" s="96" t="s">
        <v>49</v>
      </c>
      <c r="Z1" s="96" t="s">
        <v>50</v>
      </c>
      <c r="AA1" s="96" t="s">
        <v>51</v>
      </c>
      <c r="AB1" s="96" t="s">
        <v>52</v>
      </c>
      <c r="AC1" s="96" t="s">
        <v>53</v>
      </c>
      <c r="AD1" s="96" t="s">
        <v>54</v>
      </c>
      <c r="AE1" s="96" t="s">
        <v>55</v>
      </c>
      <c r="AF1" s="96" t="s">
        <v>56</v>
      </c>
      <c r="AG1" s="96" t="s">
        <v>57</v>
      </c>
    </row>
    <row r="2" spans="1:33" x14ac:dyDescent="0.25">
      <c r="A2" s="1">
        <f>IF(Main!$B20="","",Main!A20)</f>
        <v>1</v>
      </c>
      <c r="B2" s="1">
        <v>562858</v>
      </c>
      <c r="C2" s="1">
        <f>INDEX('Doll Data'!$A:$A,MATCH(Main!D20,'Doll Data'!$C:$C,0))</f>
        <v>276</v>
      </c>
      <c r="D2" s="1">
        <f>VLOOKUP(Main!E20,'Exp Tables'!$A$3:$C$122,3,FALSE)</f>
        <v>3263300</v>
      </c>
      <c r="E2" s="1">
        <f>Main!E20</f>
        <v>100</v>
      </c>
      <c r="F2" s="1">
        <f>IF(EchType="SF",2,1)</f>
        <v>1</v>
      </c>
      <c r="G2" s="1">
        <f>Main!I20</f>
        <v>0</v>
      </c>
      <c r="H2" s="1">
        <f>Main!A20</f>
        <v>1</v>
      </c>
      <c r="I2" s="1">
        <f t="array" ref="I2">SUMPRODUCT((Main!$H$27:$J$29=H2)*'Misc Inputs'!$B$3:$D$5)</f>
        <v>8</v>
      </c>
      <c r="J2" s="1">
        <f>'G&amp;K Stat Calc'!AA3*Main!$F20</f>
        <v>990</v>
      </c>
      <c r="K2" s="1">
        <v>5</v>
      </c>
      <c r="L2" s="1">
        <v>10</v>
      </c>
      <c r="M2" s="39">
        <f>'G&amp;K Stat Calc'!AB17</f>
        <v>68</v>
      </c>
      <c r="N2" s="39">
        <f>'G&amp;K Stat Calc'!AD17</f>
        <v>19</v>
      </c>
      <c r="O2" s="39">
        <f>'G&amp;K Stat Calc'!AE17</f>
        <v>18</v>
      </c>
      <c r="P2" s="39">
        <f>'G&amp;K Stat Calc'!AC17</f>
        <v>34</v>
      </c>
      <c r="Q2" s="1">
        <f>Main!G20</f>
        <v>10</v>
      </c>
      <c r="R2" s="1">
        <f>Main!H20</f>
        <v>0</v>
      </c>
      <c r="S2" s="1">
        <v>0</v>
      </c>
      <c r="T2" s="1">
        <v>1</v>
      </c>
      <c r="U2" s="1">
        <f>Main!F20</f>
        <v>5</v>
      </c>
      <c r="V2" s="1">
        <v>1</v>
      </c>
      <c r="W2" s="1">
        <f>V2+5</f>
        <v>6</v>
      </c>
      <c r="X2" s="1">
        <f>W2+5</f>
        <v>11</v>
      </c>
      <c r="Y2" s="1">
        <v>0</v>
      </c>
      <c r="Z2" s="1">
        <f>Main!J20*10000</f>
        <v>1000000</v>
      </c>
      <c r="AA2" s="1">
        <f>IF(AND(Main!I20=0,Main!J20&lt;=100),1000000,IF(AND(Main!I20=0,Main!J20&gt;=100),1500000,2000000))</f>
        <v>1000000</v>
      </c>
      <c r="AB2" s="1">
        <f>AA2</f>
        <v>1000000</v>
      </c>
      <c r="AC2" s="1">
        <f>IF(Main!J20&gt;100,1,0)</f>
        <v>0</v>
      </c>
      <c r="AD2" s="1">
        <v>0</v>
      </c>
      <c r="AE2" s="1">
        <v>0</v>
      </c>
      <c r="AF2" s="1">
        <v>0</v>
      </c>
      <c r="AG2" s="1">
        <v>0</v>
      </c>
    </row>
    <row r="3" spans="1:33" x14ac:dyDescent="0.25">
      <c r="A3" s="1">
        <f>IF(Main!$B21="","",Main!A21)</f>
        <v>2</v>
      </c>
      <c r="B3" s="1">
        <v>562858</v>
      </c>
      <c r="C3" s="1">
        <f>INDEX('Doll Data'!$A:$A,MATCH(Main!D21,'Doll Data'!$C:$C,0))</f>
        <v>292</v>
      </c>
      <c r="D3" s="1">
        <f>VLOOKUP(Main!E21,'Exp Tables'!$A$3:$C$122,3,FALSE)</f>
        <v>3263300</v>
      </c>
      <c r="E3" s="1">
        <f>Main!E21</f>
        <v>100</v>
      </c>
      <c r="F3" s="1">
        <f>IF(EchType="SF",2,1)</f>
        <v>1</v>
      </c>
      <c r="G3" s="1">
        <f>Main!I21</f>
        <v>0</v>
      </c>
      <c r="H3" s="1">
        <f>Main!A21</f>
        <v>2</v>
      </c>
      <c r="I3" s="1">
        <f t="array" ref="I3">SUMPRODUCT((Main!$H$27:$J$29=H3)*'Misc Inputs'!$B$3:$D$5)</f>
        <v>9</v>
      </c>
      <c r="J3" s="1">
        <f>'G&amp;K Stat Calc'!AA4*Main!$F21</f>
        <v>825</v>
      </c>
      <c r="K3" s="1">
        <v>5</v>
      </c>
      <c r="L3" s="1">
        <v>10</v>
      </c>
      <c r="M3" s="39">
        <f>'G&amp;K Stat Calc'!AB18</f>
        <v>57</v>
      </c>
      <c r="N3" s="39">
        <f>'G&amp;K Stat Calc'!AD18</f>
        <v>33</v>
      </c>
      <c r="O3" s="39">
        <f>'G&amp;K Stat Calc'!AE18</f>
        <v>32</v>
      </c>
      <c r="P3" s="39">
        <f>'G&amp;K Stat Calc'!AC18</f>
        <v>46</v>
      </c>
      <c r="Q3" s="1">
        <f>Main!G21</f>
        <v>10</v>
      </c>
      <c r="R3" s="1">
        <f>Main!H21</f>
        <v>0</v>
      </c>
      <c r="S3" s="1">
        <v>0</v>
      </c>
      <c r="T3" s="1">
        <v>1</v>
      </c>
      <c r="U3" s="1">
        <f>Main!F21</f>
        <v>5</v>
      </c>
      <c r="V3" s="1">
        <f>V2+1</f>
        <v>2</v>
      </c>
      <c r="W3" s="1">
        <f t="shared" ref="W3:X6" si="0">W2+1</f>
        <v>7</v>
      </c>
      <c r="X3" s="1">
        <f t="shared" si="0"/>
        <v>12</v>
      </c>
      <c r="Y3" s="1">
        <v>0</v>
      </c>
      <c r="Z3" s="1">
        <f>Main!J21*10000</f>
        <v>1000000</v>
      </c>
      <c r="AA3" s="1">
        <f>IF(AND(Main!I21=0,Main!J21&lt;=100),1000000,IF(AND(Main!I21=0,Main!J21&gt;=100),1500000,2000000))</f>
        <v>1000000</v>
      </c>
      <c r="AB3" s="1">
        <f>AA3</f>
        <v>1000000</v>
      </c>
      <c r="AC3" s="1">
        <f>IF(Main!J21&gt;100,1,0)</f>
        <v>0</v>
      </c>
      <c r="AD3" s="1">
        <v>0</v>
      </c>
      <c r="AE3" s="1">
        <v>0</v>
      </c>
      <c r="AF3" s="1">
        <v>0</v>
      </c>
      <c r="AG3" s="1">
        <v>0</v>
      </c>
    </row>
    <row r="4" spans="1:33" x14ac:dyDescent="0.25">
      <c r="A4" s="1">
        <f>IF(Main!$B22="","",Main!A22)</f>
        <v>3</v>
      </c>
      <c r="B4" s="1">
        <v>562858</v>
      </c>
      <c r="C4" s="1">
        <f>INDEX('Doll Data'!$A:$A,MATCH(Main!D22,'Doll Data'!$C:$C,0))</f>
        <v>20065</v>
      </c>
      <c r="D4" s="1">
        <f>VLOOKUP(Main!E22,'Exp Tables'!$A$3:$C$122,3,FALSE)</f>
        <v>10083300</v>
      </c>
      <c r="E4" s="1">
        <f>Main!E22</f>
        <v>115</v>
      </c>
      <c r="F4" s="1">
        <f>IF(EchType="SF",2,1)</f>
        <v>1</v>
      </c>
      <c r="G4" s="1">
        <f>Main!I22</f>
        <v>3</v>
      </c>
      <c r="H4" s="1">
        <f>Main!A22</f>
        <v>3</v>
      </c>
      <c r="I4" s="1">
        <f t="array" ref="I4">SUMPRODUCT((Main!$H$27:$J$29=H4)*'Misc Inputs'!$B$3:$D$5)</f>
        <v>7</v>
      </c>
      <c r="J4" s="1">
        <f>'G&amp;K Stat Calc'!AA5*Main!$F22</f>
        <v>620</v>
      </c>
      <c r="K4" s="1">
        <v>5</v>
      </c>
      <c r="L4" s="1">
        <v>10</v>
      </c>
      <c r="M4" s="39">
        <f>'G&amp;K Stat Calc'!AB19</f>
        <v>35</v>
      </c>
      <c r="N4" s="39">
        <f>'G&amp;K Stat Calc'!AD19</f>
        <v>45</v>
      </c>
      <c r="O4" s="39">
        <f>'G&amp;K Stat Calc'!AE19</f>
        <v>41</v>
      </c>
      <c r="P4" s="39">
        <f>'G&amp;K Stat Calc'!AC19</f>
        <v>25</v>
      </c>
      <c r="Q4" s="1">
        <f>Main!G22</f>
        <v>10</v>
      </c>
      <c r="R4" s="1">
        <f>Main!H22</f>
        <v>10</v>
      </c>
      <c r="S4" s="1">
        <v>0</v>
      </c>
      <c r="T4" s="1">
        <v>1</v>
      </c>
      <c r="U4" s="1">
        <f>Main!F22</f>
        <v>5</v>
      </c>
      <c r="V4" s="1">
        <f>V3+1</f>
        <v>3</v>
      </c>
      <c r="W4" s="1">
        <f t="shared" si="0"/>
        <v>8</v>
      </c>
      <c r="X4" s="1">
        <f t="shared" si="0"/>
        <v>13</v>
      </c>
      <c r="Y4" s="1">
        <v>0</v>
      </c>
      <c r="Z4" s="1">
        <f>Main!J22*10000</f>
        <v>1000000</v>
      </c>
      <c r="AA4" s="1">
        <f>IF(AND(Main!I22=0,Main!J22&lt;=100),1000000,IF(AND(Main!I22=0,Main!J22&gt;=100),1500000,2000000))</f>
        <v>2000000</v>
      </c>
      <c r="AB4" s="1">
        <f>AA4</f>
        <v>2000000</v>
      </c>
      <c r="AC4" s="1">
        <f>IF(Main!J22&gt;100,1,0)</f>
        <v>0</v>
      </c>
      <c r="AD4" s="1">
        <v>0</v>
      </c>
      <c r="AE4" s="1">
        <v>0</v>
      </c>
      <c r="AF4" s="1">
        <v>0</v>
      </c>
      <c r="AG4" s="1">
        <v>0</v>
      </c>
    </row>
    <row r="5" spans="1:33" x14ac:dyDescent="0.25">
      <c r="A5" s="1">
        <f>IF(Main!$B23="","",Main!A23)</f>
        <v>4</v>
      </c>
      <c r="B5" s="1">
        <v>562858</v>
      </c>
      <c r="C5" s="1">
        <f>INDEX('Doll Data'!$A:$A,MATCH(Main!D23,'Doll Data'!$C:$C,0))</f>
        <v>282</v>
      </c>
      <c r="D5" s="1">
        <f>VLOOKUP(Main!E23,'Exp Tables'!$A$3:$C$122,3,FALSE)</f>
        <v>3263300</v>
      </c>
      <c r="E5" s="1">
        <f>Main!E23</f>
        <v>100</v>
      </c>
      <c r="F5" s="1">
        <f>IF(EchType="SF",2,1)</f>
        <v>1</v>
      </c>
      <c r="G5" s="1">
        <f>Main!I23</f>
        <v>0</v>
      </c>
      <c r="H5" s="1">
        <f>Main!A23</f>
        <v>4</v>
      </c>
      <c r="I5" s="1">
        <f t="array" ref="I5">SUMPRODUCT((Main!$H$27:$J$29=H5)*'Misc Inputs'!$B$3:$D$5)</f>
        <v>18</v>
      </c>
      <c r="J5" s="1">
        <f>'G&amp;K Stat Calc'!AA6*Main!$F23</f>
        <v>1265</v>
      </c>
      <c r="K5" s="1">
        <v>5</v>
      </c>
      <c r="L5" s="1">
        <v>10</v>
      </c>
      <c r="M5" s="39">
        <f>'G&amp;K Stat Calc'!AB20</f>
        <v>19</v>
      </c>
      <c r="N5" s="39">
        <f>'G&amp;K Stat Calc'!AD20</f>
        <v>11</v>
      </c>
      <c r="O5" s="39">
        <f>'G&amp;K Stat Calc'!AE20</f>
        <v>11</v>
      </c>
      <c r="P5" s="39">
        <f>'G&amp;K Stat Calc'!AC20</f>
        <v>9</v>
      </c>
      <c r="Q5" s="1">
        <f>Main!G23</f>
        <v>10</v>
      </c>
      <c r="R5" s="1">
        <f>Main!H23</f>
        <v>0</v>
      </c>
      <c r="S5" s="1">
        <v>0</v>
      </c>
      <c r="T5" s="1">
        <v>1</v>
      </c>
      <c r="U5" s="1">
        <f>Main!F23</f>
        <v>5</v>
      </c>
      <c r="V5" s="1">
        <f>V4+1</f>
        <v>4</v>
      </c>
      <c r="W5" s="1">
        <f t="shared" si="0"/>
        <v>9</v>
      </c>
      <c r="X5" s="1">
        <f t="shared" si="0"/>
        <v>14</v>
      </c>
      <c r="Y5" s="1">
        <v>0</v>
      </c>
      <c r="Z5" s="1">
        <f>Main!J23*10000</f>
        <v>1000000</v>
      </c>
      <c r="AA5" s="1">
        <f>IF(AND(Main!I23=0,Main!J23&lt;=100),1000000,IF(AND(Main!I23=0,Main!J23&gt;=100),1500000,2000000))</f>
        <v>1000000</v>
      </c>
      <c r="AB5" s="1">
        <f>AA5</f>
        <v>1000000</v>
      </c>
      <c r="AC5" s="1">
        <f>IF(Main!J23&gt;100,1,0)</f>
        <v>0</v>
      </c>
      <c r="AD5" s="1">
        <v>0</v>
      </c>
      <c r="AE5" s="1">
        <v>0</v>
      </c>
      <c r="AF5" s="1">
        <v>0</v>
      </c>
      <c r="AG5" s="1">
        <v>0</v>
      </c>
    </row>
    <row r="6" spans="1:33" x14ac:dyDescent="0.25">
      <c r="A6" s="1">
        <f>IF(Main!$B24="","",Main!A24)</f>
        <v>5</v>
      </c>
      <c r="B6" s="1">
        <v>562858</v>
      </c>
      <c r="C6" s="1">
        <f>INDEX('Doll Data'!$A:$A,MATCH(Main!D24,'Doll Data'!$C:$C,0))</f>
        <v>242</v>
      </c>
      <c r="D6" s="1">
        <f>VLOOKUP(Main!E24,'Exp Tables'!$A$3:$C$122,3,FALSE)</f>
        <v>3263300</v>
      </c>
      <c r="E6" s="1">
        <f>Main!E24</f>
        <v>100</v>
      </c>
      <c r="F6" s="1">
        <f>IF(EchType="SF",2,1)</f>
        <v>1</v>
      </c>
      <c r="G6" s="1">
        <f>Main!I24</f>
        <v>0</v>
      </c>
      <c r="H6" s="1">
        <f>Main!A24</f>
        <v>5</v>
      </c>
      <c r="I6" s="1">
        <f t="array" ref="I6">SUMPRODUCT((Main!$H$27:$J$29=H6)*'Misc Inputs'!$B$3:$D$5)</f>
        <v>12</v>
      </c>
      <c r="J6" s="1">
        <f>'G&amp;K Stat Calc'!AA7*Main!$F24</f>
        <v>350</v>
      </c>
      <c r="K6" s="1">
        <v>5</v>
      </c>
      <c r="L6" s="1">
        <v>10</v>
      </c>
      <c r="M6" s="39">
        <f>'G&amp;K Stat Calc'!AB21</f>
        <v>18</v>
      </c>
      <c r="N6" s="39">
        <f>'G&amp;K Stat Calc'!AD21</f>
        <v>58</v>
      </c>
      <c r="O6" s="39">
        <f>'G&amp;K Stat Calc'!AE21</f>
        <v>97</v>
      </c>
      <c r="P6" s="39">
        <f>'G&amp;K Stat Calc'!AC21</f>
        <v>21</v>
      </c>
      <c r="Q6" s="1">
        <f>Main!G24</f>
        <v>10</v>
      </c>
      <c r="R6" s="1">
        <f>Main!H24</f>
        <v>0</v>
      </c>
      <c r="S6" s="1">
        <v>0</v>
      </c>
      <c r="T6" s="1">
        <v>1</v>
      </c>
      <c r="U6" s="1">
        <f>Main!F24</f>
        <v>5</v>
      </c>
      <c r="V6" s="1">
        <f>V5+1</f>
        <v>5</v>
      </c>
      <c r="W6" s="1">
        <f t="shared" si="0"/>
        <v>10</v>
      </c>
      <c r="X6" s="1">
        <f t="shared" si="0"/>
        <v>15</v>
      </c>
      <c r="Y6" s="1">
        <v>0</v>
      </c>
      <c r="Z6" s="1">
        <f>Main!J24*10000</f>
        <v>1000000</v>
      </c>
      <c r="AA6" s="1">
        <f>IF(AND(Main!I24=0,Main!J24&lt;=100),1000000,IF(AND(Main!I24=0,Main!J24&gt;=100),1500000,2000000))</f>
        <v>1000000</v>
      </c>
      <c r="AB6" s="1">
        <f>AA6</f>
        <v>1000000</v>
      </c>
      <c r="AC6" s="1">
        <f>IF(Main!J24&gt;100,1,0)</f>
        <v>0</v>
      </c>
      <c r="AD6" s="1">
        <v>0</v>
      </c>
      <c r="AE6" s="1">
        <v>0</v>
      </c>
      <c r="AF6" s="1">
        <v>0</v>
      </c>
      <c r="AG6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18ECF-2D68-44D5-B0DD-A4ED4FEA29A1}">
  <sheetPr codeName="Sheet3"/>
  <dimension ref="A1:AG26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26</v>
      </c>
      <c r="C1" s="96" t="s">
        <v>574</v>
      </c>
      <c r="D1" s="96" t="s">
        <v>575</v>
      </c>
      <c r="E1" s="96" t="s">
        <v>576</v>
      </c>
      <c r="F1" s="96" t="s">
        <v>577</v>
      </c>
      <c r="G1" s="96" t="s">
        <v>37</v>
      </c>
      <c r="H1" s="96" t="s">
        <v>38</v>
      </c>
      <c r="I1" s="96" t="s">
        <v>39</v>
      </c>
      <c r="J1" s="96" t="s">
        <v>313</v>
      </c>
      <c r="K1" s="96" t="s">
        <v>40</v>
      </c>
      <c r="L1" s="96" t="s">
        <v>314</v>
      </c>
      <c r="M1" s="96" t="s">
        <v>315</v>
      </c>
      <c r="N1" s="96" t="s">
        <v>221</v>
      </c>
      <c r="O1" s="96" t="s">
        <v>278</v>
      </c>
      <c r="P1" s="96" t="s">
        <v>316</v>
      </c>
      <c r="Q1" s="96" t="s">
        <v>317</v>
      </c>
      <c r="R1" s="96" t="s">
        <v>318</v>
      </c>
      <c r="S1" s="96" t="s">
        <v>319</v>
      </c>
      <c r="T1" s="96" t="s">
        <v>320</v>
      </c>
      <c r="U1" s="96" t="s">
        <v>578</v>
      </c>
      <c r="V1" s="96" t="s">
        <v>44</v>
      </c>
      <c r="W1" s="96" t="s">
        <v>579</v>
      </c>
      <c r="X1" s="1"/>
      <c r="Y1" s="1"/>
      <c r="Z1" s="1"/>
      <c r="AA1" s="1"/>
      <c r="AB1" s="1"/>
      <c r="AC1" s="1"/>
      <c r="AD1" s="1"/>
      <c r="AE1" s="1"/>
      <c r="AF1" s="1"/>
      <c r="AG1" s="1"/>
    </row>
    <row r="2" spans="1:33" x14ac:dyDescent="0.25">
      <c r="A2" s="50">
        <f>IF(Main!M20="","",ROW()-1)</f>
        <v>1</v>
      </c>
      <c r="B2" s="50">
        <v>562858</v>
      </c>
      <c r="C2" s="50">
        <f>Doll!C2</f>
        <v>276</v>
      </c>
      <c r="D2" s="50">
        <f>INDEX('Equip Data'!$A:$A,MATCH(Main!M20,'Equip Data'!$AG:$AG,0))</f>
        <v>4</v>
      </c>
      <c r="E2" s="50">
        <f>INDEX('Exp Tables'!$R$3:$V$13,MATCH(F2,'Exp Tables'!$Q$3:$Q$13,0),MATCH(INDEX('Equip Data'!$D:$D,MATCH(Main!M20,'Equip Data'!$AG:$AG,0)),'Exp Tables'!$R$2:$V$2,0))</f>
        <v>10000</v>
      </c>
      <c r="F2" s="50">
        <f>Main!N20</f>
        <v>10</v>
      </c>
      <c r="G2" s="50">
        <f>IF(INDEX('Equip Data'!G:G,MATCH($D2,'Equip Data'!$A:$A,0))="",0,Main!$O20*10000)</f>
        <v>0</v>
      </c>
      <c r="H2" s="50">
        <f>IF(INDEX('Equip Data'!H:H,MATCH($D2,'Equip Data'!$A:$A,0))="",0,Main!$O20*10000)</f>
        <v>0</v>
      </c>
      <c r="I2" s="50">
        <f>IF(INDEX('Equip Data'!I:I,MATCH($D2,'Equip Data'!$A:$A,0))="",0,Main!$O20*10000)</f>
        <v>0</v>
      </c>
      <c r="J2" s="50">
        <f>IF(INDEX('Equip Data'!J:J,MATCH($D2,'Equip Data'!$A:$A,0))="",0,Main!$O20*10000)</f>
        <v>0</v>
      </c>
      <c r="K2" s="50">
        <f>IF(INDEX('Equip Data'!K:K,MATCH($D2,'Equip Data'!$A:$A,0))="",0,Main!$O20*10000)</f>
        <v>0</v>
      </c>
      <c r="L2" s="50">
        <f>IF(INDEX('Equip Data'!L:L,MATCH($D2,'Equip Data'!$A:$A,0))="",0,Main!$O20*10000)</f>
        <v>0</v>
      </c>
      <c r="M2" s="50">
        <f>IF(INDEX('Equip Data'!M:M,MATCH($D2,'Equip Data'!$A:$A,0))="",0,Main!$O20*10000)</f>
        <v>10000</v>
      </c>
      <c r="N2" s="50">
        <f>IF(INDEX('Equip Data'!N:N,MATCH($D2,'Equip Data'!$A:$A,0))="",0,Main!$O20*10000)</f>
        <v>0</v>
      </c>
      <c r="O2" s="50">
        <f>IF(INDEX('Equip Data'!O:O,MATCH($D2,'Equip Data'!$A:$A,0))="",0,Main!$O20*10000)</f>
        <v>0</v>
      </c>
      <c r="P2" s="50">
        <f>IF(INDEX('Equip Data'!P:P,MATCH($D2,'Equip Data'!$A:$A,0))="",0,Main!$O20*10000)</f>
        <v>0</v>
      </c>
      <c r="Q2" s="50">
        <f>IF(INDEX('Equip Data'!Q:Q,MATCH($D2,'Equip Data'!$A:$A,0))="",0,Main!$O20*10000)</f>
        <v>0</v>
      </c>
      <c r="R2" s="50">
        <f>IF(INDEX('Equip Data'!R:R,MATCH($D2,'Equip Data'!$A:$A,0))="",0,Main!$O20*10000)</f>
        <v>0</v>
      </c>
      <c r="S2" s="50">
        <f>IF(INDEX('Equip Data'!S:S,MATCH($D2,'Equip Data'!$A:$A,0))="",0,Main!$O20*10000)</f>
        <v>0</v>
      </c>
      <c r="T2" s="50">
        <f>IF(INDEX('Equip Data'!T:T,MATCH($D2,'Equip Data'!$A:$A,0))="",0,10000)</f>
        <v>0</v>
      </c>
      <c r="U2" s="50">
        <v>0</v>
      </c>
      <c r="V2" s="50">
        <v>1</v>
      </c>
      <c r="W2" s="50">
        <v>0</v>
      </c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50">
        <f>IF(Main!M21="","",ROW()-1)</f>
        <v>2</v>
      </c>
      <c r="B3" s="50">
        <v>562858</v>
      </c>
      <c r="C3" s="50">
        <f>Doll!C3</f>
        <v>292</v>
      </c>
      <c r="D3" s="50">
        <f>INDEX('Equip Data'!$A:$A,MATCH(Main!M21,'Equip Data'!$AG:$AG,0))</f>
        <v>4</v>
      </c>
      <c r="E3" s="50">
        <f>INDEX('Exp Tables'!$R$3:$V$13,MATCH(F3,'Exp Tables'!$Q$3:$Q$13,0),MATCH(INDEX('Equip Data'!$D:$D,MATCH(Main!M21,'Equip Data'!$AG:$AG,0)),'Exp Tables'!$R$2:$V$2,0))</f>
        <v>10000</v>
      </c>
      <c r="F3" s="50">
        <f>Main!N21</f>
        <v>10</v>
      </c>
      <c r="G3" s="50">
        <f>IF(INDEX('Equip Data'!G:G,MATCH($D3,'Equip Data'!$A:$A,0))="",0,Main!$O21*10000)</f>
        <v>0</v>
      </c>
      <c r="H3" s="50">
        <f>IF(INDEX('Equip Data'!H:H,MATCH($D3,'Equip Data'!$A:$A,0))="",0,Main!$O21*10000)</f>
        <v>0</v>
      </c>
      <c r="I3" s="50">
        <f>IF(INDEX('Equip Data'!I:I,MATCH($D3,'Equip Data'!$A:$A,0))="",0,Main!$O21*10000)</f>
        <v>0</v>
      </c>
      <c r="J3" s="50">
        <f>IF(INDEX('Equip Data'!J:J,MATCH($D3,'Equip Data'!$A:$A,0))="",0,Main!$O21*10000)</f>
        <v>0</v>
      </c>
      <c r="K3" s="50">
        <f>IF(INDEX('Equip Data'!K:K,MATCH($D3,'Equip Data'!$A:$A,0))="",0,Main!$O21*10000)</f>
        <v>0</v>
      </c>
      <c r="L3" s="50">
        <f>IF(INDEX('Equip Data'!L:L,MATCH($D3,'Equip Data'!$A:$A,0))="",0,Main!$O21*10000)</f>
        <v>0</v>
      </c>
      <c r="M3" s="50">
        <f>IF(INDEX('Equip Data'!M:M,MATCH($D3,'Equip Data'!$A:$A,0))="",0,Main!$O21*10000)</f>
        <v>10000</v>
      </c>
      <c r="N3" s="50">
        <f>IF(INDEX('Equip Data'!N:N,MATCH($D3,'Equip Data'!$A:$A,0))="",0,Main!$O21*10000)</f>
        <v>0</v>
      </c>
      <c r="O3" s="50">
        <f>IF(INDEX('Equip Data'!O:O,MATCH($D3,'Equip Data'!$A:$A,0))="",0,Main!$O21*10000)</f>
        <v>0</v>
      </c>
      <c r="P3" s="50">
        <f>IF(INDEX('Equip Data'!P:P,MATCH($D3,'Equip Data'!$A:$A,0))="",0,Main!$O21*10000)</f>
        <v>0</v>
      </c>
      <c r="Q3" s="50">
        <f>IF(INDEX('Equip Data'!Q:Q,MATCH($D3,'Equip Data'!$A:$A,0))="",0,Main!$O21*10000)</f>
        <v>0</v>
      </c>
      <c r="R3" s="50">
        <f>IF(INDEX('Equip Data'!R:R,MATCH($D3,'Equip Data'!$A:$A,0))="",0,Main!$O21*10000)</f>
        <v>0</v>
      </c>
      <c r="S3" s="50">
        <f>IF(INDEX('Equip Data'!S:S,MATCH($D3,'Equip Data'!$A:$A,0))="",0,Main!$O21*10000)</f>
        <v>0</v>
      </c>
      <c r="T3" s="50">
        <f>IF(INDEX('Equip Data'!T:T,MATCH($D3,'Equip Data'!$A:$A,0))="",0,10000)</f>
        <v>0</v>
      </c>
      <c r="U3" s="50">
        <v>0</v>
      </c>
      <c r="V3" s="50">
        <v>1</v>
      </c>
      <c r="W3" s="50">
        <v>0</v>
      </c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50">
        <f>IF(Main!M22="","",ROW()-1)</f>
        <v>3</v>
      </c>
      <c r="B4" s="50">
        <v>562858</v>
      </c>
      <c r="C4" s="50">
        <f>Doll!C4</f>
        <v>20065</v>
      </c>
      <c r="D4" s="50">
        <f>INDEX('Equip Data'!$A:$A,MATCH(Main!M22,'Equip Data'!$AG:$AG,0))</f>
        <v>106</v>
      </c>
      <c r="E4" s="50">
        <f>INDEX('Exp Tables'!$R$3:$V$13,MATCH(F4,'Exp Tables'!$Q$3:$Q$13,0),MATCH(INDEX('Equip Data'!$D:$D,MATCH(Main!M22,'Equip Data'!$AG:$AG,0)),'Exp Tables'!$R$2:$V$2,0))</f>
        <v>10000</v>
      </c>
      <c r="F4" s="50">
        <f>Main!N22</f>
        <v>10</v>
      </c>
      <c r="G4" s="50">
        <f>IF(INDEX('Equip Data'!G:G,MATCH($D4,'Equip Data'!$A:$A,0))="",0,Main!$O22*10000)</f>
        <v>10000</v>
      </c>
      <c r="H4" s="50">
        <f>IF(INDEX('Equip Data'!H:H,MATCH($D4,'Equip Data'!$A:$A,0))="",0,Main!$O22*10000)</f>
        <v>10000</v>
      </c>
      <c r="I4" s="50">
        <f>IF(INDEX('Equip Data'!I:I,MATCH($D4,'Equip Data'!$A:$A,0))="",0,Main!$O22*10000)</f>
        <v>0</v>
      </c>
      <c r="J4" s="50">
        <f>IF(INDEX('Equip Data'!J:J,MATCH($D4,'Equip Data'!$A:$A,0))="",0,Main!$O22*10000)</f>
        <v>0</v>
      </c>
      <c r="K4" s="50">
        <f>IF(INDEX('Equip Data'!K:K,MATCH($D4,'Equip Data'!$A:$A,0))="",0,Main!$O22*10000)</f>
        <v>0</v>
      </c>
      <c r="L4" s="50">
        <f>IF(INDEX('Equip Data'!L:L,MATCH($D4,'Equip Data'!$A:$A,0))="",0,Main!$O22*10000)</f>
        <v>0</v>
      </c>
      <c r="M4" s="50">
        <f>IF(INDEX('Equip Data'!M:M,MATCH($D4,'Equip Data'!$A:$A,0))="",0,Main!$O22*10000)</f>
        <v>10000</v>
      </c>
      <c r="N4" s="50">
        <f>IF(INDEX('Equip Data'!N:N,MATCH($D4,'Equip Data'!$A:$A,0))="",0,Main!$O22*10000)</f>
        <v>0</v>
      </c>
      <c r="O4" s="50">
        <f>IF(INDEX('Equip Data'!O:O,MATCH($D4,'Equip Data'!$A:$A,0))="",0,Main!$O22*10000)</f>
        <v>0</v>
      </c>
      <c r="P4" s="50">
        <f>IF(INDEX('Equip Data'!P:P,MATCH($D4,'Equip Data'!$A:$A,0))="",0,Main!$O22*10000)</f>
        <v>0</v>
      </c>
      <c r="Q4" s="50">
        <f>IF(INDEX('Equip Data'!Q:Q,MATCH($D4,'Equip Data'!$A:$A,0))="",0,Main!$O22*10000)</f>
        <v>0</v>
      </c>
      <c r="R4" s="50">
        <f>IF(INDEX('Equip Data'!R:R,MATCH($D4,'Equip Data'!$A:$A,0))="",0,Main!$O22*10000)</f>
        <v>0</v>
      </c>
      <c r="S4" s="50">
        <f>IF(INDEX('Equip Data'!S:S,MATCH($D4,'Equip Data'!$A:$A,0))="",0,Main!$O22*10000)</f>
        <v>0</v>
      </c>
      <c r="T4" s="50">
        <f>IF(INDEX('Equip Data'!T:T,MATCH($D4,'Equip Data'!$A:$A,0))="",0,10000)</f>
        <v>0</v>
      </c>
      <c r="U4" s="50">
        <v>0</v>
      </c>
      <c r="V4" s="50">
        <v>1</v>
      </c>
      <c r="W4" s="50">
        <v>0</v>
      </c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50">
        <f>IF(Main!M23="","",ROW()-1)</f>
        <v>4</v>
      </c>
      <c r="B5" s="50">
        <v>562858</v>
      </c>
      <c r="C5" s="50">
        <f>Doll!C5</f>
        <v>282</v>
      </c>
      <c r="D5" s="50">
        <f>INDEX('Equip Data'!$A:$A,MATCH(Main!M23,'Equip Data'!$AG:$AG,0))</f>
        <v>12</v>
      </c>
      <c r="E5" s="50">
        <f>INDEX('Exp Tables'!$R$3:$V$13,MATCH(F5,'Exp Tables'!$Q$3:$Q$13,0),MATCH(INDEX('Equip Data'!$D:$D,MATCH(Main!M23,'Equip Data'!$AG:$AG,0)),'Exp Tables'!$R$2:$V$2,0))</f>
        <v>10000</v>
      </c>
      <c r="F5" s="50">
        <f>Main!N23</f>
        <v>10</v>
      </c>
      <c r="G5" s="50">
        <f>IF(INDEX('Equip Data'!G:G,MATCH($D5,'Equip Data'!$A:$A,0))="",0,Main!$O23*10000)</f>
        <v>0</v>
      </c>
      <c r="H5" s="50">
        <f>IF(INDEX('Equip Data'!H:H,MATCH($D5,'Equip Data'!$A:$A,0))="",0,Main!$O23*10000)</f>
        <v>10000</v>
      </c>
      <c r="I5" s="50">
        <f>IF(INDEX('Equip Data'!I:I,MATCH($D5,'Equip Data'!$A:$A,0))="",0,Main!$O23*10000)</f>
        <v>0</v>
      </c>
      <c r="J5" s="50">
        <f>IF(INDEX('Equip Data'!J:J,MATCH($D5,'Equip Data'!$A:$A,0))="",0,Main!$O23*10000)</f>
        <v>0</v>
      </c>
      <c r="K5" s="50">
        <f>IF(INDEX('Equip Data'!K:K,MATCH($D5,'Equip Data'!$A:$A,0))="",0,Main!$O23*10000)</f>
        <v>10000</v>
      </c>
      <c r="L5" s="50">
        <f>IF(INDEX('Equip Data'!L:L,MATCH($D5,'Equip Data'!$A:$A,0))="",0,Main!$O23*10000)</f>
        <v>0</v>
      </c>
      <c r="M5" s="50">
        <f>IF(INDEX('Equip Data'!M:M,MATCH($D5,'Equip Data'!$A:$A,0))="",0,Main!$O23*10000)</f>
        <v>0</v>
      </c>
      <c r="N5" s="50">
        <f>IF(INDEX('Equip Data'!N:N,MATCH($D5,'Equip Data'!$A:$A,0))="",0,Main!$O23*10000)</f>
        <v>0</v>
      </c>
      <c r="O5" s="50">
        <f>IF(INDEX('Equip Data'!O:O,MATCH($D5,'Equip Data'!$A:$A,0))="",0,Main!$O23*10000)</f>
        <v>0</v>
      </c>
      <c r="P5" s="50">
        <f>IF(INDEX('Equip Data'!P:P,MATCH($D5,'Equip Data'!$A:$A,0))="",0,Main!$O23*10000)</f>
        <v>0</v>
      </c>
      <c r="Q5" s="50">
        <f>IF(INDEX('Equip Data'!Q:Q,MATCH($D5,'Equip Data'!$A:$A,0))="",0,Main!$O23*10000)</f>
        <v>0</v>
      </c>
      <c r="R5" s="50">
        <f>IF(INDEX('Equip Data'!R:R,MATCH($D5,'Equip Data'!$A:$A,0))="",0,Main!$O23*10000)</f>
        <v>0</v>
      </c>
      <c r="S5" s="50">
        <f>IF(INDEX('Equip Data'!S:S,MATCH($D5,'Equip Data'!$A:$A,0))="",0,Main!$O23*10000)</f>
        <v>0</v>
      </c>
      <c r="T5" s="50">
        <f>IF(INDEX('Equip Data'!T:T,MATCH($D5,'Equip Data'!$A:$A,0))="",0,10000)</f>
        <v>0</v>
      </c>
      <c r="U5" s="50">
        <v>0</v>
      </c>
      <c r="V5" s="50">
        <v>1</v>
      </c>
      <c r="W5" s="50">
        <v>0</v>
      </c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51">
        <f>IF(Main!M24="","",ROW()-1)</f>
        <v>5</v>
      </c>
      <c r="B6" s="51">
        <v>562858</v>
      </c>
      <c r="C6" s="51">
        <f>Doll!C6</f>
        <v>242</v>
      </c>
      <c r="D6" s="51">
        <f>INDEX('Equip Data'!$A:$A,MATCH(Main!M24,'Equip Data'!$AG:$AG,0))</f>
        <v>66</v>
      </c>
      <c r="E6" s="51">
        <f>INDEX('Exp Tables'!$R$3:$V$13,MATCH(F6,'Exp Tables'!$Q$3:$Q$13,0),MATCH(INDEX('Equip Data'!$D:$D,MATCH(Main!M24,'Equip Data'!$AG:$AG,0)),'Exp Tables'!$R$2:$V$2,0))</f>
        <v>10000</v>
      </c>
      <c r="F6" s="51">
        <f>Main!N24</f>
        <v>10</v>
      </c>
      <c r="G6" s="51">
        <f>IF(INDEX('Equip Data'!G:G,MATCH($D6,'Equip Data'!$A:$A,0))="",0,Main!$O24*10000)</f>
        <v>0</v>
      </c>
      <c r="H6" s="51">
        <f>IF(INDEX('Equip Data'!H:H,MATCH($D6,'Equip Data'!$A:$A,0))="",0,Main!$O24*10000)</f>
        <v>0</v>
      </c>
      <c r="I6" s="51">
        <f>IF(INDEX('Equip Data'!I:I,MATCH($D6,'Equip Data'!$A:$A,0))="",0,Main!$O24*10000)</f>
        <v>10000</v>
      </c>
      <c r="J6" s="51">
        <f>IF(INDEX('Equip Data'!J:J,MATCH($D6,'Equip Data'!$A:$A,0))="",0,Main!$O24*10000)</f>
        <v>0</v>
      </c>
      <c r="K6" s="51">
        <f>IF(INDEX('Equip Data'!K:K,MATCH($D6,'Equip Data'!$A:$A,0))="",0,Main!$O24*10000)</f>
        <v>0</v>
      </c>
      <c r="L6" s="51">
        <f>IF(INDEX('Equip Data'!L:L,MATCH($D6,'Equip Data'!$A:$A,0))="",0,Main!$O24*10000)</f>
        <v>0</v>
      </c>
      <c r="M6" s="51">
        <f>IF(INDEX('Equip Data'!M:M,MATCH($D6,'Equip Data'!$A:$A,0))="",0,Main!$O24*10000)</f>
        <v>10000</v>
      </c>
      <c r="N6" s="51">
        <f>IF(INDEX('Equip Data'!N:N,MATCH($D6,'Equip Data'!$A:$A,0))="",0,Main!$O24*10000)</f>
        <v>0</v>
      </c>
      <c r="O6" s="51">
        <f>IF(INDEX('Equip Data'!O:O,MATCH($D6,'Equip Data'!$A:$A,0))="",0,Main!$O24*10000)</f>
        <v>0</v>
      </c>
      <c r="P6" s="51">
        <f>IF(INDEX('Equip Data'!P:P,MATCH($D6,'Equip Data'!$A:$A,0))="",0,Main!$O24*10000)</f>
        <v>0</v>
      </c>
      <c r="Q6" s="51">
        <f>IF(INDEX('Equip Data'!Q:Q,MATCH($D6,'Equip Data'!$A:$A,0))="",0,Main!$O24*10000)</f>
        <v>0</v>
      </c>
      <c r="R6" s="51">
        <f>IF(INDEX('Equip Data'!R:R,MATCH($D6,'Equip Data'!$A:$A,0))="",0,Main!$O24*10000)</f>
        <v>0</v>
      </c>
      <c r="S6" s="51">
        <f>IF(INDEX('Equip Data'!S:S,MATCH($D6,'Equip Data'!$A:$A,0))="",0,Main!$O24*10000)</f>
        <v>0</v>
      </c>
      <c r="T6" s="51">
        <f>IF(INDEX('Equip Data'!T:T,MATCH($D6,'Equip Data'!$A:$A,0))="",0,10000)</f>
        <v>0</v>
      </c>
      <c r="U6" s="51">
        <v>0</v>
      </c>
      <c r="V6" s="51">
        <v>1</v>
      </c>
      <c r="W6" s="51">
        <v>0</v>
      </c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50">
        <f>IF(Main!Q20="","",ROW()-1)</f>
        <v>6</v>
      </c>
      <c r="B7" s="50">
        <v>562858</v>
      </c>
      <c r="C7" s="52">
        <f>C2</f>
        <v>276</v>
      </c>
      <c r="D7" s="50">
        <f>INDEX('Equip Data'!$A:$A,MATCH(Main!Q20,'Equip Data'!$AG:$AG,0))</f>
        <v>20</v>
      </c>
      <c r="E7" s="50">
        <f>INDEX('Exp Tables'!$R$3:$V$13,MATCH(F7,'Exp Tables'!$Q$3:$Q$13,0),MATCH(INDEX('Equip Data'!$D:$D,MATCH(Main!Q20,'Equip Data'!$AG:$AG,0)),'Exp Tables'!$R$2:$V$2,0))</f>
        <v>10000</v>
      </c>
      <c r="F7" s="50">
        <f>Main!R20</f>
        <v>10</v>
      </c>
      <c r="G7" s="50">
        <f>IF(INDEX('Equip Data'!G:G,MATCH($D7,'Equip Data'!$A:$A,0))="",0,Main!$S20*10000)</f>
        <v>0</v>
      </c>
      <c r="H7" s="50">
        <f>IF(INDEX('Equip Data'!H:H,MATCH($D7,'Equip Data'!$A:$A,0))="",0,Main!$S20*10000)</f>
        <v>0</v>
      </c>
      <c r="I7" s="50">
        <f>IF(INDEX('Equip Data'!I:I,MATCH($D7,'Equip Data'!$A:$A,0))="",0,Main!$S20*10000)</f>
        <v>0</v>
      </c>
      <c r="J7" s="50">
        <f>IF(INDEX('Equip Data'!J:J,MATCH($D7,'Equip Data'!$A:$A,0))="",0,Main!$S20*10000)</f>
        <v>0</v>
      </c>
      <c r="K7" s="50">
        <f>IF(INDEX('Equip Data'!K:K,MATCH($D7,'Equip Data'!$A:$A,0))="",0,Main!$S20*10000)</f>
        <v>0</v>
      </c>
      <c r="L7" s="50">
        <f>IF(INDEX('Equip Data'!L:L,MATCH($D7,'Equip Data'!$A:$A,0))="",0,Main!$S20*10000)</f>
        <v>0</v>
      </c>
      <c r="M7" s="50">
        <f>IF(INDEX('Equip Data'!M:M,MATCH($D7,'Equip Data'!$A:$A,0))="",0,Main!$S20*10000)</f>
        <v>0</v>
      </c>
      <c r="N7" s="50">
        <f>IF(INDEX('Equip Data'!N:N,MATCH($D7,'Equip Data'!$A:$A,0))="",0,Main!$S20*10000)</f>
        <v>10000</v>
      </c>
      <c r="O7" s="50">
        <f>IF(INDEX('Equip Data'!O:O,MATCH($D7,'Equip Data'!$A:$A,0))="",0,Main!$S20*10000)</f>
        <v>0</v>
      </c>
      <c r="P7" s="50">
        <f>IF(INDEX('Equip Data'!P:P,MATCH($D7,'Equip Data'!$A:$A,0))="",0,Main!$S20*10000)</f>
        <v>0</v>
      </c>
      <c r="Q7" s="50">
        <f>IF(INDEX('Equip Data'!Q:Q,MATCH($D7,'Equip Data'!$A:$A,0))="",0,Main!$S20*10000)</f>
        <v>0</v>
      </c>
      <c r="R7" s="50">
        <f>IF(INDEX('Equip Data'!R:R,MATCH($D7,'Equip Data'!$A:$A,0))="",0,Main!$S20*10000)</f>
        <v>0</v>
      </c>
      <c r="S7" s="50">
        <f>IF(INDEX('Equip Data'!S:S,MATCH($D7,'Equip Data'!$A:$A,0))="",0,Main!$S20*10000)</f>
        <v>0</v>
      </c>
      <c r="T7" s="50">
        <f>IF(INDEX('Equip Data'!T:T,MATCH($D7,'Equip Data'!$A:$A,0))="",0,10000)</f>
        <v>0</v>
      </c>
      <c r="U7" s="50">
        <v>0</v>
      </c>
      <c r="V7" s="50">
        <v>1</v>
      </c>
      <c r="W7" s="50">
        <v>0</v>
      </c>
    </row>
    <row r="8" spans="1:33" x14ac:dyDescent="0.25">
      <c r="A8" s="50">
        <f>IF(Main!Q21="","",ROW()-1)</f>
        <v>7</v>
      </c>
      <c r="B8" s="50">
        <v>562858</v>
      </c>
      <c r="C8" s="52">
        <f t="shared" ref="C8:C16" si="0">C3</f>
        <v>292</v>
      </c>
      <c r="D8" s="50">
        <f>INDEX('Equip Data'!$A:$A,MATCH(Main!Q21,'Equip Data'!$AG:$AG,0))</f>
        <v>20</v>
      </c>
      <c r="E8" s="50">
        <f>INDEX('Exp Tables'!$R$3:$V$13,MATCH(F8,'Exp Tables'!$Q$3:$Q$13,0),MATCH(INDEX('Equip Data'!$D:$D,MATCH(Main!Q21,'Equip Data'!$AG:$AG,0)),'Exp Tables'!$R$2:$V$2,0))</f>
        <v>10000</v>
      </c>
      <c r="F8" s="50">
        <f>Main!R21</f>
        <v>10</v>
      </c>
      <c r="G8" s="50">
        <f>IF(INDEX('Equip Data'!G:G,MATCH($D8,'Equip Data'!$A:$A,0))="",0,Main!$S21*10000)</f>
        <v>0</v>
      </c>
      <c r="H8" s="50">
        <f>IF(INDEX('Equip Data'!H:H,MATCH($D8,'Equip Data'!$A:$A,0))="",0,Main!$S21*10000)</f>
        <v>0</v>
      </c>
      <c r="I8" s="50">
        <f>IF(INDEX('Equip Data'!I:I,MATCH($D8,'Equip Data'!$A:$A,0))="",0,Main!$S21*10000)</f>
        <v>0</v>
      </c>
      <c r="J8" s="50">
        <f>IF(INDEX('Equip Data'!J:J,MATCH($D8,'Equip Data'!$A:$A,0))="",0,Main!$S21*10000)</f>
        <v>0</v>
      </c>
      <c r="K8" s="50">
        <f>IF(INDEX('Equip Data'!K:K,MATCH($D8,'Equip Data'!$A:$A,0))="",0,Main!$S21*10000)</f>
        <v>0</v>
      </c>
      <c r="L8" s="50">
        <f>IF(INDEX('Equip Data'!L:L,MATCH($D8,'Equip Data'!$A:$A,0))="",0,Main!$S21*10000)</f>
        <v>0</v>
      </c>
      <c r="M8" s="50">
        <f>IF(INDEX('Equip Data'!M:M,MATCH($D8,'Equip Data'!$A:$A,0))="",0,Main!$S21*10000)</f>
        <v>0</v>
      </c>
      <c r="N8" s="50">
        <f>IF(INDEX('Equip Data'!N:N,MATCH($D8,'Equip Data'!$A:$A,0))="",0,Main!$S21*10000)</f>
        <v>10000</v>
      </c>
      <c r="O8" s="50">
        <f>IF(INDEX('Equip Data'!O:O,MATCH($D8,'Equip Data'!$A:$A,0))="",0,Main!$S21*10000)</f>
        <v>0</v>
      </c>
      <c r="P8" s="50">
        <f>IF(INDEX('Equip Data'!P:P,MATCH($D8,'Equip Data'!$A:$A,0))="",0,Main!$S21*10000)</f>
        <v>0</v>
      </c>
      <c r="Q8" s="50">
        <f>IF(INDEX('Equip Data'!Q:Q,MATCH($D8,'Equip Data'!$A:$A,0))="",0,Main!$S21*10000)</f>
        <v>0</v>
      </c>
      <c r="R8" s="50">
        <f>IF(INDEX('Equip Data'!R:R,MATCH($D8,'Equip Data'!$A:$A,0))="",0,Main!$S21*10000)</f>
        <v>0</v>
      </c>
      <c r="S8" s="50">
        <f>IF(INDEX('Equip Data'!S:S,MATCH($D8,'Equip Data'!$A:$A,0))="",0,Main!$S21*10000)</f>
        <v>0</v>
      </c>
      <c r="T8" s="50">
        <f>IF(INDEX('Equip Data'!T:T,MATCH($D8,'Equip Data'!$A:$A,0))="",0,10000)</f>
        <v>0</v>
      </c>
      <c r="U8" s="50">
        <v>0</v>
      </c>
      <c r="V8" s="50">
        <v>1</v>
      </c>
      <c r="W8" s="50">
        <v>0</v>
      </c>
    </row>
    <row r="9" spans="1:33" x14ac:dyDescent="0.25">
      <c r="A9" s="50">
        <f>IF(Main!Q22="","",ROW()-1)</f>
        <v>8</v>
      </c>
      <c r="B9" s="50">
        <v>562858</v>
      </c>
      <c r="C9" s="52">
        <f t="shared" si="0"/>
        <v>20065</v>
      </c>
      <c r="D9" s="50">
        <f>INDEX('Equip Data'!$A:$A,MATCH(Main!Q22,'Equip Data'!$AG:$AG,0))</f>
        <v>32</v>
      </c>
      <c r="E9" s="50">
        <f>INDEX('Exp Tables'!$R$3:$V$13,MATCH(F9,'Exp Tables'!$Q$3:$Q$13,0),MATCH(INDEX('Equip Data'!$D:$D,MATCH(Main!Q22,'Equip Data'!$AG:$AG,0)),'Exp Tables'!$R$2:$V$2,0))</f>
        <v>10000</v>
      </c>
      <c r="F9" s="50">
        <f>Main!R22</f>
        <v>10</v>
      </c>
      <c r="G9" s="50">
        <f>IF(INDEX('Equip Data'!G:G,MATCH($D9,'Equip Data'!$A:$A,0))="",0,Main!$S22*10000)</f>
        <v>10000</v>
      </c>
      <c r="H9" s="50">
        <f>IF(INDEX('Equip Data'!H:H,MATCH($D9,'Equip Data'!$A:$A,0))="",0,Main!$S22*10000)</f>
        <v>0</v>
      </c>
      <c r="I9" s="50">
        <f>IF(INDEX('Equip Data'!I:I,MATCH($D9,'Equip Data'!$A:$A,0))="",0,Main!$S22*10000)</f>
        <v>0</v>
      </c>
      <c r="J9" s="50">
        <f>IF(INDEX('Equip Data'!J:J,MATCH($D9,'Equip Data'!$A:$A,0))="",0,Main!$S22*10000)</f>
        <v>0</v>
      </c>
      <c r="K9" s="50">
        <f>IF(INDEX('Equip Data'!K:K,MATCH($D9,'Equip Data'!$A:$A,0))="",0,Main!$S22*10000)</f>
        <v>0</v>
      </c>
      <c r="L9" s="50">
        <f>IF(INDEX('Equip Data'!L:L,MATCH($D9,'Equip Data'!$A:$A,0))="",0,Main!$S22*10000)</f>
        <v>0</v>
      </c>
      <c r="M9" s="50">
        <f>IF(INDEX('Equip Data'!M:M,MATCH($D9,'Equip Data'!$A:$A,0))="",0,Main!$S22*10000)</f>
        <v>0</v>
      </c>
      <c r="N9" s="50">
        <f>IF(INDEX('Equip Data'!N:N,MATCH($D9,'Equip Data'!$A:$A,0))="",0,Main!$S22*10000)</f>
        <v>0</v>
      </c>
      <c r="O9" s="50">
        <f>IF(INDEX('Equip Data'!O:O,MATCH($D9,'Equip Data'!$A:$A,0))="",0,Main!$S22*10000)</f>
        <v>0</v>
      </c>
      <c r="P9" s="50">
        <f>IF(INDEX('Equip Data'!P:P,MATCH($D9,'Equip Data'!$A:$A,0))="",0,Main!$S22*10000)</f>
        <v>0</v>
      </c>
      <c r="Q9" s="50">
        <f>IF(INDEX('Equip Data'!Q:Q,MATCH($D9,'Equip Data'!$A:$A,0))="",0,Main!$S22*10000)</f>
        <v>0</v>
      </c>
      <c r="R9" s="50">
        <f>IF(INDEX('Equip Data'!R:R,MATCH($D9,'Equip Data'!$A:$A,0))="",0,Main!$S22*10000)</f>
        <v>0</v>
      </c>
      <c r="S9" s="50">
        <f>IF(INDEX('Equip Data'!S:S,MATCH($D9,'Equip Data'!$A:$A,0))="",0,Main!$S22*10000)</f>
        <v>0</v>
      </c>
      <c r="T9" s="50">
        <f>IF(INDEX('Equip Data'!T:T,MATCH($D9,'Equip Data'!$A:$A,0))="",0,10000)</f>
        <v>0</v>
      </c>
      <c r="U9" s="50">
        <v>0</v>
      </c>
      <c r="V9" s="50">
        <v>1</v>
      </c>
      <c r="W9" s="50">
        <v>0</v>
      </c>
    </row>
    <row r="10" spans="1:33" x14ac:dyDescent="0.25">
      <c r="A10" s="50">
        <f>IF(Main!Q23="","",ROW()-1)</f>
        <v>9</v>
      </c>
      <c r="B10" s="50">
        <v>562858</v>
      </c>
      <c r="C10" s="52">
        <f t="shared" si="0"/>
        <v>282</v>
      </c>
      <c r="D10" s="50">
        <f>INDEX('Equip Data'!$A:$A,MATCH(Main!Q23,'Equip Data'!$AG:$AG,0))</f>
        <v>235</v>
      </c>
      <c r="E10" s="50">
        <f>INDEX('Exp Tables'!$R$3:$V$13,MATCH(F10,'Exp Tables'!$Q$3:$Q$13,0),MATCH(INDEX('Equip Data'!$D:$D,MATCH(Main!Q23,'Equip Data'!$AG:$AG,0)),'Exp Tables'!$R$2:$V$2,0))</f>
        <v>10000</v>
      </c>
      <c r="F10" s="50">
        <f>Main!R23</f>
        <v>10</v>
      </c>
      <c r="G10" s="50">
        <f>IF(INDEX('Equip Data'!G:G,MATCH($D10,'Equip Data'!$A:$A,0))="",0,Main!$S23*10000)</f>
        <v>0</v>
      </c>
      <c r="H10" s="50">
        <f>IF(INDEX('Equip Data'!H:H,MATCH($D10,'Equip Data'!$A:$A,0))="",0,Main!$S23*10000)</f>
        <v>10000</v>
      </c>
      <c r="I10" s="50">
        <f>IF(INDEX('Equip Data'!I:I,MATCH($D10,'Equip Data'!$A:$A,0))="",0,Main!$S23*10000)</f>
        <v>0</v>
      </c>
      <c r="J10" s="50">
        <f>IF(INDEX('Equip Data'!J:J,MATCH($D10,'Equip Data'!$A:$A,0))="",0,Main!$S23*10000)</f>
        <v>0</v>
      </c>
      <c r="K10" s="50">
        <f>IF(INDEX('Equip Data'!K:K,MATCH($D10,'Equip Data'!$A:$A,0))="",0,Main!$S23*10000)</f>
        <v>0</v>
      </c>
      <c r="L10" s="50">
        <f>IF(INDEX('Equip Data'!L:L,MATCH($D10,'Equip Data'!$A:$A,0))="",0,Main!$S23*10000)</f>
        <v>0</v>
      </c>
      <c r="M10" s="50">
        <f>IF(INDEX('Equip Data'!M:M,MATCH($D10,'Equip Data'!$A:$A,0))="",0,Main!$S23*10000)</f>
        <v>0</v>
      </c>
      <c r="N10" s="50">
        <f>IF(INDEX('Equip Data'!N:N,MATCH($D10,'Equip Data'!$A:$A,0))="",0,Main!$S23*10000)</f>
        <v>0</v>
      </c>
      <c r="O10" s="50">
        <f>IF(INDEX('Equip Data'!O:O,MATCH($D10,'Equip Data'!$A:$A,0))="",0,Main!$S23*10000)</f>
        <v>0</v>
      </c>
      <c r="P10" s="50">
        <f>IF(INDEX('Equip Data'!P:P,MATCH($D10,'Equip Data'!$A:$A,0))="",0,Main!$S23*10000)</f>
        <v>0</v>
      </c>
      <c r="Q10" s="50">
        <f>IF(INDEX('Equip Data'!Q:Q,MATCH($D10,'Equip Data'!$A:$A,0))="",0,Main!$S23*10000)</f>
        <v>0</v>
      </c>
      <c r="R10" s="50">
        <f>IF(INDEX('Equip Data'!R:R,MATCH($D10,'Equip Data'!$A:$A,0))="",0,Main!$S23*10000)</f>
        <v>0</v>
      </c>
      <c r="S10" s="50">
        <f>IF(INDEX('Equip Data'!S:S,MATCH($D10,'Equip Data'!$A:$A,0))="",0,Main!$S23*10000)</f>
        <v>0</v>
      </c>
      <c r="T10" s="50">
        <f>IF(INDEX('Equip Data'!T:T,MATCH($D10,'Equip Data'!$A:$A,0))="",0,10000)</f>
        <v>0</v>
      </c>
      <c r="U10" s="50">
        <v>0</v>
      </c>
      <c r="V10" s="50">
        <v>1</v>
      </c>
      <c r="W10" s="50">
        <v>0</v>
      </c>
    </row>
    <row r="11" spans="1:33" x14ac:dyDescent="0.25">
      <c r="A11" s="51">
        <f>IF(Main!Q24="","",ROW()-1)</f>
        <v>10</v>
      </c>
      <c r="B11" s="51">
        <v>562858</v>
      </c>
      <c r="C11" s="53">
        <f t="shared" si="0"/>
        <v>242</v>
      </c>
      <c r="D11" s="51">
        <f>INDEX('Equip Data'!$A:$A,MATCH(Main!Q24,'Equip Data'!$AG:$AG,0))</f>
        <v>72</v>
      </c>
      <c r="E11" s="51">
        <f>INDEX('Exp Tables'!$R$3:$V$13,MATCH(F11,'Exp Tables'!$Q$3:$Q$13,0),MATCH(INDEX('Equip Data'!$D:$D,MATCH(Main!Q24,'Equip Data'!$AG:$AG,0)),'Exp Tables'!$R$2:$V$2,0))</f>
        <v>10000</v>
      </c>
      <c r="F11" s="51">
        <f>Main!R24</f>
        <v>10</v>
      </c>
      <c r="G11" s="51">
        <f>IF(INDEX('Equip Data'!G:G,MATCH($D11,'Equip Data'!$A:$A,0))="",0,Main!$S24*10000)</f>
        <v>10000</v>
      </c>
      <c r="H11" s="51">
        <f>IF(INDEX('Equip Data'!H:H,MATCH($D11,'Equip Data'!$A:$A,0))="",0,Main!$S24*10000)</f>
        <v>0</v>
      </c>
      <c r="I11" s="51">
        <f>IF(INDEX('Equip Data'!I:I,MATCH($D11,'Equip Data'!$A:$A,0))="",0,Main!$S24*10000)</f>
        <v>0</v>
      </c>
      <c r="J11" s="51">
        <f>IF(INDEX('Equip Data'!J:J,MATCH($D11,'Equip Data'!$A:$A,0))="",0,Main!$S24*10000)</f>
        <v>0</v>
      </c>
      <c r="K11" s="51">
        <f>IF(INDEX('Equip Data'!K:K,MATCH($D11,'Equip Data'!$A:$A,0))="",0,Main!$S24*10000)</f>
        <v>0</v>
      </c>
      <c r="L11" s="51">
        <f>IF(INDEX('Equip Data'!L:L,MATCH($D11,'Equip Data'!$A:$A,0))="",0,Main!$S24*10000)</f>
        <v>0</v>
      </c>
      <c r="M11" s="51">
        <f>IF(INDEX('Equip Data'!M:M,MATCH($D11,'Equip Data'!$A:$A,0))="",0,Main!$S24*10000)</f>
        <v>0</v>
      </c>
      <c r="N11" s="51">
        <f>IF(INDEX('Equip Data'!N:N,MATCH($D11,'Equip Data'!$A:$A,0))="",0,Main!$S24*10000)</f>
        <v>10000</v>
      </c>
      <c r="O11" s="51">
        <f>IF(INDEX('Equip Data'!O:O,MATCH($D11,'Equip Data'!$A:$A,0))="",0,Main!$S24*10000)</f>
        <v>0</v>
      </c>
      <c r="P11" s="51">
        <f>IF(INDEX('Equip Data'!P:P,MATCH($D11,'Equip Data'!$A:$A,0))="",0,Main!$S24*10000)</f>
        <v>0</v>
      </c>
      <c r="Q11" s="51">
        <f>IF(INDEX('Equip Data'!Q:Q,MATCH($D11,'Equip Data'!$A:$A,0))="",0,Main!$S24*10000)</f>
        <v>0</v>
      </c>
      <c r="R11" s="51">
        <f>IF(INDEX('Equip Data'!R:R,MATCH($D11,'Equip Data'!$A:$A,0))="",0,Main!$S24*10000)</f>
        <v>0</v>
      </c>
      <c r="S11" s="51">
        <f>IF(INDEX('Equip Data'!S:S,MATCH($D11,'Equip Data'!$A:$A,0))="",0,Main!$S24*10000)</f>
        <v>0</v>
      </c>
      <c r="T11" s="51">
        <f>IF(INDEX('Equip Data'!T:T,MATCH($D11,'Equip Data'!$A:$A,0))="",0,10000)</f>
        <v>0</v>
      </c>
      <c r="U11" s="51">
        <v>0</v>
      </c>
      <c r="V11" s="51">
        <v>1</v>
      </c>
      <c r="W11" s="51">
        <v>0</v>
      </c>
    </row>
    <row r="12" spans="1:33" x14ac:dyDescent="0.25">
      <c r="A12" s="50">
        <f>IF(Main!U20="","",ROW()-1)</f>
        <v>11</v>
      </c>
      <c r="B12" s="50">
        <v>562858</v>
      </c>
      <c r="C12" s="52">
        <f t="shared" si="0"/>
        <v>276</v>
      </c>
      <c r="D12" s="50">
        <f>INDEX('Equip Data'!$A:$A,MATCH(Main!U20,'Equip Data'!$AG:$AG,0))</f>
        <v>68</v>
      </c>
      <c r="E12" s="50">
        <f>INDEX('Exp Tables'!$R$3:$V$13,MATCH(F12,'Exp Tables'!$Q$3:$Q$13,0),MATCH(INDEX('Equip Data'!$D:$D,MATCH(Main!U20,'Equip Data'!$AG:$AG,0)),'Exp Tables'!$R$2:$V$2,0))</f>
        <v>10000</v>
      </c>
      <c r="F12" s="50">
        <f>Main!V20</f>
        <v>10</v>
      </c>
      <c r="G12" s="50">
        <f>IF(INDEX('Equip Data'!G:G,MATCH($D12,'Equip Data'!$A:$A,0))="",0,Main!$W20*10000)</f>
        <v>0</v>
      </c>
      <c r="H12" s="50">
        <f>IF(INDEX('Equip Data'!H:H,MATCH($D12,'Equip Data'!$A:$A,0))="",0,Main!$W20*10000)</f>
        <v>0</v>
      </c>
      <c r="I12" s="50">
        <f>IF(INDEX('Equip Data'!I:I,MATCH($D12,'Equip Data'!$A:$A,0))="",0,Main!$W20*10000)</f>
        <v>10000</v>
      </c>
      <c r="J12" s="50">
        <f>IF(INDEX('Equip Data'!J:J,MATCH($D12,'Equip Data'!$A:$A,0))="",0,Main!$W20*10000)</f>
        <v>0</v>
      </c>
      <c r="K12" s="50">
        <f>IF(INDEX('Equip Data'!K:K,MATCH($D12,'Equip Data'!$A:$A,0))="",0,Main!$W20*10000)</f>
        <v>0</v>
      </c>
      <c r="L12" s="50">
        <f>IF(INDEX('Equip Data'!L:L,MATCH($D12,'Equip Data'!$A:$A,0))="",0,Main!$W20*10000)</f>
        <v>0</v>
      </c>
      <c r="M12" s="50">
        <f>IF(INDEX('Equip Data'!M:M,MATCH($D12,'Equip Data'!$A:$A,0))="",0,Main!$W20*10000)</f>
        <v>0</v>
      </c>
      <c r="N12" s="50">
        <f>IF(INDEX('Equip Data'!N:N,MATCH($D12,'Equip Data'!$A:$A,0))="",0,Main!$W20*10000)</f>
        <v>0</v>
      </c>
      <c r="O12" s="50">
        <f>IF(INDEX('Equip Data'!O:O,MATCH($D12,'Equip Data'!$A:$A,0))="",0,Main!$W20*10000)</f>
        <v>0</v>
      </c>
      <c r="P12" s="50">
        <f>IF(INDEX('Equip Data'!P:P,MATCH($D12,'Equip Data'!$A:$A,0))="",0,Main!$W20*10000)</f>
        <v>0</v>
      </c>
      <c r="Q12" s="50">
        <f>IF(INDEX('Equip Data'!Q:Q,MATCH($D12,'Equip Data'!$A:$A,0))="",0,Main!$W20*10000)</f>
        <v>0</v>
      </c>
      <c r="R12" s="50">
        <f>IF(INDEX('Equip Data'!R:R,MATCH($D12,'Equip Data'!$A:$A,0))="",0,Main!$W20*10000)</f>
        <v>0</v>
      </c>
      <c r="S12" s="50">
        <f>IF(INDEX('Equip Data'!S:S,MATCH($D12,'Equip Data'!$A:$A,0))="",0,Main!$W20*10000)</f>
        <v>0</v>
      </c>
      <c r="T12" s="50">
        <f>IF(INDEX('Equip Data'!T:T,MATCH($D12,'Equip Data'!$A:$A,0))="",0,10000)</f>
        <v>10000</v>
      </c>
      <c r="U12" s="50">
        <v>0</v>
      </c>
      <c r="V12" s="50">
        <v>1</v>
      </c>
      <c r="W12" s="50">
        <v>0</v>
      </c>
    </row>
    <row r="13" spans="1:33" x14ac:dyDescent="0.25">
      <c r="A13" s="50">
        <f>IF(Main!U21="","",ROW()-1)</f>
        <v>12</v>
      </c>
      <c r="B13" s="50">
        <v>562858</v>
      </c>
      <c r="C13" s="52">
        <f t="shared" si="0"/>
        <v>292</v>
      </c>
      <c r="D13" s="50">
        <f>INDEX('Equip Data'!$A:$A,MATCH(Main!U21,'Equip Data'!$AG:$AG,0))</f>
        <v>68</v>
      </c>
      <c r="E13" s="50">
        <f>INDEX('Exp Tables'!$R$3:$V$13,MATCH(F13,'Exp Tables'!$Q$3:$Q$13,0),MATCH(INDEX('Equip Data'!$D:$D,MATCH(Main!U21,'Equip Data'!$AG:$AG,0)),'Exp Tables'!$R$2:$V$2,0))</f>
        <v>10000</v>
      </c>
      <c r="F13" s="50">
        <f>Main!V21</f>
        <v>10</v>
      </c>
      <c r="G13" s="50">
        <f>IF(INDEX('Equip Data'!G:G,MATCH($D13,'Equip Data'!$A:$A,0))="",0,Main!$W21*10000)</f>
        <v>0</v>
      </c>
      <c r="H13" s="50">
        <f>IF(INDEX('Equip Data'!H:H,MATCH($D13,'Equip Data'!$A:$A,0))="",0,Main!$W21*10000)</f>
        <v>0</v>
      </c>
      <c r="I13" s="50">
        <f>IF(INDEX('Equip Data'!I:I,MATCH($D13,'Equip Data'!$A:$A,0))="",0,Main!$W21*10000)</f>
        <v>10000</v>
      </c>
      <c r="J13" s="50">
        <f>IF(INDEX('Equip Data'!J:J,MATCH($D13,'Equip Data'!$A:$A,0))="",0,Main!$W21*10000)</f>
        <v>0</v>
      </c>
      <c r="K13" s="50">
        <f>IF(INDEX('Equip Data'!K:K,MATCH($D13,'Equip Data'!$A:$A,0))="",0,Main!$W21*10000)</f>
        <v>0</v>
      </c>
      <c r="L13" s="50">
        <f>IF(INDEX('Equip Data'!L:L,MATCH($D13,'Equip Data'!$A:$A,0))="",0,Main!$W21*10000)</f>
        <v>0</v>
      </c>
      <c r="M13" s="50">
        <f>IF(INDEX('Equip Data'!M:M,MATCH($D13,'Equip Data'!$A:$A,0))="",0,Main!$W21*10000)</f>
        <v>0</v>
      </c>
      <c r="N13" s="50">
        <f>IF(INDEX('Equip Data'!N:N,MATCH($D13,'Equip Data'!$A:$A,0))="",0,Main!$W21*10000)</f>
        <v>0</v>
      </c>
      <c r="O13" s="50">
        <f>IF(INDEX('Equip Data'!O:O,MATCH($D13,'Equip Data'!$A:$A,0))="",0,Main!$W21*10000)</f>
        <v>0</v>
      </c>
      <c r="P13" s="50">
        <f>IF(INDEX('Equip Data'!P:P,MATCH($D13,'Equip Data'!$A:$A,0))="",0,Main!$W21*10000)</f>
        <v>0</v>
      </c>
      <c r="Q13" s="50">
        <f>IF(INDEX('Equip Data'!Q:Q,MATCH($D13,'Equip Data'!$A:$A,0))="",0,Main!$W21*10000)</f>
        <v>0</v>
      </c>
      <c r="R13" s="50">
        <f>IF(INDEX('Equip Data'!R:R,MATCH($D13,'Equip Data'!$A:$A,0))="",0,Main!$W21*10000)</f>
        <v>0</v>
      </c>
      <c r="S13" s="50">
        <f>IF(INDEX('Equip Data'!S:S,MATCH($D13,'Equip Data'!$A:$A,0))="",0,Main!$W21*10000)</f>
        <v>0</v>
      </c>
      <c r="T13" s="50">
        <f>IF(INDEX('Equip Data'!T:T,MATCH($D13,'Equip Data'!$A:$A,0))="",0,10000)</f>
        <v>10000</v>
      </c>
      <c r="U13" s="50">
        <v>0</v>
      </c>
      <c r="V13" s="50">
        <v>1</v>
      </c>
      <c r="W13" s="50">
        <v>0</v>
      </c>
    </row>
    <row r="14" spans="1:33" x14ac:dyDescent="0.25">
      <c r="A14" s="50">
        <f>IF(Main!U22="","",ROW()-1)</f>
        <v>13</v>
      </c>
      <c r="B14" s="50">
        <v>562858</v>
      </c>
      <c r="C14" s="52">
        <f t="shared" si="0"/>
        <v>20065</v>
      </c>
      <c r="D14" s="50">
        <f>INDEX('Equip Data'!$A:$A,MATCH(Main!U22,'Equip Data'!$AG:$AG,0))</f>
        <v>159</v>
      </c>
      <c r="E14" s="50">
        <f>INDEX('Exp Tables'!$R$3:$V$13,MATCH(F14,'Exp Tables'!$Q$3:$Q$13,0),MATCH(INDEX('Equip Data'!$D:$D,MATCH(Main!U22,'Equip Data'!$AG:$AG,0)),'Exp Tables'!$R$2:$V$2,0))</f>
        <v>10000</v>
      </c>
      <c r="F14" s="50">
        <f>Main!V22</f>
        <v>10</v>
      </c>
      <c r="G14" s="50">
        <f>IF(INDEX('Equip Data'!G:G,MATCH($D14,'Equip Data'!$A:$A,0))="",0,Main!$W22*10000)</f>
        <v>10000</v>
      </c>
      <c r="H14" s="50">
        <f>IF(INDEX('Equip Data'!H:H,MATCH($D14,'Equip Data'!$A:$A,0))="",0,Main!$W22*10000)</f>
        <v>0</v>
      </c>
      <c r="I14" s="50">
        <f>IF(INDEX('Equip Data'!I:I,MATCH($D14,'Equip Data'!$A:$A,0))="",0,Main!$W22*10000)</f>
        <v>10000</v>
      </c>
      <c r="J14" s="50">
        <f>IF(INDEX('Equip Data'!J:J,MATCH($D14,'Equip Data'!$A:$A,0))="",0,Main!$W22*10000)</f>
        <v>0</v>
      </c>
      <c r="K14" s="50">
        <f>IF(INDEX('Equip Data'!K:K,MATCH($D14,'Equip Data'!$A:$A,0))="",0,Main!$W22*10000)</f>
        <v>0</v>
      </c>
      <c r="L14" s="50">
        <f>IF(INDEX('Equip Data'!L:L,MATCH($D14,'Equip Data'!$A:$A,0))="",0,Main!$W22*10000)</f>
        <v>10000</v>
      </c>
      <c r="M14" s="50">
        <f>IF(INDEX('Equip Data'!M:M,MATCH($D14,'Equip Data'!$A:$A,0))="",0,Main!$W22*10000)</f>
        <v>0</v>
      </c>
      <c r="N14" s="50">
        <f>IF(INDEX('Equip Data'!N:N,MATCH($D14,'Equip Data'!$A:$A,0))="",0,Main!$W22*10000)</f>
        <v>0</v>
      </c>
      <c r="O14" s="50">
        <f>IF(INDEX('Equip Data'!O:O,MATCH($D14,'Equip Data'!$A:$A,0))="",0,Main!$W22*10000)</f>
        <v>0</v>
      </c>
      <c r="P14" s="50">
        <f>IF(INDEX('Equip Data'!P:P,MATCH($D14,'Equip Data'!$A:$A,0))="",0,Main!$W22*10000)</f>
        <v>0</v>
      </c>
      <c r="Q14" s="50">
        <f>IF(INDEX('Equip Data'!Q:Q,MATCH($D14,'Equip Data'!$A:$A,0))="",0,Main!$W22*10000)</f>
        <v>0</v>
      </c>
      <c r="R14" s="50">
        <f>IF(INDEX('Equip Data'!R:R,MATCH($D14,'Equip Data'!$A:$A,0))="",0,Main!$W22*10000)</f>
        <v>0</v>
      </c>
      <c r="S14" s="50">
        <f>IF(INDEX('Equip Data'!S:S,MATCH($D14,'Equip Data'!$A:$A,0))="",0,Main!$W22*10000)</f>
        <v>0</v>
      </c>
      <c r="T14" s="50">
        <f>IF(INDEX('Equip Data'!T:T,MATCH($D14,'Equip Data'!$A:$A,0))="",0,10000)</f>
        <v>0</v>
      </c>
      <c r="U14" s="50">
        <v>0</v>
      </c>
      <c r="V14" s="50">
        <v>1</v>
      </c>
      <c r="W14" s="50">
        <v>0</v>
      </c>
    </row>
    <row r="15" spans="1:33" x14ac:dyDescent="0.25">
      <c r="A15" s="50">
        <f>IF(Main!U23="","",ROW()-1)</f>
        <v>14</v>
      </c>
      <c r="B15" s="50">
        <v>562858</v>
      </c>
      <c r="C15" s="52">
        <f t="shared" si="0"/>
        <v>282</v>
      </c>
      <c r="D15" s="50">
        <f>INDEX('Equip Data'!$A:$A,MATCH(Main!U23,'Equip Data'!$AG:$AG,0))</f>
        <v>44</v>
      </c>
      <c r="E15" s="50">
        <f>INDEX('Exp Tables'!$R$3:$V$13,MATCH(F15,'Exp Tables'!$Q$3:$Q$13,0),MATCH(INDEX('Equip Data'!$D:$D,MATCH(Main!U23,'Equip Data'!$AG:$AG,0)),'Exp Tables'!$R$2:$V$2,0))</f>
        <v>10000</v>
      </c>
      <c r="F15" s="50">
        <f>Main!V23</f>
        <v>10</v>
      </c>
      <c r="G15" s="50">
        <f>IF(INDEX('Equip Data'!G:G,MATCH($D15,'Equip Data'!$A:$A,0))="",0,Main!$W23*10000)</f>
        <v>0</v>
      </c>
      <c r="H15" s="50">
        <f>IF(INDEX('Equip Data'!H:H,MATCH($D15,'Equip Data'!$A:$A,0))="",0,Main!$W23*10000)</f>
        <v>0</v>
      </c>
      <c r="I15" s="50">
        <f>IF(INDEX('Equip Data'!I:I,MATCH($D15,'Equip Data'!$A:$A,0))="",0,Main!$W23*10000)</f>
        <v>10000</v>
      </c>
      <c r="J15" s="50">
        <f>IF(INDEX('Equip Data'!J:J,MATCH($D15,'Equip Data'!$A:$A,0))="",0,Main!$W23*10000)</f>
        <v>0</v>
      </c>
      <c r="K15" s="50">
        <f>IF(INDEX('Equip Data'!K:K,MATCH($D15,'Equip Data'!$A:$A,0))="",0,Main!$W23*10000)</f>
        <v>0</v>
      </c>
      <c r="L15" s="50">
        <f>IF(INDEX('Equip Data'!L:L,MATCH($D15,'Equip Data'!$A:$A,0))="",0,Main!$W23*10000)</f>
        <v>0</v>
      </c>
      <c r="M15" s="50">
        <f>IF(INDEX('Equip Data'!M:M,MATCH($D15,'Equip Data'!$A:$A,0))="",0,Main!$W23*10000)</f>
        <v>0</v>
      </c>
      <c r="N15" s="50">
        <f>IF(INDEX('Equip Data'!N:N,MATCH($D15,'Equip Data'!$A:$A,0))="",0,Main!$W23*10000)</f>
        <v>0</v>
      </c>
      <c r="O15" s="50">
        <f>IF(INDEX('Equip Data'!O:O,MATCH($D15,'Equip Data'!$A:$A,0))="",0,Main!$W23*10000)</f>
        <v>10000</v>
      </c>
      <c r="P15" s="50">
        <f>IF(INDEX('Equip Data'!P:P,MATCH($D15,'Equip Data'!$A:$A,0))="",0,Main!$W23*10000)</f>
        <v>0</v>
      </c>
      <c r="Q15" s="50">
        <f>IF(INDEX('Equip Data'!Q:Q,MATCH($D15,'Equip Data'!$A:$A,0))="",0,Main!$W23*10000)</f>
        <v>0</v>
      </c>
      <c r="R15" s="50">
        <f>IF(INDEX('Equip Data'!R:R,MATCH($D15,'Equip Data'!$A:$A,0))="",0,Main!$W23*10000)</f>
        <v>0</v>
      </c>
      <c r="S15" s="50">
        <f>IF(INDEX('Equip Data'!S:S,MATCH($D15,'Equip Data'!$A:$A,0))="",0,Main!$W23*10000)</f>
        <v>0</v>
      </c>
      <c r="T15" s="50">
        <f>IF(INDEX('Equip Data'!T:T,MATCH($D15,'Equip Data'!$A:$A,0))="",0,10000)</f>
        <v>0</v>
      </c>
      <c r="U15" s="50">
        <v>0</v>
      </c>
      <c r="V15" s="50">
        <v>1</v>
      </c>
      <c r="W15" s="50">
        <v>0</v>
      </c>
    </row>
    <row r="16" spans="1:33" x14ac:dyDescent="0.25">
      <c r="A16" s="51">
        <f>IF(Main!U24="","",ROW()-1)</f>
        <v>15</v>
      </c>
      <c r="B16" s="51">
        <v>562858</v>
      </c>
      <c r="C16" s="53">
        <f t="shared" si="0"/>
        <v>242</v>
      </c>
      <c r="D16" s="51">
        <f>INDEX('Equip Data'!$A:$A,MATCH(Main!U24,'Equip Data'!$AG:$AG,0))</f>
        <v>40</v>
      </c>
      <c r="E16" s="51">
        <f>INDEX('Exp Tables'!$R$3:$V$13,MATCH(F16,'Exp Tables'!$Q$3:$Q$13,0),MATCH(INDEX('Equip Data'!$D:$D,MATCH(Main!U24,'Equip Data'!$AG:$AG,0)),'Exp Tables'!$R$2:$V$2,0))</f>
        <v>10000</v>
      </c>
      <c r="F16" s="51">
        <f>Main!V24</f>
        <v>10</v>
      </c>
      <c r="G16" s="51">
        <f>IF(INDEX('Equip Data'!G:G,MATCH($D16,'Equip Data'!$A:$A,0))="",0,Main!$W24*10000)</f>
        <v>10000</v>
      </c>
      <c r="H16" s="51">
        <f>IF(INDEX('Equip Data'!H:H,MATCH($D16,'Equip Data'!$A:$A,0))="",0,Main!$W24*10000)</f>
        <v>0</v>
      </c>
      <c r="I16" s="51">
        <f>IF(INDEX('Equip Data'!I:I,MATCH($D16,'Equip Data'!$A:$A,0))="",0,Main!$W24*10000)</f>
        <v>10000</v>
      </c>
      <c r="J16" s="51">
        <f>IF(INDEX('Equip Data'!J:J,MATCH($D16,'Equip Data'!$A:$A,0))="",0,Main!$W24*10000)</f>
        <v>0</v>
      </c>
      <c r="K16" s="51">
        <f>IF(INDEX('Equip Data'!K:K,MATCH($D16,'Equip Data'!$A:$A,0))="",0,Main!$W24*10000)</f>
        <v>0</v>
      </c>
      <c r="L16" s="51">
        <f>IF(INDEX('Equip Data'!L:L,MATCH($D16,'Equip Data'!$A:$A,0))="",0,Main!$W24*10000)</f>
        <v>0</v>
      </c>
      <c r="M16" s="51">
        <f>IF(INDEX('Equip Data'!M:M,MATCH($D16,'Equip Data'!$A:$A,0))="",0,Main!$W24*10000)</f>
        <v>0</v>
      </c>
      <c r="N16" s="51">
        <f>IF(INDEX('Equip Data'!N:N,MATCH($D16,'Equip Data'!$A:$A,0))="",0,Main!$W24*10000)</f>
        <v>0</v>
      </c>
      <c r="O16" s="51">
        <f>IF(INDEX('Equip Data'!O:O,MATCH($D16,'Equip Data'!$A:$A,0))="",0,Main!$W24*10000)</f>
        <v>0</v>
      </c>
      <c r="P16" s="51">
        <f>IF(INDEX('Equip Data'!P:P,MATCH($D16,'Equip Data'!$A:$A,0))="",0,Main!$W24*10000)</f>
        <v>0</v>
      </c>
      <c r="Q16" s="51">
        <f>IF(INDEX('Equip Data'!Q:Q,MATCH($D16,'Equip Data'!$A:$A,0))="",0,Main!$W24*10000)</f>
        <v>0</v>
      </c>
      <c r="R16" s="51">
        <f>IF(INDEX('Equip Data'!R:R,MATCH($D16,'Equip Data'!$A:$A,0))="",0,Main!$W24*10000)</f>
        <v>0</v>
      </c>
      <c r="S16" s="51">
        <f>IF(INDEX('Equip Data'!S:S,MATCH($D16,'Equip Data'!$A:$A,0))="",0,Main!$W24*10000)</f>
        <v>0</v>
      </c>
      <c r="T16" s="51">
        <f>IF(INDEX('Equip Data'!T:T,MATCH($D16,'Equip Data'!$A:$A,0))="",0,10000)</f>
        <v>0</v>
      </c>
      <c r="U16" s="51">
        <v>0</v>
      </c>
      <c r="V16" s="51">
        <v>1</v>
      </c>
      <c r="W16" s="51">
        <v>0</v>
      </c>
    </row>
    <row r="17" spans="1:1" x14ac:dyDescent="0.25">
      <c r="A17" s="1"/>
    </row>
    <row r="18" spans="1:1" x14ac:dyDescent="0.25">
      <c r="A18" s="1"/>
    </row>
    <row r="19" spans="1:1" x14ac:dyDescent="0.25">
      <c r="A19" s="1"/>
    </row>
    <row r="20" spans="1:1" x14ac:dyDescent="0.25">
      <c r="A20" s="1"/>
    </row>
    <row r="21" spans="1:1" x14ac:dyDescent="0.25">
      <c r="A21" s="1"/>
    </row>
    <row r="22" spans="1:1" x14ac:dyDescent="0.25">
      <c r="A22" s="1"/>
    </row>
    <row r="23" spans="1:1" x14ac:dyDescent="0.25">
      <c r="A23" s="1"/>
    </row>
    <row r="24" spans="1:1" x14ac:dyDescent="0.25">
      <c r="A24" s="1"/>
    </row>
    <row r="25" spans="1:1" x14ac:dyDescent="0.25">
      <c r="A25" s="1"/>
    </row>
    <row r="26" spans="1:1" x14ac:dyDescent="0.25">
      <c r="A26" s="1"/>
    </row>
  </sheetData>
  <pageMargins left="0.7" right="0.7" top="0.75" bottom="0.75" header="0.3" footer="0.3"/>
  <pageSetup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AC83C-F578-4273-A467-044435F27115}">
  <sheetPr codeName="Sheet4"/>
  <dimension ref="A1:P2"/>
  <sheetViews>
    <sheetView workbookViewId="0"/>
  </sheetViews>
  <sheetFormatPr defaultRowHeight="15" x14ac:dyDescent="0.25"/>
  <sheetData>
    <row r="1" spans="1:16" x14ac:dyDescent="0.25">
      <c r="A1" s="96" t="s">
        <v>25</v>
      </c>
      <c r="B1" s="96" t="s">
        <v>26</v>
      </c>
      <c r="C1" s="96" t="s">
        <v>625</v>
      </c>
      <c r="D1" s="96" t="s">
        <v>30</v>
      </c>
      <c r="E1" s="96" t="s">
        <v>626</v>
      </c>
      <c r="F1" s="96" t="s">
        <v>627</v>
      </c>
      <c r="G1" s="96" t="s">
        <v>628</v>
      </c>
      <c r="H1" s="96" t="s">
        <v>582</v>
      </c>
      <c r="I1" s="96" t="s">
        <v>629</v>
      </c>
      <c r="J1" s="96" t="s">
        <v>630</v>
      </c>
      <c r="K1" s="96" t="s">
        <v>44</v>
      </c>
      <c r="L1" s="96" t="s">
        <v>575</v>
      </c>
      <c r="M1" s="96" t="s">
        <v>578</v>
      </c>
      <c r="N1" s="96" t="s">
        <v>579</v>
      </c>
      <c r="O1" s="96" t="s">
        <v>631</v>
      </c>
      <c r="P1" s="96" t="s">
        <v>54</v>
      </c>
    </row>
    <row r="2" spans="1:16" x14ac:dyDescent="0.25">
      <c r="A2" s="1">
        <f>IF(Main!B29="","",1)</f>
        <v>1</v>
      </c>
      <c r="B2" s="1">
        <v>562858</v>
      </c>
      <c r="C2" s="1">
        <f>INDEX('Fairy Data'!$A:$A,MATCH(Main!B29,'Fairy Data'!$B:$B,0))</f>
        <v>3</v>
      </c>
      <c r="D2" s="1">
        <f>IF(EchType="SF",0,1)</f>
        <v>1</v>
      </c>
      <c r="E2" s="1">
        <f>Main!D29</f>
        <v>100</v>
      </c>
      <c r="F2" s="1">
        <f>VLOOKUP(E2,'Exp Tables'!$E$3:$G$102,3,FALSE)</f>
        <v>9999000</v>
      </c>
      <c r="G2" s="1">
        <f>Main!C29</f>
        <v>5</v>
      </c>
      <c r="H2" s="1">
        <f>INDEX('Fairy Data'!$E$2:$I$101,MATCH(A2,'Fairy Data'!$A$2:$A$101,0),MATCH("exp"&amp;G2,'Fairy Data'!$E$1:$I$1,0))</f>
        <v>3000</v>
      </c>
      <c r="I2" s="1">
        <f>Main!E29</f>
        <v>10</v>
      </c>
      <c r="J2" s="1">
        <f>VLOOKUP(Main!F29,'Talent Data'!$A$2:$C$100,2,FALSE)</f>
        <v>910102</v>
      </c>
      <c r="K2" s="1">
        <v>1</v>
      </c>
      <c r="L2" s="1">
        <v>0</v>
      </c>
      <c r="M2" s="1">
        <v>0</v>
      </c>
      <c r="N2" s="1">
        <v>0</v>
      </c>
      <c r="O2" s="1">
        <v>0</v>
      </c>
      <c r="P2" s="1">
        <v>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FB9D5C-674C-41FE-8A56-630473D2B097}">
  <sheetPr codeName="Sheet13"/>
  <dimension ref="A1:AG9"/>
  <sheetViews>
    <sheetView workbookViewId="0"/>
  </sheetViews>
  <sheetFormatPr defaultRowHeight="15" x14ac:dyDescent="0.25"/>
  <sheetData>
    <row r="1" spans="1:33" x14ac:dyDescent="0.25">
      <c r="A1" s="96" t="s">
        <v>25</v>
      </c>
      <c r="B1" s="96" t="s">
        <v>874</v>
      </c>
      <c r="C1" s="96" t="s">
        <v>875</v>
      </c>
      <c r="D1" s="96" t="s">
        <v>876</v>
      </c>
      <c r="E1" s="96" t="s">
        <v>220</v>
      </c>
      <c r="F1" s="96" t="s">
        <v>877</v>
      </c>
      <c r="G1" s="96" t="s">
        <v>34</v>
      </c>
      <c r="H1" s="96" t="s">
        <v>878</v>
      </c>
      <c r="I1" s="96" t="s">
        <v>35</v>
      </c>
      <c r="J1" s="96" t="s">
        <v>36</v>
      </c>
      <c r="K1" s="96" t="s">
        <v>879</v>
      </c>
      <c r="L1" s="96" t="s">
        <v>880</v>
      </c>
      <c r="M1" s="96" t="s">
        <v>881</v>
      </c>
      <c r="N1" s="96" t="s">
        <v>882</v>
      </c>
      <c r="O1" s="96" t="s">
        <v>883</v>
      </c>
      <c r="P1" s="96" t="s">
        <v>884</v>
      </c>
      <c r="Q1" s="96" t="s">
        <v>38</v>
      </c>
      <c r="R1" s="96" t="s">
        <v>885</v>
      </c>
      <c r="S1" s="96" t="s">
        <v>41</v>
      </c>
      <c r="T1" s="96" t="s">
        <v>42</v>
      </c>
      <c r="U1" s="96" t="s">
        <v>886</v>
      </c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</row>
    <row r="2" spans="1:33" x14ac:dyDescent="0.25">
      <c r="A2" s="1" t="str">
        <f>IF(Main!A55="","",1000&amp;Main!B55)</f>
        <v/>
      </c>
      <c r="B2" s="1">
        <v>1</v>
      </c>
      <c r="C2" s="1">
        <f>VLOOKUP(D2,'Exp Tables'!$I$3:$K$102,3,FALSE)</f>
        <v>15000000</v>
      </c>
      <c r="D2" s="1">
        <v>100</v>
      </c>
      <c r="E2" s="1">
        <v>5</v>
      </c>
      <c r="F2" s="1">
        <v>10</v>
      </c>
      <c r="G2" s="1">
        <v>100</v>
      </c>
      <c r="H2" s="1">
        <v>0</v>
      </c>
      <c r="I2" s="1">
        <v>10</v>
      </c>
      <c r="J2" s="1">
        <v>10</v>
      </c>
      <c r="K2" s="39">
        <f>Main!D55-'G&amp;K Stat Calc'!AI3</f>
        <v>495</v>
      </c>
      <c r="L2" s="39">
        <f>Main!G55-'G&amp;K Stat Calc'!AJ3</f>
        <v>125</v>
      </c>
      <c r="M2" s="39">
        <f>Main!F55-'G&amp;K Stat Calc'!AK3</f>
        <v>478</v>
      </c>
      <c r="N2" s="39">
        <f>Main!E55-'G&amp;K Stat Calc'!AL3</f>
        <v>756</v>
      </c>
      <c r="O2" s="39">
        <v>0</v>
      </c>
      <c r="P2" s="39">
        <v>0</v>
      </c>
      <c r="Q2" s="39">
        <v>0</v>
      </c>
      <c r="R2" s="39">
        <v>0</v>
      </c>
      <c r="S2" s="1">
        <f>Main!H55</f>
        <v>10</v>
      </c>
      <c r="T2" s="1">
        <f>Main!I55</f>
        <v>10</v>
      </c>
      <c r="U2" s="1">
        <f>Main!J55</f>
        <v>10</v>
      </c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</row>
    <row r="3" spans="1:33" x14ac:dyDescent="0.25">
      <c r="A3" s="1" t="str">
        <f>IF(Main!A56="","",1000&amp;Main!B56)</f>
        <v/>
      </c>
      <c r="B3" s="1">
        <v>2</v>
      </c>
      <c r="C3" s="1">
        <f>VLOOKUP(D3,'Exp Tables'!$I$3:$K$102,3,FALSE)</f>
        <v>15000000</v>
      </c>
      <c r="D3" s="1">
        <v>100</v>
      </c>
      <c r="E3" s="1">
        <v>5</v>
      </c>
      <c r="F3" s="1">
        <v>10</v>
      </c>
      <c r="G3" s="1">
        <v>100</v>
      </c>
      <c r="H3" s="1">
        <v>0</v>
      </c>
      <c r="I3" s="1">
        <v>10</v>
      </c>
      <c r="J3" s="1">
        <v>10</v>
      </c>
      <c r="K3" s="39">
        <f>Main!D56-'G&amp;K Stat Calc'!AI4</f>
        <v>265</v>
      </c>
      <c r="L3" s="39">
        <f>Main!G56-'G&amp;K Stat Calc'!AJ4</f>
        <v>614</v>
      </c>
      <c r="M3" s="39">
        <f>Main!F56-'G&amp;K Stat Calc'!AK4</f>
        <v>314</v>
      </c>
      <c r="N3" s="39">
        <f>Main!E56-'G&amp;K Stat Calc'!AL4</f>
        <v>287</v>
      </c>
      <c r="O3" s="39">
        <v>0</v>
      </c>
      <c r="P3" s="39">
        <v>0</v>
      </c>
      <c r="Q3" s="39">
        <v>0</v>
      </c>
      <c r="R3" s="39">
        <v>0</v>
      </c>
      <c r="S3" s="1">
        <f>Main!H56</f>
        <v>10</v>
      </c>
      <c r="T3" s="1">
        <f>Main!I56</f>
        <v>10</v>
      </c>
      <c r="U3" s="1">
        <f>Main!J56</f>
        <v>10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</row>
    <row r="4" spans="1:33" x14ac:dyDescent="0.25">
      <c r="A4" s="1" t="str">
        <f>IF(Main!A57="","",1000&amp;Main!B57)</f>
        <v/>
      </c>
      <c r="B4" s="1">
        <v>3</v>
      </c>
      <c r="C4" s="1">
        <f>VLOOKUP(D4,'Exp Tables'!$I$3:$K$102,3,FALSE)</f>
        <v>15000000</v>
      </c>
      <c r="D4" s="1">
        <v>100</v>
      </c>
      <c r="E4" s="1">
        <v>5</v>
      </c>
      <c r="F4" s="1">
        <v>10</v>
      </c>
      <c r="G4" s="1">
        <v>100</v>
      </c>
      <c r="H4" s="1">
        <v>0</v>
      </c>
      <c r="I4" s="1">
        <v>10</v>
      </c>
      <c r="J4" s="1">
        <v>10</v>
      </c>
      <c r="K4" s="39">
        <f>Main!D57-'G&amp;K Stat Calc'!AI5</f>
        <v>570</v>
      </c>
      <c r="L4" s="39">
        <f>Main!G57-'G&amp;K Stat Calc'!AJ5</f>
        <v>252</v>
      </c>
      <c r="M4" s="39">
        <f>Main!F57-'G&amp;K Stat Calc'!AK5</f>
        <v>220</v>
      </c>
      <c r="N4" s="39">
        <f>Main!E57-'G&amp;K Stat Calc'!AL5</f>
        <v>126</v>
      </c>
      <c r="O4" s="39">
        <v>0</v>
      </c>
      <c r="P4" s="39">
        <v>0</v>
      </c>
      <c r="Q4" s="39">
        <v>0</v>
      </c>
      <c r="R4" s="39">
        <v>0</v>
      </c>
      <c r="S4" s="1">
        <f>Main!H57</f>
        <v>10</v>
      </c>
      <c r="T4" s="1">
        <f>Main!I57</f>
        <v>10</v>
      </c>
      <c r="U4" s="1">
        <f>Main!J57</f>
        <v>10</v>
      </c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</row>
    <row r="5" spans="1:33" x14ac:dyDescent="0.25">
      <c r="A5" s="1" t="str">
        <f>IF(Main!A58="","",1000&amp;Main!B58)</f>
        <v/>
      </c>
      <c r="B5" s="1">
        <v>4</v>
      </c>
      <c r="C5" s="1">
        <f>VLOOKUP(D5,'Exp Tables'!$I$3:$K$102,3,FALSE)</f>
        <v>15000000</v>
      </c>
      <c r="D5" s="1">
        <v>100</v>
      </c>
      <c r="E5" s="1">
        <v>5</v>
      </c>
      <c r="F5" s="1">
        <v>10</v>
      </c>
      <c r="G5" s="1">
        <v>100</v>
      </c>
      <c r="H5" s="1">
        <v>0</v>
      </c>
      <c r="I5" s="1">
        <v>10</v>
      </c>
      <c r="J5" s="1">
        <v>10</v>
      </c>
      <c r="K5" s="39">
        <f>Main!D58-'G&amp;K Stat Calc'!AI6</f>
        <v>481</v>
      </c>
      <c r="L5" s="39">
        <f>Main!G58-'G&amp;K Stat Calc'!AJ6</f>
        <v>340</v>
      </c>
      <c r="M5" s="39">
        <f>Main!F58-'G&amp;K Stat Calc'!AK6</f>
        <v>226</v>
      </c>
      <c r="N5" s="39">
        <f>Main!E58-'G&amp;K Stat Calc'!AL6</f>
        <v>121</v>
      </c>
      <c r="O5" s="39">
        <v>0</v>
      </c>
      <c r="P5" s="39">
        <v>0</v>
      </c>
      <c r="Q5" s="39">
        <v>0</v>
      </c>
      <c r="R5" s="39">
        <v>0</v>
      </c>
      <c r="S5" s="1">
        <f>Main!H58</f>
        <v>10</v>
      </c>
      <c r="T5" s="1">
        <f>Main!I58</f>
        <v>10</v>
      </c>
      <c r="U5" s="1">
        <f>Main!J58</f>
        <v>10</v>
      </c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</row>
    <row r="6" spans="1:33" x14ac:dyDescent="0.25">
      <c r="A6" s="1" t="str">
        <f>IF(Main!A59="","",1000&amp;Main!B59)</f>
        <v/>
      </c>
      <c r="B6" s="1">
        <v>5</v>
      </c>
      <c r="C6" s="1">
        <f>VLOOKUP(D6,'Exp Tables'!$I$3:$K$102,3,FALSE)</f>
        <v>15000000</v>
      </c>
      <c r="D6" s="1">
        <v>100</v>
      </c>
      <c r="E6" s="1">
        <v>5</v>
      </c>
      <c r="F6" s="1">
        <v>10</v>
      </c>
      <c r="G6" s="1">
        <v>100</v>
      </c>
      <c r="H6" s="1">
        <v>0</v>
      </c>
      <c r="I6" s="1">
        <v>10</v>
      </c>
      <c r="J6" s="1">
        <v>10</v>
      </c>
      <c r="K6" s="39">
        <f>Main!D59-'G&amp;K Stat Calc'!AI7</f>
        <v>396</v>
      </c>
      <c r="L6" s="39">
        <f>Main!G59-'G&amp;K Stat Calc'!AJ7</f>
        <v>196</v>
      </c>
      <c r="M6" s="39">
        <f>Main!F59-'G&amp;K Stat Calc'!AK7</f>
        <v>454</v>
      </c>
      <c r="N6" s="39">
        <f>Main!E59-'G&amp;K Stat Calc'!AL7</f>
        <v>543</v>
      </c>
      <c r="O6" s="39">
        <v>0</v>
      </c>
      <c r="P6" s="39">
        <v>0</v>
      </c>
      <c r="Q6" s="39">
        <v>0</v>
      </c>
      <c r="R6" s="39">
        <v>0</v>
      </c>
      <c r="S6" s="1">
        <f>Main!H59</f>
        <v>10</v>
      </c>
      <c r="T6" s="1">
        <f>Main!I59</f>
        <v>10</v>
      </c>
      <c r="U6" s="1">
        <f>Main!J59</f>
        <v>10</v>
      </c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x14ac:dyDescent="0.25">
      <c r="A7" s="1" t="str">
        <f>IF(Main!A60="","",1000&amp;Main!B60)</f>
        <v/>
      </c>
      <c r="B7" s="1">
        <v>6</v>
      </c>
      <c r="C7" s="1">
        <f>VLOOKUP(D7,'Exp Tables'!$I$3:$K$102,3,FALSE)</f>
        <v>15000000</v>
      </c>
      <c r="D7" s="1">
        <v>100</v>
      </c>
      <c r="E7" s="1">
        <v>5</v>
      </c>
      <c r="F7" s="1">
        <v>10</v>
      </c>
      <c r="G7" s="1">
        <v>100</v>
      </c>
      <c r="H7" s="1">
        <v>0</v>
      </c>
      <c r="I7" s="1">
        <v>10</v>
      </c>
      <c r="J7" s="1">
        <v>10</v>
      </c>
      <c r="K7" s="39">
        <f>Main!D60-'G&amp;K Stat Calc'!AI8</f>
        <v>309</v>
      </c>
      <c r="L7" s="39">
        <f>Main!G60-'G&amp;K Stat Calc'!AJ8</f>
        <v>528</v>
      </c>
      <c r="M7" s="39">
        <f>Main!F60-'G&amp;K Stat Calc'!AK8</f>
        <v>310</v>
      </c>
      <c r="N7" s="39">
        <f>Main!E60-'G&amp;K Stat Calc'!AL8</f>
        <v>279</v>
      </c>
      <c r="O7" s="39">
        <v>0</v>
      </c>
      <c r="P7" s="39">
        <v>0</v>
      </c>
      <c r="Q7" s="39">
        <v>0</v>
      </c>
      <c r="R7" s="39">
        <v>0</v>
      </c>
      <c r="S7" s="1">
        <f>Main!H60</f>
        <v>10</v>
      </c>
      <c r="T7" s="1">
        <f>Main!I60</f>
        <v>10</v>
      </c>
      <c r="U7" s="1">
        <f>Main!J60</f>
        <v>10</v>
      </c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</row>
    <row r="8" spans="1:33" x14ac:dyDescent="0.25">
      <c r="A8" s="1" t="str">
        <f>IF(Main!A61="","",1000&amp;Main!B61)</f>
        <v/>
      </c>
      <c r="B8" s="1">
        <v>7</v>
      </c>
      <c r="C8" s="1">
        <f>VLOOKUP(D8,'Exp Tables'!$I$3:$K$102,3,FALSE)</f>
        <v>15000000</v>
      </c>
      <c r="D8" s="1">
        <v>100</v>
      </c>
      <c r="E8" s="1">
        <v>5</v>
      </c>
      <c r="F8" s="1">
        <v>10</v>
      </c>
      <c r="G8" s="1">
        <v>100</v>
      </c>
      <c r="H8" s="1">
        <v>0</v>
      </c>
      <c r="I8" s="1">
        <v>10</v>
      </c>
      <c r="J8" s="1">
        <v>10</v>
      </c>
      <c r="K8" s="39">
        <f>Main!D61-'G&amp;K Stat Calc'!AI9</f>
        <v>430</v>
      </c>
      <c r="L8" s="39">
        <f>Main!G61-'G&amp;K Stat Calc'!AJ9</f>
        <v>186</v>
      </c>
      <c r="M8" s="39">
        <f>Main!F61-'G&amp;K Stat Calc'!AK9</f>
        <v>380</v>
      </c>
      <c r="N8" s="39">
        <f>Main!E61-'G&amp;K Stat Calc'!AL9</f>
        <v>542</v>
      </c>
      <c r="O8" s="39">
        <v>0</v>
      </c>
      <c r="P8" s="39">
        <v>0</v>
      </c>
      <c r="Q8" s="39">
        <v>0</v>
      </c>
      <c r="R8" s="39">
        <v>0</v>
      </c>
      <c r="S8" s="1">
        <f>Main!H61</f>
        <v>10</v>
      </c>
      <c r="T8" s="1">
        <f>Main!I61</f>
        <v>10</v>
      </c>
      <c r="U8" s="1">
        <f>Main!J61</f>
        <v>10</v>
      </c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</row>
    <row r="9" spans="1:33" x14ac:dyDescent="0.25">
      <c r="A9" s="1" t="str">
        <f>IF(Main!A62="","",1000&amp;Main!B62)</f>
        <v/>
      </c>
      <c r="B9" s="1">
        <v>8</v>
      </c>
      <c r="C9" s="1">
        <f>VLOOKUP(D9,'Exp Tables'!$I$3:$K$102,3,FALSE)</f>
        <v>15000000</v>
      </c>
      <c r="D9" s="1">
        <v>100</v>
      </c>
      <c r="E9" s="1">
        <v>5</v>
      </c>
      <c r="F9" s="1">
        <v>10</v>
      </c>
      <c r="G9" s="1">
        <v>100</v>
      </c>
      <c r="H9" s="1">
        <v>0</v>
      </c>
      <c r="I9" s="1">
        <v>10</v>
      </c>
      <c r="J9" s="1">
        <v>10</v>
      </c>
      <c r="K9" s="39">
        <f>Main!D62-'G&amp;K Stat Calc'!AI10</f>
        <v>422</v>
      </c>
      <c r="L9" s="39">
        <f>Main!G62-'G&amp;K Stat Calc'!AJ10</f>
        <v>255</v>
      </c>
      <c r="M9" s="39">
        <f>Main!F62-'G&amp;K Stat Calc'!AK10</f>
        <v>305</v>
      </c>
      <c r="N9" s="39">
        <f>Main!E62-'G&amp;K Stat Calc'!AL10</f>
        <v>191</v>
      </c>
      <c r="O9" s="39">
        <v>0</v>
      </c>
      <c r="P9" s="39">
        <v>0</v>
      </c>
      <c r="Q9" s="39">
        <v>0</v>
      </c>
      <c r="R9" s="39">
        <v>0</v>
      </c>
      <c r="S9" s="1">
        <f>Main!H62</f>
        <v>10</v>
      </c>
      <c r="T9" s="1">
        <f>Main!I62</f>
        <v>10</v>
      </c>
      <c r="U9" s="1">
        <f>Main!J62</f>
        <v>10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DD996-A35B-43D4-A13C-B1EB3DD30D92}">
  <sheetPr codeName="Sheet18"/>
  <dimension ref="A1:AA15"/>
  <sheetViews>
    <sheetView workbookViewId="0"/>
  </sheetViews>
  <sheetFormatPr defaultRowHeight="15" x14ac:dyDescent="0.25"/>
  <sheetData>
    <row r="1" spans="1:27" x14ac:dyDescent="0.25">
      <c r="A1" s="96" t="s">
        <v>25</v>
      </c>
      <c r="B1" s="96" t="s">
        <v>26</v>
      </c>
      <c r="C1" s="96" t="s">
        <v>1037</v>
      </c>
      <c r="D1" s="96" t="s">
        <v>1038</v>
      </c>
      <c r="E1" s="96" t="s">
        <v>1039</v>
      </c>
      <c r="F1" s="96" t="s">
        <v>1040</v>
      </c>
      <c r="G1" s="96" t="s">
        <v>1041</v>
      </c>
      <c r="H1" s="96" t="s">
        <v>1042</v>
      </c>
      <c r="I1" s="96" t="s">
        <v>1043</v>
      </c>
      <c r="J1" s="96" t="s">
        <v>1044</v>
      </c>
      <c r="K1" s="96" t="s">
        <v>41</v>
      </c>
      <c r="L1" s="96" t="s">
        <v>42</v>
      </c>
      <c r="M1" s="96" t="s">
        <v>886</v>
      </c>
      <c r="N1" s="96" t="s">
        <v>986</v>
      </c>
      <c r="O1" s="96" t="s">
        <v>1045</v>
      </c>
      <c r="P1" s="96" t="s">
        <v>1046</v>
      </c>
      <c r="Q1" s="96" t="s">
        <v>55</v>
      </c>
      <c r="R1" s="96" t="s">
        <v>50</v>
      </c>
      <c r="S1" s="96" t="s">
        <v>52</v>
      </c>
      <c r="T1" s="96" t="s">
        <v>51</v>
      </c>
      <c r="U1" s="96" t="s">
        <v>34</v>
      </c>
      <c r="V1" s="96" t="s">
        <v>1047</v>
      </c>
      <c r="W1" s="96" t="s">
        <v>53</v>
      </c>
      <c r="X1" s="96" t="s">
        <v>56</v>
      </c>
      <c r="Y1" s="96" t="s">
        <v>54</v>
      </c>
      <c r="Z1" s="96" t="s">
        <v>57</v>
      </c>
      <c r="AA1" s="96" t="s">
        <v>44</v>
      </c>
    </row>
    <row r="2" spans="1:27" x14ac:dyDescent="0.25">
      <c r="A2" s="1" t="str">
        <f>IF(Main!C40="","",1&amp;ROW()-1)</f>
        <v>11</v>
      </c>
      <c r="B2" s="1">
        <v>562858</v>
      </c>
      <c r="C2" s="1">
        <f>INDEX('SF Data'!$A:$A,MATCH(Main!C40,'SF Data'!$C:$C,0))</f>
        <v>1003</v>
      </c>
      <c r="D2" s="1">
        <f>VLOOKUP(E2,'Exp Tables'!$M$3:$O$102,3,FALSE)</f>
        <v>1967300</v>
      </c>
      <c r="E2" s="1">
        <f>Main!D40</f>
        <v>90</v>
      </c>
      <c r="F2" s="1">
        <f>MAX(Main!B40,Main!E40)</f>
        <v>5</v>
      </c>
      <c r="G2" s="1">
        <f>Main!F40</f>
        <v>0</v>
      </c>
      <c r="H2" s="1">
        <v>100</v>
      </c>
      <c r="I2" s="1">
        <f>IF(Main!G40="XL",5,IF(Main!G40="L",4,IF(Main!G40="M",3,IF(Main!G40="S",2,IF(Main!G40="XS",1,0)))))</f>
        <v>0</v>
      </c>
      <c r="J2" s="1">
        <f>IF(I2=0,0,1)</f>
        <v>0</v>
      </c>
      <c r="K2" s="1">
        <f>IF(Main!B40=3,Main!I40,0)</f>
        <v>10</v>
      </c>
      <c r="L2" s="1">
        <f>IF(Main!B40=3,Main!J40,0)</f>
        <v>10</v>
      </c>
      <c r="M2" s="1">
        <f>IF(Main!B40=2,Main!I40,IF(Main!B40=3,Main!K40,0))</f>
        <v>5</v>
      </c>
      <c r="N2" s="1">
        <f>IF(AND(Main!B40=1,Main!E40&gt;=4),Main!I40,IF(AND(Main!B40=2,Main!E40&gt;=4),Main!J40,IF(AND(Main!B40=3,Main!E40&gt;=4),Main!L40,0)))</f>
        <v>5</v>
      </c>
      <c r="O2" s="1">
        <f>IF(OR(Main!M40="",Main!B40&lt;3),0,INDEX('SF Chip Data'!$A:$A,MATCH(Main!M40,'SF Chip Data'!$B:$B,0)))</f>
        <v>1003</v>
      </c>
      <c r="P2" s="1">
        <f>IF(AND(Main!B40=3,Main!E40&gt;=4,Main!N40&lt;&gt;""),INDEX('SF Chip Data'!$A:$A,MATCH(Main!N40,'SF Chip Data'!$B:$B,0)),0)</f>
        <v>1004</v>
      </c>
      <c r="Q2" s="1">
        <v>0</v>
      </c>
      <c r="R2" s="1">
        <f>Main!H40*10000</f>
        <v>1000000</v>
      </c>
      <c r="S2" s="1">
        <f>IF(Main!H40&lt;=100,1000000,1500000)</f>
        <v>1000000</v>
      </c>
      <c r="T2" s="1">
        <f>S2</f>
        <v>1000000</v>
      </c>
      <c r="U2" s="1">
        <f>IF(AND(UseSFCustomHP=TRUE,Main!Q40&lt;&gt;0),Main!Q40,'SF Stat Calc'!X3)</f>
        <v>1090</v>
      </c>
      <c r="V2" s="1">
        <v>0</v>
      </c>
      <c r="W2" s="1">
        <f>IF(Main!H40&gt;100,1,0)</f>
        <v>0</v>
      </c>
      <c r="X2" s="1">
        <v>0</v>
      </c>
      <c r="Y2" s="1">
        <v>0</v>
      </c>
      <c r="Z2" s="1">
        <v>0</v>
      </c>
      <c r="AA2" s="1">
        <v>1</v>
      </c>
    </row>
    <row r="3" spans="1:27" x14ac:dyDescent="0.25">
      <c r="A3" s="1" t="str">
        <f>IF(Main!C41="","",1&amp;ROW()-1)</f>
        <v>12</v>
      </c>
      <c r="B3" s="1">
        <v>562858</v>
      </c>
      <c r="C3" s="1">
        <f>INDEX('SF Data'!$A:$A,MATCH(Main!C41,'SF Data'!$C:$C,0))</f>
        <v>2006</v>
      </c>
      <c r="D3" s="1">
        <f>VLOOKUP(E3,'Exp Tables'!$M$3:$O$102,3,FALSE)</f>
        <v>1967300</v>
      </c>
      <c r="E3" s="1">
        <f>Main!D41</f>
        <v>90</v>
      </c>
      <c r="F3" s="1">
        <f>MAX(Main!B41,Main!E41)</f>
        <v>5</v>
      </c>
      <c r="G3" s="1">
        <f>Main!F41</f>
        <v>4</v>
      </c>
      <c r="H3" s="1">
        <v>100</v>
      </c>
      <c r="I3" s="1">
        <f>IF(Main!G41="XL",5,IF(Main!G41="L",4,IF(Main!G41="M",3,IF(Main!G41="S",2,IF(Main!G41="XS",1,0)))))</f>
        <v>4</v>
      </c>
      <c r="J3" s="1">
        <f t="shared" ref="J3:J10" si="0">IF(I3=0,0,1)</f>
        <v>1</v>
      </c>
      <c r="K3" s="1">
        <f>IF(Main!B41=3,Main!I41,0)</f>
        <v>0</v>
      </c>
      <c r="L3" s="1">
        <f>IF(Main!B41=3,Main!J41,0)</f>
        <v>0</v>
      </c>
      <c r="M3" s="1">
        <f>IF(Main!B41=2,Main!I41,IF(Main!B41=3,Main!K41,0))</f>
        <v>5</v>
      </c>
      <c r="N3" s="1">
        <f>IF(AND(Main!B41=1,Main!E41&gt;=4),Main!I41,IF(AND(Main!B41=2,Main!E41&gt;=4),Main!J41,IF(AND(Main!B41=3,Main!E41&gt;=4),Main!L41,0)))</f>
        <v>5</v>
      </c>
      <c r="O3" s="1">
        <f>IF(OR(Main!M41="",Main!B41&lt;3),0,INDEX('SF Chip Data'!$A:$A,MATCH(Main!M41,'SF Chip Data'!$B:$B,0)))</f>
        <v>0</v>
      </c>
      <c r="P3" s="1">
        <f>IF(AND(Main!B41=3,Main!E41&gt;=4,Main!N41&lt;&gt;""),INDEX('SF Chip Data'!$A:$A,MATCH(Main!N41,'SF Chip Data'!$B:$B,0)),0)</f>
        <v>0</v>
      </c>
      <c r="Q3" s="1">
        <v>0</v>
      </c>
      <c r="R3" s="1">
        <f>Main!H41*10000</f>
        <v>1000000</v>
      </c>
      <c r="S3" s="1">
        <f>IF(Main!H41&lt;=100,1000000,1500000)</f>
        <v>1000000</v>
      </c>
      <c r="T3" s="1">
        <f t="shared" ref="T3:T10" si="1">S3</f>
        <v>1000000</v>
      </c>
      <c r="U3" s="1">
        <f>IF(AND(UseSFCustomHP=TRUE,Main!Q41&lt;&gt;0),Main!Q41,'SF Stat Calc'!X4)</f>
        <v>1527</v>
      </c>
      <c r="V3" s="1">
        <v>0</v>
      </c>
      <c r="W3" s="1">
        <f>IF(Main!H41&gt;100,1,0)</f>
        <v>0</v>
      </c>
      <c r="X3" s="1">
        <v>0</v>
      </c>
      <c r="Y3" s="1">
        <v>0</v>
      </c>
      <c r="Z3" s="1">
        <v>0</v>
      </c>
      <c r="AA3" s="1">
        <v>1</v>
      </c>
    </row>
    <row r="4" spans="1:27" x14ac:dyDescent="0.25">
      <c r="A4" s="1" t="str">
        <f>IF(Main!C42="","",1&amp;ROW()-1)</f>
        <v>13</v>
      </c>
      <c r="B4" s="1">
        <v>562858</v>
      </c>
      <c r="C4" s="1">
        <f>INDEX('SF Data'!$A:$A,MATCH(Main!C42,'SF Data'!$C:$C,0))</f>
        <v>2004</v>
      </c>
      <c r="D4" s="1">
        <f>VLOOKUP(E4,'Exp Tables'!$M$3:$O$102,3,FALSE)</f>
        <v>1967300</v>
      </c>
      <c r="E4" s="1">
        <f>Main!D42</f>
        <v>90</v>
      </c>
      <c r="F4" s="1">
        <f>MAX(Main!B42,Main!E42)</f>
        <v>5</v>
      </c>
      <c r="G4" s="1">
        <f>Main!F42</f>
        <v>4</v>
      </c>
      <c r="H4" s="1">
        <v>100</v>
      </c>
      <c r="I4" s="1">
        <f>IF(Main!G42="XL",5,IF(Main!G42="L",4,IF(Main!G42="M",3,IF(Main!G42="S",2,IF(Main!G42="XS",1,0)))))</f>
        <v>4</v>
      </c>
      <c r="J4" s="1">
        <f t="shared" si="0"/>
        <v>1</v>
      </c>
      <c r="K4" s="1">
        <f>IF(Main!B42=3,Main!I42,0)</f>
        <v>0</v>
      </c>
      <c r="L4" s="1">
        <f>IF(Main!B42=3,Main!J42,0)</f>
        <v>0</v>
      </c>
      <c r="M4" s="1">
        <f>IF(Main!B42=2,Main!I42,IF(Main!B42=3,Main!K42,0))</f>
        <v>5</v>
      </c>
      <c r="N4" s="1">
        <f>IF(AND(Main!B42=1,Main!E42&gt;=4),Main!I42,IF(AND(Main!B42=2,Main!E42&gt;=4),Main!J42,IF(AND(Main!B42=3,Main!E42&gt;=4),Main!L42,0)))</f>
        <v>5</v>
      </c>
      <c r="O4" s="1">
        <f>IF(OR(Main!M42="",Main!B42&lt;3),0,INDEX('SF Chip Data'!$A:$A,MATCH(Main!M42,'SF Chip Data'!$B:$B,0)))</f>
        <v>0</v>
      </c>
      <c r="P4" s="1">
        <f>IF(AND(Main!B42=3,Main!E42&gt;=4,Main!N42&lt;&gt;""),INDEX('SF Chip Data'!$A:$A,MATCH(Main!N42,'SF Chip Data'!$B:$B,0)),0)</f>
        <v>0</v>
      </c>
      <c r="Q4" s="1">
        <v>0</v>
      </c>
      <c r="R4" s="1">
        <f>Main!H42*10000</f>
        <v>1000000</v>
      </c>
      <c r="S4" s="1">
        <f>IF(Main!H42&lt;=100,1000000,1500000)</f>
        <v>1000000</v>
      </c>
      <c r="T4" s="1">
        <f t="shared" si="1"/>
        <v>1000000</v>
      </c>
      <c r="U4" s="1">
        <f>IF(AND(UseSFCustomHP=TRUE,Main!Q42&lt;&gt;0),Main!Q42,'SF Stat Calc'!X5)</f>
        <v>918</v>
      </c>
      <c r="V4" s="1">
        <v>0</v>
      </c>
      <c r="W4" s="1">
        <f>IF(Main!H42&gt;100,1,0)</f>
        <v>0</v>
      </c>
      <c r="X4" s="1">
        <v>0</v>
      </c>
      <c r="Y4" s="1">
        <v>0</v>
      </c>
      <c r="Z4" s="1">
        <v>0</v>
      </c>
      <c r="AA4" s="1">
        <v>1</v>
      </c>
    </row>
    <row r="5" spans="1:27" x14ac:dyDescent="0.25">
      <c r="A5" s="1" t="str">
        <f>IF(Main!C43="","",1&amp;ROW()-1)</f>
        <v>14</v>
      </c>
      <c r="B5" s="1">
        <v>562858</v>
      </c>
      <c r="C5" s="1">
        <f>INDEX('SF Data'!$A:$A,MATCH(Main!C43,'SF Data'!$C:$C,0))</f>
        <v>2009</v>
      </c>
      <c r="D5" s="1">
        <f>VLOOKUP(E5,'Exp Tables'!$M$3:$O$102,3,FALSE)</f>
        <v>1967300</v>
      </c>
      <c r="E5" s="1">
        <f>Main!D43</f>
        <v>90</v>
      </c>
      <c r="F5" s="1">
        <f>MAX(Main!B43,Main!E43)</f>
        <v>5</v>
      </c>
      <c r="G5" s="1">
        <f>Main!F43</f>
        <v>4</v>
      </c>
      <c r="H5" s="1">
        <v>100</v>
      </c>
      <c r="I5" s="1">
        <f>IF(Main!G43="XL",5,IF(Main!G43="L",4,IF(Main!G43="M",3,IF(Main!G43="S",2,IF(Main!G43="XS",1,0)))))</f>
        <v>4</v>
      </c>
      <c r="J5" s="1">
        <f t="shared" si="0"/>
        <v>1</v>
      </c>
      <c r="K5" s="1">
        <f>IF(Main!B43=3,Main!I43,0)</f>
        <v>0</v>
      </c>
      <c r="L5" s="1">
        <f>IF(Main!B43=3,Main!J43,0)</f>
        <v>0</v>
      </c>
      <c r="M5" s="1">
        <f>IF(Main!B43=2,Main!I43,IF(Main!B43=3,Main!K43,0))</f>
        <v>5</v>
      </c>
      <c r="N5" s="1">
        <f>IF(AND(Main!B43=1,Main!E43&gt;=4),Main!I43,IF(AND(Main!B43=2,Main!E43&gt;=4),Main!J43,IF(AND(Main!B43=3,Main!E43&gt;=4),Main!L43,0)))</f>
        <v>5</v>
      </c>
      <c r="O5" s="1">
        <f>IF(OR(Main!M43="",Main!B43&lt;3),0,INDEX('SF Chip Data'!$A:$A,MATCH(Main!M43,'SF Chip Data'!$B:$B,0)))</f>
        <v>0</v>
      </c>
      <c r="P5" s="1">
        <f>IF(AND(Main!B43=3,Main!E43&gt;=4,Main!N43&lt;&gt;""),INDEX('SF Chip Data'!$A:$A,MATCH(Main!N43,'SF Chip Data'!$B:$B,0)),0)</f>
        <v>0</v>
      </c>
      <c r="Q5" s="1">
        <v>0</v>
      </c>
      <c r="R5" s="1">
        <f>Main!H43*10000</f>
        <v>1000000</v>
      </c>
      <c r="S5" s="1">
        <f>IF(Main!H43&lt;=100,1000000,1500000)</f>
        <v>1000000</v>
      </c>
      <c r="T5" s="1">
        <f t="shared" si="1"/>
        <v>1000000</v>
      </c>
      <c r="U5" s="1">
        <f>IF(AND(UseSFCustomHP=TRUE,Main!Q43&lt;&gt;0),Main!Q43,'SF Stat Calc'!X6)</f>
        <v>1037</v>
      </c>
      <c r="V5" s="1">
        <v>0</v>
      </c>
      <c r="W5" s="1">
        <f>IF(Main!H43&gt;100,1,0)</f>
        <v>0</v>
      </c>
      <c r="X5" s="1">
        <v>0</v>
      </c>
      <c r="Y5" s="1">
        <v>0</v>
      </c>
      <c r="Z5" s="1">
        <v>0</v>
      </c>
      <c r="AA5" s="1">
        <v>1</v>
      </c>
    </row>
    <row r="6" spans="1:27" x14ac:dyDescent="0.25">
      <c r="A6" s="1" t="str">
        <f>IF(Main!C44="","",1&amp;ROW()-1)</f>
        <v>15</v>
      </c>
      <c r="B6" s="1">
        <v>562858</v>
      </c>
      <c r="C6" s="1">
        <f>INDEX('SF Data'!$A:$A,MATCH(Main!C44,'SF Data'!$C:$C,0))</f>
        <v>3004</v>
      </c>
      <c r="D6" s="1">
        <f>VLOOKUP(E6,'Exp Tables'!$M$3:$O$102,3,FALSE)</f>
        <v>1967300</v>
      </c>
      <c r="E6" s="1">
        <f>Main!D44</f>
        <v>90</v>
      </c>
      <c r="F6" s="1">
        <f>MAX(Main!B44,Main!E44)</f>
        <v>5</v>
      </c>
      <c r="G6" s="1">
        <f>Main!F44</f>
        <v>4</v>
      </c>
      <c r="H6" s="1">
        <v>100</v>
      </c>
      <c r="I6" s="1">
        <f>IF(Main!G44="XL",5,IF(Main!G44="L",4,IF(Main!G44="M",3,IF(Main!G44="S",2,IF(Main!G44="XS",1,0)))))</f>
        <v>5</v>
      </c>
      <c r="J6" s="1">
        <f t="shared" si="0"/>
        <v>1</v>
      </c>
      <c r="K6" s="1">
        <f>IF(Main!B44=3,Main!I44,0)</f>
        <v>0</v>
      </c>
      <c r="L6" s="1">
        <f>IF(Main!B44=3,Main!J44,0)</f>
        <v>0</v>
      </c>
      <c r="M6" s="1">
        <f>IF(Main!B44=2,Main!I44,IF(Main!B44=3,Main!K44,0))</f>
        <v>0</v>
      </c>
      <c r="N6" s="1">
        <f>IF(AND(Main!B44=1,Main!E44&gt;=4),Main!I44,IF(AND(Main!B44=2,Main!E44&gt;=4),Main!J44,IF(AND(Main!B44=3,Main!E44&gt;=4),Main!L44,0)))</f>
        <v>5</v>
      </c>
      <c r="O6" s="1">
        <f>IF(OR(Main!M44="",Main!B44&lt;3),0,INDEX('SF Chip Data'!$A:$A,MATCH(Main!M44,'SF Chip Data'!$B:$B,0)))</f>
        <v>0</v>
      </c>
      <c r="P6" s="1">
        <f>IF(AND(Main!B44=3,Main!E44&gt;=4,Main!N44&lt;&gt;""),INDEX('SF Chip Data'!$A:$A,MATCH(Main!N44,'SF Chip Data'!$B:$B,0)),0)</f>
        <v>0</v>
      </c>
      <c r="Q6" s="1">
        <v>0</v>
      </c>
      <c r="R6" s="1">
        <f>Main!H44*10000</f>
        <v>1000000</v>
      </c>
      <c r="S6" s="1">
        <f>IF(Main!H44&lt;=100,1000000,1500000)</f>
        <v>1000000</v>
      </c>
      <c r="T6" s="1">
        <f t="shared" si="1"/>
        <v>1000000</v>
      </c>
      <c r="U6" s="1">
        <f>IF(AND(UseSFCustomHP=TRUE,Main!Q44&lt;&gt;0),Main!Q44,'SF Stat Calc'!X7)</f>
        <v>569</v>
      </c>
      <c r="V6" s="1">
        <v>0</v>
      </c>
      <c r="W6" s="1">
        <f>IF(Main!H44&gt;100,1,0)</f>
        <v>0</v>
      </c>
      <c r="X6" s="1">
        <v>0</v>
      </c>
      <c r="Y6" s="1">
        <v>0</v>
      </c>
      <c r="Z6" s="1">
        <v>0</v>
      </c>
      <c r="AA6" s="1">
        <v>1</v>
      </c>
    </row>
    <row r="7" spans="1:27" x14ac:dyDescent="0.25">
      <c r="A7" s="1" t="str">
        <f>IF(Main!C45="","",1&amp;ROW()-1)</f>
        <v/>
      </c>
      <c r="B7" s="1">
        <v>562858</v>
      </c>
      <c r="C7" s="1" t="e">
        <f>INDEX('SF Data'!$A:$A,MATCH(Main!C45,'SF Data'!$C:$C,0))</f>
        <v>#N/A</v>
      </c>
      <c r="D7" s="1" t="e">
        <f>VLOOKUP(E7,'Exp Tables'!$M$3:$O$102,3,FALSE)</f>
        <v>#N/A</v>
      </c>
      <c r="E7" s="1">
        <f>Main!D45</f>
        <v>0</v>
      </c>
      <c r="F7" s="1">
        <f>MAX(Main!B45,Main!E45)</f>
        <v>0</v>
      </c>
      <c r="G7" s="1">
        <f>Main!F45</f>
        <v>0</v>
      </c>
      <c r="H7" s="1">
        <v>100</v>
      </c>
      <c r="I7" s="1">
        <f>IF(Main!G45="XL",5,IF(Main!G45="L",4,IF(Main!G45="M",3,IF(Main!G45="S",2,IF(Main!G45="XS",1,0)))))</f>
        <v>0</v>
      </c>
      <c r="J7" s="1">
        <f t="shared" si="0"/>
        <v>0</v>
      </c>
      <c r="K7" s="1">
        <f>IF(Main!B45=3,Main!I45,0)</f>
        <v>0</v>
      </c>
      <c r="L7" s="1">
        <f>IF(Main!B45=3,Main!J45,0)</f>
        <v>0</v>
      </c>
      <c r="M7" s="1">
        <f>IF(Main!B45=2,Main!I45,IF(Main!B45=3,Main!K45,0))</f>
        <v>0</v>
      </c>
      <c r="N7" s="1">
        <f>IF(AND(Main!B45=1,Main!E45&gt;=4),Main!I45,IF(AND(Main!B45=2,Main!E45&gt;=4),Main!J45,IF(AND(Main!B45=3,Main!E45&gt;=4),Main!L45,0)))</f>
        <v>0</v>
      </c>
      <c r="O7" s="1">
        <f>IF(OR(Main!M45="",Main!B45&lt;3),0,INDEX('SF Chip Data'!$A:$A,MATCH(Main!M45,'SF Chip Data'!$B:$B,0)))</f>
        <v>0</v>
      </c>
      <c r="P7" s="1">
        <f>IF(AND(Main!B45=3,Main!E45&gt;=4,Main!N45&lt;&gt;""),INDEX('SF Chip Data'!$A:$A,MATCH(Main!N45,'SF Chip Data'!$B:$B,0)),0)</f>
        <v>0</v>
      </c>
      <c r="Q7" s="1">
        <v>0</v>
      </c>
      <c r="R7" s="1">
        <f>Main!H45*10000</f>
        <v>0</v>
      </c>
      <c r="S7" s="1">
        <f>IF(Main!H45&lt;=100,1000000,1500000)</f>
        <v>1000000</v>
      </c>
      <c r="T7" s="1">
        <f t="shared" si="1"/>
        <v>1000000</v>
      </c>
      <c r="U7" s="1" t="e">
        <f>IF(AND(UseSFCustomHP=TRUE,Main!Q45&lt;&gt;0),Main!Q45,'SF Stat Calc'!X8)</f>
        <v>#N/A</v>
      </c>
      <c r="V7" s="1">
        <v>0</v>
      </c>
      <c r="W7" s="1">
        <f>IF(Main!H45&gt;100,1,0)</f>
        <v>0</v>
      </c>
      <c r="X7" s="1">
        <v>0</v>
      </c>
      <c r="Y7" s="1">
        <v>0</v>
      </c>
      <c r="Z7" s="1">
        <v>0</v>
      </c>
      <c r="AA7" s="1">
        <v>1</v>
      </c>
    </row>
    <row r="8" spans="1:27" x14ac:dyDescent="0.25">
      <c r="A8" s="1" t="str">
        <f>IF(Main!C46="","",1&amp;ROW()-1)</f>
        <v/>
      </c>
      <c r="B8" s="1">
        <v>562858</v>
      </c>
      <c r="C8" s="1" t="e">
        <f>INDEX('SF Data'!$A:$A,MATCH(Main!C46,'SF Data'!$C:$C,0))</f>
        <v>#N/A</v>
      </c>
      <c r="D8" s="1" t="e">
        <f>VLOOKUP(E8,'Exp Tables'!$M$3:$O$102,3,FALSE)</f>
        <v>#N/A</v>
      </c>
      <c r="E8" s="1">
        <f>Main!D46</f>
        <v>0</v>
      </c>
      <c r="F8" s="1">
        <f>MAX(Main!B46,Main!E46)</f>
        <v>0</v>
      </c>
      <c r="G8" s="1">
        <f>Main!F46</f>
        <v>0</v>
      </c>
      <c r="H8" s="1">
        <v>100</v>
      </c>
      <c r="I8" s="1">
        <f>IF(Main!G46="XL",5,IF(Main!G46="L",4,IF(Main!G46="M",3,IF(Main!G46="S",2,IF(Main!G46="XS",1,0)))))</f>
        <v>0</v>
      </c>
      <c r="J8" s="1">
        <f t="shared" si="0"/>
        <v>0</v>
      </c>
      <c r="K8" s="1">
        <f>IF(Main!B46=3,Main!I46,0)</f>
        <v>0</v>
      </c>
      <c r="L8" s="1">
        <f>IF(Main!B46=3,Main!J46,0)</f>
        <v>0</v>
      </c>
      <c r="M8" s="1">
        <f>IF(Main!B46=2,Main!I46,IF(Main!B46=3,Main!K46,0))</f>
        <v>0</v>
      </c>
      <c r="N8" s="1">
        <f>IF(AND(Main!B46=1,Main!E46&gt;=4),Main!I46,IF(AND(Main!B46=2,Main!E46&gt;=4),Main!J46,IF(AND(Main!B46=3,Main!E46&gt;=4),Main!L46,0)))</f>
        <v>0</v>
      </c>
      <c r="O8" s="1">
        <f>IF(OR(Main!M46="",Main!B46&lt;3),0,INDEX('SF Chip Data'!$A:$A,MATCH(Main!M46,'SF Chip Data'!$B:$B,0)))</f>
        <v>0</v>
      </c>
      <c r="P8" s="1">
        <f>IF(AND(Main!B46=3,Main!E46&gt;=4,Main!N46&lt;&gt;""),INDEX('SF Chip Data'!$A:$A,MATCH(Main!N46,'SF Chip Data'!$B:$B,0)),0)</f>
        <v>0</v>
      </c>
      <c r="Q8" s="1">
        <v>0</v>
      </c>
      <c r="R8" s="1">
        <f>Main!H46*10000</f>
        <v>0</v>
      </c>
      <c r="S8" s="1">
        <f>IF(Main!H46&lt;=100,1000000,1500000)</f>
        <v>1000000</v>
      </c>
      <c r="T8" s="1">
        <f t="shared" si="1"/>
        <v>1000000</v>
      </c>
      <c r="U8" s="1" t="e">
        <f>IF(AND(UseSFCustomHP=TRUE,Main!Q46&lt;&gt;0),Main!Q46,'SF Stat Calc'!X9)</f>
        <v>#N/A</v>
      </c>
      <c r="V8" s="1">
        <v>0</v>
      </c>
      <c r="W8" s="1">
        <f>IF(Main!H46&gt;100,1,0)</f>
        <v>0</v>
      </c>
      <c r="X8" s="1">
        <v>0</v>
      </c>
      <c r="Y8" s="1">
        <v>0</v>
      </c>
      <c r="Z8" s="1">
        <v>0</v>
      </c>
      <c r="AA8" s="1">
        <v>1</v>
      </c>
    </row>
    <row r="9" spans="1:27" x14ac:dyDescent="0.25">
      <c r="A9" s="1" t="str">
        <f>IF(Main!C47="","",1&amp;ROW()-1)</f>
        <v/>
      </c>
      <c r="B9" s="1">
        <v>562858</v>
      </c>
      <c r="C9" s="1" t="e">
        <f>INDEX('SF Data'!$A:$A,MATCH(Main!C47,'SF Data'!$C:$C,0))</f>
        <v>#N/A</v>
      </c>
      <c r="D9" s="1" t="e">
        <f>VLOOKUP(E9,'Exp Tables'!$M$3:$O$102,3,FALSE)</f>
        <v>#N/A</v>
      </c>
      <c r="E9" s="1">
        <f>Main!D47</f>
        <v>0</v>
      </c>
      <c r="F9" s="1">
        <f>MAX(Main!B47,Main!E47)</f>
        <v>0</v>
      </c>
      <c r="G9" s="1">
        <f>Main!F47</f>
        <v>0</v>
      </c>
      <c r="H9" s="1">
        <v>100</v>
      </c>
      <c r="I9" s="1">
        <f>IF(Main!G47="XL",5,IF(Main!G47="L",4,IF(Main!G47="M",3,IF(Main!G47="S",2,IF(Main!G47="XS",1,0)))))</f>
        <v>0</v>
      </c>
      <c r="J9" s="1">
        <f t="shared" si="0"/>
        <v>0</v>
      </c>
      <c r="K9" s="1">
        <f>IF(Main!B47=3,Main!I47,0)</f>
        <v>0</v>
      </c>
      <c r="L9" s="1">
        <f>IF(Main!B47=3,Main!J47,0)</f>
        <v>0</v>
      </c>
      <c r="M9" s="1">
        <f>IF(Main!B47=2,Main!I47,IF(Main!B47=3,Main!K47,0))</f>
        <v>0</v>
      </c>
      <c r="N9" s="1">
        <f>IF(AND(Main!B47=1,Main!E47&gt;=4),Main!I47,IF(AND(Main!B47=2,Main!E47&gt;=4),Main!J47,IF(AND(Main!B47=3,Main!E47&gt;=4),Main!L47,0)))</f>
        <v>0</v>
      </c>
      <c r="O9" s="1">
        <f>IF(OR(Main!M47="",Main!B47&lt;3),0,INDEX('SF Chip Data'!$A:$A,MATCH(Main!M47,'SF Chip Data'!$B:$B,0)))</f>
        <v>0</v>
      </c>
      <c r="P9" s="1">
        <f>IF(AND(Main!B47=3,Main!E47&gt;=4,Main!N47&lt;&gt;""),INDEX('SF Chip Data'!$A:$A,MATCH(Main!N47,'SF Chip Data'!$B:$B,0)),0)</f>
        <v>0</v>
      </c>
      <c r="Q9" s="1">
        <v>0</v>
      </c>
      <c r="R9" s="1">
        <f>Main!H47*10000</f>
        <v>0</v>
      </c>
      <c r="S9" s="1">
        <f>IF(Main!H47&lt;=100,1000000,1500000)</f>
        <v>1000000</v>
      </c>
      <c r="T9" s="1">
        <f t="shared" si="1"/>
        <v>1000000</v>
      </c>
      <c r="U9" s="1" t="e">
        <f>IF(AND(UseSFCustomHP=TRUE,Main!Q47&lt;&gt;0),Main!Q47,'SF Stat Calc'!X10)</f>
        <v>#N/A</v>
      </c>
      <c r="V9" s="1">
        <v>0</v>
      </c>
      <c r="W9" s="1">
        <f>IF(Main!H47&gt;100,1,0)</f>
        <v>0</v>
      </c>
      <c r="X9" s="1">
        <v>0</v>
      </c>
      <c r="Y9" s="1">
        <v>0</v>
      </c>
      <c r="Z9" s="1">
        <v>0</v>
      </c>
      <c r="AA9" s="1">
        <v>1</v>
      </c>
    </row>
    <row r="10" spans="1:27" x14ac:dyDescent="0.25">
      <c r="A10" s="51" t="str">
        <f>IF(Main!C48="","",1&amp;ROW()-1)</f>
        <v/>
      </c>
      <c r="B10" s="51">
        <v>562858</v>
      </c>
      <c r="C10" s="51" t="e">
        <f>INDEX('SF Data'!$A:$A,MATCH(Main!C48,'SF Data'!$C:$C,0))</f>
        <v>#N/A</v>
      </c>
      <c r="D10" s="51" t="e">
        <f>VLOOKUP(E10,'Exp Tables'!$M$3:$O$102,3,FALSE)</f>
        <v>#N/A</v>
      </c>
      <c r="E10" s="51">
        <f>Main!D48</f>
        <v>0</v>
      </c>
      <c r="F10" s="51">
        <f>MAX(Main!B48,Main!E48)</f>
        <v>0</v>
      </c>
      <c r="G10" s="51">
        <f>Main!F48</f>
        <v>0</v>
      </c>
      <c r="H10" s="51">
        <v>100</v>
      </c>
      <c r="I10" s="51">
        <f>IF(Main!G48="XL",5,IF(Main!G48="L",4,IF(Main!G48="M",3,IF(Main!G48="S",2,IF(Main!G48="XS",1,0)))))</f>
        <v>0</v>
      </c>
      <c r="J10" s="51">
        <f t="shared" si="0"/>
        <v>0</v>
      </c>
      <c r="K10" s="51">
        <f>IF(Main!B48=3,Main!I48,0)</f>
        <v>0</v>
      </c>
      <c r="L10" s="51">
        <f>IF(Main!B48=3,Main!J48,0)</f>
        <v>0</v>
      </c>
      <c r="M10" s="51">
        <f>IF(Main!B48=2,Main!I48,IF(Main!B48=3,Main!K48,0))</f>
        <v>0</v>
      </c>
      <c r="N10" s="51">
        <f>IF(AND(Main!B48=1,Main!E48&gt;=4),Main!I48,IF(AND(Main!B48=2,Main!E48&gt;=4),Main!J48,IF(AND(Main!B48=3,Main!E48&gt;=4),Main!L48,0)))</f>
        <v>0</v>
      </c>
      <c r="O10" s="51">
        <f>IF(OR(Main!M48="",Main!B48&lt;3),0,INDEX('SF Chip Data'!$A:$A,MATCH(Main!M48,'SF Chip Data'!$B:$B,0)))</f>
        <v>0</v>
      </c>
      <c r="P10" s="51">
        <f>IF(AND(Main!B48=3,Main!E48&gt;=4,Main!N48&lt;&gt;""),INDEX('SF Chip Data'!$A:$A,MATCH(Main!N48,'SF Chip Data'!$B:$B,0)),0)</f>
        <v>0</v>
      </c>
      <c r="Q10" s="51">
        <v>0</v>
      </c>
      <c r="R10" s="51">
        <f>Main!H48*10000</f>
        <v>0</v>
      </c>
      <c r="S10" s="51">
        <f>IF(Main!H48&lt;=100,1000000,1500000)</f>
        <v>1000000</v>
      </c>
      <c r="T10" s="51">
        <f t="shared" si="1"/>
        <v>1000000</v>
      </c>
      <c r="U10" s="51" t="e">
        <f>IF(AND(UseSFCustomHP=TRUE,Main!Q48&lt;&gt;0),Main!Q48,'SF Stat Calc'!X11)</f>
        <v>#N/A</v>
      </c>
      <c r="V10" s="51">
        <v>0</v>
      </c>
      <c r="W10" s="51">
        <f>IF(Main!H48&gt;100,1,0)</f>
        <v>0</v>
      </c>
      <c r="X10" s="51">
        <v>0</v>
      </c>
      <c r="Y10" s="51">
        <v>0</v>
      </c>
      <c r="Z10" s="51">
        <v>0</v>
      </c>
      <c r="AA10" s="51">
        <v>1</v>
      </c>
    </row>
    <row r="11" spans="1:27" x14ac:dyDescent="0.25">
      <c r="A11" s="50" t="str">
        <f>IF(Main!A67="X",2&amp;Main!B67,"")</f>
        <v/>
      </c>
      <c r="B11" s="50">
        <v>562858</v>
      </c>
      <c r="C11" s="50">
        <f>INDEX('SF Data'!$A:$A,MATCH(Main!C67,'SF Data'!$C:$C,0))</f>
        <v>1006</v>
      </c>
      <c r="D11" s="50">
        <f>VLOOKUP(E11,'Exp Tables'!$M$3:$O$102,3,FALSE)</f>
        <v>3255500</v>
      </c>
      <c r="E11" s="50">
        <f>Main!D67</f>
        <v>100</v>
      </c>
      <c r="F11" s="50">
        <f>Main!E67</f>
        <v>5</v>
      </c>
      <c r="G11" s="50">
        <f>Main!F67</f>
        <v>4</v>
      </c>
      <c r="H11" s="50">
        <v>100</v>
      </c>
      <c r="I11" s="50">
        <v>0</v>
      </c>
      <c r="J11" s="50">
        <v>0</v>
      </c>
      <c r="K11" s="50">
        <f>Main!H67</f>
        <v>10</v>
      </c>
      <c r="L11" s="50">
        <f>Main!I67</f>
        <v>10</v>
      </c>
      <c r="M11" s="50">
        <f>Main!J67</f>
        <v>5</v>
      </c>
      <c r="N11" s="50">
        <f>IF(Main!E67&gt;=4,Main!K67,0)</f>
        <v>5</v>
      </c>
      <c r="O11" s="50">
        <f>IF(Main!L67="",0,INDEX('SF Chip Data'!$A:$A,MATCH(Main!L67,'SF Chip Data'!$B:$B,0)))</f>
        <v>0</v>
      </c>
      <c r="P11" s="50">
        <f>IF(AND(Main!E67&gt;=4,Main!M67&lt;&gt;""),INDEX('SF Chip Data'!$A:$A,MATCH(Main!M67,'SF Chip Data'!$B:$B,0)),0)</f>
        <v>0</v>
      </c>
      <c r="Q11" s="50">
        <v>0</v>
      </c>
      <c r="R11" s="50">
        <f>Main!G67*10000</f>
        <v>1000000</v>
      </c>
      <c r="S11" s="50">
        <f>IF(Main!G67&lt;=100,1000000,1500000)</f>
        <v>1000000</v>
      </c>
      <c r="T11" s="50">
        <f t="shared" ref="T11:T15" si="2">S11</f>
        <v>1000000</v>
      </c>
      <c r="U11" s="50">
        <f>'SF Stat Calc'!X12</f>
        <v>1263</v>
      </c>
      <c r="V11" s="50">
        <v>0</v>
      </c>
      <c r="W11" s="50">
        <f>IF(Main!G67&gt;100,1,0)</f>
        <v>0</v>
      </c>
      <c r="X11" s="50">
        <v>0</v>
      </c>
      <c r="Y11" s="50">
        <v>0</v>
      </c>
      <c r="Z11" s="50">
        <v>0</v>
      </c>
      <c r="AA11" s="50">
        <v>1</v>
      </c>
    </row>
    <row r="12" spans="1:27" x14ac:dyDescent="0.25">
      <c r="A12" s="50" t="str">
        <f>IF(Main!A68="X",2&amp;Main!B68,"")</f>
        <v/>
      </c>
      <c r="B12" s="50">
        <v>562858</v>
      </c>
      <c r="C12" s="50">
        <f>INDEX('SF Data'!$A:$A,MATCH(Main!C68,'SF Data'!$C:$C,0))</f>
        <v>1005</v>
      </c>
      <c r="D12" s="50">
        <f>VLOOKUP(E12,'Exp Tables'!$M$3:$O$102,3,FALSE)</f>
        <v>3255500</v>
      </c>
      <c r="E12" s="50">
        <f>Main!D68</f>
        <v>100</v>
      </c>
      <c r="F12" s="50">
        <f>Main!E68</f>
        <v>5</v>
      </c>
      <c r="G12" s="50">
        <f>Main!F68</f>
        <v>4</v>
      </c>
      <c r="H12" s="50">
        <v>100</v>
      </c>
      <c r="I12" s="50">
        <v>0</v>
      </c>
      <c r="J12" s="50">
        <v>0</v>
      </c>
      <c r="K12" s="50">
        <f>Main!H68</f>
        <v>10</v>
      </c>
      <c r="L12" s="50">
        <f>Main!I68</f>
        <v>10</v>
      </c>
      <c r="M12" s="50">
        <f>Main!J68</f>
        <v>5</v>
      </c>
      <c r="N12" s="50">
        <f>IF(Main!E68&gt;=4,Main!K68,0)</f>
        <v>5</v>
      </c>
      <c r="O12" s="50">
        <f>IF(Main!L68="",0,INDEX('SF Chip Data'!$A:$A,MATCH(Main!L68,'SF Chip Data'!$B:$B,0)))</f>
        <v>0</v>
      </c>
      <c r="P12" s="50">
        <f>IF(AND(Main!E68&gt;=4,Main!M68&lt;&gt;""),INDEX('SF Chip Data'!$A:$A,MATCH(Main!M68,'SF Chip Data'!$B:$B,0)),0)</f>
        <v>0</v>
      </c>
      <c r="Q12" s="50">
        <v>0</v>
      </c>
      <c r="R12" s="50">
        <f>Main!G68*10000</f>
        <v>1000000</v>
      </c>
      <c r="S12" s="50">
        <f>IF(Main!G68&lt;=100,1000000,1500000)</f>
        <v>1000000</v>
      </c>
      <c r="T12" s="50">
        <f t="shared" si="2"/>
        <v>1000000</v>
      </c>
      <c r="U12" s="50">
        <f>'SF Stat Calc'!X13</f>
        <v>1263</v>
      </c>
      <c r="V12" s="50">
        <v>0</v>
      </c>
      <c r="W12" s="50">
        <f>IF(Main!G68&gt;100,1,0)</f>
        <v>0</v>
      </c>
      <c r="X12" s="50">
        <v>0</v>
      </c>
      <c r="Y12" s="50">
        <v>0</v>
      </c>
      <c r="Z12" s="50">
        <v>0</v>
      </c>
      <c r="AA12" s="50">
        <v>1</v>
      </c>
    </row>
    <row r="13" spans="1:27" x14ac:dyDescent="0.25">
      <c r="A13" s="50" t="str">
        <f>IF(Main!A69="X",2&amp;Main!B69,"")</f>
        <v/>
      </c>
      <c r="B13" s="50">
        <v>562858</v>
      </c>
      <c r="C13" s="50">
        <f>INDEX('SF Data'!$A:$A,MATCH(Main!C69,'SF Data'!$C:$C,0))</f>
        <v>1009</v>
      </c>
      <c r="D13" s="50">
        <f>VLOOKUP(E13,'Exp Tables'!$M$3:$O$102,3,FALSE)</f>
        <v>3255500</v>
      </c>
      <c r="E13" s="50">
        <f>Main!D69</f>
        <v>100</v>
      </c>
      <c r="F13" s="50">
        <f>Main!E69</f>
        <v>5</v>
      </c>
      <c r="G13" s="50">
        <f>Main!F69</f>
        <v>4</v>
      </c>
      <c r="H13" s="50">
        <v>100</v>
      </c>
      <c r="I13" s="50">
        <v>0</v>
      </c>
      <c r="J13" s="50">
        <v>0</v>
      </c>
      <c r="K13" s="50">
        <f>Main!H69</f>
        <v>10</v>
      </c>
      <c r="L13" s="50">
        <f>Main!I69</f>
        <v>10</v>
      </c>
      <c r="M13" s="50">
        <f>Main!J69</f>
        <v>5</v>
      </c>
      <c r="N13" s="50">
        <f>IF(Main!E69&gt;=4,Main!K69,0)</f>
        <v>5</v>
      </c>
      <c r="O13" s="50">
        <f>IF(Main!L69="",0,INDEX('SF Chip Data'!$A:$A,MATCH(Main!L69,'SF Chip Data'!$B:$B,0)))</f>
        <v>0</v>
      </c>
      <c r="P13" s="50">
        <f>IF(AND(Main!E69&gt;=4,Main!M69&lt;&gt;""),INDEX('SF Chip Data'!$A:$A,MATCH(Main!M69,'SF Chip Data'!$B:$B,0)),0)</f>
        <v>0</v>
      </c>
      <c r="Q13" s="50">
        <v>0</v>
      </c>
      <c r="R13" s="50">
        <f>Main!G69*10000</f>
        <v>1000000</v>
      </c>
      <c r="S13" s="50">
        <f>IF(Main!G69&lt;=100,1000000,1500000)</f>
        <v>1000000</v>
      </c>
      <c r="T13" s="50">
        <f t="shared" si="2"/>
        <v>1000000</v>
      </c>
      <c r="U13" s="50">
        <f>'SF Stat Calc'!X14</f>
        <v>1091</v>
      </c>
      <c r="V13" s="50">
        <v>0</v>
      </c>
      <c r="W13" s="50">
        <f>IF(Main!G69&gt;100,1,0)</f>
        <v>0</v>
      </c>
      <c r="X13" s="50">
        <v>0</v>
      </c>
      <c r="Y13" s="50">
        <v>0</v>
      </c>
      <c r="Z13" s="50">
        <v>0</v>
      </c>
      <c r="AA13" s="50">
        <v>1</v>
      </c>
    </row>
    <row r="14" spans="1:27" x14ac:dyDescent="0.25">
      <c r="A14" s="50" t="str">
        <f>IF(Main!A70="X",2&amp;Main!B70,"")</f>
        <v/>
      </c>
      <c r="B14" s="50">
        <v>562858</v>
      </c>
      <c r="C14" s="50">
        <f>INDEX('SF Data'!$A:$A,MATCH(Main!C70,'SF Data'!$C:$C,0))</f>
        <v>1014</v>
      </c>
      <c r="D14" s="50">
        <f>VLOOKUP(E14,'Exp Tables'!$M$3:$O$102,3,FALSE)</f>
        <v>3255500</v>
      </c>
      <c r="E14" s="50">
        <f>Main!D70</f>
        <v>100</v>
      </c>
      <c r="F14" s="50">
        <f>Main!E70</f>
        <v>5</v>
      </c>
      <c r="G14" s="50">
        <f>Main!F70</f>
        <v>4</v>
      </c>
      <c r="H14" s="50">
        <v>100</v>
      </c>
      <c r="I14" s="50">
        <v>0</v>
      </c>
      <c r="J14" s="50">
        <v>0</v>
      </c>
      <c r="K14" s="50">
        <f>Main!H70</f>
        <v>10</v>
      </c>
      <c r="L14" s="50">
        <f>Main!I70</f>
        <v>10</v>
      </c>
      <c r="M14" s="50">
        <f>Main!J70</f>
        <v>5</v>
      </c>
      <c r="N14" s="50">
        <f>IF(Main!E70&gt;=4,Main!K70,0)</f>
        <v>5</v>
      </c>
      <c r="O14" s="50">
        <f>IF(Main!L70="",0,INDEX('SF Chip Data'!$A:$A,MATCH(Main!L70,'SF Chip Data'!$B:$B,0)))</f>
        <v>0</v>
      </c>
      <c r="P14" s="50">
        <f>IF(AND(Main!E70&gt;=4,Main!M70&lt;&gt;""),INDEX('SF Chip Data'!$A:$A,MATCH(Main!M70,'SF Chip Data'!$B:$B,0)),0)</f>
        <v>0</v>
      </c>
      <c r="Q14" s="50">
        <v>0</v>
      </c>
      <c r="R14" s="50">
        <f>Main!G70*10000</f>
        <v>1000000</v>
      </c>
      <c r="S14" s="50">
        <f>IF(Main!G70&lt;=100,1000000,1500000)</f>
        <v>1000000</v>
      </c>
      <c r="T14" s="50">
        <f t="shared" si="2"/>
        <v>1000000</v>
      </c>
      <c r="U14" s="50">
        <f>'SF Stat Calc'!X15</f>
        <v>1205</v>
      </c>
      <c r="V14" s="50">
        <v>0</v>
      </c>
      <c r="W14" s="50">
        <f>IF(Main!G70&gt;100,1,0)</f>
        <v>0</v>
      </c>
      <c r="X14" s="50">
        <v>0</v>
      </c>
      <c r="Y14" s="50">
        <v>0</v>
      </c>
      <c r="Z14" s="50">
        <v>0</v>
      </c>
      <c r="AA14" s="50">
        <v>1</v>
      </c>
    </row>
    <row r="15" spans="1:27" x14ac:dyDescent="0.25">
      <c r="A15" s="50" t="str">
        <f>IF(Main!A71="X",2&amp;Main!B71,"")</f>
        <v/>
      </c>
      <c r="B15" s="50">
        <v>562858</v>
      </c>
      <c r="C15" s="50">
        <f>INDEX('SF Data'!$A:$A,MATCH(Main!C71,'SF Data'!$C:$C,0))</f>
        <v>1013</v>
      </c>
      <c r="D15" s="50">
        <f>VLOOKUP(E15,'Exp Tables'!$M$3:$O$102,3,FALSE)</f>
        <v>3255500</v>
      </c>
      <c r="E15" s="50">
        <f>Main!D71</f>
        <v>100</v>
      </c>
      <c r="F15" s="50">
        <f>Main!E71</f>
        <v>5</v>
      </c>
      <c r="G15" s="50">
        <f>Main!F71</f>
        <v>4</v>
      </c>
      <c r="H15" s="50">
        <v>100</v>
      </c>
      <c r="I15" s="50">
        <v>0</v>
      </c>
      <c r="J15" s="50">
        <v>0</v>
      </c>
      <c r="K15" s="50">
        <f>Main!H71</f>
        <v>10</v>
      </c>
      <c r="L15" s="50">
        <f>Main!I71</f>
        <v>10</v>
      </c>
      <c r="M15" s="50">
        <f>Main!J71</f>
        <v>5</v>
      </c>
      <c r="N15" s="50">
        <f>IF(Main!E71&gt;=4,Main!K71,0)</f>
        <v>5</v>
      </c>
      <c r="O15" s="50">
        <f>IF(Main!L71="",0,INDEX('SF Chip Data'!$A:$A,MATCH(Main!L71,'SF Chip Data'!$B:$B,0)))</f>
        <v>0</v>
      </c>
      <c r="P15" s="50">
        <f>IF(AND(Main!E71&gt;=4,Main!M71&lt;&gt;""),INDEX('SF Chip Data'!$A:$A,MATCH(Main!M71,'SF Chip Data'!$B:$B,0)),0)</f>
        <v>0</v>
      </c>
      <c r="Q15" s="50">
        <v>0</v>
      </c>
      <c r="R15" s="50">
        <f>Main!G71*10000</f>
        <v>1000000</v>
      </c>
      <c r="S15" s="50">
        <f>IF(Main!G71&lt;=100,1000000,1500000)</f>
        <v>1000000</v>
      </c>
      <c r="T15" s="50">
        <f t="shared" si="2"/>
        <v>1000000</v>
      </c>
      <c r="U15" s="50">
        <f>'SF Stat Calc'!X16</f>
        <v>1033</v>
      </c>
      <c r="V15" s="50">
        <v>0</v>
      </c>
      <c r="W15" s="50">
        <f>IF(Main!G71&gt;100,1,0)</f>
        <v>0</v>
      </c>
      <c r="X15" s="50">
        <v>0</v>
      </c>
      <c r="Y15" s="50">
        <v>0</v>
      </c>
      <c r="Z15" s="50">
        <v>0</v>
      </c>
      <c r="AA15" s="50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A0122B-DAE5-4C60-9B1E-32E91BC4CEF9}">
  <sheetPr codeName="Sheet24"/>
  <dimension ref="A1:E29"/>
  <sheetViews>
    <sheetView workbookViewId="0"/>
  </sheetViews>
  <sheetFormatPr defaultRowHeight="15" x14ac:dyDescent="0.25"/>
  <sheetData>
    <row r="1" spans="1:5" x14ac:dyDescent="0.25">
      <c r="A1" s="96" t="s">
        <v>26</v>
      </c>
      <c r="B1" s="96" t="s">
        <v>1126</v>
      </c>
      <c r="C1" s="96" t="s">
        <v>1032</v>
      </c>
      <c r="D1" s="96" t="s">
        <v>1127</v>
      </c>
      <c r="E1" s="96" t="s">
        <v>1128</v>
      </c>
    </row>
    <row r="2" spans="1:5" x14ac:dyDescent="0.25">
      <c r="A2" s="50">
        <f t="shared" ref="A2:A29" si="0">IF(B2="","",562858)</f>
        <v>562858</v>
      </c>
      <c r="B2" s="50">
        <f>IFERROR(INDEX('SF Chip Data'!A:A,MATCH(Main!M40,'SF Chip Data'!B:B,0)),"")</f>
        <v>1003</v>
      </c>
      <c r="C2" s="50">
        <v>0</v>
      </c>
      <c r="D2" s="50" t="str">
        <f>SF!A2</f>
        <v>11</v>
      </c>
      <c r="E2" s="50">
        <v>1</v>
      </c>
    </row>
    <row r="3" spans="1:5" x14ac:dyDescent="0.25">
      <c r="A3" s="50" t="str">
        <f t="shared" si="0"/>
        <v/>
      </c>
      <c r="B3" s="50" t="str">
        <f>IFERROR(INDEX('SF Chip Data'!A:A,MATCH(Main!M41,'SF Chip Data'!B:B,0)),"")</f>
        <v/>
      </c>
      <c r="C3" s="50">
        <v>0</v>
      </c>
      <c r="D3" s="50" t="str">
        <f>SF!A3</f>
        <v>12</v>
      </c>
      <c r="E3" s="50">
        <v>1</v>
      </c>
    </row>
    <row r="4" spans="1:5" x14ac:dyDescent="0.25">
      <c r="A4" s="50" t="str">
        <f t="shared" si="0"/>
        <v/>
      </c>
      <c r="B4" s="50" t="str">
        <f>IFERROR(INDEX('SF Chip Data'!A:A,MATCH(Main!M42,'SF Chip Data'!B:B,0)),"")</f>
        <v/>
      </c>
      <c r="C4" s="50">
        <v>0</v>
      </c>
      <c r="D4" s="50" t="str">
        <f>SF!A4</f>
        <v>13</v>
      </c>
      <c r="E4" s="50">
        <v>1</v>
      </c>
    </row>
    <row r="5" spans="1:5" x14ac:dyDescent="0.25">
      <c r="A5" s="50" t="str">
        <f t="shared" si="0"/>
        <v/>
      </c>
      <c r="B5" s="50" t="str">
        <f>IFERROR(INDEX('SF Chip Data'!A:A,MATCH(Main!M43,'SF Chip Data'!B:B,0)),"")</f>
        <v/>
      </c>
      <c r="C5" s="50">
        <v>0</v>
      </c>
      <c r="D5" s="50" t="str">
        <f>SF!A5</f>
        <v>14</v>
      </c>
      <c r="E5" s="50">
        <v>1</v>
      </c>
    </row>
    <row r="6" spans="1:5" x14ac:dyDescent="0.25">
      <c r="A6" s="50" t="str">
        <f t="shared" si="0"/>
        <v/>
      </c>
      <c r="B6" s="50" t="str">
        <f>IFERROR(INDEX('SF Chip Data'!A:A,MATCH(Main!M44,'SF Chip Data'!B:B,0)),"")</f>
        <v/>
      </c>
      <c r="C6" s="50">
        <v>0</v>
      </c>
      <c r="D6" s="50" t="str">
        <f>SF!A6</f>
        <v>15</v>
      </c>
      <c r="E6" s="50">
        <v>1</v>
      </c>
    </row>
    <row r="7" spans="1:5" x14ac:dyDescent="0.25">
      <c r="A7" s="50" t="str">
        <f t="shared" si="0"/>
        <v/>
      </c>
      <c r="B7" s="50" t="str">
        <f>IFERROR(INDEX('SF Chip Data'!A:A,MATCH(Main!M45,'SF Chip Data'!B:B,0)),"")</f>
        <v/>
      </c>
      <c r="C7" s="50">
        <v>0</v>
      </c>
      <c r="D7" s="50" t="str">
        <f>SF!A7</f>
        <v/>
      </c>
      <c r="E7" s="50">
        <v>1</v>
      </c>
    </row>
    <row r="8" spans="1:5" x14ac:dyDescent="0.25">
      <c r="A8" s="50" t="str">
        <f t="shared" si="0"/>
        <v/>
      </c>
      <c r="B8" s="50" t="str">
        <f>IFERROR(INDEX('SF Chip Data'!A:A,MATCH(Main!M46,'SF Chip Data'!B:B,0)),"")</f>
        <v/>
      </c>
      <c r="C8" s="50">
        <v>0</v>
      </c>
      <c r="D8" s="50" t="str">
        <f>SF!A8</f>
        <v/>
      </c>
      <c r="E8" s="50">
        <v>1</v>
      </c>
    </row>
    <row r="9" spans="1:5" x14ac:dyDescent="0.25">
      <c r="A9" s="50" t="str">
        <f t="shared" si="0"/>
        <v/>
      </c>
      <c r="B9" s="50" t="str">
        <f>IFERROR(INDEX('SF Chip Data'!A:A,MATCH(Main!M47,'SF Chip Data'!B:B,0)),"")</f>
        <v/>
      </c>
      <c r="C9" s="50">
        <v>0</v>
      </c>
      <c r="D9" s="50" t="str">
        <f>SF!A9</f>
        <v/>
      </c>
      <c r="E9" s="50">
        <v>1</v>
      </c>
    </row>
    <row r="10" spans="1:5" x14ac:dyDescent="0.25">
      <c r="A10" s="51" t="str">
        <f t="shared" si="0"/>
        <v/>
      </c>
      <c r="B10" s="51" t="str">
        <f>IFERROR(INDEX('SF Chip Data'!A:A,MATCH(Main!M48,'SF Chip Data'!B:B,0)),"")</f>
        <v/>
      </c>
      <c r="C10" s="51">
        <v>0</v>
      </c>
      <c r="D10" s="51" t="str">
        <f>SF!A10</f>
        <v/>
      </c>
      <c r="E10" s="51">
        <v>1</v>
      </c>
    </row>
    <row r="11" spans="1:5" x14ac:dyDescent="0.25">
      <c r="A11" s="1">
        <f t="shared" si="0"/>
        <v>562858</v>
      </c>
      <c r="B11" s="1">
        <f>IFERROR(INDEX('SF Chip Data'!A:A,MATCH(Main!N40,'SF Chip Data'!B:B,0)),"")</f>
        <v>1004</v>
      </c>
      <c r="C11" s="1">
        <v>0</v>
      </c>
      <c r="D11" s="1" t="str">
        <f>D2</f>
        <v>11</v>
      </c>
      <c r="E11" s="1">
        <v>2</v>
      </c>
    </row>
    <row r="12" spans="1:5" x14ac:dyDescent="0.25">
      <c r="A12" s="1" t="str">
        <f t="shared" si="0"/>
        <v/>
      </c>
      <c r="B12" s="1" t="str">
        <f>IFERROR(INDEX('SF Chip Data'!A:A,MATCH(Main!N41,'SF Chip Data'!B:B,0)),"")</f>
        <v/>
      </c>
      <c r="C12" s="1">
        <v>0</v>
      </c>
      <c r="D12" s="1" t="str">
        <f t="shared" ref="D12:D19" si="1">D3</f>
        <v>12</v>
      </c>
      <c r="E12" s="1">
        <v>2</v>
      </c>
    </row>
    <row r="13" spans="1:5" x14ac:dyDescent="0.25">
      <c r="A13" s="1" t="str">
        <f t="shared" si="0"/>
        <v/>
      </c>
      <c r="B13" s="1" t="str">
        <f>IFERROR(INDEX('SF Chip Data'!A:A,MATCH(Main!N42,'SF Chip Data'!B:B,0)),"")</f>
        <v/>
      </c>
      <c r="C13" s="1">
        <v>0</v>
      </c>
      <c r="D13" s="1" t="str">
        <f t="shared" si="1"/>
        <v>13</v>
      </c>
      <c r="E13" s="1">
        <v>2</v>
      </c>
    </row>
    <row r="14" spans="1:5" x14ac:dyDescent="0.25">
      <c r="A14" s="1" t="str">
        <f t="shared" si="0"/>
        <v/>
      </c>
      <c r="B14" s="1" t="str">
        <f>IFERROR(INDEX('SF Chip Data'!A:A,MATCH(Main!N43,'SF Chip Data'!B:B,0)),"")</f>
        <v/>
      </c>
      <c r="C14" s="1">
        <v>0</v>
      </c>
      <c r="D14" s="1" t="str">
        <f t="shared" si="1"/>
        <v>14</v>
      </c>
      <c r="E14" s="1">
        <v>2</v>
      </c>
    </row>
    <row r="15" spans="1:5" x14ac:dyDescent="0.25">
      <c r="A15" s="1" t="str">
        <f t="shared" si="0"/>
        <v/>
      </c>
      <c r="B15" s="1" t="str">
        <f>IFERROR(INDEX('SF Chip Data'!A:A,MATCH(Main!N44,'SF Chip Data'!B:B,0)),"")</f>
        <v/>
      </c>
      <c r="C15" s="1">
        <v>0</v>
      </c>
      <c r="D15" s="1" t="str">
        <f t="shared" si="1"/>
        <v>15</v>
      </c>
      <c r="E15" s="1">
        <v>2</v>
      </c>
    </row>
    <row r="16" spans="1:5" x14ac:dyDescent="0.25">
      <c r="A16" s="1" t="str">
        <f t="shared" si="0"/>
        <v/>
      </c>
      <c r="B16" s="1" t="str">
        <f>IFERROR(INDEX('SF Chip Data'!A:A,MATCH(Main!N45,'SF Chip Data'!B:B,0)),"")</f>
        <v/>
      </c>
      <c r="C16" s="1">
        <v>0</v>
      </c>
      <c r="D16" s="1" t="str">
        <f t="shared" si="1"/>
        <v/>
      </c>
      <c r="E16" s="1">
        <v>2</v>
      </c>
    </row>
    <row r="17" spans="1:5" x14ac:dyDescent="0.25">
      <c r="A17" s="1" t="str">
        <f t="shared" si="0"/>
        <v/>
      </c>
      <c r="B17" s="1" t="str">
        <f>IFERROR(INDEX('SF Chip Data'!A:A,MATCH(Main!N46,'SF Chip Data'!B:B,0)),"")</f>
        <v/>
      </c>
      <c r="C17" s="1">
        <v>0</v>
      </c>
      <c r="D17" s="1" t="str">
        <f t="shared" si="1"/>
        <v/>
      </c>
      <c r="E17" s="1">
        <v>2</v>
      </c>
    </row>
    <row r="18" spans="1:5" x14ac:dyDescent="0.25">
      <c r="A18" s="1" t="str">
        <f t="shared" si="0"/>
        <v/>
      </c>
      <c r="B18" s="1" t="str">
        <f>IFERROR(INDEX('SF Chip Data'!A:A,MATCH(Main!N47,'SF Chip Data'!B:B,0)),"")</f>
        <v/>
      </c>
      <c r="C18" s="1">
        <v>0</v>
      </c>
      <c r="D18" s="1" t="str">
        <f t="shared" si="1"/>
        <v/>
      </c>
      <c r="E18" s="1">
        <v>2</v>
      </c>
    </row>
    <row r="19" spans="1:5" x14ac:dyDescent="0.25">
      <c r="A19" s="51" t="str">
        <f t="shared" si="0"/>
        <v/>
      </c>
      <c r="B19" s="51" t="str">
        <f>IFERROR(INDEX('SF Chip Data'!A:A,MATCH(Main!N48,'SF Chip Data'!B:B,0)),"")</f>
        <v/>
      </c>
      <c r="C19" s="51">
        <v>0</v>
      </c>
      <c r="D19" s="51" t="str">
        <f t="shared" si="1"/>
        <v/>
      </c>
      <c r="E19" s="51">
        <v>2</v>
      </c>
    </row>
    <row r="20" spans="1:5" x14ac:dyDescent="0.25">
      <c r="A20" s="1" t="str">
        <f t="shared" si="0"/>
        <v/>
      </c>
      <c r="B20" s="216" t="str">
        <f>IFERROR(INDEX('SF Chip Data'!A:A,MATCH(Main!L67,'SF Chip Data'!B:B,0)),"")</f>
        <v/>
      </c>
      <c r="C20" s="1">
        <v>0</v>
      </c>
      <c r="D20" s="216" t="str">
        <f>SF!A11</f>
        <v/>
      </c>
      <c r="E20" s="1">
        <v>1</v>
      </c>
    </row>
    <row r="21" spans="1:5" x14ac:dyDescent="0.25">
      <c r="A21" s="1" t="str">
        <f t="shared" si="0"/>
        <v/>
      </c>
      <c r="B21" s="50" t="str">
        <f>IFERROR(INDEX('SF Chip Data'!A:A,MATCH(Main!L68,'SF Chip Data'!B:B,0)),"")</f>
        <v/>
      </c>
      <c r="C21" s="1">
        <v>0</v>
      </c>
      <c r="D21" s="50" t="str">
        <f>SF!A12</f>
        <v/>
      </c>
      <c r="E21" s="1">
        <v>1</v>
      </c>
    </row>
    <row r="22" spans="1:5" x14ac:dyDescent="0.25">
      <c r="A22" s="1" t="str">
        <f t="shared" si="0"/>
        <v/>
      </c>
      <c r="B22" s="50" t="str">
        <f>IFERROR(INDEX('SF Chip Data'!A:A,MATCH(Main!L69,'SF Chip Data'!B:B,0)),"")</f>
        <v/>
      </c>
      <c r="C22" s="1">
        <v>0</v>
      </c>
      <c r="D22" s="50" t="str">
        <f>SF!A13</f>
        <v/>
      </c>
      <c r="E22" s="1">
        <v>1</v>
      </c>
    </row>
    <row r="23" spans="1:5" x14ac:dyDescent="0.25">
      <c r="A23" s="1" t="str">
        <f t="shared" si="0"/>
        <v/>
      </c>
      <c r="B23" s="50" t="str">
        <f>IFERROR(INDEX('SF Chip Data'!A:A,MATCH(Main!L70,'SF Chip Data'!B:B,0)),"")</f>
        <v/>
      </c>
      <c r="C23" s="1">
        <v>0</v>
      </c>
      <c r="D23" s="50" t="str">
        <f>SF!A14</f>
        <v/>
      </c>
      <c r="E23" s="1">
        <v>1</v>
      </c>
    </row>
    <row r="24" spans="1:5" x14ac:dyDescent="0.25">
      <c r="A24" s="51" t="str">
        <f t="shared" si="0"/>
        <v/>
      </c>
      <c r="B24" s="51" t="str">
        <f>IFERROR(INDEX('SF Chip Data'!A:A,MATCH(Main!L71,'SF Chip Data'!B:B,0)),"")</f>
        <v/>
      </c>
      <c r="C24" s="51">
        <v>0</v>
      </c>
      <c r="D24" s="51" t="str">
        <f>SF!A15</f>
        <v/>
      </c>
      <c r="E24" s="51">
        <v>1</v>
      </c>
    </row>
    <row r="25" spans="1:5" x14ac:dyDescent="0.25">
      <c r="A25" s="216" t="str">
        <f t="shared" si="0"/>
        <v/>
      </c>
      <c r="B25" s="216" t="str">
        <f>IFERROR(INDEX('SF Chip Data'!A:A,MATCH(Main!M67,'SF Chip Data'!B:B,0)),"")</f>
        <v/>
      </c>
      <c r="C25" s="216">
        <v>0</v>
      </c>
      <c r="D25" s="216" t="str">
        <f>D20</f>
        <v/>
      </c>
      <c r="E25" s="216">
        <v>2</v>
      </c>
    </row>
    <row r="26" spans="1:5" x14ac:dyDescent="0.25">
      <c r="A26" s="50" t="str">
        <f t="shared" si="0"/>
        <v/>
      </c>
      <c r="B26" s="50" t="str">
        <f>IFERROR(INDEX('SF Chip Data'!A:A,MATCH(Main!M68,'SF Chip Data'!B:B,0)),"")</f>
        <v/>
      </c>
      <c r="C26" s="50">
        <v>0</v>
      </c>
      <c r="D26" s="50" t="str">
        <f t="shared" ref="D26:D29" si="2">D21</f>
        <v/>
      </c>
      <c r="E26" s="50">
        <v>2</v>
      </c>
    </row>
    <row r="27" spans="1:5" x14ac:dyDescent="0.25">
      <c r="A27" s="50" t="str">
        <f t="shared" si="0"/>
        <v/>
      </c>
      <c r="B27" s="50" t="str">
        <f>IFERROR(INDEX('SF Chip Data'!A:A,MATCH(Main!M69,'SF Chip Data'!B:B,0)),"")</f>
        <v/>
      </c>
      <c r="C27" s="50">
        <v>0</v>
      </c>
      <c r="D27" s="50" t="str">
        <f t="shared" si="2"/>
        <v/>
      </c>
      <c r="E27" s="50">
        <v>2</v>
      </c>
    </row>
    <row r="28" spans="1:5" x14ac:dyDescent="0.25">
      <c r="A28" s="50" t="str">
        <f t="shared" si="0"/>
        <v/>
      </c>
      <c r="B28" s="50" t="str">
        <f>IFERROR(INDEX('SF Chip Data'!A:A,MATCH(Main!M70,'SF Chip Data'!B:B,0)),"")</f>
        <v/>
      </c>
      <c r="C28" s="50">
        <v>0</v>
      </c>
      <c r="D28" s="50" t="str">
        <f t="shared" si="2"/>
        <v/>
      </c>
      <c r="E28" s="50">
        <v>2</v>
      </c>
    </row>
    <row r="29" spans="1:5" x14ac:dyDescent="0.25">
      <c r="A29" s="51" t="str">
        <f t="shared" si="0"/>
        <v/>
      </c>
      <c r="B29" s="51" t="str">
        <f>IFERROR(INDEX('SF Chip Data'!A:A,MATCH(Main!M71,'SF Chip Data'!B:B,0)),"")</f>
        <v/>
      </c>
      <c r="C29" s="51">
        <v>0</v>
      </c>
      <c r="D29" s="51" t="str">
        <f t="shared" si="2"/>
        <v/>
      </c>
      <c r="E29" s="51">
        <v>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0AFB9D-E836-4441-87FA-B732A0788EFD}">
  <sheetPr codeName="Sheet25"/>
  <dimension ref="A1:K23"/>
  <sheetViews>
    <sheetView workbookViewId="0"/>
  </sheetViews>
  <sheetFormatPr defaultRowHeight="15" x14ac:dyDescent="0.25"/>
  <sheetData>
    <row r="1" spans="1:11" x14ac:dyDescent="0.25">
      <c r="A1" s="96" t="s">
        <v>25</v>
      </c>
      <c r="B1" s="96" t="s">
        <v>26</v>
      </c>
      <c r="C1" s="96" t="s">
        <v>1048</v>
      </c>
      <c r="D1" s="96" t="s">
        <v>30</v>
      </c>
      <c r="E1" s="96" t="s">
        <v>35</v>
      </c>
      <c r="F1" s="96" t="s">
        <v>36</v>
      </c>
      <c r="G1" s="96" t="s">
        <v>1049</v>
      </c>
      <c r="J1" s="148" t="s">
        <v>1127</v>
      </c>
      <c r="K1" s="148" t="s">
        <v>33</v>
      </c>
    </row>
    <row r="2" spans="1:11" x14ac:dyDescent="0.25">
      <c r="A2" s="217">
        <v>2</v>
      </c>
      <c r="B2" s="217">
        <v>562858</v>
      </c>
      <c r="C2" s="217">
        <f>A2</f>
        <v>2</v>
      </c>
      <c r="D2" s="217">
        <f>IF(EchType="SF",1,2)</f>
        <v>2</v>
      </c>
      <c r="E2" s="217">
        <v>10</v>
      </c>
      <c r="F2" s="217">
        <v>10</v>
      </c>
      <c r="G2" s="217" t="s">
        <v>1129</v>
      </c>
      <c r="J2" s="1" t="str">
        <f>IF(SF!A2="",0,1&amp;ROW()-1)</f>
        <v>11</v>
      </c>
      <c r="K2" s="1">
        <f t="array" ref="K2">IF(J2=0,0,SUMPRODUCT((Main!$S$41:$U$43=RIGHT(J2,1)*1)*'Misc Inputs'!$B$3:$D$5))</f>
        <v>8</v>
      </c>
    </row>
    <row r="3" spans="1:11" x14ac:dyDescent="0.25">
      <c r="A3" s="50" t="str">
        <f>IF(Main!A67="X",ROW(),"")</f>
        <v/>
      </c>
      <c r="B3" s="50">
        <v>562858</v>
      </c>
      <c r="C3" s="50" t="str">
        <f t="shared" ref="C3:C7" si="0">A3</f>
        <v/>
      </c>
      <c r="D3" s="50" t="str">
        <f>A3</f>
        <v/>
      </c>
      <c r="E3" s="50">
        <v>10</v>
      </c>
      <c r="F3" s="50">
        <v>10</v>
      </c>
      <c r="G3" s="50" t="s">
        <v>1129</v>
      </c>
      <c r="J3" s="1" t="str">
        <f>IF(SF!A3="",0,1&amp;ROW()-1)</f>
        <v>12</v>
      </c>
      <c r="K3" s="1">
        <f t="array" ref="K3">IF(J3=0,0,SUMPRODUCT((Main!$S$41:$U$43=RIGHT(J3,1)*1)*'Misc Inputs'!$B$3:$D$5))</f>
        <v>14</v>
      </c>
    </row>
    <row r="4" spans="1:11" x14ac:dyDescent="0.25">
      <c r="A4" s="50" t="str">
        <f>IF(Main!A68="X",ROW(),"")</f>
        <v/>
      </c>
      <c r="B4" s="50">
        <v>562858</v>
      </c>
      <c r="C4" s="50" t="str">
        <f t="shared" si="0"/>
        <v/>
      </c>
      <c r="D4" s="50" t="str">
        <f t="shared" ref="D4:D7" si="1">A4</f>
        <v/>
      </c>
      <c r="E4" s="50">
        <v>10</v>
      </c>
      <c r="F4" s="50">
        <v>10</v>
      </c>
      <c r="G4" s="50" t="s">
        <v>1129</v>
      </c>
      <c r="J4" s="1" t="str">
        <f>IF(SF!A4="",0,1&amp;ROW()-1)</f>
        <v>13</v>
      </c>
      <c r="K4" s="1">
        <f t="array" ref="K4">IF(J4=0,0,SUMPRODUCT((Main!$S$41:$U$43=RIGHT(J4,1)*1)*'Misc Inputs'!$B$3:$D$5))</f>
        <v>7</v>
      </c>
    </row>
    <row r="5" spans="1:11" x14ac:dyDescent="0.25">
      <c r="A5" s="50" t="str">
        <f>IF(Main!A69="X",ROW(),"")</f>
        <v/>
      </c>
      <c r="B5" s="50">
        <v>562858</v>
      </c>
      <c r="C5" s="50" t="str">
        <f t="shared" si="0"/>
        <v/>
      </c>
      <c r="D5" s="50" t="str">
        <f t="shared" si="1"/>
        <v/>
      </c>
      <c r="E5" s="50">
        <v>10</v>
      </c>
      <c r="F5" s="50">
        <v>10</v>
      </c>
      <c r="G5" s="50" t="s">
        <v>1129</v>
      </c>
      <c r="J5" s="1" t="str">
        <f>IF(SF!A5="",0,1&amp;ROW()-1)</f>
        <v>14</v>
      </c>
      <c r="K5" s="1">
        <f t="array" ref="K5">IF(J5=0,0,SUMPRODUCT((Main!$S$41:$U$43=RIGHT(J5,1)*1)*'Misc Inputs'!$B$3:$D$5))</f>
        <v>13</v>
      </c>
    </row>
    <row r="6" spans="1:11" x14ac:dyDescent="0.25">
      <c r="A6" s="50" t="str">
        <f>IF(Main!A70="X",ROW(),"")</f>
        <v/>
      </c>
      <c r="B6" s="50">
        <v>562858</v>
      </c>
      <c r="C6" s="50" t="str">
        <f t="shared" si="0"/>
        <v/>
      </c>
      <c r="D6" s="50" t="str">
        <f t="shared" si="1"/>
        <v/>
      </c>
      <c r="E6" s="50">
        <v>10</v>
      </c>
      <c r="F6" s="50">
        <v>10</v>
      </c>
      <c r="G6" s="50" t="s">
        <v>1129</v>
      </c>
      <c r="J6" s="1" t="str">
        <f>IF(SF!A6="",0,1&amp;ROW()-1)</f>
        <v>15</v>
      </c>
      <c r="K6" s="1">
        <f t="array" ref="K6">IF(J6=0,0,SUMPRODUCT((Main!$S$41:$U$43=RIGHT(J6,1)*1)*'Misc Inputs'!$B$3:$D$5))</f>
        <v>9</v>
      </c>
    </row>
    <row r="7" spans="1:11" x14ac:dyDescent="0.25">
      <c r="A7" s="50" t="str">
        <f>IF(Main!A71="X",ROW(),"")</f>
        <v/>
      </c>
      <c r="B7" s="50">
        <v>562858</v>
      </c>
      <c r="C7" s="50" t="str">
        <f t="shared" si="0"/>
        <v/>
      </c>
      <c r="D7" s="50" t="str">
        <f t="shared" si="1"/>
        <v/>
      </c>
      <c r="E7" s="50">
        <v>10</v>
      </c>
      <c r="F7" s="50">
        <v>10</v>
      </c>
      <c r="G7" s="50" t="s">
        <v>1129</v>
      </c>
      <c r="J7" s="1">
        <f>IF(SF!A7="",0,1&amp;ROW()-1)</f>
        <v>0</v>
      </c>
      <c r="K7" s="1">
        <f t="array" ref="K7">IF(J7=0,0,SUMPRODUCT((Main!$S$41:$U$43=RIGHT(J7,1)*1)*'Misc Inputs'!$B$3:$D$5))</f>
        <v>0</v>
      </c>
    </row>
    <row r="8" spans="1:11" x14ac:dyDescent="0.25">
      <c r="A8" s="50"/>
      <c r="B8" s="50"/>
      <c r="C8" s="50"/>
      <c r="D8" s="50"/>
      <c r="E8" s="50"/>
      <c r="F8" s="50"/>
      <c r="G8" s="50"/>
      <c r="J8" s="1">
        <f>IF(SF!A8="",0,1&amp;ROW()-1)</f>
        <v>0</v>
      </c>
      <c r="K8" s="1">
        <f t="array" ref="K8">IF(J8=0,0,SUMPRODUCT((Main!$S$41:$U$43=RIGHT(J8,1)*1)*'Misc Inputs'!$B$3:$D$5))</f>
        <v>0</v>
      </c>
    </row>
    <row r="9" spans="1:11" x14ac:dyDescent="0.25">
      <c r="A9" s="50"/>
      <c r="B9" s="50"/>
      <c r="C9" s="50"/>
      <c r="D9" s="50"/>
      <c r="E9" s="50"/>
      <c r="F9" s="50"/>
      <c r="G9" s="50"/>
      <c r="J9" s="1">
        <f>IF(SF!A9="",0,1&amp;ROW()-1)</f>
        <v>0</v>
      </c>
      <c r="K9" s="1">
        <f t="array" ref="K9">IF(J9=0,0,SUMPRODUCT((Main!$S$41:$U$43=RIGHT(J9,1)*1)*'Misc Inputs'!$B$3:$D$5))</f>
        <v>0</v>
      </c>
    </row>
    <row r="10" spans="1:11" x14ac:dyDescent="0.25">
      <c r="A10" s="50"/>
      <c r="B10" s="50"/>
      <c r="C10" s="50"/>
      <c r="D10" s="50"/>
      <c r="E10" s="50"/>
      <c r="F10" s="50"/>
      <c r="G10" s="50"/>
      <c r="J10" s="50">
        <f>IF(SF!A10="",0,1&amp;ROW()-1)</f>
        <v>0</v>
      </c>
      <c r="K10" s="50">
        <f t="array" ref="K10">IF(J10=0,0,SUMPRODUCT((Main!$S$41:$U$43=RIGHT(J10,1)*1)*'Misc Inputs'!$B$3:$D$5))</f>
        <v>0</v>
      </c>
    </row>
    <row r="11" spans="1:11" x14ac:dyDescent="0.25">
      <c r="A11" s="50"/>
      <c r="B11" s="50"/>
      <c r="C11" s="50"/>
      <c r="D11" s="50"/>
      <c r="E11" s="50"/>
      <c r="F11" s="50"/>
      <c r="G11" s="50"/>
      <c r="J11" s="216">
        <f>IF(SF!A11="",0,SF!A11)</f>
        <v>0</v>
      </c>
      <c r="K11" s="216">
        <v>8</v>
      </c>
    </row>
    <row r="12" spans="1:11" x14ac:dyDescent="0.25">
      <c r="A12" s="50"/>
      <c r="B12" s="50"/>
      <c r="C12" s="50"/>
      <c r="D12" s="50"/>
      <c r="E12" s="50"/>
      <c r="F12" s="50"/>
      <c r="G12" s="50"/>
      <c r="J12" s="50">
        <f>IF(SF!A12="",0,SF!A12)</f>
        <v>0</v>
      </c>
      <c r="K12" s="50">
        <v>8</v>
      </c>
    </row>
    <row r="13" spans="1:11" x14ac:dyDescent="0.25">
      <c r="A13" s="50"/>
      <c r="B13" s="50"/>
      <c r="C13" s="50"/>
      <c r="D13" s="50"/>
      <c r="E13" s="50"/>
      <c r="F13" s="50"/>
      <c r="G13" s="50"/>
      <c r="J13" s="50">
        <f>IF(SF!A13="",0,SF!A13)</f>
        <v>0</v>
      </c>
      <c r="K13" s="50">
        <v>8</v>
      </c>
    </row>
    <row r="14" spans="1:11" x14ac:dyDescent="0.25">
      <c r="A14" s="50"/>
      <c r="B14" s="50"/>
      <c r="C14" s="50"/>
      <c r="D14" s="50"/>
      <c r="E14" s="50"/>
      <c r="F14" s="50"/>
      <c r="G14" s="50"/>
      <c r="J14" s="50">
        <f>IF(SF!A14="",0,SF!A14)</f>
        <v>0</v>
      </c>
      <c r="K14" s="50">
        <v>8</v>
      </c>
    </row>
    <row r="15" spans="1:11" x14ac:dyDescent="0.25">
      <c r="A15" s="50"/>
      <c r="B15" s="50"/>
      <c r="C15" s="50"/>
      <c r="D15" s="50"/>
      <c r="E15" s="50"/>
      <c r="F15" s="50"/>
      <c r="G15" s="50"/>
      <c r="J15" s="51">
        <f>IF(SF!A15="",0,SF!A15)</f>
        <v>0</v>
      </c>
      <c r="K15" s="51">
        <v>8</v>
      </c>
    </row>
    <row r="16" spans="1:11" x14ac:dyDescent="0.25">
      <c r="A16" s="50"/>
      <c r="B16" s="50"/>
      <c r="C16" s="50"/>
      <c r="D16" s="50"/>
      <c r="E16" s="50"/>
      <c r="F16" s="50"/>
      <c r="G16" s="50"/>
    </row>
    <row r="17" spans="1:7" x14ac:dyDescent="0.25">
      <c r="A17" s="50"/>
      <c r="B17" s="50"/>
      <c r="C17" s="50"/>
      <c r="D17" s="50"/>
      <c r="E17" s="50"/>
      <c r="F17" s="50"/>
      <c r="G17" s="50"/>
    </row>
    <row r="18" spans="1:7" x14ac:dyDescent="0.25">
      <c r="A18" s="50"/>
      <c r="B18" s="50"/>
      <c r="C18" s="50"/>
      <c r="D18" s="50"/>
      <c r="E18" s="50"/>
      <c r="F18" s="50"/>
      <c r="G18" s="50"/>
    </row>
    <row r="19" spans="1:7" x14ac:dyDescent="0.25">
      <c r="A19" s="50"/>
      <c r="B19" s="50"/>
      <c r="C19" s="50"/>
      <c r="D19" s="50"/>
      <c r="E19" s="50"/>
      <c r="F19" s="50"/>
      <c r="G19" s="50"/>
    </row>
    <row r="20" spans="1:7" x14ac:dyDescent="0.25">
      <c r="B20" s="1"/>
      <c r="C20" s="9"/>
    </row>
    <row r="21" spans="1:7" x14ac:dyDescent="0.25">
      <c r="B21" s="1"/>
      <c r="C21" s="9"/>
    </row>
    <row r="22" spans="1:7" x14ac:dyDescent="0.25">
      <c r="B22" s="1"/>
      <c r="C22" s="9"/>
    </row>
    <row r="23" spans="1:7" x14ac:dyDescent="0.25">
      <c r="B23" s="1"/>
      <c r="C23" s="9"/>
    </row>
  </sheetData>
  <pageMargins left="0.7" right="0.7" top="0.75" bottom="0.75" header="0.3" footer="0.3"/>
  <pageSetup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F048A-9341-4AC0-A9AB-1A4DD05C41A1}">
  <sheetPr codeName="Sheet14"/>
  <dimension ref="A1:C5"/>
  <sheetViews>
    <sheetView workbookViewId="0">
      <selection activeCell="C3" sqref="C3"/>
    </sheetView>
  </sheetViews>
  <sheetFormatPr defaultRowHeight="15" x14ac:dyDescent="0.25"/>
  <cols>
    <col min="1" max="1" width="20.28515625" bestFit="1" customWidth="1"/>
    <col min="6" max="6" width="20" bestFit="1" customWidth="1"/>
    <col min="7" max="7" width="13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778</v>
      </c>
      <c r="B2" s="1">
        <f>IF(DayNight="Day",25,25)</f>
        <v>25</v>
      </c>
      <c r="C2" s="9" t="str">
        <f>IF(Main!A81="X",'Misc Inputs'!$C$22,IF(Main!A82="X",'Misc Inputs'!$C$28,'Misc Inputs'!$C$20))</f>
        <v>"fairy_skill_on_enemy": "[]",</v>
      </c>
    </row>
    <row r="3" spans="1:3" x14ac:dyDescent="0.25">
      <c r="A3" t="s">
        <v>6537</v>
      </c>
      <c r="B3" s="1">
        <f>IF(DayNight="Day",26,28)</f>
        <v>28</v>
      </c>
      <c r="C3" s="9" t="str">
        <f>IF(EchType="SF",SUBSTITUTE('Misc Inputs'!C17,"on_team","on_sangvis"),SUBSTITUTE('Misc Inputs'!C8,"on_team","on_sangvis"))</f>
        <v>"fairy_skill_on_sangvis": "[]",</v>
      </c>
    </row>
    <row r="4" spans="1:3" x14ac:dyDescent="0.25">
      <c r="A4" t="s">
        <v>777</v>
      </c>
      <c r="B4" s="1">
        <f>IF(DayNight="Day",29,31)</f>
        <v>31</v>
      </c>
      <c r="C4" s="9" t="str">
        <f>IF(EchType="G&amp;K",'Misc Inputs'!C17,'Misc Inputs'!C8)</f>
        <v>"fairy_skill_on_team": "[]",</v>
      </c>
    </row>
    <row r="5" spans="1:3" x14ac:dyDescent="0.25">
      <c r="A5" t="s">
        <v>779</v>
      </c>
      <c r="B5" s="1">
        <f>IF(DayNight="Day",64,77)</f>
        <v>77</v>
      </c>
      <c r="C5" s="9" t="str">
        <f>CHAR(34)&amp;"turn"&amp;CHAR(34)&amp;": "&amp;CHAR(34)&amp;Main!$B$10&amp;CHAR(34)&amp;","</f>
        <v>"turn": "8",</v>
      </c>
    </row>
  </sheetData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003BD4-BE4C-49FB-912B-52774826C8B7}">
  <sheetPr codeName="Sheet19"/>
  <dimension ref="A1:F10"/>
  <sheetViews>
    <sheetView workbookViewId="0">
      <selection activeCell="E10" sqref="E10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6" x14ac:dyDescent="0.25">
      <c r="A1" s="43" t="s">
        <v>1797</v>
      </c>
      <c r="B1" s="43" t="s">
        <v>776</v>
      </c>
      <c r="C1" s="43" t="s">
        <v>1830</v>
      </c>
      <c r="D1" s="43" t="s">
        <v>780</v>
      </c>
      <c r="E1" s="43" t="s">
        <v>1829</v>
      </c>
      <c r="F1" s="98"/>
    </row>
    <row r="2" spans="1:6" x14ac:dyDescent="0.25">
      <c r="A2" s="1">
        <v>100</v>
      </c>
      <c r="B2" s="1">
        <v>15</v>
      </c>
      <c r="C2" s="9" t="str">
        <f t="shared" ref="C2:C10" si="0">CHAR(34)&amp;D2&amp;CHAR(34)&amp;": "&amp;CHAR(34)&amp;E2&amp;CHAR(34)&amp;","</f>
        <v>"sangvis_team_id": "0",</v>
      </c>
      <c r="D2" s="1" t="s">
        <v>1798</v>
      </c>
      <c r="E2" s="1">
        <f>SUMPRODUCT('SF Team'!$D$3:$D$7,--(Main!$A$67:$A$71="X"),--(Main!$N$67:$N$71=A2))</f>
        <v>0</v>
      </c>
    </row>
    <row r="3" spans="1:6" x14ac:dyDescent="0.25">
      <c r="A3" s="1">
        <v>101</v>
      </c>
      <c r="B3" s="1">
        <v>37</v>
      </c>
      <c r="C3" s="9" t="str">
        <f t="shared" si="0"/>
        <v>"sangvis_team_id": "0",</v>
      </c>
      <c r="D3" s="1" t="s">
        <v>1798</v>
      </c>
      <c r="E3" s="1">
        <f>SUMPRODUCT('SF Team'!$D$3:$D$7,--(Main!$A$67:$A$71="X"),--(Main!$N$67:$N$71=A3))</f>
        <v>0</v>
      </c>
    </row>
    <row r="4" spans="1:6" x14ac:dyDescent="0.25">
      <c r="A4" s="1">
        <v>102</v>
      </c>
      <c r="B4" s="1">
        <v>59</v>
      </c>
      <c r="C4" s="9" t="str">
        <f t="shared" si="0"/>
        <v>"sangvis_team_id": "0",</v>
      </c>
      <c r="D4" s="1" t="s">
        <v>1798</v>
      </c>
      <c r="E4" s="1">
        <f>SUMPRODUCT('SF Team'!$D$3:$D$7,--(Main!$A$67:$A$71="X"),--(Main!$N$67:$N$71=A4))</f>
        <v>0</v>
      </c>
    </row>
    <row r="5" spans="1:6" x14ac:dyDescent="0.25">
      <c r="A5" s="1">
        <v>104</v>
      </c>
      <c r="B5" s="1">
        <v>103</v>
      </c>
      <c r="C5" s="9" t="str">
        <f t="shared" si="0"/>
        <v>"sangvis_team_id": "0",</v>
      </c>
      <c r="D5" s="1" t="s">
        <v>1798</v>
      </c>
      <c r="E5" s="1">
        <f>SUMPRODUCT('SF Team'!$D$3:$D$7,--(Main!$A$67:$A$71="X"),--(Main!$N$67:$N$71=A5))</f>
        <v>0</v>
      </c>
    </row>
    <row r="6" spans="1:6" x14ac:dyDescent="0.25">
      <c r="A6" s="1">
        <v>105</v>
      </c>
      <c r="B6" s="1">
        <v>125</v>
      </c>
      <c r="C6" s="9" t="str">
        <f t="shared" si="0"/>
        <v>"sangvis_team_id": "0",</v>
      </c>
      <c r="D6" s="1" t="s">
        <v>1798</v>
      </c>
      <c r="E6" s="1">
        <f>SUMPRODUCT('SF Team'!$D$3:$D$7,--(Main!$A$67:$A$71="X"),--(Main!$N$67:$N$71=A6))</f>
        <v>0</v>
      </c>
    </row>
    <row r="7" spans="1:6" x14ac:dyDescent="0.25">
      <c r="A7" s="1">
        <v>106</v>
      </c>
      <c r="B7" s="1">
        <v>147</v>
      </c>
      <c r="C7" s="9" t="str">
        <f t="shared" si="0"/>
        <v>"sangvis_team_id": "0",</v>
      </c>
      <c r="D7" s="1" t="s">
        <v>1798</v>
      </c>
      <c r="E7" s="1">
        <f>SUMPRODUCT('SF Team'!$D$3:$D$7,--(Main!$A$67:$A$71="X"),--(Main!$N$67:$N$71=A7))</f>
        <v>0</v>
      </c>
    </row>
    <row r="8" spans="1:6" x14ac:dyDescent="0.25">
      <c r="A8" s="1">
        <v>107</v>
      </c>
      <c r="B8" s="1">
        <v>169</v>
      </c>
      <c r="C8" s="9" t="str">
        <f t="shared" si="0"/>
        <v>"sangvis_team_id": "0",</v>
      </c>
      <c r="D8" s="1" t="s">
        <v>1798</v>
      </c>
      <c r="E8" s="1">
        <f>SUMPRODUCT('SF Team'!$D$3:$D$7,--(Main!$A$67:$A$71="X"),--(Main!$N$67:$N$71=A8))</f>
        <v>0</v>
      </c>
    </row>
    <row r="9" spans="1:6" x14ac:dyDescent="0.25">
      <c r="A9" s="1">
        <v>99</v>
      </c>
      <c r="B9" s="1">
        <v>186</v>
      </c>
      <c r="C9" s="9" t="str">
        <f t="shared" si="0"/>
        <v>"sangvis_team_id": "0",</v>
      </c>
      <c r="D9" s="1" t="s">
        <v>1798</v>
      </c>
      <c r="E9" s="1">
        <f>SUMPRODUCT('SF Team'!$D$3:$D$7,--(Main!$A$67:$A$71="X"),--(Main!$N$67:$N$71=A9))</f>
        <v>0</v>
      </c>
    </row>
    <row r="10" spans="1:6" x14ac:dyDescent="0.25">
      <c r="A10" s="1">
        <v>103</v>
      </c>
      <c r="B10" s="1">
        <v>79</v>
      </c>
      <c r="C10" s="9" t="str">
        <f t="shared" si="0"/>
        <v>"seed": "1234",</v>
      </c>
      <c r="D10" s="1" t="s">
        <v>6594</v>
      </c>
      <c r="E10" s="1">
        <f>SeedNum</f>
        <v>1234</v>
      </c>
    </row>
  </sheetData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F48B47-01E4-49D2-A508-5F8FCBBD87A0}">
  <sheetPr codeName="Sheet26"/>
  <dimension ref="A1:T32"/>
  <sheetViews>
    <sheetView topLeftCell="A5" workbookViewId="0">
      <selection activeCell="C32" sqref="C32"/>
    </sheetView>
  </sheetViews>
  <sheetFormatPr defaultRowHeight="15" x14ac:dyDescent="0.25"/>
  <cols>
    <col min="1" max="2" width="9.140625" style="1"/>
    <col min="3" max="3" width="22.140625" style="9" bestFit="1" customWidth="1"/>
    <col min="4" max="4" width="15.85546875" style="1" bestFit="1" customWidth="1"/>
    <col min="5" max="5" width="9.140625" style="1"/>
  </cols>
  <sheetData>
    <row r="1" spans="1:20" x14ac:dyDescent="0.25">
      <c r="A1" s="43" t="s">
        <v>1797</v>
      </c>
      <c r="B1" s="43" t="s">
        <v>776</v>
      </c>
      <c r="C1" s="43" t="s">
        <v>1830</v>
      </c>
      <c r="D1" s="43" t="s">
        <v>780</v>
      </c>
      <c r="E1" s="43" t="s">
        <v>1829</v>
      </c>
      <c r="F1" s="98"/>
      <c r="M1" s="1"/>
      <c r="T1" s="98"/>
    </row>
    <row r="2" spans="1:20" x14ac:dyDescent="0.25">
      <c r="A2" s="1" t="s">
        <v>1799</v>
      </c>
      <c r="B2" s="1">
        <v>9</v>
      </c>
      <c r="C2" s="9" t="str">
        <f t="shared" ref="C2:C32" si="0">CHAR(34)&amp;D2&amp;CHAR(34)&amp;": "&amp;CHAR(34)&amp;E2&amp;CHAR(34)&amp;","</f>
        <v>"sangvis_team_id": "0",</v>
      </c>
      <c r="D2" s="1" t="s">
        <v>1798</v>
      </c>
      <c r="E2" s="1">
        <f>SUMPRODUCT('SF Team'!$D$3:$D$7,--(Main!$A$67:$A$71="X"),--(Main!$N$67:$N$71=A2))</f>
        <v>0</v>
      </c>
      <c r="F2" s="1"/>
      <c r="M2" s="1"/>
    </row>
    <row r="3" spans="1:20" x14ac:dyDescent="0.25">
      <c r="A3" s="1" t="s">
        <v>1800</v>
      </c>
      <c r="B3" s="1">
        <v>31</v>
      </c>
      <c r="C3" s="9" t="str">
        <f t="shared" si="0"/>
        <v>"sangvis_team_id": "0",</v>
      </c>
      <c r="D3" s="1" t="s">
        <v>1798</v>
      </c>
      <c r="E3" s="1">
        <f>SUMPRODUCT('SF Team'!$D$3:$D$7,--(Main!$A$67:$A$71="X"),--(Main!$N$67:$N$71=A3))</f>
        <v>0</v>
      </c>
      <c r="F3" s="1"/>
      <c r="M3" s="1"/>
    </row>
    <row r="4" spans="1:20" x14ac:dyDescent="0.25">
      <c r="A4" s="1" t="s">
        <v>1801</v>
      </c>
      <c r="B4" s="1">
        <v>53</v>
      </c>
      <c r="C4" s="9" t="str">
        <f t="shared" si="0"/>
        <v>"sangvis_team_id": "0",</v>
      </c>
      <c r="D4" s="1" t="s">
        <v>1798</v>
      </c>
      <c r="E4" s="1">
        <f>SUMPRODUCT('SF Team'!$D$3:$D$7,--(Main!$A$67:$A$71="X"),--(Main!$N$67:$N$71=A4))</f>
        <v>0</v>
      </c>
      <c r="F4" s="1"/>
      <c r="M4" s="1"/>
    </row>
    <row r="5" spans="1:20" x14ac:dyDescent="0.25">
      <c r="A5" s="1" t="s">
        <v>1802</v>
      </c>
      <c r="B5" s="1">
        <v>75</v>
      </c>
      <c r="C5" s="9" t="str">
        <f t="shared" si="0"/>
        <v>"sangvis_team_id": "0",</v>
      </c>
      <c r="D5" s="1" t="s">
        <v>1798</v>
      </c>
      <c r="E5" s="1">
        <f>SUMPRODUCT('SF Team'!$D$3:$D$7,--(Main!$A$67:$A$71="X"),--(Main!$N$67:$N$71=A5))</f>
        <v>0</v>
      </c>
      <c r="F5" s="1"/>
      <c r="M5" s="1"/>
    </row>
    <row r="6" spans="1:20" x14ac:dyDescent="0.25">
      <c r="A6" s="1" t="s">
        <v>1803</v>
      </c>
      <c r="B6" s="1">
        <v>97</v>
      </c>
      <c r="C6" s="9" t="str">
        <f t="shared" si="0"/>
        <v>"sangvis_team_id": "0",</v>
      </c>
      <c r="D6" s="1" t="s">
        <v>1798</v>
      </c>
      <c r="E6" s="1">
        <f>SUMPRODUCT('SF Team'!$D$3:$D$7,--(Main!$A$67:$A$71="X"),--(Main!$N$67:$N$71=A6))</f>
        <v>0</v>
      </c>
      <c r="F6" s="1"/>
      <c r="M6" s="1"/>
    </row>
    <row r="7" spans="1:20" x14ac:dyDescent="0.25">
      <c r="A7" s="1" t="s">
        <v>1804</v>
      </c>
      <c r="B7" s="1">
        <v>119</v>
      </c>
      <c r="C7" s="9" t="str">
        <f t="shared" si="0"/>
        <v>"sangvis_team_id": "0",</v>
      </c>
      <c r="D7" s="1" t="s">
        <v>1798</v>
      </c>
      <c r="E7" s="1">
        <f>SUMPRODUCT('SF Team'!$D$3:$D$7,--(Main!$A$67:$A$71="X"),--(Main!$N$67:$N$71=A7))</f>
        <v>0</v>
      </c>
      <c r="F7" s="1"/>
      <c r="M7" s="1"/>
    </row>
    <row r="8" spans="1:20" x14ac:dyDescent="0.25">
      <c r="A8" s="1" t="s">
        <v>1805</v>
      </c>
      <c r="B8" s="1">
        <v>146</v>
      </c>
      <c r="C8" s="9" t="str">
        <f t="shared" si="0"/>
        <v>"sangvis_team_id": "0",</v>
      </c>
      <c r="D8" s="1" t="s">
        <v>1798</v>
      </c>
      <c r="E8" s="1">
        <f>SUMPRODUCT('SF Team'!$D$3:$D$7,--(Main!$A$67:$A$71="X"),--(Main!$N$67:$N$71=A8))</f>
        <v>0</v>
      </c>
      <c r="F8" s="1"/>
      <c r="M8" s="1"/>
    </row>
    <row r="9" spans="1:20" x14ac:dyDescent="0.25">
      <c r="A9" s="1" t="s">
        <v>1806</v>
      </c>
      <c r="B9" s="1">
        <v>163</v>
      </c>
      <c r="C9" s="9" t="str">
        <f t="shared" si="0"/>
        <v>"sangvis_team_id": "0",</v>
      </c>
      <c r="D9" s="1" t="s">
        <v>1798</v>
      </c>
      <c r="E9" s="1">
        <f>SUMPRODUCT('SF Team'!$D$3:$D$7,--(Main!$A$67:$A$71="X"),--(Main!$N$67:$N$71=A9))</f>
        <v>0</v>
      </c>
      <c r="F9" s="1"/>
      <c r="M9" s="1"/>
    </row>
    <row r="10" spans="1:20" x14ac:dyDescent="0.25">
      <c r="A10" s="1" t="s">
        <v>1807</v>
      </c>
      <c r="B10" s="1">
        <v>185</v>
      </c>
      <c r="C10" s="9" t="str">
        <f t="shared" si="0"/>
        <v>"sangvis_team_id": "0",</v>
      </c>
      <c r="D10" s="1" t="s">
        <v>1798</v>
      </c>
      <c r="E10" s="1">
        <f>SUMPRODUCT('SF Team'!$D$3:$D$7,--(Main!$A$67:$A$71="X"),--(Main!$N$67:$N$71=A10))</f>
        <v>0</v>
      </c>
      <c r="F10" s="1"/>
    </row>
    <row r="11" spans="1:20" x14ac:dyDescent="0.25">
      <c r="A11" s="1" t="s">
        <v>1808</v>
      </c>
      <c r="B11" s="1">
        <v>207</v>
      </c>
      <c r="C11" s="9" t="str">
        <f t="shared" si="0"/>
        <v>"sangvis_team_id": "0",</v>
      </c>
      <c r="D11" s="1" t="s">
        <v>1798</v>
      </c>
      <c r="E11" s="1">
        <f>SUMPRODUCT('SF Team'!$D$3:$D$7,--(Main!$A$67:$A$71="X"),--(Main!$N$67:$N$71=A11))</f>
        <v>0</v>
      </c>
      <c r="F11" s="1"/>
    </row>
    <row r="12" spans="1:20" x14ac:dyDescent="0.25">
      <c r="A12" s="1" t="s">
        <v>1809</v>
      </c>
      <c r="B12" s="1">
        <v>234</v>
      </c>
      <c r="C12" s="9" t="str">
        <f t="shared" si="0"/>
        <v>"sangvis_team_id": "0",</v>
      </c>
      <c r="D12" s="1" t="s">
        <v>1798</v>
      </c>
      <c r="E12" s="1">
        <f>SUMPRODUCT('SF Team'!$D$3:$D$7,--(Main!$A$67:$A$71="X"),--(Main!$N$67:$N$71=A12))</f>
        <v>0</v>
      </c>
      <c r="F12" s="1"/>
    </row>
    <row r="13" spans="1:20" x14ac:dyDescent="0.25">
      <c r="A13" s="1" t="s">
        <v>1810</v>
      </c>
      <c r="B13" s="1">
        <v>251</v>
      </c>
      <c r="C13" s="9" t="str">
        <f t="shared" si="0"/>
        <v>"sangvis_team_id": "0",</v>
      </c>
      <c r="D13" s="1" t="s">
        <v>1798</v>
      </c>
      <c r="E13" s="1">
        <f>SUMPRODUCT('SF Team'!$D$3:$D$7,--(Main!$A$67:$A$71="X"),--(Main!$N$67:$N$71=A13))</f>
        <v>0</v>
      </c>
      <c r="F13" s="1"/>
    </row>
    <row r="14" spans="1:20" x14ac:dyDescent="0.25">
      <c r="A14" s="1" t="s">
        <v>1811</v>
      </c>
      <c r="B14" s="1">
        <v>273</v>
      </c>
      <c r="C14" s="9" t="str">
        <f t="shared" si="0"/>
        <v>"sangvis_team_id": "0",</v>
      </c>
      <c r="D14" s="1" t="s">
        <v>1798</v>
      </c>
      <c r="E14" s="1">
        <f>SUMPRODUCT('SF Team'!$D$3:$D$7,--(Main!$A$67:$A$71="X"),--(Main!$N$67:$N$71=A14))</f>
        <v>0</v>
      </c>
      <c r="F14" s="1"/>
    </row>
    <row r="15" spans="1:20" x14ac:dyDescent="0.25">
      <c r="A15" s="1" t="s">
        <v>1812</v>
      </c>
      <c r="B15" s="1">
        <v>295</v>
      </c>
      <c r="C15" s="9" t="str">
        <f t="shared" si="0"/>
        <v>"sangvis_team_id": "0",</v>
      </c>
      <c r="D15" s="1" t="s">
        <v>1798</v>
      </c>
      <c r="E15" s="1">
        <f>SUMPRODUCT('SF Team'!$D$3:$D$7,--(Main!$A$67:$A$71="X"),--(Main!$N$67:$N$71=A15))</f>
        <v>0</v>
      </c>
      <c r="F15" s="1"/>
    </row>
    <row r="16" spans="1:20" x14ac:dyDescent="0.25">
      <c r="A16" s="1" t="s">
        <v>1813</v>
      </c>
      <c r="B16" s="1">
        <v>317</v>
      </c>
      <c r="C16" s="9" t="str">
        <f t="shared" si="0"/>
        <v>"sangvis_team_id": "0",</v>
      </c>
      <c r="D16" s="1" t="s">
        <v>1798</v>
      </c>
      <c r="E16" s="1">
        <f>SUMPRODUCT('SF Team'!$D$3:$D$7,--(Main!$A$67:$A$71="X"),--(Main!$N$67:$N$71=A16))</f>
        <v>0</v>
      </c>
      <c r="F16" s="1"/>
    </row>
    <row r="17" spans="1:6" x14ac:dyDescent="0.25">
      <c r="A17" s="1" t="s">
        <v>1814</v>
      </c>
      <c r="B17" s="1">
        <v>339</v>
      </c>
      <c r="C17" s="9" t="str">
        <f t="shared" si="0"/>
        <v>"sangvis_team_id": "0",</v>
      </c>
      <c r="D17" s="1" t="s">
        <v>1798</v>
      </c>
      <c r="E17" s="1">
        <f>SUMPRODUCT('SF Team'!$D$3:$D$7,--(Main!$A$67:$A$71="X"),--(Main!$N$67:$N$71=A17))</f>
        <v>0</v>
      </c>
      <c r="F17" s="1"/>
    </row>
    <row r="18" spans="1:6" x14ac:dyDescent="0.25">
      <c r="A18" s="1" t="s">
        <v>1815</v>
      </c>
      <c r="B18" s="1">
        <v>366</v>
      </c>
      <c r="C18" s="9" t="str">
        <f t="shared" si="0"/>
        <v>"sangvis_team_id": "0",</v>
      </c>
      <c r="D18" s="1" t="s">
        <v>1798</v>
      </c>
      <c r="E18" s="1">
        <f>SUMPRODUCT('SF Team'!$D$3:$D$7,--(Main!$A$67:$A$71="X"),--(Main!$N$67:$N$71=A18))</f>
        <v>0</v>
      </c>
      <c r="F18" s="1"/>
    </row>
    <row r="19" spans="1:6" x14ac:dyDescent="0.25">
      <c r="A19" s="1" t="s">
        <v>1816</v>
      </c>
      <c r="B19" s="1">
        <v>383</v>
      </c>
      <c r="C19" s="9" t="str">
        <f t="shared" si="0"/>
        <v>"sangvis_team_id": "0",</v>
      </c>
      <c r="D19" s="1" t="s">
        <v>1798</v>
      </c>
      <c r="E19" s="1">
        <f>SUMPRODUCT('SF Team'!$D$3:$D$7,--(Main!$A$67:$A$71="X"),--(Main!$N$67:$N$71=A19))</f>
        <v>0</v>
      </c>
      <c r="F19" s="1"/>
    </row>
    <row r="20" spans="1:6" x14ac:dyDescent="0.25">
      <c r="A20" s="1" t="s">
        <v>1817</v>
      </c>
      <c r="B20" s="1">
        <v>405</v>
      </c>
      <c r="C20" s="9" t="str">
        <f t="shared" si="0"/>
        <v>"sangvis_team_id": "0",</v>
      </c>
      <c r="D20" s="1" t="s">
        <v>1798</v>
      </c>
      <c r="E20" s="1">
        <f>SUMPRODUCT('SF Team'!$D$3:$D$7,--(Main!$A$67:$A$71="X"),--(Main!$N$67:$N$71=A20))</f>
        <v>0</v>
      </c>
      <c r="F20" s="1"/>
    </row>
    <row r="21" spans="1:6" x14ac:dyDescent="0.25">
      <c r="A21" s="1" t="s">
        <v>1818</v>
      </c>
      <c r="B21" s="1">
        <v>432</v>
      </c>
      <c r="C21" s="9" t="str">
        <f t="shared" si="0"/>
        <v>"sangvis_team_id": "0",</v>
      </c>
      <c r="D21" s="1" t="s">
        <v>1798</v>
      </c>
      <c r="E21" s="1">
        <f>SUMPRODUCT('SF Team'!$D$3:$D$7,--(Main!$A$67:$A$71="X"),--(Main!$N$67:$N$71=A21))</f>
        <v>0</v>
      </c>
      <c r="F21" s="1"/>
    </row>
    <row r="22" spans="1:6" x14ac:dyDescent="0.25">
      <c r="A22" s="1" t="s">
        <v>1819</v>
      </c>
      <c r="B22" s="1">
        <v>454</v>
      </c>
      <c r="C22" s="9" t="str">
        <f t="shared" si="0"/>
        <v>"sangvis_team_id": "0",</v>
      </c>
      <c r="D22" s="1" t="s">
        <v>1798</v>
      </c>
      <c r="E22" s="1">
        <f>SUMPRODUCT('SF Team'!$D$3:$D$7,--(Main!$A$67:$A$71="X"),--(Main!$N$67:$N$71=A22))</f>
        <v>0</v>
      </c>
      <c r="F22" s="1"/>
    </row>
    <row r="23" spans="1:6" x14ac:dyDescent="0.25">
      <c r="A23" s="1" t="s">
        <v>1820</v>
      </c>
      <c r="B23" s="1">
        <v>471</v>
      </c>
      <c r="C23" s="9" t="str">
        <f t="shared" si="0"/>
        <v>"sangvis_team_id": "0",</v>
      </c>
      <c r="D23" s="1" t="s">
        <v>1798</v>
      </c>
      <c r="E23" s="1">
        <f>SUMPRODUCT('SF Team'!$D$3:$D$7,--(Main!$A$67:$A$71="X"),--(Main!$N$67:$N$71=A23))</f>
        <v>0</v>
      </c>
      <c r="F23" s="1"/>
    </row>
    <row r="24" spans="1:6" x14ac:dyDescent="0.25">
      <c r="A24" s="1" t="s">
        <v>1821</v>
      </c>
      <c r="B24" s="1">
        <v>493</v>
      </c>
      <c r="C24" s="9" t="str">
        <f t="shared" si="0"/>
        <v>"sangvis_team_id": "0",</v>
      </c>
      <c r="D24" s="1" t="s">
        <v>1798</v>
      </c>
      <c r="E24" s="1">
        <f>SUMPRODUCT('SF Team'!$D$3:$D$7,--(Main!$A$67:$A$71="X"),--(Main!$N$67:$N$71=A24))</f>
        <v>0</v>
      </c>
      <c r="F24" s="1"/>
    </row>
    <row r="25" spans="1:6" x14ac:dyDescent="0.25">
      <c r="A25" s="1" t="s">
        <v>1822</v>
      </c>
      <c r="B25" s="1">
        <v>515</v>
      </c>
      <c r="C25" s="9" t="str">
        <f t="shared" si="0"/>
        <v>"sangvis_team_id": "0",</v>
      </c>
      <c r="D25" s="1" t="s">
        <v>1798</v>
      </c>
      <c r="E25" s="1">
        <f>SUMPRODUCT('SF Team'!$D$3:$D$7,--(Main!$A$67:$A$71="X"),--(Main!$N$67:$N$71=A25))</f>
        <v>0</v>
      </c>
      <c r="F25" s="1"/>
    </row>
    <row r="26" spans="1:6" x14ac:dyDescent="0.25">
      <c r="A26" s="1" t="s">
        <v>1823</v>
      </c>
      <c r="B26" s="1">
        <v>537</v>
      </c>
      <c r="C26" s="9" t="str">
        <f t="shared" si="0"/>
        <v>"sangvis_team_id": "0",</v>
      </c>
      <c r="D26" s="1" t="s">
        <v>1798</v>
      </c>
      <c r="E26" s="1">
        <f>SUMPRODUCT('SF Team'!$D$3:$D$7,--(Main!$A$67:$A$71="X"),--(Main!$N$67:$N$71=A26))</f>
        <v>0</v>
      </c>
      <c r="F26" s="1"/>
    </row>
    <row r="27" spans="1:6" x14ac:dyDescent="0.25">
      <c r="A27" s="1" t="s">
        <v>1824</v>
      </c>
      <c r="B27" s="1">
        <v>564</v>
      </c>
      <c r="C27" s="9" t="str">
        <f t="shared" si="0"/>
        <v>"sangvis_team_id": "0",</v>
      </c>
      <c r="D27" s="1" t="s">
        <v>1798</v>
      </c>
      <c r="E27" s="1">
        <f>SUMPRODUCT('SF Team'!$D$3:$D$7,--(Main!$A$67:$A$71="X"),--(Main!$N$67:$N$71=A27))</f>
        <v>0</v>
      </c>
      <c r="F27" s="1"/>
    </row>
    <row r="28" spans="1:6" x14ac:dyDescent="0.25">
      <c r="A28" s="1" t="s">
        <v>1825</v>
      </c>
      <c r="B28" s="1">
        <v>586</v>
      </c>
      <c r="C28" s="9" t="str">
        <f t="shared" si="0"/>
        <v>"sangvis_team_id": "0",</v>
      </c>
      <c r="D28" s="1" t="s">
        <v>1798</v>
      </c>
      <c r="E28" s="1">
        <f>SUMPRODUCT('SF Team'!$D$3:$D$7,--(Main!$A$67:$A$71="X"),--(Main!$N$67:$N$71=A28))</f>
        <v>0</v>
      </c>
      <c r="F28" s="1"/>
    </row>
    <row r="29" spans="1:6" x14ac:dyDescent="0.25">
      <c r="A29" s="1" t="s">
        <v>1826</v>
      </c>
      <c r="B29" s="1">
        <v>603</v>
      </c>
      <c r="C29" s="9" t="str">
        <f t="shared" si="0"/>
        <v>"sangvis_team_id": "0",</v>
      </c>
      <c r="D29" s="1" t="s">
        <v>1798</v>
      </c>
      <c r="E29" s="1">
        <f>SUMPRODUCT('SF Team'!$D$3:$D$7,--(Main!$A$67:$A$71="X"),--(Main!$N$67:$N$71=A29))</f>
        <v>0</v>
      </c>
      <c r="F29" s="1"/>
    </row>
    <row r="30" spans="1:6" x14ac:dyDescent="0.25">
      <c r="A30" s="1" t="s">
        <v>1827</v>
      </c>
      <c r="B30" s="1">
        <v>625</v>
      </c>
      <c r="C30" s="9" t="str">
        <f t="shared" si="0"/>
        <v>"sangvis_team_id": "0",</v>
      </c>
      <c r="D30" s="1" t="s">
        <v>1798</v>
      </c>
      <c r="E30" s="1">
        <f>SUMPRODUCT('SF Team'!$D$3:$D$7,--(Main!$A$67:$A$71="X"),--(Main!$N$67:$N$71=A30))</f>
        <v>0</v>
      </c>
      <c r="F30" s="1"/>
    </row>
    <row r="31" spans="1:6" x14ac:dyDescent="0.25">
      <c r="A31" s="1" t="s">
        <v>1828</v>
      </c>
      <c r="B31" s="1">
        <v>648</v>
      </c>
      <c r="C31" s="9" t="str">
        <f t="shared" si="0"/>
        <v>"sangvis_team_id": "0",</v>
      </c>
      <c r="D31" s="1" t="s">
        <v>1798</v>
      </c>
      <c r="E31" s="1">
        <f>SUMPRODUCT('SF Team'!$D$3:$D$7,--(Main!$A$67:$A$71="X"),--(Main!$N$67:$N$71=A31))</f>
        <v>0</v>
      </c>
      <c r="F31" s="1"/>
    </row>
    <row r="32" spans="1:6" x14ac:dyDescent="0.25">
      <c r="A32" s="1">
        <v>7123</v>
      </c>
      <c r="B32" s="1">
        <v>144</v>
      </c>
      <c r="C32" s="9" t="str">
        <f t="shared" si="0"/>
        <v>"seed": "1234",</v>
      </c>
      <c r="D32" s="1" t="s">
        <v>6594</v>
      </c>
      <c r="E32" s="1">
        <f>SeedNum</f>
        <v>1234</v>
      </c>
    </row>
  </sheetData>
  <pageMargins left="0.7" right="0.7" top="0.75" bottom="0.75" header="0.3" footer="0.3"/>
  <pageSetup orientation="portrait" r:id="rId1"/>
  <ignoredErrors>
    <ignoredError sqref="A2:A31" numberStoredAsText="1"/>
  </ignoredError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978DF4-224F-42D0-9398-285140D500BA}">
  <sheetPr codeName="Sheet17"/>
  <dimension ref="A1:C8"/>
  <sheetViews>
    <sheetView workbookViewId="0">
      <selection activeCell="C8" sqref="C8"/>
    </sheetView>
  </sheetViews>
  <sheetFormatPr defaultRowHeight="15" x14ac:dyDescent="0.25"/>
  <cols>
    <col min="1" max="1" width="20.28515625" bestFit="1" customWidth="1"/>
  </cols>
  <sheetData>
    <row r="1" spans="1:3" x14ac:dyDescent="0.25">
      <c r="A1" s="43" t="s">
        <v>780</v>
      </c>
      <c r="B1" s="43" t="s">
        <v>776</v>
      </c>
      <c r="C1" s="43" t="s">
        <v>781</v>
      </c>
    </row>
    <row r="2" spans="1:3" x14ac:dyDescent="0.25">
      <c r="A2" t="s">
        <v>61</v>
      </c>
      <c r="B2" s="1">
        <v>5</v>
      </c>
      <c r="C2" s="9" t="str">
        <f>CHAR(34)&amp;A2&amp;CHAR(34)&amp;": "&amp;CHAR(34)&amp;DayNight&amp;CHAR(34)&amp;","</f>
        <v>"type": "TargetTrain",</v>
      </c>
    </row>
    <row r="3" spans="1:3" x14ac:dyDescent="0.25">
      <c r="A3" t="s">
        <v>847</v>
      </c>
      <c r="B3" s="1">
        <v>6</v>
      </c>
      <c r="C3" s="9" t="str">
        <f>CHAR(34)&amp;A3&amp;CHAR(34)&amp;": "&amp;IF(NodeColor="Yellow",0,IF(NodeColor="Blue",1,IF(NodeColor="Red",2,3)))&amp;","</f>
        <v>"spot_belong": 3,</v>
      </c>
    </row>
    <row r="4" spans="1:3" x14ac:dyDescent="0.25">
      <c r="A4" t="s">
        <v>845</v>
      </c>
      <c r="B4" s="1">
        <v>7</v>
      </c>
      <c r="C4" s="9" t="str">
        <f>CHAR(34)&amp;A4&amp;CHAR(34)&amp;": "&amp;IF(DayNight="TargetTrain","0",EnemyID)&amp;","</f>
        <v>"enemy_team_id": 0,</v>
      </c>
    </row>
    <row r="5" spans="1:3" x14ac:dyDescent="0.25">
      <c r="A5" t="s">
        <v>846</v>
      </c>
      <c r="B5" s="1">
        <v>8</v>
      </c>
      <c r="C5" s="9" t="str">
        <f>CHAR(34)&amp;A5&amp;CHAR(34)&amp;": "&amp;CHAR(34)&amp;BossHP&amp;CHAR(34)&amp;","</f>
        <v>"boss_hp": "220000",</v>
      </c>
    </row>
    <row r="6" spans="1:3" x14ac:dyDescent="0.25">
      <c r="A6" t="s">
        <v>848</v>
      </c>
      <c r="B6" s="1">
        <v>9</v>
      </c>
      <c r="C6" s="9" t="str">
        <f>CHAR(34)&amp;A6&amp;CHAR(34)&amp;": "&amp;LOWER(FairySkill)&amp;","</f>
        <v>"fairy_skill": true,</v>
      </c>
    </row>
    <row r="7" spans="1:3" x14ac:dyDescent="0.25">
      <c r="A7" t="s">
        <v>849</v>
      </c>
      <c r="B7" s="1">
        <v>10</v>
      </c>
      <c r="C7" s="9" t="str">
        <f>CHAR(34)&amp;A7&amp;CHAR(34)&amp;": "&amp;LOWER(HOCSupport)&amp;","</f>
        <v>"squad_skill": true,</v>
      </c>
    </row>
    <row r="8" spans="1:3" x14ac:dyDescent="0.25">
      <c r="A8" t="s">
        <v>1836</v>
      </c>
      <c r="B8" s="1">
        <v>13</v>
      </c>
      <c r="C8" s="9" t="str">
        <f>CHAR(34)&amp;A8&amp;CHAR(34)&amp;": ["&amp;EnemyID&amp;"]"</f>
        <v>"target_train_teams": [44440001,44440002,44440003,44440004,44440005,44440006,44440035,44440036,44440037,44440038,44440039]</v>
      </c>
    </row>
  </sheetData>
  <pageMargins left="0.7" right="0.7" top="0.75" bottom="0.75" header="0.3" footer="0.3"/>
  <pageSetup orientation="portrait" horizontalDpi="0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869C4-8846-429C-8B5F-6198D66F9753}">
  <sheetPr codeName="Sheet5">
    <tabColor theme="9" tint="0.79998168889431442"/>
  </sheetPr>
  <dimension ref="A1:AL42"/>
  <sheetViews>
    <sheetView topLeftCell="A21" workbookViewId="0">
      <selection activeCell="J40" sqref="J40"/>
    </sheetView>
  </sheetViews>
  <sheetFormatPr defaultRowHeight="15" x14ac:dyDescent="0.25"/>
  <cols>
    <col min="1" max="1" width="12.85546875" bestFit="1" customWidth="1"/>
    <col min="9" max="9" width="9.140625" style="16"/>
    <col min="17" max="17" width="9.140625" style="16"/>
  </cols>
  <sheetData>
    <row r="1" spans="1:38" x14ac:dyDescent="0.25">
      <c r="A1" s="10" t="s">
        <v>274</v>
      </c>
      <c r="I1" s="10" t="s">
        <v>853</v>
      </c>
      <c r="Q1" s="10" t="s">
        <v>854</v>
      </c>
      <c r="Y1" s="10" t="s">
        <v>855</v>
      </c>
      <c r="Z1" s="10"/>
      <c r="AH1" s="10" t="s">
        <v>887</v>
      </c>
    </row>
    <row r="2" spans="1:38" x14ac:dyDescent="0.25">
      <c r="A2" s="59" t="s">
        <v>15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59" t="s">
        <v>15</v>
      </c>
      <c r="J2" s="60" t="s">
        <v>9</v>
      </c>
      <c r="K2" s="63" t="s">
        <v>10</v>
      </c>
      <c r="L2" s="63" t="s">
        <v>11</v>
      </c>
      <c r="M2" s="63" t="s">
        <v>12</v>
      </c>
      <c r="N2" s="63" t="s">
        <v>13</v>
      </c>
      <c r="O2" s="64" t="s">
        <v>14</v>
      </c>
      <c r="Q2" s="59" t="s">
        <v>15</v>
      </c>
      <c r="R2" s="60" t="s">
        <v>9</v>
      </c>
      <c r="S2" s="63" t="s">
        <v>10</v>
      </c>
      <c r="T2" s="63" t="s">
        <v>11</v>
      </c>
      <c r="U2" s="63" t="s">
        <v>12</v>
      </c>
      <c r="V2" s="63" t="s">
        <v>13</v>
      </c>
      <c r="W2" s="64" t="s">
        <v>14</v>
      </c>
      <c r="Y2" s="59" t="s">
        <v>279</v>
      </c>
      <c r="Z2" s="60" t="s">
        <v>18</v>
      </c>
      <c r="AA2" s="63" t="s">
        <v>9</v>
      </c>
      <c r="AB2" s="63" t="s">
        <v>10</v>
      </c>
      <c r="AC2" s="63" t="s">
        <v>11</v>
      </c>
      <c r="AD2" s="63" t="s">
        <v>12</v>
      </c>
      <c r="AE2" s="63" t="s">
        <v>13</v>
      </c>
      <c r="AF2" s="64" t="s">
        <v>14</v>
      </c>
      <c r="AH2" s="101" t="s">
        <v>8</v>
      </c>
      <c r="AI2" s="102" t="s">
        <v>871</v>
      </c>
      <c r="AJ2" s="102" t="s">
        <v>873</v>
      </c>
      <c r="AK2" s="102" t="s">
        <v>872</v>
      </c>
      <c r="AL2" s="103" t="s">
        <v>870</v>
      </c>
    </row>
    <row r="3" spans="1:38" x14ac:dyDescent="0.25">
      <c r="A3" s="60" t="s">
        <v>3</v>
      </c>
      <c r="B3" s="114">
        <v>0.6</v>
      </c>
      <c r="C3" s="115">
        <v>0.6</v>
      </c>
      <c r="D3" s="115">
        <v>0.8</v>
      </c>
      <c r="E3" s="115">
        <v>1.2</v>
      </c>
      <c r="F3" s="115">
        <v>1.8</v>
      </c>
      <c r="G3" s="116">
        <v>0</v>
      </c>
      <c r="I3" s="59">
        <v>1</v>
      </c>
      <c r="J3" s="65">
        <f>INDEX($B$3:$G$8,MATCH(Main!$C20,$A$3:$A$8,0),MATCH(J$2,$B$2:$G$2,0))</f>
        <v>1.5</v>
      </c>
      <c r="K3" s="66">
        <f>INDEX($B$3:$G$8,MATCH(Main!$C20,$A$3:$A$8,0),MATCH(K$2,$B$2:$G$2,0))</f>
        <v>1.8</v>
      </c>
      <c r="L3" s="66">
        <f>INDEX($B$3:$G$8,MATCH(Main!$C20,$A$3:$A$8,0),MATCH(L$2,$B$2:$G$2,0))</f>
        <v>1.6</v>
      </c>
      <c r="M3" s="66">
        <f>INDEX($B$3:$G$8,MATCH(Main!$C20,$A$3:$A$8,0),MATCH(M$2,$B$2:$G$2,0))</f>
        <v>0.6</v>
      </c>
      <c r="N3" s="66">
        <f>INDEX($B$3:$G$8,MATCH(Main!$C20,$A$3:$A$8,0),MATCH(N$2,$B$2:$G$2,0))</f>
        <v>0.6</v>
      </c>
      <c r="O3" s="67">
        <f>INDEX($B$3:$G$8,MATCH(Main!$C20,$A$3:$A$8,0),MATCH(O$2,$B$2:$G$2,0))</f>
        <v>0</v>
      </c>
      <c r="Q3" s="59">
        <v>1</v>
      </c>
      <c r="R3" s="65">
        <f t="shared" ref="R3:W3" si="0">J3</f>
        <v>1.5</v>
      </c>
      <c r="S3" s="66">
        <f t="shared" si="0"/>
        <v>1.8</v>
      </c>
      <c r="T3" s="66">
        <f t="shared" si="0"/>
        <v>1.6</v>
      </c>
      <c r="U3" s="66">
        <f t="shared" si="0"/>
        <v>0.6</v>
      </c>
      <c r="V3" s="66">
        <f t="shared" si="0"/>
        <v>0.6</v>
      </c>
      <c r="W3" s="67">
        <f t="shared" si="0"/>
        <v>0</v>
      </c>
      <c r="Y3" s="59">
        <v>1</v>
      </c>
      <c r="Z3" s="68">
        <f>Main!E20</f>
        <v>100</v>
      </c>
      <c r="AA3" s="130">
        <f>IF(AND(UseCustomStats,Main!Y20&lt;&gt;""),Main!Y20,_xlfn.CEILING.MATH((J10+($Z3-1)*J17)*J3*J38/100))</f>
        <v>198</v>
      </c>
      <c r="AB3" s="130">
        <f>IF(AND(UseCustomStats,Main!Z20&lt;&gt;""),Main!Z20,_xlfn.CEILING.MATH(K10*K3*K38/100)+_xlfn.CEILING.MATH((K31+($Z3-1)*K24)*K3*K38*$P38/100/100))</f>
        <v>109</v>
      </c>
      <c r="AC3" s="130">
        <f>IF(AND(UseCustomStats,Main!AA20&lt;&gt;""),Main!AA20,_xlfn.CEILING.MATH(L10*L3*L38/100)+_xlfn.CEILING.MATH((L31+($Z3-1)*L24)*L3*L38*$P38/100/100))</f>
        <v>110</v>
      </c>
      <c r="AD3" s="69">
        <f>IF(AND(UseCustomStats,Main!AB20&lt;&gt;""),Main!AB20,_xlfn.CEILING.MATH(M10*M3*M38/100)+_xlfn.CEILING.MATH((M31+($Z3-1)*M24)*M3*M38*$P38/100/100))</f>
        <v>22</v>
      </c>
      <c r="AE3" s="69">
        <f>IF(AND(UseCustomStats,Main!AC20&lt;&gt;""),Main!AC20,_xlfn.CEILING.MATH(N10*N3*N38/100)+_xlfn.CEILING.MATH((N31+($Z3-1)*N24)*N3*N38*$P38/100/100))</f>
        <v>21</v>
      </c>
      <c r="AF3" s="70">
        <f>_xlfn.CEILING.MATH((O10+($Z3-1)*O17)*O3*O38/100)</f>
        <v>0</v>
      </c>
      <c r="AH3" s="47" t="s">
        <v>862</v>
      </c>
      <c r="AI3" s="105">
        <v>52</v>
      </c>
      <c r="AJ3" s="106">
        <v>28</v>
      </c>
      <c r="AK3" s="106">
        <v>118</v>
      </c>
      <c r="AL3" s="107">
        <v>135</v>
      </c>
    </row>
    <row r="4" spans="1:38" x14ac:dyDescent="0.25">
      <c r="A4" s="61" t="s">
        <v>7</v>
      </c>
      <c r="B4" s="117">
        <v>1.6</v>
      </c>
      <c r="C4" s="118">
        <v>0.6</v>
      </c>
      <c r="D4" s="118">
        <v>1.2</v>
      </c>
      <c r="E4" s="118">
        <v>0.3</v>
      </c>
      <c r="F4" s="118">
        <v>1.6</v>
      </c>
      <c r="G4" s="119">
        <v>0</v>
      </c>
      <c r="I4" s="71">
        <v>2</v>
      </c>
      <c r="J4" s="72">
        <f>INDEX($B$3:$G$8,MATCH(Main!$C21,$A$3:$A$8,0),MATCH(J$2,$B$2:$G$2,0))</f>
        <v>1.5</v>
      </c>
      <c r="K4" s="73">
        <f>INDEX($B$3:$G$8,MATCH(Main!$C21,$A$3:$A$8,0),MATCH(K$2,$B$2:$G$2,0))</f>
        <v>1.8</v>
      </c>
      <c r="L4" s="73">
        <f>INDEX($B$3:$G$8,MATCH(Main!$C21,$A$3:$A$8,0),MATCH(L$2,$B$2:$G$2,0))</f>
        <v>1.6</v>
      </c>
      <c r="M4" s="73">
        <f>INDEX($B$3:$G$8,MATCH(Main!$C21,$A$3:$A$8,0),MATCH(M$2,$B$2:$G$2,0))</f>
        <v>0.6</v>
      </c>
      <c r="N4" s="73">
        <f>INDEX($B$3:$G$8,MATCH(Main!$C21,$A$3:$A$8,0),MATCH(N$2,$B$2:$G$2,0))</f>
        <v>0.6</v>
      </c>
      <c r="O4" s="74">
        <f>INDEX($B$3:$G$8,MATCH(Main!$C21,$A$3:$A$8,0),MATCH(O$2,$B$2:$G$2,0))</f>
        <v>0</v>
      </c>
      <c r="Q4" s="71">
        <v>2</v>
      </c>
      <c r="R4" s="72">
        <f t="shared" ref="R4:R7" si="1">J4</f>
        <v>1.5</v>
      </c>
      <c r="S4" s="73">
        <f t="shared" ref="S4:S7" si="2">K4</f>
        <v>1.8</v>
      </c>
      <c r="T4" s="73">
        <f t="shared" ref="T4:T7" si="3">L4</f>
        <v>1.6</v>
      </c>
      <c r="U4" s="73">
        <f t="shared" ref="U4:U7" si="4">M4</f>
        <v>0.6</v>
      </c>
      <c r="V4" s="73">
        <f t="shared" ref="V4:V7" si="5">N4</f>
        <v>0.6</v>
      </c>
      <c r="W4" s="74">
        <f t="shared" ref="W4:W7" si="6">O4</f>
        <v>0</v>
      </c>
      <c r="Y4" s="71">
        <v>2</v>
      </c>
      <c r="Z4" s="75">
        <f>Main!E21</f>
        <v>100</v>
      </c>
      <c r="AA4" s="76">
        <f>IF(AND(UseCustomStats,Main!Y21&lt;&gt;""),Main!Y21,_xlfn.CEILING.MATH((J11+($Z4-1)*J18)*J4*J39/100))</f>
        <v>165</v>
      </c>
      <c r="AB4" s="76">
        <f>IF(AND(UseCustomStats,Main!Z21&lt;&gt;""),Main!Z21,_xlfn.CEILING.MATH(K11*K4*K39/100)+_xlfn.CEILING.MATH((K32+($Z4-1)*K25)*K4*K39*$P39/100/100))</f>
        <v>85</v>
      </c>
      <c r="AC4" s="76">
        <f>IF(AND(UseCustomStats,Main!AA21&lt;&gt;""),Main!AA21,_xlfn.CEILING.MATH(L11*L4*L39/100)+_xlfn.CEILING.MATH((L32+($Z4-1)*L25)*L4*L39*$P39/100/100))</f>
        <v>129</v>
      </c>
      <c r="AD4" s="76">
        <f>IF(AND(UseCustomStats,Main!AB21&lt;&gt;""),Main!AB21,_xlfn.CEILING.MATH(M11*M4*M39/100)+_xlfn.CEILING.MATH((M32+($Z4-1)*M25)*M4*M39*$P39/100/100))</f>
        <v>37</v>
      </c>
      <c r="AE4" s="76">
        <f>IF(AND(UseCustomStats,Main!AC21&lt;&gt;""),Main!AC21,_xlfn.CEILING.MATH(N11*N4*N39/100)+_xlfn.CEILING.MATH((N32+($Z4-1)*N25)*N4*N39*$P39/100/100))</f>
        <v>36</v>
      </c>
      <c r="AF4" s="77">
        <f t="shared" ref="AF4:AF7" si="7">_xlfn.CEILING.MATH((O11+($Z4-1)*O18)*O4*O39/100)</f>
        <v>0</v>
      </c>
      <c r="AH4" s="47" t="s">
        <v>863</v>
      </c>
      <c r="AI4" s="108">
        <v>27</v>
      </c>
      <c r="AJ4" s="109">
        <v>130</v>
      </c>
      <c r="AK4" s="109">
        <v>67</v>
      </c>
      <c r="AL4" s="110">
        <v>49</v>
      </c>
    </row>
    <row r="5" spans="1:38" x14ac:dyDescent="0.25">
      <c r="A5" s="61" t="s">
        <v>6</v>
      </c>
      <c r="B5" s="117">
        <v>0.8</v>
      </c>
      <c r="C5" s="118">
        <v>2.4</v>
      </c>
      <c r="D5" s="118">
        <v>0.5</v>
      </c>
      <c r="E5" s="118">
        <v>1.6</v>
      </c>
      <c r="F5" s="118">
        <v>0.8</v>
      </c>
      <c r="G5" s="119">
        <v>0</v>
      </c>
      <c r="I5" s="71">
        <v>3</v>
      </c>
      <c r="J5" s="72">
        <f>INDEX($B$3:$G$8,MATCH(Main!$C22,$A$3:$A$8,0),MATCH(J$2,$B$2:$G$2,0))</f>
        <v>1</v>
      </c>
      <c r="K5" s="73">
        <f>INDEX($B$3:$G$8,MATCH(Main!$C22,$A$3:$A$8,0),MATCH(K$2,$B$2:$G$2,0))</f>
        <v>1</v>
      </c>
      <c r="L5" s="73">
        <f>INDEX($B$3:$G$8,MATCH(Main!$C22,$A$3:$A$8,0),MATCH(L$2,$B$2:$G$2,0))</f>
        <v>1</v>
      </c>
      <c r="M5" s="73">
        <f>INDEX($B$3:$G$8,MATCH(Main!$C22,$A$3:$A$8,0),MATCH(M$2,$B$2:$G$2,0))</f>
        <v>1</v>
      </c>
      <c r="N5" s="73">
        <f>INDEX($B$3:$G$8,MATCH(Main!$C22,$A$3:$A$8,0),MATCH(N$2,$B$2:$G$2,0))</f>
        <v>1</v>
      </c>
      <c r="O5" s="74">
        <f>INDEX($B$3:$G$8,MATCH(Main!$C22,$A$3:$A$8,0),MATCH(O$2,$B$2:$G$2,0))</f>
        <v>0</v>
      </c>
      <c r="Q5" s="71">
        <v>7</v>
      </c>
      <c r="R5" s="72">
        <f t="shared" si="1"/>
        <v>1</v>
      </c>
      <c r="S5" s="73">
        <f t="shared" si="2"/>
        <v>1</v>
      </c>
      <c r="T5" s="73">
        <f t="shared" si="3"/>
        <v>1</v>
      </c>
      <c r="U5" s="73">
        <f t="shared" si="4"/>
        <v>1</v>
      </c>
      <c r="V5" s="73">
        <f t="shared" si="5"/>
        <v>1</v>
      </c>
      <c r="W5" s="74">
        <f t="shared" si="6"/>
        <v>0</v>
      </c>
      <c r="Y5" s="71">
        <v>3</v>
      </c>
      <c r="Z5" s="75">
        <f>Main!E22</f>
        <v>115</v>
      </c>
      <c r="AA5" s="76">
        <f>IF(AND(UseCustomStats,Main!Y22&lt;&gt;""),Main!Y22,_xlfn.CEILING.MATH((J12+($Z5-1)*J19)*J5*J40/100))</f>
        <v>124</v>
      </c>
      <c r="AB5" s="76">
        <f>IF(AND(UseCustomStats,Main!Z22&lt;&gt;""),Main!Z22,_xlfn.CEILING.MATH(K12*K5*K40/100)+_xlfn.CEILING.MATH((K33+($Z5-1)*K26)*K5*K40*$P40/100/100))</f>
        <v>54</v>
      </c>
      <c r="AC5" s="76">
        <f>IF(AND(UseCustomStats,Main!AA22&lt;&gt;""),Main!AA22,_xlfn.CEILING.MATH(L12*L5*L40/100)+_xlfn.CEILING.MATH((L33+($Z5-1)*L26)*L5*L40*$P40/100/100))</f>
        <v>78</v>
      </c>
      <c r="AD5" s="76">
        <f>IF(AND(UseCustomStats,Main!AB22&lt;&gt;""),Main!AB22,_xlfn.CEILING.MATH(M12*M5*M40/100)+_xlfn.CEILING.MATH((M33+($Z5-1)*M26)*M5*M40*$P40/100/100))</f>
        <v>51</v>
      </c>
      <c r="AE5" s="76">
        <f>IF(AND(UseCustomStats,Main!AC22&lt;&gt;""),Main!AC22,_xlfn.CEILING.MATH(N12*N5*N40/100)+_xlfn.CEILING.MATH((N33+($Z5-1)*N26)*N5*N40*$P40/100/100))</f>
        <v>47</v>
      </c>
      <c r="AF5" s="77">
        <f t="shared" si="7"/>
        <v>0</v>
      </c>
      <c r="AH5" s="47" t="s">
        <v>864</v>
      </c>
      <c r="AI5" s="108">
        <v>51</v>
      </c>
      <c r="AJ5" s="109">
        <v>54</v>
      </c>
      <c r="AK5" s="109">
        <v>46</v>
      </c>
      <c r="AL5" s="110">
        <v>20</v>
      </c>
    </row>
    <row r="6" spans="1:38" x14ac:dyDescent="0.25">
      <c r="A6" s="61" t="s">
        <v>2</v>
      </c>
      <c r="B6" s="117">
        <v>1</v>
      </c>
      <c r="C6" s="118">
        <v>1</v>
      </c>
      <c r="D6" s="118">
        <v>1</v>
      </c>
      <c r="E6" s="118">
        <v>1</v>
      </c>
      <c r="F6" s="118">
        <v>1</v>
      </c>
      <c r="G6" s="119">
        <v>0</v>
      </c>
      <c r="I6" s="71">
        <v>4</v>
      </c>
      <c r="J6" s="72">
        <f>INDEX($B$3:$G$8,MATCH(Main!$C23,$A$3:$A$8,0),MATCH(J$2,$B$2:$G$2,0))</f>
        <v>2</v>
      </c>
      <c r="K6" s="73">
        <f>INDEX($B$3:$G$8,MATCH(Main!$C23,$A$3:$A$8,0),MATCH(K$2,$B$2:$G$2,0))</f>
        <v>0.7</v>
      </c>
      <c r="L6" s="73">
        <f>INDEX($B$3:$G$8,MATCH(Main!$C23,$A$3:$A$8,0),MATCH(L$2,$B$2:$G$2,0))</f>
        <v>0.4</v>
      </c>
      <c r="M6" s="73">
        <f>INDEX($B$3:$G$8,MATCH(Main!$C23,$A$3:$A$8,0),MATCH(M$2,$B$2:$G$2,0))</f>
        <v>0.3</v>
      </c>
      <c r="N6" s="73">
        <f>INDEX($B$3:$G$8,MATCH(Main!$C23,$A$3:$A$8,0),MATCH(N$2,$B$2:$G$2,0))</f>
        <v>0.3</v>
      </c>
      <c r="O6" s="74">
        <f>INDEX($B$3:$G$8,MATCH(Main!$C23,$A$3:$A$8,0),MATCH(O$2,$B$2:$G$2,0))</f>
        <v>1</v>
      </c>
      <c r="Q6" s="71">
        <v>8</v>
      </c>
      <c r="R6" s="72">
        <f t="shared" si="1"/>
        <v>2</v>
      </c>
      <c r="S6" s="73">
        <f t="shared" si="2"/>
        <v>0.7</v>
      </c>
      <c r="T6" s="73">
        <f t="shared" si="3"/>
        <v>0.4</v>
      </c>
      <c r="U6" s="73">
        <f t="shared" si="4"/>
        <v>0.3</v>
      </c>
      <c r="V6" s="73">
        <f t="shared" si="5"/>
        <v>0.3</v>
      </c>
      <c r="W6" s="74">
        <f t="shared" si="6"/>
        <v>1</v>
      </c>
      <c r="Y6" s="71">
        <v>4</v>
      </c>
      <c r="Z6" s="75">
        <f>Main!E23</f>
        <v>100</v>
      </c>
      <c r="AA6" s="76">
        <f>IF(AND(UseCustomStats,Main!Y23&lt;&gt;""),Main!Y23,_xlfn.CEILING.MATH((J13+($Z6-1)*J20)*J6*J41/100))</f>
        <v>253</v>
      </c>
      <c r="AB6" s="76">
        <f>IF(AND(UseCustomStats,Main!Z23&lt;&gt;""),Main!Z23,_xlfn.CEILING.MATH(K13*K6*K41/100)+_xlfn.CEILING.MATH((K34+($Z6-1)*K27)*K6*K41*$P41/100/100))</f>
        <v>31</v>
      </c>
      <c r="AC6" s="76">
        <f>IF(AND(UseCustomStats,Main!AA23&lt;&gt;""),Main!AA23,_xlfn.CEILING.MATH(L13*L6*L41/100)+_xlfn.CEILING.MATH((L34+($Z6-1)*L27)*L6*L41*$P41/100/100))</f>
        <v>30</v>
      </c>
      <c r="AD6" s="76">
        <f>IF(AND(UseCustomStats,Main!AB23&lt;&gt;""),Main!AB23,_xlfn.CEILING.MATH(M13*M6*M41/100)+_xlfn.CEILING.MATH((M34+($Z6-1)*M27)*M6*M41*$P41/100/100))</f>
        <v>13</v>
      </c>
      <c r="AE6" s="76">
        <f>IF(AND(UseCustomStats,Main!AC23&lt;&gt;""),Main!AC23,_xlfn.CEILING.MATH(N13*N6*N41/100)+_xlfn.CEILING.MATH((N34+($Z6-1)*N27)*N6*N41*$P41/100/100))</f>
        <v>13</v>
      </c>
      <c r="AF6" s="77">
        <f t="shared" si="7"/>
        <v>23</v>
      </c>
      <c r="AH6" s="47" t="s">
        <v>865</v>
      </c>
      <c r="AI6" s="108">
        <v>38</v>
      </c>
      <c r="AJ6" s="109">
        <v>61</v>
      </c>
      <c r="AK6" s="109">
        <v>40</v>
      </c>
      <c r="AL6" s="110">
        <v>17</v>
      </c>
    </row>
    <row r="7" spans="1:38" x14ac:dyDescent="0.25">
      <c r="A7" s="61" t="s">
        <v>4</v>
      </c>
      <c r="B7" s="117">
        <v>1.5</v>
      </c>
      <c r="C7" s="118">
        <v>1.8</v>
      </c>
      <c r="D7" s="118">
        <v>1.6</v>
      </c>
      <c r="E7" s="118">
        <v>0.6</v>
      </c>
      <c r="F7" s="118">
        <v>0.6</v>
      </c>
      <c r="G7" s="119">
        <v>0</v>
      </c>
      <c r="I7" s="78">
        <v>5</v>
      </c>
      <c r="J7" s="79">
        <f>INDEX($B$3:$G$8,MATCH(Main!$C24,$A$3:$A$8,0),MATCH(J$2,$B$2:$G$2,0))</f>
        <v>0.6</v>
      </c>
      <c r="K7" s="80">
        <f>INDEX($B$3:$G$8,MATCH(Main!$C24,$A$3:$A$8,0),MATCH(K$2,$B$2:$G$2,0))</f>
        <v>0.6</v>
      </c>
      <c r="L7" s="80">
        <f>INDEX($B$3:$G$8,MATCH(Main!$C24,$A$3:$A$8,0),MATCH(L$2,$B$2:$G$2,0))</f>
        <v>0.8</v>
      </c>
      <c r="M7" s="80">
        <f>INDEX($B$3:$G$8,MATCH(Main!$C24,$A$3:$A$8,0),MATCH(M$2,$B$2:$G$2,0))</f>
        <v>1.2</v>
      </c>
      <c r="N7" s="80">
        <f>INDEX($B$3:$G$8,MATCH(Main!$C24,$A$3:$A$8,0),MATCH(N$2,$B$2:$G$2,0))</f>
        <v>1.8</v>
      </c>
      <c r="O7" s="81">
        <f>INDEX($B$3:$G$8,MATCH(Main!$C24,$A$3:$A$8,0),MATCH(O$2,$B$2:$G$2,0))</f>
        <v>0</v>
      </c>
      <c r="Q7" s="78">
        <v>9</v>
      </c>
      <c r="R7" s="79">
        <f t="shared" si="1"/>
        <v>0.6</v>
      </c>
      <c r="S7" s="80">
        <f t="shared" si="2"/>
        <v>0.6</v>
      </c>
      <c r="T7" s="80">
        <f t="shared" si="3"/>
        <v>0.8</v>
      </c>
      <c r="U7" s="80">
        <f t="shared" si="4"/>
        <v>1.2</v>
      </c>
      <c r="V7" s="80">
        <f t="shared" si="5"/>
        <v>1.8</v>
      </c>
      <c r="W7" s="81">
        <f t="shared" si="6"/>
        <v>0</v>
      </c>
      <c r="Y7" s="78">
        <v>5</v>
      </c>
      <c r="Z7" s="82">
        <f>Main!E24</f>
        <v>100</v>
      </c>
      <c r="AA7" s="83">
        <f>IF(AND(UseCustomStats,Main!Y24&lt;&gt;""),Main!Y24,_xlfn.CEILING.MATH((J14+($Z7-1)*J21)*J7*J42/100))</f>
        <v>70</v>
      </c>
      <c r="AB7" s="83">
        <f>IF(AND(UseCustomStats,Main!Z24&lt;&gt;""),Main!Z24,_xlfn.CEILING.MATH(K14*K7*K42/100)+_xlfn.CEILING.MATH((K35+($Z7-1)*K28)*K7*K42*$P42/100/100))</f>
        <v>28</v>
      </c>
      <c r="AC7" s="83">
        <f>IF(AND(UseCustomStats,Main!AA24&lt;&gt;""),Main!AA24,_xlfn.CEILING.MATH(L14*L7*L42/100)+_xlfn.CEILING.MATH((L35+($Z7-1)*L28)*L7*L42*$P42/100/100))</f>
        <v>62</v>
      </c>
      <c r="AD7" s="83">
        <f>IF(AND(UseCustomStats,Main!AB24&lt;&gt;""),Main!AB24,_xlfn.CEILING.MATH(M14*M7*M42/100)+_xlfn.CEILING.MATH((M35+($Z7-1)*M28)*M7*M42*$P42/100/100))</f>
        <v>66</v>
      </c>
      <c r="AE7" s="83">
        <f>IF(AND(UseCustomStats,Main!AC24&lt;&gt;""),Main!AC24,_xlfn.CEILING.MATH(N14*N7*N42/100)+_xlfn.CEILING.MATH((N35+($Z7-1)*N28)*N7*N42*$P42/100/100))</f>
        <v>110</v>
      </c>
      <c r="AF7" s="84">
        <f t="shared" si="7"/>
        <v>0</v>
      </c>
      <c r="AH7" s="47" t="s">
        <v>866</v>
      </c>
      <c r="AI7" s="108">
        <v>38</v>
      </c>
      <c r="AJ7" s="109">
        <v>45</v>
      </c>
      <c r="AK7" s="109">
        <v>96</v>
      </c>
      <c r="AL7" s="110">
        <v>88</v>
      </c>
    </row>
    <row r="8" spans="1:38" x14ac:dyDescent="0.25">
      <c r="A8" s="62" t="s">
        <v>5</v>
      </c>
      <c r="B8" s="120">
        <v>2</v>
      </c>
      <c r="C8" s="121">
        <v>0.7</v>
      </c>
      <c r="D8" s="121">
        <v>0.4</v>
      </c>
      <c r="E8" s="121">
        <v>0.3</v>
      </c>
      <c r="F8" s="121">
        <v>0.3</v>
      </c>
      <c r="G8" s="122">
        <v>1</v>
      </c>
      <c r="AA8" s="19"/>
      <c r="AB8" s="11"/>
      <c r="AE8" s="1"/>
      <c r="AF8" s="29"/>
      <c r="AH8" s="47" t="s">
        <v>867</v>
      </c>
      <c r="AI8" s="108">
        <v>26</v>
      </c>
      <c r="AJ8" s="109">
        <v>112</v>
      </c>
      <c r="AK8" s="109">
        <v>63</v>
      </c>
      <c r="AL8" s="110">
        <v>46</v>
      </c>
    </row>
    <row r="9" spans="1:38" x14ac:dyDescent="0.25">
      <c r="I9" s="59" t="s">
        <v>270</v>
      </c>
      <c r="J9" s="60" t="s">
        <v>9</v>
      </c>
      <c r="K9" s="63" t="s">
        <v>10</v>
      </c>
      <c r="L9" s="63" t="s">
        <v>11</v>
      </c>
      <c r="M9" s="63" t="s">
        <v>12</v>
      </c>
      <c r="N9" s="63" t="s">
        <v>13</v>
      </c>
      <c r="O9" s="64" t="s">
        <v>14</v>
      </c>
      <c r="Q9" s="59" t="s">
        <v>270</v>
      </c>
      <c r="R9" s="60" t="s">
        <v>9</v>
      </c>
      <c r="S9" s="63" t="s">
        <v>10</v>
      </c>
      <c r="T9" s="63" t="s">
        <v>11</v>
      </c>
      <c r="U9" s="63" t="s">
        <v>12</v>
      </c>
      <c r="V9" s="63" t="s">
        <v>13</v>
      </c>
      <c r="W9" s="64" t="s">
        <v>14</v>
      </c>
      <c r="Y9" s="59" t="s">
        <v>280</v>
      </c>
      <c r="Z9" s="60" t="s">
        <v>18</v>
      </c>
      <c r="AA9" s="63" t="s">
        <v>9</v>
      </c>
      <c r="AB9" s="63" t="s">
        <v>10</v>
      </c>
      <c r="AC9" s="63" t="s">
        <v>11</v>
      </c>
      <c r="AD9" s="63" t="s">
        <v>12</v>
      </c>
      <c r="AE9" s="63" t="s">
        <v>13</v>
      </c>
      <c r="AF9" s="70" t="s">
        <v>14</v>
      </c>
      <c r="AH9" s="47" t="s">
        <v>868</v>
      </c>
      <c r="AI9" s="108">
        <v>36</v>
      </c>
      <c r="AJ9" s="109">
        <v>36</v>
      </c>
      <c r="AK9" s="109">
        <v>79</v>
      </c>
      <c r="AL9" s="110">
        <v>75</v>
      </c>
    </row>
    <row r="10" spans="1:38" x14ac:dyDescent="0.25">
      <c r="A10" s="59" t="s">
        <v>16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59">
        <v>1</v>
      </c>
      <c r="J10" s="85">
        <f>IF(Main!$I20&gt;0,B$11,B$19)</f>
        <v>55</v>
      </c>
      <c r="K10" s="86">
        <f>IF(Main!$I20&gt;0,C$11,C$19)</f>
        <v>16</v>
      </c>
      <c r="L10" s="86">
        <f>IF(Main!$I20&gt;0,D$11,D$19)</f>
        <v>45</v>
      </c>
      <c r="M10" s="86">
        <f>IF(Main!$I20&gt;0,E$11,E$19)</f>
        <v>5</v>
      </c>
      <c r="N10" s="86">
        <f>IF(Main!$I20&gt;0,F$11,F$19)</f>
        <v>5</v>
      </c>
      <c r="O10" s="87">
        <f>IF(Main!$I20&gt;0,G$11,G$19)</f>
        <v>2</v>
      </c>
      <c r="Q10" s="59">
        <v>1</v>
      </c>
      <c r="R10" s="85">
        <f t="shared" ref="R10:W10" si="8">B$19</f>
        <v>55</v>
      </c>
      <c r="S10" s="86">
        <f t="shared" si="8"/>
        <v>16</v>
      </c>
      <c r="T10" s="86">
        <f t="shared" si="8"/>
        <v>45</v>
      </c>
      <c r="U10" s="86">
        <f t="shared" si="8"/>
        <v>5</v>
      </c>
      <c r="V10" s="86">
        <f t="shared" si="8"/>
        <v>5</v>
      </c>
      <c r="W10" s="87">
        <f t="shared" si="8"/>
        <v>2</v>
      </c>
      <c r="Y10" s="59">
        <v>1</v>
      </c>
      <c r="Z10" s="68">
        <v>1</v>
      </c>
      <c r="AA10" s="69">
        <f>_xlfn.CEILING.MATH((R10+($Z10-1)*R17)*R3*J38/100)</f>
        <v>99</v>
      </c>
      <c r="AB10" s="69">
        <f>_xlfn.CEILING.MATH(S10*S3*K38/100)+_xlfn.CEILING.MATH((S31+($Z10-1)*S24)*S3*K38*$P38/100/100)</f>
        <v>41</v>
      </c>
      <c r="AC10" s="69">
        <f>_xlfn.CEILING.MATH(T10*T3*L38/100)+_xlfn.CEILING.MATH((T31+($Z10-1)*T24)*T3*L38*$P38/100/100)</f>
        <v>76</v>
      </c>
      <c r="AD10" s="69">
        <f>_xlfn.CEILING.MATH(U10*U3*M38/100)+_xlfn.CEILING.MATH((U31+($Z10-1)*U24)*U3*M38*$P38/100/100)</f>
        <v>3</v>
      </c>
      <c r="AE10" s="69">
        <f>_xlfn.CEILING.MATH(V10*V3*N38/100)+_xlfn.CEILING.MATH((V31+($Z10-1)*V24)*V3*N38*$P38/100/100)</f>
        <v>3</v>
      </c>
      <c r="AF10" s="70">
        <f>_xlfn.CEILING.MATH((W10+($Z10-1)*W17)*W3*O38/100)</f>
        <v>0</v>
      </c>
      <c r="AH10" s="48" t="s">
        <v>1770</v>
      </c>
      <c r="AI10" s="111">
        <v>47</v>
      </c>
      <c r="AJ10" s="112">
        <v>56</v>
      </c>
      <c r="AK10" s="112">
        <v>61</v>
      </c>
      <c r="AL10" s="113">
        <v>23</v>
      </c>
    </row>
    <row r="11" spans="1:38" x14ac:dyDescent="0.25">
      <c r="A11" s="60">
        <v>1</v>
      </c>
      <c r="B11" s="123">
        <v>96.283000000000001</v>
      </c>
      <c r="C11" s="124">
        <v>16</v>
      </c>
      <c r="D11" s="124">
        <v>45</v>
      </c>
      <c r="E11" s="124">
        <v>5</v>
      </c>
      <c r="F11" s="124">
        <v>5</v>
      </c>
      <c r="G11" s="125">
        <v>13.978999999999999</v>
      </c>
      <c r="I11" s="71">
        <v>2</v>
      </c>
      <c r="J11" s="88">
        <f>IF(Main!$I21&gt;0,B$11,B$19)</f>
        <v>55</v>
      </c>
      <c r="K11" s="89">
        <f>IF(Main!$I21&gt;0,C$11,C$19)</f>
        <v>16</v>
      </c>
      <c r="L11" s="89">
        <f>IF(Main!$I21&gt;0,D$11,D$19)</f>
        <v>45</v>
      </c>
      <c r="M11" s="89">
        <f>IF(Main!$I21&gt;0,E$11,E$19)</f>
        <v>5</v>
      </c>
      <c r="N11" s="89">
        <f>IF(Main!$I21&gt;0,F$11,F$19)</f>
        <v>5</v>
      </c>
      <c r="O11" s="90">
        <f>IF(Main!$I21&gt;0,G$11,G$19)</f>
        <v>2</v>
      </c>
      <c r="Q11" s="71">
        <v>2</v>
      </c>
      <c r="R11" s="88">
        <f t="shared" ref="R11:R14" si="9">B$19</f>
        <v>55</v>
      </c>
      <c r="S11" s="89">
        <f t="shared" ref="S11:S14" si="10">C$19</f>
        <v>16</v>
      </c>
      <c r="T11" s="89">
        <f t="shared" ref="T11:T14" si="11">D$19</f>
        <v>45</v>
      </c>
      <c r="U11" s="89">
        <f t="shared" ref="U11:U14" si="12">E$19</f>
        <v>5</v>
      </c>
      <c r="V11" s="89">
        <f t="shared" ref="V11:V14" si="13">F$19</f>
        <v>5</v>
      </c>
      <c r="W11" s="90">
        <f t="shared" ref="W11:W14" si="14">G$19</f>
        <v>2</v>
      </c>
      <c r="Y11" s="71">
        <v>2</v>
      </c>
      <c r="Z11" s="75">
        <v>1</v>
      </c>
      <c r="AA11" s="76">
        <f t="shared" ref="AA11:AA14" si="15">_xlfn.CEILING.MATH((R11+($Z11-1)*R18)*R4*J39/100)</f>
        <v>83</v>
      </c>
      <c r="AB11" s="76">
        <f t="shared" ref="AB11:AE11" si="16">_xlfn.CEILING.MATH(S11*S4*K39/100)+_xlfn.CEILING.MATH((S32+($Z11-1)*S25)*S4*K39*$P39/100/100)</f>
        <v>28</v>
      </c>
      <c r="AC11" s="76">
        <f t="shared" si="16"/>
        <v>83</v>
      </c>
      <c r="AD11" s="76">
        <f t="shared" si="16"/>
        <v>4</v>
      </c>
      <c r="AE11" s="76">
        <f t="shared" si="16"/>
        <v>4</v>
      </c>
      <c r="AF11" s="77">
        <f t="shared" ref="AF11:AF14" si="17">_xlfn.CEILING.MATH((W11+($Z11-1)*W18)*W4*O39/100)</f>
        <v>0</v>
      </c>
    </row>
    <row r="12" spans="1:38" x14ac:dyDescent="0.25">
      <c r="A12" s="62">
        <v>2</v>
      </c>
      <c r="B12" s="126">
        <v>0.13800000000000001</v>
      </c>
      <c r="C12" s="127">
        <v>16</v>
      </c>
      <c r="D12" s="127">
        <v>45</v>
      </c>
      <c r="E12" s="127">
        <v>5</v>
      </c>
      <c r="F12" s="127">
        <v>5</v>
      </c>
      <c r="G12" s="128">
        <v>0.04</v>
      </c>
      <c r="I12" s="71">
        <v>3</v>
      </c>
      <c r="J12" s="88">
        <f>IF(Main!$I22&gt;0,B$11,B$19)</f>
        <v>96.283000000000001</v>
      </c>
      <c r="K12" s="89">
        <f>IF(Main!$I22&gt;0,C$11,C$19)</f>
        <v>16</v>
      </c>
      <c r="L12" s="89">
        <f>IF(Main!$I22&gt;0,D$11,D$19)</f>
        <v>45</v>
      </c>
      <c r="M12" s="89">
        <f>IF(Main!$I22&gt;0,E$11,E$19)</f>
        <v>5</v>
      </c>
      <c r="N12" s="89">
        <f>IF(Main!$I22&gt;0,F$11,F$19)</f>
        <v>5</v>
      </c>
      <c r="O12" s="90">
        <f>IF(Main!$I22&gt;0,G$11,G$19)</f>
        <v>13.978999999999999</v>
      </c>
      <c r="Q12" s="71">
        <v>3</v>
      </c>
      <c r="R12" s="88">
        <f t="shared" si="9"/>
        <v>55</v>
      </c>
      <c r="S12" s="89">
        <f t="shared" si="10"/>
        <v>16</v>
      </c>
      <c r="T12" s="89">
        <f t="shared" si="11"/>
        <v>45</v>
      </c>
      <c r="U12" s="89">
        <f t="shared" si="12"/>
        <v>5</v>
      </c>
      <c r="V12" s="89">
        <f t="shared" si="13"/>
        <v>5</v>
      </c>
      <c r="W12" s="90">
        <f t="shared" si="14"/>
        <v>2</v>
      </c>
      <c r="Y12" s="71">
        <v>3</v>
      </c>
      <c r="Z12" s="75">
        <v>1</v>
      </c>
      <c r="AA12" s="76">
        <f t="shared" si="15"/>
        <v>61</v>
      </c>
      <c r="AB12" s="76">
        <f t="shared" ref="AB12:AE12" si="18">_xlfn.CEILING.MATH(S12*S5*K40/100)+_xlfn.CEILING.MATH((S33+($Z12-1)*S26)*S5*K40*$P40/100/100)</f>
        <v>19</v>
      </c>
      <c r="AC12" s="76">
        <f t="shared" si="18"/>
        <v>53</v>
      </c>
      <c r="AD12" s="76">
        <f t="shared" si="18"/>
        <v>6</v>
      </c>
      <c r="AE12" s="76">
        <f t="shared" si="18"/>
        <v>6</v>
      </c>
      <c r="AF12" s="77">
        <f t="shared" si="17"/>
        <v>0</v>
      </c>
    </row>
    <row r="13" spans="1:38" x14ac:dyDescent="0.25">
      <c r="B13" s="8"/>
      <c r="C13" s="8"/>
      <c r="D13" s="8"/>
      <c r="E13" s="8"/>
      <c r="F13" s="8"/>
      <c r="G13" s="8"/>
      <c r="I13" s="71">
        <v>4</v>
      </c>
      <c r="J13" s="88">
        <f>IF(Main!$I23&gt;0,B$11,B$19)</f>
        <v>55</v>
      </c>
      <c r="K13" s="89">
        <f>IF(Main!$I23&gt;0,C$11,C$19)</f>
        <v>16</v>
      </c>
      <c r="L13" s="89">
        <f>IF(Main!$I23&gt;0,D$11,D$19)</f>
        <v>45</v>
      </c>
      <c r="M13" s="89">
        <f>IF(Main!$I23&gt;0,E$11,E$19)</f>
        <v>5</v>
      </c>
      <c r="N13" s="89">
        <f>IF(Main!$I23&gt;0,F$11,F$19)</f>
        <v>5</v>
      </c>
      <c r="O13" s="90">
        <f>IF(Main!$I23&gt;0,G$11,G$19)</f>
        <v>2</v>
      </c>
      <c r="Q13" s="71">
        <v>4</v>
      </c>
      <c r="R13" s="88">
        <f t="shared" si="9"/>
        <v>55</v>
      </c>
      <c r="S13" s="89">
        <f t="shared" si="10"/>
        <v>16</v>
      </c>
      <c r="T13" s="89">
        <f t="shared" si="11"/>
        <v>45</v>
      </c>
      <c r="U13" s="89">
        <f t="shared" si="12"/>
        <v>5</v>
      </c>
      <c r="V13" s="89">
        <f t="shared" si="13"/>
        <v>5</v>
      </c>
      <c r="W13" s="90">
        <f t="shared" si="14"/>
        <v>2</v>
      </c>
      <c r="Y13" s="71">
        <v>4</v>
      </c>
      <c r="Z13" s="75">
        <v>1</v>
      </c>
      <c r="AA13" s="76">
        <f t="shared" si="15"/>
        <v>127</v>
      </c>
      <c r="AB13" s="76">
        <f t="shared" ref="AB13:AE13" si="19">_xlfn.CEILING.MATH(S13*S6*K41/100)+_xlfn.CEILING.MATH((S34+($Z13-1)*S27)*S6*K41*$P41/100/100)</f>
        <v>12</v>
      </c>
      <c r="AC13" s="76">
        <f t="shared" si="19"/>
        <v>21</v>
      </c>
      <c r="AD13" s="76">
        <f t="shared" si="19"/>
        <v>2</v>
      </c>
      <c r="AE13" s="76">
        <f t="shared" si="19"/>
        <v>2</v>
      </c>
      <c r="AF13" s="77">
        <f t="shared" si="17"/>
        <v>3</v>
      </c>
    </row>
    <row r="14" spans="1:38" x14ac:dyDescent="0.25">
      <c r="A14" s="59" t="s">
        <v>17</v>
      </c>
      <c r="B14" s="85" t="s">
        <v>9</v>
      </c>
      <c r="C14" s="86" t="s">
        <v>10</v>
      </c>
      <c r="D14" s="86" t="s">
        <v>11</v>
      </c>
      <c r="E14" s="86" t="s">
        <v>12</v>
      </c>
      <c r="F14" s="86" t="s">
        <v>13</v>
      </c>
      <c r="G14" s="87" t="s">
        <v>14</v>
      </c>
      <c r="I14" s="78">
        <v>5</v>
      </c>
      <c r="J14" s="91">
        <f>IF(Main!$I24&gt;0,B$11,B$19)</f>
        <v>55</v>
      </c>
      <c r="K14" s="92">
        <f>IF(Main!$I24&gt;0,C$11,C$19)</f>
        <v>16</v>
      </c>
      <c r="L14" s="92">
        <f>IF(Main!$I24&gt;0,D$11,D$19)</f>
        <v>45</v>
      </c>
      <c r="M14" s="92">
        <f>IF(Main!$I24&gt;0,E$11,E$19)</f>
        <v>5</v>
      </c>
      <c r="N14" s="92">
        <f>IF(Main!$I24&gt;0,F$11,F$19)</f>
        <v>5</v>
      </c>
      <c r="O14" s="93">
        <f>IF(Main!$I24&gt;0,G$11,G$19)</f>
        <v>2</v>
      </c>
      <c r="Q14" s="78">
        <v>5</v>
      </c>
      <c r="R14" s="91">
        <f t="shared" si="9"/>
        <v>55</v>
      </c>
      <c r="S14" s="92">
        <f t="shared" si="10"/>
        <v>16</v>
      </c>
      <c r="T14" s="92">
        <f t="shared" si="11"/>
        <v>45</v>
      </c>
      <c r="U14" s="92">
        <f t="shared" si="12"/>
        <v>5</v>
      </c>
      <c r="V14" s="92">
        <f t="shared" si="13"/>
        <v>5</v>
      </c>
      <c r="W14" s="93">
        <f t="shared" si="14"/>
        <v>2</v>
      </c>
      <c r="Y14" s="78">
        <v>5</v>
      </c>
      <c r="Z14" s="82">
        <v>1</v>
      </c>
      <c r="AA14" s="83">
        <f t="shared" si="15"/>
        <v>35</v>
      </c>
      <c r="AB14" s="83">
        <f t="shared" ref="AB14:AE14" si="20">_xlfn.CEILING.MATH(S14*S7*K42/100)+_xlfn.CEILING.MATH((S35+($Z14-1)*S28)*S7*K42*$P42/100/100)</f>
        <v>10</v>
      </c>
      <c r="AC14" s="83">
        <f t="shared" si="20"/>
        <v>41</v>
      </c>
      <c r="AD14" s="83">
        <f t="shared" si="20"/>
        <v>8</v>
      </c>
      <c r="AE14" s="83">
        <f t="shared" si="20"/>
        <v>13</v>
      </c>
      <c r="AF14" s="84">
        <f t="shared" si="17"/>
        <v>0</v>
      </c>
    </row>
    <row r="15" spans="1:38" x14ac:dyDescent="0.25">
      <c r="A15" s="60">
        <v>1</v>
      </c>
      <c r="B15" s="123"/>
      <c r="C15" s="124">
        <v>0.06</v>
      </c>
      <c r="D15" s="124">
        <v>2.1999999999999999E-2</v>
      </c>
      <c r="E15" s="124">
        <v>7.4999999999999997E-2</v>
      </c>
      <c r="F15" s="124">
        <v>7.4999999999999997E-2</v>
      </c>
      <c r="G15" s="125"/>
      <c r="J15" s="8"/>
      <c r="K15" s="8"/>
      <c r="L15" s="8"/>
      <c r="M15" s="8"/>
      <c r="N15" s="8"/>
      <c r="O15" s="8"/>
      <c r="R15" s="8"/>
      <c r="S15" s="8"/>
      <c r="T15" s="8"/>
      <c r="U15" s="8"/>
      <c r="V15" s="8"/>
      <c r="W15" s="8"/>
    </row>
    <row r="16" spans="1:38" x14ac:dyDescent="0.25">
      <c r="A16" s="62">
        <v>2</v>
      </c>
      <c r="B16" s="126"/>
      <c r="C16" s="127">
        <v>18.018000000000001</v>
      </c>
      <c r="D16" s="127">
        <v>15.741</v>
      </c>
      <c r="E16" s="127">
        <v>22.571999999999999</v>
      </c>
      <c r="F16" s="127">
        <v>22.571999999999999</v>
      </c>
      <c r="G16" s="128"/>
      <c r="I16" s="59" t="s">
        <v>271</v>
      </c>
      <c r="J16" s="85" t="s">
        <v>9</v>
      </c>
      <c r="K16" s="86" t="s">
        <v>10</v>
      </c>
      <c r="L16" s="86" t="s">
        <v>11</v>
      </c>
      <c r="M16" s="86" t="s">
        <v>12</v>
      </c>
      <c r="N16" s="86" t="s">
        <v>13</v>
      </c>
      <c r="O16" s="87" t="s">
        <v>14</v>
      </c>
      <c r="Q16" s="59" t="s">
        <v>271</v>
      </c>
      <c r="R16" s="85" t="s">
        <v>9</v>
      </c>
      <c r="S16" s="86" t="s">
        <v>10</v>
      </c>
      <c r="T16" s="86" t="s">
        <v>11</v>
      </c>
      <c r="U16" s="86" t="s">
        <v>12</v>
      </c>
      <c r="V16" s="86" t="s">
        <v>13</v>
      </c>
      <c r="W16" s="87" t="s">
        <v>14</v>
      </c>
      <c r="Y16" s="59" t="s">
        <v>763</v>
      </c>
      <c r="Z16" s="60" t="s">
        <v>18</v>
      </c>
      <c r="AA16" s="63" t="s">
        <v>9</v>
      </c>
      <c r="AB16" s="63" t="s">
        <v>10</v>
      </c>
      <c r="AC16" s="63" t="s">
        <v>11</v>
      </c>
      <c r="AD16" s="63" t="s">
        <v>12</v>
      </c>
      <c r="AE16" s="63" t="s">
        <v>13</v>
      </c>
      <c r="AF16" s="70" t="s">
        <v>14</v>
      </c>
    </row>
    <row r="17" spans="1:32" x14ac:dyDescent="0.25">
      <c r="I17" s="59">
        <v>1</v>
      </c>
      <c r="J17" s="85">
        <f>IF(Main!$I20&gt;0,B$12,B$20)</f>
        <v>0.55500000000000005</v>
      </c>
      <c r="K17" s="86">
        <f>IF(Main!$I20&gt;0,C$12,C$20)</f>
        <v>16</v>
      </c>
      <c r="L17" s="86">
        <f>IF(Main!$I20&gt;0,D$12,D$20)</f>
        <v>45</v>
      </c>
      <c r="M17" s="86">
        <f>IF(Main!$I20&gt;0,E$12,E$20)</f>
        <v>5</v>
      </c>
      <c r="N17" s="86">
        <f>IF(Main!$I20&gt;0,F$12,F$20)</f>
        <v>5</v>
      </c>
      <c r="O17" s="87">
        <f>IF(Main!$I20&gt;0,G$12,G$20)</f>
        <v>0.161</v>
      </c>
      <c r="Q17" s="59">
        <v>1</v>
      </c>
      <c r="R17" s="85">
        <f t="shared" ref="R17:W17" si="21">B$20</f>
        <v>0.55500000000000005</v>
      </c>
      <c r="S17" s="86">
        <f t="shared" si="21"/>
        <v>16</v>
      </c>
      <c r="T17" s="86">
        <f t="shared" si="21"/>
        <v>45</v>
      </c>
      <c r="U17" s="86">
        <f t="shared" si="21"/>
        <v>5</v>
      </c>
      <c r="V17" s="86">
        <f t="shared" si="21"/>
        <v>5</v>
      </c>
      <c r="W17" s="87">
        <f t="shared" si="21"/>
        <v>0.161</v>
      </c>
      <c r="Y17" s="59">
        <v>1</v>
      </c>
      <c r="Z17" s="30"/>
      <c r="AA17" s="31"/>
      <c r="AB17" s="69">
        <f>AB3-AB10</f>
        <v>68</v>
      </c>
      <c r="AC17" s="69">
        <f>AC3-AC10</f>
        <v>34</v>
      </c>
      <c r="AD17" s="69">
        <f>AD3-AD10</f>
        <v>19</v>
      </c>
      <c r="AE17" s="69">
        <f>AE3-AE10</f>
        <v>18</v>
      </c>
      <c r="AF17" s="36"/>
    </row>
    <row r="18" spans="1:32" x14ac:dyDescent="0.25">
      <c r="A18" s="59" t="s">
        <v>275</v>
      </c>
      <c r="B18" s="60" t="s">
        <v>9</v>
      </c>
      <c r="C18" s="63" t="s">
        <v>10</v>
      </c>
      <c r="D18" s="63" t="s">
        <v>11</v>
      </c>
      <c r="E18" s="63" t="s">
        <v>12</v>
      </c>
      <c r="F18" s="63" t="s">
        <v>13</v>
      </c>
      <c r="G18" s="64" t="s">
        <v>14</v>
      </c>
      <c r="I18" s="71">
        <v>2</v>
      </c>
      <c r="J18" s="88">
        <f>IF(Main!$I21&gt;0,B$12,B$20)</f>
        <v>0.55500000000000005</v>
      </c>
      <c r="K18" s="89">
        <f>IF(Main!$I21&gt;0,C$12,C$20)</f>
        <v>16</v>
      </c>
      <c r="L18" s="89">
        <f>IF(Main!$I21&gt;0,D$12,D$20)</f>
        <v>45</v>
      </c>
      <c r="M18" s="89">
        <f>IF(Main!$I21&gt;0,E$12,E$20)</f>
        <v>5</v>
      </c>
      <c r="N18" s="89">
        <f>IF(Main!$I21&gt;0,F$12,F$20)</f>
        <v>5</v>
      </c>
      <c r="O18" s="90">
        <f>IF(Main!$I21&gt;0,G$12,G$20)</f>
        <v>0.161</v>
      </c>
      <c r="Q18" s="71">
        <v>2</v>
      </c>
      <c r="R18" s="88">
        <f t="shared" ref="R18:R21" si="22">B$20</f>
        <v>0.55500000000000005</v>
      </c>
      <c r="S18" s="89">
        <f t="shared" ref="S18:S21" si="23">C$20</f>
        <v>16</v>
      </c>
      <c r="T18" s="89">
        <f t="shared" ref="T18:T21" si="24">D$20</f>
        <v>45</v>
      </c>
      <c r="U18" s="89">
        <f t="shared" ref="U18:U21" si="25">E$20</f>
        <v>5</v>
      </c>
      <c r="V18" s="89">
        <f t="shared" ref="V18:V21" si="26">F$20</f>
        <v>5</v>
      </c>
      <c r="W18" s="90">
        <f t="shared" ref="W18:W21" si="27">G$20</f>
        <v>0.161</v>
      </c>
      <c r="Y18" s="71">
        <v>2</v>
      </c>
      <c r="Z18" s="32"/>
      <c r="AA18" s="33"/>
      <c r="AB18" s="76">
        <f t="shared" ref="AB18:AE18" si="28">AB4-AB11</f>
        <v>57</v>
      </c>
      <c r="AC18" s="76">
        <f t="shared" si="28"/>
        <v>46</v>
      </c>
      <c r="AD18" s="76">
        <f t="shared" si="28"/>
        <v>33</v>
      </c>
      <c r="AE18" s="76">
        <f t="shared" si="28"/>
        <v>32</v>
      </c>
      <c r="AF18" s="37"/>
    </row>
    <row r="19" spans="1:32" x14ac:dyDescent="0.25">
      <c r="A19" s="60">
        <v>1</v>
      </c>
      <c r="B19" s="123">
        <v>55</v>
      </c>
      <c r="C19" s="124">
        <v>16</v>
      </c>
      <c r="D19" s="124">
        <v>45</v>
      </c>
      <c r="E19" s="124">
        <v>5</v>
      </c>
      <c r="F19" s="124">
        <v>5</v>
      </c>
      <c r="G19" s="125">
        <v>2</v>
      </c>
      <c r="I19" s="71">
        <v>3</v>
      </c>
      <c r="J19" s="88">
        <f>IF(Main!$I22&gt;0,B$12,B$20)</f>
        <v>0.13800000000000001</v>
      </c>
      <c r="K19" s="89">
        <f>IF(Main!$I22&gt;0,C$12,C$20)</f>
        <v>16</v>
      </c>
      <c r="L19" s="89">
        <f>IF(Main!$I22&gt;0,D$12,D$20)</f>
        <v>45</v>
      </c>
      <c r="M19" s="89">
        <f>IF(Main!$I22&gt;0,E$12,E$20)</f>
        <v>5</v>
      </c>
      <c r="N19" s="89">
        <f>IF(Main!$I22&gt;0,F$12,F$20)</f>
        <v>5</v>
      </c>
      <c r="O19" s="90">
        <f>IF(Main!$I22&gt;0,G$12,G$20)</f>
        <v>0.04</v>
      </c>
      <c r="Q19" s="71">
        <v>3</v>
      </c>
      <c r="R19" s="88">
        <f t="shared" si="22"/>
        <v>0.55500000000000005</v>
      </c>
      <c r="S19" s="89">
        <f t="shared" si="23"/>
        <v>16</v>
      </c>
      <c r="T19" s="89">
        <f t="shared" si="24"/>
        <v>45</v>
      </c>
      <c r="U19" s="89">
        <f t="shared" si="25"/>
        <v>5</v>
      </c>
      <c r="V19" s="89">
        <f t="shared" si="26"/>
        <v>5</v>
      </c>
      <c r="W19" s="90">
        <f t="shared" si="27"/>
        <v>0.161</v>
      </c>
      <c r="Y19" s="71">
        <v>3</v>
      </c>
      <c r="Z19" s="32"/>
      <c r="AA19" s="33"/>
      <c r="AB19" s="76">
        <f t="shared" ref="AB19:AE19" si="29">AB5-AB12</f>
        <v>35</v>
      </c>
      <c r="AC19" s="76">
        <f t="shared" si="29"/>
        <v>25</v>
      </c>
      <c r="AD19" s="76">
        <f t="shared" si="29"/>
        <v>45</v>
      </c>
      <c r="AE19" s="76">
        <f t="shared" si="29"/>
        <v>41</v>
      </c>
      <c r="AF19" s="37"/>
    </row>
    <row r="20" spans="1:32" x14ac:dyDescent="0.25">
      <c r="A20" s="62">
        <v>2</v>
      </c>
      <c r="B20" s="126">
        <v>0.55500000000000005</v>
      </c>
      <c r="C20" s="127">
        <v>16</v>
      </c>
      <c r="D20" s="127">
        <v>45</v>
      </c>
      <c r="E20" s="127">
        <v>5</v>
      </c>
      <c r="F20" s="127">
        <v>5</v>
      </c>
      <c r="G20" s="128">
        <v>0.161</v>
      </c>
      <c r="I20" s="71">
        <v>4</v>
      </c>
      <c r="J20" s="88">
        <f>IF(Main!$I23&gt;0,B$12,B$20)</f>
        <v>0.55500000000000005</v>
      </c>
      <c r="K20" s="89">
        <f>IF(Main!$I23&gt;0,C$12,C$20)</f>
        <v>16</v>
      </c>
      <c r="L20" s="89">
        <f>IF(Main!$I23&gt;0,D$12,D$20)</f>
        <v>45</v>
      </c>
      <c r="M20" s="89">
        <f>IF(Main!$I23&gt;0,E$12,E$20)</f>
        <v>5</v>
      </c>
      <c r="N20" s="89">
        <f>IF(Main!$I23&gt;0,F$12,F$20)</f>
        <v>5</v>
      </c>
      <c r="O20" s="90">
        <f>IF(Main!$I23&gt;0,G$12,G$20)</f>
        <v>0.161</v>
      </c>
      <c r="Q20" s="71">
        <v>4</v>
      </c>
      <c r="R20" s="88">
        <f t="shared" si="22"/>
        <v>0.55500000000000005</v>
      </c>
      <c r="S20" s="89">
        <f t="shared" si="23"/>
        <v>16</v>
      </c>
      <c r="T20" s="89">
        <f t="shared" si="24"/>
        <v>45</v>
      </c>
      <c r="U20" s="89">
        <f t="shared" si="25"/>
        <v>5</v>
      </c>
      <c r="V20" s="89">
        <f t="shared" si="26"/>
        <v>5</v>
      </c>
      <c r="W20" s="90">
        <f t="shared" si="27"/>
        <v>0.161</v>
      </c>
      <c r="Y20" s="71">
        <v>4</v>
      </c>
      <c r="Z20" s="32"/>
      <c r="AA20" s="33"/>
      <c r="AB20" s="76">
        <f t="shared" ref="AB20:AE20" si="30">AB6-AB13</f>
        <v>19</v>
      </c>
      <c r="AC20" s="76">
        <f t="shared" si="30"/>
        <v>9</v>
      </c>
      <c r="AD20" s="76">
        <f t="shared" si="30"/>
        <v>11</v>
      </c>
      <c r="AE20" s="76">
        <f t="shared" si="30"/>
        <v>11</v>
      </c>
      <c r="AF20" s="37"/>
    </row>
    <row r="21" spans="1:32" x14ac:dyDescent="0.25">
      <c r="B21" s="8"/>
      <c r="C21" s="8"/>
      <c r="D21" s="8"/>
      <c r="E21" s="8"/>
      <c r="F21" s="8"/>
      <c r="G21" s="8"/>
      <c r="I21" s="78">
        <v>5</v>
      </c>
      <c r="J21" s="91">
        <f>IF(Main!$I24&gt;0,B$12,B$20)</f>
        <v>0.55500000000000005</v>
      </c>
      <c r="K21" s="92">
        <f>IF(Main!$I24&gt;0,C$12,C$20)</f>
        <v>16</v>
      </c>
      <c r="L21" s="92">
        <f>IF(Main!$I24&gt;0,D$12,D$20)</f>
        <v>45</v>
      </c>
      <c r="M21" s="92">
        <f>IF(Main!$I24&gt;0,E$12,E$20)</f>
        <v>5</v>
      </c>
      <c r="N21" s="92">
        <f>IF(Main!$I24&gt;0,F$12,F$20)</f>
        <v>5</v>
      </c>
      <c r="O21" s="93">
        <f>IF(Main!$I24&gt;0,G$12,G$20)</f>
        <v>0.161</v>
      </c>
      <c r="Q21" s="78">
        <v>5</v>
      </c>
      <c r="R21" s="91">
        <f t="shared" si="22"/>
        <v>0.55500000000000005</v>
      </c>
      <c r="S21" s="92">
        <f t="shared" si="23"/>
        <v>16</v>
      </c>
      <c r="T21" s="92">
        <f t="shared" si="24"/>
        <v>45</v>
      </c>
      <c r="U21" s="92">
        <f t="shared" si="25"/>
        <v>5</v>
      </c>
      <c r="V21" s="92">
        <f t="shared" si="26"/>
        <v>5</v>
      </c>
      <c r="W21" s="93">
        <f t="shared" si="27"/>
        <v>0.161</v>
      </c>
      <c r="Y21" s="78">
        <v>5</v>
      </c>
      <c r="Z21" s="34"/>
      <c r="AA21" s="35"/>
      <c r="AB21" s="83">
        <f t="shared" ref="AB21:AE21" si="31">AB7-AB14</f>
        <v>18</v>
      </c>
      <c r="AC21" s="83">
        <f t="shared" si="31"/>
        <v>21</v>
      </c>
      <c r="AD21" s="83">
        <f t="shared" si="31"/>
        <v>58</v>
      </c>
      <c r="AE21" s="83">
        <f t="shared" si="31"/>
        <v>97</v>
      </c>
      <c r="AF21" s="38"/>
    </row>
    <row r="22" spans="1:32" x14ac:dyDescent="0.25">
      <c r="A22" s="59" t="s">
        <v>276</v>
      </c>
      <c r="B22" s="85" t="s">
        <v>9</v>
      </c>
      <c r="C22" s="86" t="s">
        <v>10</v>
      </c>
      <c r="D22" s="86" t="s">
        <v>11</v>
      </c>
      <c r="E22" s="86" t="s">
        <v>12</v>
      </c>
      <c r="F22" s="86" t="s">
        <v>13</v>
      </c>
      <c r="G22" s="87" t="s">
        <v>14</v>
      </c>
      <c r="J22" s="8"/>
      <c r="K22" s="8"/>
      <c r="L22" s="8"/>
      <c r="M22" s="8"/>
      <c r="N22" s="8"/>
      <c r="O22" s="8"/>
      <c r="R22" s="8"/>
      <c r="S22" s="8"/>
      <c r="T22" s="8"/>
      <c r="U22" s="8"/>
      <c r="V22" s="8"/>
      <c r="W22" s="8"/>
    </row>
    <row r="23" spans="1:32" x14ac:dyDescent="0.25">
      <c r="A23" s="60">
        <v>1</v>
      </c>
      <c r="B23" s="123"/>
      <c r="C23" s="124">
        <v>0.24199999999999999</v>
      </c>
      <c r="D23" s="124">
        <v>0.18099999999999999</v>
      </c>
      <c r="E23" s="124">
        <v>0.30299999999999999</v>
      </c>
      <c r="F23" s="124">
        <v>0.30299999999999999</v>
      </c>
      <c r="G23" s="125"/>
      <c r="I23" s="59" t="s">
        <v>272</v>
      </c>
      <c r="J23" s="85" t="s">
        <v>9</v>
      </c>
      <c r="K23" s="86" t="s">
        <v>10</v>
      </c>
      <c r="L23" s="86" t="s">
        <v>11</v>
      </c>
      <c r="M23" s="86" t="s">
        <v>12</v>
      </c>
      <c r="N23" s="86" t="s">
        <v>13</v>
      </c>
      <c r="O23" s="87" t="s">
        <v>14</v>
      </c>
      <c r="Q23" s="59" t="s">
        <v>272</v>
      </c>
      <c r="R23" s="85" t="s">
        <v>9</v>
      </c>
      <c r="S23" s="86" t="s">
        <v>10</v>
      </c>
      <c r="T23" s="86" t="s">
        <v>11</v>
      </c>
      <c r="U23" s="86" t="s">
        <v>12</v>
      </c>
      <c r="V23" s="86" t="s">
        <v>13</v>
      </c>
      <c r="W23" s="87" t="s">
        <v>14</v>
      </c>
    </row>
    <row r="24" spans="1:32" x14ac:dyDescent="0.25">
      <c r="A24" s="62">
        <v>2</v>
      </c>
      <c r="B24" s="126"/>
      <c r="C24" s="127">
        <v>0</v>
      </c>
      <c r="D24" s="127">
        <v>0</v>
      </c>
      <c r="E24" s="127">
        <v>0</v>
      </c>
      <c r="F24" s="127">
        <v>0</v>
      </c>
      <c r="G24" s="128"/>
      <c r="I24" s="59">
        <v>1</v>
      </c>
      <c r="J24" s="85">
        <f>IF(Main!$I20&gt;0,B$15,B$23)</f>
        <v>0</v>
      </c>
      <c r="K24" s="86">
        <f>IF(Main!$I20&gt;0,C$15,C$23)</f>
        <v>0.24199999999999999</v>
      </c>
      <c r="L24" s="86">
        <f>IF(Main!$I20&gt;0,D$15,D$23)</f>
        <v>0.18099999999999999</v>
      </c>
      <c r="M24" s="86">
        <f>IF(Main!$I20&gt;0,E$15,E$23)</f>
        <v>0.30299999999999999</v>
      </c>
      <c r="N24" s="86">
        <f>IF(Main!$I20&gt;0,F$15,F$23)</f>
        <v>0.30299999999999999</v>
      </c>
      <c r="O24" s="87">
        <f>IF(Main!$I20&gt;0,G$15,G$23)</f>
        <v>0</v>
      </c>
      <c r="Q24" s="59">
        <v>1</v>
      </c>
      <c r="R24" s="85">
        <f t="shared" ref="R24:W28" si="32">B$23</f>
        <v>0</v>
      </c>
      <c r="S24" s="86">
        <f t="shared" si="32"/>
        <v>0.24199999999999999</v>
      </c>
      <c r="T24" s="86">
        <f t="shared" si="32"/>
        <v>0.18099999999999999</v>
      </c>
      <c r="U24" s="86">
        <f t="shared" si="32"/>
        <v>0.30299999999999999</v>
      </c>
      <c r="V24" s="86">
        <f t="shared" si="32"/>
        <v>0.30299999999999999</v>
      </c>
      <c r="W24" s="87">
        <f t="shared" si="32"/>
        <v>0</v>
      </c>
    </row>
    <row r="25" spans="1:32" x14ac:dyDescent="0.25">
      <c r="I25" s="71">
        <v>2</v>
      </c>
      <c r="J25" s="88">
        <f>IF(Main!$I21&gt;0,B$15,B$23)</f>
        <v>0</v>
      </c>
      <c r="K25" s="89">
        <f>IF(Main!$I21&gt;0,C$15,C$23)</f>
        <v>0.24199999999999999</v>
      </c>
      <c r="L25" s="89">
        <f>IF(Main!$I21&gt;0,D$15,D$23)</f>
        <v>0.18099999999999999</v>
      </c>
      <c r="M25" s="89">
        <f>IF(Main!$I21&gt;0,E$15,E$23)</f>
        <v>0.30299999999999999</v>
      </c>
      <c r="N25" s="89">
        <f>IF(Main!$I21&gt;0,F$15,F$23)</f>
        <v>0.30299999999999999</v>
      </c>
      <c r="O25" s="90">
        <f>IF(Main!$I21&gt;0,G$15,G$23)</f>
        <v>0</v>
      </c>
      <c r="Q25" s="71">
        <v>2</v>
      </c>
      <c r="R25" s="88">
        <f t="shared" si="32"/>
        <v>0</v>
      </c>
      <c r="S25" s="89">
        <f t="shared" si="32"/>
        <v>0.24199999999999999</v>
      </c>
      <c r="T25" s="89">
        <f t="shared" si="32"/>
        <v>0.18099999999999999</v>
      </c>
      <c r="U25" s="89">
        <f t="shared" si="32"/>
        <v>0.30299999999999999</v>
      </c>
      <c r="V25" s="89">
        <f t="shared" si="32"/>
        <v>0.30299999999999999</v>
      </c>
      <c r="W25" s="90">
        <f t="shared" si="32"/>
        <v>0</v>
      </c>
    </row>
    <row r="26" spans="1:32" x14ac:dyDescent="0.25">
      <c r="I26" s="71">
        <v>3</v>
      </c>
      <c r="J26" s="88">
        <f>IF(Main!$I22&gt;0,B$15,B$23)</f>
        <v>0</v>
      </c>
      <c r="K26" s="89">
        <f>IF(Main!$I22&gt;0,C$15,C$23)</f>
        <v>0.06</v>
      </c>
      <c r="L26" s="89">
        <f>IF(Main!$I22&gt;0,D$15,D$23)</f>
        <v>2.1999999999999999E-2</v>
      </c>
      <c r="M26" s="89">
        <f>IF(Main!$I22&gt;0,E$15,E$23)</f>
        <v>7.4999999999999997E-2</v>
      </c>
      <c r="N26" s="89">
        <f>IF(Main!$I22&gt;0,F$15,F$23)</f>
        <v>7.4999999999999997E-2</v>
      </c>
      <c r="O26" s="90">
        <f>IF(Main!$I22&gt;0,G$15,G$23)</f>
        <v>0</v>
      </c>
      <c r="Q26" s="71">
        <v>3</v>
      </c>
      <c r="R26" s="88">
        <f t="shared" si="32"/>
        <v>0</v>
      </c>
      <c r="S26" s="89">
        <f t="shared" si="32"/>
        <v>0.24199999999999999</v>
      </c>
      <c r="T26" s="89">
        <f t="shared" si="32"/>
        <v>0.18099999999999999</v>
      </c>
      <c r="U26" s="89">
        <f t="shared" si="32"/>
        <v>0.30299999999999999</v>
      </c>
      <c r="V26" s="89">
        <f t="shared" si="32"/>
        <v>0.30299999999999999</v>
      </c>
      <c r="W26" s="90">
        <f t="shared" si="32"/>
        <v>0</v>
      </c>
    </row>
    <row r="27" spans="1:32" x14ac:dyDescent="0.25">
      <c r="I27" s="71">
        <v>4</v>
      </c>
      <c r="J27" s="88">
        <f>IF(Main!$I23&gt;0,B$15,B$23)</f>
        <v>0</v>
      </c>
      <c r="K27" s="89">
        <f>IF(Main!$I23&gt;0,C$15,C$23)</f>
        <v>0.24199999999999999</v>
      </c>
      <c r="L27" s="89">
        <f>IF(Main!$I23&gt;0,D$15,D$23)</f>
        <v>0.18099999999999999</v>
      </c>
      <c r="M27" s="89">
        <f>IF(Main!$I23&gt;0,E$15,E$23)</f>
        <v>0.30299999999999999</v>
      </c>
      <c r="N27" s="89">
        <f>IF(Main!$I23&gt;0,F$15,F$23)</f>
        <v>0.30299999999999999</v>
      </c>
      <c r="O27" s="90">
        <f>IF(Main!$I23&gt;0,G$15,G$23)</f>
        <v>0</v>
      </c>
      <c r="Q27" s="71">
        <v>4</v>
      </c>
      <c r="R27" s="88">
        <f t="shared" si="32"/>
        <v>0</v>
      </c>
      <c r="S27" s="89">
        <f t="shared" si="32"/>
        <v>0.24199999999999999</v>
      </c>
      <c r="T27" s="89">
        <f t="shared" si="32"/>
        <v>0.18099999999999999</v>
      </c>
      <c r="U27" s="89">
        <f t="shared" si="32"/>
        <v>0.30299999999999999</v>
      </c>
      <c r="V27" s="89">
        <f t="shared" si="32"/>
        <v>0.30299999999999999</v>
      </c>
      <c r="W27" s="90">
        <f t="shared" si="32"/>
        <v>0</v>
      </c>
    </row>
    <row r="28" spans="1:32" x14ac:dyDescent="0.25">
      <c r="I28" s="78">
        <v>5</v>
      </c>
      <c r="J28" s="91">
        <f>IF(Main!$I24&gt;0,B$15,B$23)</f>
        <v>0</v>
      </c>
      <c r="K28" s="92">
        <f>IF(Main!$I24&gt;0,C$15,C$23)</f>
        <v>0.24199999999999999</v>
      </c>
      <c r="L28" s="92">
        <f>IF(Main!$I24&gt;0,D$15,D$23)</f>
        <v>0.18099999999999999</v>
      </c>
      <c r="M28" s="92">
        <f>IF(Main!$I24&gt;0,E$15,E$23)</f>
        <v>0.30299999999999999</v>
      </c>
      <c r="N28" s="92">
        <f>IF(Main!$I24&gt;0,F$15,F$23)</f>
        <v>0.30299999999999999</v>
      </c>
      <c r="O28" s="93">
        <f>IF(Main!$I24&gt;0,G$15,G$23)</f>
        <v>0</v>
      </c>
      <c r="Q28" s="78">
        <v>5</v>
      </c>
      <c r="R28" s="91">
        <f t="shared" si="32"/>
        <v>0</v>
      </c>
      <c r="S28" s="92">
        <f t="shared" si="32"/>
        <v>0.24199999999999999</v>
      </c>
      <c r="T28" s="92">
        <f t="shared" si="32"/>
        <v>0.18099999999999999</v>
      </c>
      <c r="U28" s="92">
        <f t="shared" si="32"/>
        <v>0.30299999999999999</v>
      </c>
      <c r="V28" s="92">
        <f t="shared" si="32"/>
        <v>0.30299999999999999</v>
      </c>
      <c r="W28" s="93">
        <f t="shared" si="32"/>
        <v>0</v>
      </c>
    </row>
    <row r="29" spans="1:32" x14ac:dyDescent="0.25">
      <c r="J29" s="8"/>
      <c r="K29" s="8"/>
      <c r="L29" s="8"/>
      <c r="M29" s="8"/>
      <c r="N29" s="8"/>
      <c r="O29" s="8"/>
      <c r="R29" s="8"/>
      <c r="S29" s="8"/>
      <c r="T29" s="8"/>
      <c r="U29" s="8"/>
      <c r="V29" s="8"/>
      <c r="W29" s="8"/>
    </row>
    <row r="30" spans="1:32" x14ac:dyDescent="0.25">
      <c r="I30" s="15" t="s">
        <v>273</v>
      </c>
      <c r="J30" s="2" t="s">
        <v>9</v>
      </c>
      <c r="K30" s="3" t="s">
        <v>10</v>
      </c>
      <c r="L30" s="3" t="s">
        <v>11</v>
      </c>
      <c r="M30" s="3" t="s">
        <v>12</v>
      </c>
      <c r="N30" s="3" t="s">
        <v>13</v>
      </c>
      <c r="O30" s="4" t="s">
        <v>14</v>
      </c>
      <c r="Q30" s="15" t="s">
        <v>273</v>
      </c>
      <c r="R30" s="2" t="s">
        <v>9</v>
      </c>
      <c r="S30" s="3" t="s">
        <v>10</v>
      </c>
      <c r="T30" s="3" t="s">
        <v>11</v>
      </c>
      <c r="U30" s="3" t="s">
        <v>12</v>
      </c>
      <c r="V30" s="3" t="s">
        <v>13</v>
      </c>
      <c r="W30" s="4" t="s">
        <v>14</v>
      </c>
    </row>
    <row r="31" spans="1:32" x14ac:dyDescent="0.25">
      <c r="I31" s="15">
        <v>1</v>
      </c>
      <c r="J31" s="2">
        <f>IF(Main!$I20&gt;0,B$16,B$24)</f>
        <v>0</v>
      </c>
      <c r="K31" s="3">
        <f>IF(Main!$I20&gt;0,C$16,C$24)</f>
        <v>0</v>
      </c>
      <c r="L31" s="3">
        <f>IF(Main!$I20&gt;0,D$16,D$24)</f>
        <v>0</v>
      </c>
      <c r="M31" s="3">
        <f>IF(Main!$I20&gt;0,E$16,E$24)</f>
        <v>0</v>
      </c>
      <c r="N31" s="3">
        <f>IF(Main!$I20&gt;0,F$16,F$24)</f>
        <v>0</v>
      </c>
      <c r="O31" s="4">
        <f>IF(Main!$I20&gt;0,G$16,G$24)</f>
        <v>0</v>
      </c>
      <c r="Q31" s="15">
        <v>1</v>
      </c>
      <c r="R31" s="2">
        <f t="shared" ref="R31:W35" si="33">B$24</f>
        <v>0</v>
      </c>
      <c r="S31" s="3">
        <f t="shared" si="33"/>
        <v>0</v>
      </c>
      <c r="T31" s="3">
        <f t="shared" si="33"/>
        <v>0</v>
      </c>
      <c r="U31" s="3">
        <f t="shared" si="33"/>
        <v>0</v>
      </c>
      <c r="V31" s="3">
        <f t="shared" si="33"/>
        <v>0</v>
      </c>
      <c r="W31" s="4">
        <f t="shared" si="33"/>
        <v>0</v>
      </c>
    </row>
    <row r="32" spans="1:32" x14ac:dyDescent="0.25">
      <c r="I32" s="17">
        <v>2</v>
      </c>
      <c r="J32" s="12">
        <f>IF(Main!$I21&gt;0,B$16,B$24)</f>
        <v>0</v>
      </c>
      <c r="K32" s="13">
        <f>IF(Main!$I21&gt;0,C$16,C$24)</f>
        <v>0</v>
      </c>
      <c r="L32" s="13">
        <f>IF(Main!$I21&gt;0,D$16,D$24)</f>
        <v>0</v>
      </c>
      <c r="M32" s="13">
        <f>IF(Main!$I21&gt;0,E$16,E$24)</f>
        <v>0</v>
      </c>
      <c r="N32" s="13">
        <f>IF(Main!$I21&gt;0,F$16,F$24)</f>
        <v>0</v>
      </c>
      <c r="O32" s="14">
        <f>IF(Main!$I21&gt;0,G$16,G$24)</f>
        <v>0</v>
      </c>
      <c r="Q32" s="17">
        <v>2</v>
      </c>
      <c r="R32" s="12">
        <f t="shared" si="33"/>
        <v>0</v>
      </c>
      <c r="S32" s="13">
        <f t="shared" si="33"/>
        <v>0</v>
      </c>
      <c r="T32" s="13">
        <f t="shared" si="33"/>
        <v>0</v>
      </c>
      <c r="U32" s="13">
        <f t="shared" si="33"/>
        <v>0</v>
      </c>
      <c r="V32" s="13">
        <f t="shared" si="33"/>
        <v>0</v>
      </c>
      <c r="W32" s="14">
        <f t="shared" si="33"/>
        <v>0</v>
      </c>
    </row>
    <row r="33" spans="9:23" x14ac:dyDescent="0.25">
      <c r="I33" s="17">
        <v>3</v>
      </c>
      <c r="J33" s="12">
        <f>IF(Main!$I22&gt;0,B$16,B$24)</f>
        <v>0</v>
      </c>
      <c r="K33" s="13">
        <f>IF(Main!$I22&gt;0,C$16,C$24)</f>
        <v>18.018000000000001</v>
      </c>
      <c r="L33" s="13">
        <f>IF(Main!$I22&gt;0,D$16,D$24)</f>
        <v>15.741</v>
      </c>
      <c r="M33" s="13">
        <f>IF(Main!$I22&gt;0,E$16,E$24)</f>
        <v>22.571999999999999</v>
      </c>
      <c r="N33" s="13">
        <f>IF(Main!$I22&gt;0,F$16,F$24)</f>
        <v>22.571999999999999</v>
      </c>
      <c r="O33" s="14">
        <f>IF(Main!$I22&gt;0,G$16,G$24)</f>
        <v>0</v>
      </c>
      <c r="Q33" s="17">
        <v>3</v>
      </c>
      <c r="R33" s="12">
        <f t="shared" si="33"/>
        <v>0</v>
      </c>
      <c r="S33" s="13">
        <f t="shared" si="33"/>
        <v>0</v>
      </c>
      <c r="T33" s="13">
        <f t="shared" si="33"/>
        <v>0</v>
      </c>
      <c r="U33" s="13">
        <f t="shared" si="33"/>
        <v>0</v>
      </c>
      <c r="V33" s="13">
        <f t="shared" si="33"/>
        <v>0</v>
      </c>
      <c r="W33" s="14">
        <f t="shared" si="33"/>
        <v>0</v>
      </c>
    </row>
    <row r="34" spans="9:23" x14ac:dyDescent="0.25">
      <c r="I34" s="17">
        <v>4</v>
      </c>
      <c r="J34" s="12">
        <f>IF(Main!$I23&gt;0,B$16,B$24)</f>
        <v>0</v>
      </c>
      <c r="K34" s="13">
        <f>IF(Main!$I23&gt;0,C$16,C$24)</f>
        <v>0</v>
      </c>
      <c r="L34" s="13">
        <f>IF(Main!$I23&gt;0,D$16,D$24)</f>
        <v>0</v>
      </c>
      <c r="M34" s="13">
        <f>IF(Main!$I23&gt;0,E$16,E$24)</f>
        <v>0</v>
      </c>
      <c r="N34" s="13">
        <f>IF(Main!$I23&gt;0,F$16,F$24)</f>
        <v>0</v>
      </c>
      <c r="O34" s="14">
        <f>IF(Main!$I23&gt;0,G$16,G$24)</f>
        <v>0</v>
      </c>
      <c r="Q34" s="17">
        <v>4</v>
      </c>
      <c r="R34" s="12">
        <f t="shared" si="33"/>
        <v>0</v>
      </c>
      <c r="S34" s="13">
        <f t="shared" si="33"/>
        <v>0</v>
      </c>
      <c r="T34" s="13">
        <f t="shared" si="33"/>
        <v>0</v>
      </c>
      <c r="U34" s="13">
        <f t="shared" si="33"/>
        <v>0</v>
      </c>
      <c r="V34" s="13">
        <f t="shared" si="33"/>
        <v>0</v>
      </c>
      <c r="W34" s="14">
        <f t="shared" si="33"/>
        <v>0</v>
      </c>
    </row>
    <row r="35" spans="9:23" x14ac:dyDescent="0.25">
      <c r="I35" s="18">
        <v>5</v>
      </c>
      <c r="J35" s="5">
        <f>IF(Main!$I24&gt;0,B$16,B$24)</f>
        <v>0</v>
      </c>
      <c r="K35" s="6">
        <f>IF(Main!$I24&gt;0,C$16,C$24)</f>
        <v>0</v>
      </c>
      <c r="L35" s="6">
        <f>IF(Main!$I24&gt;0,D$16,D$24)</f>
        <v>0</v>
      </c>
      <c r="M35" s="6">
        <f>IF(Main!$I24&gt;0,E$16,E$24)</f>
        <v>0</v>
      </c>
      <c r="N35" s="6">
        <f>IF(Main!$I24&gt;0,F$16,F$24)</f>
        <v>0</v>
      </c>
      <c r="O35" s="7">
        <f>IF(Main!$I24&gt;0,G$16,G$24)</f>
        <v>0</v>
      </c>
      <c r="Q35" s="18">
        <v>5</v>
      </c>
      <c r="R35" s="5">
        <f t="shared" si="33"/>
        <v>0</v>
      </c>
      <c r="S35" s="6">
        <f t="shared" si="33"/>
        <v>0</v>
      </c>
      <c r="T35" s="6">
        <f t="shared" si="33"/>
        <v>0</v>
      </c>
      <c r="U35" s="6">
        <f t="shared" si="33"/>
        <v>0</v>
      </c>
      <c r="V35" s="6">
        <f t="shared" si="33"/>
        <v>0</v>
      </c>
      <c r="W35" s="7">
        <f t="shared" si="33"/>
        <v>0</v>
      </c>
    </row>
    <row r="37" spans="9:23" x14ac:dyDescent="0.25">
      <c r="I37" s="15" t="s">
        <v>277</v>
      </c>
      <c r="J37" s="2" t="s">
        <v>1134</v>
      </c>
      <c r="K37" s="3" t="s">
        <v>1135</v>
      </c>
      <c r="L37" s="3" t="s">
        <v>1136</v>
      </c>
      <c r="M37" s="3" t="s">
        <v>1137</v>
      </c>
      <c r="N37" s="3" t="s">
        <v>1138</v>
      </c>
      <c r="O37" s="3" t="s">
        <v>1139</v>
      </c>
      <c r="P37" s="4" t="s">
        <v>1140</v>
      </c>
      <c r="Q37"/>
    </row>
    <row r="38" spans="9:23" x14ac:dyDescent="0.25">
      <c r="I38" s="15">
        <v>1</v>
      </c>
      <c r="J38" s="20">
        <f>INDEX('Doll Data'!$U$2:$AE$1048576,MATCH(Main!$D20,'Doll Data'!$C$2:$C$1048576,0),MATCH(J$37,'Doll Data'!$U$1:$AE$1,0))</f>
        <v>120</v>
      </c>
      <c r="K38" s="21">
        <f>INDEX('Doll Data'!$U$2:$AE$1048576,MATCH(Main!$D20,'Doll Data'!$C$2:$C$1048576,0),MATCH(K$37,'Doll Data'!$U$1:$AE$1,0))</f>
        <v>140</v>
      </c>
      <c r="L38" s="21">
        <f>INDEX('Doll Data'!$U$2:$AE$1048576,MATCH(Main!$D20,'Doll Data'!$C$2:$C$1048576,0),MATCH(L$37,'Doll Data'!$U$1:$AE$1,0))</f>
        <v>105</v>
      </c>
      <c r="M38" s="21">
        <f>INDEX('Doll Data'!$U$2:$AE$1048576,MATCH(Main!$D20,'Doll Data'!$C$2:$C$1048576,0),MATCH(M$37,'Doll Data'!$U$1:$AE$1,0))</f>
        <v>90</v>
      </c>
      <c r="N38" s="21">
        <f>INDEX('Doll Data'!$U$2:$AE$1048576,MATCH(Main!$D20,'Doll Data'!$C$2:$C$1048576,0),MATCH(N$37,'Doll Data'!$U$1:$AE$1,0))</f>
        <v>85</v>
      </c>
      <c r="O38" s="21">
        <f>INDEX('Doll Data'!$U$2:$AE$1048576,MATCH(Main!$D20,'Doll Data'!$C$2:$C$1048576,0),MATCH(O$37,'Doll Data'!$U$1:$AE$1,0))</f>
        <v>0</v>
      </c>
      <c r="P38" s="22">
        <f>INDEX('Doll Data'!$U$2:$AE$1048576,MATCH(Main!$D20,'Doll Data'!$C$2:$C$1048576,0),MATCH(P$37,'Doll Data'!$U$1:$AE$1,0))</f>
        <v>112</v>
      </c>
      <c r="Q38"/>
    </row>
    <row r="39" spans="9:23" x14ac:dyDescent="0.25">
      <c r="I39" s="17">
        <v>2</v>
      </c>
      <c r="J39" s="23">
        <f>INDEX('Doll Data'!$U$2:$AE$1048576,MATCH(Main!$D21,'Doll Data'!$C$2:$C$1048576,0),MATCH(J$37,'Doll Data'!$U$1:$AE$1,0))</f>
        <v>100</v>
      </c>
      <c r="K39" s="24">
        <f>INDEX('Doll Data'!$U$2:$AE$1048576,MATCH(Main!$D21,'Doll Data'!$C$2:$C$1048576,0),MATCH(K$37,'Doll Data'!$U$1:$AE$1,0))</f>
        <v>95</v>
      </c>
      <c r="L39" s="24">
        <f>INDEX('Doll Data'!$U$2:$AE$1048576,MATCH(Main!$D21,'Doll Data'!$C$2:$C$1048576,0),MATCH(L$37,'Doll Data'!$U$1:$AE$1,0))</f>
        <v>115</v>
      </c>
      <c r="M39" s="24">
        <f>INDEX('Doll Data'!$U$2:$AE$1048576,MATCH(Main!$D21,'Doll Data'!$C$2:$C$1048576,0),MATCH(M$37,'Doll Data'!$U$1:$AE$1,0))</f>
        <v>130</v>
      </c>
      <c r="N39" s="24">
        <f>INDEX('Doll Data'!$U$2:$AE$1048576,MATCH(Main!$D21,'Doll Data'!$C$2:$C$1048576,0),MATCH(N$37,'Doll Data'!$U$1:$AE$1,0))</f>
        <v>125</v>
      </c>
      <c r="O39" s="24">
        <f>INDEX('Doll Data'!$U$2:$AE$1048576,MATCH(Main!$D21,'Doll Data'!$C$2:$C$1048576,0),MATCH(O$37,'Doll Data'!$U$1:$AE$1,0))</f>
        <v>0</v>
      </c>
      <c r="P39" s="25">
        <f>INDEX('Doll Data'!$U$2:$AE$1048576,MATCH(Main!$D21,'Doll Data'!$C$2:$C$1048576,0),MATCH(P$37,'Doll Data'!$U$1:$AE$1,0))</f>
        <v>138</v>
      </c>
      <c r="Q39"/>
    </row>
    <row r="40" spans="9:23" x14ac:dyDescent="0.25">
      <c r="I40" s="17">
        <v>3</v>
      </c>
      <c r="J40" s="23">
        <f>INDEX('Doll Data'!$U$2:$AE$1048576,MATCH(Main!$D22,'Doll Data'!$C$2:$C$1048576,0),MATCH(J$37,'Doll Data'!$U$1:$AE$1,0))</f>
        <v>110</v>
      </c>
      <c r="K40" s="24">
        <f>INDEX('Doll Data'!$U$2:$AE$1048576,MATCH(Main!$D22,'Doll Data'!$C$2:$C$1048576,0),MATCH(K$37,'Doll Data'!$U$1:$AE$1,0))</f>
        <v>118</v>
      </c>
      <c r="L40" s="24">
        <f>INDEX('Doll Data'!$U$2:$AE$1048576,MATCH(Main!$D22,'Doll Data'!$C$2:$C$1048576,0),MATCH(L$37,'Doll Data'!$U$1:$AE$1,0))</f>
        <v>116</v>
      </c>
      <c r="M40" s="24">
        <f>INDEX('Doll Data'!$U$2:$AE$1048576,MATCH(Main!$D22,'Doll Data'!$C$2:$C$1048576,0),MATCH(M$37,'Doll Data'!$U$1:$AE$1,0))</f>
        <v>120</v>
      </c>
      <c r="N40" s="24">
        <f>INDEX('Doll Data'!$U$2:$AE$1048576,MATCH(Main!$D22,'Doll Data'!$C$2:$C$1048576,0),MATCH(N$37,'Doll Data'!$U$1:$AE$1,0))</f>
        <v>110</v>
      </c>
      <c r="O40" s="24">
        <f>INDEX('Doll Data'!$U$2:$AE$1048576,MATCH(Main!$D22,'Doll Data'!$C$2:$C$1048576,0),MATCH(O$37,'Doll Data'!$U$1:$AE$1,0))</f>
        <v>0</v>
      </c>
      <c r="P40" s="25">
        <f>INDEX('Doll Data'!$U$2:$AE$1048576,MATCH(Main!$D22,'Doll Data'!$C$2:$C$1048576,0),MATCH(P$37,'Doll Data'!$U$1:$AE$1,0))</f>
        <v>118</v>
      </c>
      <c r="Q40"/>
    </row>
    <row r="41" spans="9:23" x14ac:dyDescent="0.25">
      <c r="I41" s="17">
        <v>4</v>
      </c>
      <c r="J41" s="23">
        <f>INDEX('Doll Data'!$U$2:$AE$1048576,MATCH(Main!$D23,'Doll Data'!$C$2:$C$1048576,0),MATCH(J$37,'Doll Data'!$U$1:$AE$1,0))</f>
        <v>115</v>
      </c>
      <c r="K41" s="24">
        <f>INDEX('Doll Data'!$U$2:$AE$1048576,MATCH(Main!$D23,'Doll Data'!$C$2:$C$1048576,0),MATCH(K$37,'Doll Data'!$U$1:$AE$1,0))</f>
        <v>103</v>
      </c>
      <c r="L41" s="24">
        <f>INDEX('Doll Data'!$U$2:$AE$1048576,MATCH(Main!$D23,'Doll Data'!$C$2:$C$1048576,0),MATCH(L$37,'Doll Data'!$U$1:$AE$1,0))</f>
        <v>115</v>
      </c>
      <c r="M41" s="24">
        <f>INDEX('Doll Data'!$U$2:$AE$1048576,MATCH(Main!$D23,'Doll Data'!$C$2:$C$1048576,0),MATCH(M$37,'Doll Data'!$U$1:$AE$1,0))</f>
        <v>110</v>
      </c>
      <c r="N41" s="24">
        <f>INDEX('Doll Data'!$U$2:$AE$1048576,MATCH(Main!$D23,'Doll Data'!$C$2:$C$1048576,0),MATCH(N$37,'Doll Data'!$U$1:$AE$1,0))</f>
        <v>110</v>
      </c>
      <c r="O41" s="24">
        <f>INDEX('Doll Data'!$U$2:$AE$1048576,MATCH(Main!$D23,'Doll Data'!$C$2:$C$1048576,0),MATCH(O$37,'Doll Data'!$U$1:$AE$1,0))</f>
        <v>125</v>
      </c>
      <c r="P41" s="25">
        <f>INDEX('Doll Data'!$U$2:$AE$1048576,MATCH(Main!$D23,'Doll Data'!$C$2:$C$1048576,0),MATCH(P$37,'Doll Data'!$U$1:$AE$1,0))</f>
        <v>108</v>
      </c>
      <c r="Q41"/>
    </row>
    <row r="42" spans="9:23" x14ac:dyDescent="0.25">
      <c r="I42" s="18">
        <v>5</v>
      </c>
      <c r="J42" s="26">
        <f>INDEX('Doll Data'!$U$2:$AE$1048576,MATCH(Main!$D24,'Doll Data'!$C$2:$C$1048576,0),MATCH(J$37,'Doll Data'!$U$1:$AE$1,0))</f>
        <v>105</v>
      </c>
      <c r="K42" s="27">
        <f>INDEX('Doll Data'!$U$2:$AE$1048576,MATCH(Main!$D24,'Doll Data'!$C$2:$C$1048576,0),MATCH(K$37,'Doll Data'!$U$1:$AE$1,0))</f>
        <v>95</v>
      </c>
      <c r="L42" s="27">
        <f>INDEX('Doll Data'!$U$2:$AE$1048576,MATCH(Main!$D24,'Doll Data'!$C$2:$C$1048576,0),MATCH(L$37,'Doll Data'!$U$1:$AE$1,0))</f>
        <v>112</v>
      </c>
      <c r="M42" s="27">
        <f>INDEX('Doll Data'!$U$2:$AE$1048576,MATCH(Main!$D24,'Doll Data'!$C$2:$C$1048576,0),MATCH(M$37,'Doll Data'!$U$1:$AE$1,0))</f>
        <v>122</v>
      </c>
      <c r="N42" s="27">
        <f>INDEX('Doll Data'!$U$2:$AE$1048576,MATCH(Main!$D24,'Doll Data'!$C$2:$C$1048576,0),MATCH(N$37,'Doll Data'!$U$1:$AE$1,0))</f>
        <v>138</v>
      </c>
      <c r="O42" s="27">
        <f>INDEX('Doll Data'!$U$2:$AE$1048576,MATCH(Main!$D24,'Doll Data'!$C$2:$C$1048576,0),MATCH(O$37,'Doll Data'!$U$1:$AE$1,0))</f>
        <v>0</v>
      </c>
      <c r="P42" s="28">
        <f>INDEX('Doll Data'!$U$2:$AE$1048576,MATCH(Main!$D24,'Doll Data'!$C$2:$C$1048576,0),MATCH(P$37,'Doll Data'!$U$1:$AE$1,0))</f>
        <v>130</v>
      </c>
      <c r="Q42"/>
    </row>
  </sheetData>
  <pageMargins left="0.7" right="0.7" top="0.75" bottom="0.75" header="0.3" footer="0.3"/>
  <pageSetup orientation="portrait" horizontalDpi="0" verticalDpi="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518A7-91C7-49F8-B580-451044503C55}">
  <sheetPr codeName="Sheet22">
    <tabColor theme="9" tint="0.79998168889431442"/>
  </sheetPr>
  <dimension ref="A1:Z23"/>
  <sheetViews>
    <sheetView workbookViewId="0"/>
  </sheetViews>
  <sheetFormatPr defaultRowHeight="15" x14ac:dyDescent="0.25"/>
  <cols>
    <col min="1" max="1" width="12.85546875" bestFit="1" customWidth="1"/>
    <col min="9" max="9" width="9.140625" style="16"/>
    <col min="11" max="11" width="9.85546875" bestFit="1" customWidth="1"/>
    <col min="12" max="12" width="10.140625" bestFit="1" customWidth="1"/>
    <col min="13" max="13" width="10.28515625" bestFit="1" customWidth="1"/>
    <col min="15" max="15" width="10.5703125" bestFit="1" customWidth="1"/>
    <col min="18" max="18" width="11.7109375" bestFit="1" customWidth="1"/>
    <col min="20" max="20" width="10.5703125" bestFit="1" customWidth="1"/>
    <col min="21" max="21" width="11.5703125" bestFit="1" customWidth="1"/>
    <col min="22" max="22" width="13.5703125" bestFit="1" customWidth="1"/>
  </cols>
  <sheetData>
    <row r="1" spans="1:26" x14ac:dyDescent="0.25">
      <c r="A1" s="10" t="s">
        <v>1090</v>
      </c>
      <c r="I1" s="10" t="s">
        <v>1084</v>
      </c>
      <c r="J1" s="139"/>
      <c r="K1" s="140"/>
      <c r="L1" s="140"/>
      <c r="M1" s="140"/>
      <c r="N1" s="140"/>
      <c r="O1" s="140"/>
      <c r="P1" s="140"/>
      <c r="Q1" s="140"/>
      <c r="R1" s="140"/>
      <c r="S1" s="140"/>
      <c r="T1" s="140"/>
      <c r="U1" s="140"/>
      <c r="V1" s="140"/>
      <c r="W1" s="140"/>
      <c r="X1" s="140"/>
      <c r="Y1" s="140"/>
      <c r="Z1" s="140"/>
    </row>
    <row r="2" spans="1:26" x14ac:dyDescent="0.25">
      <c r="A2" s="59" t="s">
        <v>1083</v>
      </c>
      <c r="B2" s="60" t="s">
        <v>9</v>
      </c>
      <c r="C2" s="63" t="s">
        <v>10</v>
      </c>
      <c r="D2" s="63" t="s">
        <v>11</v>
      </c>
      <c r="E2" s="63" t="s">
        <v>12</v>
      </c>
      <c r="F2" s="63" t="s">
        <v>13</v>
      </c>
      <c r="G2" s="64" t="s">
        <v>14</v>
      </c>
      <c r="I2" s="141" t="s">
        <v>1050</v>
      </c>
      <c r="J2" s="60" t="s">
        <v>18</v>
      </c>
      <c r="K2" s="63" t="s">
        <v>1058</v>
      </c>
      <c r="L2" s="63" t="s">
        <v>1059</v>
      </c>
      <c r="M2" s="63" t="s">
        <v>1792</v>
      </c>
      <c r="N2" s="63" t="s">
        <v>1054</v>
      </c>
      <c r="O2" s="60" t="s">
        <v>1052</v>
      </c>
      <c r="P2" s="63" t="s">
        <v>1054</v>
      </c>
      <c r="Q2" s="63" t="s">
        <v>1086</v>
      </c>
      <c r="R2" s="63" t="s">
        <v>1087</v>
      </c>
      <c r="S2" s="63" t="s">
        <v>1085</v>
      </c>
      <c r="T2" s="63" t="s">
        <v>1118</v>
      </c>
      <c r="U2" s="63" t="s">
        <v>1120</v>
      </c>
      <c r="V2" s="64" t="s">
        <v>1119</v>
      </c>
      <c r="W2" s="140"/>
      <c r="X2" s="101" t="s">
        <v>1121</v>
      </c>
      <c r="Y2" s="140"/>
      <c r="Z2" s="140"/>
    </row>
    <row r="3" spans="1:26" x14ac:dyDescent="0.25">
      <c r="A3" s="60" t="s">
        <v>1065</v>
      </c>
      <c r="B3" s="114">
        <v>3.6</v>
      </c>
      <c r="C3" s="115">
        <v>2.76</v>
      </c>
      <c r="D3" s="115">
        <v>0.42</v>
      </c>
      <c r="E3" s="115">
        <v>0.42</v>
      </c>
      <c r="F3" s="115">
        <v>0.56999999999999995</v>
      </c>
      <c r="G3" s="116">
        <v>0.14000000000000001</v>
      </c>
      <c r="I3" s="141">
        <v>1</v>
      </c>
      <c r="J3" s="68">
        <f>Main!D40</f>
        <v>90</v>
      </c>
      <c r="K3" s="69">
        <f>Main!B40</f>
        <v>3</v>
      </c>
      <c r="L3" s="69">
        <f>Main!E40</f>
        <v>5</v>
      </c>
      <c r="M3" s="69">
        <f>Main!F40</f>
        <v>0</v>
      </c>
      <c r="N3" s="69" t="str">
        <f>IF(Main!B40=3,"BOSS",Main!G40)</f>
        <v>BOSS</v>
      </c>
      <c r="O3" s="68">
        <f>(INDEX('SF Data'!$M:$M,MATCH(Main!C40,'SF Data'!$C:$C,0))&amp;"0"&amp;M3)*1</f>
        <v>10300</v>
      </c>
      <c r="P3" s="69">
        <f>IF(N3="BOSS",100,INDEX($B$8:$G$8,MATCH(N3,$B$7:$G$7,0))*INDEX('SF Data'!AN:AN,MATCH(Main!C40,'SF Data'!C:C,0))/100)</f>
        <v>100</v>
      </c>
      <c r="Q3" s="69">
        <f>INDEX('SF Data'!AE:AE,MATCH(Main!C40,'SF Data'!C:C,0))</f>
        <v>100</v>
      </c>
      <c r="R3" s="69">
        <f>INDEX($B$11:$B$15,MATCH(MAX(K3,L3),$A$11:$A$15,0))</f>
        <v>120</v>
      </c>
      <c r="S3" s="69">
        <f>INDEX($B$3:$B$5,Main!$B40)</f>
        <v>4.79</v>
      </c>
      <c r="T3" s="69">
        <f>INDEX('SF Resolution'!F:F,MATCH(O3,'SF Resolution'!A:A,0))</f>
        <v>1</v>
      </c>
      <c r="U3" s="69">
        <f>INDEX('SF Data'!L:L,MATCH(Main!C40,'SF Data'!C:C,0))</f>
        <v>1</v>
      </c>
      <c r="V3" s="70">
        <f>INDEX('SF Resolution'!G:G,MATCH(O3,'SF Resolution'!A:A,0))</f>
        <v>348</v>
      </c>
      <c r="X3" s="137">
        <f t="shared" ref="X3:X11" si="0">_xlfn.CEILING.MATH(P3*Q3*R3*(J3+40-1)*S3*T3/U3/1000000,1)+V3*T3</f>
        <v>1090</v>
      </c>
      <c r="Y3" s="140"/>
      <c r="Z3" s="140"/>
    </row>
    <row r="4" spans="1:26" x14ac:dyDescent="0.25">
      <c r="A4" s="61" t="s">
        <v>1064</v>
      </c>
      <c r="B4" s="117">
        <v>3.84</v>
      </c>
      <c r="C4" s="118">
        <v>2.94</v>
      </c>
      <c r="D4" s="118">
        <v>0.42</v>
      </c>
      <c r="E4" s="118">
        <v>0.44</v>
      </c>
      <c r="F4" s="118">
        <v>0.6</v>
      </c>
      <c r="G4" s="119">
        <v>0.15</v>
      </c>
      <c r="I4" s="142">
        <f>I3+1</f>
        <v>2</v>
      </c>
      <c r="J4" s="75">
        <f>Main!D41</f>
        <v>90</v>
      </c>
      <c r="K4" s="76">
        <f>Main!B41</f>
        <v>2</v>
      </c>
      <c r="L4" s="76">
        <f>Main!E41</f>
        <v>5</v>
      </c>
      <c r="M4" s="76">
        <f>Main!F41</f>
        <v>4</v>
      </c>
      <c r="N4" s="76" t="str">
        <f>IF(Main!B41=3,"BOSS",Main!G41)</f>
        <v>L</v>
      </c>
      <c r="O4" s="75">
        <f>(INDEX('SF Data'!$M:$M,MATCH(Main!C41,'SF Data'!$C:$C,0))&amp;"0"&amp;M4)*1</f>
        <v>20604</v>
      </c>
      <c r="P4" s="76">
        <f>IF(N4="BOSS",100,INDEX($B$8:$G$8,MATCH(N4,$B$7:$G$7,0))*INDEX('SF Data'!AN:AN,MATCH(Main!C41,'SF Data'!C:C,0))/100)</f>
        <v>81</v>
      </c>
      <c r="Q4" s="76">
        <f>INDEX('SF Data'!AE:AE,MATCH(Main!C41,'SF Data'!C:C,0))</f>
        <v>165</v>
      </c>
      <c r="R4" s="76">
        <f>INDEX($B$11:$B$15,MATCH(MAX(K4,L4),$A$11:$A$15,0))</f>
        <v>120</v>
      </c>
      <c r="S4" s="76">
        <f>INDEX($B$3:$B$5,Main!$B41)</f>
        <v>3.84</v>
      </c>
      <c r="T4" s="76">
        <f>INDEX('SF Resolution'!F:F,MATCH(O4,'SF Resolution'!A:A,0))</f>
        <v>1</v>
      </c>
      <c r="U4" s="76">
        <f>INDEX('SF Data'!L:L,MATCH(Main!C41,'SF Data'!C:C,0))</f>
        <v>1</v>
      </c>
      <c r="V4" s="77">
        <f>INDEX('SF Resolution'!G:G,MATCH(O4,'SF Resolution'!A:A,0))</f>
        <v>732</v>
      </c>
      <c r="X4" s="137">
        <f t="shared" si="0"/>
        <v>1527</v>
      </c>
      <c r="Y4" s="140"/>
      <c r="Z4" s="140"/>
    </row>
    <row r="5" spans="1:26" x14ac:dyDescent="0.25">
      <c r="A5" s="62" t="s">
        <v>1063</v>
      </c>
      <c r="B5" s="120">
        <v>4.79</v>
      </c>
      <c r="C5" s="121">
        <v>3.67</v>
      </c>
      <c r="D5" s="121">
        <v>0.46</v>
      </c>
      <c r="E5" s="121">
        <v>0.55000000000000004</v>
      </c>
      <c r="F5" s="121">
        <v>0.75</v>
      </c>
      <c r="G5" s="122">
        <v>0.18</v>
      </c>
      <c r="I5" s="142">
        <f t="shared" ref="I5:I11" si="1">I4+1</f>
        <v>3</v>
      </c>
      <c r="J5" s="75">
        <f>Main!D42</f>
        <v>90</v>
      </c>
      <c r="K5" s="76">
        <f>Main!B42</f>
        <v>2</v>
      </c>
      <c r="L5" s="76">
        <f>Main!E42</f>
        <v>5</v>
      </c>
      <c r="M5" s="76">
        <f>Main!F42</f>
        <v>4</v>
      </c>
      <c r="N5" s="76" t="str">
        <f>IF(Main!B42=3,"BOSS",Main!G42)</f>
        <v>L</v>
      </c>
      <c r="O5" s="75">
        <f>(INDEX('SF Data'!$M:$M,MATCH(Main!C42,'SF Data'!$C:$C,0))&amp;"0"&amp;M5)*1</f>
        <v>20404</v>
      </c>
      <c r="P5" s="76">
        <f>IF(N5="BOSS",100,INDEX($B$8:$G$8,MATCH(N5,$B$7:$G$7,0))*INDEX('SF Data'!AN:AN,MATCH(Main!C42,'SF Data'!C:C,0))/100)</f>
        <v>102.6</v>
      </c>
      <c r="Q5" s="76">
        <f>INDEX('SF Data'!AE:AE,MATCH(Main!C42,'SF Data'!C:C,0))</f>
        <v>98</v>
      </c>
      <c r="R5" s="76">
        <f t="shared" ref="R5:R11" si="2">INDEX($B$11:$B$15,MATCH(MAX(K5,L5),$A$11:$A$15,0))</f>
        <v>120</v>
      </c>
      <c r="S5" s="76">
        <f>INDEX($B$3:$B$5,Main!$B42)</f>
        <v>3.84</v>
      </c>
      <c r="T5" s="76">
        <f>INDEX('SF Resolution'!F:F,MATCH(O5,'SF Resolution'!A:A,0))</f>
        <v>5</v>
      </c>
      <c r="U5" s="76">
        <f>INDEX('SF Data'!L:L,MATCH(Main!C42,'SF Data'!C:C,0))</f>
        <v>5</v>
      </c>
      <c r="V5" s="77">
        <f>INDEX('SF Resolution'!G:G,MATCH(O5,'SF Resolution'!A:A,0))</f>
        <v>64</v>
      </c>
      <c r="X5" s="137">
        <f t="shared" si="0"/>
        <v>918</v>
      </c>
      <c r="Y5" s="140"/>
      <c r="Z5" s="140"/>
    </row>
    <row r="6" spans="1:26" x14ac:dyDescent="0.25">
      <c r="I6" s="142">
        <f t="shared" si="1"/>
        <v>4</v>
      </c>
      <c r="J6" s="75">
        <f>Main!D43</f>
        <v>90</v>
      </c>
      <c r="K6" s="76">
        <f>Main!B43</f>
        <v>2</v>
      </c>
      <c r="L6" s="76">
        <f>Main!E43</f>
        <v>5</v>
      </c>
      <c r="M6" s="76">
        <f>Main!F43</f>
        <v>4</v>
      </c>
      <c r="N6" s="76" t="str">
        <f>IF(Main!B43=3,"BOSS",Main!G43)</f>
        <v>L</v>
      </c>
      <c r="O6" s="75">
        <f>(INDEX('SF Data'!$M:$M,MATCH(Main!C43,'SF Data'!$C:$C,0))&amp;"0"&amp;M6)*1</f>
        <v>20904</v>
      </c>
      <c r="P6" s="76">
        <f>IF(N6="BOSS",100,INDEX($B$8:$G$8,MATCH(N6,$B$7:$G$7,0))*INDEX('SF Data'!AN:AN,MATCH(Main!C43,'SF Data'!C:C,0))/100)</f>
        <v>102.6</v>
      </c>
      <c r="Q6" s="76">
        <f>INDEX('SF Data'!AE:AE,MATCH(Main!C43,'SF Data'!C:C,0))</f>
        <v>115</v>
      </c>
      <c r="R6" s="76">
        <f t="shared" si="2"/>
        <v>120</v>
      </c>
      <c r="S6" s="76">
        <f>INDEX($B$3:$B$5,Main!$B43)</f>
        <v>3.84</v>
      </c>
      <c r="T6" s="76">
        <f>INDEX('SF Resolution'!F:F,MATCH(O6,'SF Resolution'!A:A,0))</f>
        <v>5</v>
      </c>
      <c r="U6" s="76">
        <f>INDEX('SF Data'!L:L,MATCH(Main!C43,'SF Data'!C:C,0))</f>
        <v>5</v>
      </c>
      <c r="V6" s="77">
        <f>INDEX('SF Resolution'!G:G,MATCH(O6,'SF Resolution'!A:A,0))</f>
        <v>67</v>
      </c>
      <c r="X6" s="137">
        <f t="shared" si="0"/>
        <v>1037</v>
      </c>
      <c r="Y6" s="140"/>
      <c r="Z6" s="140"/>
    </row>
    <row r="7" spans="1:26" x14ac:dyDescent="0.25">
      <c r="A7" s="234" t="s">
        <v>1066</v>
      </c>
      <c r="B7" s="60" t="s">
        <v>1089</v>
      </c>
      <c r="C7" s="63" t="s">
        <v>1067</v>
      </c>
      <c r="D7" s="63" t="s">
        <v>1068</v>
      </c>
      <c r="E7" s="63" t="s">
        <v>1069</v>
      </c>
      <c r="F7" s="63" t="s">
        <v>1053</v>
      </c>
      <c r="G7" s="64" t="s">
        <v>1063</v>
      </c>
      <c r="I7" s="142">
        <f t="shared" si="1"/>
        <v>5</v>
      </c>
      <c r="J7" s="75">
        <f>Main!D44</f>
        <v>90</v>
      </c>
      <c r="K7" s="76">
        <f>Main!B44</f>
        <v>1</v>
      </c>
      <c r="L7" s="76">
        <f>Main!E44</f>
        <v>5</v>
      </c>
      <c r="M7" s="76">
        <f>Main!F44</f>
        <v>4</v>
      </c>
      <c r="N7" s="76" t="str">
        <f>IF(Main!B44=3,"BOSS",Main!G44)</f>
        <v>XL</v>
      </c>
      <c r="O7" s="75">
        <f>(INDEX('SF Data'!$M:$M,MATCH(Main!C44,'SF Data'!$C:$C,0))&amp;"0"&amp;M7)*1</f>
        <v>30404</v>
      </c>
      <c r="P7" s="76">
        <f>IF(N7="BOSS",100,INDEX($B$8:$G$8,MATCH(N7,$B$7:$G$7,0))*INDEX('SF Data'!AN:AN,MATCH(Main!C44,'SF Data'!C:C,0))/100)</f>
        <v>104.50000000000001</v>
      </c>
      <c r="Q7" s="76">
        <f>INDEX('SF Data'!AE:AE,MATCH(Main!C44,'SF Data'!C:C,0))</f>
        <v>65</v>
      </c>
      <c r="R7" s="76">
        <f t="shared" si="2"/>
        <v>120</v>
      </c>
      <c r="S7" s="76">
        <f>INDEX($B$3:$B$5,Main!$B44)</f>
        <v>3.6</v>
      </c>
      <c r="T7" s="76">
        <f>INDEX('SF Resolution'!F:F,MATCH(O7,'SF Resolution'!A:A,0))</f>
        <v>5</v>
      </c>
      <c r="U7" s="76">
        <f>INDEX('SF Data'!L:L,MATCH(Main!C44,'SF Data'!C:C,0))</f>
        <v>5</v>
      </c>
      <c r="V7" s="77">
        <f>INDEX('SF Resolution'!G:G,MATCH(O7,'SF Resolution'!A:A,0))</f>
        <v>38</v>
      </c>
      <c r="X7" s="137">
        <f t="shared" si="0"/>
        <v>569</v>
      </c>
      <c r="Y7" s="140"/>
      <c r="Z7" s="140"/>
    </row>
    <row r="8" spans="1:26" x14ac:dyDescent="0.25">
      <c r="A8" s="238"/>
      <c r="B8" s="144">
        <v>100</v>
      </c>
      <c r="C8" s="145">
        <v>102</v>
      </c>
      <c r="D8" s="145">
        <v>105</v>
      </c>
      <c r="E8" s="145">
        <v>108</v>
      </c>
      <c r="F8" s="145">
        <v>110.00000000000001</v>
      </c>
      <c r="G8" s="146">
        <v>100</v>
      </c>
      <c r="I8" s="142">
        <f t="shared" si="1"/>
        <v>6</v>
      </c>
      <c r="J8" s="75">
        <f>Main!D45</f>
        <v>0</v>
      </c>
      <c r="K8" s="76" t="str">
        <f>Main!B45</f>
        <v/>
      </c>
      <c r="L8" s="76">
        <f>Main!E45</f>
        <v>0</v>
      </c>
      <c r="M8" s="76">
        <f>Main!F45</f>
        <v>0</v>
      </c>
      <c r="N8" s="76">
        <f>IF(Main!B45=3,"BOSS",Main!G45)</f>
        <v>0</v>
      </c>
      <c r="O8" s="75" t="e">
        <f>(INDEX('SF Data'!$M:$M,MATCH(Main!C45,'SF Data'!$C:$C,0))&amp;"0"&amp;M8)*1</f>
        <v>#N/A</v>
      </c>
      <c r="P8" s="76" t="e">
        <f>IF(N8="BOSS",100,INDEX($B$8:$G$8,MATCH(N8,$B$7:$G$7,0))*INDEX('SF Data'!AN:AN,MATCH(Main!C45,'SF Data'!C:C,0))/100)</f>
        <v>#N/A</v>
      </c>
      <c r="Q8" s="76" t="e">
        <f>INDEX('SF Data'!AE:AE,MATCH(Main!C45,'SF Data'!C:C,0))</f>
        <v>#N/A</v>
      </c>
      <c r="R8" s="76" t="e">
        <f t="shared" si="2"/>
        <v>#N/A</v>
      </c>
      <c r="S8" s="76" t="e">
        <f>INDEX($B$3:$B$5,Main!$B45)</f>
        <v>#VALUE!</v>
      </c>
      <c r="T8" s="76" t="e">
        <f>INDEX('SF Resolution'!F:F,MATCH(O8,'SF Resolution'!A:A,0))</f>
        <v>#N/A</v>
      </c>
      <c r="U8" s="76" t="e">
        <f>INDEX('SF Data'!L:L,MATCH(Main!C45,'SF Data'!C:C,0))</f>
        <v>#N/A</v>
      </c>
      <c r="V8" s="77" t="e">
        <f>INDEX('SF Resolution'!G:G,MATCH(O8,'SF Resolution'!A:A,0))</f>
        <v>#N/A</v>
      </c>
      <c r="X8" s="137" t="e">
        <f t="shared" si="0"/>
        <v>#N/A</v>
      </c>
      <c r="Y8" s="140"/>
      <c r="Z8" s="140"/>
    </row>
    <row r="9" spans="1:26" x14ac:dyDescent="0.25">
      <c r="I9" s="142">
        <f t="shared" si="1"/>
        <v>7</v>
      </c>
      <c r="J9" s="75">
        <f>Main!D46</f>
        <v>0</v>
      </c>
      <c r="K9" s="76" t="str">
        <f>Main!B46</f>
        <v/>
      </c>
      <c r="L9" s="76">
        <f>Main!E46</f>
        <v>0</v>
      </c>
      <c r="M9" s="76">
        <f>Main!F46</f>
        <v>0</v>
      </c>
      <c r="N9" s="76">
        <f>IF(Main!B46=3,"BOSS",Main!G46)</f>
        <v>0</v>
      </c>
      <c r="O9" s="75" t="e">
        <f>(INDEX('SF Data'!$M:$M,MATCH(Main!C46,'SF Data'!$C:$C,0))&amp;"0"&amp;M9)*1</f>
        <v>#N/A</v>
      </c>
      <c r="P9" s="76" t="e">
        <f>IF(N9="BOSS",100,INDEX($B$8:$G$8,MATCH(N9,$B$7:$G$7,0))*INDEX('SF Data'!AN:AN,MATCH(Main!C46,'SF Data'!C:C,0))/100)</f>
        <v>#N/A</v>
      </c>
      <c r="Q9" s="76" t="e">
        <f>INDEX('SF Data'!AE:AE,MATCH(Main!C46,'SF Data'!C:C,0))</f>
        <v>#N/A</v>
      </c>
      <c r="R9" s="76" t="e">
        <f t="shared" si="2"/>
        <v>#N/A</v>
      </c>
      <c r="S9" s="76" t="e">
        <f>INDEX($B$3:$B$5,Main!$B46)</f>
        <v>#VALUE!</v>
      </c>
      <c r="T9" s="76" t="e">
        <f>INDEX('SF Resolution'!F:F,MATCH(O9,'SF Resolution'!A:A,0))</f>
        <v>#N/A</v>
      </c>
      <c r="U9" s="76" t="e">
        <f>INDEX('SF Data'!L:L,MATCH(Main!C46,'SF Data'!C:C,0))</f>
        <v>#N/A</v>
      </c>
      <c r="V9" s="77" t="e">
        <f>INDEX('SF Resolution'!G:G,MATCH(O9,'SF Resolution'!A:A,0))</f>
        <v>#N/A</v>
      </c>
      <c r="X9" s="137" t="e">
        <f t="shared" si="0"/>
        <v>#N/A</v>
      </c>
      <c r="Y9" s="140"/>
      <c r="Z9" s="140"/>
    </row>
    <row r="10" spans="1:26" x14ac:dyDescent="0.25">
      <c r="A10" s="59" t="s">
        <v>1088</v>
      </c>
      <c r="B10" s="60" t="s">
        <v>9</v>
      </c>
      <c r="C10" s="63" t="s">
        <v>10</v>
      </c>
      <c r="D10" s="63" t="s">
        <v>11</v>
      </c>
      <c r="E10" s="63" t="s">
        <v>12</v>
      </c>
      <c r="F10" s="63" t="s">
        <v>13</v>
      </c>
      <c r="G10" s="64" t="s">
        <v>14</v>
      </c>
      <c r="I10" s="142">
        <f t="shared" si="1"/>
        <v>8</v>
      </c>
      <c r="J10" s="75">
        <f>Main!D47</f>
        <v>0</v>
      </c>
      <c r="K10" s="76" t="str">
        <f>Main!B47</f>
        <v/>
      </c>
      <c r="L10" s="76">
        <f>Main!E47</f>
        <v>0</v>
      </c>
      <c r="M10" s="76">
        <f>Main!F47</f>
        <v>0</v>
      </c>
      <c r="N10" s="76">
        <f>IF(Main!B47=3,"BOSS",Main!G47)</f>
        <v>0</v>
      </c>
      <c r="O10" s="75" t="e">
        <f>(INDEX('SF Data'!$M:$M,MATCH(Main!C47,'SF Data'!$C:$C,0))&amp;"0"&amp;M10)*1</f>
        <v>#N/A</v>
      </c>
      <c r="P10" s="76" t="e">
        <f>IF(N10="BOSS",100,INDEX($B$8:$G$8,MATCH(N10,$B$7:$G$7,0))*INDEX('SF Data'!AN:AN,MATCH(Main!C47,'SF Data'!C:C,0))/100)</f>
        <v>#N/A</v>
      </c>
      <c r="Q10" s="76" t="e">
        <f>INDEX('SF Data'!AE:AE,MATCH(Main!C47,'SF Data'!C:C,0))</f>
        <v>#N/A</v>
      </c>
      <c r="R10" s="76" t="e">
        <f t="shared" si="2"/>
        <v>#N/A</v>
      </c>
      <c r="S10" s="76" t="e">
        <f>INDEX($B$3:$B$5,Main!$B47)</f>
        <v>#VALUE!</v>
      </c>
      <c r="T10" s="76" t="e">
        <f>INDEX('SF Resolution'!F:F,MATCH(O10,'SF Resolution'!A:A,0))</f>
        <v>#N/A</v>
      </c>
      <c r="U10" s="76" t="e">
        <f>INDEX('SF Data'!L:L,MATCH(Main!C47,'SF Data'!C:C,0))</f>
        <v>#N/A</v>
      </c>
      <c r="V10" s="77" t="e">
        <f>INDEX('SF Resolution'!G:G,MATCH(O10,'SF Resolution'!A:A,0))</f>
        <v>#N/A</v>
      </c>
      <c r="X10" s="137" t="e">
        <f t="shared" si="0"/>
        <v>#N/A</v>
      </c>
      <c r="Y10" s="140"/>
      <c r="Z10" s="140"/>
    </row>
    <row r="11" spans="1:26" x14ac:dyDescent="0.25">
      <c r="A11" s="60">
        <v>1</v>
      </c>
      <c r="B11" s="105">
        <v>80</v>
      </c>
      <c r="C11" s="106">
        <v>80</v>
      </c>
      <c r="D11" s="106">
        <v>80</v>
      </c>
      <c r="E11" s="106">
        <v>80</v>
      </c>
      <c r="F11" s="106">
        <v>80</v>
      </c>
      <c r="G11" s="107">
        <v>80</v>
      </c>
      <c r="I11" s="143">
        <f t="shared" si="1"/>
        <v>9</v>
      </c>
      <c r="J11" s="82">
        <f>Main!D48</f>
        <v>0</v>
      </c>
      <c r="K11" s="83" t="str">
        <f>Main!B48</f>
        <v/>
      </c>
      <c r="L11" s="83">
        <f>Main!E48</f>
        <v>0</v>
      </c>
      <c r="M11" s="83">
        <f>Main!F48</f>
        <v>0</v>
      </c>
      <c r="N11" s="83">
        <f>IF(Main!B48=3,"BOSS",Main!G48)</f>
        <v>0</v>
      </c>
      <c r="O11" s="82" t="e">
        <f>(INDEX('SF Data'!$M:$M,MATCH(Main!C48,'SF Data'!$C:$C,0))&amp;"0"&amp;M11)*1</f>
        <v>#N/A</v>
      </c>
      <c r="P11" s="83" t="e">
        <f>IF(N11="BOSS",100,INDEX($B$8:$G$8,MATCH(N11,$B$7:$G$7,0))*INDEX('SF Data'!AN:AN,MATCH(Main!C48,'SF Data'!C:C,0))/100)</f>
        <v>#N/A</v>
      </c>
      <c r="Q11" s="83" t="e">
        <f>INDEX('SF Data'!AE:AE,MATCH(Main!C48,'SF Data'!C:C,0))</f>
        <v>#N/A</v>
      </c>
      <c r="R11" s="83" t="e">
        <f t="shared" si="2"/>
        <v>#N/A</v>
      </c>
      <c r="S11" s="83" t="e">
        <f>INDEX($B$3:$B$5,Main!$B48)</f>
        <v>#VALUE!</v>
      </c>
      <c r="T11" s="83" t="e">
        <f>INDEX('SF Resolution'!F:F,MATCH(O11,'SF Resolution'!A:A,0))</f>
        <v>#N/A</v>
      </c>
      <c r="U11" s="83" t="e">
        <f>INDEX('SF Data'!L:L,MATCH(Main!C48,'SF Data'!C:C,0))</f>
        <v>#N/A</v>
      </c>
      <c r="V11" s="84" t="e">
        <f>INDEX('SF Resolution'!G:G,MATCH(O11,'SF Resolution'!A:A,0))</f>
        <v>#N/A</v>
      </c>
      <c r="X11" s="138" t="e">
        <f t="shared" si="0"/>
        <v>#N/A</v>
      </c>
      <c r="Y11" s="140"/>
      <c r="Z11" s="140"/>
    </row>
    <row r="12" spans="1:26" x14ac:dyDescent="0.25">
      <c r="A12" s="61">
        <v>2</v>
      </c>
      <c r="B12" s="108">
        <v>90</v>
      </c>
      <c r="C12" s="109">
        <v>90</v>
      </c>
      <c r="D12" s="109">
        <v>90</v>
      </c>
      <c r="E12" s="109">
        <v>90</v>
      </c>
      <c r="F12" s="109">
        <v>90</v>
      </c>
      <c r="G12" s="110">
        <v>90</v>
      </c>
      <c r="I12" s="141">
        <v>10</v>
      </c>
      <c r="J12" s="68">
        <f>Main!D67</f>
        <v>100</v>
      </c>
      <c r="K12" s="69">
        <v>3</v>
      </c>
      <c r="L12" s="69">
        <f>Main!E67</f>
        <v>5</v>
      </c>
      <c r="M12" s="69">
        <f>Main!F67</f>
        <v>4</v>
      </c>
      <c r="N12" s="69" t="s">
        <v>1063</v>
      </c>
      <c r="O12" s="68">
        <f>(INDEX('SF Data'!$M:$M,MATCH(Main!C67,'SF Data'!$C:$C,0))&amp;"0"&amp;M12)*1</f>
        <v>10604</v>
      </c>
      <c r="P12" s="69">
        <v>100</v>
      </c>
      <c r="Q12" s="69">
        <f>INDEX('SF Data'!AE:AE,MATCH(Main!C67,'SF Data'!C:C,0))</f>
        <v>110</v>
      </c>
      <c r="R12" s="69">
        <f t="shared" ref="R12:R16" si="3">INDEX($B$11:$B$15,MATCH(MAX(K12,L12),$A$11:$A$15,0))</f>
        <v>120</v>
      </c>
      <c r="S12" s="69">
        <f>INDEX($B$3:$B$5,3)</f>
        <v>4.79</v>
      </c>
      <c r="T12" s="69">
        <f>INDEX('SF Resolution'!F:F,MATCH(O12,'SF Resolution'!A:A,0))</f>
        <v>1</v>
      </c>
      <c r="U12" s="69">
        <f>INDEX('SF Data'!L:L,MATCH(Main!C67,'SF Data'!C:C,0))</f>
        <v>1</v>
      </c>
      <c r="V12" s="70">
        <f>INDEX('SF Resolution'!G:G,MATCH(O12,'SF Resolution'!A:A,0))</f>
        <v>384</v>
      </c>
      <c r="X12" s="215">
        <f t="shared" ref="X12:X16" si="4">_xlfn.CEILING.MATH(P12*Q12*R12*(J12+40-1)*S12*T12/U12/1000000,1)+V12*T12</f>
        <v>1263</v>
      </c>
      <c r="Y12" s="140"/>
      <c r="Z12" s="140"/>
    </row>
    <row r="13" spans="1:26" x14ac:dyDescent="0.25">
      <c r="A13" s="61">
        <v>3</v>
      </c>
      <c r="B13" s="108">
        <v>100</v>
      </c>
      <c r="C13" s="109">
        <v>100</v>
      </c>
      <c r="D13" s="109">
        <v>100</v>
      </c>
      <c r="E13" s="109">
        <v>100</v>
      </c>
      <c r="F13" s="109">
        <v>100</v>
      </c>
      <c r="G13" s="110">
        <v>100</v>
      </c>
      <c r="I13" s="142">
        <v>11</v>
      </c>
      <c r="J13" s="75">
        <f>Main!D68</f>
        <v>100</v>
      </c>
      <c r="K13" s="76">
        <v>3</v>
      </c>
      <c r="L13" s="76">
        <f>Main!E68</f>
        <v>5</v>
      </c>
      <c r="M13" s="76">
        <f>Main!F68</f>
        <v>4</v>
      </c>
      <c r="N13" s="76" t="s">
        <v>1063</v>
      </c>
      <c r="O13" s="75">
        <f>(INDEX('SF Data'!$M:$M,MATCH(Main!C68,'SF Data'!$C:$C,0))&amp;"0"&amp;M13)*1</f>
        <v>10504</v>
      </c>
      <c r="P13" s="76">
        <v>100</v>
      </c>
      <c r="Q13" s="76">
        <f>INDEX('SF Data'!AE:AE,MATCH(Main!C68,'SF Data'!C:C,0))</f>
        <v>110</v>
      </c>
      <c r="R13" s="76">
        <f t="shared" si="3"/>
        <v>120</v>
      </c>
      <c r="S13" s="76">
        <f t="shared" ref="S13:S16" si="5">INDEX($B$3:$B$5,3)</f>
        <v>4.79</v>
      </c>
      <c r="T13" s="76">
        <f>INDEX('SF Resolution'!F:F,MATCH(O13,'SF Resolution'!A:A,0))</f>
        <v>1</v>
      </c>
      <c r="U13" s="76">
        <f>INDEX('SF Data'!L:L,MATCH(Main!C68,'SF Data'!C:C,0))</f>
        <v>1</v>
      </c>
      <c r="V13" s="77">
        <f>INDEX('SF Resolution'!G:G,MATCH(O13,'SF Resolution'!A:A,0))</f>
        <v>384</v>
      </c>
      <c r="X13" s="137">
        <f t="shared" si="4"/>
        <v>1263</v>
      </c>
      <c r="Y13" s="140"/>
      <c r="Z13" s="140"/>
    </row>
    <row r="14" spans="1:26" x14ac:dyDescent="0.25">
      <c r="A14" s="61">
        <v>4</v>
      </c>
      <c r="B14" s="108">
        <v>110</v>
      </c>
      <c r="C14" s="109">
        <v>110</v>
      </c>
      <c r="D14" s="109">
        <v>110</v>
      </c>
      <c r="E14" s="109">
        <v>110</v>
      </c>
      <c r="F14" s="109">
        <v>110</v>
      </c>
      <c r="G14" s="110">
        <v>110</v>
      </c>
      <c r="I14" s="142">
        <v>12</v>
      </c>
      <c r="J14" s="75">
        <f>Main!D69</f>
        <v>100</v>
      </c>
      <c r="K14" s="76">
        <v>3</v>
      </c>
      <c r="L14" s="76">
        <f>Main!E69</f>
        <v>5</v>
      </c>
      <c r="M14" s="76">
        <f>Main!F69</f>
        <v>4</v>
      </c>
      <c r="N14" s="76" t="s">
        <v>1063</v>
      </c>
      <c r="O14" s="75">
        <f>(INDEX('SF Data'!$M:$M,MATCH(Main!C69,'SF Data'!$C:$C,0))&amp;"0"&amp;M14)*1</f>
        <v>10904</v>
      </c>
      <c r="P14" s="76">
        <v>100</v>
      </c>
      <c r="Q14" s="76">
        <f>INDEX('SF Data'!AE:AE,MATCH(Main!C69,'SF Data'!C:C,0))</f>
        <v>95</v>
      </c>
      <c r="R14" s="76">
        <f t="shared" si="3"/>
        <v>120</v>
      </c>
      <c r="S14" s="76">
        <f t="shared" si="5"/>
        <v>4.79</v>
      </c>
      <c r="T14" s="76">
        <f>INDEX('SF Resolution'!F:F,MATCH(O14,'SF Resolution'!A:A,0))</f>
        <v>1</v>
      </c>
      <c r="U14" s="76">
        <f>INDEX('SF Data'!L:L,MATCH(Main!C69,'SF Data'!C:C,0))</f>
        <v>1</v>
      </c>
      <c r="V14" s="77">
        <f>INDEX('SF Resolution'!G:G,MATCH(O14,'SF Resolution'!A:A,0))</f>
        <v>331</v>
      </c>
      <c r="X14" s="137">
        <f t="shared" si="4"/>
        <v>1091</v>
      </c>
      <c r="Y14" s="140"/>
      <c r="Z14" s="140"/>
    </row>
    <row r="15" spans="1:26" x14ac:dyDescent="0.25">
      <c r="A15" s="62">
        <v>5</v>
      </c>
      <c r="B15" s="111">
        <v>120</v>
      </c>
      <c r="C15" s="112">
        <v>120</v>
      </c>
      <c r="D15" s="112">
        <v>120</v>
      </c>
      <c r="E15" s="112">
        <v>120</v>
      </c>
      <c r="F15" s="112">
        <v>120</v>
      </c>
      <c r="G15" s="113">
        <v>120</v>
      </c>
      <c r="I15" s="142">
        <v>13</v>
      </c>
      <c r="J15" s="75">
        <f>Main!D70</f>
        <v>100</v>
      </c>
      <c r="K15" s="76">
        <v>3</v>
      </c>
      <c r="L15" s="76">
        <f>Main!E70</f>
        <v>5</v>
      </c>
      <c r="M15" s="76">
        <f>Main!F70</f>
        <v>4</v>
      </c>
      <c r="N15" s="76" t="s">
        <v>1063</v>
      </c>
      <c r="O15" s="75">
        <f>(INDEX('SF Data'!$M:$M,MATCH(Main!C70,'SF Data'!$C:$C,0))&amp;"0"&amp;M15)*1</f>
        <v>11404</v>
      </c>
      <c r="P15" s="76">
        <v>100</v>
      </c>
      <c r="Q15" s="76">
        <f>INDEX('SF Data'!AE:AE,MATCH(Main!C70,'SF Data'!C:C,0))</f>
        <v>105</v>
      </c>
      <c r="R15" s="76">
        <f t="shared" si="3"/>
        <v>120</v>
      </c>
      <c r="S15" s="76">
        <f t="shared" si="5"/>
        <v>4.79</v>
      </c>
      <c r="T15" s="76">
        <f>INDEX('SF Resolution'!F:F,MATCH(O15,'SF Resolution'!A:A,0))</f>
        <v>1</v>
      </c>
      <c r="U15" s="76">
        <f>INDEX('SF Data'!L:L,MATCH(Main!C70,'SF Data'!C:C,0))</f>
        <v>1</v>
      </c>
      <c r="V15" s="77">
        <f>INDEX('SF Resolution'!G:G,MATCH(O15,'SF Resolution'!A:A,0))</f>
        <v>366</v>
      </c>
      <c r="X15" s="137">
        <f t="shared" si="4"/>
        <v>1205</v>
      </c>
      <c r="Y15" s="29"/>
    </row>
    <row r="16" spans="1:26" x14ac:dyDescent="0.25">
      <c r="I16" s="143">
        <v>14</v>
      </c>
      <c r="J16" s="82">
        <f>Main!D71</f>
        <v>100</v>
      </c>
      <c r="K16" s="83">
        <v>3</v>
      </c>
      <c r="L16" s="83">
        <f>Main!E71</f>
        <v>5</v>
      </c>
      <c r="M16" s="83">
        <f>Main!F71</f>
        <v>4</v>
      </c>
      <c r="N16" s="83" t="s">
        <v>1063</v>
      </c>
      <c r="O16" s="82">
        <f>(INDEX('SF Data'!$M:$M,MATCH(Main!C71,'SF Data'!$C:$C,0))&amp;"0"&amp;M16)*1</f>
        <v>11304</v>
      </c>
      <c r="P16" s="83">
        <v>100</v>
      </c>
      <c r="Q16" s="83">
        <f>INDEX('SF Data'!AE:AE,MATCH(Main!C71,'SF Data'!C:C,0))</f>
        <v>90</v>
      </c>
      <c r="R16" s="83">
        <f t="shared" si="3"/>
        <v>120</v>
      </c>
      <c r="S16" s="83">
        <f t="shared" si="5"/>
        <v>4.79</v>
      </c>
      <c r="T16" s="83">
        <f>INDEX('SF Resolution'!F:F,MATCH(O16,'SF Resolution'!A:A,0))</f>
        <v>1</v>
      </c>
      <c r="U16" s="83">
        <f>INDEX('SF Data'!L:L,MATCH(Main!C71,'SF Data'!C:C,0))</f>
        <v>1</v>
      </c>
      <c r="V16" s="84">
        <f>INDEX('SF Resolution'!G:G,MATCH(O16,'SF Resolution'!A:A,0))</f>
        <v>313</v>
      </c>
      <c r="X16" s="138">
        <f t="shared" si="4"/>
        <v>1033</v>
      </c>
      <c r="Y16" s="29"/>
    </row>
    <row r="17" spans="1:25" x14ac:dyDescent="0.25">
      <c r="A17" s="10" t="s">
        <v>1091</v>
      </c>
      <c r="T17" s="19"/>
      <c r="U17" s="11"/>
      <c r="X17" s="1"/>
      <c r="Y17" s="29"/>
    </row>
    <row r="18" spans="1:25" x14ac:dyDescent="0.25">
      <c r="A18" s="147" t="s">
        <v>1092</v>
      </c>
      <c r="T18" s="19"/>
      <c r="U18" s="11"/>
      <c r="X18" s="1"/>
      <c r="Y18" s="29"/>
    </row>
    <row r="19" spans="1:25" x14ac:dyDescent="0.25">
      <c r="T19" s="19"/>
      <c r="U19" s="11"/>
      <c r="X19" s="1"/>
      <c r="Y19" s="29"/>
    </row>
    <row r="20" spans="1:25" x14ac:dyDescent="0.25">
      <c r="A20" s="10" t="s">
        <v>6441</v>
      </c>
      <c r="T20" s="19"/>
      <c r="U20" s="11"/>
      <c r="X20" s="1"/>
      <c r="Y20" s="29"/>
    </row>
    <row r="21" spans="1:25" x14ac:dyDescent="0.25">
      <c r="A21" s="147" t="s">
        <v>6442</v>
      </c>
      <c r="T21" s="19"/>
      <c r="U21" s="11"/>
      <c r="X21" s="1"/>
      <c r="Y21" s="29"/>
    </row>
    <row r="22" spans="1:25" x14ac:dyDescent="0.25">
      <c r="T22" s="19"/>
      <c r="U22" s="11"/>
      <c r="X22" s="1"/>
      <c r="Y22" s="29"/>
    </row>
    <row r="23" spans="1:25" x14ac:dyDescent="0.25">
      <c r="T23" s="19"/>
      <c r="U23" s="11"/>
      <c r="X23" s="1"/>
      <c r="Y23" s="29"/>
    </row>
  </sheetData>
  <hyperlinks>
    <hyperlink ref="A18" r:id="rId1" xr:uid="{3AC34006-64FD-49BC-8CB8-8C14F4BE9691}"/>
    <hyperlink ref="A21" r:id="rId2" location="gid=79016818" xr:uid="{7034CA36-4FFF-49DE-BBE4-E10615790015}"/>
  </hyperlinks>
  <pageMargins left="0.7" right="0.7" top="0.75" bottom="0.75" header="0.3" footer="0.3"/>
  <pageSetup orientation="portrait" horizontalDpi="0" verticalDpi="0" r:id="rId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41A1-775A-4F0D-B80E-296D6EF84929}">
  <sheetPr codeName="Sheet10">
    <tabColor theme="4" tint="0.79998168889431442"/>
  </sheetPr>
  <dimension ref="A1:K40"/>
  <sheetViews>
    <sheetView zoomScaleNormal="100" workbookViewId="0">
      <pane ySplit="1" topLeftCell="A2" activePane="bottomLeft" state="frozen"/>
      <selection pane="bottomLeft"/>
    </sheetView>
  </sheetViews>
  <sheetFormatPr defaultRowHeight="15" x14ac:dyDescent="0.25"/>
  <sheetData>
    <row r="1" spans="1:11" x14ac:dyDescent="0.25">
      <c r="A1" s="43" t="s">
        <v>25</v>
      </c>
      <c r="B1" s="43" t="s">
        <v>322</v>
      </c>
      <c r="C1" s="98" t="s">
        <v>61</v>
      </c>
      <c r="D1" s="43" t="s">
        <v>581</v>
      </c>
      <c r="E1" s="98" t="s">
        <v>632</v>
      </c>
      <c r="F1" s="98" t="s">
        <v>633</v>
      </c>
      <c r="G1" s="98" t="s">
        <v>634</v>
      </c>
      <c r="H1" s="98" t="s">
        <v>635</v>
      </c>
      <c r="I1" s="98" t="s">
        <v>636</v>
      </c>
      <c r="J1" s="98" t="s">
        <v>312</v>
      </c>
      <c r="K1" s="98" t="s">
        <v>583</v>
      </c>
    </row>
    <row r="2" spans="1:11" x14ac:dyDescent="0.25">
      <c r="A2" s="1">
        <v>9</v>
      </c>
      <c r="B2" t="s">
        <v>644</v>
      </c>
      <c r="C2" s="1">
        <v>4</v>
      </c>
      <c r="D2" t="s">
        <v>592</v>
      </c>
      <c r="E2" s="99">
        <v>0</v>
      </c>
      <c r="F2" s="99">
        <v>100</v>
      </c>
      <c r="G2" s="99">
        <v>500</v>
      </c>
      <c r="H2" s="99">
        <v>1500</v>
      </c>
      <c r="I2" s="99">
        <v>3000</v>
      </c>
      <c r="J2" s="1">
        <v>1</v>
      </c>
      <c r="K2" s="1">
        <v>0</v>
      </c>
    </row>
    <row r="3" spans="1:11" x14ac:dyDescent="0.25">
      <c r="A3" s="1">
        <v>1007</v>
      </c>
      <c r="B3" t="s">
        <v>623</v>
      </c>
      <c r="C3" s="1">
        <v>2</v>
      </c>
      <c r="D3" t="s">
        <v>624</v>
      </c>
      <c r="E3" s="99">
        <v>0</v>
      </c>
      <c r="F3" s="99">
        <v>100</v>
      </c>
      <c r="G3" s="99">
        <v>200</v>
      </c>
      <c r="H3" s="99">
        <v>350</v>
      </c>
      <c r="I3" s="99">
        <v>550</v>
      </c>
      <c r="J3" s="1">
        <v>1</v>
      </c>
      <c r="K3" s="1">
        <v>1</v>
      </c>
    </row>
    <row r="4" spans="1:11" x14ac:dyDescent="0.25">
      <c r="A4" s="1">
        <v>3</v>
      </c>
      <c r="B4" t="s">
        <v>638</v>
      </c>
      <c r="C4" s="1">
        <v>3</v>
      </c>
      <c r="D4" t="s">
        <v>586</v>
      </c>
      <c r="E4" s="99">
        <v>0</v>
      </c>
      <c r="F4" s="99">
        <v>100</v>
      </c>
      <c r="G4" s="99">
        <v>500</v>
      </c>
      <c r="H4" s="99">
        <v>1500</v>
      </c>
      <c r="I4" s="99">
        <v>3000</v>
      </c>
      <c r="J4" s="1">
        <v>1</v>
      </c>
      <c r="K4" s="1">
        <v>0</v>
      </c>
    </row>
    <row r="5" spans="1:11" x14ac:dyDescent="0.25">
      <c r="A5" s="1">
        <v>8</v>
      </c>
      <c r="B5" t="s">
        <v>643</v>
      </c>
      <c r="C5" s="1">
        <v>4</v>
      </c>
      <c r="D5" t="s">
        <v>591</v>
      </c>
      <c r="E5" s="99">
        <v>0</v>
      </c>
      <c r="F5" s="99">
        <v>100</v>
      </c>
      <c r="G5" s="99">
        <v>500</v>
      </c>
      <c r="H5" s="99">
        <v>1500</v>
      </c>
      <c r="I5" s="99">
        <v>3000</v>
      </c>
      <c r="J5" s="1">
        <v>1</v>
      </c>
      <c r="K5" s="1">
        <v>0</v>
      </c>
    </row>
    <row r="6" spans="1:11" x14ac:dyDescent="0.25">
      <c r="A6" s="1">
        <v>27</v>
      </c>
      <c r="B6" t="s">
        <v>660</v>
      </c>
      <c r="C6" s="1">
        <v>6</v>
      </c>
      <c r="D6" t="s">
        <v>612</v>
      </c>
      <c r="E6" s="99">
        <v>0</v>
      </c>
      <c r="F6" s="99">
        <v>100</v>
      </c>
      <c r="G6" s="99">
        <v>200</v>
      </c>
      <c r="H6" s="99">
        <v>350</v>
      </c>
      <c r="I6" s="99">
        <v>550</v>
      </c>
      <c r="J6" s="1">
        <v>2</v>
      </c>
      <c r="K6" s="1">
        <v>0</v>
      </c>
    </row>
    <row r="7" spans="1:11" x14ac:dyDescent="0.25">
      <c r="A7" s="1">
        <v>24</v>
      </c>
      <c r="B7" t="s">
        <v>932</v>
      </c>
      <c r="C7" s="1">
        <v>3</v>
      </c>
      <c r="D7" t="s">
        <v>609</v>
      </c>
      <c r="E7" s="99">
        <v>0</v>
      </c>
      <c r="F7" s="99">
        <v>100</v>
      </c>
      <c r="G7" s="99">
        <v>500</v>
      </c>
      <c r="H7" s="99">
        <v>1500</v>
      </c>
      <c r="I7" s="99">
        <v>3000</v>
      </c>
      <c r="J7" s="1">
        <v>1</v>
      </c>
      <c r="K7" s="1">
        <v>0</v>
      </c>
    </row>
    <row r="8" spans="1:11" x14ac:dyDescent="0.25">
      <c r="A8" s="1">
        <v>22</v>
      </c>
      <c r="B8" t="s">
        <v>656</v>
      </c>
      <c r="C8" s="1">
        <v>6</v>
      </c>
      <c r="D8" t="s">
        <v>607</v>
      </c>
      <c r="E8" s="99">
        <v>0</v>
      </c>
      <c r="F8" s="99">
        <v>100</v>
      </c>
      <c r="G8" s="99">
        <v>200</v>
      </c>
      <c r="H8" s="99">
        <v>350</v>
      </c>
      <c r="I8" s="99">
        <v>550</v>
      </c>
      <c r="J8" s="1">
        <v>1</v>
      </c>
      <c r="K8" s="1">
        <v>0</v>
      </c>
    </row>
    <row r="9" spans="1:11" x14ac:dyDescent="0.25">
      <c r="A9" s="1">
        <v>29</v>
      </c>
      <c r="B9" t="s">
        <v>662</v>
      </c>
      <c r="C9" s="1">
        <v>2</v>
      </c>
      <c r="D9" t="s">
        <v>614</v>
      </c>
      <c r="E9" s="99">
        <v>0</v>
      </c>
      <c r="F9" s="99">
        <v>100</v>
      </c>
      <c r="G9" s="99">
        <v>200</v>
      </c>
      <c r="H9" s="99">
        <v>350</v>
      </c>
      <c r="I9" s="99">
        <v>550</v>
      </c>
      <c r="J9" s="1">
        <v>1</v>
      </c>
      <c r="K9" s="1">
        <v>0</v>
      </c>
    </row>
    <row r="10" spans="1:11" x14ac:dyDescent="0.25">
      <c r="A10" s="1">
        <v>1003</v>
      </c>
      <c r="B10" t="s">
        <v>618</v>
      </c>
      <c r="C10" s="1">
        <v>3</v>
      </c>
      <c r="D10" t="s">
        <v>619</v>
      </c>
      <c r="E10" s="99">
        <v>0</v>
      </c>
      <c r="F10" s="99">
        <v>100</v>
      </c>
      <c r="G10" s="99">
        <v>200</v>
      </c>
      <c r="H10" s="99">
        <v>350</v>
      </c>
      <c r="I10" s="99">
        <v>550</v>
      </c>
      <c r="J10" s="1">
        <v>1</v>
      </c>
      <c r="K10" s="1">
        <v>1</v>
      </c>
    </row>
    <row r="11" spans="1:11" x14ac:dyDescent="0.25">
      <c r="A11" s="1">
        <v>23</v>
      </c>
      <c r="B11" t="s">
        <v>657</v>
      </c>
      <c r="C11" s="1">
        <v>6</v>
      </c>
      <c r="D11" t="s">
        <v>608</v>
      </c>
      <c r="E11" s="99">
        <v>0</v>
      </c>
      <c r="F11" s="99">
        <v>100</v>
      </c>
      <c r="G11" s="99">
        <v>500</v>
      </c>
      <c r="H11" s="99">
        <v>1500</v>
      </c>
      <c r="I11" s="99">
        <v>3000</v>
      </c>
      <c r="J11" s="1">
        <v>2</v>
      </c>
      <c r="K11" s="1">
        <v>0</v>
      </c>
    </row>
    <row r="12" spans="1:11" x14ac:dyDescent="0.25">
      <c r="A12" s="1">
        <v>15</v>
      </c>
      <c r="B12" t="s">
        <v>650</v>
      </c>
      <c r="C12" s="1">
        <v>1</v>
      </c>
      <c r="D12" t="s">
        <v>599</v>
      </c>
      <c r="E12" s="99">
        <v>0</v>
      </c>
      <c r="F12" s="99">
        <v>100</v>
      </c>
      <c r="G12" s="99">
        <v>500</v>
      </c>
      <c r="H12" s="99">
        <v>1500</v>
      </c>
      <c r="I12" s="99">
        <v>3000</v>
      </c>
      <c r="J12" s="1">
        <v>1</v>
      </c>
      <c r="K12" s="1">
        <v>0</v>
      </c>
    </row>
    <row r="13" spans="1:11" x14ac:dyDescent="0.25">
      <c r="A13" s="1">
        <v>14</v>
      </c>
      <c r="B13" t="s">
        <v>649</v>
      </c>
      <c r="C13" s="1">
        <v>6</v>
      </c>
      <c r="D13" t="s">
        <v>598</v>
      </c>
      <c r="E13" s="99">
        <v>0</v>
      </c>
      <c r="F13" s="99">
        <v>100</v>
      </c>
      <c r="G13" s="99">
        <v>500</v>
      </c>
      <c r="H13" s="99">
        <v>1500</v>
      </c>
      <c r="I13" s="99">
        <v>3000</v>
      </c>
      <c r="J13" s="1">
        <v>2</v>
      </c>
      <c r="K13" s="1">
        <v>0</v>
      </c>
    </row>
    <row r="14" spans="1:11" x14ac:dyDescent="0.25">
      <c r="A14" s="1">
        <v>19</v>
      </c>
      <c r="B14" t="s">
        <v>654</v>
      </c>
      <c r="C14" s="1">
        <v>2</v>
      </c>
      <c r="D14" t="s">
        <v>603</v>
      </c>
      <c r="E14" s="99">
        <v>0</v>
      </c>
      <c r="F14" s="99">
        <v>100</v>
      </c>
      <c r="G14" s="99">
        <v>200</v>
      </c>
      <c r="H14" s="99">
        <v>350</v>
      </c>
      <c r="I14" s="99">
        <v>550</v>
      </c>
      <c r="J14" s="1">
        <v>1</v>
      </c>
      <c r="K14" s="1">
        <v>0</v>
      </c>
    </row>
    <row r="15" spans="1:11" x14ac:dyDescent="0.25">
      <c r="A15" s="1">
        <v>5</v>
      </c>
      <c r="B15" t="s">
        <v>640</v>
      </c>
      <c r="C15" s="1">
        <v>5</v>
      </c>
      <c r="D15" t="s">
        <v>588</v>
      </c>
      <c r="E15" s="99">
        <v>0</v>
      </c>
      <c r="F15" s="99">
        <v>100</v>
      </c>
      <c r="G15" s="99">
        <v>500</v>
      </c>
      <c r="H15" s="99">
        <v>1500</v>
      </c>
      <c r="I15" s="99">
        <v>3000</v>
      </c>
      <c r="J15" s="1">
        <v>2</v>
      </c>
      <c r="K15" s="1">
        <v>0</v>
      </c>
    </row>
    <row r="16" spans="1:11" x14ac:dyDescent="0.25">
      <c r="A16" s="1">
        <v>28</v>
      </c>
      <c r="B16" t="s">
        <v>661</v>
      </c>
      <c r="C16" s="1">
        <v>6</v>
      </c>
      <c r="D16" t="s">
        <v>613</v>
      </c>
      <c r="E16" s="99">
        <v>0</v>
      </c>
      <c r="F16" s="99">
        <v>100</v>
      </c>
      <c r="G16" s="99">
        <v>200</v>
      </c>
      <c r="H16" s="99">
        <v>350</v>
      </c>
      <c r="I16" s="99">
        <v>550</v>
      </c>
      <c r="J16" s="1">
        <v>2</v>
      </c>
      <c r="K16" s="1">
        <v>0</v>
      </c>
    </row>
    <row r="17" spans="1:11" x14ac:dyDescent="0.25">
      <c r="A17" s="1">
        <v>20</v>
      </c>
      <c r="B17" t="s">
        <v>655</v>
      </c>
      <c r="C17" s="1">
        <v>2</v>
      </c>
      <c r="D17" t="s">
        <v>604</v>
      </c>
      <c r="E17" s="99">
        <v>0</v>
      </c>
      <c r="F17" s="99">
        <v>100</v>
      </c>
      <c r="G17" s="99">
        <v>200</v>
      </c>
      <c r="H17" s="99">
        <v>350</v>
      </c>
      <c r="I17" s="99">
        <v>550</v>
      </c>
      <c r="J17" s="1">
        <v>1</v>
      </c>
      <c r="K17" s="1">
        <v>0</v>
      </c>
    </row>
    <row r="18" spans="1:11" x14ac:dyDescent="0.25">
      <c r="A18" s="1">
        <v>2</v>
      </c>
      <c r="B18" t="s">
        <v>637</v>
      </c>
      <c r="C18" s="1">
        <v>2</v>
      </c>
      <c r="D18" t="s">
        <v>585</v>
      </c>
      <c r="E18" s="99">
        <v>0</v>
      </c>
      <c r="F18" s="99">
        <v>100</v>
      </c>
      <c r="G18" s="99">
        <v>500</v>
      </c>
      <c r="H18" s="99">
        <v>1500</v>
      </c>
      <c r="I18" s="99">
        <v>3000</v>
      </c>
      <c r="J18" s="1">
        <v>1</v>
      </c>
      <c r="K18" s="1">
        <v>0</v>
      </c>
    </row>
    <row r="19" spans="1:11" x14ac:dyDescent="0.25">
      <c r="A19" s="1">
        <v>18</v>
      </c>
      <c r="B19" t="s">
        <v>653</v>
      </c>
      <c r="C19" s="1">
        <v>2</v>
      </c>
      <c r="D19" t="s">
        <v>602</v>
      </c>
      <c r="E19" s="99">
        <v>0</v>
      </c>
      <c r="F19" s="99">
        <v>100</v>
      </c>
      <c r="G19" s="99">
        <v>200</v>
      </c>
      <c r="H19" s="99">
        <v>350</v>
      </c>
      <c r="I19" s="99">
        <v>550</v>
      </c>
      <c r="J19" s="1">
        <v>1</v>
      </c>
      <c r="K19" s="1">
        <v>0</v>
      </c>
    </row>
    <row r="20" spans="1:11" x14ac:dyDescent="0.25">
      <c r="A20" s="1">
        <v>17</v>
      </c>
      <c r="B20" t="s">
        <v>652</v>
      </c>
      <c r="C20" s="1">
        <v>1</v>
      </c>
      <c r="D20" t="s">
        <v>601</v>
      </c>
      <c r="E20" s="99">
        <v>0</v>
      </c>
      <c r="F20" s="99">
        <v>100</v>
      </c>
      <c r="G20" s="99">
        <v>500</v>
      </c>
      <c r="H20" s="99">
        <v>1500</v>
      </c>
      <c r="I20" s="99">
        <v>3000</v>
      </c>
      <c r="J20" s="1">
        <v>2</v>
      </c>
      <c r="K20" s="1">
        <v>0</v>
      </c>
    </row>
    <row r="21" spans="1:11" x14ac:dyDescent="0.25">
      <c r="A21" s="1">
        <v>1002</v>
      </c>
      <c r="B21" t="s">
        <v>616</v>
      </c>
      <c r="C21" s="1">
        <v>6</v>
      </c>
      <c r="D21" t="s">
        <v>617</v>
      </c>
      <c r="E21" s="99">
        <v>0</v>
      </c>
      <c r="F21" s="99">
        <v>100</v>
      </c>
      <c r="G21" s="99">
        <v>200</v>
      </c>
      <c r="H21" s="99">
        <v>350</v>
      </c>
      <c r="I21" s="99">
        <v>550</v>
      </c>
      <c r="J21" s="1">
        <v>2</v>
      </c>
      <c r="K21" s="1">
        <v>1</v>
      </c>
    </row>
    <row r="22" spans="1:11" x14ac:dyDescent="0.25">
      <c r="A22" s="1">
        <v>1008</v>
      </c>
      <c r="B22" t="s">
        <v>1633</v>
      </c>
      <c r="C22" s="1">
        <v>2</v>
      </c>
      <c r="D22" t="s">
        <v>1634</v>
      </c>
      <c r="E22" s="99">
        <v>0</v>
      </c>
      <c r="F22" s="99">
        <v>100</v>
      </c>
      <c r="G22" s="99">
        <v>200</v>
      </c>
      <c r="H22" s="99">
        <v>250</v>
      </c>
      <c r="I22" s="99">
        <v>550</v>
      </c>
      <c r="J22" s="1">
        <v>1</v>
      </c>
      <c r="K22" s="1">
        <v>1</v>
      </c>
    </row>
    <row r="23" spans="1:11" x14ac:dyDescent="0.25">
      <c r="A23" s="1">
        <v>12</v>
      </c>
      <c r="B23" t="s">
        <v>595</v>
      </c>
      <c r="C23" s="1">
        <v>6</v>
      </c>
      <c r="D23" t="s">
        <v>596</v>
      </c>
      <c r="E23" s="99">
        <v>0</v>
      </c>
      <c r="F23" s="99">
        <v>100</v>
      </c>
      <c r="G23" s="99">
        <v>500</v>
      </c>
      <c r="H23" s="99">
        <v>1500</v>
      </c>
      <c r="I23" s="99">
        <v>3000</v>
      </c>
      <c r="J23" s="1">
        <v>2</v>
      </c>
      <c r="K23" s="1">
        <v>0</v>
      </c>
    </row>
    <row r="24" spans="1:11" x14ac:dyDescent="0.25">
      <c r="A24" s="1">
        <v>21</v>
      </c>
      <c r="B24" t="s">
        <v>605</v>
      </c>
      <c r="C24" s="1">
        <v>6</v>
      </c>
      <c r="D24" t="s">
        <v>606</v>
      </c>
      <c r="E24" s="99">
        <v>0</v>
      </c>
      <c r="F24" s="99">
        <v>100</v>
      </c>
      <c r="G24" s="99">
        <v>200</v>
      </c>
      <c r="H24" s="99">
        <v>350</v>
      </c>
      <c r="I24" s="99">
        <v>550</v>
      </c>
      <c r="J24" s="1">
        <v>1</v>
      </c>
      <c r="K24" s="1">
        <v>0</v>
      </c>
    </row>
    <row r="25" spans="1:11" x14ac:dyDescent="0.25">
      <c r="A25" s="1">
        <v>11</v>
      </c>
      <c r="B25" t="s">
        <v>646</v>
      </c>
      <c r="C25" s="1">
        <v>5</v>
      </c>
      <c r="D25" t="s">
        <v>594</v>
      </c>
      <c r="E25" s="99">
        <v>0</v>
      </c>
      <c r="F25" s="99">
        <v>100</v>
      </c>
      <c r="G25" s="99">
        <v>500</v>
      </c>
      <c r="H25" s="99">
        <v>1500</v>
      </c>
      <c r="I25" s="99">
        <v>3000</v>
      </c>
      <c r="J25" s="1">
        <v>2</v>
      </c>
      <c r="K25" s="1">
        <v>0</v>
      </c>
    </row>
    <row r="26" spans="1:11" x14ac:dyDescent="0.25">
      <c r="A26" s="1">
        <v>1006</v>
      </c>
      <c r="B26" t="s">
        <v>664</v>
      </c>
      <c r="C26" s="1">
        <v>2</v>
      </c>
      <c r="D26" t="s">
        <v>622</v>
      </c>
      <c r="E26" s="99">
        <v>0</v>
      </c>
      <c r="F26" s="99">
        <v>100</v>
      </c>
      <c r="G26" s="99">
        <v>200</v>
      </c>
      <c r="H26" s="99">
        <v>350</v>
      </c>
      <c r="I26" s="99">
        <v>550</v>
      </c>
      <c r="J26" s="1">
        <v>1</v>
      </c>
      <c r="K26" s="1">
        <v>1</v>
      </c>
    </row>
    <row r="27" spans="1:11" x14ac:dyDescent="0.25">
      <c r="A27" s="1">
        <v>26</v>
      </c>
      <c r="B27" t="s">
        <v>659</v>
      </c>
      <c r="C27" s="1">
        <v>1</v>
      </c>
      <c r="D27" t="s">
        <v>611</v>
      </c>
      <c r="E27" s="99">
        <v>0</v>
      </c>
      <c r="F27" s="99">
        <v>100</v>
      </c>
      <c r="G27" s="99">
        <v>500</v>
      </c>
      <c r="H27" s="99">
        <v>1500</v>
      </c>
      <c r="I27" s="99">
        <v>3000</v>
      </c>
      <c r="J27" s="1">
        <v>1</v>
      </c>
      <c r="K27" s="1">
        <v>0</v>
      </c>
    </row>
    <row r="28" spans="1:11" x14ac:dyDescent="0.25">
      <c r="A28" s="1">
        <v>10</v>
      </c>
      <c r="B28" t="s">
        <v>645</v>
      </c>
      <c r="C28" s="1">
        <v>5</v>
      </c>
      <c r="D28" t="s">
        <v>593</v>
      </c>
      <c r="E28" s="99">
        <v>0</v>
      </c>
      <c r="F28" s="99">
        <v>100</v>
      </c>
      <c r="G28" s="99">
        <v>500</v>
      </c>
      <c r="H28" s="99">
        <v>1500</v>
      </c>
      <c r="I28" s="99">
        <v>3000</v>
      </c>
      <c r="J28" s="1">
        <v>2</v>
      </c>
      <c r="K28" s="1">
        <v>0</v>
      </c>
    </row>
    <row r="29" spans="1:11" x14ac:dyDescent="0.25">
      <c r="A29" s="1">
        <v>16</v>
      </c>
      <c r="B29" t="s">
        <v>651</v>
      </c>
      <c r="C29" s="1">
        <v>1</v>
      </c>
      <c r="D29" t="s">
        <v>600</v>
      </c>
      <c r="E29" s="99">
        <v>0</v>
      </c>
      <c r="F29" s="99">
        <v>100</v>
      </c>
      <c r="G29" s="99">
        <v>500</v>
      </c>
      <c r="H29" s="99">
        <v>1500</v>
      </c>
      <c r="I29" s="99">
        <v>3000</v>
      </c>
      <c r="J29" s="1">
        <v>1</v>
      </c>
      <c r="K29" s="1">
        <v>0</v>
      </c>
    </row>
    <row r="30" spans="1:11" x14ac:dyDescent="0.25">
      <c r="A30" s="1">
        <v>13</v>
      </c>
      <c r="B30" t="s">
        <v>648</v>
      </c>
      <c r="C30" s="1">
        <v>6</v>
      </c>
      <c r="D30" t="s">
        <v>597</v>
      </c>
      <c r="E30" s="99">
        <v>0</v>
      </c>
      <c r="F30" s="99">
        <v>100</v>
      </c>
      <c r="G30" s="99">
        <v>500</v>
      </c>
      <c r="H30" s="99">
        <v>1500</v>
      </c>
      <c r="I30" s="99">
        <v>3000</v>
      </c>
      <c r="J30" s="1">
        <v>2</v>
      </c>
      <c r="K30" s="1">
        <v>0</v>
      </c>
    </row>
    <row r="31" spans="1:11" x14ac:dyDescent="0.25">
      <c r="A31" s="1">
        <v>1001</v>
      </c>
      <c r="B31" t="s">
        <v>236</v>
      </c>
      <c r="C31" s="1">
        <v>4</v>
      </c>
      <c r="D31" t="s">
        <v>615</v>
      </c>
      <c r="E31" s="99">
        <v>0</v>
      </c>
      <c r="F31" s="99">
        <v>100</v>
      </c>
      <c r="G31" s="99">
        <v>200</v>
      </c>
      <c r="H31" s="99">
        <v>350</v>
      </c>
      <c r="I31" s="99">
        <v>550</v>
      </c>
      <c r="J31" s="1">
        <v>1</v>
      </c>
      <c r="K31" s="1">
        <v>1</v>
      </c>
    </row>
    <row r="32" spans="1:11" x14ac:dyDescent="0.25">
      <c r="A32" s="1">
        <v>1005</v>
      </c>
      <c r="B32" t="s">
        <v>665</v>
      </c>
      <c r="C32" s="1">
        <v>2</v>
      </c>
      <c r="D32" t="s">
        <v>621</v>
      </c>
      <c r="E32" s="99">
        <v>0</v>
      </c>
      <c r="F32" s="99">
        <v>100</v>
      </c>
      <c r="G32" s="99">
        <v>200</v>
      </c>
      <c r="H32" s="99">
        <v>350</v>
      </c>
      <c r="I32" s="99">
        <v>550</v>
      </c>
      <c r="J32" s="1">
        <v>1</v>
      </c>
      <c r="K32" s="1">
        <v>1</v>
      </c>
    </row>
    <row r="33" spans="1:11" x14ac:dyDescent="0.25">
      <c r="A33" s="1">
        <v>4</v>
      </c>
      <c r="B33" t="s">
        <v>639</v>
      </c>
      <c r="C33" s="1">
        <v>3</v>
      </c>
      <c r="D33" t="s">
        <v>587</v>
      </c>
      <c r="E33" s="99">
        <v>0</v>
      </c>
      <c r="F33" s="99">
        <v>100</v>
      </c>
      <c r="G33" s="99">
        <v>500</v>
      </c>
      <c r="H33" s="99">
        <v>1500</v>
      </c>
      <c r="I33" s="99">
        <v>3000</v>
      </c>
      <c r="J33" s="1">
        <v>1</v>
      </c>
      <c r="K33" s="1">
        <v>0</v>
      </c>
    </row>
    <row r="34" spans="1:11" x14ac:dyDescent="0.25">
      <c r="A34" s="1">
        <v>7</v>
      </c>
      <c r="B34" t="s">
        <v>642</v>
      </c>
      <c r="C34" s="1">
        <v>4</v>
      </c>
      <c r="D34" t="s">
        <v>590</v>
      </c>
      <c r="E34" s="99">
        <v>0</v>
      </c>
      <c r="F34" s="99">
        <v>100</v>
      </c>
      <c r="G34" s="99">
        <v>500</v>
      </c>
      <c r="H34" s="99">
        <v>1500</v>
      </c>
      <c r="I34" s="99">
        <v>3000</v>
      </c>
      <c r="J34" s="1">
        <v>1</v>
      </c>
      <c r="K34" s="1">
        <v>0</v>
      </c>
    </row>
    <row r="35" spans="1:11" x14ac:dyDescent="0.25">
      <c r="A35" s="1">
        <v>1004</v>
      </c>
      <c r="B35" t="s">
        <v>663</v>
      </c>
      <c r="C35" s="1">
        <v>6</v>
      </c>
      <c r="D35" t="s">
        <v>620</v>
      </c>
      <c r="E35" s="99">
        <v>0</v>
      </c>
      <c r="F35" s="99">
        <v>100</v>
      </c>
      <c r="G35" s="99">
        <v>200</v>
      </c>
      <c r="H35" s="99">
        <v>350</v>
      </c>
      <c r="I35" s="99">
        <v>550</v>
      </c>
      <c r="J35" s="1">
        <v>2</v>
      </c>
      <c r="K35" s="1">
        <v>1</v>
      </c>
    </row>
    <row r="36" spans="1:11" x14ac:dyDescent="0.25">
      <c r="A36" s="1">
        <v>6</v>
      </c>
      <c r="B36" t="s">
        <v>641</v>
      </c>
      <c r="C36" s="1">
        <v>3</v>
      </c>
      <c r="D36" t="s">
        <v>589</v>
      </c>
      <c r="E36" s="99">
        <v>0</v>
      </c>
      <c r="F36" s="99">
        <v>100</v>
      </c>
      <c r="G36" s="99">
        <v>500</v>
      </c>
      <c r="H36" s="99">
        <v>1500</v>
      </c>
      <c r="I36" s="99">
        <v>3000</v>
      </c>
      <c r="J36" s="1">
        <v>1</v>
      </c>
      <c r="K36" s="1">
        <v>0</v>
      </c>
    </row>
    <row r="37" spans="1:11" x14ac:dyDescent="0.25">
      <c r="A37" s="1">
        <v>31</v>
      </c>
      <c r="B37" t="s">
        <v>5838</v>
      </c>
      <c r="C37" s="1">
        <v>6</v>
      </c>
      <c r="D37" t="s">
        <v>5837</v>
      </c>
      <c r="E37" s="99">
        <v>0</v>
      </c>
      <c r="F37" s="99">
        <v>100</v>
      </c>
      <c r="G37" s="99">
        <v>200</v>
      </c>
      <c r="H37" s="99">
        <v>350</v>
      </c>
      <c r="I37" s="99">
        <v>550</v>
      </c>
      <c r="J37" s="1">
        <v>2</v>
      </c>
      <c r="K37" s="1">
        <v>0</v>
      </c>
    </row>
    <row r="38" spans="1:11" x14ac:dyDescent="0.25">
      <c r="A38" s="1">
        <v>25</v>
      </c>
      <c r="B38" t="s">
        <v>658</v>
      </c>
      <c r="C38" s="1">
        <v>3</v>
      </c>
      <c r="D38" t="s">
        <v>610</v>
      </c>
      <c r="E38" s="99">
        <v>0</v>
      </c>
      <c r="F38" s="99">
        <v>100</v>
      </c>
      <c r="G38" s="99">
        <v>500</v>
      </c>
      <c r="H38" s="99">
        <v>1500</v>
      </c>
      <c r="I38" s="99">
        <v>3000</v>
      </c>
      <c r="J38" s="1">
        <v>1</v>
      </c>
      <c r="K38" s="1">
        <v>0</v>
      </c>
    </row>
    <row r="39" spans="1:11" x14ac:dyDescent="0.25">
      <c r="A39" s="1">
        <v>1</v>
      </c>
      <c r="B39" t="s">
        <v>647</v>
      </c>
      <c r="C39" s="1">
        <v>2</v>
      </c>
      <c r="D39" t="s">
        <v>584</v>
      </c>
      <c r="E39" s="99">
        <v>0</v>
      </c>
      <c r="F39" s="99">
        <v>100</v>
      </c>
      <c r="G39" s="99">
        <v>500</v>
      </c>
      <c r="H39" s="99">
        <v>1500</v>
      </c>
      <c r="I39" s="99">
        <v>3000</v>
      </c>
      <c r="J39" s="1">
        <v>1</v>
      </c>
      <c r="K39" s="1">
        <v>0</v>
      </c>
    </row>
    <row r="40" spans="1:11" x14ac:dyDescent="0.25">
      <c r="A40" s="1">
        <v>30</v>
      </c>
      <c r="B40" t="s">
        <v>1746</v>
      </c>
      <c r="C40" s="1">
        <v>6</v>
      </c>
      <c r="D40" t="s">
        <v>1747</v>
      </c>
      <c r="E40" s="99">
        <v>0</v>
      </c>
      <c r="F40" s="99">
        <v>100</v>
      </c>
      <c r="G40" s="99">
        <v>200</v>
      </c>
      <c r="H40" s="99">
        <v>350</v>
      </c>
      <c r="I40" s="99">
        <v>550</v>
      </c>
      <c r="J40" s="1">
        <v>1</v>
      </c>
      <c r="K40" s="1">
        <v>1</v>
      </c>
    </row>
  </sheetData>
  <autoFilter ref="A1:K38" xr:uid="{E8DDA3D5-6745-4184-9D68-AAC802051D8B}">
    <sortState ref="A2:K40">
      <sortCondition ref="B1:B38"/>
    </sortState>
  </autoFilter>
  <pageMargins left="0.7" right="0.7" top="0.75" bottom="0.75" header="0.3" footer="0.3"/>
  <pageSetup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7DCA8B-9C20-4DEA-A645-AE681A0D89F2}">
  <sheetPr codeName="Sheet11">
    <tabColor theme="4" tint="0.79998168889431442"/>
  </sheetPr>
  <dimension ref="A1:C26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28515625" bestFit="1" customWidth="1"/>
    <col min="2" max="2" width="8.85546875" bestFit="1" customWidth="1"/>
    <col min="3" max="3" width="44.85546875" bestFit="1" customWidth="1"/>
  </cols>
  <sheetData>
    <row r="1" spans="1:3" x14ac:dyDescent="0.25">
      <c r="A1" s="43" t="s">
        <v>580</v>
      </c>
      <c r="B1" s="43" t="s">
        <v>700</v>
      </c>
      <c r="C1" s="43" t="s">
        <v>701</v>
      </c>
    </row>
    <row r="2" spans="1:3" x14ac:dyDescent="0.25">
      <c r="A2" t="s">
        <v>670</v>
      </c>
      <c r="B2" s="1">
        <v>910103</v>
      </c>
      <c r="C2" t="s">
        <v>671</v>
      </c>
    </row>
    <row r="3" spans="1:3" x14ac:dyDescent="0.25">
      <c r="A3" t="s">
        <v>672</v>
      </c>
      <c r="B3" s="1">
        <v>910104</v>
      </c>
      <c r="C3" t="s">
        <v>673</v>
      </c>
    </row>
    <row r="4" spans="1:3" x14ac:dyDescent="0.25">
      <c r="A4" t="s">
        <v>690</v>
      </c>
      <c r="B4" s="1">
        <v>910113</v>
      </c>
      <c r="C4" t="s">
        <v>691</v>
      </c>
    </row>
    <row r="5" spans="1:3" x14ac:dyDescent="0.25">
      <c r="A5" t="s">
        <v>678</v>
      </c>
      <c r="B5" s="1">
        <v>910107</v>
      </c>
      <c r="C5" t="s">
        <v>679</v>
      </c>
    </row>
    <row r="6" spans="1:3" x14ac:dyDescent="0.25">
      <c r="A6" t="s">
        <v>680</v>
      </c>
      <c r="B6" s="1">
        <v>910108</v>
      </c>
      <c r="C6" t="s">
        <v>681</v>
      </c>
    </row>
    <row r="7" spans="1:3" x14ac:dyDescent="0.25">
      <c r="A7" t="s">
        <v>688</v>
      </c>
      <c r="B7" s="1">
        <v>910112</v>
      </c>
      <c r="C7" t="s">
        <v>689</v>
      </c>
    </row>
    <row r="8" spans="1:3" x14ac:dyDescent="0.25">
      <c r="A8" t="s">
        <v>686</v>
      </c>
      <c r="B8" s="1">
        <v>910111</v>
      </c>
      <c r="C8" t="s">
        <v>687</v>
      </c>
    </row>
    <row r="9" spans="1:3" x14ac:dyDescent="0.25">
      <c r="A9" t="s">
        <v>682</v>
      </c>
      <c r="B9" s="1">
        <v>910109</v>
      </c>
      <c r="C9" t="s">
        <v>683</v>
      </c>
    </row>
    <row r="10" spans="1:3" x14ac:dyDescent="0.25">
      <c r="A10" t="s">
        <v>684</v>
      </c>
      <c r="B10" s="1">
        <v>910110</v>
      </c>
      <c r="C10" t="s">
        <v>685</v>
      </c>
    </row>
    <row r="11" spans="1:3" x14ac:dyDescent="0.25">
      <c r="A11" t="s">
        <v>666</v>
      </c>
      <c r="B11" s="1">
        <v>910101</v>
      </c>
      <c r="C11" t="s">
        <v>667</v>
      </c>
    </row>
    <row r="12" spans="1:3" x14ac:dyDescent="0.25">
      <c r="A12" t="s">
        <v>668</v>
      </c>
      <c r="B12" s="1">
        <v>910102</v>
      </c>
      <c r="C12" t="s">
        <v>669</v>
      </c>
    </row>
    <row r="13" spans="1:3" x14ac:dyDescent="0.25">
      <c r="A13" t="s">
        <v>674</v>
      </c>
      <c r="B13" s="1">
        <v>910105</v>
      </c>
      <c r="C13" t="s">
        <v>675</v>
      </c>
    </row>
    <row r="14" spans="1:3" x14ac:dyDescent="0.25">
      <c r="A14" t="s">
        <v>676</v>
      </c>
      <c r="B14" s="1">
        <v>910106</v>
      </c>
      <c r="C14" t="s">
        <v>677</v>
      </c>
    </row>
    <row r="15" spans="1:3" x14ac:dyDescent="0.25">
      <c r="A15" t="s">
        <v>698</v>
      </c>
      <c r="B15" s="1">
        <v>910117</v>
      </c>
      <c r="C15" t="s">
        <v>699</v>
      </c>
    </row>
    <row r="16" spans="1:3" x14ac:dyDescent="0.25">
      <c r="A16" t="s">
        <v>696</v>
      </c>
      <c r="B16" s="1">
        <v>910116</v>
      </c>
      <c r="C16" t="s">
        <v>697</v>
      </c>
    </row>
    <row r="17" spans="1:3" x14ac:dyDescent="0.25">
      <c r="A17" t="s">
        <v>692</v>
      </c>
      <c r="B17" s="1">
        <v>910114</v>
      </c>
      <c r="C17" t="s">
        <v>693</v>
      </c>
    </row>
    <row r="18" spans="1:3" x14ac:dyDescent="0.25">
      <c r="A18" t="s">
        <v>694</v>
      </c>
      <c r="B18" s="1">
        <v>910115</v>
      </c>
      <c r="C18" t="s">
        <v>695</v>
      </c>
    </row>
    <row r="19" spans="1:3" x14ac:dyDescent="0.25">
      <c r="A19" t="s">
        <v>660</v>
      </c>
      <c r="B19" s="99">
        <v>910124</v>
      </c>
      <c r="C19" t="s">
        <v>979</v>
      </c>
    </row>
    <row r="20" spans="1:3" x14ac:dyDescent="0.25">
      <c r="A20" t="s">
        <v>656</v>
      </c>
      <c r="B20" s="99">
        <v>910122</v>
      </c>
      <c r="C20" t="s">
        <v>979</v>
      </c>
    </row>
    <row r="21" spans="1:3" x14ac:dyDescent="0.25">
      <c r="A21" t="s">
        <v>977</v>
      </c>
      <c r="B21" s="99">
        <v>902385</v>
      </c>
      <c r="C21" t="s">
        <v>979</v>
      </c>
    </row>
    <row r="22" spans="1:3" x14ac:dyDescent="0.25">
      <c r="A22" t="s">
        <v>654</v>
      </c>
      <c r="B22" s="99">
        <v>910119</v>
      </c>
      <c r="C22" t="s">
        <v>979</v>
      </c>
    </row>
    <row r="23" spans="1:3" x14ac:dyDescent="0.25">
      <c r="A23" t="s">
        <v>655</v>
      </c>
      <c r="B23" s="99">
        <v>910120</v>
      </c>
      <c r="C23" t="s">
        <v>979</v>
      </c>
    </row>
    <row r="24" spans="1:3" x14ac:dyDescent="0.25">
      <c r="A24" t="s">
        <v>653</v>
      </c>
      <c r="B24" s="99">
        <v>910118</v>
      </c>
      <c r="C24" t="s">
        <v>979</v>
      </c>
    </row>
    <row r="25" spans="1:3" x14ac:dyDescent="0.25">
      <c r="A25" t="s">
        <v>976</v>
      </c>
      <c r="B25" s="99">
        <v>900906</v>
      </c>
      <c r="C25" t="s">
        <v>979</v>
      </c>
    </row>
    <row r="26" spans="1:3" x14ac:dyDescent="0.25">
      <c r="A26" t="s">
        <v>978</v>
      </c>
      <c r="B26" s="99">
        <v>910121</v>
      </c>
      <c r="C26" t="s">
        <v>979</v>
      </c>
    </row>
  </sheetData>
  <autoFilter ref="A1:C18" xr:uid="{0E359118-7D95-4ACC-8776-8DCF05482381}">
    <sortState ref="A2:C26">
      <sortCondition ref="A1:A18"/>
    </sortState>
  </autoFilter>
  <sortState ref="A19:C26">
    <sortCondition ref="A19"/>
  </sortState>
  <pageMargins left="0.7" right="0.7" top="0.75" bottom="0.75" header="0.3" footer="0.3"/>
  <pageSetup orientation="portrait" horizontalDpi="0" verticalDpi="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082A-A666-4668-8F43-539CF987A91B}">
  <sheetPr codeName="Sheet15">
    <tabColor theme="8" tint="0.79998168889431442"/>
  </sheetPr>
  <dimension ref="A1:G16"/>
  <sheetViews>
    <sheetView workbookViewId="0">
      <selection activeCell="A2" sqref="A2:C15"/>
    </sheetView>
  </sheetViews>
  <sheetFormatPr defaultRowHeight="15" x14ac:dyDescent="0.25"/>
  <cols>
    <col min="1" max="1" width="26" customWidth="1"/>
    <col min="5" max="5" width="12.28515625" bestFit="1" customWidth="1"/>
  </cols>
  <sheetData>
    <row r="1" spans="1:7" x14ac:dyDescent="0.25">
      <c r="A1" s="43" t="s">
        <v>6399</v>
      </c>
      <c r="B1" s="43" t="s">
        <v>946</v>
      </c>
      <c r="C1" s="43" t="s">
        <v>947</v>
      </c>
      <c r="E1" s="43"/>
      <c r="F1" s="43"/>
      <c r="G1" s="43"/>
    </row>
    <row r="2" spans="1:7" x14ac:dyDescent="0.25">
      <c r="A2" s="9" t="s">
        <v>6539</v>
      </c>
      <c r="B2" s="1">
        <v>50008</v>
      </c>
      <c r="C2" s="1">
        <v>30011</v>
      </c>
      <c r="E2" s="9"/>
      <c r="F2" s="1"/>
      <c r="G2" s="1"/>
    </row>
    <row r="3" spans="1:7" x14ac:dyDescent="0.25">
      <c r="A3" s="9" t="s">
        <v>660</v>
      </c>
      <c r="B3" s="1">
        <v>1801</v>
      </c>
      <c r="C3" s="1">
        <v>18</v>
      </c>
      <c r="E3" s="9"/>
      <c r="F3" s="1"/>
      <c r="G3" s="1"/>
    </row>
    <row r="4" spans="1:7" x14ac:dyDescent="0.25">
      <c r="A4" s="9" t="s">
        <v>948</v>
      </c>
      <c r="B4" s="1">
        <v>1700</v>
      </c>
      <c r="C4" s="1">
        <v>17</v>
      </c>
      <c r="E4" s="9"/>
      <c r="F4" s="1"/>
      <c r="G4" s="1"/>
    </row>
    <row r="5" spans="1:7" x14ac:dyDescent="0.25">
      <c r="A5" s="9" t="s">
        <v>949</v>
      </c>
      <c r="B5" s="1">
        <v>1701</v>
      </c>
      <c r="C5" s="1">
        <v>17</v>
      </c>
      <c r="E5" s="9"/>
      <c r="F5" s="1"/>
      <c r="G5" s="1"/>
    </row>
    <row r="6" spans="1:7" x14ac:dyDescent="0.25">
      <c r="A6" s="9" t="s">
        <v>950</v>
      </c>
      <c r="B6" s="1">
        <v>1702</v>
      </c>
      <c r="C6" s="1">
        <v>17</v>
      </c>
      <c r="E6" s="9"/>
      <c r="F6" s="1"/>
      <c r="G6" s="1"/>
    </row>
    <row r="7" spans="1:7" x14ac:dyDescent="0.25">
      <c r="A7" s="9" t="s">
        <v>649</v>
      </c>
      <c r="B7" s="1">
        <v>6</v>
      </c>
      <c r="C7" s="1">
        <v>12</v>
      </c>
      <c r="E7" s="9"/>
      <c r="F7" s="1"/>
      <c r="G7" s="1"/>
    </row>
    <row r="8" spans="1:7" x14ac:dyDescent="0.25">
      <c r="A8" s="9" t="s">
        <v>6403</v>
      </c>
      <c r="B8" s="1">
        <v>5</v>
      </c>
      <c r="C8" s="1">
        <v>6</v>
      </c>
      <c r="E8" s="9"/>
      <c r="F8" s="1"/>
      <c r="G8" s="1"/>
    </row>
    <row r="9" spans="1:7" x14ac:dyDescent="0.25">
      <c r="A9" s="9" t="s">
        <v>6404</v>
      </c>
      <c r="B9" s="1">
        <v>2000</v>
      </c>
      <c r="C9" s="1">
        <v>20</v>
      </c>
      <c r="E9" s="9"/>
      <c r="F9" s="1"/>
      <c r="G9" s="1"/>
    </row>
    <row r="10" spans="1:7" x14ac:dyDescent="0.25">
      <c r="A10" s="9" t="s">
        <v>6405</v>
      </c>
      <c r="B10" s="1">
        <v>1900</v>
      </c>
      <c r="C10" s="1">
        <v>19</v>
      </c>
      <c r="E10" s="9"/>
      <c r="F10" s="1"/>
      <c r="G10" s="1"/>
    </row>
    <row r="11" spans="1:7" x14ac:dyDescent="0.25">
      <c r="A11" s="9" t="s">
        <v>1729</v>
      </c>
      <c r="B11" s="1">
        <v>50005</v>
      </c>
      <c r="C11" s="1">
        <v>30007</v>
      </c>
    </row>
    <row r="12" spans="1:7" x14ac:dyDescent="0.25">
      <c r="A12" s="9" t="s">
        <v>6538</v>
      </c>
      <c r="B12" s="1">
        <v>50007</v>
      </c>
      <c r="C12" s="1">
        <v>30009</v>
      </c>
    </row>
    <row r="13" spans="1:7" x14ac:dyDescent="0.25">
      <c r="A13" s="9" t="s">
        <v>6398</v>
      </c>
      <c r="B13" s="1">
        <v>10086</v>
      </c>
      <c r="C13" s="1">
        <v>9</v>
      </c>
    </row>
    <row r="14" spans="1:7" x14ac:dyDescent="0.25">
      <c r="A14" s="9" t="s">
        <v>648</v>
      </c>
      <c r="B14" s="1">
        <v>2300</v>
      </c>
      <c r="C14" s="1">
        <v>23</v>
      </c>
    </row>
    <row r="15" spans="1:7" x14ac:dyDescent="0.25">
      <c r="A15" s="9" t="s">
        <v>663</v>
      </c>
      <c r="B15" s="1">
        <v>1004</v>
      </c>
      <c r="C15" s="1">
        <v>1004</v>
      </c>
    </row>
    <row r="16" spans="1:7" x14ac:dyDescent="0.25">
      <c r="A16" s="9"/>
    </row>
  </sheetData>
  <sortState ref="A2:C15">
    <sortCondition ref="A2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11BC3A-A4D5-42BB-9575-F9F228933279}">
  <sheetPr codeName="Sheet9">
    <tabColor theme="4" tint="0.79998168889431442"/>
  </sheetPr>
  <dimension ref="A1:AX291"/>
  <sheetViews>
    <sheetView topLeftCell="AC1" workbookViewId="0">
      <pane ySplit="1" topLeftCell="A267" activePane="bottomLeft" state="frozen"/>
      <selection activeCell="AV2" sqref="AV2"/>
      <selection pane="bottomLeft" activeCell="AG288" sqref="AG288:AG291"/>
    </sheetView>
  </sheetViews>
  <sheetFormatPr defaultRowHeight="15" x14ac:dyDescent="0.25"/>
  <cols>
    <col min="1" max="1" width="7.28515625" bestFit="1" customWidth="1"/>
    <col min="2" max="2" width="15" bestFit="1" customWidth="1"/>
    <col min="3" max="3" width="15.5703125" bestFit="1" customWidth="1"/>
    <col min="4" max="4" width="9.42578125" bestFit="1" customWidth="1"/>
    <col min="5" max="5" width="13.140625" bestFit="1" customWidth="1"/>
    <col min="6" max="6" width="9.5703125" bestFit="1" customWidth="1"/>
    <col min="7" max="7" width="9.42578125" style="1" bestFit="1" customWidth="1"/>
    <col min="8" max="8" width="8" style="1" bestFit="1" customWidth="1"/>
    <col min="9" max="9" width="11.140625" style="1" bestFit="1" customWidth="1"/>
    <col min="10" max="10" width="11" style="1" bestFit="1" customWidth="1"/>
    <col min="11" max="11" width="9.140625" style="1" customWidth="1"/>
    <col min="12" max="12" width="21.85546875" style="1" bestFit="1" customWidth="1"/>
    <col min="13" max="13" width="19.42578125" style="1" bestFit="1" customWidth="1"/>
    <col min="14" max="14" width="19.140625" style="1" bestFit="1" customWidth="1"/>
    <col min="15" max="15" width="10.85546875" style="1" bestFit="1" customWidth="1"/>
    <col min="16" max="16" width="11" style="1" bestFit="1" customWidth="1"/>
    <col min="17" max="17" width="20.42578125" style="1" bestFit="1" customWidth="1"/>
    <col min="18" max="18" width="22.42578125" style="1" bestFit="1" customWidth="1"/>
    <col min="19" max="19" width="23.5703125" style="1" bestFit="1" customWidth="1"/>
    <col min="20" max="20" width="22.42578125" style="1" bestFit="1" customWidth="1"/>
    <col min="21" max="21" width="19.5703125" style="1" bestFit="1" customWidth="1"/>
    <col min="22" max="22" width="15.42578125" style="1" bestFit="1" customWidth="1"/>
    <col min="23" max="23" width="23.85546875" style="1" bestFit="1" customWidth="1"/>
    <col min="24" max="24" width="20.42578125" style="1" bestFit="1" customWidth="1"/>
    <col min="25" max="25" width="21" style="1" bestFit="1" customWidth="1"/>
    <col min="26" max="26" width="16.42578125" style="1" bestFit="1" customWidth="1"/>
    <col min="27" max="27" width="16.5703125" style="1" bestFit="1" customWidth="1"/>
    <col min="28" max="28" width="13.7109375" style="1" bestFit="1" customWidth="1"/>
    <col min="29" max="29" width="14.42578125" style="1" bestFit="1" customWidth="1"/>
    <col min="30" max="30" width="17.140625" style="1" bestFit="1" customWidth="1"/>
    <col min="31" max="32" width="15.140625" style="1" bestFit="1" customWidth="1"/>
    <col min="33" max="33" width="19.28515625" bestFit="1" customWidth="1"/>
    <col min="34" max="34" width="21.5703125" style="1" bestFit="1" customWidth="1"/>
    <col min="35" max="35" width="13.7109375" bestFit="1" customWidth="1"/>
    <col min="36" max="36" width="18" bestFit="1" customWidth="1"/>
    <col min="37" max="37" width="22.7109375" style="1" bestFit="1" customWidth="1"/>
    <col min="38" max="38" width="23" style="1" bestFit="1" customWidth="1"/>
    <col min="39" max="39" width="17.42578125" style="1" bestFit="1" customWidth="1"/>
    <col min="40" max="40" width="20.28515625" style="1" bestFit="1" customWidth="1"/>
    <col min="41" max="42" width="18.28515625" style="1" bestFit="1" customWidth="1"/>
    <col min="43" max="43" width="18.5703125" style="1" bestFit="1" customWidth="1"/>
    <col min="44" max="44" width="49.28515625" bestFit="1" customWidth="1"/>
    <col min="46" max="46" width="14.42578125" bestFit="1" customWidth="1"/>
    <col min="47" max="47" width="12.42578125" bestFit="1" customWidth="1"/>
    <col min="48" max="48" width="16.42578125" bestFit="1" customWidth="1"/>
    <col min="49" max="49" width="17.42578125" bestFit="1" customWidth="1"/>
  </cols>
  <sheetData>
    <row r="1" spans="1:49" x14ac:dyDescent="0.25">
      <c r="A1" s="43" t="s">
        <v>25</v>
      </c>
      <c r="B1" s="43" t="s">
        <v>1837</v>
      </c>
      <c r="C1" s="43" t="s">
        <v>1838</v>
      </c>
      <c r="D1" s="43" t="s">
        <v>220</v>
      </c>
      <c r="E1" s="43" t="s">
        <v>312</v>
      </c>
      <c r="F1" s="43" t="s">
        <v>61</v>
      </c>
      <c r="G1" s="43" t="s">
        <v>37</v>
      </c>
      <c r="H1" s="43" t="s">
        <v>38</v>
      </c>
      <c r="I1" s="43" t="s">
        <v>39</v>
      </c>
      <c r="J1" s="43" t="s">
        <v>313</v>
      </c>
      <c r="K1" s="43" t="s">
        <v>40</v>
      </c>
      <c r="L1" s="43" t="s">
        <v>314</v>
      </c>
      <c r="M1" s="43" t="s">
        <v>315</v>
      </c>
      <c r="N1" s="43" t="s">
        <v>221</v>
      </c>
      <c r="O1" s="43" t="s">
        <v>278</v>
      </c>
      <c r="P1" s="43" t="s">
        <v>316</v>
      </c>
      <c r="Q1" s="43" t="s">
        <v>317</v>
      </c>
      <c r="R1" s="43" t="s">
        <v>318</v>
      </c>
      <c r="S1" s="43" t="s">
        <v>319</v>
      </c>
      <c r="T1" s="43" t="s">
        <v>320</v>
      </c>
      <c r="U1" s="43" t="s">
        <v>321</v>
      </c>
      <c r="V1" s="43" t="s">
        <v>1861</v>
      </c>
      <c r="W1" s="43" t="s">
        <v>1839</v>
      </c>
      <c r="X1" s="43" t="s">
        <v>1840</v>
      </c>
      <c r="Y1" s="43" t="s">
        <v>1841</v>
      </c>
      <c r="Z1" s="43" t="s">
        <v>1842</v>
      </c>
      <c r="AA1" s="43" t="s">
        <v>1843</v>
      </c>
      <c r="AB1" s="43" t="s">
        <v>1844</v>
      </c>
      <c r="AC1" s="43" t="s">
        <v>1845</v>
      </c>
      <c r="AD1" s="43" t="s">
        <v>1846</v>
      </c>
      <c r="AE1" s="43" t="s">
        <v>1847</v>
      </c>
      <c r="AF1" s="43" t="s">
        <v>1848</v>
      </c>
      <c r="AG1" s="43" t="s">
        <v>322</v>
      </c>
      <c r="AH1" s="43" t="s">
        <v>323</v>
      </c>
      <c r="AI1" s="43" t="s">
        <v>1849</v>
      </c>
      <c r="AJ1" s="43" t="s">
        <v>1850</v>
      </c>
      <c r="AK1" s="43" t="s">
        <v>324</v>
      </c>
      <c r="AL1" s="43" t="s">
        <v>1851</v>
      </c>
      <c r="AM1" s="43" t="s">
        <v>1852</v>
      </c>
      <c r="AN1" s="43" t="s">
        <v>1853</v>
      </c>
      <c r="AO1" s="43" t="s">
        <v>1854</v>
      </c>
      <c r="AP1" s="43" t="s">
        <v>1855</v>
      </c>
      <c r="AQ1" s="43" t="s">
        <v>1856</v>
      </c>
      <c r="AR1" s="43" t="s">
        <v>1494</v>
      </c>
      <c r="AS1" s="43" t="s">
        <v>1857</v>
      </c>
      <c r="AT1" s="10" t="s">
        <v>630</v>
      </c>
      <c r="AU1" s="10" t="s">
        <v>1858</v>
      </c>
      <c r="AV1" s="10" t="s">
        <v>1859</v>
      </c>
      <c r="AW1" s="10" t="s">
        <v>1860</v>
      </c>
    </row>
    <row r="2" spans="1:49" x14ac:dyDescent="0.25">
      <c r="A2" s="1">
        <v>1</v>
      </c>
      <c r="B2" s="1" t="s">
        <v>1862</v>
      </c>
      <c r="C2" s="1" t="s">
        <v>1863</v>
      </c>
      <c r="D2" s="1">
        <v>2</v>
      </c>
      <c r="E2" s="1">
        <v>1</v>
      </c>
      <c r="F2" s="1">
        <v>1</v>
      </c>
      <c r="G2" s="1" t="s">
        <v>329</v>
      </c>
      <c r="H2" s="1" t="s">
        <v>329</v>
      </c>
      <c r="I2" s="1" t="s">
        <v>329</v>
      </c>
      <c r="J2" s="1" t="s">
        <v>329</v>
      </c>
      <c r="K2" s="1" t="s">
        <v>329</v>
      </c>
      <c r="L2" s="1" t="s">
        <v>329</v>
      </c>
      <c r="M2" s="1" t="s">
        <v>325</v>
      </c>
      <c r="N2" s="1" t="s">
        <v>329</v>
      </c>
      <c r="O2" s="1" t="s">
        <v>329</v>
      </c>
      <c r="P2" s="1" t="s">
        <v>329</v>
      </c>
      <c r="Q2" s="1" t="s">
        <v>329</v>
      </c>
      <c r="R2" s="1" t="s">
        <v>329</v>
      </c>
      <c r="S2" s="1" t="s">
        <v>329</v>
      </c>
      <c r="T2" s="1" t="s">
        <v>329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1</v>
      </c>
      <c r="AD2" s="1">
        <v>0</v>
      </c>
      <c r="AE2" s="1">
        <v>1</v>
      </c>
      <c r="AF2" s="1">
        <v>0</v>
      </c>
      <c r="AG2" t="s">
        <v>520</v>
      </c>
      <c r="AH2" s="1">
        <v>300</v>
      </c>
      <c r="AI2" s="1" t="s">
        <v>1864</v>
      </c>
      <c r="AJ2" s="1">
        <v>0</v>
      </c>
      <c r="AK2" s="1" t="s">
        <v>329</v>
      </c>
      <c r="AL2" s="1" t="s">
        <v>1865</v>
      </c>
      <c r="AM2" s="1">
        <v>0</v>
      </c>
      <c r="AN2" s="1">
        <v>0</v>
      </c>
      <c r="AO2" s="1">
        <v>0</v>
      </c>
      <c r="AP2" s="1">
        <v>0</v>
      </c>
      <c r="AQ2" s="1">
        <v>1</v>
      </c>
      <c r="AR2" s="1" t="s">
        <v>329</v>
      </c>
      <c r="AS2" s="1">
        <v>0</v>
      </c>
      <c r="AT2" s="1" t="s">
        <v>1866</v>
      </c>
      <c r="AU2" s="1">
        <v>0</v>
      </c>
      <c r="AV2" s="1">
        <v>1001</v>
      </c>
      <c r="AW2" s="1">
        <v>0</v>
      </c>
    </row>
    <row r="3" spans="1:49" x14ac:dyDescent="0.25">
      <c r="A3" s="1">
        <v>2</v>
      </c>
      <c r="B3" s="1" t="s">
        <v>1867</v>
      </c>
      <c r="C3" s="1" t="s">
        <v>1868</v>
      </c>
      <c r="D3" s="1">
        <v>3</v>
      </c>
      <c r="E3" s="1">
        <v>1</v>
      </c>
      <c r="F3" s="1">
        <v>1</v>
      </c>
      <c r="G3" s="1" t="s">
        <v>329</v>
      </c>
      <c r="H3" s="1" t="s">
        <v>329</v>
      </c>
      <c r="I3" s="1" t="s">
        <v>329</v>
      </c>
      <c r="J3" s="1" t="s">
        <v>329</v>
      </c>
      <c r="K3" s="1" t="s">
        <v>329</v>
      </c>
      <c r="L3" s="1" t="s">
        <v>329</v>
      </c>
      <c r="M3" s="1" t="s">
        <v>326</v>
      </c>
      <c r="N3" s="1" t="s">
        <v>329</v>
      </c>
      <c r="O3" s="1" t="s">
        <v>329</v>
      </c>
      <c r="P3" s="1" t="s">
        <v>329</v>
      </c>
      <c r="Q3" s="1" t="s">
        <v>329</v>
      </c>
      <c r="R3" s="1" t="s">
        <v>329</v>
      </c>
      <c r="S3" s="1" t="s">
        <v>329</v>
      </c>
      <c r="T3" s="1" t="s">
        <v>329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2</v>
      </c>
      <c r="AD3" s="1">
        <v>0</v>
      </c>
      <c r="AE3" s="1">
        <v>1</v>
      </c>
      <c r="AF3" s="1">
        <v>0</v>
      </c>
      <c r="AG3" t="s">
        <v>521</v>
      </c>
      <c r="AH3" s="1">
        <v>1200</v>
      </c>
      <c r="AI3" s="1" t="s">
        <v>1864</v>
      </c>
      <c r="AJ3" s="1">
        <v>0</v>
      </c>
      <c r="AK3" s="1" t="s">
        <v>329</v>
      </c>
      <c r="AL3" s="1" t="s">
        <v>1869</v>
      </c>
      <c r="AM3" s="1">
        <v>0.45</v>
      </c>
      <c r="AN3" s="1">
        <v>0.15</v>
      </c>
      <c r="AO3" s="1">
        <v>0.3</v>
      </c>
      <c r="AP3" s="1">
        <v>0.15</v>
      </c>
      <c r="AQ3" s="1">
        <v>1</v>
      </c>
      <c r="AR3" s="1" t="s">
        <v>1495</v>
      </c>
      <c r="AS3" s="1">
        <v>0</v>
      </c>
      <c r="AT3" s="1" t="s">
        <v>1866</v>
      </c>
      <c r="AU3" s="1">
        <v>10</v>
      </c>
      <c r="AV3" s="1">
        <v>1001</v>
      </c>
      <c r="AW3" s="1">
        <v>0</v>
      </c>
    </row>
    <row r="4" spans="1:49" x14ac:dyDescent="0.25">
      <c r="A4" s="1">
        <v>3</v>
      </c>
      <c r="B4" s="1" t="s">
        <v>1870</v>
      </c>
      <c r="C4" s="1" t="s">
        <v>1871</v>
      </c>
      <c r="D4" s="1">
        <v>4</v>
      </c>
      <c r="E4" s="1">
        <v>1</v>
      </c>
      <c r="F4" s="1">
        <v>1</v>
      </c>
      <c r="G4" s="1" t="s">
        <v>329</v>
      </c>
      <c r="H4" s="1" t="s">
        <v>329</v>
      </c>
      <c r="I4" s="1" t="s">
        <v>329</v>
      </c>
      <c r="J4" s="1" t="s">
        <v>329</v>
      </c>
      <c r="K4" s="1" t="s">
        <v>329</v>
      </c>
      <c r="L4" s="1" t="s">
        <v>329</v>
      </c>
      <c r="M4" s="1" t="s">
        <v>327</v>
      </c>
      <c r="N4" s="1" t="s">
        <v>329</v>
      </c>
      <c r="O4" s="1" t="s">
        <v>329</v>
      </c>
      <c r="P4" s="1" t="s">
        <v>329</v>
      </c>
      <c r="Q4" s="1" t="s">
        <v>329</v>
      </c>
      <c r="R4" s="1" t="s">
        <v>329</v>
      </c>
      <c r="S4" s="1" t="s">
        <v>329</v>
      </c>
      <c r="T4" s="1" t="s">
        <v>329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3</v>
      </c>
      <c r="AD4" s="1">
        <v>0</v>
      </c>
      <c r="AE4" s="1">
        <v>2</v>
      </c>
      <c r="AF4" s="1">
        <v>1</v>
      </c>
      <c r="AG4" t="s">
        <v>522</v>
      </c>
      <c r="AH4" s="1">
        <v>2100</v>
      </c>
      <c r="AI4" s="1" t="s">
        <v>1864</v>
      </c>
      <c r="AJ4" s="1">
        <v>0</v>
      </c>
      <c r="AK4" s="1" t="s">
        <v>329</v>
      </c>
      <c r="AL4" s="1" t="s">
        <v>1872</v>
      </c>
      <c r="AM4" s="1">
        <v>0.45</v>
      </c>
      <c r="AN4" s="1">
        <v>0.15</v>
      </c>
      <c r="AO4" s="1">
        <v>0.3</v>
      </c>
      <c r="AP4" s="1">
        <v>0.15</v>
      </c>
      <c r="AQ4" s="1">
        <v>1</v>
      </c>
      <c r="AR4" s="1" t="s">
        <v>1495</v>
      </c>
      <c r="AS4" s="1">
        <v>0</v>
      </c>
      <c r="AT4" s="1" t="s">
        <v>1866</v>
      </c>
      <c r="AU4" s="1">
        <v>10</v>
      </c>
      <c r="AV4" s="1">
        <v>1001</v>
      </c>
      <c r="AW4" s="1">
        <v>0</v>
      </c>
    </row>
    <row r="5" spans="1:49" x14ac:dyDescent="0.25">
      <c r="A5" s="1">
        <v>4</v>
      </c>
      <c r="B5" s="1" t="s">
        <v>1873</v>
      </c>
      <c r="C5" s="1" t="s">
        <v>1874</v>
      </c>
      <c r="D5" s="1">
        <v>5</v>
      </c>
      <c r="E5" s="1">
        <v>1</v>
      </c>
      <c r="F5" s="1">
        <v>1</v>
      </c>
      <c r="G5" s="1" t="s">
        <v>329</v>
      </c>
      <c r="H5" s="1" t="s">
        <v>329</v>
      </c>
      <c r="I5" s="1" t="s">
        <v>329</v>
      </c>
      <c r="J5" s="1" t="s">
        <v>329</v>
      </c>
      <c r="K5" s="1" t="s">
        <v>329</v>
      </c>
      <c r="L5" s="1" t="s">
        <v>329</v>
      </c>
      <c r="M5" s="1" t="s">
        <v>328</v>
      </c>
      <c r="N5" s="1" t="s">
        <v>329</v>
      </c>
      <c r="O5" s="1" t="s">
        <v>329</v>
      </c>
      <c r="P5" s="1" t="s">
        <v>329</v>
      </c>
      <c r="Q5" s="1" t="s">
        <v>329</v>
      </c>
      <c r="R5" s="1" t="s">
        <v>329</v>
      </c>
      <c r="S5" s="1" t="s">
        <v>329</v>
      </c>
      <c r="T5" s="1" t="s">
        <v>329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4</v>
      </c>
      <c r="AD5" s="1">
        <v>0</v>
      </c>
      <c r="AE5" s="1">
        <v>3</v>
      </c>
      <c r="AF5" s="1">
        <v>2</v>
      </c>
      <c r="AG5" t="s">
        <v>523</v>
      </c>
      <c r="AH5" s="1">
        <v>2700</v>
      </c>
      <c r="AI5" s="1" t="s">
        <v>1864</v>
      </c>
      <c r="AJ5" s="1">
        <v>0</v>
      </c>
      <c r="AK5" s="1" t="s">
        <v>329</v>
      </c>
      <c r="AL5" s="1" t="s">
        <v>1875</v>
      </c>
      <c r="AM5" s="1">
        <v>0.45</v>
      </c>
      <c r="AN5" s="1">
        <v>0.15</v>
      </c>
      <c r="AO5" s="1">
        <v>0.3</v>
      </c>
      <c r="AP5" s="1">
        <v>0.15</v>
      </c>
      <c r="AQ5" s="1">
        <v>1</v>
      </c>
      <c r="AR5" s="1" t="s">
        <v>1495</v>
      </c>
      <c r="AS5" s="1">
        <v>0</v>
      </c>
      <c r="AT5" s="1" t="s">
        <v>1866</v>
      </c>
      <c r="AU5" s="1">
        <v>10</v>
      </c>
      <c r="AV5" s="1">
        <v>1001</v>
      </c>
      <c r="AW5" s="1">
        <v>0</v>
      </c>
    </row>
    <row r="6" spans="1:49" x14ac:dyDescent="0.25">
      <c r="A6" s="1">
        <v>5</v>
      </c>
      <c r="B6" s="1" t="s">
        <v>1876</v>
      </c>
      <c r="C6" s="1" t="s">
        <v>1877</v>
      </c>
      <c r="D6" s="1">
        <v>2</v>
      </c>
      <c r="E6" s="1">
        <v>1</v>
      </c>
      <c r="F6" s="1">
        <v>2</v>
      </c>
      <c r="G6" s="1" t="s">
        <v>330</v>
      </c>
      <c r="H6" s="1" t="s">
        <v>330</v>
      </c>
      <c r="I6" s="1" t="s">
        <v>329</v>
      </c>
      <c r="J6" s="1" t="s">
        <v>329</v>
      </c>
      <c r="K6" s="1" t="s">
        <v>331</v>
      </c>
      <c r="L6" s="1" t="s">
        <v>329</v>
      </c>
      <c r="M6" s="1" t="s">
        <v>329</v>
      </c>
      <c r="N6" s="1" t="s">
        <v>329</v>
      </c>
      <c r="O6" s="1" t="s">
        <v>329</v>
      </c>
      <c r="P6" s="1" t="s">
        <v>329</v>
      </c>
      <c r="Q6" s="1" t="s">
        <v>329</v>
      </c>
      <c r="R6" s="1" t="s">
        <v>329</v>
      </c>
      <c r="S6" s="1" t="s">
        <v>329</v>
      </c>
      <c r="T6" s="1" t="s">
        <v>329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1</v>
      </c>
      <c r="AD6" s="1">
        <v>0</v>
      </c>
      <c r="AE6" s="1">
        <v>1</v>
      </c>
      <c r="AF6" s="1">
        <v>0</v>
      </c>
      <c r="AG6" t="s">
        <v>524</v>
      </c>
      <c r="AH6" s="1">
        <v>480</v>
      </c>
      <c r="AI6" s="1" t="s">
        <v>714</v>
      </c>
      <c r="AJ6" s="1">
        <v>0</v>
      </c>
      <c r="AK6" s="1" t="s">
        <v>329</v>
      </c>
      <c r="AL6" s="1" t="s">
        <v>1878</v>
      </c>
      <c r="AM6" s="1">
        <v>0</v>
      </c>
      <c r="AN6" s="1">
        <v>0</v>
      </c>
      <c r="AO6" s="1">
        <v>0</v>
      </c>
      <c r="AP6" s="1">
        <v>0</v>
      </c>
      <c r="AQ6" s="1">
        <v>1</v>
      </c>
      <c r="AR6" s="1" t="s">
        <v>329</v>
      </c>
      <c r="AS6" s="1">
        <v>0</v>
      </c>
      <c r="AT6" s="1" t="s">
        <v>1866</v>
      </c>
      <c r="AU6" s="1">
        <v>0</v>
      </c>
      <c r="AV6" s="1">
        <v>2001</v>
      </c>
      <c r="AW6" s="1">
        <v>0</v>
      </c>
    </row>
    <row r="7" spans="1:49" x14ac:dyDescent="0.25">
      <c r="A7" s="1">
        <v>6</v>
      </c>
      <c r="B7" s="1" t="s">
        <v>1879</v>
      </c>
      <c r="C7" s="1" t="s">
        <v>1880</v>
      </c>
      <c r="D7" s="1">
        <v>3</v>
      </c>
      <c r="E7" s="1">
        <v>1</v>
      </c>
      <c r="F7" s="1">
        <v>2</v>
      </c>
      <c r="G7" s="1" t="s">
        <v>332</v>
      </c>
      <c r="H7" s="1" t="s">
        <v>333</v>
      </c>
      <c r="I7" s="1" t="s">
        <v>329</v>
      </c>
      <c r="J7" s="1" t="s">
        <v>329</v>
      </c>
      <c r="K7" s="1" t="s">
        <v>334</v>
      </c>
      <c r="L7" s="1" t="s">
        <v>329</v>
      </c>
      <c r="M7" s="1" t="s">
        <v>329</v>
      </c>
      <c r="N7" s="1" t="s">
        <v>329</v>
      </c>
      <c r="O7" s="1" t="s">
        <v>329</v>
      </c>
      <c r="P7" s="1" t="s">
        <v>329</v>
      </c>
      <c r="Q7" s="1" t="s">
        <v>329</v>
      </c>
      <c r="R7" s="1" t="s">
        <v>329</v>
      </c>
      <c r="S7" s="1" t="s">
        <v>329</v>
      </c>
      <c r="T7" s="1" t="s">
        <v>329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2</v>
      </c>
      <c r="AD7" s="1">
        <v>0</v>
      </c>
      <c r="AE7" s="1">
        <v>1</v>
      </c>
      <c r="AF7" s="1">
        <v>0</v>
      </c>
      <c r="AG7" t="s">
        <v>525</v>
      </c>
      <c r="AH7" s="1">
        <v>1380</v>
      </c>
      <c r="AI7" s="1" t="s">
        <v>714</v>
      </c>
      <c r="AJ7" s="1">
        <v>0</v>
      </c>
      <c r="AK7" s="1" t="s">
        <v>329</v>
      </c>
      <c r="AL7" s="1" t="s">
        <v>1881</v>
      </c>
      <c r="AM7" s="1">
        <v>0.45</v>
      </c>
      <c r="AN7" s="1">
        <v>0.15</v>
      </c>
      <c r="AO7" s="1">
        <v>0.3</v>
      </c>
      <c r="AP7" s="1">
        <v>0.15</v>
      </c>
      <c r="AQ7" s="1">
        <v>1</v>
      </c>
      <c r="AR7" s="1" t="s">
        <v>1496</v>
      </c>
      <c r="AS7" s="1">
        <v>0</v>
      </c>
      <c r="AT7" s="1" t="s">
        <v>1866</v>
      </c>
      <c r="AU7" s="1">
        <v>10</v>
      </c>
      <c r="AV7" s="1">
        <v>2001</v>
      </c>
      <c r="AW7" s="1">
        <v>0</v>
      </c>
    </row>
    <row r="8" spans="1:49" x14ac:dyDescent="0.25">
      <c r="A8" s="1">
        <v>7</v>
      </c>
      <c r="B8" s="1" t="s">
        <v>1882</v>
      </c>
      <c r="C8" s="1" t="s">
        <v>1883</v>
      </c>
      <c r="D8" s="1">
        <v>4</v>
      </c>
      <c r="E8" s="1">
        <v>1</v>
      </c>
      <c r="F8" s="1">
        <v>2</v>
      </c>
      <c r="G8" s="1" t="s">
        <v>335</v>
      </c>
      <c r="H8" s="1" t="s">
        <v>336</v>
      </c>
      <c r="I8" s="1" t="s">
        <v>329</v>
      </c>
      <c r="J8" s="1" t="s">
        <v>329</v>
      </c>
      <c r="K8" s="1" t="s">
        <v>337</v>
      </c>
      <c r="L8" s="1" t="s">
        <v>329</v>
      </c>
      <c r="M8" s="1" t="s">
        <v>329</v>
      </c>
      <c r="N8" s="1" t="s">
        <v>329</v>
      </c>
      <c r="O8" s="1" t="s">
        <v>329</v>
      </c>
      <c r="P8" s="1" t="s">
        <v>329</v>
      </c>
      <c r="Q8" s="1" t="s">
        <v>329</v>
      </c>
      <c r="R8" s="1" t="s">
        <v>329</v>
      </c>
      <c r="S8" s="1" t="s">
        <v>329</v>
      </c>
      <c r="T8" s="1" t="s">
        <v>329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3</v>
      </c>
      <c r="AD8" s="1">
        <v>0</v>
      </c>
      <c r="AE8" s="1">
        <v>2</v>
      </c>
      <c r="AF8" s="1">
        <v>1</v>
      </c>
      <c r="AG8" t="s">
        <v>526</v>
      </c>
      <c r="AH8" s="1">
        <v>2280</v>
      </c>
      <c r="AI8" s="1" t="s">
        <v>714</v>
      </c>
      <c r="AJ8" s="1">
        <v>0</v>
      </c>
      <c r="AK8" s="1" t="s">
        <v>329</v>
      </c>
      <c r="AL8" s="1" t="s">
        <v>1884</v>
      </c>
      <c r="AM8" s="1">
        <v>0.45</v>
      </c>
      <c r="AN8" s="1">
        <v>0.15</v>
      </c>
      <c r="AO8" s="1">
        <v>0.3</v>
      </c>
      <c r="AP8" s="1">
        <v>0.15</v>
      </c>
      <c r="AQ8" s="1">
        <v>1</v>
      </c>
      <c r="AR8" s="1" t="s">
        <v>1497</v>
      </c>
      <c r="AS8" s="1">
        <v>0</v>
      </c>
      <c r="AT8" s="1" t="s">
        <v>1866</v>
      </c>
      <c r="AU8" s="1">
        <v>10</v>
      </c>
      <c r="AV8" s="1">
        <v>2001</v>
      </c>
      <c r="AW8" s="1">
        <v>0</v>
      </c>
    </row>
    <row r="9" spans="1:49" x14ac:dyDescent="0.25">
      <c r="A9" s="1">
        <v>8</v>
      </c>
      <c r="B9" s="1" t="s">
        <v>1885</v>
      </c>
      <c r="C9" s="1" t="s">
        <v>1886</v>
      </c>
      <c r="D9" s="1">
        <v>5</v>
      </c>
      <c r="E9" s="1">
        <v>1</v>
      </c>
      <c r="F9" s="1">
        <v>2</v>
      </c>
      <c r="G9" s="1" t="s">
        <v>338</v>
      </c>
      <c r="H9" s="1" t="s">
        <v>339</v>
      </c>
      <c r="I9" s="1" t="s">
        <v>329</v>
      </c>
      <c r="J9" s="1" t="s">
        <v>329</v>
      </c>
      <c r="K9" s="1" t="s">
        <v>340</v>
      </c>
      <c r="L9" s="1" t="s">
        <v>329</v>
      </c>
      <c r="M9" s="1" t="s">
        <v>329</v>
      </c>
      <c r="N9" s="1" t="s">
        <v>329</v>
      </c>
      <c r="O9" s="1" t="s">
        <v>329</v>
      </c>
      <c r="P9" s="1" t="s">
        <v>329</v>
      </c>
      <c r="Q9" s="1" t="s">
        <v>329</v>
      </c>
      <c r="R9" s="1" t="s">
        <v>329</v>
      </c>
      <c r="S9" s="1" t="s">
        <v>329</v>
      </c>
      <c r="T9" s="1" t="s">
        <v>329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4</v>
      </c>
      <c r="AD9" s="1">
        <v>0</v>
      </c>
      <c r="AE9" s="1">
        <v>3</v>
      </c>
      <c r="AF9" s="1">
        <v>2</v>
      </c>
      <c r="AG9" t="s">
        <v>527</v>
      </c>
      <c r="AH9" s="1">
        <v>2880</v>
      </c>
      <c r="AI9" s="1" t="s">
        <v>714</v>
      </c>
      <c r="AJ9" s="1">
        <v>0</v>
      </c>
      <c r="AK9" s="1" t="s">
        <v>329</v>
      </c>
      <c r="AL9" s="1" t="s">
        <v>1887</v>
      </c>
      <c r="AM9" s="1">
        <v>0.45</v>
      </c>
      <c r="AN9" s="1">
        <v>0.15</v>
      </c>
      <c r="AO9" s="1">
        <v>0.3</v>
      </c>
      <c r="AP9" s="1">
        <v>0.15</v>
      </c>
      <c r="AQ9" s="1">
        <v>1</v>
      </c>
      <c r="AR9" s="1" t="s">
        <v>1497</v>
      </c>
      <c r="AS9" s="1">
        <v>0</v>
      </c>
      <c r="AT9" s="1" t="s">
        <v>1866</v>
      </c>
      <c r="AU9" s="1">
        <v>10</v>
      </c>
      <c r="AV9" s="1">
        <v>2001</v>
      </c>
      <c r="AW9" s="1">
        <v>0</v>
      </c>
    </row>
    <row r="10" spans="1:49" x14ac:dyDescent="0.25">
      <c r="A10" s="1">
        <v>9</v>
      </c>
      <c r="B10" s="1" t="s">
        <v>1888</v>
      </c>
      <c r="C10" s="1" t="s">
        <v>1889</v>
      </c>
      <c r="D10" s="1">
        <v>2</v>
      </c>
      <c r="E10" s="1">
        <v>1</v>
      </c>
      <c r="F10" s="1">
        <v>3</v>
      </c>
      <c r="G10" s="1" t="s">
        <v>329</v>
      </c>
      <c r="H10" s="1" t="s">
        <v>335</v>
      </c>
      <c r="I10" s="1" t="s">
        <v>329</v>
      </c>
      <c r="J10" s="1" t="s">
        <v>329</v>
      </c>
      <c r="K10" s="1" t="s">
        <v>331</v>
      </c>
      <c r="L10" s="1" t="s">
        <v>329</v>
      </c>
      <c r="M10" s="1" t="s">
        <v>329</v>
      </c>
      <c r="N10" s="1" t="s">
        <v>329</v>
      </c>
      <c r="O10" s="1" t="s">
        <v>329</v>
      </c>
      <c r="P10" s="1" t="s">
        <v>329</v>
      </c>
      <c r="Q10" s="1" t="s">
        <v>329</v>
      </c>
      <c r="R10" s="1" t="s">
        <v>329</v>
      </c>
      <c r="S10" s="1" t="s">
        <v>329</v>
      </c>
      <c r="T10" s="1" t="s">
        <v>329</v>
      </c>
      <c r="U10" s="1">
        <v>0</v>
      </c>
      <c r="V10" s="1">
        <v>0</v>
      </c>
      <c r="W10" s="1">
        <v>0</v>
      </c>
      <c r="X10" s="1">
        <v>0</v>
      </c>
      <c r="Y10" s="1">
        <v>0</v>
      </c>
      <c r="Z10" s="1">
        <v>0</v>
      </c>
      <c r="AA10" s="1">
        <v>0</v>
      </c>
      <c r="AB10" s="1">
        <v>0</v>
      </c>
      <c r="AC10" s="1">
        <v>1</v>
      </c>
      <c r="AD10" s="1">
        <v>0</v>
      </c>
      <c r="AE10" s="1">
        <v>1</v>
      </c>
      <c r="AF10" s="1">
        <v>0</v>
      </c>
      <c r="AG10" t="s">
        <v>6435</v>
      </c>
      <c r="AH10" s="1">
        <v>600</v>
      </c>
      <c r="AI10" s="1" t="s">
        <v>1890</v>
      </c>
      <c r="AJ10" s="1">
        <v>0</v>
      </c>
      <c r="AK10" s="1" t="s">
        <v>329</v>
      </c>
      <c r="AL10" s="1" t="s">
        <v>1891</v>
      </c>
      <c r="AM10" s="1">
        <v>0</v>
      </c>
      <c r="AN10" s="1">
        <v>0</v>
      </c>
      <c r="AO10" s="1">
        <v>0</v>
      </c>
      <c r="AP10" s="1">
        <v>0</v>
      </c>
      <c r="AQ10" s="1">
        <v>1</v>
      </c>
      <c r="AR10" s="1" t="s">
        <v>329</v>
      </c>
      <c r="AS10" s="1">
        <v>0</v>
      </c>
      <c r="AT10" s="1" t="s">
        <v>1866</v>
      </c>
      <c r="AU10" s="1">
        <v>0</v>
      </c>
      <c r="AV10" s="1">
        <v>3001</v>
      </c>
      <c r="AW10" s="1">
        <v>0</v>
      </c>
    </row>
    <row r="11" spans="1:49" x14ac:dyDescent="0.25">
      <c r="A11" s="1">
        <v>10</v>
      </c>
      <c r="B11" s="1" t="s">
        <v>1892</v>
      </c>
      <c r="C11" s="1" t="s">
        <v>1893</v>
      </c>
      <c r="D11" s="1">
        <v>3</v>
      </c>
      <c r="E11" s="1">
        <v>1</v>
      </c>
      <c r="F11" s="1">
        <v>3</v>
      </c>
      <c r="G11" s="1" t="s">
        <v>329</v>
      </c>
      <c r="H11" s="1" t="s">
        <v>338</v>
      </c>
      <c r="I11" s="1" t="s">
        <v>329</v>
      </c>
      <c r="J11" s="1" t="s">
        <v>329</v>
      </c>
      <c r="K11" s="1" t="s">
        <v>341</v>
      </c>
      <c r="L11" s="1" t="s">
        <v>329</v>
      </c>
      <c r="M11" s="1" t="s">
        <v>329</v>
      </c>
      <c r="N11" s="1" t="s">
        <v>329</v>
      </c>
      <c r="O11" s="1" t="s">
        <v>329</v>
      </c>
      <c r="P11" s="1" t="s">
        <v>329</v>
      </c>
      <c r="Q11" s="1" t="s">
        <v>329</v>
      </c>
      <c r="R11" s="1" t="s">
        <v>329</v>
      </c>
      <c r="S11" s="1" t="s">
        <v>329</v>
      </c>
      <c r="T11" s="1" t="s">
        <v>329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2</v>
      </c>
      <c r="AD11" s="1">
        <v>0</v>
      </c>
      <c r="AE11" s="1">
        <v>1</v>
      </c>
      <c r="AF11" s="1">
        <v>0</v>
      </c>
      <c r="AG11" t="s">
        <v>6436</v>
      </c>
      <c r="AH11" s="1">
        <v>1500</v>
      </c>
      <c r="AI11" s="1" t="s">
        <v>1890</v>
      </c>
      <c r="AJ11" s="1">
        <v>0</v>
      </c>
      <c r="AK11" s="1" t="s">
        <v>329</v>
      </c>
      <c r="AL11" s="1" t="s">
        <v>1894</v>
      </c>
      <c r="AM11" s="1">
        <v>0.45</v>
      </c>
      <c r="AN11" s="1">
        <v>0.15</v>
      </c>
      <c r="AO11" s="1">
        <v>0.3</v>
      </c>
      <c r="AP11" s="1">
        <v>0.15</v>
      </c>
      <c r="AQ11" s="1">
        <v>1</v>
      </c>
      <c r="AR11" s="1" t="s">
        <v>1498</v>
      </c>
      <c r="AS11" s="1">
        <v>0</v>
      </c>
      <c r="AT11" s="1" t="s">
        <v>1866</v>
      </c>
      <c r="AU11" s="1">
        <v>10</v>
      </c>
      <c r="AV11" s="1">
        <v>3001</v>
      </c>
      <c r="AW11" s="1">
        <v>0</v>
      </c>
    </row>
    <row r="12" spans="1:49" x14ac:dyDescent="0.25">
      <c r="A12" s="1">
        <v>11</v>
      </c>
      <c r="B12" s="1" t="s">
        <v>1895</v>
      </c>
      <c r="C12" s="1" t="s">
        <v>1896</v>
      </c>
      <c r="D12" s="1">
        <v>4</v>
      </c>
      <c r="E12" s="1">
        <v>1</v>
      </c>
      <c r="F12" s="1">
        <v>3</v>
      </c>
      <c r="G12" s="1" t="s">
        <v>329</v>
      </c>
      <c r="H12" s="1" t="s">
        <v>342</v>
      </c>
      <c r="I12" s="1" t="s">
        <v>329</v>
      </c>
      <c r="J12" s="1" t="s">
        <v>329</v>
      </c>
      <c r="K12" s="1" t="s">
        <v>343</v>
      </c>
      <c r="L12" s="1" t="s">
        <v>329</v>
      </c>
      <c r="M12" s="1" t="s">
        <v>329</v>
      </c>
      <c r="N12" s="1" t="s">
        <v>329</v>
      </c>
      <c r="O12" s="1" t="s">
        <v>329</v>
      </c>
      <c r="P12" s="1" t="s">
        <v>329</v>
      </c>
      <c r="Q12" s="1" t="s">
        <v>329</v>
      </c>
      <c r="R12" s="1" t="s">
        <v>329</v>
      </c>
      <c r="S12" s="1" t="s">
        <v>329</v>
      </c>
      <c r="T12" s="1" t="s">
        <v>329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3</v>
      </c>
      <c r="AD12" s="1">
        <v>0</v>
      </c>
      <c r="AE12" s="1">
        <v>2</v>
      </c>
      <c r="AF12" s="1">
        <v>1</v>
      </c>
      <c r="AG12" t="s">
        <v>6437</v>
      </c>
      <c r="AH12" s="1">
        <v>2400</v>
      </c>
      <c r="AI12" s="1" t="s">
        <v>1890</v>
      </c>
      <c r="AJ12" s="1">
        <v>0</v>
      </c>
      <c r="AK12" s="1" t="s">
        <v>329</v>
      </c>
      <c r="AL12" s="1" t="s">
        <v>1897</v>
      </c>
      <c r="AM12" s="1">
        <v>0.45</v>
      </c>
      <c r="AN12" s="1">
        <v>0.15</v>
      </c>
      <c r="AO12" s="1">
        <v>0.3</v>
      </c>
      <c r="AP12" s="1">
        <v>0.15</v>
      </c>
      <c r="AQ12" s="1">
        <v>1</v>
      </c>
      <c r="AR12" s="1" t="s">
        <v>1498</v>
      </c>
      <c r="AS12" s="1">
        <v>0</v>
      </c>
      <c r="AT12" s="1" t="s">
        <v>1866</v>
      </c>
      <c r="AU12" s="1">
        <v>10</v>
      </c>
      <c r="AV12" s="1">
        <v>3001</v>
      </c>
      <c r="AW12" s="1">
        <v>0</v>
      </c>
    </row>
    <row r="13" spans="1:49" x14ac:dyDescent="0.25">
      <c r="A13" s="1">
        <v>12</v>
      </c>
      <c r="B13" s="1" t="s">
        <v>1898</v>
      </c>
      <c r="C13" s="1" t="s">
        <v>1899</v>
      </c>
      <c r="D13" s="1">
        <v>5</v>
      </c>
      <c r="E13" s="1">
        <v>1</v>
      </c>
      <c r="F13" s="1">
        <v>3</v>
      </c>
      <c r="G13" s="1" t="s">
        <v>329</v>
      </c>
      <c r="H13" s="1" t="s">
        <v>344</v>
      </c>
      <c r="I13" s="1" t="s">
        <v>329</v>
      </c>
      <c r="J13" s="1" t="s">
        <v>329</v>
      </c>
      <c r="K13" s="1" t="s">
        <v>345</v>
      </c>
      <c r="L13" s="1" t="s">
        <v>329</v>
      </c>
      <c r="M13" s="1" t="s">
        <v>329</v>
      </c>
      <c r="N13" s="1" t="s">
        <v>329</v>
      </c>
      <c r="O13" s="1" t="s">
        <v>329</v>
      </c>
      <c r="P13" s="1" t="s">
        <v>329</v>
      </c>
      <c r="Q13" s="1" t="s">
        <v>329</v>
      </c>
      <c r="R13" s="1" t="s">
        <v>329</v>
      </c>
      <c r="S13" s="1" t="s">
        <v>329</v>
      </c>
      <c r="T13" s="1" t="s">
        <v>329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4</v>
      </c>
      <c r="AD13" s="1">
        <v>0</v>
      </c>
      <c r="AE13" s="1">
        <v>3</v>
      </c>
      <c r="AF13" s="1">
        <v>2</v>
      </c>
      <c r="AG13" t="s">
        <v>6438</v>
      </c>
      <c r="AH13" s="1">
        <v>3000</v>
      </c>
      <c r="AI13" s="1" t="s">
        <v>1890</v>
      </c>
      <c r="AJ13" s="1">
        <v>0</v>
      </c>
      <c r="AK13" s="1" t="s">
        <v>329</v>
      </c>
      <c r="AL13" s="1" t="s">
        <v>1900</v>
      </c>
      <c r="AM13" s="1">
        <v>0.45</v>
      </c>
      <c r="AN13" s="1">
        <v>0.15</v>
      </c>
      <c r="AO13" s="1">
        <v>0.3</v>
      </c>
      <c r="AP13" s="1">
        <v>0.15</v>
      </c>
      <c r="AQ13" s="1">
        <v>1</v>
      </c>
      <c r="AR13" s="1" t="s">
        <v>1498</v>
      </c>
      <c r="AS13" s="1">
        <v>0</v>
      </c>
      <c r="AT13" s="1" t="s">
        <v>1866</v>
      </c>
      <c r="AU13" s="1">
        <v>10</v>
      </c>
      <c r="AV13" s="1">
        <v>3001</v>
      </c>
      <c r="AW13" s="1">
        <v>0</v>
      </c>
    </row>
    <row r="14" spans="1:49" x14ac:dyDescent="0.25">
      <c r="A14" s="1">
        <v>13</v>
      </c>
      <c r="B14" s="1" t="s">
        <v>1901</v>
      </c>
      <c r="C14" s="1" t="s">
        <v>1902</v>
      </c>
      <c r="D14" s="1">
        <v>2</v>
      </c>
      <c r="E14" s="1">
        <v>1</v>
      </c>
      <c r="F14" s="1">
        <v>4</v>
      </c>
      <c r="G14" s="1" t="s">
        <v>329</v>
      </c>
      <c r="H14" s="1" t="s">
        <v>329</v>
      </c>
      <c r="I14" s="1" t="s">
        <v>329</v>
      </c>
      <c r="J14" s="1" t="s">
        <v>329</v>
      </c>
      <c r="K14" s="1" t="s">
        <v>329</v>
      </c>
      <c r="L14" s="1" t="s">
        <v>329</v>
      </c>
      <c r="M14" s="1" t="s">
        <v>329</v>
      </c>
      <c r="N14" s="1" t="s">
        <v>329</v>
      </c>
      <c r="O14" s="1" t="s">
        <v>329</v>
      </c>
      <c r="P14" s="1" t="s">
        <v>329</v>
      </c>
      <c r="Q14" s="1" t="s">
        <v>329</v>
      </c>
      <c r="R14" s="1" t="s">
        <v>329</v>
      </c>
      <c r="S14" s="1" t="s">
        <v>346</v>
      </c>
      <c r="T14" s="1" t="s">
        <v>329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1</v>
      </c>
      <c r="AD14" s="1">
        <v>0</v>
      </c>
      <c r="AE14" s="1">
        <v>1</v>
      </c>
      <c r="AF14" s="1">
        <v>0</v>
      </c>
      <c r="AG14" t="s">
        <v>528</v>
      </c>
      <c r="AH14" s="1">
        <v>540</v>
      </c>
      <c r="AI14" s="1" t="s">
        <v>1903</v>
      </c>
      <c r="AJ14" s="1">
        <v>0</v>
      </c>
      <c r="AK14" s="1" t="s">
        <v>329</v>
      </c>
      <c r="AL14" s="1" t="s">
        <v>1904</v>
      </c>
      <c r="AM14" s="1">
        <v>0</v>
      </c>
      <c r="AN14" s="1">
        <v>0</v>
      </c>
      <c r="AO14" s="1">
        <v>0</v>
      </c>
      <c r="AP14" s="1">
        <v>0</v>
      </c>
      <c r="AQ14" s="1">
        <v>1</v>
      </c>
      <c r="AR14" s="1" t="s">
        <v>329</v>
      </c>
      <c r="AS14" s="1">
        <v>0</v>
      </c>
      <c r="AT14" s="1" t="s">
        <v>1866</v>
      </c>
      <c r="AU14" s="1">
        <v>0</v>
      </c>
      <c r="AV14" s="1">
        <v>4001</v>
      </c>
      <c r="AW14" s="1">
        <v>0</v>
      </c>
    </row>
    <row r="15" spans="1:49" x14ac:dyDescent="0.25">
      <c r="A15" s="1">
        <v>14</v>
      </c>
      <c r="B15" s="1" t="s">
        <v>1905</v>
      </c>
      <c r="C15" s="1" t="s">
        <v>1906</v>
      </c>
      <c r="D15" s="1">
        <v>3</v>
      </c>
      <c r="E15" s="1">
        <v>1</v>
      </c>
      <c r="F15" s="1">
        <v>4</v>
      </c>
      <c r="G15" s="1" t="s">
        <v>329</v>
      </c>
      <c r="H15" s="1" t="s">
        <v>329</v>
      </c>
      <c r="I15" s="1" t="s">
        <v>329</v>
      </c>
      <c r="J15" s="1" t="s">
        <v>329</v>
      </c>
      <c r="K15" s="1" t="s">
        <v>329</v>
      </c>
      <c r="L15" s="1" t="s">
        <v>329</v>
      </c>
      <c r="M15" s="1" t="s">
        <v>329</v>
      </c>
      <c r="N15" s="1" t="s">
        <v>329</v>
      </c>
      <c r="O15" s="1" t="s">
        <v>329</v>
      </c>
      <c r="P15" s="1" t="s">
        <v>329</v>
      </c>
      <c r="Q15" s="1" t="s">
        <v>329</v>
      </c>
      <c r="R15" s="1" t="s">
        <v>329</v>
      </c>
      <c r="S15" s="1" t="s">
        <v>347</v>
      </c>
      <c r="T15" s="1" t="s">
        <v>329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1</v>
      </c>
      <c r="AD15" s="1">
        <v>0</v>
      </c>
      <c r="AE15" s="1">
        <v>2</v>
      </c>
      <c r="AF15" s="1">
        <v>0</v>
      </c>
      <c r="AG15" t="s">
        <v>529</v>
      </c>
      <c r="AH15" s="1">
        <v>1440</v>
      </c>
      <c r="AI15" s="1" t="s">
        <v>1903</v>
      </c>
      <c r="AJ15" s="1">
        <v>0</v>
      </c>
      <c r="AK15" s="1" t="s">
        <v>329</v>
      </c>
      <c r="AL15" s="1" t="s">
        <v>1907</v>
      </c>
      <c r="AM15" s="1">
        <v>0</v>
      </c>
      <c r="AN15" s="1">
        <v>0</v>
      </c>
      <c r="AO15" s="1">
        <v>0</v>
      </c>
      <c r="AP15" s="1">
        <v>0</v>
      </c>
      <c r="AQ15" s="1">
        <v>1</v>
      </c>
      <c r="AR15" s="1" t="s">
        <v>329</v>
      </c>
      <c r="AS15" s="1">
        <v>0</v>
      </c>
      <c r="AT15" s="1" t="s">
        <v>1866</v>
      </c>
      <c r="AU15" s="1">
        <v>0</v>
      </c>
      <c r="AV15" s="1">
        <v>4001</v>
      </c>
      <c r="AW15" s="1">
        <v>0</v>
      </c>
    </row>
    <row r="16" spans="1:49" x14ac:dyDescent="0.25">
      <c r="A16" s="1">
        <v>15</v>
      </c>
      <c r="B16" s="1" t="s">
        <v>1908</v>
      </c>
      <c r="C16" s="1" t="s">
        <v>1909</v>
      </c>
      <c r="D16" s="1">
        <v>4</v>
      </c>
      <c r="E16" s="1">
        <v>1</v>
      </c>
      <c r="F16" s="1">
        <v>4</v>
      </c>
      <c r="G16" s="1" t="s">
        <v>329</v>
      </c>
      <c r="H16" s="1" t="s">
        <v>329</v>
      </c>
      <c r="I16" s="1" t="s">
        <v>329</v>
      </c>
      <c r="J16" s="1" t="s">
        <v>329</v>
      </c>
      <c r="K16" s="1" t="s">
        <v>329</v>
      </c>
      <c r="L16" s="1" t="s">
        <v>329</v>
      </c>
      <c r="M16" s="1" t="s">
        <v>329</v>
      </c>
      <c r="N16" s="1" t="s">
        <v>329</v>
      </c>
      <c r="O16" s="1" t="s">
        <v>329</v>
      </c>
      <c r="P16" s="1" t="s">
        <v>329</v>
      </c>
      <c r="Q16" s="1" t="s">
        <v>329</v>
      </c>
      <c r="R16" s="1" t="s">
        <v>329</v>
      </c>
      <c r="S16" s="1" t="s">
        <v>348</v>
      </c>
      <c r="T16" s="1" t="s">
        <v>329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2</v>
      </c>
      <c r="AD16" s="1">
        <v>0</v>
      </c>
      <c r="AE16" s="1">
        <v>3</v>
      </c>
      <c r="AF16" s="1">
        <v>1</v>
      </c>
      <c r="AG16" t="s">
        <v>530</v>
      </c>
      <c r="AH16" s="1">
        <v>2340</v>
      </c>
      <c r="AI16" s="1" t="s">
        <v>1903</v>
      </c>
      <c r="AJ16" s="1">
        <v>0</v>
      </c>
      <c r="AK16" s="1" t="s">
        <v>329</v>
      </c>
      <c r="AL16" s="1" t="s">
        <v>1910</v>
      </c>
      <c r="AM16" s="1">
        <v>0</v>
      </c>
      <c r="AN16" s="1">
        <v>0</v>
      </c>
      <c r="AO16" s="1">
        <v>0</v>
      </c>
      <c r="AP16" s="1">
        <v>0</v>
      </c>
      <c r="AQ16" s="1">
        <v>1</v>
      </c>
      <c r="AR16" s="1" t="s">
        <v>329</v>
      </c>
      <c r="AS16" s="1">
        <v>0</v>
      </c>
      <c r="AT16" s="1" t="s">
        <v>1866</v>
      </c>
      <c r="AU16" s="1">
        <v>0</v>
      </c>
      <c r="AV16" s="1">
        <v>4001</v>
      </c>
      <c r="AW16" s="1">
        <v>0</v>
      </c>
    </row>
    <row r="17" spans="1:49" x14ac:dyDescent="0.25">
      <c r="A17" s="1">
        <v>16</v>
      </c>
      <c r="B17" s="1" t="s">
        <v>1911</v>
      </c>
      <c r="C17" s="1" t="s">
        <v>1912</v>
      </c>
      <c r="D17" s="1">
        <v>5</v>
      </c>
      <c r="E17" s="1">
        <v>1</v>
      </c>
      <c r="F17" s="1">
        <v>4</v>
      </c>
      <c r="G17" s="1" t="s">
        <v>329</v>
      </c>
      <c r="H17" s="1" t="s">
        <v>329</v>
      </c>
      <c r="I17" s="1" t="s">
        <v>329</v>
      </c>
      <c r="J17" s="1" t="s">
        <v>329</v>
      </c>
      <c r="K17" s="1" t="s">
        <v>329</v>
      </c>
      <c r="L17" s="1" t="s">
        <v>329</v>
      </c>
      <c r="M17" s="1" t="s">
        <v>329</v>
      </c>
      <c r="N17" s="1" t="s">
        <v>329</v>
      </c>
      <c r="O17" s="1" t="s">
        <v>329</v>
      </c>
      <c r="P17" s="1" t="s">
        <v>329</v>
      </c>
      <c r="Q17" s="1" t="s">
        <v>329</v>
      </c>
      <c r="R17" s="1" t="s">
        <v>329</v>
      </c>
      <c r="S17" s="1" t="s">
        <v>349</v>
      </c>
      <c r="T17" s="1" t="s">
        <v>329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3</v>
      </c>
      <c r="AD17" s="1">
        <v>0</v>
      </c>
      <c r="AE17" s="1">
        <v>4</v>
      </c>
      <c r="AF17" s="1">
        <v>2</v>
      </c>
      <c r="AG17" t="s">
        <v>531</v>
      </c>
      <c r="AH17" s="1">
        <v>2940</v>
      </c>
      <c r="AI17" s="1" t="s">
        <v>1903</v>
      </c>
      <c r="AJ17" s="1">
        <v>0</v>
      </c>
      <c r="AK17" s="1" t="s">
        <v>329</v>
      </c>
      <c r="AL17" s="1" t="s">
        <v>1913</v>
      </c>
      <c r="AM17" s="1">
        <v>0</v>
      </c>
      <c r="AN17" s="1">
        <v>0</v>
      </c>
      <c r="AO17" s="1">
        <v>0</v>
      </c>
      <c r="AP17" s="1">
        <v>0</v>
      </c>
      <c r="AQ17" s="1">
        <v>1</v>
      </c>
      <c r="AR17" s="1" t="s">
        <v>329</v>
      </c>
      <c r="AS17" s="1">
        <v>0</v>
      </c>
      <c r="AT17" s="1" t="s">
        <v>1866</v>
      </c>
      <c r="AU17" s="1">
        <v>0</v>
      </c>
      <c r="AV17" s="1">
        <v>4001</v>
      </c>
      <c r="AW17" s="1">
        <v>0</v>
      </c>
    </row>
    <row r="18" spans="1:49" x14ac:dyDescent="0.25">
      <c r="A18" s="1">
        <v>17</v>
      </c>
      <c r="B18" s="1" t="s">
        <v>1914</v>
      </c>
      <c r="C18" s="1" t="s">
        <v>1915</v>
      </c>
      <c r="D18" s="1">
        <v>2</v>
      </c>
      <c r="E18" s="1">
        <v>2</v>
      </c>
      <c r="F18" s="1">
        <v>5</v>
      </c>
      <c r="G18" s="1" t="s">
        <v>329</v>
      </c>
      <c r="H18" s="1" t="s">
        <v>329</v>
      </c>
      <c r="I18" s="1" t="s">
        <v>329</v>
      </c>
      <c r="J18" s="1" t="s">
        <v>329</v>
      </c>
      <c r="K18" s="1" t="s">
        <v>329</v>
      </c>
      <c r="L18" s="1" t="s">
        <v>329</v>
      </c>
      <c r="M18" s="1" t="s">
        <v>329</v>
      </c>
      <c r="N18" s="1" t="s">
        <v>350</v>
      </c>
      <c r="O18" s="1" t="s">
        <v>329</v>
      </c>
      <c r="P18" s="1" t="s">
        <v>329</v>
      </c>
      <c r="Q18" s="1" t="s">
        <v>329</v>
      </c>
      <c r="R18" s="1" t="s">
        <v>329</v>
      </c>
      <c r="S18" s="1" t="s">
        <v>329</v>
      </c>
      <c r="T18" s="1" t="s">
        <v>329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2</v>
      </c>
      <c r="AE18" s="1">
        <v>0</v>
      </c>
      <c r="AF18" s="1">
        <v>0</v>
      </c>
      <c r="AG18" t="s">
        <v>532</v>
      </c>
      <c r="AH18" s="1">
        <v>900</v>
      </c>
      <c r="AI18" s="1" t="s">
        <v>1903</v>
      </c>
      <c r="AJ18" s="1">
        <v>0</v>
      </c>
      <c r="AK18" s="1" t="s">
        <v>329</v>
      </c>
      <c r="AL18" s="1" t="s">
        <v>1916</v>
      </c>
      <c r="AM18" s="1">
        <v>0</v>
      </c>
      <c r="AN18" s="1">
        <v>0</v>
      </c>
      <c r="AO18" s="1">
        <v>0</v>
      </c>
      <c r="AP18" s="1">
        <v>0</v>
      </c>
      <c r="AQ18" s="1">
        <v>1</v>
      </c>
      <c r="AR18" s="1" t="s">
        <v>329</v>
      </c>
      <c r="AS18" s="1">
        <v>0</v>
      </c>
      <c r="AT18" s="1" t="s">
        <v>1866</v>
      </c>
      <c r="AU18" s="1">
        <v>0</v>
      </c>
      <c r="AV18" s="1">
        <v>5001</v>
      </c>
      <c r="AW18" s="1">
        <v>0</v>
      </c>
    </row>
    <row r="19" spans="1:49" x14ac:dyDescent="0.25">
      <c r="A19" s="1">
        <v>18</v>
      </c>
      <c r="B19" s="1" t="s">
        <v>1917</v>
      </c>
      <c r="C19" s="1" t="s">
        <v>1918</v>
      </c>
      <c r="D19" s="1">
        <v>3</v>
      </c>
      <c r="E19" s="1">
        <v>2</v>
      </c>
      <c r="F19" s="1">
        <v>5</v>
      </c>
      <c r="G19" s="1" t="s">
        <v>329</v>
      </c>
      <c r="H19" s="1" t="s">
        <v>329</v>
      </c>
      <c r="I19" s="1" t="s">
        <v>329</v>
      </c>
      <c r="J19" s="1" t="s">
        <v>329</v>
      </c>
      <c r="K19" s="1" t="s">
        <v>329</v>
      </c>
      <c r="L19" s="1" t="s">
        <v>329</v>
      </c>
      <c r="M19" s="1" t="s">
        <v>329</v>
      </c>
      <c r="N19" s="1" t="s">
        <v>351</v>
      </c>
      <c r="O19" s="1" t="s">
        <v>329</v>
      </c>
      <c r="P19" s="1" t="s">
        <v>329</v>
      </c>
      <c r="Q19" s="1" t="s">
        <v>329</v>
      </c>
      <c r="R19" s="1" t="s">
        <v>329</v>
      </c>
      <c r="S19" s="1" t="s">
        <v>329</v>
      </c>
      <c r="T19" s="1" t="s">
        <v>329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2</v>
      </c>
      <c r="AE19" s="1">
        <v>0</v>
      </c>
      <c r="AF19" s="1">
        <v>1</v>
      </c>
      <c r="AG19" t="s">
        <v>533</v>
      </c>
      <c r="AH19" s="1">
        <v>1800</v>
      </c>
      <c r="AI19" s="1" t="s">
        <v>1903</v>
      </c>
      <c r="AJ19" s="1">
        <v>0</v>
      </c>
      <c r="AK19" s="1" t="s">
        <v>329</v>
      </c>
      <c r="AL19" s="1" t="s">
        <v>1919</v>
      </c>
      <c r="AM19" s="1">
        <v>0.08</v>
      </c>
      <c r="AN19" s="1">
        <v>0.5</v>
      </c>
      <c r="AO19" s="1">
        <v>0.3</v>
      </c>
      <c r="AP19" s="1">
        <v>0.3</v>
      </c>
      <c r="AQ19" s="1">
        <v>1</v>
      </c>
      <c r="AR19" s="1" t="s">
        <v>1499</v>
      </c>
      <c r="AS19" s="1">
        <v>0</v>
      </c>
      <c r="AT19" s="1" t="s">
        <v>1866</v>
      </c>
      <c r="AU19" s="1">
        <v>10</v>
      </c>
      <c r="AV19" s="1">
        <v>5001</v>
      </c>
      <c r="AW19" s="1">
        <v>0</v>
      </c>
    </row>
    <row r="20" spans="1:49" x14ac:dyDescent="0.25">
      <c r="A20" s="1">
        <v>19</v>
      </c>
      <c r="B20" s="1" t="s">
        <v>1920</v>
      </c>
      <c r="C20" s="1" t="s">
        <v>1921</v>
      </c>
      <c r="D20" s="1">
        <v>4</v>
      </c>
      <c r="E20" s="1">
        <v>2</v>
      </c>
      <c r="F20" s="1">
        <v>5</v>
      </c>
      <c r="G20" s="1" t="s">
        <v>329</v>
      </c>
      <c r="H20" s="1" t="s">
        <v>329</v>
      </c>
      <c r="I20" s="1" t="s">
        <v>329</v>
      </c>
      <c r="J20" s="1" t="s">
        <v>329</v>
      </c>
      <c r="K20" s="1" t="s">
        <v>329</v>
      </c>
      <c r="L20" s="1" t="s">
        <v>329</v>
      </c>
      <c r="M20" s="1" t="s">
        <v>329</v>
      </c>
      <c r="N20" s="1" t="s">
        <v>352</v>
      </c>
      <c r="O20" s="1" t="s">
        <v>329</v>
      </c>
      <c r="P20" s="1" t="s">
        <v>329</v>
      </c>
      <c r="Q20" s="1" t="s">
        <v>329</v>
      </c>
      <c r="R20" s="1" t="s">
        <v>329</v>
      </c>
      <c r="S20" s="1" t="s">
        <v>329</v>
      </c>
      <c r="T20" s="1" t="s">
        <v>329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3</v>
      </c>
      <c r="AE20" s="1">
        <v>1</v>
      </c>
      <c r="AF20" s="1">
        <v>2</v>
      </c>
      <c r="AG20" t="s">
        <v>534</v>
      </c>
      <c r="AH20" s="1">
        <v>2700</v>
      </c>
      <c r="AI20" s="1" t="s">
        <v>1903</v>
      </c>
      <c r="AJ20" s="1">
        <v>0</v>
      </c>
      <c r="AK20" s="1" t="s">
        <v>329</v>
      </c>
      <c r="AL20" s="1" t="s">
        <v>1922</v>
      </c>
      <c r="AM20" s="1">
        <v>0.08</v>
      </c>
      <c r="AN20" s="1">
        <v>0.5</v>
      </c>
      <c r="AO20" s="1">
        <v>0.3</v>
      </c>
      <c r="AP20" s="1">
        <v>0.3</v>
      </c>
      <c r="AQ20" s="1">
        <v>1</v>
      </c>
      <c r="AR20" s="1" t="s">
        <v>1499</v>
      </c>
      <c r="AS20" s="1">
        <v>0</v>
      </c>
      <c r="AT20" s="1" t="s">
        <v>1866</v>
      </c>
      <c r="AU20" s="1">
        <v>10</v>
      </c>
      <c r="AV20" s="1">
        <v>5001</v>
      </c>
      <c r="AW20" s="1">
        <v>0</v>
      </c>
    </row>
    <row r="21" spans="1:49" x14ac:dyDescent="0.25">
      <c r="A21" s="1">
        <v>20</v>
      </c>
      <c r="B21" s="1" t="s">
        <v>1923</v>
      </c>
      <c r="C21" s="1" t="s">
        <v>1924</v>
      </c>
      <c r="D21" s="1">
        <v>5</v>
      </c>
      <c r="E21" s="1">
        <v>2</v>
      </c>
      <c r="F21" s="1">
        <v>5</v>
      </c>
      <c r="G21" s="1" t="s">
        <v>329</v>
      </c>
      <c r="H21" s="1" t="s">
        <v>329</v>
      </c>
      <c r="I21" s="1" t="s">
        <v>329</v>
      </c>
      <c r="J21" s="1" t="s">
        <v>329</v>
      </c>
      <c r="K21" s="1" t="s">
        <v>329</v>
      </c>
      <c r="L21" s="1" t="s">
        <v>329</v>
      </c>
      <c r="M21" s="1" t="s">
        <v>329</v>
      </c>
      <c r="N21" s="1" t="s">
        <v>353</v>
      </c>
      <c r="O21" s="1" t="s">
        <v>329</v>
      </c>
      <c r="P21" s="1" t="s">
        <v>329</v>
      </c>
      <c r="Q21" s="1" t="s">
        <v>329</v>
      </c>
      <c r="R21" s="1" t="s">
        <v>329</v>
      </c>
      <c r="S21" s="1" t="s">
        <v>329</v>
      </c>
      <c r="T21" s="1" t="s">
        <v>329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4</v>
      </c>
      <c r="AE21" s="1">
        <v>2</v>
      </c>
      <c r="AF21" s="1">
        <v>3</v>
      </c>
      <c r="AG21" t="s">
        <v>535</v>
      </c>
      <c r="AH21" s="1">
        <v>3300</v>
      </c>
      <c r="AI21" s="1" t="s">
        <v>1903</v>
      </c>
      <c r="AJ21" s="1">
        <v>0</v>
      </c>
      <c r="AK21" s="1" t="s">
        <v>329</v>
      </c>
      <c r="AL21" s="1" t="s">
        <v>1925</v>
      </c>
      <c r="AM21" s="1">
        <v>0.08</v>
      </c>
      <c r="AN21" s="1">
        <v>0.5</v>
      </c>
      <c r="AO21" s="1">
        <v>0.3</v>
      </c>
      <c r="AP21" s="1">
        <v>0.3</v>
      </c>
      <c r="AQ21" s="1">
        <v>1</v>
      </c>
      <c r="AR21" s="1" t="s">
        <v>1499</v>
      </c>
      <c r="AS21" s="1">
        <v>0</v>
      </c>
      <c r="AT21" s="1" t="s">
        <v>1866</v>
      </c>
      <c r="AU21" s="1">
        <v>10</v>
      </c>
      <c r="AV21" s="1">
        <v>5001</v>
      </c>
      <c r="AW21" s="1">
        <v>0</v>
      </c>
    </row>
    <row r="22" spans="1:49" x14ac:dyDescent="0.25">
      <c r="A22" s="1">
        <v>21</v>
      </c>
      <c r="B22" s="1" t="s">
        <v>5570</v>
      </c>
      <c r="C22" s="1" t="s">
        <v>5571</v>
      </c>
      <c r="D22" s="1">
        <v>2</v>
      </c>
      <c r="E22" s="1">
        <v>2</v>
      </c>
      <c r="F22" s="1">
        <v>6</v>
      </c>
      <c r="G22" s="1" t="s">
        <v>329</v>
      </c>
      <c r="H22" s="1" t="s">
        <v>329</v>
      </c>
      <c r="I22" s="1" t="s">
        <v>329</v>
      </c>
      <c r="J22" s="1" t="s">
        <v>329</v>
      </c>
      <c r="K22" s="1" t="s">
        <v>329</v>
      </c>
      <c r="L22" s="1" t="s">
        <v>329</v>
      </c>
      <c r="M22" s="1" t="s">
        <v>329</v>
      </c>
      <c r="N22" s="1" t="s">
        <v>329</v>
      </c>
      <c r="O22" s="1" t="s">
        <v>329</v>
      </c>
      <c r="P22" s="1" t="s">
        <v>329</v>
      </c>
      <c r="Q22" s="1" t="s">
        <v>329</v>
      </c>
      <c r="R22" s="1" t="s">
        <v>329</v>
      </c>
      <c r="S22" s="1" t="s">
        <v>329</v>
      </c>
      <c r="T22" s="1" t="s">
        <v>329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2</v>
      </c>
      <c r="AE22" s="1">
        <v>0</v>
      </c>
      <c r="AF22" s="1">
        <v>0</v>
      </c>
      <c r="AG22" t="s">
        <v>897</v>
      </c>
      <c r="AH22" s="1">
        <v>840</v>
      </c>
      <c r="AI22" s="1" t="s">
        <v>329</v>
      </c>
      <c r="AJ22" s="1">
        <v>0</v>
      </c>
      <c r="AK22" s="1" t="s">
        <v>329</v>
      </c>
      <c r="AL22" s="1" t="s">
        <v>5572</v>
      </c>
      <c r="AM22" s="1">
        <v>0</v>
      </c>
      <c r="AN22" s="1">
        <v>0</v>
      </c>
      <c r="AO22" s="1">
        <v>0</v>
      </c>
      <c r="AP22" s="1">
        <v>0</v>
      </c>
      <c r="AQ22" s="1">
        <v>1</v>
      </c>
      <c r="AR22" s="1" t="s">
        <v>329</v>
      </c>
      <c r="AS22" s="1">
        <v>0</v>
      </c>
      <c r="AT22" s="1" t="s">
        <v>1866</v>
      </c>
      <c r="AU22" s="1">
        <v>0</v>
      </c>
      <c r="AV22" s="1">
        <v>6001</v>
      </c>
      <c r="AW22" s="1">
        <v>0</v>
      </c>
    </row>
    <row r="23" spans="1:49" x14ac:dyDescent="0.25">
      <c r="A23" s="1">
        <v>22</v>
      </c>
      <c r="B23" s="1" t="s">
        <v>5573</v>
      </c>
      <c r="C23" s="1" t="s">
        <v>5574</v>
      </c>
      <c r="D23" s="1">
        <v>3</v>
      </c>
      <c r="E23" s="1">
        <v>2</v>
      </c>
      <c r="F23" s="1">
        <v>6</v>
      </c>
      <c r="G23" s="1" t="s">
        <v>329</v>
      </c>
      <c r="H23" s="1" t="s">
        <v>329</v>
      </c>
      <c r="I23" s="1" t="s">
        <v>329</v>
      </c>
      <c r="J23" s="1" t="s">
        <v>329</v>
      </c>
      <c r="K23" s="1" t="s">
        <v>329</v>
      </c>
      <c r="L23" s="1" t="s">
        <v>329</v>
      </c>
      <c r="M23" s="1" t="s">
        <v>329</v>
      </c>
      <c r="N23" s="1" t="s">
        <v>329</v>
      </c>
      <c r="O23" s="1" t="s">
        <v>329</v>
      </c>
      <c r="P23" s="1" t="s">
        <v>329</v>
      </c>
      <c r="Q23" s="1" t="s">
        <v>329</v>
      </c>
      <c r="R23" s="1" t="s">
        <v>329</v>
      </c>
      <c r="S23" s="1" t="s">
        <v>329</v>
      </c>
      <c r="T23" s="1" t="s">
        <v>329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2</v>
      </c>
      <c r="AE23" s="1">
        <v>0</v>
      </c>
      <c r="AF23" s="1">
        <v>1</v>
      </c>
      <c r="AG23" t="s">
        <v>5575</v>
      </c>
      <c r="AH23" s="1">
        <v>1740</v>
      </c>
      <c r="AI23" s="1" t="s">
        <v>329</v>
      </c>
      <c r="AJ23" s="1">
        <v>0</v>
      </c>
      <c r="AK23" s="1" t="s">
        <v>329</v>
      </c>
      <c r="AL23" s="1" t="s">
        <v>5576</v>
      </c>
      <c r="AM23" s="1">
        <v>0</v>
      </c>
      <c r="AN23" s="1">
        <v>0</v>
      </c>
      <c r="AO23" s="1">
        <v>0</v>
      </c>
      <c r="AP23" s="1">
        <v>0</v>
      </c>
      <c r="AQ23" s="1">
        <v>1</v>
      </c>
      <c r="AR23" s="1" t="s">
        <v>329</v>
      </c>
      <c r="AS23" s="1">
        <v>0</v>
      </c>
      <c r="AT23" s="1" t="s">
        <v>1866</v>
      </c>
      <c r="AU23" s="1">
        <v>0</v>
      </c>
      <c r="AV23" s="1">
        <v>6001</v>
      </c>
      <c r="AW23" s="1">
        <v>0</v>
      </c>
    </row>
    <row r="24" spans="1:49" x14ac:dyDescent="0.25">
      <c r="A24" s="1">
        <v>23</v>
      </c>
      <c r="B24" s="1" t="s">
        <v>5577</v>
      </c>
      <c r="C24" s="1" t="s">
        <v>5578</v>
      </c>
      <c r="D24" s="1">
        <v>4</v>
      </c>
      <c r="E24" s="1">
        <v>2</v>
      </c>
      <c r="F24" s="1">
        <v>6</v>
      </c>
      <c r="G24" s="1" t="s">
        <v>329</v>
      </c>
      <c r="H24" s="1" t="s">
        <v>329</v>
      </c>
      <c r="I24" s="1" t="s">
        <v>329</v>
      </c>
      <c r="J24" s="1" t="s">
        <v>329</v>
      </c>
      <c r="K24" s="1" t="s">
        <v>329</v>
      </c>
      <c r="L24" s="1" t="s">
        <v>329</v>
      </c>
      <c r="M24" s="1" t="s">
        <v>329</v>
      </c>
      <c r="N24" s="1" t="s">
        <v>329</v>
      </c>
      <c r="O24" s="1" t="s">
        <v>329</v>
      </c>
      <c r="P24" s="1" t="s">
        <v>329</v>
      </c>
      <c r="Q24" s="1" t="s">
        <v>329</v>
      </c>
      <c r="R24" s="1" t="s">
        <v>329</v>
      </c>
      <c r="S24" s="1" t="s">
        <v>329</v>
      </c>
      <c r="T24" s="1" t="s">
        <v>329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3</v>
      </c>
      <c r="AE24" s="1">
        <v>1</v>
      </c>
      <c r="AF24" s="1">
        <v>2</v>
      </c>
      <c r="AG24" t="s">
        <v>4969</v>
      </c>
      <c r="AH24" s="1">
        <v>2640</v>
      </c>
      <c r="AI24" s="1" t="s">
        <v>329</v>
      </c>
      <c r="AJ24" s="1">
        <v>0</v>
      </c>
      <c r="AK24" s="1" t="s">
        <v>329</v>
      </c>
      <c r="AL24" s="1" t="s">
        <v>5579</v>
      </c>
      <c r="AM24" s="1">
        <v>0</v>
      </c>
      <c r="AN24" s="1">
        <v>0</v>
      </c>
      <c r="AO24" s="1">
        <v>0</v>
      </c>
      <c r="AP24" s="1">
        <v>0</v>
      </c>
      <c r="AQ24" s="1">
        <v>1</v>
      </c>
      <c r="AR24" s="1" t="s">
        <v>329</v>
      </c>
      <c r="AS24" s="1">
        <v>0</v>
      </c>
      <c r="AT24" s="1" t="s">
        <v>1866</v>
      </c>
      <c r="AU24" s="1">
        <v>0</v>
      </c>
      <c r="AV24" s="1">
        <v>6001</v>
      </c>
      <c r="AW24" s="1">
        <v>0</v>
      </c>
    </row>
    <row r="25" spans="1:49" x14ac:dyDescent="0.25">
      <c r="A25" s="1">
        <v>24</v>
      </c>
      <c r="B25" s="1" t="s">
        <v>5580</v>
      </c>
      <c r="C25" s="1" t="s">
        <v>5581</v>
      </c>
      <c r="D25" s="1">
        <v>5</v>
      </c>
      <c r="E25" s="1">
        <v>2</v>
      </c>
      <c r="F25" s="1">
        <v>6</v>
      </c>
      <c r="G25" s="1" t="s">
        <v>329</v>
      </c>
      <c r="H25" s="1" t="s">
        <v>329</v>
      </c>
      <c r="I25" s="1" t="s">
        <v>329</v>
      </c>
      <c r="J25" s="1" t="s">
        <v>329</v>
      </c>
      <c r="K25" s="1" t="s">
        <v>329</v>
      </c>
      <c r="L25" s="1" t="s">
        <v>329</v>
      </c>
      <c r="M25" s="1" t="s">
        <v>329</v>
      </c>
      <c r="N25" s="1" t="s">
        <v>329</v>
      </c>
      <c r="O25" s="1" t="s">
        <v>329</v>
      </c>
      <c r="P25" s="1" t="s">
        <v>329</v>
      </c>
      <c r="Q25" s="1" t="s">
        <v>329</v>
      </c>
      <c r="R25" s="1" t="s">
        <v>329</v>
      </c>
      <c r="S25" s="1" t="s">
        <v>329</v>
      </c>
      <c r="T25" s="1" t="s">
        <v>329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4</v>
      </c>
      <c r="AE25" s="1">
        <v>2</v>
      </c>
      <c r="AF25" s="1">
        <v>3</v>
      </c>
      <c r="AG25" t="s">
        <v>1500</v>
      </c>
      <c r="AH25" s="1">
        <v>3240</v>
      </c>
      <c r="AI25" s="1" t="s">
        <v>329</v>
      </c>
      <c r="AJ25" s="1">
        <v>0</v>
      </c>
      <c r="AK25" s="1" t="s">
        <v>329</v>
      </c>
      <c r="AL25" s="1" t="s">
        <v>5582</v>
      </c>
      <c r="AM25" s="1">
        <v>0</v>
      </c>
      <c r="AN25" s="1">
        <v>0</v>
      </c>
      <c r="AO25" s="1">
        <v>0</v>
      </c>
      <c r="AP25" s="1">
        <v>0</v>
      </c>
      <c r="AQ25" s="1">
        <v>1</v>
      </c>
      <c r="AR25" s="1" t="s">
        <v>329</v>
      </c>
      <c r="AS25" s="1">
        <v>0</v>
      </c>
      <c r="AT25" s="1" t="s">
        <v>1866</v>
      </c>
      <c r="AU25" s="1">
        <v>0</v>
      </c>
      <c r="AV25" s="1">
        <v>6001</v>
      </c>
      <c r="AW25" s="1">
        <v>0</v>
      </c>
    </row>
    <row r="26" spans="1:49" x14ac:dyDescent="0.25">
      <c r="A26" s="1">
        <v>25</v>
      </c>
      <c r="B26" s="1" t="s">
        <v>5583</v>
      </c>
      <c r="C26" s="1" t="s">
        <v>5584</v>
      </c>
      <c r="D26" s="1">
        <v>2</v>
      </c>
      <c r="E26" s="1">
        <v>2</v>
      </c>
      <c r="F26" s="1">
        <v>6</v>
      </c>
      <c r="G26" s="1" t="s">
        <v>329</v>
      </c>
      <c r="H26" s="1" t="s">
        <v>329</v>
      </c>
      <c r="I26" s="1" t="s">
        <v>329</v>
      </c>
      <c r="J26" s="1" t="s">
        <v>329</v>
      </c>
      <c r="K26" s="1" t="s">
        <v>329</v>
      </c>
      <c r="L26" s="1" t="s">
        <v>329</v>
      </c>
      <c r="M26" s="1" t="s">
        <v>329</v>
      </c>
      <c r="N26" s="1" t="s">
        <v>329</v>
      </c>
      <c r="O26" s="1" t="s">
        <v>329</v>
      </c>
      <c r="P26" s="1" t="s">
        <v>329</v>
      </c>
      <c r="Q26" s="1" t="s">
        <v>329</v>
      </c>
      <c r="R26" s="1" t="s">
        <v>329</v>
      </c>
      <c r="S26" s="1" t="s">
        <v>329</v>
      </c>
      <c r="T26" s="1" t="s">
        <v>329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2</v>
      </c>
      <c r="AE26" s="1">
        <v>0</v>
      </c>
      <c r="AF26" s="1">
        <v>0</v>
      </c>
      <c r="AG26" t="s">
        <v>4983</v>
      </c>
      <c r="AH26" s="1">
        <v>1020</v>
      </c>
      <c r="AI26" s="1" t="s">
        <v>329</v>
      </c>
      <c r="AJ26" s="1">
        <v>0</v>
      </c>
      <c r="AK26" s="1" t="s">
        <v>329</v>
      </c>
      <c r="AL26" s="1" t="s">
        <v>5585</v>
      </c>
      <c r="AM26" s="1">
        <v>0</v>
      </c>
      <c r="AN26" s="1">
        <v>0</v>
      </c>
      <c r="AO26" s="1">
        <v>0</v>
      </c>
      <c r="AP26" s="1">
        <v>0</v>
      </c>
      <c r="AQ26" s="1">
        <v>1</v>
      </c>
      <c r="AR26" s="1" t="s">
        <v>329</v>
      </c>
      <c r="AS26" s="1">
        <v>0</v>
      </c>
      <c r="AT26" s="1" t="s">
        <v>1866</v>
      </c>
      <c r="AU26" s="1">
        <v>0</v>
      </c>
      <c r="AV26" s="1">
        <v>6002</v>
      </c>
      <c r="AW26" s="1">
        <v>0</v>
      </c>
    </row>
    <row r="27" spans="1:49" x14ac:dyDescent="0.25">
      <c r="A27" s="1">
        <v>26</v>
      </c>
      <c r="B27" s="1" t="s">
        <v>5586</v>
      </c>
      <c r="C27" s="1" t="s">
        <v>5587</v>
      </c>
      <c r="D27" s="1">
        <v>3</v>
      </c>
      <c r="E27" s="1">
        <v>2</v>
      </c>
      <c r="F27" s="1">
        <v>6</v>
      </c>
      <c r="G27" s="1" t="s">
        <v>329</v>
      </c>
      <c r="H27" s="1" t="s">
        <v>329</v>
      </c>
      <c r="I27" s="1" t="s">
        <v>329</v>
      </c>
      <c r="J27" s="1" t="s">
        <v>329</v>
      </c>
      <c r="K27" s="1" t="s">
        <v>329</v>
      </c>
      <c r="L27" s="1" t="s">
        <v>329</v>
      </c>
      <c r="M27" s="1" t="s">
        <v>329</v>
      </c>
      <c r="N27" s="1" t="s">
        <v>329</v>
      </c>
      <c r="O27" s="1" t="s">
        <v>329</v>
      </c>
      <c r="P27" s="1" t="s">
        <v>329</v>
      </c>
      <c r="Q27" s="1" t="s">
        <v>329</v>
      </c>
      <c r="R27" s="1" t="s">
        <v>329</v>
      </c>
      <c r="S27" s="1" t="s">
        <v>329</v>
      </c>
      <c r="T27" s="1" t="s">
        <v>329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2</v>
      </c>
      <c r="AE27" s="1">
        <v>0</v>
      </c>
      <c r="AF27" s="1">
        <v>1</v>
      </c>
      <c r="AG27" t="s">
        <v>5588</v>
      </c>
      <c r="AH27" s="1">
        <v>1920</v>
      </c>
      <c r="AI27" s="1" t="s">
        <v>329</v>
      </c>
      <c r="AJ27" s="1">
        <v>0</v>
      </c>
      <c r="AK27" s="1" t="s">
        <v>329</v>
      </c>
      <c r="AL27" s="1" t="s">
        <v>5589</v>
      </c>
      <c r="AM27" s="1">
        <v>0</v>
      </c>
      <c r="AN27" s="1">
        <v>0</v>
      </c>
      <c r="AO27" s="1">
        <v>0</v>
      </c>
      <c r="AP27" s="1">
        <v>0</v>
      </c>
      <c r="AQ27" s="1">
        <v>1</v>
      </c>
      <c r="AR27" s="1" t="s">
        <v>329</v>
      </c>
      <c r="AS27" s="1">
        <v>0</v>
      </c>
      <c r="AT27" s="1" t="s">
        <v>1866</v>
      </c>
      <c r="AU27" s="1">
        <v>0</v>
      </c>
      <c r="AV27" s="1">
        <v>6002</v>
      </c>
      <c r="AW27" s="1">
        <v>0</v>
      </c>
    </row>
    <row r="28" spans="1:49" x14ac:dyDescent="0.25">
      <c r="A28" s="1">
        <v>27</v>
      </c>
      <c r="B28" s="1" t="s">
        <v>5590</v>
      </c>
      <c r="C28" s="1" t="s">
        <v>5591</v>
      </c>
      <c r="D28" s="1">
        <v>4</v>
      </c>
      <c r="E28" s="1">
        <v>2</v>
      </c>
      <c r="F28" s="1">
        <v>6</v>
      </c>
      <c r="G28" s="1" t="s">
        <v>329</v>
      </c>
      <c r="H28" s="1" t="s">
        <v>329</v>
      </c>
      <c r="I28" s="1" t="s">
        <v>329</v>
      </c>
      <c r="J28" s="1" t="s">
        <v>329</v>
      </c>
      <c r="K28" s="1" t="s">
        <v>329</v>
      </c>
      <c r="L28" s="1" t="s">
        <v>329</v>
      </c>
      <c r="M28" s="1" t="s">
        <v>329</v>
      </c>
      <c r="N28" s="1" t="s">
        <v>329</v>
      </c>
      <c r="O28" s="1" t="s">
        <v>329</v>
      </c>
      <c r="P28" s="1" t="s">
        <v>329</v>
      </c>
      <c r="Q28" s="1" t="s">
        <v>329</v>
      </c>
      <c r="R28" s="1" t="s">
        <v>329</v>
      </c>
      <c r="S28" s="1" t="s">
        <v>329</v>
      </c>
      <c r="T28" s="1" t="s">
        <v>329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3</v>
      </c>
      <c r="AE28" s="1">
        <v>1</v>
      </c>
      <c r="AF28" s="1">
        <v>2</v>
      </c>
      <c r="AG28" t="s">
        <v>354</v>
      </c>
      <c r="AH28" s="1">
        <v>2820</v>
      </c>
      <c r="AI28" s="1" t="s">
        <v>329</v>
      </c>
      <c r="AJ28" s="1">
        <v>0</v>
      </c>
      <c r="AK28" s="1" t="s">
        <v>329</v>
      </c>
      <c r="AL28" s="1" t="s">
        <v>5592</v>
      </c>
      <c r="AM28" s="1">
        <v>0</v>
      </c>
      <c r="AN28" s="1">
        <v>0</v>
      </c>
      <c r="AO28" s="1">
        <v>0</v>
      </c>
      <c r="AP28" s="1">
        <v>0</v>
      </c>
      <c r="AQ28" s="1">
        <v>1</v>
      </c>
      <c r="AR28" s="1" t="s">
        <v>329</v>
      </c>
      <c r="AS28" s="1">
        <v>0</v>
      </c>
      <c r="AT28" s="1" t="s">
        <v>1866</v>
      </c>
      <c r="AU28" s="1">
        <v>0</v>
      </c>
      <c r="AV28" s="1">
        <v>6002</v>
      </c>
      <c r="AW28" s="1">
        <v>0</v>
      </c>
    </row>
    <row r="29" spans="1:49" x14ac:dyDescent="0.25">
      <c r="A29" s="1">
        <v>28</v>
      </c>
      <c r="B29" s="1" t="s">
        <v>5593</v>
      </c>
      <c r="C29" s="1" t="s">
        <v>5594</v>
      </c>
      <c r="D29" s="1">
        <v>5</v>
      </c>
      <c r="E29" s="1">
        <v>2</v>
      </c>
      <c r="F29" s="1">
        <v>6</v>
      </c>
      <c r="G29" s="1" t="s">
        <v>329</v>
      </c>
      <c r="H29" s="1" t="s">
        <v>329</v>
      </c>
      <c r="I29" s="1" t="s">
        <v>329</v>
      </c>
      <c r="J29" s="1" t="s">
        <v>329</v>
      </c>
      <c r="K29" s="1" t="s">
        <v>329</v>
      </c>
      <c r="L29" s="1" t="s">
        <v>329</v>
      </c>
      <c r="M29" s="1" t="s">
        <v>329</v>
      </c>
      <c r="N29" s="1" t="s">
        <v>329</v>
      </c>
      <c r="O29" s="1" t="s">
        <v>329</v>
      </c>
      <c r="P29" s="1" t="s">
        <v>329</v>
      </c>
      <c r="Q29" s="1" t="s">
        <v>329</v>
      </c>
      <c r="R29" s="1" t="s">
        <v>329</v>
      </c>
      <c r="S29" s="1" t="s">
        <v>329</v>
      </c>
      <c r="T29" s="1" t="s">
        <v>329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4</v>
      </c>
      <c r="AE29" s="1">
        <v>2</v>
      </c>
      <c r="AF29" s="1">
        <v>3</v>
      </c>
      <c r="AG29" t="s">
        <v>4975</v>
      </c>
      <c r="AH29" s="1">
        <v>3420</v>
      </c>
      <c r="AI29" s="1" t="s">
        <v>329</v>
      </c>
      <c r="AJ29" s="1">
        <v>0</v>
      </c>
      <c r="AK29" s="1" t="s">
        <v>329</v>
      </c>
      <c r="AL29" s="1" t="s">
        <v>5595</v>
      </c>
      <c r="AM29" s="1">
        <v>0</v>
      </c>
      <c r="AN29" s="1">
        <v>0</v>
      </c>
      <c r="AO29" s="1">
        <v>0</v>
      </c>
      <c r="AP29" s="1">
        <v>0</v>
      </c>
      <c r="AQ29" s="1">
        <v>1</v>
      </c>
      <c r="AR29" s="1" t="s">
        <v>329</v>
      </c>
      <c r="AS29" s="1">
        <v>0</v>
      </c>
      <c r="AT29" s="1" t="s">
        <v>1866</v>
      </c>
      <c r="AU29" s="1">
        <v>0</v>
      </c>
      <c r="AV29" s="1">
        <v>6002</v>
      </c>
      <c r="AW29" s="1">
        <v>0</v>
      </c>
    </row>
    <row r="30" spans="1:49" x14ac:dyDescent="0.25">
      <c r="A30" s="1">
        <v>29</v>
      </c>
      <c r="B30" s="1" t="s">
        <v>1926</v>
      </c>
      <c r="C30" s="1" t="s">
        <v>1927</v>
      </c>
      <c r="D30" s="1">
        <v>2</v>
      </c>
      <c r="E30" s="1">
        <v>2</v>
      </c>
      <c r="F30" s="1">
        <v>8</v>
      </c>
      <c r="G30" s="1" t="s">
        <v>333</v>
      </c>
      <c r="H30" s="1" t="s">
        <v>329</v>
      </c>
      <c r="I30" s="1" t="s">
        <v>329</v>
      </c>
      <c r="J30" s="1" t="s">
        <v>329</v>
      </c>
      <c r="K30" s="1" t="s">
        <v>329</v>
      </c>
      <c r="L30" s="1" t="s">
        <v>329</v>
      </c>
      <c r="M30" s="1" t="s">
        <v>329</v>
      </c>
      <c r="N30" s="1" t="s">
        <v>329</v>
      </c>
      <c r="O30" s="1" t="s">
        <v>329</v>
      </c>
      <c r="P30" s="1" t="s">
        <v>329</v>
      </c>
      <c r="Q30" s="1" t="s">
        <v>329</v>
      </c>
      <c r="R30" s="1" t="s">
        <v>329</v>
      </c>
      <c r="S30" s="1" t="s">
        <v>329</v>
      </c>
      <c r="T30" s="1" t="s">
        <v>329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3</v>
      </c>
      <c r="AE30" s="1">
        <v>0</v>
      </c>
      <c r="AF30" s="1">
        <v>0</v>
      </c>
      <c r="AG30" t="s">
        <v>536</v>
      </c>
      <c r="AH30" s="1">
        <v>1080</v>
      </c>
      <c r="AI30" s="1" t="s">
        <v>1928</v>
      </c>
      <c r="AJ30" s="1">
        <v>0</v>
      </c>
      <c r="AK30" s="1" t="s">
        <v>329</v>
      </c>
      <c r="AL30" s="1" t="s">
        <v>1929</v>
      </c>
      <c r="AM30" s="1">
        <v>0</v>
      </c>
      <c r="AN30" s="1">
        <v>0</v>
      </c>
      <c r="AO30" s="1">
        <v>0</v>
      </c>
      <c r="AP30" s="1">
        <v>0</v>
      </c>
      <c r="AQ30" s="1">
        <v>1</v>
      </c>
      <c r="AR30" s="1" t="s">
        <v>329</v>
      </c>
      <c r="AS30" s="1">
        <v>0</v>
      </c>
      <c r="AT30" s="1" t="s">
        <v>1866</v>
      </c>
      <c r="AU30" s="1">
        <v>0</v>
      </c>
      <c r="AV30" s="1">
        <v>8001</v>
      </c>
      <c r="AW30" s="1">
        <v>0</v>
      </c>
    </row>
    <row r="31" spans="1:49" x14ac:dyDescent="0.25">
      <c r="A31" s="1">
        <v>30</v>
      </c>
      <c r="B31" s="1" t="s">
        <v>1930</v>
      </c>
      <c r="C31" s="1" t="s">
        <v>1931</v>
      </c>
      <c r="D31" s="1">
        <v>3</v>
      </c>
      <c r="E31" s="1">
        <v>2</v>
      </c>
      <c r="F31" s="1">
        <v>8</v>
      </c>
      <c r="G31" s="1" t="s">
        <v>355</v>
      </c>
      <c r="H31" s="1" t="s">
        <v>329</v>
      </c>
      <c r="I31" s="1" t="s">
        <v>329</v>
      </c>
      <c r="J31" s="1" t="s">
        <v>329</v>
      </c>
      <c r="K31" s="1" t="s">
        <v>329</v>
      </c>
      <c r="L31" s="1" t="s">
        <v>329</v>
      </c>
      <c r="M31" s="1" t="s">
        <v>329</v>
      </c>
      <c r="N31" s="1" t="s">
        <v>329</v>
      </c>
      <c r="O31" s="1" t="s">
        <v>329</v>
      </c>
      <c r="P31" s="1" t="s">
        <v>329</v>
      </c>
      <c r="Q31" s="1" t="s">
        <v>329</v>
      </c>
      <c r="R31" s="1" t="s">
        <v>329</v>
      </c>
      <c r="S31" s="1" t="s">
        <v>329</v>
      </c>
      <c r="T31" s="1" t="s">
        <v>329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3</v>
      </c>
      <c r="AE31" s="1">
        <v>1</v>
      </c>
      <c r="AF31" s="1">
        <v>0</v>
      </c>
      <c r="AG31" t="s">
        <v>537</v>
      </c>
      <c r="AH31" s="1">
        <v>1980</v>
      </c>
      <c r="AI31" s="1" t="s">
        <v>1928</v>
      </c>
      <c r="AJ31" s="1">
        <v>0</v>
      </c>
      <c r="AK31" s="1" t="s">
        <v>329</v>
      </c>
      <c r="AL31" s="1" t="s">
        <v>1932</v>
      </c>
      <c r="AM31" s="1">
        <v>0.15</v>
      </c>
      <c r="AN31" s="1">
        <v>0.6</v>
      </c>
      <c r="AO31" s="1">
        <v>0.38</v>
      </c>
      <c r="AP31" s="1">
        <v>0.23</v>
      </c>
      <c r="AQ31" s="1">
        <v>1</v>
      </c>
      <c r="AR31" s="1" t="s">
        <v>1501</v>
      </c>
      <c r="AS31" s="1">
        <v>0</v>
      </c>
      <c r="AT31" s="1" t="s">
        <v>1866</v>
      </c>
      <c r="AU31" s="1">
        <v>10</v>
      </c>
      <c r="AV31" s="1">
        <v>8001</v>
      </c>
      <c r="AW31" s="1">
        <v>0</v>
      </c>
    </row>
    <row r="32" spans="1:49" x14ac:dyDescent="0.25">
      <c r="A32" s="1">
        <v>31</v>
      </c>
      <c r="B32" s="1" t="s">
        <v>1933</v>
      </c>
      <c r="C32" s="1" t="s">
        <v>1934</v>
      </c>
      <c r="D32" s="1">
        <v>4</v>
      </c>
      <c r="E32" s="1">
        <v>2</v>
      </c>
      <c r="F32" s="1">
        <v>8</v>
      </c>
      <c r="G32" s="1" t="s">
        <v>356</v>
      </c>
      <c r="H32" s="1" t="s">
        <v>329</v>
      </c>
      <c r="I32" s="1" t="s">
        <v>329</v>
      </c>
      <c r="J32" s="1" t="s">
        <v>329</v>
      </c>
      <c r="K32" s="1" t="s">
        <v>329</v>
      </c>
      <c r="L32" s="1" t="s">
        <v>329</v>
      </c>
      <c r="M32" s="1" t="s">
        <v>329</v>
      </c>
      <c r="N32" s="1" t="s">
        <v>329</v>
      </c>
      <c r="O32" s="1" t="s">
        <v>329</v>
      </c>
      <c r="P32" s="1" t="s">
        <v>329</v>
      </c>
      <c r="Q32" s="1" t="s">
        <v>329</v>
      </c>
      <c r="R32" s="1" t="s">
        <v>329</v>
      </c>
      <c r="S32" s="1" t="s">
        <v>329</v>
      </c>
      <c r="T32" s="1" t="s">
        <v>329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4</v>
      </c>
      <c r="AE32" s="1">
        <v>2</v>
      </c>
      <c r="AF32" s="1">
        <v>1</v>
      </c>
      <c r="AG32" t="s">
        <v>538</v>
      </c>
      <c r="AH32" s="1">
        <v>2880</v>
      </c>
      <c r="AI32" s="1" t="s">
        <v>1928</v>
      </c>
      <c r="AJ32" s="1">
        <v>0</v>
      </c>
      <c r="AK32" s="1" t="s">
        <v>329</v>
      </c>
      <c r="AL32" s="1" t="s">
        <v>1935</v>
      </c>
      <c r="AM32" s="1">
        <v>0.15</v>
      </c>
      <c r="AN32" s="1">
        <v>0.6</v>
      </c>
      <c r="AO32" s="1">
        <v>0.38</v>
      </c>
      <c r="AP32" s="1">
        <v>0.23</v>
      </c>
      <c r="AQ32" s="1">
        <v>1</v>
      </c>
      <c r="AR32" s="1" t="s">
        <v>1502</v>
      </c>
      <c r="AS32" s="1">
        <v>0</v>
      </c>
      <c r="AT32" s="1" t="s">
        <v>1866</v>
      </c>
      <c r="AU32" s="1">
        <v>10</v>
      </c>
      <c r="AV32" s="1">
        <v>8001</v>
      </c>
      <c r="AW32" s="1">
        <v>0</v>
      </c>
    </row>
    <row r="33" spans="1:49" x14ac:dyDescent="0.25">
      <c r="A33" s="1">
        <v>32</v>
      </c>
      <c r="B33" s="1" t="s">
        <v>1936</v>
      </c>
      <c r="C33" s="1" t="s">
        <v>1937</v>
      </c>
      <c r="D33" s="1">
        <v>5</v>
      </c>
      <c r="E33" s="1">
        <v>2</v>
      </c>
      <c r="F33" s="1">
        <v>8</v>
      </c>
      <c r="G33" s="1" t="s">
        <v>357</v>
      </c>
      <c r="H33" s="1" t="s">
        <v>329</v>
      </c>
      <c r="I33" s="1" t="s">
        <v>329</v>
      </c>
      <c r="J33" s="1" t="s">
        <v>329</v>
      </c>
      <c r="K33" s="1" t="s">
        <v>329</v>
      </c>
      <c r="L33" s="1" t="s">
        <v>329</v>
      </c>
      <c r="M33" s="1" t="s">
        <v>329</v>
      </c>
      <c r="N33" s="1" t="s">
        <v>329</v>
      </c>
      <c r="O33" s="1" t="s">
        <v>329</v>
      </c>
      <c r="P33" s="1" t="s">
        <v>329</v>
      </c>
      <c r="Q33" s="1" t="s">
        <v>329</v>
      </c>
      <c r="R33" s="1" t="s">
        <v>329</v>
      </c>
      <c r="S33" s="1" t="s">
        <v>329</v>
      </c>
      <c r="T33" s="1" t="s">
        <v>329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5</v>
      </c>
      <c r="AE33" s="1">
        <v>3</v>
      </c>
      <c r="AF33" s="1">
        <v>2</v>
      </c>
      <c r="AG33" t="s">
        <v>539</v>
      </c>
      <c r="AH33" s="1">
        <v>3480</v>
      </c>
      <c r="AI33" s="1" t="s">
        <v>1928</v>
      </c>
      <c r="AJ33" s="1">
        <v>0</v>
      </c>
      <c r="AK33" s="1" t="s">
        <v>329</v>
      </c>
      <c r="AL33" s="1" t="s">
        <v>1938</v>
      </c>
      <c r="AM33" s="1">
        <v>0.15</v>
      </c>
      <c r="AN33" s="1">
        <v>0.6</v>
      </c>
      <c r="AO33" s="1">
        <v>0.38</v>
      </c>
      <c r="AP33" s="1">
        <v>0.23</v>
      </c>
      <c r="AQ33" s="1">
        <v>1</v>
      </c>
      <c r="AR33" s="1" t="s">
        <v>1503</v>
      </c>
      <c r="AS33" s="1">
        <v>0</v>
      </c>
      <c r="AT33" s="1" t="s">
        <v>1866</v>
      </c>
      <c r="AU33" s="1">
        <v>10</v>
      </c>
      <c r="AV33" s="1">
        <v>8001</v>
      </c>
      <c r="AW33" s="1">
        <v>0</v>
      </c>
    </row>
    <row r="34" spans="1:49" x14ac:dyDescent="0.25">
      <c r="A34" s="1">
        <v>33</v>
      </c>
      <c r="B34" s="1" t="s">
        <v>5596</v>
      </c>
      <c r="C34" s="1" t="s">
        <v>5597</v>
      </c>
      <c r="D34" s="1">
        <v>2</v>
      </c>
      <c r="E34" s="1">
        <v>3</v>
      </c>
      <c r="F34" s="1">
        <v>9</v>
      </c>
      <c r="G34" s="1" t="s">
        <v>329</v>
      </c>
      <c r="H34" s="1" t="s">
        <v>329</v>
      </c>
      <c r="I34" s="1" t="s">
        <v>329</v>
      </c>
      <c r="J34" s="1" t="s">
        <v>329</v>
      </c>
      <c r="K34" s="1" t="s">
        <v>329</v>
      </c>
      <c r="L34" s="1" t="s">
        <v>329</v>
      </c>
      <c r="M34" s="1" t="s">
        <v>329</v>
      </c>
      <c r="N34" s="1" t="s">
        <v>329</v>
      </c>
      <c r="O34" s="1" t="s">
        <v>329</v>
      </c>
      <c r="P34" s="1" t="s">
        <v>329</v>
      </c>
      <c r="Q34" s="1" t="s">
        <v>329</v>
      </c>
      <c r="R34" s="1" t="s">
        <v>329</v>
      </c>
      <c r="S34" s="1" t="s">
        <v>329</v>
      </c>
      <c r="T34" s="1" t="s">
        <v>329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1</v>
      </c>
      <c r="AD34" s="1">
        <v>1</v>
      </c>
      <c r="AE34" s="1">
        <v>0</v>
      </c>
      <c r="AF34" s="1">
        <v>0</v>
      </c>
      <c r="AG34" t="s">
        <v>5064</v>
      </c>
      <c r="AH34" s="1">
        <v>660</v>
      </c>
      <c r="AI34" s="1" t="s">
        <v>329</v>
      </c>
      <c r="AJ34" s="1">
        <v>0</v>
      </c>
      <c r="AK34" s="1" t="s">
        <v>329</v>
      </c>
      <c r="AL34" s="1" t="s">
        <v>5598</v>
      </c>
      <c r="AM34" s="1">
        <v>0</v>
      </c>
      <c r="AN34" s="1">
        <v>0</v>
      </c>
      <c r="AO34" s="1">
        <v>0</v>
      </c>
      <c r="AP34" s="1">
        <v>0</v>
      </c>
      <c r="AQ34" s="1">
        <v>1</v>
      </c>
      <c r="AR34" s="1" t="s">
        <v>329</v>
      </c>
      <c r="AS34" s="1">
        <v>0</v>
      </c>
      <c r="AT34" s="1" t="s">
        <v>1866</v>
      </c>
      <c r="AU34" s="1">
        <v>0</v>
      </c>
      <c r="AV34" s="1">
        <v>9001</v>
      </c>
      <c r="AW34" s="1">
        <v>0</v>
      </c>
    </row>
    <row r="35" spans="1:49" x14ac:dyDescent="0.25">
      <c r="A35" s="1">
        <v>34</v>
      </c>
      <c r="B35" s="1" t="s">
        <v>5599</v>
      </c>
      <c r="C35" s="1" t="s">
        <v>5600</v>
      </c>
      <c r="D35" s="1">
        <v>3</v>
      </c>
      <c r="E35" s="1">
        <v>3</v>
      </c>
      <c r="F35" s="1">
        <v>9</v>
      </c>
      <c r="G35" s="1" t="s">
        <v>329</v>
      </c>
      <c r="H35" s="1" t="s">
        <v>329</v>
      </c>
      <c r="I35" s="1" t="s">
        <v>329</v>
      </c>
      <c r="J35" s="1" t="s">
        <v>329</v>
      </c>
      <c r="K35" s="1" t="s">
        <v>329</v>
      </c>
      <c r="L35" s="1" t="s">
        <v>329</v>
      </c>
      <c r="M35" s="1" t="s">
        <v>329</v>
      </c>
      <c r="N35" s="1" t="s">
        <v>329</v>
      </c>
      <c r="O35" s="1" t="s">
        <v>329</v>
      </c>
      <c r="P35" s="1" t="s">
        <v>329</v>
      </c>
      <c r="Q35" s="1" t="s">
        <v>329</v>
      </c>
      <c r="R35" s="1" t="s">
        <v>329</v>
      </c>
      <c r="S35" s="1" t="s">
        <v>329</v>
      </c>
      <c r="T35" s="1" t="s">
        <v>329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2</v>
      </c>
      <c r="AD35" s="1">
        <v>1</v>
      </c>
      <c r="AE35" s="1">
        <v>0</v>
      </c>
      <c r="AF35" s="1">
        <v>0</v>
      </c>
      <c r="AG35" t="s">
        <v>5601</v>
      </c>
      <c r="AH35" s="1">
        <v>1560</v>
      </c>
      <c r="AI35" s="1" t="s">
        <v>329</v>
      </c>
      <c r="AJ35" s="1">
        <v>0</v>
      </c>
      <c r="AK35" s="1" t="s">
        <v>329</v>
      </c>
      <c r="AL35" s="1" t="s">
        <v>5602</v>
      </c>
      <c r="AM35" s="1">
        <v>0</v>
      </c>
      <c r="AN35" s="1">
        <v>0</v>
      </c>
      <c r="AO35" s="1">
        <v>0</v>
      </c>
      <c r="AP35" s="1">
        <v>0</v>
      </c>
      <c r="AQ35" s="1">
        <v>1</v>
      </c>
      <c r="AR35" s="1" t="s">
        <v>329</v>
      </c>
      <c r="AS35" s="1">
        <v>0</v>
      </c>
      <c r="AT35" s="1" t="s">
        <v>1866</v>
      </c>
      <c r="AU35" s="1">
        <v>0</v>
      </c>
      <c r="AV35" s="1">
        <v>9001</v>
      </c>
      <c r="AW35" s="1">
        <v>0</v>
      </c>
    </row>
    <row r="36" spans="1:49" x14ac:dyDescent="0.25">
      <c r="A36" s="1">
        <v>35</v>
      </c>
      <c r="B36" s="1" t="s">
        <v>5603</v>
      </c>
      <c r="C36" s="1" t="s">
        <v>5604</v>
      </c>
      <c r="D36" s="1">
        <v>4</v>
      </c>
      <c r="E36" s="1">
        <v>3</v>
      </c>
      <c r="F36" s="1">
        <v>9</v>
      </c>
      <c r="G36" s="1" t="s">
        <v>329</v>
      </c>
      <c r="H36" s="1" t="s">
        <v>329</v>
      </c>
      <c r="I36" s="1" t="s">
        <v>329</v>
      </c>
      <c r="J36" s="1" t="s">
        <v>329</v>
      </c>
      <c r="K36" s="1" t="s">
        <v>329</v>
      </c>
      <c r="L36" s="1" t="s">
        <v>329</v>
      </c>
      <c r="M36" s="1" t="s">
        <v>329</v>
      </c>
      <c r="N36" s="1" t="s">
        <v>329</v>
      </c>
      <c r="O36" s="1" t="s">
        <v>329</v>
      </c>
      <c r="P36" s="1" t="s">
        <v>329</v>
      </c>
      <c r="Q36" s="1" t="s">
        <v>329</v>
      </c>
      <c r="R36" s="1" t="s">
        <v>329</v>
      </c>
      <c r="S36" s="1" t="s">
        <v>329</v>
      </c>
      <c r="T36" s="1" t="s">
        <v>329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3</v>
      </c>
      <c r="AD36" s="1">
        <v>2</v>
      </c>
      <c r="AE36" s="1">
        <v>0</v>
      </c>
      <c r="AF36" s="1">
        <v>1</v>
      </c>
      <c r="AG36" t="s">
        <v>5476</v>
      </c>
      <c r="AH36" s="1">
        <v>2460</v>
      </c>
      <c r="AI36" s="1" t="s">
        <v>329</v>
      </c>
      <c r="AJ36" s="1">
        <v>0</v>
      </c>
      <c r="AK36" s="1" t="s">
        <v>329</v>
      </c>
      <c r="AL36" s="1" t="s">
        <v>5605</v>
      </c>
      <c r="AM36" s="1">
        <v>0</v>
      </c>
      <c r="AN36" s="1">
        <v>0</v>
      </c>
      <c r="AO36" s="1">
        <v>0</v>
      </c>
      <c r="AP36" s="1">
        <v>0</v>
      </c>
      <c r="AQ36" s="1">
        <v>1</v>
      </c>
      <c r="AR36" s="1" t="s">
        <v>329</v>
      </c>
      <c r="AS36" s="1">
        <v>0</v>
      </c>
      <c r="AT36" s="1" t="s">
        <v>1866</v>
      </c>
      <c r="AU36" s="1">
        <v>0</v>
      </c>
      <c r="AV36" s="1">
        <v>9001</v>
      </c>
      <c r="AW36" s="1">
        <v>0</v>
      </c>
    </row>
    <row r="37" spans="1:49" x14ac:dyDescent="0.25">
      <c r="A37" s="1">
        <v>36</v>
      </c>
      <c r="B37" s="1" t="s">
        <v>5606</v>
      </c>
      <c r="C37" s="1" t="s">
        <v>5607</v>
      </c>
      <c r="D37" s="1">
        <v>5</v>
      </c>
      <c r="E37" s="1">
        <v>3</v>
      </c>
      <c r="F37" s="1">
        <v>9</v>
      </c>
      <c r="G37" s="1" t="s">
        <v>329</v>
      </c>
      <c r="H37" s="1" t="s">
        <v>329</v>
      </c>
      <c r="I37" s="1" t="s">
        <v>329</v>
      </c>
      <c r="J37" s="1" t="s">
        <v>329</v>
      </c>
      <c r="K37" s="1" t="s">
        <v>329</v>
      </c>
      <c r="L37" s="1" t="s">
        <v>329</v>
      </c>
      <c r="M37" s="1" t="s">
        <v>329</v>
      </c>
      <c r="N37" s="1" t="s">
        <v>329</v>
      </c>
      <c r="O37" s="1" t="s">
        <v>329</v>
      </c>
      <c r="P37" s="1" t="s">
        <v>329</v>
      </c>
      <c r="Q37" s="1" t="s">
        <v>329</v>
      </c>
      <c r="R37" s="1" t="s">
        <v>329</v>
      </c>
      <c r="S37" s="1" t="s">
        <v>329</v>
      </c>
      <c r="T37" s="1" t="s">
        <v>329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4</v>
      </c>
      <c r="AD37" s="1">
        <v>3</v>
      </c>
      <c r="AE37" s="1">
        <v>0</v>
      </c>
      <c r="AF37" s="1">
        <v>2</v>
      </c>
      <c r="AG37" t="s">
        <v>358</v>
      </c>
      <c r="AH37" s="1">
        <v>3060</v>
      </c>
      <c r="AI37" s="1" t="s">
        <v>329</v>
      </c>
      <c r="AJ37" s="1">
        <v>0</v>
      </c>
      <c r="AK37" s="1" t="s">
        <v>329</v>
      </c>
      <c r="AL37" s="1" t="s">
        <v>5608</v>
      </c>
      <c r="AM37" s="1">
        <v>0</v>
      </c>
      <c r="AN37" s="1">
        <v>0</v>
      </c>
      <c r="AO37" s="1">
        <v>0</v>
      </c>
      <c r="AP37" s="1">
        <v>0</v>
      </c>
      <c r="AQ37" s="1">
        <v>1</v>
      </c>
      <c r="AR37" s="1" t="s">
        <v>329</v>
      </c>
      <c r="AS37" s="1">
        <v>0</v>
      </c>
      <c r="AT37" s="1" t="s">
        <v>1866</v>
      </c>
      <c r="AU37" s="1">
        <v>0</v>
      </c>
      <c r="AV37" s="1">
        <v>9001</v>
      </c>
      <c r="AW37" s="1">
        <v>0</v>
      </c>
    </row>
    <row r="38" spans="1:49" x14ac:dyDescent="0.25">
      <c r="A38" s="1">
        <v>37</v>
      </c>
      <c r="B38" s="1" t="s">
        <v>1939</v>
      </c>
      <c r="C38" s="1" t="s">
        <v>1940</v>
      </c>
      <c r="D38" s="1">
        <v>2</v>
      </c>
      <c r="E38" s="1">
        <v>3</v>
      </c>
      <c r="F38" s="1">
        <v>10</v>
      </c>
      <c r="G38" s="1" t="s">
        <v>341</v>
      </c>
      <c r="H38" s="1" t="s">
        <v>329</v>
      </c>
      <c r="I38" s="1" t="s">
        <v>359</v>
      </c>
      <c r="J38" s="1" t="s">
        <v>329</v>
      </c>
      <c r="K38" s="1" t="s">
        <v>329</v>
      </c>
      <c r="L38" s="1" t="s">
        <v>329</v>
      </c>
      <c r="M38" s="1" t="s">
        <v>329</v>
      </c>
      <c r="N38" s="1" t="s">
        <v>329</v>
      </c>
      <c r="O38" s="1" t="s">
        <v>329</v>
      </c>
      <c r="P38" s="1" t="s">
        <v>329</v>
      </c>
      <c r="Q38" s="1" t="s">
        <v>329</v>
      </c>
      <c r="R38" s="1" t="s">
        <v>329</v>
      </c>
      <c r="S38" s="1" t="s">
        <v>329</v>
      </c>
      <c r="T38" s="1" t="s">
        <v>329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1</v>
      </c>
      <c r="AD38" s="1">
        <v>0</v>
      </c>
      <c r="AE38" s="1">
        <v>0</v>
      </c>
      <c r="AF38" s="1">
        <v>1</v>
      </c>
      <c r="AG38" t="s">
        <v>540</v>
      </c>
      <c r="AH38" s="1">
        <v>720</v>
      </c>
      <c r="AI38" s="1" t="s">
        <v>1903</v>
      </c>
      <c r="AJ38" s="1">
        <v>0</v>
      </c>
      <c r="AK38" s="1" t="s">
        <v>329</v>
      </c>
      <c r="AL38" s="1" t="s">
        <v>1941</v>
      </c>
      <c r="AM38" s="1">
        <v>0</v>
      </c>
      <c r="AN38" s="1">
        <v>0</v>
      </c>
      <c r="AO38" s="1">
        <v>0</v>
      </c>
      <c r="AP38" s="1">
        <v>0</v>
      </c>
      <c r="AQ38" s="1">
        <v>1</v>
      </c>
      <c r="AR38" s="1" t="s">
        <v>329</v>
      </c>
      <c r="AS38" s="1">
        <v>0</v>
      </c>
      <c r="AT38" s="1" t="s">
        <v>1866</v>
      </c>
      <c r="AU38" s="1">
        <v>0</v>
      </c>
      <c r="AV38" s="1">
        <v>10001</v>
      </c>
      <c r="AW38" s="1">
        <v>0</v>
      </c>
    </row>
    <row r="39" spans="1:49" x14ac:dyDescent="0.25">
      <c r="A39" s="1">
        <v>38</v>
      </c>
      <c r="B39" s="1" t="s">
        <v>1942</v>
      </c>
      <c r="C39" s="1" t="s">
        <v>1943</v>
      </c>
      <c r="D39" s="1">
        <v>3</v>
      </c>
      <c r="E39" s="1">
        <v>3</v>
      </c>
      <c r="F39" s="1">
        <v>10</v>
      </c>
      <c r="G39" s="1" t="s">
        <v>337</v>
      </c>
      <c r="H39" s="1" t="s">
        <v>329</v>
      </c>
      <c r="I39" s="1" t="s">
        <v>360</v>
      </c>
      <c r="J39" s="1" t="s">
        <v>329</v>
      </c>
      <c r="K39" s="1" t="s">
        <v>329</v>
      </c>
      <c r="L39" s="1" t="s">
        <v>329</v>
      </c>
      <c r="M39" s="1" t="s">
        <v>329</v>
      </c>
      <c r="N39" s="1" t="s">
        <v>329</v>
      </c>
      <c r="O39" s="1" t="s">
        <v>329</v>
      </c>
      <c r="P39" s="1" t="s">
        <v>329</v>
      </c>
      <c r="Q39" s="1" t="s">
        <v>329</v>
      </c>
      <c r="R39" s="1" t="s">
        <v>329</v>
      </c>
      <c r="S39" s="1" t="s">
        <v>329</v>
      </c>
      <c r="T39" s="1" t="s">
        <v>329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2</v>
      </c>
      <c r="AD39" s="1">
        <v>1</v>
      </c>
      <c r="AE39" s="1">
        <v>0</v>
      </c>
      <c r="AF39" s="1">
        <v>2</v>
      </c>
      <c r="AG39" t="s">
        <v>541</v>
      </c>
      <c r="AH39" s="1">
        <v>1620</v>
      </c>
      <c r="AI39" s="1" t="s">
        <v>1903</v>
      </c>
      <c r="AJ39" s="1">
        <v>0</v>
      </c>
      <c r="AK39" s="1" t="s">
        <v>329</v>
      </c>
      <c r="AL39" s="1" t="s">
        <v>1944</v>
      </c>
      <c r="AM39" s="1">
        <v>0.3</v>
      </c>
      <c r="AN39" s="1">
        <v>0.23</v>
      </c>
      <c r="AO39" s="1">
        <v>0.15</v>
      </c>
      <c r="AP39" s="1">
        <v>0.38</v>
      </c>
      <c r="AQ39" s="1">
        <v>1</v>
      </c>
      <c r="AR39" s="1" t="s">
        <v>1504</v>
      </c>
      <c r="AS39" s="1">
        <v>0</v>
      </c>
      <c r="AT39" s="1" t="s">
        <v>1866</v>
      </c>
      <c r="AU39" s="1">
        <v>10</v>
      </c>
      <c r="AV39" s="1">
        <v>10001</v>
      </c>
      <c r="AW39" s="1">
        <v>0</v>
      </c>
    </row>
    <row r="40" spans="1:49" x14ac:dyDescent="0.25">
      <c r="A40" s="1">
        <v>39</v>
      </c>
      <c r="B40" s="1" t="s">
        <v>1945</v>
      </c>
      <c r="C40" s="1" t="s">
        <v>1946</v>
      </c>
      <c r="D40" s="1">
        <v>4</v>
      </c>
      <c r="E40" s="1">
        <v>3</v>
      </c>
      <c r="F40" s="1">
        <v>10</v>
      </c>
      <c r="G40" s="1" t="s">
        <v>361</v>
      </c>
      <c r="H40" s="1" t="s">
        <v>329</v>
      </c>
      <c r="I40" s="1" t="s">
        <v>362</v>
      </c>
      <c r="J40" s="1" t="s">
        <v>329</v>
      </c>
      <c r="K40" s="1" t="s">
        <v>329</v>
      </c>
      <c r="L40" s="1" t="s">
        <v>329</v>
      </c>
      <c r="M40" s="1" t="s">
        <v>329</v>
      </c>
      <c r="N40" s="1" t="s">
        <v>329</v>
      </c>
      <c r="O40" s="1" t="s">
        <v>329</v>
      </c>
      <c r="P40" s="1" t="s">
        <v>329</v>
      </c>
      <c r="Q40" s="1" t="s">
        <v>329</v>
      </c>
      <c r="R40" s="1" t="s">
        <v>329</v>
      </c>
      <c r="S40" s="1" t="s">
        <v>329</v>
      </c>
      <c r="T40" s="1" t="s">
        <v>329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3</v>
      </c>
      <c r="AD40" s="1">
        <v>1</v>
      </c>
      <c r="AE40" s="1">
        <v>0</v>
      </c>
      <c r="AF40" s="1">
        <v>3</v>
      </c>
      <c r="AG40" t="s">
        <v>542</v>
      </c>
      <c r="AH40" s="1">
        <v>2520</v>
      </c>
      <c r="AI40" s="1" t="s">
        <v>1903</v>
      </c>
      <c r="AJ40" s="1">
        <v>0</v>
      </c>
      <c r="AK40" s="1" t="s">
        <v>329</v>
      </c>
      <c r="AL40" s="1" t="s">
        <v>1947</v>
      </c>
      <c r="AM40" s="1">
        <v>0.3</v>
      </c>
      <c r="AN40" s="1">
        <v>0.23</v>
      </c>
      <c r="AO40" s="1">
        <v>0.15</v>
      </c>
      <c r="AP40" s="1">
        <v>0.38</v>
      </c>
      <c r="AQ40" s="1">
        <v>1</v>
      </c>
      <c r="AR40" s="1" t="s">
        <v>1504</v>
      </c>
      <c r="AS40" s="1">
        <v>0</v>
      </c>
      <c r="AT40" s="1" t="s">
        <v>1866</v>
      </c>
      <c r="AU40" s="1">
        <v>10</v>
      </c>
      <c r="AV40" s="1">
        <v>10001</v>
      </c>
      <c r="AW40" s="1">
        <v>0</v>
      </c>
    </row>
    <row r="41" spans="1:49" x14ac:dyDescent="0.25">
      <c r="A41" s="1">
        <v>40</v>
      </c>
      <c r="B41" s="1" t="s">
        <v>1948</v>
      </c>
      <c r="C41" s="1" t="s">
        <v>1949</v>
      </c>
      <c r="D41" s="1">
        <v>5</v>
      </c>
      <c r="E41" s="1">
        <v>3</v>
      </c>
      <c r="F41" s="1">
        <v>10</v>
      </c>
      <c r="G41" s="1" t="s">
        <v>363</v>
      </c>
      <c r="H41" s="1" t="s">
        <v>329</v>
      </c>
      <c r="I41" s="1" t="s">
        <v>364</v>
      </c>
      <c r="J41" s="1" t="s">
        <v>329</v>
      </c>
      <c r="K41" s="1" t="s">
        <v>329</v>
      </c>
      <c r="L41" s="1" t="s">
        <v>329</v>
      </c>
      <c r="M41" s="1" t="s">
        <v>329</v>
      </c>
      <c r="N41" s="1" t="s">
        <v>329</v>
      </c>
      <c r="O41" s="1" t="s">
        <v>329</v>
      </c>
      <c r="P41" s="1" t="s">
        <v>329</v>
      </c>
      <c r="Q41" s="1" t="s">
        <v>329</v>
      </c>
      <c r="R41" s="1" t="s">
        <v>329</v>
      </c>
      <c r="S41" s="1" t="s">
        <v>329</v>
      </c>
      <c r="T41" s="1" t="s">
        <v>329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4</v>
      </c>
      <c r="AD41" s="1">
        <v>2</v>
      </c>
      <c r="AE41" s="1">
        <v>0</v>
      </c>
      <c r="AF41" s="1">
        <v>4</v>
      </c>
      <c r="AG41" t="s">
        <v>543</v>
      </c>
      <c r="AH41" s="1">
        <v>3120</v>
      </c>
      <c r="AI41" s="1" t="s">
        <v>1903</v>
      </c>
      <c r="AJ41" s="1">
        <v>0</v>
      </c>
      <c r="AK41" s="1" t="s">
        <v>329</v>
      </c>
      <c r="AL41" s="1" t="s">
        <v>1950</v>
      </c>
      <c r="AM41" s="1">
        <v>0.3</v>
      </c>
      <c r="AN41" s="1">
        <v>0.23</v>
      </c>
      <c r="AO41" s="1">
        <v>0.15</v>
      </c>
      <c r="AP41" s="1">
        <v>0.38</v>
      </c>
      <c r="AQ41" s="1">
        <v>1</v>
      </c>
      <c r="AR41" s="1" t="s">
        <v>1504</v>
      </c>
      <c r="AS41" s="1">
        <v>0</v>
      </c>
      <c r="AT41" s="1" t="s">
        <v>1866</v>
      </c>
      <c r="AU41" s="1">
        <v>10</v>
      </c>
      <c r="AV41" s="1">
        <v>10001</v>
      </c>
      <c r="AW41" s="1">
        <v>0</v>
      </c>
    </row>
    <row r="42" spans="1:49" x14ac:dyDescent="0.25">
      <c r="A42" s="1">
        <v>42</v>
      </c>
      <c r="B42" s="1" t="s">
        <v>1951</v>
      </c>
      <c r="C42" s="1" t="s">
        <v>1952</v>
      </c>
      <c r="D42" s="1">
        <v>3</v>
      </c>
      <c r="E42" s="1">
        <v>3</v>
      </c>
      <c r="F42" s="1">
        <v>11</v>
      </c>
      <c r="G42" s="1" t="s">
        <v>329</v>
      </c>
      <c r="H42" s="1" t="s">
        <v>329</v>
      </c>
      <c r="I42" s="1" t="s">
        <v>331</v>
      </c>
      <c r="J42" s="1" t="s">
        <v>329</v>
      </c>
      <c r="K42" s="1" t="s">
        <v>329</v>
      </c>
      <c r="L42" s="1" t="s">
        <v>329</v>
      </c>
      <c r="M42" s="1" t="s">
        <v>329</v>
      </c>
      <c r="N42" s="1" t="s">
        <v>329</v>
      </c>
      <c r="O42" s="1" t="s">
        <v>365</v>
      </c>
      <c r="P42" s="1" t="s">
        <v>329</v>
      </c>
      <c r="Q42" s="1" t="s">
        <v>329</v>
      </c>
      <c r="R42" s="1" t="s">
        <v>329</v>
      </c>
      <c r="S42" s="1" t="s">
        <v>329</v>
      </c>
      <c r="T42" s="1" t="s">
        <v>329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2</v>
      </c>
      <c r="AF42" s="1">
        <v>2</v>
      </c>
      <c r="AG42" t="s">
        <v>544</v>
      </c>
      <c r="AH42" s="1">
        <v>1560</v>
      </c>
      <c r="AI42" s="1" t="s">
        <v>1903</v>
      </c>
      <c r="AJ42" s="1">
        <v>0</v>
      </c>
      <c r="AK42" s="1" t="s">
        <v>329</v>
      </c>
      <c r="AL42" s="1" t="s">
        <v>1953</v>
      </c>
      <c r="AM42" s="1">
        <v>0.23</v>
      </c>
      <c r="AN42" s="1">
        <v>0.23</v>
      </c>
      <c r="AO42" s="1">
        <v>0.33</v>
      </c>
      <c r="AP42" s="1">
        <v>0.33</v>
      </c>
      <c r="AQ42" s="1">
        <v>1</v>
      </c>
      <c r="AR42" s="1" t="s">
        <v>1505</v>
      </c>
      <c r="AS42" s="1">
        <v>0</v>
      </c>
      <c r="AT42" s="1" t="s">
        <v>1866</v>
      </c>
      <c r="AU42" s="1">
        <v>10</v>
      </c>
      <c r="AV42" s="1">
        <v>11001</v>
      </c>
      <c r="AW42" s="1">
        <v>0</v>
      </c>
    </row>
    <row r="43" spans="1:49" x14ac:dyDescent="0.25">
      <c r="A43" s="1">
        <v>43</v>
      </c>
      <c r="B43" s="1" t="s">
        <v>1954</v>
      </c>
      <c r="C43" s="1" t="s">
        <v>1955</v>
      </c>
      <c r="D43" s="1">
        <v>4</v>
      </c>
      <c r="E43" s="1">
        <v>3</v>
      </c>
      <c r="F43" s="1">
        <v>11</v>
      </c>
      <c r="G43" s="1" t="s">
        <v>329</v>
      </c>
      <c r="H43" s="1" t="s">
        <v>329</v>
      </c>
      <c r="I43" s="1" t="s">
        <v>331</v>
      </c>
      <c r="J43" s="1" t="s">
        <v>329</v>
      </c>
      <c r="K43" s="1" t="s">
        <v>329</v>
      </c>
      <c r="L43" s="1" t="s">
        <v>329</v>
      </c>
      <c r="M43" s="1" t="s">
        <v>329</v>
      </c>
      <c r="N43" s="1" t="s">
        <v>329</v>
      </c>
      <c r="O43" s="1" t="s">
        <v>366</v>
      </c>
      <c r="P43" s="1" t="s">
        <v>329</v>
      </c>
      <c r="Q43" s="1" t="s">
        <v>329</v>
      </c>
      <c r="R43" s="1" t="s">
        <v>329</v>
      </c>
      <c r="S43" s="1" t="s">
        <v>329</v>
      </c>
      <c r="T43" s="1" t="s">
        <v>329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1</v>
      </c>
      <c r="AD43" s="1">
        <v>1</v>
      </c>
      <c r="AE43" s="1">
        <v>2</v>
      </c>
      <c r="AF43" s="1">
        <v>2</v>
      </c>
      <c r="AG43" t="s">
        <v>545</v>
      </c>
      <c r="AH43" s="1">
        <v>2460</v>
      </c>
      <c r="AI43" s="1" t="s">
        <v>1903</v>
      </c>
      <c r="AJ43" s="1">
        <v>0</v>
      </c>
      <c r="AK43" s="1" t="s">
        <v>329</v>
      </c>
      <c r="AL43" s="1" t="s">
        <v>1956</v>
      </c>
      <c r="AM43" s="1">
        <v>0.23</v>
      </c>
      <c r="AN43" s="1">
        <v>0.23</v>
      </c>
      <c r="AO43" s="1">
        <v>0.33</v>
      </c>
      <c r="AP43" s="1">
        <v>0.33</v>
      </c>
      <c r="AQ43" s="1">
        <v>1</v>
      </c>
      <c r="AR43" s="1" t="s">
        <v>1505</v>
      </c>
      <c r="AS43" s="1">
        <v>0</v>
      </c>
      <c r="AT43" s="1" t="s">
        <v>1866</v>
      </c>
      <c r="AU43" s="1">
        <v>10</v>
      </c>
      <c r="AV43" s="1">
        <v>11001</v>
      </c>
      <c r="AW43" s="1">
        <v>0</v>
      </c>
    </row>
    <row r="44" spans="1:49" x14ac:dyDescent="0.25">
      <c r="A44" s="1">
        <v>44</v>
      </c>
      <c r="B44" s="1" t="s">
        <v>1957</v>
      </c>
      <c r="C44" s="1" t="s">
        <v>1958</v>
      </c>
      <c r="D44" s="1">
        <v>5</v>
      </c>
      <c r="E44" s="1">
        <v>3</v>
      </c>
      <c r="F44" s="1">
        <v>11</v>
      </c>
      <c r="G44" s="1" t="s">
        <v>329</v>
      </c>
      <c r="H44" s="1" t="s">
        <v>329</v>
      </c>
      <c r="I44" s="1" t="s">
        <v>367</v>
      </c>
      <c r="J44" s="1" t="s">
        <v>329</v>
      </c>
      <c r="K44" s="1" t="s">
        <v>329</v>
      </c>
      <c r="L44" s="1" t="s">
        <v>329</v>
      </c>
      <c r="M44" s="1" t="s">
        <v>329</v>
      </c>
      <c r="N44" s="1" t="s">
        <v>329</v>
      </c>
      <c r="O44" s="1" t="s">
        <v>359</v>
      </c>
      <c r="P44" s="1" t="s">
        <v>329</v>
      </c>
      <c r="Q44" s="1" t="s">
        <v>329</v>
      </c>
      <c r="R44" s="1" t="s">
        <v>329</v>
      </c>
      <c r="S44" s="1" t="s">
        <v>329</v>
      </c>
      <c r="T44" s="1" t="s">
        <v>329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2</v>
      </c>
      <c r="AD44" s="1">
        <v>2</v>
      </c>
      <c r="AE44" s="1">
        <v>3</v>
      </c>
      <c r="AF44" s="1">
        <v>3</v>
      </c>
      <c r="AG44" t="s">
        <v>546</v>
      </c>
      <c r="AH44" s="1">
        <v>3060</v>
      </c>
      <c r="AI44" s="1" t="s">
        <v>1903</v>
      </c>
      <c r="AJ44" s="1">
        <v>0</v>
      </c>
      <c r="AK44" s="1" t="s">
        <v>329</v>
      </c>
      <c r="AL44" s="1" t="s">
        <v>1959</v>
      </c>
      <c r="AM44" s="1">
        <v>0.23</v>
      </c>
      <c r="AN44" s="1">
        <v>0.23</v>
      </c>
      <c r="AO44" s="1">
        <v>0.33</v>
      </c>
      <c r="AP44" s="1">
        <v>0.33</v>
      </c>
      <c r="AQ44" s="1">
        <v>1</v>
      </c>
      <c r="AR44" s="1" t="s">
        <v>1505</v>
      </c>
      <c r="AS44" s="1">
        <v>0</v>
      </c>
      <c r="AT44" s="1" t="s">
        <v>1866</v>
      </c>
      <c r="AU44" s="1">
        <v>10</v>
      </c>
      <c r="AV44" s="1">
        <v>11001</v>
      </c>
      <c r="AW44" s="1">
        <v>0</v>
      </c>
    </row>
    <row r="45" spans="1:49" x14ac:dyDescent="0.25">
      <c r="A45" s="1">
        <v>45</v>
      </c>
      <c r="B45" s="1" t="s">
        <v>5610</v>
      </c>
      <c r="C45" s="1" t="s">
        <v>5611</v>
      </c>
      <c r="D45" s="1">
        <v>2</v>
      </c>
      <c r="E45" s="1">
        <v>3</v>
      </c>
      <c r="F45" s="1">
        <v>12</v>
      </c>
      <c r="G45" s="1" t="s">
        <v>329</v>
      </c>
      <c r="H45" s="1" t="s">
        <v>329</v>
      </c>
      <c r="I45" s="1" t="s">
        <v>329</v>
      </c>
      <c r="J45" s="1" t="s">
        <v>329</v>
      </c>
      <c r="K45" s="1" t="s">
        <v>329</v>
      </c>
      <c r="L45" s="1" t="s">
        <v>329</v>
      </c>
      <c r="M45" s="1" t="s">
        <v>329</v>
      </c>
      <c r="N45" s="1" t="s">
        <v>329</v>
      </c>
      <c r="O45" s="1" t="s">
        <v>329</v>
      </c>
      <c r="P45" s="1" t="s">
        <v>329</v>
      </c>
      <c r="Q45" s="1" t="s">
        <v>329</v>
      </c>
      <c r="R45" s="1" t="s">
        <v>329</v>
      </c>
      <c r="S45" s="1" t="s">
        <v>329</v>
      </c>
      <c r="T45" s="1" t="s">
        <v>329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2</v>
      </c>
      <c r="AD45" s="1">
        <v>0</v>
      </c>
      <c r="AE45" s="1">
        <v>0</v>
      </c>
      <c r="AF45" s="1">
        <v>1</v>
      </c>
      <c r="AG45" t="s">
        <v>5612</v>
      </c>
      <c r="AH45" s="1">
        <v>1200</v>
      </c>
      <c r="AI45" s="1" t="s">
        <v>329</v>
      </c>
      <c r="AJ45" s="1">
        <v>0</v>
      </c>
      <c r="AK45" s="1" t="s">
        <v>329</v>
      </c>
      <c r="AL45" s="1" t="s">
        <v>5613</v>
      </c>
      <c r="AM45" s="1">
        <v>0</v>
      </c>
      <c r="AN45" s="1">
        <v>0</v>
      </c>
      <c r="AO45" s="1">
        <v>0</v>
      </c>
      <c r="AP45" s="1">
        <v>0</v>
      </c>
      <c r="AQ45" s="1">
        <v>1</v>
      </c>
      <c r="AR45" s="1" t="s">
        <v>329</v>
      </c>
      <c r="AS45" s="1">
        <v>0</v>
      </c>
      <c r="AT45" s="1" t="s">
        <v>1866</v>
      </c>
      <c r="AU45" s="1">
        <v>0</v>
      </c>
      <c r="AV45" s="1">
        <v>12001</v>
      </c>
      <c r="AW45" s="1">
        <v>0</v>
      </c>
    </row>
    <row r="46" spans="1:49" x14ac:dyDescent="0.25">
      <c r="A46" s="1">
        <v>46</v>
      </c>
      <c r="B46" s="1" t="s">
        <v>5614</v>
      </c>
      <c r="C46" s="1" t="s">
        <v>5615</v>
      </c>
      <c r="D46" s="1">
        <v>3</v>
      </c>
      <c r="E46" s="1">
        <v>3</v>
      </c>
      <c r="F46" s="1">
        <v>12</v>
      </c>
      <c r="G46" s="1" t="s">
        <v>329</v>
      </c>
      <c r="H46" s="1" t="s">
        <v>329</v>
      </c>
      <c r="I46" s="1" t="s">
        <v>329</v>
      </c>
      <c r="J46" s="1" t="s">
        <v>329</v>
      </c>
      <c r="K46" s="1" t="s">
        <v>329</v>
      </c>
      <c r="L46" s="1" t="s">
        <v>329</v>
      </c>
      <c r="M46" s="1" t="s">
        <v>329</v>
      </c>
      <c r="N46" s="1" t="s">
        <v>329</v>
      </c>
      <c r="O46" s="1" t="s">
        <v>329</v>
      </c>
      <c r="P46" s="1" t="s">
        <v>329</v>
      </c>
      <c r="Q46" s="1" t="s">
        <v>329</v>
      </c>
      <c r="R46" s="1" t="s">
        <v>329</v>
      </c>
      <c r="S46" s="1" t="s">
        <v>329</v>
      </c>
      <c r="T46" s="1" t="s">
        <v>329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3</v>
      </c>
      <c r="AD46" s="1">
        <v>0</v>
      </c>
      <c r="AE46" s="1">
        <v>0</v>
      </c>
      <c r="AF46" s="1">
        <v>1</v>
      </c>
      <c r="AG46" t="s">
        <v>368</v>
      </c>
      <c r="AH46" s="1">
        <v>2100</v>
      </c>
      <c r="AI46" s="1" t="s">
        <v>329</v>
      </c>
      <c r="AJ46" s="1">
        <v>0</v>
      </c>
      <c r="AK46" s="1" t="s">
        <v>329</v>
      </c>
      <c r="AL46" s="1" t="s">
        <v>5616</v>
      </c>
      <c r="AM46" s="1">
        <v>0</v>
      </c>
      <c r="AN46" s="1">
        <v>0</v>
      </c>
      <c r="AO46" s="1">
        <v>0</v>
      </c>
      <c r="AP46" s="1">
        <v>0</v>
      </c>
      <c r="AQ46" s="1">
        <v>1</v>
      </c>
      <c r="AR46" s="1" t="s">
        <v>329</v>
      </c>
      <c r="AS46" s="1">
        <v>0</v>
      </c>
      <c r="AT46" s="1" t="s">
        <v>1866</v>
      </c>
      <c r="AU46" s="1">
        <v>0</v>
      </c>
      <c r="AV46" s="1">
        <v>12001</v>
      </c>
      <c r="AW46" s="1">
        <v>0</v>
      </c>
    </row>
    <row r="47" spans="1:49" x14ac:dyDescent="0.25">
      <c r="A47" s="1">
        <v>47</v>
      </c>
      <c r="B47" s="1" t="s">
        <v>5617</v>
      </c>
      <c r="C47" s="1" t="s">
        <v>5618</v>
      </c>
      <c r="D47" s="1">
        <v>4</v>
      </c>
      <c r="E47" s="1">
        <v>3</v>
      </c>
      <c r="F47" s="1">
        <v>12</v>
      </c>
      <c r="G47" s="1" t="s">
        <v>329</v>
      </c>
      <c r="H47" s="1" t="s">
        <v>329</v>
      </c>
      <c r="I47" s="1" t="s">
        <v>329</v>
      </c>
      <c r="J47" s="1" t="s">
        <v>329</v>
      </c>
      <c r="K47" s="1" t="s">
        <v>329</v>
      </c>
      <c r="L47" s="1" t="s">
        <v>329</v>
      </c>
      <c r="M47" s="1" t="s">
        <v>329</v>
      </c>
      <c r="N47" s="1" t="s">
        <v>329</v>
      </c>
      <c r="O47" s="1" t="s">
        <v>329</v>
      </c>
      <c r="P47" s="1" t="s">
        <v>329</v>
      </c>
      <c r="Q47" s="1" t="s">
        <v>329</v>
      </c>
      <c r="R47" s="1" t="s">
        <v>329</v>
      </c>
      <c r="S47" s="1" t="s">
        <v>329</v>
      </c>
      <c r="T47" s="1" t="s">
        <v>329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4</v>
      </c>
      <c r="AD47" s="1">
        <v>1</v>
      </c>
      <c r="AE47" s="1">
        <v>1</v>
      </c>
      <c r="AF47" s="1">
        <v>2</v>
      </c>
      <c r="AG47" t="s">
        <v>5619</v>
      </c>
      <c r="AH47" s="1">
        <v>3000</v>
      </c>
      <c r="AI47" s="1" t="s">
        <v>329</v>
      </c>
      <c r="AJ47" s="1">
        <v>0</v>
      </c>
      <c r="AK47" s="1" t="s">
        <v>329</v>
      </c>
      <c r="AL47" s="1" t="s">
        <v>5620</v>
      </c>
      <c r="AM47" s="1">
        <v>0</v>
      </c>
      <c r="AN47" s="1">
        <v>0</v>
      </c>
      <c r="AO47" s="1">
        <v>0</v>
      </c>
      <c r="AP47" s="1">
        <v>0</v>
      </c>
      <c r="AQ47" s="1">
        <v>1</v>
      </c>
      <c r="AR47" s="1" t="s">
        <v>329</v>
      </c>
      <c r="AS47" s="1">
        <v>0</v>
      </c>
      <c r="AT47" s="1" t="s">
        <v>1866</v>
      </c>
      <c r="AU47" s="1">
        <v>0</v>
      </c>
      <c r="AV47" s="1">
        <v>12001</v>
      </c>
      <c r="AW47" s="1">
        <v>0</v>
      </c>
    </row>
    <row r="48" spans="1:49" x14ac:dyDescent="0.25">
      <c r="A48" s="1">
        <v>48</v>
      </c>
      <c r="B48" s="1" t="s">
        <v>5621</v>
      </c>
      <c r="C48" s="1" t="s">
        <v>5622</v>
      </c>
      <c r="D48" s="1">
        <v>5</v>
      </c>
      <c r="E48" s="1">
        <v>3</v>
      </c>
      <c r="F48" s="1">
        <v>12</v>
      </c>
      <c r="G48" s="1" t="s">
        <v>329</v>
      </c>
      <c r="H48" s="1" t="s">
        <v>329</v>
      </c>
      <c r="I48" s="1" t="s">
        <v>329</v>
      </c>
      <c r="J48" s="1" t="s">
        <v>329</v>
      </c>
      <c r="K48" s="1" t="s">
        <v>329</v>
      </c>
      <c r="L48" s="1" t="s">
        <v>329</v>
      </c>
      <c r="M48" s="1" t="s">
        <v>329</v>
      </c>
      <c r="N48" s="1" t="s">
        <v>329</v>
      </c>
      <c r="O48" s="1" t="s">
        <v>329</v>
      </c>
      <c r="P48" s="1" t="s">
        <v>329</v>
      </c>
      <c r="Q48" s="1" t="s">
        <v>329</v>
      </c>
      <c r="R48" s="1" t="s">
        <v>329</v>
      </c>
      <c r="S48" s="1" t="s">
        <v>329</v>
      </c>
      <c r="T48" s="1" t="s">
        <v>329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5</v>
      </c>
      <c r="AD48" s="1">
        <v>1</v>
      </c>
      <c r="AE48" s="1">
        <v>1</v>
      </c>
      <c r="AF48" s="1">
        <v>3</v>
      </c>
      <c r="AG48" t="s">
        <v>891</v>
      </c>
      <c r="AH48" s="1">
        <v>3600</v>
      </c>
      <c r="AI48" s="1" t="s">
        <v>329</v>
      </c>
      <c r="AJ48" s="1">
        <v>0</v>
      </c>
      <c r="AK48" s="1" t="s">
        <v>329</v>
      </c>
      <c r="AL48" s="1" t="s">
        <v>5623</v>
      </c>
      <c r="AM48" s="1">
        <v>0</v>
      </c>
      <c r="AN48" s="1">
        <v>0</v>
      </c>
      <c r="AO48" s="1">
        <v>0</v>
      </c>
      <c r="AP48" s="1">
        <v>0</v>
      </c>
      <c r="AQ48" s="1">
        <v>1</v>
      </c>
      <c r="AR48" s="1" t="s">
        <v>329</v>
      </c>
      <c r="AS48" s="1">
        <v>0</v>
      </c>
      <c r="AT48" s="1" t="s">
        <v>1866</v>
      </c>
      <c r="AU48" s="1">
        <v>0</v>
      </c>
      <c r="AV48" s="1">
        <v>12001</v>
      </c>
      <c r="AW48" s="1">
        <v>0</v>
      </c>
    </row>
    <row r="49" spans="1:49" x14ac:dyDescent="0.25">
      <c r="A49" s="1">
        <v>49</v>
      </c>
      <c r="B49" s="1" t="s">
        <v>5624</v>
      </c>
      <c r="C49" s="1" t="s">
        <v>5625</v>
      </c>
      <c r="D49" s="1">
        <v>5</v>
      </c>
      <c r="E49" s="1">
        <v>1</v>
      </c>
      <c r="F49" s="1">
        <v>4</v>
      </c>
      <c r="G49" s="1" t="s">
        <v>329</v>
      </c>
      <c r="H49" s="1" t="s">
        <v>329</v>
      </c>
      <c r="I49" s="1" t="s">
        <v>329</v>
      </c>
      <c r="J49" s="1" t="s">
        <v>329</v>
      </c>
      <c r="K49" s="1" t="s">
        <v>329</v>
      </c>
      <c r="L49" s="1" t="s">
        <v>329</v>
      </c>
      <c r="M49" s="1" t="s">
        <v>329</v>
      </c>
      <c r="N49" s="1" t="s">
        <v>329</v>
      </c>
      <c r="O49" s="1" t="s">
        <v>329</v>
      </c>
      <c r="P49" s="1" t="s">
        <v>329</v>
      </c>
      <c r="Q49" s="1" t="s">
        <v>329</v>
      </c>
      <c r="R49" s="1" t="s">
        <v>329</v>
      </c>
      <c r="S49" s="1" t="s">
        <v>369</v>
      </c>
      <c r="T49" s="1" t="s">
        <v>329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3</v>
      </c>
      <c r="AD49" s="1">
        <v>0</v>
      </c>
      <c r="AE49" s="1">
        <v>4</v>
      </c>
      <c r="AF49" s="1">
        <v>2</v>
      </c>
      <c r="AG49" t="s">
        <v>5626</v>
      </c>
      <c r="AH49" s="1">
        <v>3120</v>
      </c>
      <c r="AI49" s="1" t="s">
        <v>1978</v>
      </c>
      <c r="AJ49" s="1">
        <v>0</v>
      </c>
      <c r="AK49" s="1" t="s">
        <v>329</v>
      </c>
      <c r="AL49" s="1" t="s">
        <v>5627</v>
      </c>
      <c r="AM49" s="1">
        <v>0</v>
      </c>
      <c r="AN49" s="1">
        <v>0</v>
      </c>
      <c r="AO49" s="1">
        <v>0</v>
      </c>
      <c r="AP49" s="1">
        <v>0</v>
      </c>
      <c r="AQ49" s="1">
        <v>1</v>
      </c>
      <c r="AR49" s="1" t="s">
        <v>329</v>
      </c>
      <c r="AS49" s="1">
        <v>0</v>
      </c>
      <c r="AT49" s="1" t="s">
        <v>1866</v>
      </c>
      <c r="AU49" s="1">
        <v>0</v>
      </c>
      <c r="AV49" s="1">
        <v>4001</v>
      </c>
      <c r="AW49" s="1">
        <v>0</v>
      </c>
    </row>
    <row r="50" spans="1:49" x14ac:dyDescent="0.25">
      <c r="A50" s="1">
        <v>50</v>
      </c>
      <c r="B50" s="1" t="s">
        <v>5628</v>
      </c>
      <c r="C50" s="1" t="s">
        <v>5629</v>
      </c>
      <c r="D50" s="1">
        <v>5</v>
      </c>
      <c r="E50" s="1">
        <v>2</v>
      </c>
      <c r="F50" s="1">
        <v>5</v>
      </c>
      <c r="G50" s="1" t="s">
        <v>329</v>
      </c>
      <c r="H50" s="1" t="s">
        <v>329</v>
      </c>
      <c r="I50" s="1" t="s">
        <v>329</v>
      </c>
      <c r="J50" s="1" t="s">
        <v>329</v>
      </c>
      <c r="K50" s="1" t="s">
        <v>329</v>
      </c>
      <c r="L50" s="1" t="s">
        <v>329</v>
      </c>
      <c r="M50" s="1" t="s">
        <v>329</v>
      </c>
      <c r="N50" s="1" t="s">
        <v>5630</v>
      </c>
      <c r="O50" s="1" t="s">
        <v>329</v>
      </c>
      <c r="P50" s="1" t="s">
        <v>329</v>
      </c>
      <c r="Q50" s="1" t="s">
        <v>329</v>
      </c>
      <c r="R50" s="1" t="s">
        <v>329</v>
      </c>
      <c r="S50" s="1" t="s">
        <v>329</v>
      </c>
      <c r="T50" s="1" t="s">
        <v>329</v>
      </c>
      <c r="U50" s="1">
        <v>0</v>
      </c>
      <c r="V50" s="1">
        <v>0</v>
      </c>
      <c r="W50" s="1">
        <v>0</v>
      </c>
      <c r="X50" s="1">
        <v>0</v>
      </c>
      <c r="Y50" s="1">
        <v>0</v>
      </c>
      <c r="Z50" s="1">
        <v>0</v>
      </c>
      <c r="AA50" s="1">
        <v>0</v>
      </c>
      <c r="AB50" s="1">
        <v>0</v>
      </c>
      <c r="AC50" s="1">
        <v>0</v>
      </c>
      <c r="AD50" s="1">
        <v>4</v>
      </c>
      <c r="AE50" s="1">
        <v>2</v>
      </c>
      <c r="AF50" s="1">
        <v>3</v>
      </c>
      <c r="AG50" t="s">
        <v>5631</v>
      </c>
      <c r="AH50" s="1">
        <v>3420</v>
      </c>
      <c r="AI50" s="1" t="s">
        <v>1978</v>
      </c>
      <c r="AJ50" s="1">
        <v>0</v>
      </c>
      <c r="AK50" s="1" t="s">
        <v>329</v>
      </c>
      <c r="AL50" s="1" t="s">
        <v>5632</v>
      </c>
      <c r="AM50" s="1">
        <v>0.08</v>
      </c>
      <c r="AN50" s="1">
        <v>0.55000000000000004</v>
      </c>
      <c r="AO50" s="1">
        <v>0.3</v>
      </c>
      <c r="AP50" s="1">
        <v>0.3</v>
      </c>
      <c r="AQ50" s="1">
        <v>1</v>
      </c>
      <c r="AR50" s="1" t="s">
        <v>1499</v>
      </c>
      <c r="AS50" s="1">
        <v>0</v>
      </c>
      <c r="AT50" s="1" t="s">
        <v>1866</v>
      </c>
      <c r="AU50" s="1">
        <v>10</v>
      </c>
      <c r="AV50" s="1">
        <v>5001</v>
      </c>
      <c r="AW50" s="1">
        <v>0</v>
      </c>
    </row>
    <row r="51" spans="1:49" x14ac:dyDescent="0.25">
      <c r="A51" s="1">
        <v>51</v>
      </c>
      <c r="B51" s="1" t="s">
        <v>5633</v>
      </c>
      <c r="C51" s="1" t="s">
        <v>5634</v>
      </c>
      <c r="D51" s="1">
        <v>2</v>
      </c>
      <c r="E51" s="1">
        <v>2</v>
      </c>
      <c r="F51" s="1">
        <v>5</v>
      </c>
      <c r="G51" s="1" t="s">
        <v>370</v>
      </c>
      <c r="H51" s="1" t="s">
        <v>329</v>
      </c>
      <c r="I51" s="1" t="s">
        <v>329</v>
      </c>
      <c r="J51" s="1" t="s">
        <v>329</v>
      </c>
      <c r="K51" s="1" t="s">
        <v>329</v>
      </c>
      <c r="L51" s="1" t="s">
        <v>329</v>
      </c>
      <c r="M51" s="1" t="s">
        <v>329</v>
      </c>
      <c r="N51" s="1" t="s">
        <v>5635</v>
      </c>
      <c r="O51" s="1" t="s">
        <v>329</v>
      </c>
      <c r="P51" s="1" t="s">
        <v>329</v>
      </c>
      <c r="Q51" s="1" t="s">
        <v>329</v>
      </c>
      <c r="R51" s="1" t="s">
        <v>329</v>
      </c>
      <c r="S51" s="1" t="s">
        <v>329</v>
      </c>
      <c r="T51" s="1" t="s">
        <v>329</v>
      </c>
      <c r="U51" s="1">
        <v>0</v>
      </c>
      <c r="V51" s="1">
        <v>0</v>
      </c>
      <c r="W51" s="1">
        <v>0</v>
      </c>
      <c r="X51" s="1">
        <v>0</v>
      </c>
      <c r="Y51" s="1">
        <v>0</v>
      </c>
      <c r="Z51" s="1">
        <v>0</v>
      </c>
      <c r="AA51" s="1">
        <v>0</v>
      </c>
      <c r="AB51" s="1">
        <v>0</v>
      </c>
      <c r="AC51" s="1">
        <v>0</v>
      </c>
      <c r="AD51" s="1">
        <v>2</v>
      </c>
      <c r="AE51" s="1">
        <v>0</v>
      </c>
      <c r="AF51" s="1">
        <v>0</v>
      </c>
      <c r="AG51" t="s">
        <v>4941</v>
      </c>
      <c r="AH51" s="1">
        <v>960</v>
      </c>
      <c r="AI51" s="1" t="s">
        <v>1903</v>
      </c>
      <c r="AJ51" s="1">
        <v>0</v>
      </c>
      <c r="AK51" s="1" t="s">
        <v>329</v>
      </c>
      <c r="AL51" s="1" t="s">
        <v>5636</v>
      </c>
      <c r="AM51" s="1">
        <v>0</v>
      </c>
      <c r="AN51" s="1">
        <v>0</v>
      </c>
      <c r="AO51" s="1">
        <v>0</v>
      </c>
      <c r="AP51" s="1">
        <v>0</v>
      </c>
      <c r="AQ51" s="1">
        <v>1</v>
      </c>
      <c r="AR51" s="1" t="s">
        <v>329</v>
      </c>
      <c r="AS51" s="1">
        <v>0</v>
      </c>
      <c r="AT51" s="1" t="s">
        <v>1866</v>
      </c>
      <c r="AU51" s="1">
        <v>0</v>
      </c>
      <c r="AV51" s="1">
        <v>5002</v>
      </c>
      <c r="AW51" s="1">
        <v>0</v>
      </c>
    </row>
    <row r="52" spans="1:49" x14ac:dyDescent="0.25">
      <c r="A52" s="1">
        <v>52</v>
      </c>
      <c r="B52" s="1" t="s">
        <v>5637</v>
      </c>
      <c r="C52" s="1" t="s">
        <v>5638</v>
      </c>
      <c r="D52" s="1">
        <v>3</v>
      </c>
      <c r="E52" s="1">
        <v>2</v>
      </c>
      <c r="F52" s="1">
        <v>5</v>
      </c>
      <c r="G52" s="1" t="s">
        <v>900</v>
      </c>
      <c r="H52" s="1" t="s">
        <v>329</v>
      </c>
      <c r="I52" s="1" t="s">
        <v>329</v>
      </c>
      <c r="J52" s="1" t="s">
        <v>329</v>
      </c>
      <c r="K52" s="1" t="s">
        <v>329</v>
      </c>
      <c r="L52" s="1" t="s">
        <v>329</v>
      </c>
      <c r="M52" s="1" t="s">
        <v>329</v>
      </c>
      <c r="N52" s="1" t="s">
        <v>5639</v>
      </c>
      <c r="O52" s="1" t="s">
        <v>329</v>
      </c>
      <c r="P52" s="1" t="s">
        <v>329</v>
      </c>
      <c r="Q52" s="1" t="s">
        <v>329</v>
      </c>
      <c r="R52" s="1" t="s">
        <v>329</v>
      </c>
      <c r="S52" s="1" t="s">
        <v>329</v>
      </c>
      <c r="T52" s="1" t="s">
        <v>329</v>
      </c>
      <c r="U52" s="1">
        <v>0</v>
      </c>
      <c r="V52" s="1">
        <v>0</v>
      </c>
      <c r="W52" s="1">
        <v>0</v>
      </c>
      <c r="X52" s="1">
        <v>0</v>
      </c>
      <c r="Y52" s="1">
        <v>0</v>
      </c>
      <c r="Z52" s="1">
        <v>0</v>
      </c>
      <c r="AA52" s="1">
        <v>0</v>
      </c>
      <c r="AB52" s="1">
        <v>0</v>
      </c>
      <c r="AC52" s="1">
        <v>0</v>
      </c>
      <c r="AD52" s="1">
        <v>2</v>
      </c>
      <c r="AE52" s="1">
        <v>0</v>
      </c>
      <c r="AF52" s="1">
        <v>1</v>
      </c>
      <c r="AG52" t="s">
        <v>371</v>
      </c>
      <c r="AH52" s="1">
        <v>1860</v>
      </c>
      <c r="AI52" s="1" t="s">
        <v>1903</v>
      </c>
      <c r="AJ52" s="1">
        <v>0</v>
      </c>
      <c r="AK52" s="1" t="s">
        <v>329</v>
      </c>
      <c r="AL52" s="1" t="s">
        <v>5640</v>
      </c>
      <c r="AM52" s="1">
        <v>0</v>
      </c>
      <c r="AN52" s="1">
        <v>0</v>
      </c>
      <c r="AO52" s="1">
        <v>0</v>
      </c>
      <c r="AP52" s="1">
        <v>0</v>
      </c>
      <c r="AQ52" s="1">
        <v>1</v>
      </c>
      <c r="AR52" s="1" t="s">
        <v>329</v>
      </c>
      <c r="AS52" s="1">
        <v>0</v>
      </c>
      <c r="AT52" s="1" t="s">
        <v>1866</v>
      </c>
      <c r="AU52" s="1">
        <v>0</v>
      </c>
      <c r="AV52" s="1">
        <v>5002</v>
      </c>
      <c r="AW52" s="1">
        <v>0</v>
      </c>
    </row>
    <row r="53" spans="1:49" x14ac:dyDescent="0.25">
      <c r="A53" s="1">
        <v>53</v>
      </c>
      <c r="B53" s="1" t="s">
        <v>5641</v>
      </c>
      <c r="C53" s="1" t="s">
        <v>5642</v>
      </c>
      <c r="D53" s="1">
        <v>4</v>
      </c>
      <c r="E53" s="1">
        <v>2</v>
      </c>
      <c r="F53" s="1">
        <v>5</v>
      </c>
      <c r="G53" s="1" t="s">
        <v>901</v>
      </c>
      <c r="H53" s="1" t="s">
        <v>329</v>
      </c>
      <c r="I53" s="1" t="s">
        <v>329</v>
      </c>
      <c r="J53" s="1" t="s">
        <v>329</v>
      </c>
      <c r="K53" s="1" t="s">
        <v>329</v>
      </c>
      <c r="L53" s="1" t="s">
        <v>329</v>
      </c>
      <c r="M53" s="1" t="s">
        <v>329</v>
      </c>
      <c r="N53" s="1" t="s">
        <v>5643</v>
      </c>
      <c r="O53" s="1" t="s">
        <v>329</v>
      </c>
      <c r="P53" s="1" t="s">
        <v>329</v>
      </c>
      <c r="Q53" s="1" t="s">
        <v>329</v>
      </c>
      <c r="R53" s="1" t="s">
        <v>329</v>
      </c>
      <c r="S53" s="1" t="s">
        <v>329</v>
      </c>
      <c r="T53" s="1" t="s">
        <v>329</v>
      </c>
      <c r="U53" s="1">
        <v>0</v>
      </c>
      <c r="V53" s="1">
        <v>0</v>
      </c>
      <c r="W53" s="1">
        <v>0</v>
      </c>
      <c r="X53" s="1">
        <v>0</v>
      </c>
      <c r="Y53" s="1">
        <v>0</v>
      </c>
      <c r="Z53" s="1">
        <v>0</v>
      </c>
      <c r="AA53" s="1">
        <v>0</v>
      </c>
      <c r="AB53" s="1">
        <v>0</v>
      </c>
      <c r="AC53" s="1">
        <v>0</v>
      </c>
      <c r="AD53" s="1">
        <v>3</v>
      </c>
      <c r="AE53" s="1">
        <v>1</v>
      </c>
      <c r="AF53" s="1">
        <v>2</v>
      </c>
      <c r="AG53" t="s">
        <v>5012</v>
      </c>
      <c r="AH53" s="1">
        <v>2760</v>
      </c>
      <c r="AI53" s="1" t="s">
        <v>1903</v>
      </c>
      <c r="AJ53" s="1">
        <v>0</v>
      </c>
      <c r="AK53" s="1" t="s">
        <v>329</v>
      </c>
      <c r="AL53" s="1" t="s">
        <v>5644</v>
      </c>
      <c r="AM53" s="1">
        <v>0</v>
      </c>
      <c r="AN53" s="1">
        <v>0</v>
      </c>
      <c r="AO53" s="1">
        <v>0</v>
      </c>
      <c r="AP53" s="1">
        <v>0</v>
      </c>
      <c r="AQ53" s="1">
        <v>1</v>
      </c>
      <c r="AR53" s="1" t="s">
        <v>329</v>
      </c>
      <c r="AS53" s="1">
        <v>0</v>
      </c>
      <c r="AT53" s="1" t="s">
        <v>1866</v>
      </c>
      <c r="AU53" s="1">
        <v>0</v>
      </c>
      <c r="AV53" s="1">
        <v>5002</v>
      </c>
      <c r="AW53" s="1">
        <v>0</v>
      </c>
    </row>
    <row r="54" spans="1:49" x14ac:dyDescent="0.25">
      <c r="A54" s="1">
        <v>54</v>
      </c>
      <c r="B54" s="1" t="s">
        <v>5645</v>
      </c>
      <c r="C54" s="1" t="s">
        <v>5646</v>
      </c>
      <c r="D54" s="1">
        <v>5</v>
      </c>
      <c r="E54" s="1">
        <v>2</v>
      </c>
      <c r="F54" s="1">
        <v>5</v>
      </c>
      <c r="G54" s="1" t="s">
        <v>5647</v>
      </c>
      <c r="H54" s="1" t="s">
        <v>329</v>
      </c>
      <c r="I54" s="1" t="s">
        <v>329</v>
      </c>
      <c r="J54" s="1" t="s">
        <v>329</v>
      </c>
      <c r="K54" s="1" t="s">
        <v>329</v>
      </c>
      <c r="L54" s="1" t="s">
        <v>329</v>
      </c>
      <c r="M54" s="1" t="s">
        <v>329</v>
      </c>
      <c r="N54" s="1" t="s">
        <v>5648</v>
      </c>
      <c r="O54" s="1" t="s">
        <v>329</v>
      </c>
      <c r="P54" s="1" t="s">
        <v>329</v>
      </c>
      <c r="Q54" s="1" t="s">
        <v>329</v>
      </c>
      <c r="R54" s="1" t="s">
        <v>329</v>
      </c>
      <c r="S54" s="1" t="s">
        <v>329</v>
      </c>
      <c r="T54" s="1" t="s">
        <v>329</v>
      </c>
      <c r="U54" s="1">
        <v>0</v>
      </c>
      <c r="V54" s="1">
        <v>0</v>
      </c>
      <c r="W54" s="1">
        <v>0</v>
      </c>
      <c r="X54" s="1">
        <v>0</v>
      </c>
      <c r="Y54" s="1">
        <v>0</v>
      </c>
      <c r="Z54" s="1">
        <v>0</v>
      </c>
      <c r="AA54" s="1">
        <v>0</v>
      </c>
      <c r="AB54" s="1">
        <v>0</v>
      </c>
      <c r="AC54" s="1">
        <v>0</v>
      </c>
      <c r="AD54" s="1">
        <v>4</v>
      </c>
      <c r="AE54" s="1">
        <v>2</v>
      </c>
      <c r="AF54" s="1">
        <v>3</v>
      </c>
      <c r="AG54" t="s">
        <v>372</v>
      </c>
      <c r="AH54" s="1">
        <v>3360</v>
      </c>
      <c r="AI54" s="1" t="s">
        <v>1903</v>
      </c>
      <c r="AJ54" s="1">
        <v>0</v>
      </c>
      <c r="AK54" s="1" t="s">
        <v>329</v>
      </c>
      <c r="AL54" s="1" t="s">
        <v>5649</v>
      </c>
      <c r="AM54" s="1">
        <v>0</v>
      </c>
      <c r="AN54" s="1">
        <v>0</v>
      </c>
      <c r="AO54" s="1">
        <v>0</v>
      </c>
      <c r="AP54" s="1">
        <v>0</v>
      </c>
      <c r="AQ54" s="1">
        <v>1</v>
      </c>
      <c r="AR54" s="1" t="s">
        <v>329</v>
      </c>
      <c r="AS54" s="1">
        <v>0</v>
      </c>
      <c r="AT54" s="1" t="s">
        <v>1866</v>
      </c>
      <c r="AU54" s="1">
        <v>0</v>
      </c>
      <c r="AV54" s="1">
        <v>5002</v>
      </c>
      <c r="AW54" s="1">
        <v>0</v>
      </c>
    </row>
    <row r="55" spans="1:49" x14ac:dyDescent="0.25">
      <c r="A55" s="1">
        <v>55</v>
      </c>
      <c r="B55" s="1" t="s">
        <v>1960</v>
      </c>
      <c r="C55" s="1" t="s">
        <v>1961</v>
      </c>
      <c r="D55" s="1">
        <v>2</v>
      </c>
      <c r="E55" s="1">
        <v>3</v>
      </c>
      <c r="F55" s="1">
        <v>10</v>
      </c>
      <c r="G55" s="1" t="s">
        <v>329</v>
      </c>
      <c r="H55" s="1" t="s">
        <v>329</v>
      </c>
      <c r="I55" s="1" t="s">
        <v>335</v>
      </c>
      <c r="J55" s="1" t="s">
        <v>329</v>
      </c>
      <c r="K55" s="1" t="s">
        <v>329</v>
      </c>
      <c r="L55" s="1" t="s">
        <v>329</v>
      </c>
      <c r="M55" s="1" t="s">
        <v>329</v>
      </c>
      <c r="N55" s="1" t="s">
        <v>329</v>
      </c>
      <c r="O55" s="1" t="s">
        <v>329</v>
      </c>
      <c r="P55" s="1" t="s">
        <v>329</v>
      </c>
      <c r="Q55" s="1" t="s">
        <v>329</v>
      </c>
      <c r="R55" s="1" t="s">
        <v>329</v>
      </c>
      <c r="S55" s="1" t="s">
        <v>329</v>
      </c>
      <c r="T55" s="1" t="s">
        <v>329</v>
      </c>
      <c r="U55" s="1">
        <v>0</v>
      </c>
      <c r="V55" s="1">
        <v>0</v>
      </c>
      <c r="W55" s="1">
        <v>0</v>
      </c>
      <c r="X55" s="1">
        <v>0</v>
      </c>
      <c r="Y55" s="1">
        <v>0</v>
      </c>
      <c r="Z55" s="1">
        <v>0</v>
      </c>
      <c r="AA55" s="1">
        <v>0</v>
      </c>
      <c r="AB55" s="1">
        <v>0</v>
      </c>
      <c r="AC55" s="1">
        <v>1</v>
      </c>
      <c r="AD55" s="1">
        <v>0</v>
      </c>
      <c r="AE55" s="1">
        <v>0</v>
      </c>
      <c r="AF55" s="1">
        <v>1</v>
      </c>
      <c r="AG55" t="s">
        <v>547</v>
      </c>
      <c r="AH55" s="1">
        <v>720</v>
      </c>
      <c r="AI55" s="1" t="s">
        <v>1903</v>
      </c>
      <c r="AJ55" s="1">
        <v>0</v>
      </c>
      <c r="AK55" s="1" t="s">
        <v>329</v>
      </c>
      <c r="AL55" s="1" t="s">
        <v>1962</v>
      </c>
      <c r="AM55" s="1">
        <v>0</v>
      </c>
      <c r="AN55" s="1">
        <v>0</v>
      </c>
      <c r="AO55" s="1">
        <v>0</v>
      </c>
      <c r="AP55" s="1">
        <v>0</v>
      </c>
      <c r="AQ55" s="1">
        <v>1</v>
      </c>
      <c r="AR55" s="1" t="s">
        <v>329</v>
      </c>
      <c r="AS55" s="1">
        <v>0</v>
      </c>
      <c r="AT55" s="1" t="s">
        <v>1866</v>
      </c>
      <c r="AU55" s="1">
        <v>0</v>
      </c>
      <c r="AV55" s="1">
        <v>10002</v>
      </c>
      <c r="AW55" s="1">
        <v>0</v>
      </c>
    </row>
    <row r="56" spans="1:49" x14ac:dyDescent="0.25">
      <c r="A56" s="1">
        <v>56</v>
      </c>
      <c r="B56" s="1" t="s">
        <v>1963</v>
      </c>
      <c r="C56" s="1" t="s">
        <v>1964</v>
      </c>
      <c r="D56" s="1">
        <v>3</v>
      </c>
      <c r="E56" s="1">
        <v>3</v>
      </c>
      <c r="F56" s="1">
        <v>10</v>
      </c>
      <c r="G56" s="1" t="s">
        <v>329</v>
      </c>
      <c r="H56" s="1" t="s">
        <v>329</v>
      </c>
      <c r="I56" s="1" t="s">
        <v>366</v>
      </c>
      <c r="J56" s="1" t="s">
        <v>329</v>
      </c>
      <c r="K56" s="1" t="s">
        <v>329</v>
      </c>
      <c r="L56" s="1" t="s">
        <v>329</v>
      </c>
      <c r="M56" s="1" t="s">
        <v>329</v>
      </c>
      <c r="N56" s="1" t="s">
        <v>329</v>
      </c>
      <c r="O56" s="1" t="s">
        <v>329</v>
      </c>
      <c r="P56" s="1" t="s">
        <v>329</v>
      </c>
      <c r="Q56" s="1" t="s">
        <v>329</v>
      </c>
      <c r="R56" s="1" t="s">
        <v>329</v>
      </c>
      <c r="S56" s="1" t="s">
        <v>329</v>
      </c>
      <c r="T56" s="1" t="s">
        <v>329</v>
      </c>
      <c r="U56" s="1">
        <v>0</v>
      </c>
      <c r="V56" s="1">
        <v>0</v>
      </c>
      <c r="W56" s="1">
        <v>0</v>
      </c>
      <c r="X56" s="1">
        <v>0</v>
      </c>
      <c r="Y56" s="1">
        <v>0</v>
      </c>
      <c r="Z56" s="1">
        <v>0</v>
      </c>
      <c r="AA56" s="1">
        <v>0</v>
      </c>
      <c r="AB56" s="1">
        <v>0</v>
      </c>
      <c r="AC56" s="1">
        <v>2</v>
      </c>
      <c r="AD56" s="1">
        <v>1</v>
      </c>
      <c r="AE56" s="1">
        <v>0</v>
      </c>
      <c r="AF56" s="1">
        <v>2</v>
      </c>
      <c r="AG56" t="s">
        <v>548</v>
      </c>
      <c r="AH56" s="1">
        <v>1620</v>
      </c>
      <c r="AI56" s="1" t="s">
        <v>1903</v>
      </c>
      <c r="AJ56" s="1">
        <v>0</v>
      </c>
      <c r="AK56" s="1" t="s">
        <v>329</v>
      </c>
      <c r="AL56" s="1" t="s">
        <v>1965</v>
      </c>
      <c r="AM56" s="1">
        <v>0.3</v>
      </c>
      <c r="AN56" s="1">
        <v>0.25</v>
      </c>
      <c r="AO56" s="1">
        <v>0.12</v>
      </c>
      <c r="AP56" s="1">
        <v>0.38</v>
      </c>
      <c r="AQ56" s="1">
        <v>1</v>
      </c>
      <c r="AR56" s="1" t="s">
        <v>1506</v>
      </c>
      <c r="AS56" s="1">
        <v>0</v>
      </c>
      <c r="AT56" s="1" t="s">
        <v>1866</v>
      </c>
      <c r="AU56" s="1">
        <v>10</v>
      </c>
      <c r="AV56" s="1">
        <v>10002</v>
      </c>
      <c r="AW56" s="1">
        <v>0</v>
      </c>
    </row>
    <row r="57" spans="1:49" x14ac:dyDescent="0.25">
      <c r="A57" s="1">
        <v>57</v>
      </c>
      <c r="B57" s="1" t="s">
        <v>1966</v>
      </c>
      <c r="C57" s="1" t="s">
        <v>1967</v>
      </c>
      <c r="D57" s="1">
        <v>4</v>
      </c>
      <c r="E57" s="1">
        <v>3</v>
      </c>
      <c r="F57" s="1">
        <v>10</v>
      </c>
      <c r="G57" s="1" t="s">
        <v>329</v>
      </c>
      <c r="H57" s="1" t="s">
        <v>329</v>
      </c>
      <c r="I57" s="1" t="s">
        <v>373</v>
      </c>
      <c r="J57" s="1" t="s">
        <v>329</v>
      </c>
      <c r="K57" s="1" t="s">
        <v>329</v>
      </c>
      <c r="L57" s="1" t="s">
        <v>329</v>
      </c>
      <c r="M57" s="1" t="s">
        <v>329</v>
      </c>
      <c r="N57" s="1" t="s">
        <v>329</v>
      </c>
      <c r="O57" s="1" t="s">
        <v>329</v>
      </c>
      <c r="P57" s="1" t="s">
        <v>329</v>
      </c>
      <c r="Q57" s="1" t="s">
        <v>329</v>
      </c>
      <c r="R57" s="1" t="s">
        <v>329</v>
      </c>
      <c r="S57" s="1" t="s">
        <v>329</v>
      </c>
      <c r="T57" s="1" t="s">
        <v>329</v>
      </c>
      <c r="U57" s="1">
        <v>0</v>
      </c>
      <c r="V57" s="1">
        <v>0</v>
      </c>
      <c r="W57" s="1">
        <v>0</v>
      </c>
      <c r="X57" s="1">
        <v>0</v>
      </c>
      <c r="Y57" s="1">
        <v>0</v>
      </c>
      <c r="Z57" s="1">
        <v>0</v>
      </c>
      <c r="AA57" s="1">
        <v>0</v>
      </c>
      <c r="AB57" s="1">
        <v>0</v>
      </c>
      <c r="AC57" s="1">
        <v>3</v>
      </c>
      <c r="AD57" s="1">
        <v>1</v>
      </c>
      <c r="AE57" s="1">
        <v>0</v>
      </c>
      <c r="AF57" s="1">
        <v>3</v>
      </c>
      <c r="AG57" t="s">
        <v>549</v>
      </c>
      <c r="AH57" s="1">
        <v>2520</v>
      </c>
      <c r="AI57" s="1" t="s">
        <v>1903</v>
      </c>
      <c r="AJ57" s="1">
        <v>0</v>
      </c>
      <c r="AK57" s="1" t="s">
        <v>329</v>
      </c>
      <c r="AL57" s="1" t="s">
        <v>1968</v>
      </c>
      <c r="AM57" s="1">
        <v>0.3</v>
      </c>
      <c r="AN57" s="1">
        <v>0.25</v>
      </c>
      <c r="AO57" s="1">
        <v>0.12</v>
      </c>
      <c r="AP57" s="1">
        <v>0.38</v>
      </c>
      <c r="AQ57" s="1">
        <v>1</v>
      </c>
      <c r="AR57" s="1" t="s">
        <v>1507</v>
      </c>
      <c r="AS57" s="1">
        <v>0</v>
      </c>
      <c r="AT57" s="1" t="s">
        <v>1866</v>
      </c>
      <c r="AU57" s="1">
        <v>10</v>
      </c>
      <c r="AV57" s="1">
        <v>10002</v>
      </c>
      <c r="AW57" s="1">
        <v>0</v>
      </c>
    </row>
    <row r="58" spans="1:49" x14ac:dyDescent="0.25">
      <c r="A58" s="1">
        <v>58</v>
      </c>
      <c r="B58" s="1" t="s">
        <v>1969</v>
      </c>
      <c r="C58" s="1" t="s">
        <v>1970</v>
      </c>
      <c r="D58" s="1">
        <v>5</v>
      </c>
      <c r="E58" s="1">
        <v>3</v>
      </c>
      <c r="F58" s="1">
        <v>10</v>
      </c>
      <c r="G58" s="1" t="s">
        <v>329</v>
      </c>
      <c r="H58" s="1" t="s">
        <v>329</v>
      </c>
      <c r="I58" s="1" t="s">
        <v>357</v>
      </c>
      <c r="J58" s="1" t="s">
        <v>329</v>
      </c>
      <c r="K58" s="1" t="s">
        <v>329</v>
      </c>
      <c r="L58" s="1" t="s">
        <v>329</v>
      </c>
      <c r="M58" s="1" t="s">
        <v>329</v>
      </c>
      <c r="N58" s="1" t="s">
        <v>329</v>
      </c>
      <c r="O58" s="1" t="s">
        <v>329</v>
      </c>
      <c r="P58" s="1" t="s">
        <v>329</v>
      </c>
      <c r="Q58" s="1" t="s">
        <v>329</v>
      </c>
      <c r="R58" s="1" t="s">
        <v>329</v>
      </c>
      <c r="S58" s="1" t="s">
        <v>329</v>
      </c>
      <c r="T58" s="1" t="s">
        <v>329</v>
      </c>
      <c r="U58" s="1">
        <v>0</v>
      </c>
      <c r="V58" s="1">
        <v>0</v>
      </c>
      <c r="W58" s="1">
        <v>0</v>
      </c>
      <c r="X58" s="1">
        <v>0</v>
      </c>
      <c r="Y58" s="1">
        <v>0</v>
      </c>
      <c r="Z58" s="1">
        <v>0</v>
      </c>
      <c r="AA58" s="1">
        <v>0</v>
      </c>
      <c r="AB58" s="1">
        <v>0</v>
      </c>
      <c r="AC58" s="1">
        <v>4</v>
      </c>
      <c r="AD58" s="1">
        <v>2</v>
      </c>
      <c r="AE58" s="1">
        <v>0</v>
      </c>
      <c r="AF58" s="1">
        <v>4</v>
      </c>
      <c r="AG58" t="s">
        <v>550</v>
      </c>
      <c r="AH58" s="1">
        <v>3120</v>
      </c>
      <c r="AI58" s="1" t="s">
        <v>1903</v>
      </c>
      <c r="AJ58" s="1">
        <v>0</v>
      </c>
      <c r="AK58" s="1" t="s">
        <v>329</v>
      </c>
      <c r="AL58" s="1" t="s">
        <v>1971</v>
      </c>
      <c r="AM58" s="1">
        <v>0.3</v>
      </c>
      <c r="AN58" s="1">
        <v>0.25</v>
      </c>
      <c r="AO58" s="1">
        <v>0.12</v>
      </c>
      <c r="AP58" s="1">
        <v>0.38</v>
      </c>
      <c r="AQ58" s="1">
        <v>1</v>
      </c>
      <c r="AR58" s="1" t="s">
        <v>1508</v>
      </c>
      <c r="AS58" s="1">
        <v>0</v>
      </c>
      <c r="AT58" s="1" t="s">
        <v>1866</v>
      </c>
      <c r="AU58" s="1">
        <v>10</v>
      </c>
      <c r="AV58" s="1">
        <v>10002</v>
      </c>
      <c r="AW58" s="1">
        <v>0</v>
      </c>
    </row>
    <row r="59" spans="1:49" x14ac:dyDescent="0.25">
      <c r="A59" s="1">
        <v>59</v>
      </c>
      <c r="B59" s="1" t="s">
        <v>1972</v>
      </c>
      <c r="C59" s="1" t="s">
        <v>1973</v>
      </c>
      <c r="D59" s="1">
        <v>5</v>
      </c>
      <c r="E59" s="1">
        <v>2</v>
      </c>
      <c r="F59" s="1">
        <v>19</v>
      </c>
      <c r="G59" s="1" t="s">
        <v>329</v>
      </c>
      <c r="H59" s="1" t="s">
        <v>329</v>
      </c>
      <c r="I59" s="1" t="s">
        <v>329</v>
      </c>
      <c r="J59" s="1" t="s">
        <v>329</v>
      </c>
      <c r="K59" s="1" t="s">
        <v>374</v>
      </c>
      <c r="L59" s="1" t="s">
        <v>329</v>
      </c>
      <c r="M59" s="1" t="s">
        <v>329</v>
      </c>
      <c r="N59" s="1" t="s">
        <v>375</v>
      </c>
      <c r="O59" s="1" t="s">
        <v>329</v>
      </c>
      <c r="P59" s="1" t="s">
        <v>329</v>
      </c>
      <c r="Q59" s="1" t="s">
        <v>329</v>
      </c>
      <c r="R59" s="1" t="s">
        <v>329</v>
      </c>
      <c r="S59" s="1" t="s">
        <v>329</v>
      </c>
      <c r="T59" s="1" t="s">
        <v>329</v>
      </c>
      <c r="U59" s="1">
        <v>0</v>
      </c>
      <c r="V59" s="1">
        <v>0</v>
      </c>
      <c r="W59" s="1">
        <v>0</v>
      </c>
      <c r="X59" s="1">
        <v>0</v>
      </c>
      <c r="Y59" s="1">
        <v>0</v>
      </c>
      <c r="Z59" s="1">
        <v>0</v>
      </c>
      <c r="AA59" s="1">
        <v>0</v>
      </c>
      <c r="AB59" s="1">
        <v>0</v>
      </c>
      <c r="AC59" s="1">
        <v>0</v>
      </c>
      <c r="AD59" s="1">
        <v>4</v>
      </c>
      <c r="AE59" s="1">
        <v>2</v>
      </c>
      <c r="AF59" s="1">
        <v>3</v>
      </c>
      <c r="AG59" t="s">
        <v>87</v>
      </c>
      <c r="AH59" s="1">
        <v>3420</v>
      </c>
      <c r="AI59" s="1" t="s">
        <v>1974</v>
      </c>
      <c r="AJ59" s="1">
        <v>0</v>
      </c>
      <c r="AK59" s="1" t="s">
        <v>358</v>
      </c>
      <c r="AL59" s="1" t="s">
        <v>1975</v>
      </c>
      <c r="AM59" s="1">
        <v>0.08</v>
      </c>
      <c r="AN59" s="1">
        <v>0.55000000000000004</v>
      </c>
      <c r="AO59" s="1">
        <v>0.3</v>
      </c>
      <c r="AP59" s="1">
        <v>0.3</v>
      </c>
      <c r="AQ59" s="1">
        <v>3</v>
      </c>
      <c r="AR59" s="1" t="s">
        <v>1509</v>
      </c>
      <c r="AS59" s="1">
        <v>0</v>
      </c>
      <c r="AT59" s="1" t="s">
        <v>1866</v>
      </c>
      <c r="AU59" s="1">
        <v>10</v>
      </c>
      <c r="AV59" s="1">
        <v>19001</v>
      </c>
      <c r="AW59" s="1">
        <v>0</v>
      </c>
    </row>
    <row r="60" spans="1:49" x14ac:dyDescent="0.25">
      <c r="A60" s="1">
        <v>60</v>
      </c>
      <c r="B60" s="1" t="s">
        <v>1976</v>
      </c>
      <c r="C60" s="1" t="s">
        <v>1977</v>
      </c>
      <c r="D60" s="1">
        <v>5</v>
      </c>
      <c r="E60" s="1">
        <v>2</v>
      </c>
      <c r="F60" s="1">
        <v>19</v>
      </c>
      <c r="G60" s="1" t="s">
        <v>376</v>
      </c>
      <c r="H60" s="1" t="s">
        <v>377</v>
      </c>
      <c r="I60" s="1" t="s">
        <v>329</v>
      </c>
      <c r="J60" s="1" t="s">
        <v>329</v>
      </c>
      <c r="K60" s="1" t="s">
        <v>329</v>
      </c>
      <c r="L60" s="1" t="s">
        <v>329</v>
      </c>
      <c r="M60" s="1" t="s">
        <v>329</v>
      </c>
      <c r="N60" s="1" t="s">
        <v>329</v>
      </c>
      <c r="O60" s="1" t="s">
        <v>329</v>
      </c>
      <c r="P60" s="1" t="s">
        <v>329</v>
      </c>
      <c r="Q60" s="1" t="s">
        <v>329</v>
      </c>
      <c r="R60" s="1" t="s">
        <v>329</v>
      </c>
      <c r="S60" s="1" t="s">
        <v>329</v>
      </c>
      <c r="T60" s="1" t="s">
        <v>329</v>
      </c>
      <c r="U60" s="1">
        <v>0</v>
      </c>
      <c r="V60" s="1">
        <v>0</v>
      </c>
      <c r="W60" s="1">
        <v>0</v>
      </c>
      <c r="X60" s="1">
        <v>0</v>
      </c>
      <c r="Y60" s="1">
        <v>0</v>
      </c>
      <c r="Z60" s="1">
        <v>0</v>
      </c>
      <c r="AA60" s="1">
        <v>0</v>
      </c>
      <c r="AB60" s="1">
        <v>0</v>
      </c>
      <c r="AC60" s="1">
        <v>0</v>
      </c>
      <c r="AD60" s="1">
        <v>5</v>
      </c>
      <c r="AE60" s="1">
        <v>3</v>
      </c>
      <c r="AF60" s="1">
        <v>2</v>
      </c>
      <c r="AG60" t="s">
        <v>100</v>
      </c>
      <c r="AH60" s="1">
        <v>3420</v>
      </c>
      <c r="AI60" s="1" t="s">
        <v>1978</v>
      </c>
      <c r="AJ60" s="1">
        <v>0</v>
      </c>
      <c r="AK60" s="1" t="s">
        <v>378</v>
      </c>
      <c r="AL60" s="1" t="s">
        <v>1979</v>
      </c>
      <c r="AM60" s="1">
        <v>0.15</v>
      </c>
      <c r="AN60" s="1">
        <v>0.6</v>
      </c>
      <c r="AO60" s="1">
        <v>0.38</v>
      </c>
      <c r="AP60" s="1">
        <v>0.23</v>
      </c>
      <c r="AQ60" s="1">
        <v>3</v>
      </c>
      <c r="AR60" s="1" t="s">
        <v>1510</v>
      </c>
      <c r="AS60" s="1">
        <v>0</v>
      </c>
      <c r="AT60" s="1" t="s">
        <v>1866</v>
      </c>
      <c r="AU60" s="1">
        <v>10</v>
      </c>
      <c r="AV60" s="1">
        <v>19002</v>
      </c>
      <c r="AW60" s="1">
        <v>0</v>
      </c>
    </row>
    <row r="61" spans="1:49" x14ac:dyDescent="0.25">
      <c r="A61" s="1">
        <v>61</v>
      </c>
      <c r="B61" s="1" t="s">
        <v>1980</v>
      </c>
      <c r="C61" s="1" t="s">
        <v>1981</v>
      </c>
      <c r="D61" s="1">
        <v>5</v>
      </c>
      <c r="E61" s="1">
        <v>3</v>
      </c>
      <c r="F61" s="1">
        <v>20</v>
      </c>
      <c r="G61" s="1" t="s">
        <v>379</v>
      </c>
      <c r="H61" s="1" t="s">
        <v>329</v>
      </c>
      <c r="I61" s="1" t="s">
        <v>329</v>
      </c>
      <c r="J61" s="1" t="s">
        <v>329</v>
      </c>
      <c r="K61" s="1" t="s">
        <v>380</v>
      </c>
      <c r="L61" s="1" t="s">
        <v>329</v>
      </c>
      <c r="M61" s="1" t="s">
        <v>329</v>
      </c>
      <c r="N61" s="1" t="s">
        <v>329</v>
      </c>
      <c r="O61" s="1" t="s">
        <v>329</v>
      </c>
      <c r="P61" s="1" t="s">
        <v>329</v>
      </c>
      <c r="Q61" s="1" t="s">
        <v>329</v>
      </c>
      <c r="R61" s="1" t="s">
        <v>329</v>
      </c>
      <c r="S61" s="1" t="s">
        <v>329</v>
      </c>
      <c r="T61" s="1" t="s">
        <v>355</v>
      </c>
      <c r="U61" s="1">
        <v>0</v>
      </c>
      <c r="V61" s="1">
        <v>0</v>
      </c>
      <c r="W61" s="1">
        <v>0</v>
      </c>
      <c r="X61" s="1">
        <v>0</v>
      </c>
      <c r="Y61" s="1">
        <v>0</v>
      </c>
      <c r="Z61" s="1">
        <v>0</v>
      </c>
      <c r="AA61" s="1">
        <v>0</v>
      </c>
      <c r="AB61" s="1">
        <v>0</v>
      </c>
      <c r="AC61" s="1">
        <v>0</v>
      </c>
      <c r="AD61" s="1">
        <v>5</v>
      </c>
      <c r="AE61" s="1">
        <v>3</v>
      </c>
      <c r="AF61" s="1">
        <v>2</v>
      </c>
      <c r="AG61" t="s">
        <v>105</v>
      </c>
      <c r="AH61" s="1">
        <v>3420</v>
      </c>
      <c r="AI61" s="1" t="s">
        <v>1978</v>
      </c>
      <c r="AJ61" s="1">
        <v>0</v>
      </c>
      <c r="AK61" s="1" t="s">
        <v>381</v>
      </c>
      <c r="AL61" s="1" t="s">
        <v>1982</v>
      </c>
      <c r="AM61" s="1">
        <v>0.1</v>
      </c>
      <c r="AN61" s="1">
        <v>0.1</v>
      </c>
      <c r="AO61" s="1">
        <v>0.1</v>
      </c>
      <c r="AP61" s="1">
        <v>0.55000000000000004</v>
      </c>
      <c r="AQ61" s="1">
        <v>3</v>
      </c>
      <c r="AR61" s="1" t="s">
        <v>1511</v>
      </c>
      <c r="AS61" s="1">
        <v>0</v>
      </c>
      <c r="AT61" s="1" t="s">
        <v>1866</v>
      </c>
      <c r="AU61" s="1">
        <v>10</v>
      </c>
      <c r="AV61" s="1">
        <v>20001</v>
      </c>
      <c r="AW61" s="1">
        <v>0</v>
      </c>
    </row>
    <row r="62" spans="1:49" x14ac:dyDescent="0.25">
      <c r="A62" s="1">
        <v>62</v>
      </c>
      <c r="B62" s="1" t="s">
        <v>1983</v>
      </c>
      <c r="C62" s="1" t="s">
        <v>1984</v>
      </c>
      <c r="D62" s="1">
        <v>5</v>
      </c>
      <c r="E62" s="1">
        <v>3</v>
      </c>
      <c r="F62" s="1">
        <v>20</v>
      </c>
      <c r="G62" s="1" t="s">
        <v>382</v>
      </c>
      <c r="H62" s="1" t="s">
        <v>329</v>
      </c>
      <c r="I62" s="1" t="s">
        <v>383</v>
      </c>
      <c r="J62" s="1" t="s">
        <v>329</v>
      </c>
      <c r="K62" s="1" t="s">
        <v>329</v>
      </c>
      <c r="L62" s="1" t="s">
        <v>329</v>
      </c>
      <c r="M62" s="1" t="s">
        <v>329</v>
      </c>
      <c r="N62" s="1" t="s">
        <v>329</v>
      </c>
      <c r="O62" s="1" t="s">
        <v>329</v>
      </c>
      <c r="P62" s="1" t="s">
        <v>329</v>
      </c>
      <c r="Q62" s="1" t="s">
        <v>329</v>
      </c>
      <c r="R62" s="1" t="s">
        <v>329</v>
      </c>
      <c r="S62" s="1" t="s">
        <v>329</v>
      </c>
      <c r="T62" s="1" t="s">
        <v>329</v>
      </c>
      <c r="U62" s="1">
        <v>0</v>
      </c>
      <c r="V62" s="1">
        <v>0</v>
      </c>
      <c r="W62" s="1">
        <v>0</v>
      </c>
      <c r="X62" s="1">
        <v>0</v>
      </c>
      <c r="Y62" s="1">
        <v>0</v>
      </c>
      <c r="Z62" s="1">
        <v>0</v>
      </c>
      <c r="AA62" s="1">
        <v>0</v>
      </c>
      <c r="AB62" s="1">
        <v>0</v>
      </c>
      <c r="AC62" s="1">
        <v>4</v>
      </c>
      <c r="AD62" s="1">
        <v>2</v>
      </c>
      <c r="AE62" s="1">
        <v>0</v>
      </c>
      <c r="AF62" s="1">
        <v>4</v>
      </c>
      <c r="AG62" t="s">
        <v>730</v>
      </c>
      <c r="AH62" s="1">
        <v>3120</v>
      </c>
      <c r="AI62" s="1" t="s">
        <v>1978</v>
      </c>
      <c r="AJ62" s="1">
        <v>0</v>
      </c>
      <c r="AK62" s="1" t="s">
        <v>384</v>
      </c>
      <c r="AL62" s="1" t="s">
        <v>1985</v>
      </c>
      <c r="AM62" s="1">
        <v>0.3</v>
      </c>
      <c r="AN62" s="1">
        <v>0.25</v>
      </c>
      <c r="AO62" s="1">
        <v>0.12</v>
      </c>
      <c r="AP62" s="1">
        <v>0.38</v>
      </c>
      <c r="AQ62" s="1">
        <v>3</v>
      </c>
      <c r="AR62" s="1" t="s">
        <v>1512</v>
      </c>
      <c r="AS62" s="1">
        <v>0</v>
      </c>
      <c r="AT62" s="1" t="s">
        <v>1866</v>
      </c>
      <c r="AU62" s="1">
        <v>10</v>
      </c>
      <c r="AV62" s="1">
        <v>20002</v>
      </c>
      <c r="AW62" s="1">
        <v>0</v>
      </c>
    </row>
    <row r="63" spans="1:49" x14ac:dyDescent="0.25">
      <c r="A63" s="1">
        <v>63</v>
      </c>
      <c r="B63" s="1" t="s">
        <v>1986</v>
      </c>
      <c r="C63" s="1" t="s">
        <v>1987</v>
      </c>
      <c r="D63" s="1">
        <v>2</v>
      </c>
      <c r="E63" s="1">
        <v>1</v>
      </c>
      <c r="F63" s="1">
        <v>13</v>
      </c>
      <c r="G63" s="1" t="s">
        <v>329</v>
      </c>
      <c r="H63" s="1" t="s">
        <v>329</v>
      </c>
      <c r="I63" s="1" t="s">
        <v>333</v>
      </c>
      <c r="J63" s="1" t="s">
        <v>329</v>
      </c>
      <c r="K63" s="1" t="s">
        <v>329</v>
      </c>
      <c r="L63" s="1" t="s">
        <v>329</v>
      </c>
      <c r="M63" s="1" t="s">
        <v>366</v>
      </c>
      <c r="N63" s="1" t="s">
        <v>329</v>
      </c>
      <c r="O63" s="1" t="s">
        <v>329</v>
      </c>
      <c r="P63" s="1" t="s">
        <v>329</v>
      </c>
      <c r="Q63" s="1" t="s">
        <v>329</v>
      </c>
      <c r="R63" s="1" t="s">
        <v>329</v>
      </c>
      <c r="S63" s="1" t="s">
        <v>329</v>
      </c>
      <c r="T63" s="1" t="s">
        <v>329</v>
      </c>
      <c r="U63" s="1">
        <v>0</v>
      </c>
      <c r="V63" s="1">
        <v>0</v>
      </c>
      <c r="W63" s="1">
        <v>0</v>
      </c>
      <c r="X63" s="1">
        <v>0</v>
      </c>
      <c r="Y63" s="1">
        <v>0</v>
      </c>
      <c r="Z63" s="1">
        <v>0</v>
      </c>
      <c r="AA63" s="1">
        <v>0</v>
      </c>
      <c r="AB63" s="1">
        <v>0</v>
      </c>
      <c r="AC63" s="1">
        <v>2</v>
      </c>
      <c r="AD63" s="1">
        <v>0</v>
      </c>
      <c r="AE63" s="1">
        <v>0</v>
      </c>
      <c r="AF63" s="1">
        <v>0</v>
      </c>
      <c r="AG63" t="s">
        <v>551</v>
      </c>
      <c r="AH63" s="1">
        <v>420</v>
      </c>
      <c r="AI63" s="1" t="s">
        <v>1988</v>
      </c>
      <c r="AJ63" s="1">
        <v>0</v>
      </c>
      <c r="AK63" s="1" t="s">
        <v>329</v>
      </c>
      <c r="AL63" s="1" t="s">
        <v>1989</v>
      </c>
      <c r="AM63" s="1">
        <v>0</v>
      </c>
      <c r="AN63" s="1">
        <v>0</v>
      </c>
      <c r="AO63" s="1">
        <v>0</v>
      </c>
      <c r="AP63" s="1">
        <v>0</v>
      </c>
      <c r="AQ63" s="1">
        <v>1</v>
      </c>
      <c r="AR63" s="1" t="s">
        <v>329</v>
      </c>
      <c r="AS63" s="1">
        <v>0</v>
      </c>
      <c r="AT63" s="1" t="s">
        <v>1866</v>
      </c>
      <c r="AU63" s="1">
        <v>0</v>
      </c>
      <c r="AV63" s="1">
        <v>13001</v>
      </c>
      <c r="AW63" s="1">
        <v>0</v>
      </c>
    </row>
    <row r="64" spans="1:49" x14ac:dyDescent="0.25">
      <c r="A64" s="1">
        <v>64</v>
      </c>
      <c r="B64" s="1" t="s">
        <v>1990</v>
      </c>
      <c r="C64" s="1" t="s">
        <v>1991</v>
      </c>
      <c r="D64" s="1">
        <v>3</v>
      </c>
      <c r="E64" s="1">
        <v>1</v>
      </c>
      <c r="F64" s="1">
        <v>13</v>
      </c>
      <c r="G64" s="1" t="s">
        <v>329</v>
      </c>
      <c r="H64" s="1" t="s">
        <v>329</v>
      </c>
      <c r="I64" s="1" t="s">
        <v>365</v>
      </c>
      <c r="J64" s="1" t="s">
        <v>329</v>
      </c>
      <c r="K64" s="1" t="s">
        <v>329</v>
      </c>
      <c r="L64" s="1" t="s">
        <v>329</v>
      </c>
      <c r="M64" s="1" t="s">
        <v>359</v>
      </c>
      <c r="N64" s="1" t="s">
        <v>329</v>
      </c>
      <c r="O64" s="1" t="s">
        <v>329</v>
      </c>
      <c r="P64" s="1" t="s">
        <v>329</v>
      </c>
      <c r="Q64" s="1" t="s">
        <v>329</v>
      </c>
      <c r="R64" s="1" t="s">
        <v>329</v>
      </c>
      <c r="S64" s="1" t="s">
        <v>329</v>
      </c>
      <c r="T64" s="1" t="s">
        <v>329</v>
      </c>
      <c r="U64" s="1">
        <v>0</v>
      </c>
      <c r="V64" s="1">
        <v>0</v>
      </c>
      <c r="W64" s="1">
        <v>0</v>
      </c>
      <c r="X64" s="1">
        <v>0</v>
      </c>
      <c r="Y64" s="1">
        <v>0</v>
      </c>
      <c r="Z64" s="1">
        <v>0</v>
      </c>
      <c r="AA64" s="1">
        <v>0</v>
      </c>
      <c r="AB64" s="1">
        <v>0</v>
      </c>
      <c r="AC64" s="1">
        <v>3</v>
      </c>
      <c r="AD64" s="1">
        <v>0</v>
      </c>
      <c r="AE64" s="1">
        <v>0</v>
      </c>
      <c r="AF64" s="1">
        <v>0</v>
      </c>
      <c r="AG64" t="s">
        <v>552</v>
      </c>
      <c r="AH64" s="1">
        <v>1320</v>
      </c>
      <c r="AI64" s="1" t="s">
        <v>1988</v>
      </c>
      <c r="AJ64" s="1">
        <v>0</v>
      </c>
      <c r="AK64" s="1" t="s">
        <v>329</v>
      </c>
      <c r="AL64" s="1" t="s">
        <v>1992</v>
      </c>
      <c r="AM64" s="1">
        <v>0.55000000000000004</v>
      </c>
      <c r="AN64" s="1">
        <v>0.23</v>
      </c>
      <c r="AO64" s="1">
        <v>0.23</v>
      </c>
      <c r="AP64" s="1">
        <v>0.23</v>
      </c>
      <c r="AQ64" s="1">
        <v>1</v>
      </c>
      <c r="AR64" s="1" t="s">
        <v>1513</v>
      </c>
      <c r="AS64" s="1">
        <v>0</v>
      </c>
      <c r="AT64" s="1" t="s">
        <v>1866</v>
      </c>
      <c r="AU64" s="1">
        <v>10</v>
      </c>
      <c r="AV64" s="1">
        <v>13001</v>
      </c>
      <c r="AW64" s="1">
        <v>0</v>
      </c>
    </row>
    <row r="65" spans="1:49" x14ac:dyDescent="0.25">
      <c r="A65" s="1">
        <v>65</v>
      </c>
      <c r="B65" s="1" t="s">
        <v>1993</v>
      </c>
      <c r="C65" s="1" t="s">
        <v>1994</v>
      </c>
      <c r="D65" s="1">
        <v>4</v>
      </c>
      <c r="E65" s="1">
        <v>1</v>
      </c>
      <c r="F65" s="1">
        <v>13</v>
      </c>
      <c r="G65" s="1" t="s">
        <v>329</v>
      </c>
      <c r="H65" s="1" t="s">
        <v>329</v>
      </c>
      <c r="I65" s="1" t="s">
        <v>366</v>
      </c>
      <c r="J65" s="1" t="s">
        <v>329</v>
      </c>
      <c r="K65" s="1" t="s">
        <v>329</v>
      </c>
      <c r="L65" s="1" t="s">
        <v>329</v>
      </c>
      <c r="M65" s="1" t="s">
        <v>385</v>
      </c>
      <c r="N65" s="1" t="s">
        <v>329</v>
      </c>
      <c r="O65" s="1" t="s">
        <v>329</v>
      </c>
      <c r="P65" s="1" t="s">
        <v>329</v>
      </c>
      <c r="Q65" s="1" t="s">
        <v>329</v>
      </c>
      <c r="R65" s="1" t="s">
        <v>329</v>
      </c>
      <c r="S65" s="1" t="s">
        <v>329</v>
      </c>
      <c r="T65" s="1" t="s">
        <v>329</v>
      </c>
      <c r="U65" s="1">
        <v>0</v>
      </c>
      <c r="V65" s="1">
        <v>0</v>
      </c>
      <c r="W65" s="1">
        <v>0</v>
      </c>
      <c r="X65" s="1">
        <v>0</v>
      </c>
      <c r="Y65" s="1">
        <v>0</v>
      </c>
      <c r="Z65" s="1">
        <v>0</v>
      </c>
      <c r="AA65" s="1">
        <v>0</v>
      </c>
      <c r="AB65" s="1">
        <v>0</v>
      </c>
      <c r="AC65" s="1">
        <v>3</v>
      </c>
      <c r="AD65" s="1">
        <v>1</v>
      </c>
      <c r="AE65" s="1">
        <v>1</v>
      </c>
      <c r="AF65" s="1">
        <v>1</v>
      </c>
      <c r="AG65" t="s">
        <v>553</v>
      </c>
      <c r="AH65" s="1">
        <v>2220</v>
      </c>
      <c r="AI65" s="1" t="s">
        <v>1988</v>
      </c>
      <c r="AJ65" s="1">
        <v>0</v>
      </c>
      <c r="AK65" s="1" t="s">
        <v>329</v>
      </c>
      <c r="AL65" s="1" t="s">
        <v>1995</v>
      </c>
      <c r="AM65" s="1">
        <v>0.55000000000000004</v>
      </c>
      <c r="AN65" s="1">
        <v>0.23</v>
      </c>
      <c r="AO65" s="1">
        <v>0.23</v>
      </c>
      <c r="AP65" s="1">
        <v>0.23</v>
      </c>
      <c r="AQ65" s="1">
        <v>1</v>
      </c>
      <c r="AR65" s="1" t="s">
        <v>1513</v>
      </c>
      <c r="AS65" s="1">
        <v>0</v>
      </c>
      <c r="AT65" s="1" t="s">
        <v>1866</v>
      </c>
      <c r="AU65" s="1">
        <v>10</v>
      </c>
      <c r="AV65" s="1">
        <v>13001</v>
      </c>
      <c r="AW65" s="1">
        <v>0</v>
      </c>
    </row>
    <row r="66" spans="1:49" x14ac:dyDescent="0.25">
      <c r="A66" s="1">
        <v>66</v>
      </c>
      <c r="B66" s="1" t="s">
        <v>1996</v>
      </c>
      <c r="C66" s="1" t="s">
        <v>1997</v>
      </c>
      <c r="D66" s="1">
        <v>5</v>
      </c>
      <c r="E66" s="1">
        <v>1</v>
      </c>
      <c r="F66" s="1">
        <v>13</v>
      </c>
      <c r="G66" s="1" t="s">
        <v>329</v>
      </c>
      <c r="H66" s="1" t="s">
        <v>329</v>
      </c>
      <c r="I66" s="1" t="s">
        <v>359</v>
      </c>
      <c r="J66" s="1" t="s">
        <v>329</v>
      </c>
      <c r="K66" s="1" t="s">
        <v>329</v>
      </c>
      <c r="L66" s="1" t="s">
        <v>329</v>
      </c>
      <c r="M66" s="1" t="s">
        <v>386</v>
      </c>
      <c r="N66" s="1" t="s">
        <v>329</v>
      </c>
      <c r="O66" s="1" t="s">
        <v>329</v>
      </c>
      <c r="P66" s="1" t="s">
        <v>329</v>
      </c>
      <c r="Q66" s="1" t="s">
        <v>329</v>
      </c>
      <c r="R66" s="1" t="s">
        <v>329</v>
      </c>
      <c r="S66" s="1" t="s">
        <v>329</v>
      </c>
      <c r="T66" s="1" t="s">
        <v>329</v>
      </c>
      <c r="U66" s="1">
        <v>0</v>
      </c>
      <c r="V66" s="1">
        <v>0</v>
      </c>
      <c r="W66" s="1">
        <v>0</v>
      </c>
      <c r="X66" s="1">
        <v>0</v>
      </c>
      <c r="Y66" s="1">
        <v>0</v>
      </c>
      <c r="Z66" s="1">
        <v>0</v>
      </c>
      <c r="AA66" s="1">
        <v>0</v>
      </c>
      <c r="AB66" s="1">
        <v>0</v>
      </c>
      <c r="AC66" s="1">
        <v>4</v>
      </c>
      <c r="AD66" s="1">
        <v>2</v>
      </c>
      <c r="AE66" s="1">
        <v>2</v>
      </c>
      <c r="AF66" s="1">
        <v>2</v>
      </c>
      <c r="AG66" t="s">
        <v>554</v>
      </c>
      <c r="AH66" s="1">
        <v>2820</v>
      </c>
      <c r="AI66" s="1" t="s">
        <v>1988</v>
      </c>
      <c r="AJ66" s="1">
        <v>0</v>
      </c>
      <c r="AK66" s="1" t="s">
        <v>329</v>
      </c>
      <c r="AL66" s="1" t="s">
        <v>1998</v>
      </c>
      <c r="AM66" s="1">
        <v>0.55000000000000004</v>
      </c>
      <c r="AN66" s="1">
        <v>0.23</v>
      </c>
      <c r="AO66" s="1">
        <v>0.23</v>
      </c>
      <c r="AP66" s="1">
        <v>0.23</v>
      </c>
      <c r="AQ66" s="1">
        <v>1</v>
      </c>
      <c r="AR66" s="1" t="s">
        <v>1514</v>
      </c>
      <c r="AS66" s="1">
        <v>0</v>
      </c>
      <c r="AT66" s="1" t="s">
        <v>1866</v>
      </c>
      <c r="AU66" s="1">
        <v>10</v>
      </c>
      <c r="AV66" s="1">
        <v>13001</v>
      </c>
      <c r="AW66" s="1">
        <v>0</v>
      </c>
    </row>
    <row r="67" spans="1:49" x14ac:dyDescent="0.25">
      <c r="A67" s="1">
        <v>67</v>
      </c>
      <c r="B67" s="1" t="s">
        <v>1999</v>
      </c>
      <c r="C67" s="1" t="s">
        <v>2000</v>
      </c>
      <c r="D67" s="1">
        <v>4</v>
      </c>
      <c r="E67" s="1">
        <v>3</v>
      </c>
      <c r="F67" s="1">
        <v>14</v>
      </c>
      <c r="G67" s="1" t="s">
        <v>329</v>
      </c>
      <c r="H67" s="1" t="s">
        <v>329</v>
      </c>
      <c r="I67" s="1" t="s">
        <v>331</v>
      </c>
      <c r="J67" s="1" t="s">
        <v>329</v>
      </c>
      <c r="K67" s="1" t="s">
        <v>329</v>
      </c>
      <c r="L67" s="1" t="s">
        <v>329</v>
      </c>
      <c r="M67" s="1" t="s">
        <v>329</v>
      </c>
      <c r="N67" s="1" t="s">
        <v>329</v>
      </c>
      <c r="O67" s="1" t="s">
        <v>329</v>
      </c>
      <c r="P67" s="1" t="s">
        <v>329</v>
      </c>
      <c r="Q67" s="1" t="s">
        <v>329</v>
      </c>
      <c r="R67" s="1" t="s">
        <v>329</v>
      </c>
      <c r="S67" s="1" t="s">
        <v>329</v>
      </c>
      <c r="T67" s="1" t="s">
        <v>330</v>
      </c>
      <c r="U67" s="1">
        <v>0</v>
      </c>
      <c r="V67" s="1">
        <v>0</v>
      </c>
      <c r="W67" s="1">
        <v>0</v>
      </c>
      <c r="X67" s="1">
        <v>0</v>
      </c>
      <c r="Y67" s="1">
        <v>0</v>
      </c>
      <c r="Z67" s="1">
        <v>0</v>
      </c>
      <c r="AA67" s="1">
        <v>0</v>
      </c>
      <c r="AB67" s="1">
        <v>0</v>
      </c>
      <c r="AC67" s="1">
        <v>0</v>
      </c>
      <c r="AD67" s="1">
        <v>0</v>
      </c>
      <c r="AE67" s="1">
        <v>0</v>
      </c>
      <c r="AF67" s="1">
        <v>4</v>
      </c>
      <c r="AG67" t="s">
        <v>555</v>
      </c>
      <c r="AH67" s="1">
        <v>2820</v>
      </c>
      <c r="AI67" s="1" t="s">
        <v>1903</v>
      </c>
      <c r="AJ67" s="1">
        <v>0</v>
      </c>
      <c r="AK67" s="1" t="s">
        <v>329</v>
      </c>
      <c r="AL67" s="1" t="s">
        <v>2001</v>
      </c>
      <c r="AM67" s="1">
        <v>0.1</v>
      </c>
      <c r="AN67" s="1">
        <v>0.1</v>
      </c>
      <c r="AO67" s="1">
        <v>0.1</v>
      </c>
      <c r="AP67" s="1">
        <v>0.55000000000000004</v>
      </c>
      <c r="AQ67" s="1">
        <v>1</v>
      </c>
      <c r="AR67" s="1" t="s">
        <v>1515</v>
      </c>
      <c r="AS67" s="1">
        <v>0</v>
      </c>
      <c r="AT67" s="1" t="s">
        <v>1866</v>
      </c>
      <c r="AU67" s="1">
        <v>10</v>
      </c>
      <c r="AV67" s="1">
        <v>14001</v>
      </c>
      <c r="AW67" s="1">
        <v>0</v>
      </c>
    </row>
    <row r="68" spans="1:49" x14ac:dyDescent="0.25">
      <c r="A68" s="1">
        <v>68</v>
      </c>
      <c r="B68" s="1" t="s">
        <v>2002</v>
      </c>
      <c r="C68" s="1" t="s">
        <v>2003</v>
      </c>
      <c r="D68" s="1">
        <v>5</v>
      </c>
      <c r="E68" s="1">
        <v>3</v>
      </c>
      <c r="F68" s="1">
        <v>14</v>
      </c>
      <c r="G68" s="1" t="s">
        <v>329</v>
      </c>
      <c r="H68" s="1" t="s">
        <v>329</v>
      </c>
      <c r="I68" s="1" t="s">
        <v>367</v>
      </c>
      <c r="J68" s="1" t="s">
        <v>329</v>
      </c>
      <c r="K68" s="1" t="s">
        <v>329</v>
      </c>
      <c r="L68" s="1" t="s">
        <v>329</v>
      </c>
      <c r="M68" s="1" t="s">
        <v>329</v>
      </c>
      <c r="N68" s="1" t="s">
        <v>329</v>
      </c>
      <c r="O68" s="1" t="s">
        <v>329</v>
      </c>
      <c r="P68" s="1" t="s">
        <v>329</v>
      </c>
      <c r="Q68" s="1" t="s">
        <v>329</v>
      </c>
      <c r="R68" s="1" t="s">
        <v>329</v>
      </c>
      <c r="S68" s="1" t="s">
        <v>329</v>
      </c>
      <c r="T68" s="1" t="s">
        <v>335</v>
      </c>
      <c r="U68" s="1">
        <v>0</v>
      </c>
      <c r="V68" s="1">
        <v>0</v>
      </c>
      <c r="W68" s="1">
        <v>0</v>
      </c>
      <c r="X68" s="1">
        <v>0</v>
      </c>
      <c r="Y68" s="1">
        <v>0</v>
      </c>
      <c r="Z68" s="1">
        <v>0</v>
      </c>
      <c r="AA68" s="1">
        <v>0</v>
      </c>
      <c r="AB68" s="1">
        <v>0</v>
      </c>
      <c r="AC68" s="1">
        <v>1</v>
      </c>
      <c r="AD68" s="1">
        <v>1</v>
      </c>
      <c r="AE68" s="1">
        <v>1</v>
      </c>
      <c r="AF68" s="1">
        <v>5</v>
      </c>
      <c r="AG68" t="s">
        <v>556</v>
      </c>
      <c r="AH68" s="1">
        <v>3420</v>
      </c>
      <c r="AI68" s="1" t="s">
        <v>1903</v>
      </c>
      <c r="AJ68" s="1">
        <v>0</v>
      </c>
      <c r="AK68" s="1" t="s">
        <v>329</v>
      </c>
      <c r="AL68" s="1" t="s">
        <v>2004</v>
      </c>
      <c r="AM68" s="1">
        <v>0.1</v>
      </c>
      <c r="AN68" s="1">
        <v>0.1</v>
      </c>
      <c r="AO68" s="1">
        <v>0.1</v>
      </c>
      <c r="AP68" s="1">
        <v>0.55000000000000004</v>
      </c>
      <c r="AQ68" s="1">
        <v>1</v>
      </c>
      <c r="AR68" s="1" t="s">
        <v>1516</v>
      </c>
      <c r="AS68" s="1">
        <v>0</v>
      </c>
      <c r="AT68" s="1" t="s">
        <v>1866</v>
      </c>
      <c r="AU68" s="1">
        <v>10</v>
      </c>
      <c r="AV68" s="1">
        <v>14001</v>
      </c>
      <c r="AW68" s="1">
        <v>0</v>
      </c>
    </row>
    <row r="69" spans="1:49" x14ac:dyDescent="0.25">
      <c r="A69" s="1">
        <v>69</v>
      </c>
      <c r="B69" s="1" t="s">
        <v>2005</v>
      </c>
      <c r="C69" s="1" t="s">
        <v>2006</v>
      </c>
      <c r="D69" s="1">
        <v>2</v>
      </c>
      <c r="E69" s="1">
        <v>2</v>
      </c>
      <c r="F69" s="1">
        <v>6</v>
      </c>
      <c r="G69" s="1" t="s">
        <v>330</v>
      </c>
      <c r="H69" s="1" t="s">
        <v>329</v>
      </c>
      <c r="I69" s="1" t="s">
        <v>329</v>
      </c>
      <c r="J69" s="1" t="s">
        <v>329</v>
      </c>
      <c r="K69" s="1" t="s">
        <v>329</v>
      </c>
      <c r="L69" s="1" t="s">
        <v>329</v>
      </c>
      <c r="M69" s="1" t="s">
        <v>329</v>
      </c>
      <c r="N69" s="1" t="s">
        <v>331</v>
      </c>
      <c r="O69" s="1" t="s">
        <v>329</v>
      </c>
      <c r="P69" s="1" t="s">
        <v>329</v>
      </c>
      <c r="Q69" s="1" t="s">
        <v>329</v>
      </c>
      <c r="R69" s="1" t="s">
        <v>329</v>
      </c>
      <c r="S69" s="1" t="s">
        <v>329</v>
      </c>
      <c r="T69" s="1" t="s">
        <v>329</v>
      </c>
      <c r="U69" s="1">
        <v>0</v>
      </c>
      <c r="V69" s="1">
        <v>0</v>
      </c>
      <c r="W69" s="1">
        <v>0</v>
      </c>
      <c r="X69" s="1">
        <v>0</v>
      </c>
      <c r="Y69" s="1">
        <v>0</v>
      </c>
      <c r="Z69" s="1">
        <v>0</v>
      </c>
      <c r="AA69" s="1">
        <v>0</v>
      </c>
      <c r="AB69" s="1">
        <v>0</v>
      </c>
      <c r="AC69" s="1">
        <v>1</v>
      </c>
      <c r="AD69" s="1">
        <v>1</v>
      </c>
      <c r="AE69" s="1">
        <v>0</v>
      </c>
      <c r="AF69" s="1">
        <v>0</v>
      </c>
      <c r="AG69" t="s">
        <v>557</v>
      </c>
      <c r="AH69" s="1">
        <v>780</v>
      </c>
      <c r="AI69" s="1" t="s">
        <v>2007</v>
      </c>
      <c r="AJ69" s="1">
        <v>0</v>
      </c>
      <c r="AK69" s="1" t="s">
        <v>329</v>
      </c>
      <c r="AL69" s="1" t="s">
        <v>2008</v>
      </c>
      <c r="AM69" s="1">
        <v>0</v>
      </c>
      <c r="AN69" s="1">
        <v>0</v>
      </c>
      <c r="AO69" s="1">
        <v>0</v>
      </c>
      <c r="AP69" s="1">
        <v>0</v>
      </c>
      <c r="AQ69" s="1">
        <v>1</v>
      </c>
      <c r="AR69" s="1" t="s">
        <v>329</v>
      </c>
      <c r="AS69" s="1">
        <v>0</v>
      </c>
      <c r="AT69" s="1" t="s">
        <v>1866</v>
      </c>
      <c r="AU69" s="1">
        <v>0</v>
      </c>
      <c r="AV69" s="1">
        <v>6003</v>
      </c>
      <c r="AW69" s="1">
        <v>0</v>
      </c>
    </row>
    <row r="70" spans="1:49" x14ac:dyDescent="0.25">
      <c r="A70" s="1">
        <v>70</v>
      </c>
      <c r="B70" s="1" t="s">
        <v>2009</v>
      </c>
      <c r="C70" s="1" t="s">
        <v>2010</v>
      </c>
      <c r="D70" s="1">
        <v>3</v>
      </c>
      <c r="E70" s="1">
        <v>2</v>
      </c>
      <c r="F70" s="1">
        <v>6</v>
      </c>
      <c r="G70" s="1" t="s">
        <v>335</v>
      </c>
      <c r="H70" s="1" t="s">
        <v>329</v>
      </c>
      <c r="I70" s="1" t="s">
        <v>329</v>
      </c>
      <c r="J70" s="1" t="s">
        <v>329</v>
      </c>
      <c r="K70" s="1" t="s">
        <v>329</v>
      </c>
      <c r="L70" s="1" t="s">
        <v>329</v>
      </c>
      <c r="M70" s="1" t="s">
        <v>329</v>
      </c>
      <c r="N70" s="1" t="s">
        <v>367</v>
      </c>
      <c r="O70" s="1" t="s">
        <v>329</v>
      </c>
      <c r="P70" s="1" t="s">
        <v>329</v>
      </c>
      <c r="Q70" s="1" t="s">
        <v>329</v>
      </c>
      <c r="R70" s="1" t="s">
        <v>329</v>
      </c>
      <c r="S70" s="1" t="s">
        <v>329</v>
      </c>
      <c r="T70" s="1" t="s">
        <v>329</v>
      </c>
      <c r="U70" s="1">
        <v>0</v>
      </c>
      <c r="V70" s="1">
        <v>0</v>
      </c>
      <c r="W70" s="1">
        <v>0</v>
      </c>
      <c r="X70" s="1">
        <v>0</v>
      </c>
      <c r="Y70" s="1">
        <v>0</v>
      </c>
      <c r="Z70" s="1">
        <v>0</v>
      </c>
      <c r="AA70" s="1">
        <v>0</v>
      </c>
      <c r="AB70" s="1">
        <v>0</v>
      </c>
      <c r="AC70" s="1">
        <v>2</v>
      </c>
      <c r="AD70" s="1">
        <v>2</v>
      </c>
      <c r="AE70" s="1">
        <v>0</v>
      </c>
      <c r="AF70" s="1">
        <v>1</v>
      </c>
      <c r="AG70" t="s">
        <v>558</v>
      </c>
      <c r="AH70" s="1">
        <v>1680</v>
      </c>
      <c r="AI70" s="1" t="s">
        <v>2007</v>
      </c>
      <c r="AJ70" s="1">
        <v>0</v>
      </c>
      <c r="AK70" s="1" t="s">
        <v>329</v>
      </c>
      <c r="AL70" s="1" t="s">
        <v>2011</v>
      </c>
      <c r="AM70" s="1">
        <v>0.48</v>
      </c>
      <c r="AN70" s="1">
        <v>0.48</v>
      </c>
      <c r="AO70" s="1">
        <v>0.08</v>
      </c>
      <c r="AP70" s="1">
        <v>0.25</v>
      </c>
      <c r="AQ70" s="1">
        <v>1</v>
      </c>
      <c r="AR70" s="1" t="s">
        <v>1503</v>
      </c>
      <c r="AS70" s="1">
        <v>0</v>
      </c>
      <c r="AT70" s="1" t="s">
        <v>1866</v>
      </c>
      <c r="AU70" s="1">
        <v>10</v>
      </c>
      <c r="AV70" s="1">
        <v>6003</v>
      </c>
      <c r="AW70" s="1">
        <v>0</v>
      </c>
    </row>
    <row r="71" spans="1:49" x14ac:dyDescent="0.25">
      <c r="A71" s="1">
        <v>71</v>
      </c>
      <c r="B71" s="1" t="s">
        <v>2012</v>
      </c>
      <c r="C71" s="1" t="s">
        <v>2013</v>
      </c>
      <c r="D71" s="1">
        <v>4</v>
      </c>
      <c r="E71" s="1">
        <v>2</v>
      </c>
      <c r="F71" s="1">
        <v>6</v>
      </c>
      <c r="G71" s="1" t="s">
        <v>338</v>
      </c>
      <c r="H71" s="1" t="s">
        <v>329</v>
      </c>
      <c r="I71" s="1" t="s">
        <v>329</v>
      </c>
      <c r="J71" s="1" t="s">
        <v>329</v>
      </c>
      <c r="K71" s="1" t="s">
        <v>329</v>
      </c>
      <c r="L71" s="1" t="s">
        <v>329</v>
      </c>
      <c r="M71" s="1" t="s">
        <v>329</v>
      </c>
      <c r="N71" s="1" t="s">
        <v>340</v>
      </c>
      <c r="O71" s="1" t="s">
        <v>329</v>
      </c>
      <c r="P71" s="1" t="s">
        <v>329</v>
      </c>
      <c r="Q71" s="1" t="s">
        <v>329</v>
      </c>
      <c r="R71" s="1" t="s">
        <v>329</v>
      </c>
      <c r="S71" s="1" t="s">
        <v>329</v>
      </c>
      <c r="T71" s="1" t="s">
        <v>329</v>
      </c>
      <c r="U71" s="1">
        <v>0</v>
      </c>
      <c r="V71" s="1">
        <v>0</v>
      </c>
      <c r="W71" s="1">
        <v>0</v>
      </c>
      <c r="X71" s="1">
        <v>0</v>
      </c>
      <c r="Y71" s="1">
        <v>0</v>
      </c>
      <c r="Z71" s="1">
        <v>0</v>
      </c>
      <c r="AA71" s="1">
        <v>0</v>
      </c>
      <c r="AB71" s="1">
        <v>0</v>
      </c>
      <c r="AC71" s="1">
        <v>3</v>
      </c>
      <c r="AD71" s="1">
        <v>3</v>
      </c>
      <c r="AE71" s="1">
        <v>0</v>
      </c>
      <c r="AF71" s="1">
        <v>1</v>
      </c>
      <c r="AG71" t="s">
        <v>559</v>
      </c>
      <c r="AH71" s="1">
        <v>2580</v>
      </c>
      <c r="AI71" s="1" t="s">
        <v>2007</v>
      </c>
      <c r="AJ71" s="1">
        <v>0</v>
      </c>
      <c r="AK71" s="1" t="s">
        <v>329</v>
      </c>
      <c r="AL71" s="1" t="s">
        <v>2014</v>
      </c>
      <c r="AM71" s="1">
        <v>0.48</v>
      </c>
      <c r="AN71" s="1">
        <v>0.48</v>
      </c>
      <c r="AO71" s="1">
        <v>0.08</v>
      </c>
      <c r="AP71" s="1">
        <v>0.25</v>
      </c>
      <c r="AQ71" s="1">
        <v>1</v>
      </c>
      <c r="AR71" s="1" t="s">
        <v>1517</v>
      </c>
      <c r="AS71" s="1">
        <v>0</v>
      </c>
      <c r="AT71" s="1" t="s">
        <v>1866</v>
      </c>
      <c r="AU71" s="1">
        <v>10</v>
      </c>
      <c r="AV71" s="1">
        <v>6003</v>
      </c>
      <c r="AW71" s="1">
        <v>0</v>
      </c>
    </row>
    <row r="72" spans="1:49" x14ac:dyDescent="0.25">
      <c r="A72" s="1">
        <v>72</v>
      </c>
      <c r="B72" s="1" t="s">
        <v>2015</v>
      </c>
      <c r="C72" s="1" t="s">
        <v>2016</v>
      </c>
      <c r="D72" s="1">
        <v>5</v>
      </c>
      <c r="E72" s="1">
        <v>2</v>
      </c>
      <c r="F72" s="1">
        <v>6</v>
      </c>
      <c r="G72" s="1" t="s">
        <v>342</v>
      </c>
      <c r="H72" s="1" t="s">
        <v>329</v>
      </c>
      <c r="I72" s="1" t="s">
        <v>329</v>
      </c>
      <c r="J72" s="1" t="s">
        <v>329</v>
      </c>
      <c r="K72" s="1" t="s">
        <v>329</v>
      </c>
      <c r="L72" s="1" t="s">
        <v>329</v>
      </c>
      <c r="M72" s="1" t="s">
        <v>329</v>
      </c>
      <c r="N72" s="1" t="s">
        <v>387</v>
      </c>
      <c r="O72" s="1" t="s">
        <v>329</v>
      </c>
      <c r="P72" s="1" t="s">
        <v>329</v>
      </c>
      <c r="Q72" s="1" t="s">
        <v>329</v>
      </c>
      <c r="R72" s="1" t="s">
        <v>329</v>
      </c>
      <c r="S72" s="1" t="s">
        <v>329</v>
      </c>
      <c r="T72" s="1" t="s">
        <v>329</v>
      </c>
      <c r="U72" s="1">
        <v>0</v>
      </c>
      <c r="V72" s="1">
        <v>0</v>
      </c>
      <c r="W72" s="1">
        <v>0</v>
      </c>
      <c r="X72" s="1">
        <v>0</v>
      </c>
      <c r="Y72" s="1">
        <v>0</v>
      </c>
      <c r="Z72" s="1">
        <v>0</v>
      </c>
      <c r="AA72" s="1">
        <v>0</v>
      </c>
      <c r="AB72" s="1">
        <v>0</v>
      </c>
      <c r="AC72" s="1">
        <v>4</v>
      </c>
      <c r="AD72" s="1">
        <v>4</v>
      </c>
      <c r="AE72" s="1">
        <v>0</v>
      </c>
      <c r="AF72" s="1">
        <v>2</v>
      </c>
      <c r="AG72" t="s">
        <v>560</v>
      </c>
      <c r="AH72" s="1">
        <v>3180</v>
      </c>
      <c r="AI72" s="1" t="s">
        <v>2007</v>
      </c>
      <c r="AJ72" s="1">
        <v>0</v>
      </c>
      <c r="AK72" s="1" t="s">
        <v>329</v>
      </c>
      <c r="AL72" s="1" t="s">
        <v>2017</v>
      </c>
      <c r="AM72" s="1">
        <v>0.48</v>
      </c>
      <c r="AN72" s="1">
        <v>0.48</v>
      </c>
      <c r="AO72" s="1">
        <v>0.08</v>
      </c>
      <c r="AP72" s="1">
        <v>0.25</v>
      </c>
      <c r="AQ72" s="1">
        <v>1</v>
      </c>
      <c r="AR72" s="1" t="s">
        <v>1517</v>
      </c>
      <c r="AS72" s="1">
        <v>0</v>
      </c>
      <c r="AT72" s="1" t="s">
        <v>1866</v>
      </c>
      <c r="AU72" s="1">
        <v>10</v>
      </c>
      <c r="AV72" s="1">
        <v>6003</v>
      </c>
      <c r="AW72" s="1">
        <v>0</v>
      </c>
    </row>
    <row r="73" spans="1:49" x14ac:dyDescent="0.25">
      <c r="A73" s="1">
        <v>73</v>
      </c>
      <c r="B73" s="1" t="s">
        <v>2018</v>
      </c>
      <c r="C73" s="1" t="s">
        <v>2019</v>
      </c>
      <c r="D73" s="1">
        <v>2</v>
      </c>
      <c r="E73" s="1">
        <v>2</v>
      </c>
      <c r="F73" s="1">
        <v>7</v>
      </c>
      <c r="G73" s="1" t="s">
        <v>330</v>
      </c>
      <c r="H73" s="1" t="s">
        <v>329</v>
      </c>
      <c r="I73" s="1" t="s">
        <v>329</v>
      </c>
      <c r="J73" s="1" t="s">
        <v>329</v>
      </c>
      <c r="K73" s="1" t="s">
        <v>329</v>
      </c>
      <c r="L73" s="1" t="s">
        <v>355</v>
      </c>
      <c r="M73" s="1" t="s">
        <v>329</v>
      </c>
      <c r="N73" s="1" t="s">
        <v>329</v>
      </c>
      <c r="O73" s="1" t="s">
        <v>329</v>
      </c>
      <c r="P73" s="1" t="s">
        <v>329</v>
      </c>
      <c r="Q73" s="1" t="s">
        <v>329</v>
      </c>
      <c r="R73" s="1" t="s">
        <v>329</v>
      </c>
      <c r="S73" s="1" t="s">
        <v>329</v>
      </c>
      <c r="T73" s="1" t="s">
        <v>329</v>
      </c>
      <c r="U73" s="1">
        <v>0</v>
      </c>
      <c r="V73" s="1">
        <v>0</v>
      </c>
      <c r="W73" s="1">
        <v>0</v>
      </c>
      <c r="X73" s="1">
        <v>0</v>
      </c>
      <c r="Y73" s="1">
        <v>0</v>
      </c>
      <c r="Z73" s="1">
        <v>0</v>
      </c>
      <c r="AA73" s="1">
        <v>0</v>
      </c>
      <c r="AB73" s="1">
        <v>0</v>
      </c>
      <c r="AC73" s="1">
        <v>0</v>
      </c>
      <c r="AD73" s="1">
        <v>1</v>
      </c>
      <c r="AE73" s="1">
        <v>0</v>
      </c>
      <c r="AF73" s="1">
        <v>1</v>
      </c>
      <c r="AG73" t="s">
        <v>561</v>
      </c>
      <c r="AH73" s="1">
        <v>840</v>
      </c>
      <c r="AI73" s="1" t="s">
        <v>1903</v>
      </c>
      <c r="AJ73" s="1">
        <v>0</v>
      </c>
      <c r="AK73" s="1" t="s">
        <v>329</v>
      </c>
      <c r="AL73" s="1" t="s">
        <v>2020</v>
      </c>
      <c r="AM73" s="1">
        <v>0</v>
      </c>
      <c r="AN73" s="1">
        <v>0</v>
      </c>
      <c r="AO73" s="1">
        <v>0</v>
      </c>
      <c r="AP73" s="1">
        <v>0</v>
      </c>
      <c r="AQ73" s="1">
        <v>1</v>
      </c>
      <c r="AR73" s="1" t="s">
        <v>329</v>
      </c>
      <c r="AS73" s="1">
        <v>0</v>
      </c>
      <c r="AT73" s="1" t="s">
        <v>1866</v>
      </c>
      <c r="AU73" s="1">
        <v>0</v>
      </c>
      <c r="AV73" s="1">
        <v>7001</v>
      </c>
      <c r="AW73" s="1">
        <v>0</v>
      </c>
    </row>
    <row r="74" spans="1:49" x14ac:dyDescent="0.25">
      <c r="A74" s="1">
        <v>74</v>
      </c>
      <c r="B74" s="1" t="s">
        <v>2021</v>
      </c>
      <c r="C74" s="1" t="s">
        <v>2022</v>
      </c>
      <c r="D74" s="1">
        <v>3</v>
      </c>
      <c r="E74" s="1">
        <v>2</v>
      </c>
      <c r="F74" s="1">
        <v>7</v>
      </c>
      <c r="G74" s="1" t="s">
        <v>335</v>
      </c>
      <c r="H74" s="1" t="s">
        <v>329</v>
      </c>
      <c r="I74" s="1" t="s">
        <v>329</v>
      </c>
      <c r="J74" s="1" t="s">
        <v>329</v>
      </c>
      <c r="K74" s="1" t="s">
        <v>329</v>
      </c>
      <c r="L74" s="1" t="s">
        <v>388</v>
      </c>
      <c r="M74" s="1" t="s">
        <v>329</v>
      </c>
      <c r="N74" s="1" t="s">
        <v>329</v>
      </c>
      <c r="O74" s="1" t="s">
        <v>329</v>
      </c>
      <c r="P74" s="1" t="s">
        <v>329</v>
      </c>
      <c r="Q74" s="1" t="s">
        <v>329</v>
      </c>
      <c r="R74" s="1" t="s">
        <v>329</v>
      </c>
      <c r="S74" s="1" t="s">
        <v>329</v>
      </c>
      <c r="T74" s="1" t="s">
        <v>329</v>
      </c>
      <c r="U74" s="1">
        <v>0</v>
      </c>
      <c r="V74" s="1">
        <v>0</v>
      </c>
      <c r="W74" s="1">
        <v>0</v>
      </c>
      <c r="X74" s="1">
        <v>0</v>
      </c>
      <c r="Y74" s="1">
        <v>0</v>
      </c>
      <c r="Z74" s="1">
        <v>0</v>
      </c>
      <c r="AA74" s="1">
        <v>0</v>
      </c>
      <c r="AB74" s="1">
        <v>0</v>
      </c>
      <c r="AC74" s="1">
        <v>0</v>
      </c>
      <c r="AD74" s="1">
        <v>2</v>
      </c>
      <c r="AE74" s="1">
        <v>0</v>
      </c>
      <c r="AF74" s="1">
        <v>2</v>
      </c>
      <c r="AG74" t="s">
        <v>562</v>
      </c>
      <c r="AH74" s="1">
        <v>1740</v>
      </c>
      <c r="AI74" s="1" t="s">
        <v>1903</v>
      </c>
      <c r="AJ74" s="1">
        <v>0</v>
      </c>
      <c r="AK74" s="1" t="s">
        <v>329</v>
      </c>
      <c r="AL74" s="1" t="s">
        <v>2023</v>
      </c>
      <c r="AM74" s="1">
        <v>0.08</v>
      </c>
      <c r="AN74" s="1">
        <v>0.53</v>
      </c>
      <c r="AO74" s="1">
        <v>0.08</v>
      </c>
      <c r="AP74" s="1">
        <v>0.45</v>
      </c>
      <c r="AQ74" s="1">
        <v>1</v>
      </c>
      <c r="AR74" s="1" t="s">
        <v>1518</v>
      </c>
      <c r="AS74" s="1">
        <v>0</v>
      </c>
      <c r="AT74" s="1" t="s">
        <v>1866</v>
      </c>
      <c r="AU74" s="1">
        <v>10</v>
      </c>
      <c r="AV74" s="1">
        <v>7001</v>
      </c>
      <c r="AW74" s="1">
        <v>0</v>
      </c>
    </row>
    <row r="75" spans="1:49" x14ac:dyDescent="0.25">
      <c r="A75" s="1">
        <v>75</v>
      </c>
      <c r="B75" s="1" t="s">
        <v>2024</v>
      </c>
      <c r="C75" s="1" t="s">
        <v>2025</v>
      </c>
      <c r="D75" s="1">
        <v>4</v>
      </c>
      <c r="E75" s="1">
        <v>2</v>
      </c>
      <c r="F75" s="1">
        <v>7</v>
      </c>
      <c r="G75" s="1" t="s">
        <v>338</v>
      </c>
      <c r="H75" s="1" t="s">
        <v>329</v>
      </c>
      <c r="I75" s="1" t="s">
        <v>329</v>
      </c>
      <c r="J75" s="1" t="s">
        <v>329</v>
      </c>
      <c r="K75" s="1" t="s">
        <v>329</v>
      </c>
      <c r="L75" s="1" t="s">
        <v>389</v>
      </c>
      <c r="M75" s="1" t="s">
        <v>329</v>
      </c>
      <c r="N75" s="1" t="s">
        <v>329</v>
      </c>
      <c r="O75" s="1" t="s">
        <v>329</v>
      </c>
      <c r="P75" s="1" t="s">
        <v>329</v>
      </c>
      <c r="Q75" s="1" t="s">
        <v>329</v>
      </c>
      <c r="R75" s="1" t="s">
        <v>329</v>
      </c>
      <c r="S75" s="1" t="s">
        <v>329</v>
      </c>
      <c r="T75" s="1" t="s">
        <v>329</v>
      </c>
      <c r="U75" s="1">
        <v>0</v>
      </c>
      <c r="V75" s="1">
        <v>0</v>
      </c>
      <c r="W75" s="1">
        <v>0</v>
      </c>
      <c r="X75" s="1">
        <v>0</v>
      </c>
      <c r="Y75" s="1">
        <v>0</v>
      </c>
      <c r="Z75" s="1">
        <v>0</v>
      </c>
      <c r="AA75" s="1">
        <v>0</v>
      </c>
      <c r="AB75" s="1">
        <v>0</v>
      </c>
      <c r="AC75" s="1">
        <v>1</v>
      </c>
      <c r="AD75" s="1">
        <v>3</v>
      </c>
      <c r="AE75" s="1">
        <v>1</v>
      </c>
      <c r="AF75" s="1">
        <v>2</v>
      </c>
      <c r="AG75" t="s">
        <v>563</v>
      </c>
      <c r="AH75" s="1">
        <v>2640</v>
      </c>
      <c r="AI75" s="1" t="s">
        <v>1903</v>
      </c>
      <c r="AJ75" s="1">
        <v>0</v>
      </c>
      <c r="AK75" s="1" t="s">
        <v>329</v>
      </c>
      <c r="AL75" s="1" t="s">
        <v>2026</v>
      </c>
      <c r="AM75" s="1">
        <v>0.08</v>
      </c>
      <c r="AN75" s="1">
        <v>0.53</v>
      </c>
      <c r="AO75" s="1">
        <v>0.08</v>
      </c>
      <c r="AP75" s="1">
        <v>0.45</v>
      </c>
      <c r="AQ75" s="1">
        <v>1</v>
      </c>
      <c r="AR75" s="1" t="s">
        <v>1519</v>
      </c>
      <c r="AS75" s="1">
        <v>0</v>
      </c>
      <c r="AT75" s="1" t="s">
        <v>1866</v>
      </c>
      <c r="AU75" s="1">
        <v>10</v>
      </c>
      <c r="AV75" s="1">
        <v>7001</v>
      </c>
      <c r="AW75" s="1">
        <v>0</v>
      </c>
    </row>
    <row r="76" spans="1:49" x14ac:dyDescent="0.25">
      <c r="A76" s="1">
        <v>76</v>
      </c>
      <c r="B76" s="1" t="s">
        <v>2027</v>
      </c>
      <c r="C76" s="1" t="s">
        <v>2028</v>
      </c>
      <c r="D76" s="1">
        <v>5</v>
      </c>
      <c r="E76" s="1">
        <v>2</v>
      </c>
      <c r="F76" s="1">
        <v>7</v>
      </c>
      <c r="G76" s="1" t="s">
        <v>342</v>
      </c>
      <c r="H76" s="1" t="s">
        <v>329</v>
      </c>
      <c r="I76" s="1" t="s">
        <v>329</v>
      </c>
      <c r="J76" s="1" t="s">
        <v>329</v>
      </c>
      <c r="K76" s="1" t="s">
        <v>329</v>
      </c>
      <c r="L76" s="1" t="s">
        <v>390</v>
      </c>
      <c r="M76" s="1" t="s">
        <v>329</v>
      </c>
      <c r="N76" s="1" t="s">
        <v>329</v>
      </c>
      <c r="O76" s="1" t="s">
        <v>329</v>
      </c>
      <c r="P76" s="1" t="s">
        <v>329</v>
      </c>
      <c r="Q76" s="1" t="s">
        <v>329</v>
      </c>
      <c r="R76" s="1" t="s">
        <v>329</v>
      </c>
      <c r="S76" s="1" t="s">
        <v>329</v>
      </c>
      <c r="T76" s="1" t="s">
        <v>329</v>
      </c>
      <c r="U76" s="1">
        <v>0</v>
      </c>
      <c r="V76" s="1">
        <v>0</v>
      </c>
      <c r="W76" s="1">
        <v>0</v>
      </c>
      <c r="X76" s="1">
        <v>0</v>
      </c>
      <c r="Y76" s="1">
        <v>0</v>
      </c>
      <c r="Z76" s="1">
        <v>0</v>
      </c>
      <c r="AA76" s="1">
        <v>0</v>
      </c>
      <c r="AB76" s="1">
        <v>0</v>
      </c>
      <c r="AC76" s="1">
        <v>1</v>
      </c>
      <c r="AD76" s="1">
        <v>4</v>
      </c>
      <c r="AE76" s="1">
        <v>1</v>
      </c>
      <c r="AF76" s="1">
        <v>3</v>
      </c>
      <c r="AG76" t="s">
        <v>564</v>
      </c>
      <c r="AH76" s="1">
        <v>3240</v>
      </c>
      <c r="AI76" s="1" t="s">
        <v>1903</v>
      </c>
      <c r="AJ76" s="1">
        <v>0</v>
      </c>
      <c r="AK76" s="1" t="s">
        <v>329</v>
      </c>
      <c r="AL76" s="1" t="s">
        <v>2029</v>
      </c>
      <c r="AM76" s="1">
        <v>0.08</v>
      </c>
      <c r="AN76" s="1">
        <v>0.53</v>
      </c>
      <c r="AO76" s="1">
        <v>0.08</v>
      </c>
      <c r="AP76" s="1">
        <v>0.45</v>
      </c>
      <c r="AQ76" s="1">
        <v>1</v>
      </c>
      <c r="AR76" s="1" t="s">
        <v>1518</v>
      </c>
      <c r="AS76" s="1">
        <v>0</v>
      </c>
      <c r="AT76" s="1" t="s">
        <v>1866</v>
      </c>
      <c r="AU76" s="1">
        <v>10</v>
      </c>
      <c r="AV76" s="1">
        <v>7001</v>
      </c>
      <c r="AW76" s="1">
        <v>0</v>
      </c>
    </row>
    <row r="77" spans="1:49" x14ac:dyDescent="0.25">
      <c r="A77" s="1">
        <v>77</v>
      </c>
      <c r="B77" s="1" t="s">
        <v>2030</v>
      </c>
      <c r="C77" s="1" t="s">
        <v>2031</v>
      </c>
      <c r="D77" s="1">
        <v>2</v>
      </c>
      <c r="E77" s="1">
        <v>2</v>
      </c>
      <c r="F77" s="1">
        <v>7</v>
      </c>
      <c r="G77" s="1" t="s">
        <v>329</v>
      </c>
      <c r="H77" s="1" t="s">
        <v>332</v>
      </c>
      <c r="I77" s="1" t="s">
        <v>329</v>
      </c>
      <c r="J77" s="1" t="s">
        <v>329</v>
      </c>
      <c r="K77" s="1" t="s">
        <v>329</v>
      </c>
      <c r="L77" s="1" t="s">
        <v>329</v>
      </c>
      <c r="M77" s="1" t="s">
        <v>329</v>
      </c>
      <c r="N77" s="1" t="s">
        <v>329</v>
      </c>
      <c r="O77" s="1" t="s">
        <v>329</v>
      </c>
      <c r="P77" s="1" t="s">
        <v>329</v>
      </c>
      <c r="Q77" s="1" t="s">
        <v>329</v>
      </c>
      <c r="R77" s="1" t="s">
        <v>329</v>
      </c>
      <c r="S77" s="1" t="s">
        <v>329</v>
      </c>
      <c r="T77" s="1" t="s">
        <v>329</v>
      </c>
      <c r="U77" s="1">
        <v>0</v>
      </c>
      <c r="V77" s="1">
        <v>0</v>
      </c>
      <c r="W77" s="1">
        <v>0</v>
      </c>
      <c r="X77" s="1">
        <v>0</v>
      </c>
      <c r="Y77" s="1">
        <v>0</v>
      </c>
      <c r="Z77" s="1">
        <v>0</v>
      </c>
      <c r="AA77" s="1">
        <v>0</v>
      </c>
      <c r="AB77" s="1">
        <v>0</v>
      </c>
      <c r="AC77" s="1">
        <v>0</v>
      </c>
      <c r="AD77" s="1">
        <v>1</v>
      </c>
      <c r="AE77" s="1">
        <v>0</v>
      </c>
      <c r="AF77" s="1">
        <v>1</v>
      </c>
      <c r="AG77" t="s">
        <v>565</v>
      </c>
      <c r="AH77" s="1">
        <v>840</v>
      </c>
      <c r="AI77" s="1" t="s">
        <v>1903</v>
      </c>
      <c r="AJ77" s="1">
        <v>0</v>
      </c>
      <c r="AK77" s="1" t="s">
        <v>329</v>
      </c>
      <c r="AL77" s="1" t="s">
        <v>2032</v>
      </c>
      <c r="AM77" s="1">
        <v>0</v>
      </c>
      <c r="AN77" s="1">
        <v>0</v>
      </c>
      <c r="AO77" s="1">
        <v>0</v>
      </c>
      <c r="AP77" s="1">
        <v>0</v>
      </c>
      <c r="AQ77" s="1">
        <v>1</v>
      </c>
      <c r="AR77" s="1" t="s">
        <v>329</v>
      </c>
      <c r="AS77" s="1">
        <v>300701</v>
      </c>
      <c r="AT77" s="1" t="s">
        <v>1866</v>
      </c>
      <c r="AU77" s="1">
        <v>0</v>
      </c>
      <c r="AV77" s="1">
        <v>7002</v>
      </c>
      <c r="AW77" s="1">
        <v>0</v>
      </c>
    </row>
    <row r="78" spans="1:49" x14ac:dyDescent="0.25">
      <c r="A78" s="1">
        <v>78</v>
      </c>
      <c r="B78" s="1" t="s">
        <v>2033</v>
      </c>
      <c r="C78" s="1" t="s">
        <v>2034</v>
      </c>
      <c r="D78" s="1">
        <v>3</v>
      </c>
      <c r="E78" s="1">
        <v>2</v>
      </c>
      <c r="F78" s="1">
        <v>7</v>
      </c>
      <c r="G78" s="1" t="s">
        <v>329</v>
      </c>
      <c r="H78" s="1" t="s">
        <v>355</v>
      </c>
      <c r="I78" s="1" t="s">
        <v>329</v>
      </c>
      <c r="J78" s="1" t="s">
        <v>329</v>
      </c>
      <c r="K78" s="1" t="s">
        <v>329</v>
      </c>
      <c r="L78" s="1" t="s">
        <v>329</v>
      </c>
      <c r="M78" s="1" t="s">
        <v>329</v>
      </c>
      <c r="N78" s="1" t="s">
        <v>329</v>
      </c>
      <c r="O78" s="1" t="s">
        <v>329</v>
      </c>
      <c r="P78" s="1" t="s">
        <v>329</v>
      </c>
      <c r="Q78" s="1" t="s">
        <v>329</v>
      </c>
      <c r="R78" s="1" t="s">
        <v>329</v>
      </c>
      <c r="S78" s="1" t="s">
        <v>329</v>
      </c>
      <c r="T78" s="1" t="s">
        <v>329</v>
      </c>
      <c r="U78" s="1">
        <v>0</v>
      </c>
      <c r="V78" s="1">
        <v>0</v>
      </c>
      <c r="W78" s="1">
        <v>0</v>
      </c>
      <c r="X78" s="1">
        <v>0</v>
      </c>
      <c r="Y78" s="1">
        <v>0</v>
      </c>
      <c r="Z78" s="1">
        <v>0</v>
      </c>
      <c r="AA78" s="1">
        <v>0</v>
      </c>
      <c r="AB78" s="1">
        <v>0</v>
      </c>
      <c r="AC78" s="1">
        <v>0</v>
      </c>
      <c r="AD78" s="1">
        <v>2</v>
      </c>
      <c r="AE78" s="1">
        <v>0</v>
      </c>
      <c r="AF78" s="1">
        <v>2</v>
      </c>
      <c r="AG78" t="s">
        <v>566</v>
      </c>
      <c r="AH78" s="1">
        <v>1740</v>
      </c>
      <c r="AI78" s="1" t="s">
        <v>1903</v>
      </c>
      <c r="AJ78" s="1">
        <v>0</v>
      </c>
      <c r="AK78" s="1" t="s">
        <v>329</v>
      </c>
      <c r="AL78" s="1" t="s">
        <v>2035</v>
      </c>
      <c r="AM78" s="1">
        <v>0.08</v>
      </c>
      <c r="AN78" s="1">
        <v>0.39</v>
      </c>
      <c r="AO78" s="1">
        <v>0.08</v>
      </c>
      <c r="AP78" s="1">
        <v>0.48</v>
      </c>
      <c r="AQ78" s="1">
        <v>1</v>
      </c>
      <c r="AR78" s="1" t="s">
        <v>1498</v>
      </c>
      <c r="AS78" s="1">
        <v>300701</v>
      </c>
      <c r="AT78" s="1" t="s">
        <v>1866</v>
      </c>
      <c r="AU78" s="1">
        <v>10</v>
      </c>
      <c r="AV78" s="1">
        <v>7002</v>
      </c>
      <c r="AW78" s="1">
        <v>0</v>
      </c>
    </row>
    <row r="79" spans="1:49" x14ac:dyDescent="0.25">
      <c r="A79" s="1">
        <v>79</v>
      </c>
      <c r="B79" s="1" t="s">
        <v>2036</v>
      </c>
      <c r="C79" s="1" t="s">
        <v>2037</v>
      </c>
      <c r="D79" s="1">
        <v>4</v>
      </c>
      <c r="E79" s="1">
        <v>2</v>
      </c>
      <c r="F79" s="1">
        <v>7</v>
      </c>
      <c r="G79" s="1" t="s">
        <v>329</v>
      </c>
      <c r="H79" s="1" t="s">
        <v>356</v>
      </c>
      <c r="I79" s="1" t="s">
        <v>329</v>
      </c>
      <c r="J79" s="1" t="s">
        <v>329</v>
      </c>
      <c r="K79" s="1" t="s">
        <v>329</v>
      </c>
      <c r="L79" s="1" t="s">
        <v>329</v>
      </c>
      <c r="M79" s="1" t="s">
        <v>329</v>
      </c>
      <c r="N79" s="1" t="s">
        <v>329</v>
      </c>
      <c r="O79" s="1" t="s">
        <v>329</v>
      </c>
      <c r="P79" s="1" t="s">
        <v>329</v>
      </c>
      <c r="Q79" s="1" t="s">
        <v>329</v>
      </c>
      <c r="R79" s="1" t="s">
        <v>329</v>
      </c>
      <c r="S79" s="1" t="s">
        <v>329</v>
      </c>
      <c r="T79" s="1" t="s">
        <v>329</v>
      </c>
      <c r="U79" s="1">
        <v>0</v>
      </c>
      <c r="V79" s="1">
        <v>0</v>
      </c>
      <c r="W79" s="1">
        <v>0</v>
      </c>
      <c r="X79" s="1">
        <v>0</v>
      </c>
      <c r="Y79" s="1">
        <v>0</v>
      </c>
      <c r="Z79" s="1">
        <v>0</v>
      </c>
      <c r="AA79" s="1">
        <v>0</v>
      </c>
      <c r="AB79" s="1">
        <v>0</v>
      </c>
      <c r="AC79" s="1">
        <v>1</v>
      </c>
      <c r="AD79" s="1">
        <v>2</v>
      </c>
      <c r="AE79" s="1">
        <v>1</v>
      </c>
      <c r="AF79" s="1">
        <v>3</v>
      </c>
      <c r="AG79" t="s">
        <v>567</v>
      </c>
      <c r="AH79" s="1">
        <v>2640</v>
      </c>
      <c r="AI79" s="1" t="s">
        <v>1903</v>
      </c>
      <c r="AJ79" s="1">
        <v>0</v>
      </c>
      <c r="AK79" s="1" t="s">
        <v>329</v>
      </c>
      <c r="AL79" s="1" t="s">
        <v>2038</v>
      </c>
      <c r="AM79" s="1">
        <v>0.08</v>
      </c>
      <c r="AN79" s="1">
        <v>0.39</v>
      </c>
      <c r="AO79" s="1">
        <v>0.08</v>
      </c>
      <c r="AP79" s="1">
        <v>0.48</v>
      </c>
      <c r="AQ79" s="1">
        <v>1</v>
      </c>
      <c r="AR79" s="1" t="s">
        <v>1520</v>
      </c>
      <c r="AS79" s="1">
        <v>300701</v>
      </c>
      <c r="AT79" s="1" t="s">
        <v>1866</v>
      </c>
      <c r="AU79" s="1">
        <v>10</v>
      </c>
      <c r="AV79" s="1">
        <v>7002</v>
      </c>
      <c r="AW79" s="1">
        <v>0</v>
      </c>
    </row>
    <row r="80" spans="1:49" x14ac:dyDescent="0.25">
      <c r="A80" s="1">
        <v>80</v>
      </c>
      <c r="B80" s="1" t="s">
        <v>2039</v>
      </c>
      <c r="C80" s="1" t="s">
        <v>2040</v>
      </c>
      <c r="D80" s="1">
        <v>5</v>
      </c>
      <c r="E80" s="1">
        <v>2</v>
      </c>
      <c r="F80" s="1">
        <v>7</v>
      </c>
      <c r="G80" s="1" t="s">
        <v>329</v>
      </c>
      <c r="H80" s="1" t="s">
        <v>357</v>
      </c>
      <c r="I80" s="1" t="s">
        <v>329</v>
      </c>
      <c r="J80" s="1" t="s">
        <v>329</v>
      </c>
      <c r="K80" s="1" t="s">
        <v>329</v>
      </c>
      <c r="L80" s="1" t="s">
        <v>329</v>
      </c>
      <c r="M80" s="1" t="s">
        <v>329</v>
      </c>
      <c r="N80" s="1" t="s">
        <v>329</v>
      </c>
      <c r="O80" s="1" t="s">
        <v>329</v>
      </c>
      <c r="P80" s="1" t="s">
        <v>329</v>
      </c>
      <c r="Q80" s="1" t="s">
        <v>329</v>
      </c>
      <c r="R80" s="1" t="s">
        <v>329</v>
      </c>
      <c r="S80" s="1" t="s">
        <v>329</v>
      </c>
      <c r="T80" s="1" t="s">
        <v>329</v>
      </c>
      <c r="U80" s="1">
        <v>0</v>
      </c>
      <c r="V80" s="1">
        <v>0</v>
      </c>
      <c r="W80" s="1">
        <v>0</v>
      </c>
      <c r="X80" s="1">
        <v>0</v>
      </c>
      <c r="Y80" s="1">
        <v>0</v>
      </c>
      <c r="Z80" s="1">
        <v>0</v>
      </c>
      <c r="AA80" s="1">
        <v>0</v>
      </c>
      <c r="AB80" s="1">
        <v>0</v>
      </c>
      <c r="AC80" s="1">
        <v>1</v>
      </c>
      <c r="AD80" s="1">
        <v>3</v>
      </c>
      <c r="AE80" s="1">
        <v>1</v>
      </c>
      <c r="AF80" s="1">
        <v>4</v>
      </c>
      <c r="AG80" t="s">
        <v>568</v>
      </c>
      <c r="AH80" s="1">
        <v>3240</v>
      </c>
      <c r="AI80" s="1" t="s">
        <v>1903</v>
      </c>
      <c r="AJ80" s="1">
        <v>0</v>
      </c>
      <c r="AK80" s="1" t="s">
        <v>329</v>
      </c>
      <c r="AL80" s="1" t="s">
        <v>2041</v>
      </c>
      <c r="AM80" s="1">
        <v>0.08</v>
      </c>
      <c r="AN80" s="1">
        <v>0.39</v>
      </c>
      <c r="AO80" s="1">
        <v>0.08</v>
      </c>
      <c r="AP80" s="1">
        <v>0.48</v>
      </c>
      <c r="AQ80" s="1">
        <v>1</v>
      </c>
      <c r="AR80" s="1" t="s">
        <v>1521</v>
      </c>
      <c r="AS80" s="1">
        <v>300701</v>
      </c>
      <c r="AT80" s="1" t="s">
        <v>1866</v>
      </c>
      <c r="AU80" s="1">
        <v>10</v>
      </c>
      <c r="AV80" s="1">
        <v>7002</v>
      </c>
      <c r="AW80" s="1">
        <v>0</v>
      </c>
    </row>
    <row r="81" spans="1:49" x14ac:dyDescent="0.25">
      <c r="A81" s="1">
        <v>81</v>
      </c>
      <c r="B81" s="1" t="s">
        <v>5650</v>
      </c>
      <c r="C81" s="1" t="s">
        <v>5651</v>
      </c>
      <c r="D81" s="1">
        <v>5</v>
      </c>
      <c r="E81" s="1">
        <v>3</v>
      </c>
      <c r="F81" s="1">
        <v>11</v>
      </c>
      <c r="G81" s="1" t="s">
        <v>329</v>
      </c>
      <c r="H81" s="1" t="s">
        <v>329</v>
      </c>
      <c r="I81" s="1" t="s">
        <v>334</v>
      </c>
      <c r="J81" s="1" t="s">
        <v>329</v>
      </c>
      <c r="K81" s="1" t="s">
        <v>329</v>
      </c>
      <c r="L81" s="1" t="s">
        <v>329</v>
      </c>
      <c r="M81" s="1" t="s">
        <v>329</v>
      </c>
      <c r="N81" s="1" t="s">
        <v>329</v>
      </c>
      <c r="O81" s="1" t="s">
        <v>391</v>
      </c>
      <c r="P81" s="1" t="s">
        <v>329</v>
      </c>
      <c r="Q81" s="1" t="s">
        <v>329</v>
      </c>
      <c r="R81" s="1" t="s">
        <v>329</v>
      </c>
      <c r="S81" s="1" t="s">
        <v>329</v>
      </c>
      <c r="T81" s="1" t="s">
        <v>329</v>
      </c>
      <c r="U81" s="1">
        <v>0</v>
      </c>
      <c r="V81" s="1">
        <v>0</v>
      </c>
      <c r="W81" s="1">
        <v>0</v>
      </c>
      <c r="X81" s="1">
        <v>0</v>
      </c>
      <c r="Y81" s="1">
        <v>0</v>
      </c>
      <c r="Z81" s="1">
        <v>0</v>
      </c>
      <c r="AA81" s="1">
        <v>0</v>
      </c>
      <c r="AB81" s="1">
        <v>0</v>
      </c>
      <c r="AC81" s="1">
        <v>2</v>
      </c>
      <c r="AD81" s="1">
        <v>2</v>
      </c>
      <c r="AE81" s="1">
        <v>3</v>
      </c>
      <c r="AF81" s="1">
        <v>3</v>
      </c>
      <c r="AG81" t="s">
        <v>5652</v>
      </c>
      <c r="AH81" s="1">
        <v>3060</v>
      </c>
      <c r="AI81" s="1" t="s">
        <v>1978</v>
      </c>
      <c r="AJ81" s="1">
        <v>0</v>
      </c>
      <c r="AK81" s="1" t="s">
        <v>329</v>
      </c>
      <c r="AL81" s="1" t="s">
        <v>5653</v>
      </c>
      <c r="AM81" s="1">
        <v>0.23</v>
      </c>
      <c r="AN81" s="1">
        <v>0.23</v>
      </c>
      <c r="AO81" s="1">
        <v>0.33</v>
      </c>
      <c r="AP81" s="1">
        <v>0.33</v>
      </c>
      <c r="AQ81" s="1">
        <v>1</v>
      </c>
      <c r="AR81" s="1" t="s">
        <v>1505</v>
      </c>
      <c r="AS81" s="1">
        <v>0</v>
      </c>
      <c r="AT81" s="1" t="s">
        <v>1866</v>
      </c>
      <c r="AU81" s="1">
        <v>10</v>
      </c>
      <c r="AV81" s="1">
        <v>11001</v>
      </c>
      <c r="AW81" s="1">
        <v>0</v>
      </c>
    </row>
    <row r="82" spans="1:49" x14ac:dyDescent="0.25">
      <c r="A82" s="1">
        <v>82</v>
      </c>
      <c r="B82" s="1" t="s">
        <v>5654</v>
      </c>
      <c r="C82" s="1" t="s">
        <v>5655</v>
      </c>
      <c r="D82" s="1">
        <v>5</v>
      </c>
      <c r="E82" s="1">
        <v>2</v>
      </c>
      <c r="F82" s="1">
        <v>7</v>
      </c>
      <c r="G82" s="1" t="s">
        <v>392</v>
      </c>
      <c r="H82" s="1" t="s">
        <v>329</v>
      </c>
      <c r="I82" s="1" t="s">
        <v>329</v>
      </c>
      <c r="J82" s="1" t="s">
        <v>329</v>
      </c>
      <c r="K82" s="1" t="s">
        <v>329</v>
      </c>
      <c r="L82" s="1" t="s">
        <v>393</v>
      </c>
      <c r="M82" s="1" t="s">
        <v>329</v>
      </c>
      <c r="N82" s="1" t="s">
        <v>329</v>
      </c>
      <c r="O82" s="1" t="s">
        <v>329</v>
      </c>
      <c r="P82" s="1" t="s">
        <v>329</v>
      </c>
      <c r="Q82" s="1" t="s">
        <v>329</v>
      </c>
      <c r="R82" s="1" t="s">
        <v>329</v>
      </c>
      <c r="S82" s="1" t="s">
        <v>329</v>
      </c>
      <c r="T82" s="1" t="s">
        <v>329</v>
      </c>
      <c r="U82" s="1">
        <v>0</v>
      </c>
      <c r="V82" s="1">
        <v>0</v>
      </c>
      <c r="W82" s="1">
        <v>0</v>
      </c>
      <c r="X82" s="1">
        <v>0</v>
      </c>
      <c r="Y82" s="1">
        <v>0</v>
      </c>
      <c r="Z82" s="1">
        <v>0</v>
      </c>
      <c r="AA82" s="1">
        <v>0</v>
      </c>
      <c r="AB82" s="1">
        <v>0</v>
      </c>
      <c r="AC82" s="1">
        <v>1</v>
      </c>
      <c r="AD82" s="1">
        <v>4</v>
      </c>
      <c r="AE82" s="1">
        <v>1</v>
      </c>
      <c r="AF82" s="1">
        <v>3</v>
      </c>
      <c r="AG82" t="s">
        <v>5656</v>
      </c>
      <c r="AH82" s="1">
        <v>3240</v>
      </c>
      <c r="AI82" s="1" t="s">
        <v>1978</v>
      </c>
      <c r="AJ82" s="1">
        <v>0</v>
      </c>
      <c r="AK82" s="1" t="s">
        <v>329</v>
      </c>
      <c r="AL82" s="1" t="s">
        <v>5657</v>
      </c>
      <c r="AM82" s="1">
        <v>0.08</v>
      </c>
      <c r="AN82" s="1">
        <v>0.53</v>
      </c>
      <c r="AO82" s="1">
        <v>0.08</v>
      </c>
      <c r="AP82" s="1">
        <v>0.45</v>
      </c>
      <c r="AQ82" s="1">
        <v>1</v>
      </c>
      <c r="AR82" s="1" t="s">
        <v>1518</v>
      </c>
      <c r="AS82" s="1">
        <v>0</v>
      </c>
      <c r="AT82" s="1" t="s">
        <v>1866</v>
      </c>
      <c r="AU82" s="1">
        <v>10</v>
      </c>
      <c r="AV82" s="1">
        <v>7001</v>
      </c>
      <c r="AW82" s="1">
        <v>0</v>
      </c>
    </row>
    <row r="83" spans="1:49" x14ac:dyDescent="0.25">
      <c r="A83" s="1">
        <v>83</v>
      </c>
      <c r="B83" s="1" t="s">
        <v>2042</v>
      </c>
      <c r="C83" s="1" t="s">
        <v>2043</v>
      </c>
      <c r="D83" s="1">
        <v>5</v>
      </c>
      <c r="E83" s="1">
        <v>1</v>
      </c>
      <c r="F83" s="1">
        <v>18</v>
      </c>
      <c r="G83" s="1" t="s">
        <v>329</v>
      </c>
      <c r="H83" s="1" t="s">
        <v>329</v>
      </c>
      <c r="I83" s="1" t="s">
        <v>329</v>
      </c>
      <c r="J83" s="1" t="s">
        <v>329</v>
      </c>
      <c r="K83" s="1" t="s">
        <v>329</v>
      </c>
      <c r="L83" s="1" t="s">
        <v>394</v>
      </c>
      <c r="M83" s="1" t="s">
        <v>395</v>
      </c>
      <c r="N83" s="1" t="s">
        <v>329</v>
      </c>
      <c r="O83" s="1" t="s">
        <v>329</v>
      </c>
      <c r="P83" s="1" t="s">
        <v>329</v>
      </c>
      <c r="Q83" s="1" t="s">
        <v>329</v>
      </c>
      <c r="R83" s="1" t="s">
        <v>329</v>
      </c>
      <c r="S83" s="1" t="s">
        <v>329</v>
      </c>
      <c r="T83" s="1" t="s">
        <v>329</v>
      </c>
      <c r="U83" s="1">
        <v>0</v>
      </c>
      <c r="V83" s="1">
        <v>0</v>
      </c>
      <c r="W83" s="1">
        <v>0</v>
      </c>
      <c r="X83" s="1">
        <v>0</v>
      </c>
      <c r="Y83" s="1">
        <v>0</v>
      </c>
      <c r="Z83" s="1">
        <v>0</v>
      </c>
      <c r="AA83" s="1">
        <v>0</v>
      </c>
      <c r="AB83" s="1">
        <v>0</v>
      </c>
      <c r="AC83" s="1">
        <v>4</v>
      </c>
      <c r="AD83" s="1">
        <v>0</v>
      </c>
      <c r="AE83" s="1">
        <v>3</v>
      </c>
      <c r="AF83" s="1">
        <v>2</v>
      </c>
      <c r="AG83" t="s">
        <v>708</v>
      </c>
      <c r="AH83" s="1">
        <v>2700</v>
      </c>
      <c r="AI83" s="1" t="s">
        <v>2044</v>
      </c>
      <c r="AJ83" s="1">
        <v>0</v>
      </c>
      <c r="AK83" s="1" t="s">
        <v>396</v>
      </c>
      <c r="AL83" s="1" t="s">
        <v>2045</v>
      </c>
      <c r="AM83" s="1">
        <v>0.45</v>
      </c>
      <c r="AN83" s="1">
        <v>0.15</v>
      </c>
      <c r="AO83" s="1">
        <v>0.3</v>
      </c>
      <c r="AP83" s="1">
        <v>0.15</v>
      </c>
      <c r="AQ83" s="1">
        <v>3</v>
      </c>
      <c r="AR83" s="1" t="s">
        <v>1522</v>
      </c>
      <c r="AS83" s="1">
        <v>0</v>
      </c>
      <c r="AT83" s="1" t="s">
        <v>1866</v>
      </c>
      <c r="AU83" s="1">
        <v>10</v>
      </c>
      <c r="AV83" s="1">
        <v>18001</v>
      </c>
      <c r="AW83" s="1">
        <v>0</v>
      </c>
    </row>
    <row r="84" spans="1:49" x14ac:dyDescent="0.25">
      <c r="A84" s="1">
        <v>84</v>
      </c>
      <c r="B84" s="1" t="s">
        <v>2046</v>
      </c>
      <c r="C84" s="1" t="s">
        <v>2047</v>
      </c>
      <c r="D84" s="1">
        <v>5</v>
      </c>
      <c r="E84" s="1">
        <v>1</v>
      </c>
      <c r="F84" s="1">
        <v>18</v>
      </c>
      <c r="G84" s="1" t="s">
        <v>329</v>
      </c>
      <c r="H84" s="1" t="s">
        <v>329</v>
      </c>
      <c r="I84" s="1" t="s">
        <v>329</v>
      </c>
      <c r="J84" s="1" t="s">
        <v>329</v>
      </c>
      <c r="K84" s="1" t="s">
        <v>329</v>
      </c>
      <c r="L84" s="1" t="s">
        <v>397</v>
      </c>
      <c r="M84" s="1" t="s">
        <v>395</v>
      </c>
      <c r="N84" s="1" t="s">
        <v>329</v>
      </c>
      <c r="O84" s="1" t="s">
        <v>329</v>
      </c>
      <c r="P84" s="1" t="s">
        <v>329</v>
      </c>
      <c r="Q84" s="1" t="s">
        <v>329</v>
      </c>
      <c r="R84" s="1" t="s">
        <v>329</v>
      </c>
      <c r="S84" s="1" t="s">
        <v>329</v>
      </c>
      <c r="T84" s="1" t="s">
        <v>329</v>
      </c>
      <c r="U84" s="1">
        <v>0</v>
      </c>
      <c r="V84" s="1">
        <v>0</v>
      </c>
      <c r="W84" s="1">
        <v>0</v>
      </c>
      <c r="X84" s="1">
        <v>0</v>
      </c>
      <c r="Y84" s="1">
        <v>0</v>
      </c>
      <c r="Z84" s="1">
        <v>0</v>
      </c>
      <c r="AA84" s="1">
        <v>0</v>
      </c>
      <c r="AB84" s="1">
        <v>0</v>
      </c>
      <c r="AC84" s="1">
        <v>4</v>
      </c>
      <c r="AD84" s="1">
        <v>0</v>
      </c>
      <c r="AE84" s="1">
        <v>3</v>
      </c>
      <c r="AF84" s="1">
        <v>2</v>
      </c>
      <c r="AG84" t="s">
        <v>709</v>
      </c>
      <c r="AH84" s="1">
        <v>2700</v>
      </c>
      <c r="AI84" s="1" t="s">
        <v>2044</v>
      </c>
      <c r="AJ84" s="1">
        <v>0</v>
      </c>
      <c r="AK84" s="1" t="s">
        <v>396</v>
      </c>
      <c r="AL84" s="1" t="s">
        <v>2048</v>
      </c>
      <c r="AM84" s="1">
        <v>0.45</v>
      </c>
      <c r="AN84" s="1">
        <v>0.15</v>
      </c>
      <c r="AO84" s="1">
        <v>0.3</v>
      </c>
      <c r="AP84" s="1">
        <v>0.15</v>
      </c>
      <c r="AQ84" s="1">
        <v>3</v>
      </c>
      <c r="AR84" s="1" t="s">
        <v>1523</v>
      </c>
      <c r="AS84" s="1">
        <v>0</v>
      </c>
      <c r="AT84" s="1" t="s">
        <v>1866</v>
      </c>
      <c r="AU84" s="1">
        <v>10</v>
      </c>
      <c r="AV84" s="1">
        <v>18002</v>
      </c>
      <c r="AW84" s="1">
        <v>0</v>
      </c>
    </row>
    <row r="85" spans="1:49" x14ac:dyDescent="0.25">
      <c r="A85" s="1">
        <v>85</v>
      </c>
      <c r="B85" s="1" t="s">
        <v>2049</v>
      </c>
      <c r="C85" s="1" t="s">
        <v>2050</v>
      </c>
      <c r="D85" s="1">
        <v>5</v>
      </c>
      <c r="E85" s="1">
        <v>1</v>
      </c>
      <c r="F85" s="1">
        <v>18</v>
      </c>
      <c r="G85" s="1" t="s">
        <v>329</v>
      </c>
      <c r="H85" s="1" t="s">
        <v>329</v>
      </c>
      <c r="I85" s="1" t="s">
        <v>329</v>
      </c>
      <c r="J85" s="1" t="s">
        <v>329</v>
      </c>
      <c r="K85" s="1" t="s">
        <v>329</v>
      </c>
      <c r="L85" s="1" t="s">
        <v>392</v>
      </c>
      <c r="M85" s="1" t="s">
        <v>395</v>
      </c>
      <c r="N85" s="1" t="s">
        <v>329</v>
      </c>
      <c r="O85" s="1" t="s">
        <v>329</v>
      </c>
      <c r="P85" s="1" t="s">
        <v>329</v>
      </c>
      <c r="Q85" s="1" t="s">
        <v>329</v>
      </c>
      <c r="R85" s="1" t="s">
        <v>329</v>
      </c>
      <c r="S85" s="1" t="s">
        <v>329</v>
      </c>
      <c r="T85" s="1" t="s">
        <v>329</v>
      </c>
      <c r="U85" s="1">
        <v>0</v>
      </c>
      <c r="V85" s="1">
        <v>0</v>
      </c>
      <c r="W85" s="1">
        <v>0</v>
      </c>
      <c r="X85" s="1">
        <v>0</v>
      </c>
      <c r="Y85" s="1">
        <v>0</v>
      </c>
      <c r="Z85" s="1">
        <v>0</v>
      </c>
      <c r="AA85" s="1">
        <v>0</v>
      </c>
      <c r="AB85" s="1">
        <v>0</v>
      </c>
      <c r="AC85" s="1">
        <v>4</v>
      </c>
      <c r="AD85" s="1">
        <v>0</v>
      </c>
      <c r="AE85" s="1">
        <v>3</v>
      </c>
      <c r="AF85" s="1">
        <v>2</v>
      </c>
      <c r="AG85" t="s">
        <v>710</v>
      </c>
      <c r="AH85" s="1">
        <v>2700</v>
      </c>
      <c r="AI85" s="1" t="s">
        <v>2044</v>
      </c>
      <c r="AJ85" s="1">
        <v>0</v>
      </c>
      <c r="AK85" s="1" t="s">
        <v>396</v>
      </c>
      <c r="AL85" s="1" t="s">
        <v>2051</v>
      </c>
      <c r="AM85" s="1">
        <v>0.45</v>
      </c>
      <c r="AN85" s="1">
        <v>0.15</v>
      </c>
      <c r="AO85" s="1">
        <v>0.3</v>
      </c>
      <c r="AP85" s="1">
        <v>0.15</v>
      </c>
      <c r="AQ85" s="1">
        <v>3</v>
      </c>
      <c r="AR85" s="1" t="s">
        <v>1524</v>
      </c>
      <c r="AS85" s="1">
        <v>0</v>
      </c>
      <c r="AT85" s="1" t="s">
        <v>1866</v>
      </c>
      <c r="AU85" s="1">
        <v>10</v>
      </c>
      <c r="AV85" s="1">
        <v>18003</v>
      </c>
      <c r="AW85" s="1">
        <v>0</v>
      </c>
    </row>
    <row r="86" spans="1:49" x14ac:dyDescent="0.25">
      <c r="A86" s="1">
        <v>86</v>
      </c>
      <c r="B86" s="1" t="s">
        <v>2052</v>
      </c>
      <c r="C86" s="1" t="s">
        <v>2053</v>
      </c>
      <c r="D86" s="1">
        <v>5</v>
      </c>
      <c r="E86" s="1">
        <v>3</v>
      </c>
      <c r="F86" s="1">
        <v>20</v>
      </c>
      <c r="G86" s="1" t="s">
        <v>398</v>
      </c>
      <c r="H86" s="1" t="s">
        <v>329</v>
      </c>
      <c r="I86" s="1" t="s">
        <v>399</v>
      </c>
      <c r="J86" s="1" t="s">
        <v>329</v>
      </c>
      <c r="K86" s="1" t="s">
        <v>329</v>
      </c>
      <c r="L86" s="1" t="s">
        <v>400</v>
      </c>
      <c r="M86" s="1" t="s">
        <v>329</v>
      </c>
      <c r="N86" s="1" t="s">
        <v>329</v>
      </c>
      <c r="O86" s="1" t="s">
        <v>329</v>
      </c>
      <c r="P86" s="1" t="s">
        <v>329</v>
      </c>
      <c r="Q86" s="1" t="s">
        <v>329</v>
      </c>
      <c r="R86" s="1" t="s">
        <v>329</v>
      </c>
      <c r="S86" s="1" t="s">
        <v>329</v>
      </c>
      <c r="T86" s="1" t="s">
        <v>329</v>
      </c>
      <c r="U86" s="1">
        <v>0</v>
      </c>
      <c r="V86" s="1">
        <v>0</v>
      </c>
      <c r="W86" s="1">
        <v>0</v>
      </c>
      <c r="X86" s="1">
        <v>0</v>
      </c>
      <c r="Y86" s="1">
        <v>0</v>
      </c>
      <c r="Z86" s="1">
        <v>0</v>
      </c>
      <c r="AA86" s="1">
        <v>0</v>
      </c>
      <c r="AB86" s="1">
        <v>0</v>
      </c>
      <c r="AC86" s="1">
        <v>4</v>
      </c>
      <c r="AD86" s="1">
        <v>1</v>
      </c>
      <c r="AE86" s="1">
        <v>4</v>
      </c>
      <c r="AF86" s="1">
        <v>1</v>
      </c>
      <c r="AG86" t="s">
        <v>729</v>
      </c>
      <c r="AH86" s="1">
        <v>3420</v>
      </c>
      <c r="AI86" s="1" t="s">
        <v>1978</v>
      </c>
      <c r="AJ86" s="1">
        <v>0</v>
      </c>
      <c r="AK86" s="1" t="s">
        <v>401</v>
      </c>
      <c r="AL86" s="1" t="s">
        <v>2054</v>
      </c>
      <c r="AM86" s="1">
        <v>0.6</v>
      </c>
      <c r="AN86" s="1">
        <v>0.16</v>
      </c>
      <c r="AO86" s="1">
        <v>0.6</v>
      </c>
      <c r="AP86" s="1">
        <v>0.16</v>
      </c>
      <c r="AQ86" s="1">
        <v>3</v>
      </c>
      <c r="AR86" s="1" t="s">
        <v>1525</v>
      </c>
      <c r="AS86" s="1">
        <v>0</v>
      </c>
      <c r="AT86" s="1" t="s">
        <v>1866</v>
      </c>
      <c r="AU86" s="1">
        <v>10</v>
      </c>
      <c r="AV86" s="1">
        <v>20003</v>
      </c>
      <c r="AW86" s="1">
        <v>0</v>
      </c>
    </row>
    <row r="87" spans="1:49" x14ac:dyDescent="0.25">
      <c r="A87" s="1">
        <v>87</v>
      </c>
      <c r="B87" s="1" t="s">
        <v>2055</v>
      </c>
      <c r="C87" s="1" t="s">
        <v>2056</v>
      </c>
      <c r="D87" s="1">
        <v>2</v>
      </c>
      <c r="E87" s="1">
        <v>3</v>
      </c>
      <c r="F87" s="1">
        <v>15</v>
      </c>
      <c r="G87" s="1" t="s">
        <v>329</v>
      </c>
      <c r="H87" s="1" t="s">
        <v>329</v>
      </c>
      <c r="I87" s="1" t="s">
        <v>329</v>
      </c>
      <c r="J87" s="1" t="s">
        <v>402</v>
      </c>
      <c r="K87" s="1" t="s">
        <v>329</v>
      </c>
      <c r="L87" s="1" t="s">
        <v>355</v>
      </c>
      <c r="M87" s="1" t="s">
        <v>329</v>
      </c>
      <c r="N87" s="1" t="s">
        <v>329</v>
      </c>
      <c r="O87" s="1" t="s">
        <v>329</v>
      </c>
      <c r="P87" s="1" t="s">
        <v>329</v>
      </c>
      <c r="Q87" s="1" t="s">
        <v>329</v>
      </c>
      <c r="R87" s="1" t="s">
        <v>329</v>
      </c>
      <c r="S87" s="1" t="s">
        <v>329</v>
      </c>
      <c r="T87" s="1" t="s">
        <v>329</v>
      </c>
      <c r="U87" s="1">
        <v>0</v>
      </c>
      <c r="V87" s="1">
        <v>0</v>
      </c>
      <c r="W87" s="1">
        <v>0</v>
      </c>
      <c r="X87" s="1">
        <v>0</v>
      </c>
      <c r="Y87" s="1">
        <v>0</v>
      </c>
      <c r="Z87" s="1">
        <v>0</v>
      </c>
      <c r="AA87" s="1">
        <v>0</v>
      </c>
      <c r="AB87" s="1">
        <v>0</v>
      </c>
      <c r="AC87" s="1">
        <v>1</v>
      </c>
      <c r="AD87" s="1">
        <v>0</v>
      </c>
      <c r="AE87" s="1">
        <v>2</v>
      </c>
      <c r="AF87" s="1">
        <v>0</v>
      </c>
      <c r="AG87" t="s">
        <v>569</v>
      </c>
      <c r="AH87" s="1">
        <v>960</v>
      </c>
      <c r="AI87" s="1" t="s">
        <v>1903</v>
      </c>
      <c r="AJ87" s="1">
        <v>0</v>
      </c>
      <c r="AK87" s="1" t="s">
        <v>329</v>
      </c>
      <c r="AL87" s="1" t="s">
        <v>2057</v>
      </c>
      <c r="AM87" s="1">
        <v>0</v>
      </c>
      <c r="AN87" s="1">
        <v>0</v>
      </c>
      <c r="AO87" s="1">
        <v>0</v>
      </c>
      <c r="AP87" s="1">
        <v>0</v>
      </c>
      <c r="AQ87" s="1">
        <v>1</v>
      </c>
      <c r="AR87" s="1" t="s">
        <v>329</v>
      </c>
      <c r="AS87" s="1">
        <v>0</v>
      </c>
      <c r="AT87" s="1" t="s">
        <v>1866</v>
      </c>
      <c r="AU87" s="1">
        <v>0</v>
      </c>
      <c r="AV87" s="1">
        <v>15001</v>
      </c>
      <c r="AW87" s="1">
        <v>0</v>
      </c>
    </row>
    <row r="88" spans="1:49" x14ac:dyDescent="0.25">
      <c r="A88" s="1">
        <v>88</v>
      </c>
      <c r="B88" s="1" t="s">
        <v>2058</v>
      </c>
      <c r="C88" s="1" t="s">
        <v>2059</v>
      </c>
      <c r="D88" s="1">
        <v>3</v>
      </c>
      <c r="E88" s="1">
        <v>3</v>
      </c>
      <c r="F88" s="1">
        <v>15</v>
      </c>
      <c r="G88" s="1" t="s">
        <v>329</v>
      </c>
      <c r="H88" s="1" t="s">
        <v>329</v>
      </c>
      <c r="I88" s="1" t="s">
        <v>329</v>
      </c>
      <c r="J88" s="1" t="s">
        <v>402</v>
      </c>
      <c r="K88" s="1" t="s">
        <v>329</v>
      </c>
      <c r="L88" s="1" t="s">
        <v>356</v>
      </c>
      <c r="M88" s="1" t="s">
        <v>329</v>
      </c>
      <c r="N88" s="1" t="s">
        <v>329</v>
      </c>
      <c r="O88" s="1" t="s">
        <v>329</v>
      </c>
      <c r="P88" s="1" t="s">
        <v>329</v>
      </c>
      <c r="Q88" s="1" t="s">
        <v>329</v>
      </c>
      <c r="R88" s="1" t="s">
        <v>329</v>
      </c>
      <c r="S88" s="1" t="s">
        <v>329</v>
      </c>
      <c r="T88" s="1" t="s">
        <v>329</v>
      </c>
      <c r="U88" s="1">
        <v>0</v>
      </c>
      <c r="V88" s="1">
        <v>0</v>
      </c>
      <c r="W88" s="1">
        <v>0</v>
      </c>
      <c r="X88" s="1">
        <v>0</v>
      </c>
      <c r="Y88" s="1">
        <v>0</v>
      </c>
      <c r="Z88" s="1">
        <v>0</v>
      </c>
      <c r="AA88" s="1">
        <v>0</v>
      </c>
      <c r="AB88" s="1">
        <v>0</v>
      </c>
      <c r="AC88" s="1">
        <v>2</v>
      </c>
      <c r="AD88" s="1">
        <v>0</v>
      </c>
      <c r="AE88" s="1">
        <v>3</v>
      </c>
      <c r="AF88" s="1">
        <v>0</v>
      </c>
      <c r="AG88" t="s">
        <v>570</v>
      </c>
      <c r="AH88" s="1">
        <v>1860</v>
      </c>
      <c r="AI88" s="1" t="s">
        <v>1903</v>
      </c>
      <c r="AJ88" s="1">
        <v>0</v>
      </c>
      <c r="AK88" s="1" t="s">
        <v>329</v>
      </c>
      <c r="AL88" s="1" t="s">
        <v>2060</v>
      </c>
      <c r="AM88" s="1">
        <v>0.55000000000000004</v>
      </c>
      <c r="AN88" s="1">
        <v>0.16</v>
      </c>
      <c r="AO88" s="1">
        <v>0.6</v>
      </c>
      <c r="AP88" s="1">
        <v>0.16</v>
      </c>
      <c r="AQ88" s="1">
        <v>1</v>
      </c>
      <c r="AR88" s="1" t="s">
        <v>1526</v>
      </c>
      <c r="AS88" s="1">
        <v>0</v>
      </c>
      <c r="AT88" s="1" t="s">
        <v>1866</v>
      </c>
      <c r="AU88" s="1">
        <v>10</v>
      </c>
      <c r="AV88" s="1">
        <v>15001</v>
      </c>
      <c r="AW88" s="1">
        <v>0</v>
      </c>
    </row>
    <row r="89" spans="1:49" x14ac:dyDescent="0.25">
      <c r="A89" s="1">
        <v>89</v>
      </c>
      <c r="B89" s="1" t="s">
        <v>2061</v>
      </c>
      <c r="C89" s="1" t="s">
        <v>2062</v>
      </c>
      <c r="D89" s="1">
        <v>4</v>
      </c>
      <c r="E89" s="1">
        <v>3</v>
      </c>
      <c r="F89" s="1">
        <v>15</v>
      </c>
      <c r="G89" s="1" t="s">
        <v>329</v>
      </c>
      <c r="H89" s="1" t="s">
        <v>329</v>
      </c>
      <c r="I89" s="1" t="s">
        <v>329</v>
      </c>
      <c r="J89" s="1" t="s">
        <v>402</v>
      </c>
      <c r="K89" s="1" t="s">
        <v>329</v>
      </c>
      <c r="L89" s="1" t="s">
        <v>403</v>
      </c>
      <c r="M89" s="1" t="s">
        <v>329</v>
      </c>
      <c r="N89" s="1" t="s">
        <v>329</v>
      </c>
      <c r="O89" s="1" t="s">
        <v>329</v>
      </c>
      <c r="P89" s="1" t="s">
        <v>329</v>
      </c>
      <c r="Q89" s="1" t="s">
        <v>329</v>
      </c>
      <c r="R89" s="1" t="s">
        <v>329</v>
      </c>
      <c r="S89" s="1" t="s">
        <v>329</v>
      </c>
      <c r="T89" s="1" t="s">
        <v>329</v>
      </c>
      <c r="U89" s="1">
        <v>0</v>
      </c>
      <c r="V89" s="1">
        <v>0</v>
      </c>
      <c r="W89" s="1">
        <v>0</v>
      </c>
      <c r="X89" s="1">
        <v>0</v>
      </c>
      <c r="Y89" s="1">
        <v>0</v>
      </c>
      <c r="Z89" s="1">
        <v>0</v>
      </c>
      <c r="AA89" s="1">
        <v>0</v>
      </c>
      <c r="AB89" s="1">
        <v>0</v>
      </c>
      <c r="AC89" s="1">
        <v>3</v>
      </c>
      <c r="AD89" s="1">
        <v>0</v>
      </c>
      <c r="AE89" s="1">
        <v>4</v>
      </c>
      <c r="AF89" s="1">
        <v>0</v>
      </c>
      <c r="AG89" t="s">
        <v>571</v>
      </c>
      <c r="AH89" s="1">
        <v>2760</v>
      </c>
      <c r="AI89" s="1" t="s">
        <v>1903</v>
      </c>
      <c r="AJ89" s="1">
        <v>0</v>
      </c>
      <c r="AK89" s="1" t="s">
        <v>329</v>
      </c>
      <c r="AL89" s="1" t="s">
        <v>2063</v>
      </c>
      <c r="AM89" s="1">
        <v>0.55000000000000004</v>
      </c>
      <c r="AN89" s="1">
        <v>0.16</v>
      </c>
      <c r="AO89" s="1">
        <v>0.6</v>
      </c>
      <c r="AP89" s="1">
        <v>0.16</v>
      </c>
      <c r="AQ89" s="1">
        <v>1</v>
      </c>
      <c r="AR89" s="1" t="s">
        <v>1527</v>
      </c>
      <c r="AS89" s="1">
        <v>0</v>
      </c>
      <c r="AT89" s="1" t="s">
        <v>1866</v>
      </c>
      <c r="AU89" s="1">
        <v>10</v>
      </c>
      <c r="AV89" s="1">
        <v>15001</v>
      </c>
      <c r="AW89" s="1">
        <v>0</v>
      </c>
    </row>
    <row r="90" spans="1:49" x14ac:dyDescent="0.25">
      <c r="A90" s="1">
        <v>90</v>
      </c>
      <c r="B90" s="1" t="s">
        <v>2064</v>
      </c>
      <c r="C90" s="1" t="s">
        <v>2065</v>
      </c>
      <c r="D90" s="1">
        <v>5</v>
      </c>
      <c r="E90" s="1">
        <v>3</v>
      </c>
      <c r="F90" s="1">
        <v>15</v>
      </c>
      <c r="G90" s="1" t="s">
        <v>329</v>
      </c>
      <c r="H90" s="1" t="s">
        <v>329</v>
      </c>
      <c r="I90" s="1" t="s">
        <v>329</v>
      </c>
      <c r="J90" s="1" t="s">
        <v>402</v>
      </c>
      <c r="K90" s="1" t="s">
        <v>329</v>
      </c>
      <c r="L90" s="1" t="s">
        <v>344</v>
      </c>
      <c r="M90" s="1" t="s">
        <v>329</v>
      </c>
      <c r="N90" s="1" t="s">
        <v>329</v>
      </c>
      <c r="O90" s="1" t="s">
        <v>329</v>
      </c>
      <c r="P90" s="1" t="s">
        <v>329</v>
      </c>
      <c r="Q90" s="1" t="s">
        <v>329</v>
      </c>
      <c r="R90" s="1" t="s">
        <v>329</v>
      </c>
      <c r="S90" s="1" t="s">
        <v>329</v>
      </c>
      <c r="T90" s="1" t="s">
        <v>329</v>
      </c>
      <c r="U90" s="1">
        <v>0</v>
      </c>
      <c r="V90" s="1">
        <v>0</v>
      </c>
      <c r="W90" s="1">
        <v>0</v>
      </c>
      <c r="X90" s="1">
        <v>0</v>
      </c>
      <c r="Y90" s="1">
        <v>0</v>
      </c>
      <c r="Z90" s="1">
        <v>0</v>
      </c>
      <c r="AA90" s="1">
        <v>0</v>
      </c>
      <c r="AB90" s="1">
        <v>0</v>
      </c>
      <c r="AC90" s="1">
        <v>4</v>
      </c>
      <c r="AD90" s="1">
        <v>0</v>
      </c>
      <c r="AE90" s="1">
        <v>5</v>
      </c>
      <c r="AF90" s="1">
        <v>0</v>
      </c>
      <c r="AG90" t="s">
        <v>572</v>
      </c>
      <c r="AH90" s="1">
        <v>3360</v>
      </c>
      <c r="AI90" s="1" t="s">
        <v>1903</v>
      </c>
      <c r="AJ90" s="1">
        <v>0</v>
      </c>
      <c r="AK90" s="1" t="s">
        <v>329</v>
      </c>
      <c r="AL90" s="1" t="s">
        <v>2066</v>
      </c>
      <c r="AM90" s="1">
        <v>0.55000000000000004</v>
      </c>
      <c r="AN90" s="1">
        <v>0.16</v>
      </c>
      <c r="AO90" s="1">
        <v>0.6</v>
      </c>
      <c r="AP90" s="1">
        <v>0.16</v>
      </c>
      <c r="AQ90" s="1">
        <v>1</v>
      </c>
      <c r="AR90" s="1" t="s">
        <v>1528</v>
      </c>
      <c r="AS90" s="1">
        <v>0</v>
      </c>
      <c r="AT90" s="1" t="s">
        <v>1866</v>
      </c>
      <c r="AU90" s="1">
        <v>10</v>
      </c>
      <c r="AV90" s="1">
        <v>15001</v>
      </c>
      <c r="AW90" s="1">
        <v>0</v>
      </c>
    </row>
    <row r="91" spans="1:49" x14ac:dyDescent="0.25">
      <c r="A91" s="1">
        <v>91</v>
      </c>
      <c r="B91" s="1" t="s">
        <v>2067</v>
      </c>
      <c r="C91" s="1" t="s">
        <v>2068</v>
      </c>
      <c r="D91" s="1">
        <v>5</v>
      </c>
      <c r="E91" s="1">
        <v>3</v>
      </c>
      <c r="F91" s="1">
        <v>20</v>
      </c>
      <c r="G91" s="1" t="s">
        <v>329</v>
      </c>
      <c r="H91" s="1" t="s">
        <v>404</v>
      </c>
      <c r="I91" s="1" t="s">
        <v>391</v>
      </c>
      <c r="J91" s="1" t="s">
        <v>329</v>
      </c>
      <c r="K91" s="1" t="s">
        <v>405</v>
      </c>
      <c r="L91" s="1" t="s">
        <v>329</v>
      </c>
      <c r="M91" s="1" t="s">
        <v>329</v>
      </c>
      <c r="N91" s="1" t="s">
        <v>329</v>
      </c>
      <c r="O91" s="1" t="s">
        <v>393</v>
      </c>
      <c r="P91" s="1" t="s">
        <v>329</v>
      </c>
      <c r="Q91" s="1" t="s">
        <v>329</v>
      </c>
      <c r="R91" s="1" t="s">
        <v>329</v>
      </c>
      <c r="S91" s="1" t="s">
        <v>329</v>
      </c>
      <c r="T91" s="1" t="s">
        <v>329</v>
      </c>
      <c r="U91" s="1">
        <v>0</v>
      </c>
      <c r="V91" s="1">
        <v>0</v>
      </c>
      <c r="W91" s="1">
        <v>0</v>
      </c>
      <c r="X91" s="1">
        <v>0</v>
      </c>
      <c r="Y91" s="1">
        <v>0</v>
      </c>
      <c r="Z91" s="1">
        <v>0</v>
      </c>
      <c r="AA91" s="1">
        <v>0</v>
      </c>
      <c r="AB91" s="1">
        <v>0</v>
      </c>
      <c r="AC91" s="1">
        <v>2</v>
      </c>
      <c r="AD91" s="1">
        <v>2</v>
      </c>
      <c r="AE91" s="1">
        <v>3</v>
      </c>
      <c r="AF91" s="1">
        <v>3</v>
      </c>
      <c r="AG91" t="s">
        <v>98</v>
      </c>
      <c r="AH91" s="1">
        <v>3060</v>
      </c>
      <c r="AI91" s="1" t="s">
        <v>2069</v>
      </c>
      <c r="AJ91" s="1">
        <v>0</v>
      </c>
      <c r="AK91" s="1" t="s">
        <v>372</v>
      </c>
      <c r="AL91" s="1" t="s">
        <v>2070</v>
      </c>
      <c r="AM91" s="1">
        <v>0.23</v>
      </c>
      <c r="AN91" s="1">
        <v>0.23</v>
      </c>
      <c r="AO91" s="1">
        <v>0.33</v>
      </c>
      <c r="AP91" s="1">
        <v>0.33</v>
      </c>
      <c r="AQ91" s="1">
        <v>3</v>
      </c>
      <c r="AR91" s="1" t="s">
        <v>1529</v>
      </c>
      <c r="AS91" s="1">
        <v>0</v>
      </c>
      <c r="AT91" s="1" t="s">
        <v>1866</v>
      </c>
      <c r="AU91" s="1">
        <v>10</v>
      </c>
      <c r="AV91" s="1">
        <v>20004</v>
      </c>
      <c r="AW91" s="1">
        <v>0</v>
      </c>
    </row>
    <row r="92" spans="1:49" x14ac:dyDescent="0.25">
      <c r="A92" s="1">
        <v>92</v>
      </c>
      <c r="B92" s="1" t="s">
        <v>2071</v>
      </c>
      <c r="C92" s="1" t="s">
        <v>2072</v>
      </c>
      <c r="D92" s="1">
        <v>5</v>
      </c>
      <c r="E92" s="1">
        <v>3</v>
      </c>
      <c r="F92" s="1">
        <v>20</v>
      </c>
      <c r="G92" s="1" t="s">
        <v>329</v>
      </c>
      <c r="H92" s="1" t="s">
        <v>329</v>
      </c>
      <c r="I92" s="1" t="s">
        <v>364</v>
      </c>
      <c r="J92" s="1" t="s">
        <v>329</v>
      </c>
      <c r="K92" s="1" t="s">
        <v>329</v>
      </c>
      <c r="L92" s="1" t="s">
        <v>344</v>
      </c>
      <c r="M92" s="1" t="s">
        <v>329</v>
      </c>
      <c r="N92" s="1" t="s">
        <v>329</v>
      </c>
      <c r="O92" s="1" t="s">
        <v>329</v>
      </c>
      <c r="P92" s="1" t="s">
        <v>329</v>
      </c>
      <c r="Q92" s="1" t="s">
        <v>329</v>
      </c>
      <c r="R92" s="1" t="s">
        <v>329</v>
      </c>
      <c r="S92" s="1" t="s">
        <v>329</v>
      </c>
      <c r="T92" s="1" t="s">
        <v>329</v>
      </c>
      <c r="U92" s="1">
        <v>0</v>
      </c>
      <c r="V92" s="1">
        <v>0</v>
      </c>
      <c r="W92" s="1">
        <v>0</v>
      </c>
      <c r="X92" s="1">
        <v>0</v>
      </c>
      <c r="Y92" s="1">
        <v>0</v>
      </c>
      <c r="Z92" s="1">
        <v>0</v>
      </c>
      <c r="AA92" s="1">
        <v>0</v>
      </c>
      <c r="AB92" s="1">
        <v>0</v>
      </c>
      <c r="AC92" s="1">
        <v>4</v>
      </c>
      <c r="AD92" s="1">
        <v>2</v>
      </c>
      <c r="AE92" s="1">
        <v>0</v>
      </c>
      <c r="AF92" s="1">
        <v>4</v>
      </c>
      <c r="AG92" t="s">
        <v>731</v>
      </c>
      <c r="AH92" s="1">
        <v>3120</v>
      </c>
      <c r="AI92" s="1" t="s">
        <v>1903</v>
      </c>
      <c r="AJ92" s="1">
        <v>0</v>
      </c>
      <c r="AK92" s="1" t="s">
        <v>406</v>
      </c>
      <c r="AL92" s="1" t="s">
        <v>2073</v>
      </c>
      <c r="AM92" s="1">
        <v>0.3</v>
      </c>
      <c r="AN92" s="1">
        <v>0.23</v>
      </c>
      <c r="AO92" s="1">
        <v>0.15</v>
      </c>
      <c r="AP92" s="1">
        <v>0.38</v>
      </c>
      <c r="AQ92" s="1">
        <v>3</v>
      </c>
      <c r="AR92" s="1" t="s">
        <v>1530</v>
      </c>
      <c r="AS92" s="1">
        <v>0</v>
      </c>
      <c r="AT92" s="1" t="s">
        <v>1866</v>
      </c>
      <c r="AU92" s="1">
        <v>10</v>
      </c>
      <c r="AV92" s="1">
        <v>20005</v>
      </c>
      <c r="AW92" s="1">
        <v>0</v>
      </c>
    </row>
    <row r="93" spans="1:49" x14ac:dyDescent="0.25">
      <c r="A93" s="1">
        <v>93</v>
      </c>
      <c r="B93" s="1" t="s">
        <v>2074</v>
      </c>
      <c r="C93" s="1" t="s">
        <v>2075</v>
      </c>
      <c r="D93" s="1">
        <v>5</v>
      </c>
      <c r="E93" s="1">
        <v>1</v>
      </c>
      <c r="F93" s="1">
        <v>18</v>
      </c>
      <c r="G93" s="1" t="s">
        <v>407</v>
      </c>
      <c r="H93" s="1" t="s">
        <v>329</v>
      </c>
      <c r="I93" s="1" t="s">
        <v>329</v>
      </c>
      <c r="J93" s="1" t="s">
        <v>329</v>
      </c>
      <c r="K93" s="1" t="s">
        <v>329</v>
      </c>
      <c r="L93" s="1" t="s">
        <v>329</v>
      </c>
      <c r="M93" s="1" t="s">
        <v>329</v>
      </c>
      <c r="N93" s="1" t="s">
        <v>329</v>
      </c>
      <c r="O93" s="1" t="s">
        <v>329</v>
      </c>
      <c r="P93" s="1" t="s">
        <v>329</v>
      </c>
      <c r="Q93" s="1" t="s">
        <v>329</v>
      </c>
      <c r="R93" s="1" t="s">
        <v>329</v>
      </c>
      <c r="S93" s="1" t="s">
        <v>369</v>
      </c>
      <c r="T93" s="1" t="s">
        <v>329</v>
      </c>
      <c r="U93" s="1">
        <v>0</v>
      </c>
      <c r="V93" s="1">
        <v>0</v>
      </c>
      <c r="W93" s="1">
        <v>0</v>
      </c>
      <c r="X93" s="1">
        <v>0</v>
      </c>
      <c r="Y93" s="1">
        <v>0</v>
      </c>
      <c r="Z93" s="1">
        <v>0</v>
      </c>
      <c r="AA93" s="1">
        <v>0</v>
      </c>
      <c r="AB93" s="1">
        <v>0</v>
      </c>
      <c r="AC93" s="1">
        <v>3</v>
      </c>
      <c r="AD93" s="1">
        <v>0</v>
      </c>
      <c r="AE93" s="1">
        <v>4</v>
      </c>
      <c r="AF93" s="1">
        <v>2</v>
      </c>
      <c r="AG93" t="s">
        <v>717</v>
      </c>
      <c r="AH93" s="1">
        <v>2940</v>
      </c>
      <c r="AI93" s="1" t="s">
        <v>2076</v>
      </c>
      <c r="AJ93" s="1">
        <v>0</v>
      </c>
      <c r="AK93" s="1" t="s">
        <v>408</v>
      </c>
      <c r="AL93" s="1" t="s">
        <v>2077</v>
      </c>
      <c r="AM93" s="1">
        <v>0.33</v>
      </c>
      <c r="AN93" s="1">
        <v>0.22</v>
      </c>
      <c r="AO93" s="1">
        <v>0.5</v>
      </c>
      <c r="AP93" s="1">
        <v>0.18</v>
      </c>
      <c r="AQ93" s="1">
        <v>3</v>
      </c>
      <c r="AR93" s="1" t="s">
        <v>1510</v>
      </c>
      <c r="AS93" s="1">
        <v>0</v>
      </c>
      <c r="AT93" s="1" t="s">
        <v>1866</v>
      </c>
      <c r="AU93" s="1">
        <v>10</v>
      </c>
      <c r="AV93" s="1">
        <v>18004</v>
      </c>
      <c r="AW93" s="1">
        <v>0</v>
      </c>
    </row>
    <row r="94" spans="1:49" x14ac:dyDescent="0.25">
      <c r="A94" s="1">
        <v>94</v>
      </c>
      <c r="B94" s="1" t="s">
        <v>2078</v>
      </c>
      <c r="C94" s="1" t="s">
        <v>2079</v>
      </c>
      <c r="D94" s="1">
        <v>5</v>
      </c>
      <c r="E94" s="1">
        <v>3</v>
      </c>
      <c r="F94" s="1">
        <v>20</v>
      </c>
      <c r="G94" s="1" t="s">
        <v>336</v>
      </c>
      <c r="H94" s="1" t="s">
        <v>409</v>
      </c>
      <c r="I94" s="1" t="s">
        <v>329</v>
      </c>
      <c r="J94" s="1" t="s">
        <v>329</v>
      </c>
      <c r="K94" s="1" t="s">
        <v>329</v>
      </c>
      <c r="L94" s="1" t="s">
        <v>329</v>
      </c>
      <c r="M94" s="1" t="s">
        <v>329</v>
      </c>
      <c r="N94" s="1" t="s">
        <v>329</v>
      </c>
      <c r="O94" s="1" t="s">
        <v>329</v>
      </c>
      <c r="P94" s="1" t="s">
        <v>329</v>
      </c>
      <c r="Q94" s="1" t="s">
        <v>329</v>
      </c>
      <c r="R94" s="1" t="s">
        <v>329</v>
      </c>
      <c r="S94" s="1" t="s">
        <v>329</v>
      </c>
      <c r="T94" s="1" t="s">
        <v>355</v>
      </c>
      <c r="U94" s="1">
        <v>0</v>
      </c>
      <c r="V94" s="1">
        <v>0</v>
      </c>
      <c r="W94" s="1">
        <v>0</v>
      </c>
      <c r="X94" s="1">
        <v>0</v>
      </c>
      <c r="Y94" s="1">
        <v>0</v>
      </c>
      <c r="Z94" s="1">
        <v>0</v>
      </c>
      <c r="AA94" s="1">
        <v>0</v>
      </c>
      <c r="AB94" s="1">
        <v>0</v>
      </c>
      <c r="AC94" s="1">
        <v>1</v>
      </c>
      <c r="AD94" s="1">
        <v>1</v>
      </c>
      <c r="AE94" s="1">
        <v>1</v>
      </c>
      <c r="AF94" s="1">
        <v>5</v>
      </c>
      <c r="AG94" t="s">
        <v>162</v>
      </c>
      <c r="AH94" s="1">
        <v>3420</v>
      </c>
      <c r="AI94" s="1" t="s">
        <v>1978</v>
      </c>
      <c r="AJ94" s="1">
        <v>0</v>
      </c>
      <c r="AK94" s="1" t="s">
        <v>410</v>
      </c>
      <c r="AL94" s="1" t="s">
        <v>2080</v>
      </c>
      <c r="AM94" s="1">
        <v>0.1</v>
      </c>
      <c r="AN94" s="1">
        <v>0.1</v>
      </c>
      <c r="AO94" s="1">
        <v>0.1</v>
      </c>
      <c r="AP94" s="1">
        <v>0.55000000000000004</v>
      </c>
      <c r="AQ94" s="1">
        <v>3</v>
      </c>
      <c r="AR94" s="1" t="s">
        <v>1531</v>
      </c>
      <c r="AS94" s="1">
        <v>0</v>
      </c>
      <c r="AT94" s="1" t="s">
        <v>1866</v>
      </c>
      <c r="AU94" s="1">
        <v>10</v>
      </c>
      <c r="AV94" s="1">
        <v>20006</v>
      </c>
      <c r="AW94" s="1">
        <v>0</v>
      </c>
    </row>
    <row r="95" spans="1:49" x14ac:dyDescent="0.25">
      <c r="A95" s="1">
        <v>95</v>
      </c>
      <c r="B95" s="1" t="s">
        <v>5658</v>
      </c>
      <c r="C95" s="1" t="s">
        <v>5659</v>
      </c>
      <c r="D95" s="1">
        <v>5</v>
      </c>
      <c r="E95" s="1">
        <v>2</v>
      </c>
      <c r="F95" s="1">
        <v>6</v>
      </c>
      <c r="G95" s="1" t="s">
        <v>392</v>
      </c>
      <c r="H95" s="1" t="s">
        <v>329</v>
      </c>
      <c r="I95" s="1" t="s">
        <v>329</v>
      </c>
      <c r="J95" s="1" t="s">
        <v>329</v>
      </c>
      <c r="K95" s="1" t="s">
        <v>329</v>
      </c>
      <c r="L95" s="1" t="s">
        <v>329</v>
      </c>
      <c r="M95" s="1" t="s">
        <v>329</v>
      </c>
      <c r="N95" s="1" t="s">
        <v>411</v>
      </c>
      <c r="O95" s="1" t="s">
        <v>329</v>
      </c>
      <c r="P95" s="1" t="s">
        <v>329</v>
      </c>
      <c r="Q95" s="1" t="s">
        <v>329</v>
      </c>
      <c r="R95" s="1" t="s">
        <v>329</v>
      </c>
      <c r="S95" s="1" t="s">
        <v>329</v>
      </c>
      <c r="T95" s="1" t="s">
        <v>329</v>
      </c>
      <c r="U95" s="1">
        <v>0</v>
      </c>
      <c r="V95" s="1">
        <v>0</v>
      </c>
      <c r="W95" s="1">
        <v>0</v>
      </c>
      <c r="X95" s="1">
        <v>0</v>
      </c>
      <c r="Y95" s="1">
        <v>0</v>
      </c>
      <c r="Z95" s="1">
        <v>0</v>
      </c>
      <c r="AA95" s="1">
        <v>0</v>
      </c>
      <c r="AB95" s="1">
        <v>0</v>
      </c>
      <c r="AC95" s="1">
        <v>4</v>
      </c>
      <c r="AD95" s="1">
        <v>4</v>
      </c>
      <c r="AE95" s="1">
        <v>0</v>
      </c>
      <c r="AF95" s="1">
        <v>2</v>
      </c>
      <c r="AG95" t="s">
        <v>5660</v>
      </c>
      <c r="AH95" s="1">
        <v>3180</v>
      </c>
      <c r="AI95" s="1" t="s">
        <v>1978</v>
      </c>
      <c r="AJ95" s="1">
        <v>0</v>
      </c>
      <c r="AK95" s="1" t="s">
        <v>329</v>
      </c>
      <c r="AL95" s="1" t="s">
        <v>5661</v>
      </c>
      <c r="AM95" s="1">
        <v>0.48</v>
      </c>
      <c r="AN95" s="1">
        <v>0.48</v>
      </c>
      <c r="AO95" s="1">
        <v>0.08</v>
      </c>
      <c r="AP95" s="1">
        <v>0.25</v>
      </c>
      <c r="AQ95" s="1">
        <v>1</v>
      </c>
      <c r="AR95" s="1" t="s">
        <v>1517</v>
      </c>
      <c r="AS95" s="1">
        <v>0</v>
      </c>
      <c r="AT95" s="1" t="s">
        <v>1866</v>
      </c>
      <c r="AU95" s="1">
        <v>10</v>
      </c>
      <c r="AV95" s="1">
        <v>6003</v>
      </c>
      <c r="AW95" s="1">
        <v>0</v>
      </c>
    </row>
    <row r="96" spans="1:49" x14ac:dyDescent="0.25">
      <c r="A96" s="1">
        <v>96</v>
      </c>
      <c r="B96" s="1" t="s">
        <v>5662</v>
      </c>
      <c r="C96" s="1" t="s">
        <v>5663</v>
      </c>
      <c r="D96" s="1">
        <v>5</v>
      </c>
      <c r="E96" s="1">
        <v>3</v>
      </c>
      <c r="F96" s="1">
        <v>15</v>
      </c>
      <c r="G96" s="1" t="s">
        <v>329</v>
      </c>
      <c r="H96" s="1" t="s">
        <v>329</v>
      </c>
      <c r="I96" s="1" t="s">
        <v>329</v>
      </c>
      <c r="J96" s="1" t="s">
        <v>402</v>
      </c>
      <c r="K96" s="1" t="s">
        <v>329</v>
      </c>
      <c r="L96" s="1" t="s">
        <v>393</v>
      </c>
      <c r="M96" s="1" t="s">
        <v>329</v>
      </c>
      <c r="N96" s="1" t="s">
        <v>329</v>
      </c>
      <c r="O96" s="1" t="s">
        <v>329</v>
      </c>
      <c r="P96" s="1" t="s">
        <v>329</v>
      </c>
      <c r="Q96" s="1" t="s">
        <v>329</v>
      </c>
      <c r="R96" s="1" t="s">
        <v>329</v>
      </c>
      <c r="S96" s="1" t="s">
        <v>329</v>
      </c>
      <c r="T96" s="1" t="s">
        <v>329</v>
      </c>
      <c r="U96" s="1">
        <v>0</v>
      </c>
      <c r="V96" s="1">
        <v>0</v>
      </c>
      <c r="W96" s="1">
        <v>0</v>
      </c>
      <c r="X96" s="1">
        <v>0</v>
      </c>
      <c r="Y96" s="1">
        <v>0</v>
      </c>
      <c r="Z96" s="1">
        <v>0</v>
      </c>
      <c r="AA96" s="1">
        <v>0</v>
      </c>
      <c r="AB96" s="1">
        <v>0</v>
      </c>
      <c r="AC96" s="1">
        <v>4</v>
      </c>
      <c r="AD96" s="1">
        <v>0</v>
      </c>
      <c r="AE96" s="1">
        <v>5</v>
      </c>
      <c r="AF96" s="1">
        <v>0</v>
      </c>
      <c r="AG96" t="s">
        <v>5664</v>
      </c>
      <c r="AH96" s="1">
        <v>3360</v>
      </c>
      <c r="AI96" s="1" t="s">
        <v>1978</v>
      </c>
      <c r="AJ96" s="1">
        <v>0</v>
      </c>
      <c r="AK96" s="1" t="s">
        <v>329</v>
      </c>
      <c r="AL96" s="1" t="s">
        <v>5665</v>
      </c>
      <c r="AM96" s="1">
        <v>0.55000000000000004</v>
      </c>
      <c r="AN96" s="1">
        <v>0.16</v>
      </c>
      <c r="AO96" s="1">
        <v>0.6</v>
      </c>
      <c r="AP96" s="1">
        <v>0.16</v>
      </c>
      <c r="AQ96" s="1">
        <v>1</v>
      </c>
      <c r="AR96" s="1" t="s">
        <v>1528</v>
      </c>
      <c r="AS96" s="1">
        <v>0</v>
      </c>
      <c r="AT96" s="1" t="s">
        <v>1866</v>
      </c>
      <c r="AU96" s="1">
        <v>10</v>
      </c>
      <c r="AV96" s="1">
        <v>15001</v>
      </c>
      <c r="AW96" s="1">
        <v>0</v>
      </c>
    </row>
    <row r="97" spans="1:49" x14ac:dyDescent="0.25">
      <c r="A97" s="1">
        <v>97</v>
      </c>
      <c r="B97" s="1" t="s">
        <v>5666</v>
      </c>
      <c r="C97" s="1" t="s">
        <v>5667</v>
      </c>
      <c r="D97" s="1">
        <v>5</v>
      </c>
      <c r="E97" s="1">
        <v>3</v>
      </c>
      <c r="F97" s="1">
        <v>20</v>
      </c>
      <c r="G97" s="1" t="s">
        <v>329</v>
      </c>
      <c r="H97" s="1" t="s">
        <v>329</v>
      </c>
      <c r="I97" s="1" t="s">
        <v>329</v>
      </c>
      <c r="J97" s="1" t="s">
        <v>329</v>
      </c>
      <c r="K97" s="1" t="s">
        <v>329</v>
      </c>
      <c r="L97" s="1" t="s">
        <v>329</v>
      </c>
      <c r="M97" s="1" t="s">
        <v>329</v>
      </c>
      <c r="N97" s="1" t="s">
        <v>329</v>
      </c>
      <c r="O97" s="1" t="s">
        <v>5668</v>
      </c>
      <c r="P97" s="1" t="s">
        <v>329</v>
      </c>
      <c r="Q97" s="1" t="s">
        <v>329</v>
      </c>
      <c r="R97" s="1" t="s">
        <v>329</v>
      </c>
      <c r="S97" s="1" t="s">
        <v>329</v>
      </c>
      <c r="T97" s="1" t="s">
        <v>329</v>
      </c>
      <c r="U97" s="1">
        <v>0</v>
      </c>
      <c r="V97" s="1">
        <v>0</v>
      </c>
      <c r="W97" s="1">
        <v>0</v>
      </c>
      <c r="X97" s="1">
        <v>0</v>
      </c>
      <c r="Y97" s="1">
        <v>0</v>
      </c>
      <c r="Z97" s="1">
        <v>0</v>
      </c>
      <c r="AA97" s="1">
        <v>0</v>
      </c>
      <c r="AB97" s="1">
        <v>0</v>
      </c>
      <c r="AC97" s="1">
        <v>2</v>
      </c>
      <c r="AD97" s="1">
        <v>2</v>
      </c>
      <c r="AE97" s="1">
        <v>3</v>
      </c>
      <c r="AF97" s="1">
        <v>3</v>
      </c>
      <c r="AG97" t="s">
        <v>5609</v>
      </c>
      <c r="AH97" s="1">
        <v>3600</v>
      </c>
      <c r="AI97" s="1" t="s">
        <v>329</v>
      </c>
      <c r="AJ97" s="1">
        <v>0</v>
      </c>
      <c r="AK97" s="1" t="s">
        <v>5669</v>
      </c>
      <c r="AL97" s="1" t="s">
        <v>5670</v>
      </c>
      <c r="AM97" s="1">
        <v>100</v>
      </c>
      <c r="AN97" s="1">
        <v>100</v>
      </c>
      <c r="AO97" s="1">
        <v>100</v>
      </c>
      <c r="AP97" s="1">
        <v>100</v>
      </c>
      <c r="AQ97" s="1">
        <v>1</v>
      </c>
      <c r="AR97" s="1" t="s">
        <v>1505</v>
      </c>
      <c r="AS97" s="1">
        <v>0</v>
      </c>
      <c r="AT97" s="1" t="s">
        <v>1866</v>
      </c>
      <c r="AU97" s="1">
        <v>10</v>
      </c>
      <c r="AV97" s="1">
        <v>20007</v>
      </c>
      <c r="AW97" s="1">
        <v>0</v>
      </c>
    </row>
    <row r="98" spans="1:49" x14ac:dyDescent="0.25">
      <c r="A98" s="1">
        <v>98</v>
      </c>
      <c r="B98" s="1" t="s">
        <v>5671</v>
      </c>
      <c r="C98" s="1" t="s">
        <v>5672</v>
      </c>
      <c r="D98" s="1">
        <v>5</v>
      </c>
      <c r="E98" s="1">
        <v>2</v>
      </c>
      <c r="F98" s="1">
        <v>19</v>
      </c>
      <c r="G98" s="1" t="s">
        <v>329</v>
      </c>
      <c r="H98" s="1" t="s">
        <v>329</v>
      </c>
      <c r="I98" s="1" t="s">
        <v>329</v>
      </c>
      <c r="J98" s="1" t="s">
        <v>329</v>
      </c>
      <c r="K98" s="1" t="s">
        <v>329</v>
      </c>
      <c r="L98" s="1" t="s">
        <v>329</v>
      </c>
      <c r="M98" s="1" t="s">
        <v>329</v>
      </c>
      <c r="N98" s="1" t="s">
        <v>5668</v>
      </c>
      <c r="O98" s="1" t="s">
        <v>329</v>
      </c>
      <c r="P98" s="1" t="s">
        <v>329</v>
      </c>
      <c r="Q98" s="1" t="s">
        <v>329</v>
      </c>
      <c r="R98" s="1" t="s">
        <v>329</v>
      </c>
      <c r="S98" s="1" t="s">
        <v>329</v>
      </c>
      <c r="T98" s="1" t="s">
        <v>329</v>
      </c>
      <c r="U98" s="1">
        <v>0</v>
      </c>
      <c r="V98" s="1">
        <v>0</v>
      </c>
      <c r="W98" s="1">
        <v>0</v>
      </c>
      <c r="X98" s="1">
        <v>0</v>
      </c>
      <c r="Y98" s="1">
        <v>0</v>
      </c>
      <c r="Z98" s="1">
        <v>0</v>
      </c>
      <c r="AA98" s="1">
        <v>0</v>
      </c>
      <c r="AB98" s="1">
        <v>0</v>
      </c>
      <c r="AC98" s="1">
        <v>0</v>
      </c>
      <c r="AD98" s="1">
        <v>4</v>
      </c>
      <c r="AE98" s="1">
        <v>2</v>
      </c>
      <c r="AF98" s="1">
        <v>3</v>
      </c>
      <c r="AG98" t="s">
        <v>5569</v>
      </c>
      <c r="AH98" s="1">
        <v>3600</v>
      </c>
      <c r="AI98" s="1" t="s">
        <v>329</v>
      </c>
      <c r="AJ98" s="1">
        <v>0</v>
      </c>
      <c r="AK98" s="1" t="s">
        <v>5669</v>
      </c>
      <c r="AL98" s="1" t="s">
        <v>5673</v>
      </c>
      <c r="AM98" s="1">
        <v>100</v>
      </c>
      <c r="AN98" s="1">
        <v>100</v>
      </c>
      <c r="AO98" s="1">
        <v>100</v>
      </c>
      <c r="AP98" s="1">
        <v>100</v>
      </c>
      <c r="AQ98" s="1">
        <v>1</v>
      </c>
      <c r="AR98" s="1" t="s">
        <v>1499</v>
      </c>
      <c r="AS98" s="1">
        <v>0</v>
      </c>
      <c r="AT98" s="1" t="s">
        <v>1866</v>
      </c>
      <c r="AU98" s="1">
        <v>10</v>
      </c>
      <c r="AV98" s="1">
        <v>19003</v>
      </c>
      <c r="AW98" s="1">
        <v>0</v>
      </c>
    </row>
    <row r="99" spans="1:49" x14ac:dyDescent="0.25">
      <c r="A99" s="1">
        <v>99</v>
      </c>
      <c r="B99" s="1" t="s">
        <v>2081</v>
      </c>
      <c r="C99" s="1" t="s">
        <v>2082</v>
      </c>
      <c r="D99" s="1">
        <v>5</v>
      </c>
      <c r="E99" s="1">
        <v>3</v>
      </c>
      <c r="F99" s="1">
        <v>20</v>
      </c>
      <c r="G99" s="1" t="s">
        <v>392</v>
      </c>
      <c r="H99" s="1" t="s">
        <v>329</v>
      </c>
      <c r="I99" s="1" t="s">
        <v>329</v>
      </c>
      <c r="J99" s="1" t="s">
        <v>329</v>
      </c>
      <c r="K99" s="1" t="s">
        <v>392</v>
      </c>
      <c r="L99" s="1" t="s">
        <v>329</v>
      </c>
      <c r="M99" s="1" t="s">
        <v>329</v>
      </c>
      <c r="N99" s="1" t="s">
        <v>329</v>
      </c>
      <c r="O99" s="1" t="s">
        <v>326</v>
      </c>
      <c r="P99" s="1" t="s">
        <v>329</v>
      </c>
      <c r="Q99" s="1" t="s">
        <v>329</v>
      </c>
      <c r="R99" s="1" t="s">
        <v>329</v>
      </c>
      <c r="S99" s="1" t="s">
        <v>329</v>
      </c>
      <c r="T99" s="1" t="s">
        <v>329</v>
      </c>
      <c r="U99" s="1">
        <v>0</v>
      </c>
      <c r="V99" s="1">
        <v>0</v>
      </c>
      <c r="W99" s="1">
        <v>0</v>
      </c>
      <c r="X99" s="1">
        <v>0</v>
      </c>
      <c r="Y99" s="1">
        <v>0</v>
      </c>
      <c r="Z99" s="1">
        <v>0</v>
      </c>
      <c r="AA99" s="1">
        <v>0</v>
      </c>
      <c r="AB99" s="1">
        <v>0</v>
      </c>
      <c r="AC99" s="1">
        <v>1</v>
      </c>
      <c r="AD99" s="1">
        <v>4</v>
      </c>
      <c r="AE99" s="1">
        <v>4</v>
      </c>
      <c r="AF99" s="1">
        <v>1</v>
      </c>
      <c r="AG99" t="s">
        <v>256</v>
      </c>
      <c r="AH99" s="1">
        <v>3600</v>
      </c>
      <c r="AI99" s="1" t="s">
        <v>1978</v>
      </c>
      <c r="AJ99" s="1">
        <v>0</v>
      </c>
      <c r="AK99" s="1" t="s">
        <v>412</v>
      </c>
      <c r="AL99" s="1" t="s">
        <v>2083</v>
      </c>
      <c r="AM99" s="1">
        <v>0.15</v>
      </c>
      <c r="AN99" s="1">
        <v>0.6</v>
      </c>
      <c r="AO99" s="1">
        <v>0.6</v>
      </c>
      <c r="AP99" s="1">
        <v>0.15</v>
      </c>
      <c r="AQ99" s="1">
        <v>3</v>
      </c>
      <c r="AR99" s="1" t="s">
        <v>1532</v>
      </c>
      <c r="AS99" s="1">
        <v>0</v>
      </c>
      <c r="AT99" s="1" t="s">
        <v>1866</v>
      </c>
      <c r="AU99" s="1">
        <v>10</v>
      </c>
      <c r="AV99" s="1">
        <v>20008</v>
      </c>
      <c r="AW99" s="1">
        <v>0</v>
      </c>
    </row>
    <row r="100" spans="1:49" x14ac:dyDescent="0.25">
      <c r="A100" s="1">
        <v>100</v>
      </c>
      <c r="B100" s="1" t="s">
        <v>2084</v>
      </c>
      <c r="C100" s="1" t="s">
        <v>2085</v>
      </c>
      <c r="D100" s="1">
        <v>5</v>
      </c>
      <c r="E100" s="1">
        <v>1</v>
      </c>
      <c r="F100" s="1">
        <v>18</v>
      </c>
      <c r="G100" s="1" t="s">
        <v>329</v>
      </c>
      <c r="H100" s="1" t="s">
        <v>338</v>
      </c>
      <c r="I100" s="1" t="s">
        <v>329</v>
      </c>
      <c r="J100" s="1" t="s">
        <v>329</v>
      </c>
      <c r="K100" s="1" t="s">
        <v>329</v>
      </c>
      <c r="L100" s="1" t="s">
        <v>344</v>
      </c>
      <c r="M100" s="1" t="s">
        <v>329</v>
      </c>
      <c r="N100" s="1" t="s">
        <v>329</v>
      </c>
      <c r="O100" s="1" t="s">
        <v>329</v>
      </c>
      <c r="P100" s="1" t="s">
        <v>329</v>
      </c>
      <c r="Q100" s="1" t="s">
        <v>329</v>
      </c>
      <c r="R100" s="1" t="s">
        <v>329</v>
      </c>
      <c r="S100" s="1" t="s">
        <v>329</v>
      </c>
      <c r="T100" s="1" t="s">
        <v>329</v>
      </c>
      <c r="U100" s="1">
        <v>0</v>
      </c>
      <c r="V100" s="1">
        <v>0</v>
      </c>
      <c r="W100" s="1">
        <v>0</v>
      </c>
      <c r="X100" s="1">
        <v>0</v>
      </c>
      <c r="Y100" s="1">
        <v>0</v>
      </c>
      <c r="Z100" s="1">
        <v>0</v>
      </c>
      <c r="AA100" s="1">
        <v>0</v>
      </c>
      <c r="AB100" s="1">
        <v>0</v>
      </c>
      <c r="AC100" s="1">
        <v>4</v>
      </c>
      <c r="AD100" s="1">
        <v>1</v>
      </c>
      <c r="AE100" s="1">
        <v>4</v>
      </c>
      <c r="AF100" s="1">
        <v>1</v>
      </c>
      <c r="AG100" t="s">
        <v>1711</v>
      </c>
      <c r="AH100" s="1">
        <v>3600</v>
      </c>
      <c r="AI100" s="1" t="s">
        <v>1978</v>
      </c>
      <c r="AJ100" s="1">
        <v>0</v>
      </c>
      <c r="AK100" s="1" t="s">
        <v>413</v>
      </c>
      <c r="AL100" s="1" t="s">
        <v>2086</v>
      </c>
      <c r="AM100" s="1">
        <v>0.5</v>
      </c>
      <c r="AN100" s="1">
        <v>0.25</v>
      </c>
      <c r="AO100" s="1">
        <v>0.55000000000000004</v>
      </c>
      <c r="AP100" s="1">
        <v>0.15</v>
      </c>
      <c r="AQ100" s="1">
        <v>3</v>
      </c>
      <c r="AR100" s="1" t="s">
        <v>1533</v>
      </c>
      <c r="AS100" s="1">
        <v>0</v>
      </c>
      <c r="AT100" s="1" t="s">
        <v>1866</v>
      </c>
      <c r="AU100" s="1">
        <v>10</v>
      </c>
      <c r="AV100" s="1">
        <v>18005</v>
      </c>
      <c r="AW100" s="1">
        <v>0</v>
      </c>
    </row>
    <row r="101" spans="1:49" x14ac:dyDescent="0.25">
      <c r="A101" s="1">
        <v>101</v>
      </c>
      <c r="B101" s="1" t="s">
        <v>2087</v>
      </c>
      <c r="C101" s="1" t="s">
        <v>2088</v>
      </c>
      <c r="D101" s="1">
        <v>5</v>
      </c>
      <c r="E101" s="1">
        <v>2</v>
      </c>
      <c r="F101" s="1">
        <v>19</v>
      </c>
      <c r="G101" s="1" t="s">
        <v>414</v>
      </c>
      <c r="H101" s="1" t="s">
        <v>329</v>
      </c>
      <c r="I101" s="1" t="s">
        <v>329</v>
      </c>
      <c r="J101" s="1" t="s">
        <v>329</v>
      </c>
      <c r="K101" s="1" t="s">
        <v>329</v>
      </c>
      <c r="L101" s="1" t="s">
        <v>329</v>
      </c>
      <c r="M101" s="1" t="s">
        <v>329</v>
      </c>
      <c r="N101" s="1" t="s">
        <v>387</v>
      </c>
      <c r="O101" s="1" t="s">
        <v>329</v>
      </c>
      <c r="P101" s="1" t="s">
        <v>329</v>
      </c>
      <c r="Q101" s="1" t="s">
        <v>329</v>
      </c>
      <c r="R101" s="1" t="s">
        <v>329</v>
      </c>
      <c r="S101" s="1" t="s">
        <v>329</v>
      </c>
      <c r="T101" s="1" t="s">
        <v>329</v>
      </c>
      <c r="U101" s="1">
        <v>0</v>
      </c>
      <c r="V101" s="1">
        <v>0</v>
      </c>
      <c r="W101" s="1">
        <v>0</v>
      </c>
      <c r="X101" s="1">
        <v>0</v>
      </c>
      <c r="Y101" s="1">
        <v>0</v>
      </c>
      <c r="Z101" s="1">
        <v>0</v>
      </c>
      <c r="AA101" s="1">
        <v>0</v>
      </c>
      <c r="AB101" s="1">
        <v>0</v>
      </c>
      <c r="AC101" s="1">
        <v>4</v>
      </c>
      <c r="AD101" s="1">
        <v>4</v>
      </c>
      <c r="AE101" s="1">
        <v>0</v>
      </c>
      <c r="AF101" s="1">
        <v>2</v>
      </c>
      <c r="AG101" t="s">
        <v>253</v>
      </c>
      <c r="AH101" s="1">
        <v>3600</v>
      </c>
      <c r="AI101" s="1" t="s">
        <v>2089</v>
      </c>
      <c r="AJ101" s="1">
        <v>0</v>
      </c>
      <c r="AK101" s="1" t="s">
        <v>415</v>
      </c>
      <c r="AL101" s="1" t="s">
        <v>2090</v>
      </c>
      <c r="AM101" s="1">
        <v>0.48</v>
      </c>
      <c r="AN101" s="1">
        <v>0.48</v>
      </c>
      <c r="AO101" s="1">
        <v>0.08</v>
      </c>
      <c r="AP101" s="1">
        <v>0.25</v>
      </c>
      <c r="AQ101" s="1">
        <v>3</v>
      </c>
      <c r="AR101" s="1" t="s">
        <v>1534</v>
      </c>
      <c r="AS101" s="1">
        <v>0</v>
      </c>
      <c r="AT101" s="1" t="s">
        <v>1866</v>
      </c>
      <c r="AU101" s="1">
        <v>10</v>
      </c>
      <c r="AV101" s="1">
        <v>19004</v>
      </c>
      <c r="AW101" s="1">
        <v>0</v>
      </c>
    </row>
    <row r="102" spans="1:49" x14ac:dyDescent="0.25">
      <c r="A102" s="1">
        <v>102</v>
      </c>
      <c r="B102" s="1" t="s">
        <v>2091</v>
      </c>
      <c r="C102" s="1" t="s">
        <v>2092</v>
      </c>
      <c r="D102" s="1">
        <v>5</v>
      </c>
      <c r="E102" s="1">
        <v>3</v>
      </c>
      <c r="F102" s="1">
        <v>20</v>
      </c>
      <c r="G102" s="1" t="s">
        <v>382</v>
      </c>
      <c r="H102" s="1" t="s">
        <v>329</v>
      </c>
      <c r="I102" s="1" t="s">
        <v>416</v>
      </c>
      <c r="J102" s="1" t="s">
        <v>329</v>
      </c>
      <c r="K102" s="1" t="s">
        <v>332</v>
      </c>
      <c r="L102" s="1" t="s">
        <v>329</v>
      </c>
      <c r="M102" s="1" t="s">
        <v>329</v>
      </c>
      <c r="N102" s="1" t="s">
        <v>329</v>
      </c>
      <c r="O102" s="1" t="s">
        <v>329</v>
      </c>
      <c r="P102" s="1" t="s">
        <v>329</v>
      </c>
      <c r="Q102" s="1" t="s">
        <v>329</v>
      </c>
      <c r="R102" s="1" t="s">
        <v>329</v>
      </c>
      <c r="S102" s="1" t="s">
        <v>329</v>
      </c>
      <c r="T102" s="1" t="s">
        <v>329</v>
      </c>
      <c r="U102" s="1">
        <v>0</v>
      </c>
      <c r="V102" s="1">
        <v>0</v>
      </c>
      <c r="W102" s="1">
        <v>0</v>
      </c>
      <c r="X102" s="1">
        <v>0</v>
      </c>
      <c r="Y102" s="1">
        <v>0</v>
      </c>
      <c r="Z102" s="1">
        <v>0</v>
      </c>
      <c r="AA102" s="1">
        <v>0</v>
      </c>
      <c r="AB102" s="1">
        <v>0</v>
      </c>
      <c r="AC102" s="1">
        <v>4</v>
      </c>
      <c r="AD102" s="1">
        <v>2</v>
      </c>
      <c r="AE102" s="1">
        <v>0</v>
      </c>
      <c r="AF102" s="1">
        <v>4</v>
      </c>
      <c r="AG102" t="s">
        <v>262</v>
      </c>
      <c r="AH102" s="1">
        <v>3600</v>
      </c>
      <c r="AI102" s="1" t="s">
        <v>2093</v>
      </c>
      <c r="AJ102" s="1">
        <v>0</v>
      </c>
      <c r="AK102" s="1" t="s">
        <v>417</v>
      </c>
      <c r="AL102" s="1" t="s">
        <v>2094</v>
      </c>
      <c r="AM102" s="1">
        <v>0.3</v>
      </c>
      <c r="AN102" s="1">
        <v>0.25</v>
      </c>
      <c r="AO102" s="1">
        <v>0.12</v>
      </c>
      <c r="AP102" s="1">
        <v>0.38</v>
      </c>
      <c r="AQ102" s="1">
        <v>3</v>
      </c>
      <c r="AR102" s="1" t="s">
        <v>1535</v>
      </c>
      <c r="AS102" s="1">
        <v>0</v>
      </c>
      <c r="AT102" s="1" t="s">
        <v>1866</v>
      </c>
      <c r="AU102" s="1">
        <v>10</v>
      </c>
      <c r="AV102" s="1">
        <v>20009</v>
      </c>
      <c r="AW102" s="1">
        <v>0</v>
      </c>
    </row>
    <row r="103" spans="1:49" x14ac:dyDescent="0.25">
      <c r="A103" s="1">
        <v>103</v>
      </c>
      <c r="B103" s="1" t="s">
        <v>2095</v>
      </c>
      <c r="C103" s="1" t="s">
        <v>2096</v>
      </c>
      <c r="D103" s="1">
        <v>5</v>
      </c>
      <c r="E103" s="1">
        <v>1</v>
      </c>
      <c r="F103" s="1">
        <v>18</v>
      </c>
      <c r="G103" s="1" t="s">
        <v>329</v>
      </c>
      <c r="H103" s="1" t="s">
        <v>329</v>
      </c>
      <c r="I103" s="1" t="s">
        <v>414</v>
      </c>
      <c r="J103" s="1" t="s">
        <v>329</v>
      </c>
      <c r="K103" s="1" t="s">
        <v>329</v>
      </c>
      <c r="L103" s="1" t="s">
        <v>329</v>
      </c>
      <c r="M103" s="1" t="s">
        <v>386</v>
      </c>
      <c r="N103" s="1" t="s">
        <v>329</v>
      </c>
      <c r="O103" s="1" t="s">
        <v>329</v>
      </c>
      <c r="P103" s="1" t="s">
        <v>329</v>
      </c>
      <c r="Q103" s="1" t="s">
        <v>329</v>
      </c>
      <c r="R103" s="1" t="s">
        <v>329</v>
      </c>
      <c r="S103" s="1" t="s">
        <v>329</v>
      </c>
      <c r="T103" s="1" t="s">
        <v>329</v>
      </c>
      <c r="U103" s="1">
        <v>0</v>
      </c>
      <c r="V103" s="1">
        <v>0</v>
      </c>
      <c r="W103" s="1">
        <v>0</v>
      </c>
      <c r="X103" s="1">
        <v>0</v>
      </c>
      <c r="Y103" s="1">
        <v>0</v>
      </c>
      <c r="Z103" s="1">
        <v>0</v>
      </c>
      <c r="AA103" s="1">
        <v>0</v>
      </c>
      <c r="AB103" s="1">
        <v>0</v>
      </c>
      <c r="AC103" s="1">
        <v>4</v>
      </c>
      <c r="AD103" s="1">
        <v>2</v>
      </c>
      <c r="AE103" s="1">
        <v>2</v>
      </c>
      <c r="AF103" s="1">
        <v>2</v>
      </c>
      <c r="AG103" t="s">
        <v>741</v>
      </c>
      <c r="AH103" s="1">
        <v>3600</v>
      </c>
      <c r="AI103" s="1" t="s">
        <v>2097</v>
      </c>
      <c r="AJ103" s="1">
        <v>0</v>
      </c>
      <c r="AK103" s="1" t="s">
        <v>418</v>
      </c>
      <c r="AL103" s="1" t="s">
        <v>2098</v>
      </c>
      <c r="AM103" s="1">
        <v>0.55000000000000004</v>
      </c>
      <c r="AN103" s="1">
        <v>0.25</v>
      </c>
      <c r="AO103" s="1">
        <v>0.25</v>
      </c>
      <c r="AP103" s="1">
        <v>0.23</v>
      </c>
      <c r="AQ103" s="1">
        <v>3</v>
      </c>
      <c r="AR103" s="1" t="s">
        <v>1536</v>
      </c>
      <c r="AS103" s="1">
        <v>0</v>
      </c>
      <c r="AT103" s="1" t="s">
        <v>1866</v>
      </c>
      <c r="AU103" s="1">
        <v>10</v>
      </c>
      <c r="AV103" s="1">
        <v>18006</v>
      </c>
      <c r="AW103" s="1">
        <v>0</v>
      </c>
    </row>
    <row r="104" spans="1:49" x14ac:dyDescent="0.25">
      <c r="A104" s="1">
        <v>104</v>
      </c>
      <c r="B104" s="1" t="s">
        <v>2099</v>
      </c>
      <c r="C104" s="1" t="s">
        <v>2100</v>
      </c>
      <c r="D104" s="1">
        <v>5</v>
      </c>
      <c r="E104" s="1">
        <v>1</v>
      </c>
      <c r="F104" s="1">
        <v>18</v>
      </c>
      <c r="G104" s="1" t="s">
        <v>329</v>
      </c>
      <c r="H104" s="1" t="s">
        <v>329</v>
      </c>
      <c r="I104" s="1" t="s">
        <v>329</v>
      </c>
      <c r="J104" s="1" t="s">
        <v>329</v>
      </c>
      <c r="K104" s="1" t="s">
        <v>335</v>
      </c>
      <c r="L104" s="1" t="s">
        <v>329</v>
      </c>
      <c r="M104" s="1" t="s">
        <v>328</v>
      </c>
      <c r="N104" s="1" t="s">
        <v>329</v>
      </c>
      <c r="O104" s="1" t="s">
        <v>329</v>
      </c>
      <c r="P104" s="1" t="s">
        <v>329</v>
      </c>
      <c r="Q104" s="1" t="s">
        <v>329</v>
      </c>
      <c r="R104" s="1" t="s">
        <v>329</v>
      </c>
      <c r="S104" s="1" t="s">
        <v>329</v>
      </c>
      <c r="T104" s="1" t="s">
        <v>329</v>
      </c>
      <c r="U104" s="1">
        <v>0</v>
      </c>
      <c r="V104" s="1">
        <v>0</v>
      </c>
      <c r="W104" s="1">
        <v>0</v>
      </c>
      <c r="X104" s="1">
        <v>0</v>
      </c>
      <c r="Y104" s="1">
        <v>0</v>
      </c>
      <c r="Z104" s="1">
        <v>0</v>
      </c>
      <c r="AA104" s="1">
        <v>0</v>
      </c>
      <c r="AB104" s="1">
        <v>0</v>
      </c>
      <c r="AC104" s="1">
        <v>3</v>
      </c>
      <c r="AD104" s="1">
        <v>2</v>
      </c>
      <c r="AE104" s="1">
        <v>4</v>
      </c>
      <c r="AF104" s="1">
        <v>1</v>
      </c>
      <c r="AG104" t="s">
        <v>1445</v>
      </c>
      <c r="AH104" s="1">
        <v>3600</v>
      </c>
      <c r="AI104" s="1" t="s">
        <v>2101</v>
      </c>
      <c r="AJ104" s="1">
        <v>0</v>
      </c>
      <c r="AK104" s="1" t="s">
        <v>419</v>
      </c>
      <c r="AL104" s="1" t="s">
        <v>2102</v>
      </c>
      <c r="AM104" s="1">
        <v>0.4</v>
      </c>
      <c r="AN104" s="1">
        <v>0.2</v>
      </c>
      <c r="AO104" s="1">
        <v>0.6</v>
      </c>
      <c r="AP104" s="1">
        <v>0.18</v>
      </c>
      <c r="AQ104" s="1">
        <v>3</v>
      </c>
      <c r="AR104" s="1" t="s">
        <v>1537</v>
      </c>
      <c r="AS104" s="1">
        <v>0</v>
      </c>
      <c r="AT104" s="1" t="s">
        <v>1866</v>
      </c>
      <c r="AU104" s="1">
        <v>10</v>
      </c>
      <c r="AV104" s="1">
        <v>18007</v>
      </c>
      <c r="AW104" s="1">
        <v>0</v>
      </c>
    </row>
    <row r="105" spans="1:49" x14ac:dyDescent="0.25">
      <c r="A105" s="1">
        <v>105</v>
      </c>
      <c r="B105" s="1" t="s">
        <v>2103</v>
      </c>
      <c r="C105" s="1" t="s">
        <v>2104</v>
      </c>
      <c r="D105" s="1">
        <v>5</v>
      </c>
      <c r="E105" s="1">
        <v>1</v>
      </c>
      <c r="F105" s="1">
        <v>18</v>
      </c>
      <c r="G105" s="1" t="s">
        <v>329</v>
      </c>
      <c r="H105" s="1" t="s">
        <v>329</v>
      </c>
      <c r="I105" s="1" t="s">
        <v>329</v>
      </c>
      <c r="J105" s="1" t="s">
        <v>329</v>
      </c>
      <c r="K105" s="1" t="s">
        <v>329</v>
      </c>
      <c r="L105" s="1" t="s">
        <v>392</v>
      </c>
      <c r="M105" s="1" t="s">
        <v>420</v>
      </c>
      <c r="N105" s="1" t="s">
        <v>329</v>
      </c>
      <c r="O105" s="1" t="s">
        <v>329</v>
      </c>
      <c r="P105" s="1" t="s">
        <v>329</v>
      </c>
      <c r="Q105" s="1" t="s">
        <v>329</v>
      </c>
      <c r="R105" s="1" t="s">
        <v>329</v>
      </c>
      <c r="S105" s="1" t="s">
        <v>329</v>
      </c>
      <c r="T105" s="1" t="s">
        <v>329</v>
      </c>
      <c r="U105" s="1">
        <v>0</v>
      </c>
      <c r="V105" s="1">
        <v>0</v>
      </c>
      <c r="W105" s="1">
        <v>0</v>
      </c>
      <c r="X105" s="1">
        <v>0</v>
      </c>
      <c r="Y105" s="1">
        <v>0</v>
      </c>
      <c r="Z105" s="1">
        <v>0</v>
      </c>
      <c r="AA105" s="1">
        <v>0</v>
      </c>
      <c r="AB105" s="1">
        <v>0</v>
      </c>
      <c r="AC105" s="1">
        <v>4</v>
      </c>
      <c r="AD105" s="1">
        <v>0</v>
      </c>
      <c r="AE105" s="1">
        <v>3</v>
      </c>
      <c r="AF105" s="1">
        <v>2</v>
      </c>
      <c r="AG105" t="s">
        <v>93</v>
      </c>
      <c r="AH105" s="1">
        <v>3600</v>
      </c>
      <c r="AI105" s="1" t="s">
        <v>2105</v>
      </c>
      <c r="AJ105" s="1">
        <v>0</v>
      </c>
      <c r="AK105" s="1" t="s">
        <v>368</v>
      </c>
      <c r="AL105" s="1" t="s">
        <v>2106</v>
      </c>
      <c r="AM105" s="1">
        <v>0.45</v>
      </c>
      <c r="AN105" s="1">
        <v>0.15</v>
      </c>
      <c r="AO105" s="1">
        <v>0.3</v>
      </c>
      <c r="AP105" s="1">
        <v>0.15</v>
      </c>
      <c r="AQ105" s="1">
        <v>3</v>
      </c>
      <c r="AR105" s="1" t="s">
        <v>1538</v>
      </c>
      <c r="AS105" s="1">
        <v>0</v>
      </c>
      <c r="AT105" s="1" t="s">
        <v>1866</v>
      </c>
      <c r="AU105" s="1">
        <v>10</v>
      </c>
      <c r="AV105" s="1">
        <v>18008</v>
      </c>
      <c r="AW105" s="1">
        <v>0</v>
      </c>
    </row>
    <row r="106" spans="1:49" x14ac:dyDescent="0.25">
      <c r="A106" s="1">
        <v>106</v>
      </c>
      <c r="B106" s="1" t="s">
        <v>2107</v>
      </c>
      <c r="C106" s="1" t="s">
        <v>2108</v>
      </c>
      <c r="D106" s="1">
        <v>5</v>
      </c>
      <c r="E106" s="1">
        <v>1</v>
      </c>
      <c r="F106" s="1">
        <v>18</v>
      </c>
      <c r="G106" s="1" t="s">
        <v>338</v>
      </c>
      <c r="H106" s="1" t="s">
        <v>339</v>
      </c>
      <c r="I106" s="1" t="s">
        <v>329</v>
      </c>
      <c r="J106" s="1" t="s">
        <v>329</v>
      </c>
      <c r="K106" s="1" t="s">
        <v>329</v>
      </c>
      <c r="L106" s="1" t="s">
        <v>329</v>
      </c>
      <c r="M106" s="1" t="s">
        <v>386</v>
      </c>
      <c r="N106" s="1" t="s">
        <v>329</v>
      </c>
      <c r="O106" s="1" t="s">
        <v>329</v>
      </c>
      <c r="P106" s="1" t="s">
        <v>329</v>
      </c>
      <c r="Q106" s="1" t="s">
        <v>329</v>
      </c>
      <c r="R106" s="1" t="s">
        <v>329</v>
      </c>
      <c r="S106" s="1" t="s">
        <v>329</v>
      </c>
      <c r="T106" s="1" t="s">
        <v>329</v>
      </c>
      <c r="U106" s="1">
        <v>0</v>
      </c>
      <c r="V106" s="1">
        <v>0</v>
      </c>
      <c r="W106" s="1">
        <v>0</v>
      </c>
      <c r="X106" s="1">
        <v>0</v>
      </c>
      <c r="Y106" s="1">
        <v>0</v>
      </c>
      <c r="Z106" s="1">
        <v>0</v>
      </c>
      <c r="AA106" s="1">
        <v>0</v>
      </c>
      <c r="AB106" s="1">
        <v>0</v>
      </c>
      <c r="AC106" s="1">
        <v>4</v>
      </c>
      <c r="AD106" s="1">
        <v>0</v>
      </c>
      <c r="AE106" s="1">
        <v>3</v>
      </c>
      <c r="AF106" s="1">
        <v>2</v>
      </c>
      <c r="AG106" t="s">
        <v>223</v>
      </c>
      <c r="AH106" s="1">
        <v>3600</v>
      </c>
      <c r="AI106" s="1" t="s">
        <v>1978</v>
      </c>
      <c r="AJ106" s="1">
        <v>0</v>
      </c>
      <c r="AK106" s="1" t="s">
        <v>421</v>
      </c>
      <c r="AL106" s="1" t="s">
        <v>2109</v>
      </c>
      <c r="AM106" s="1">
        <v>0.45</v>
      </c>
      <c r="AN106" s="1">
        <v>0.15</v>
      </c>
      <c r="AO106" s="1">
        <v>0.3</v>
      </c>
      <c r="AP106" s="1">
        <v>0.15</v>
      </c>
      <c r="AQ106" s="1">
        <v>3</v>
      </c>
      <c r="AR106" s="1" t="s">
        <v>1539</v>
      </c>
      <c r="AS106" s="1">
        <v>0</v>
      </c>
      <c r="AT106" s="1" t="s">
        <v>1866</v>
      </c>
      <c r="AU106" s="1">
        <v>10</v>
      </c>
      <c r="AV106" s="1">
        <v>18009</v>
      </c>
      <c r="AW106" s="1">
        <v>0</v>
      </c>
    </row>
    <row r="107" spans="1:49" x14ac:dyDescent="0.25">
      <c r="A107" s="1">
        <v>107</v>
      </c>
      <c r="B107" s="1" t="s">
        <v>2110</v>
      </c>
      <c r="C107" s="1" t="s">
        <v>2111</v>
      </c>
      <c r="D107" s="1">
        <v>5</v>
      </c>
      <c r="E107" s="1">
        <v>3</v>
      </c>
      <c r="F107" s="1">
        <v>20</v>
      </c>
      <c r="G107" s="1" t="s">
        <v>422</v>
      </c>
      <c r="H107" s="1" t="s">
        <v>405</v>
      </c>
      <c r="I107" s="1" t="s">
        <v>334</v>
      </c>
      <c r="J107" s="1" t="s">
        <v>329</v>
      </c>
      <c r="K107" s="1" t="s">
        <v>329</v>
      </c>
      <c r="L107" s="1" t="s">
        <v>329</v>
      </c>
      <c r="M107" s="1" t="s">
        <v>329</v>
      </c>
      <c r="N107" s="1" t="s">
        <v>329</v>
      </c>
      <c r="O107" s="1" t="s">
        <v>329</v>
      </c>
      <c r="P107" s="1" t="s">
        <v>329</v>
      </c>
      <c r="Q107" s="1" t="s">
        <v>329</v>
      </c>
      <c r="R107" s="1" t="s">
        <v>329</v>
      </c>
      <c r="S107" s="1" t="s">
        <v>329</v>
      </c>
      <c r="T107" s="1" t="s">
        <v>423</v>
      </c>
      <c r="U107" s="1">
        <v>0</v>
      </c>
      <c r="V107" s="1">
        <v>0</v>
      </c>
      <c r="W107" s="1">
        <v>0</v>
      </c>
      <c r="X107" s="1">
        <v>0</v>
      </c>
      <c r="Y107" s="1">
        <v>0</v>
      </c>
      <c r="Z107" s="1">
        <v>0</v>
      </c>
      <c r="AA107" s="1">
        <v>0</v>
      </c>
      <c r="AB107" s="1">
        <v>0</v>
      </c>
      <c r="AC107" s="1">
        <v>1</v>
      </c>
      <c r="AD107" s="1">
        <v>1</v>
      </c>
      <c r="AE107" s="1">
        <v>1</v>
      </c>
      <c r="AF107" s="1">
        <v>5</v>
      </c>
      <c r="AG107" t="s">
        <v>114</v>
      </c>
      <c r="AH107" s="1">
        <v>3600</v>
      </c>
      <c r="AI107" s="1" t="s">
        <v>1978</v>
      </c>
      <c r="AJ107" s="1">
        <v>0</v>
      </c>
      <c r="AK107" s="1" t="s">
        <v>424</v>
      </c>
      <c r="AL107" s="1" t="s">
        <v>2112</v>
      </c>
      <c r="AM107" s="1">
        <v>0.1</v>
      </c>
      <c r="AN107" s="1">
        <v>0.1</v>
      </c>
      <c r="AO107" s="1">
        <v>0.1</v>
      </c>
      <c r="AP107" s="1">
        <v>0.55000000000000004</v>
      </c>
      <c r="AQ107" s="1">
        <v>3</v>
      </c>
      <c r="AR107" s="1" t="s">
        <v>1511</v>
      </c>
      <c r="AS107" s="1">
        <v>0</v>
      </c>
      <c r="AT107" s="1" t="s">
        <v>1866</v>
      </c>
      <c r="AU107" s="1">
        <v>10</v>
      </c>
      <c r="AV107" s="1">
        <v>20010</v>
      </c>
      <c r="AW107" s="1">
        <v>0</v>
      </c>
    </row>
    <row r="108" spans="1:49" x14ac:dyDescent="0.25">
      <c r="A108" s="1">
        <v>108</v>
      </c>
      <c r="B108" s="1" t="s">
        <v>2113</v>
      </c>
      <c r="C108" s="1" t="s">
        <v>2114</v>
      </c>
      <c r="D108" s="1">
        <v>5</v>
      </c>
      <c r="E108" s="1">
        <v>3</v>
      </c>
      <c r="F108" s="1">
        <v>20</v>
      </c>
      <c r="G108" s="1" t="s">
        <v>329</v>
      </c>
      <c r="H108" s="1" t="s">
        <v>329</v>
      </c>
      <c r="I108" s="1" t="s">
        <v>329</v>
      </c>
      <c r="J108" s="1" t="s">
        <v>402</v>
      </c>
      <c r="K108" s="1" t="s">
        <v>332</v>
      </c>
      <c r="L108" s="1" t="s">
        <v>344</v>
      </c>
      <c r="M108" s="1" t="s">
        <v>329</v>
      </c>
      <c r="N108" s="1" t="s">
        <v>329</v>
      </c>
      <c r="O108" s="1" t="s">
        <v>329</v>
      </c>
      <c r="P108" s="1" t="s">
        <v>329</v>
      </c>
      <c r="Q108" s="1" t="s">
        <v>329</v>
      </c>
      <c r="R108" s="1" t="s">
        <v>329</v>
      </c>
      <c r="S108" s="1" t="s">
        <v>329</v>
      </c>
      <c r="T108" s="1" t="s">
        <v>329</v>
      </c>
      <c r="U108" s="1">
        <v>0</v>
      </c>
      <c r="V108" s="1">
        <v>0</v>
      </c>
      <c r="W108" s="1">
        <v>0</v>
      </c>
      <c r="X108" s="1">
        <v>0</v>
      </c>
      <c r="Y108" s="1">
        <v>0</v>
      </c>
      <c r="Z108" s="1">
        <v>0</v>
      </c>
      <c r="AA108" s="1">
        <v>0</v>
      </c>
      <c r="AB108" s="1">
        <v>0</v>
      </c>
      <c r="AC108" s="1">
        <v>4</v>
      </c>
      <c r="AD108" s="1">
        <v>0</v>
      </c>
      <c r="AE108" s="1">
        <v>5</v>
      </c>
      <c r="AF108" s="1">
        <v>0</v>
      </c>
      <c r="AG108" t="s">
        <v>91</v>
      </c>
      <c r="AH108" s="1">
        <v>3600</v>
      </c>
      <c r="AI108" s="1" t="s">
        <v>1978</v>
      </c>
      <c r="AJ108" s="1">
        <v>0</v>
      </c>
      <c r="AK108" s="1" t="s">
        <v>425</v>
      </c>
      <c r="AL108" s="1" t="s">
        <v>2115</v>
      </c>
      <c r="AM108" s="1">
        <v>0.55000000000000004</v>
      </c>
      <c r="AN108" s="1">
        <v>0.16</v>
      </c>
      <c r="AO108" s="1">
        <v>0.6</v>
      </c>
      <c r="AP108" s="1">
        <v>0.16</v>
      </c>
      <c r="AQ108" s="1">
        <v>3</v>
      </c>
      <c r="AR108" s="1" t="s">
        <v>1540</v>
      </c>
      <c r="AS108" s="1">
        <v>0</v>
      </c>
      <c r="AT108" s="1" t="s">
        <v>1866</v>
      </c>
      <c r="AU108" s="1">
        <v>10</v>
      </c>
      <c r="AV108" s="1">
        <v>20011</v>
      </c>
      <c r="AW108" s="1">
        <v>0</v>
      </c>
    </row>
    <row r="109" spans="1:49" x14ac:dyDescent="0.25">
      <c r="A109" s="1">
        <v>109</v>
      </c>
      <c r="B109" s="1" t="s">
        <v>5674</v>
      </c>
      <c r="C109" s="1" t="s">
        <v>5675</v>
      </c>
      <c r="D109" s="1">
        <v>5</v>
      </c>
      <c r="E109" s="1">
        <v>1</v>
      </c>
      <c r="F109" s="1">
        <v>1</v>
      </c>
      <c r="G109" s="1" t="s">
        <v>329</v>
      </c>
      <c r="H109" s="1" t="s">
        <v>329</v>
      </c>
      <c r="I109" s="1" t="s">
        <v>329</v>
      </c>
      <c r="J109" s="1" t="s">
        <v>329</v>
      </c>
      <c r="K109" s="1" t="s">
        <v>329</v>
      </c>
      <c r="L109" s="1" t="s">
        <v>329</v>
      </c>
      <c r="M109" s="1" t="s">
        <v>420</v>
      </c>
      <c r="N109" s="1" t="s">
        <v>329</v>
      </c>
      <c r="O109" s="1" t="s">
        <v>329</v>
      </c>
      <c r="P109" s="1" t="s">
        <v>329</v>
      </c>
      <c r="Q109" s="1" t="s">
        <v>329</v>
      </c>
      <c r="R109" s="1" t="s">
        <v>329</v>
      </c>
      <c r="S109" s="1" t="s">
        <v>329</v>
      </c>
      <c r="T109" s="1" t="s">
        <v>329</v>
      </c>
      <c r="U109" s="1">
        <v>0</v>
      </c>
      <c r="V109" s="1">
        <v>0</v>
      </c>
      <c r="W109" s="1">
        <v>0</v>
      </c>
      <c r="X109" s="1">
        <v>0</v>
      </c>
      <c r="Y109" s="1">
        <v>0</v>
      </c>
      <c r="Z109" s="1">
        <v>0</v>
      </c>
      <c r="AA109" s="1">
        <v>0</v>
      </c>
      <c r="AB109" s="1">
        <v>0</v>
      </c>
      <c r="AC109" s="1">
        <v>4</v>
      </c>
      <c r="AD109" s="1">
        <v>0</v>
      </c>
      <c r="AE109" s="1">
        <v>3</v>
      </c>
      <c r="AF109" s="1">
        <v>2</v>
      </c>
      <c r="AG109" t="s">
        <v>5676</v>
      </c>
      <c r="AH109" s="1">
        <v>3600</v>
      </c>
      <c r="AI109" s="1" t="s">
        <v>1978</v>
      </c>
      <c r="AJ109" s="1">
        <v>0</v>
      </c>
      <c r="AK109" s="1" t="s">
        <v>329</v>
      </c>
      <c r="AL109" s="1" t="s">
        <v>5677</v>
      </c>
      <c r="AM109" s="1">
        <v>0.45</v>
      </c>
      <c r="AN109" s="1">
        <v>0.15</v>
      </c>
      <c r="AO109" s="1">
        <v>0.3</v>
      </c>
      <c r="AP109" s="1">
        <v>0.15</v>
      </c>
      <c r="AQ109" s="1">
        <v>1</v>
      </c>
      <c r="AR109" s="1" t="s">
        <v>1495</v>
      </c>
      <c r="AS109" s="1">
        <v>0</v>
      </c>
      <c r="AT109" s="1" t="s">
        <v>1866</v>
      </c>
      <c r="AU109" s="1">
        <v>10</v>
      </c>
      <c r="AV109" s="1">
        <v>1001</v>
      </c>
      <c r="AW109" s="1">
        <v>0</v>
      </c>
    </row>
    <row r="110" spans="1:49" x14ac:dyDescent="0.25">
      <c r="A110" s="1">
        <v>110</v>
      </c>
      <c r="B110" s="1" t="s">
        <v>5678</v>
      </c>
      <c r="C110" s="1" t="s">
        <v>5679</v>
      </c>
      <c r="D110" s="1">
        <v>5</v>
      </c>
      <c r="E110" s="1">
        <v>2</v>
      </c>
      <c r="F110" s="1">
        <v>8</v>
      </c>
      <c r="G110" s="1" t="s">
        <v>426</v>
      </c>
      <c r="H110" s="1" t="s">
        <v>329</v>
      </c>
      <c r="I110" s="1" t="s">
        <v>329</v>
      </c>
      <c r="J110" s="1" t="s">
        <v>329</v>
      </c>
      <c r="K110" s="1" t="s">
        <v>329</v>
      </c>
      <c r="L110" s="1" t="s">
        <v>329</v>
      </c>
      <c r="M110" s="1" t="s">
        <v>329</v>
      </c>
      <c r="N110" s="1" t="s">
        <v>329</v>
      </c>
      <c r="O110" s="1" t="s">
        <v>329</v>
      </c>
      <c r="P110" s="1" t="s">
        <v>329</v>
      </c>
      <c r="Q110" s="1" t="s">
        <v>329</v>
      </c>
      <c r="R110" s="1" t="s">
        <v>329</v>
      </c>
      <c r="S110" s="1" t="s">
        <v>329</v>
      </c>
      <c r="T110" s="1" t="s">
        <v>329</v>
      </c>
      <c r="U110" s="1">
        <v>0</v>
      </c>
      <c r="V110" s="1">
        <v>0</v>
      </c>
      <c r="W110" s="1">
        <v>0</v>
      </c>
      <c r="X110" s="1">
        <v>0</v>
      </c>
      <c r="Y110" s="1">
        <v>0</v>
      </c>
      <c r="Z110" s="1">
        <v>0</v>
      </c>
      <c r="AA110" s="1">
        <v>0</v>
      </c>
      <c r="AB110" s="1">
        <v>0</v>
      </c>
      <c r="AC110" s="1">
        <v>0</v>
      </c>
      <c r="AD110" s="1">
        <v>5</v>
      </c>
      <c r="AE110" s="1">
        <v>3</v>
      </c>
      <c r="AF110" s="1">
        <v>2</v>
      </c>
      <c r="AG110" t="s">
        <v>5680</v>
      </c>
      <c r="AH110" s="1">
        <v>3600</v>
      </c>
      <c r="AI110" s="1" t="s">
        <v>1978</v>
      </c>
      <c r="AJ110" s="1">
        <v>0</v>
      </c>
      <c r="AK110" s="1" t="s">
        <v>329</v>
      </c>
      <c r="AL110" s="1" t="s">
        <v>5681</v>
      </c>
      <c r="AM110" s="1">
        <v>0.15</v>
      </c>
      <c r="AN110" s="1">
        <v>0.6</v>
      </c>
      <c r="AO110" s="1">
        <v>0.38</v>
      </c>
      <c r="AP110" s="1">
        <v>0.23</v>
      </c>
      <c r="AQ110" s="1">
        <v>1</v>
      </c>
      <c r="AR110" s="1" t="s">
        <v>1503</v>
      </c>
      <c r="AS110" s="1">
        <v>0</v>
      </c>
      <c r="AT110" s="1" t="s">
        <v>1866</v>
      </c>
      <c r="AU110" s="1">
        <v>10</v>
      </c>
      <c r="AV110" s="1">
        <v>8001</v>
      </c>
      <c r="AW110" s="1">
        <v>0</v>
      </c>
    </row>
    <row r="111" spans="1:49" x14ac:dyDescent="0.25">
      <c r="A111" s="1">
        <v>111</v>
      </c>
      <c r="B111" s="1" t="s">
        <v>2116</v>
      </c>
      <c r="C111" s="1" t="s">
        <v>2117</v>
      </c>
      <c r="D111" s="1">
        <v>5</v>
      </c>
      <c r="E111" s="1">
        <v>1</v>
      </c>
      <c r="F111" s="1">
        <v>18</v>
      </c>
      <c r="G111" s="1" t="s">
        <v>329</v>
      </c>
      <c r="H111" s="1" t="s">
        <v>335</v>
      </c>
      <c r="I111" s="1" t="s">
        <v>329</v>
      </c>
      <c r="J111" s="1" t="s">
        <v>329</v>
      </c>
      <c r="K111" s="1" t="s">
        <v>329</v>
      </c>
      <c r="L111" s="1" t="s">
        <v>329</v>
      </c>
      <c r="M111" s="1" t="s">
        <v>398</v>
      </c>
      <c r="N111" s="1" t="s">
        <v>329</v>
      </c>
      <c r="O111" s="1" t="s">
        <v>329</v>
      </c>
      <c r="P111" s="1" t="s">
        <v>329</v>
      </c>
      <c r="Q111" s="1" t="s">
        <v>329</v>
      </c>
      <c r="R111" s="1" t="s">
        <v>329</v>
      </c>
      <c r="S111" s="1" t="s">
        <v>329</v>
      </c>
      <c r="T111" s="1" t="s">
        <v>329</v>
      </c>
      <c r="U111" s="1">
        <v>0</v>
      </c>
      <c r="V111" s="1">
        <v>0</v>
      </c>
      <c r="W111" s="1">
        <v>0</v>
      </c>
      <c r="X111" s="1">
        <v>0</v>
      </c>
      <c r="Y111" s="1">
        <v>0</v>
      </c>
      <c r="Z111" s="1">
        <v>0</v>
      </c>
      <c r="AA111" s="1">
        <v>0</v>
      </c>
      <c r="AB111" s="1">
        <v>0</v>
      </c>
      <c r="AC111" s="1">
        <v>4</v>
      </c>
      <c r="AD111" s="1">
        <v>0</v>
      </c>
      <c r="AE111" s="1">
        <v>3</v>
      </c>
      <c r="AF111" s="1">
        <v>2</v>
      </c>
      <c r="AG111" t="s">
        <v>1708</v>
      </c>
      <c r="AH111" s="1">
        <v>3600</v>
      </c>
      <c r="AI111" s="1" t="s">
        <v>2118</v>
      </c>
      <c r="AJ111" s="1">
        <v>0</v>
      </c>
      <c r="AK111" s="1" t="s">
        <v>427</v>
      </c>
      <c r="AL111" s="1" t="s">
        <v>2119</v>
      </c>
      <c r="AM111" s="1">
        <v>0.45</v>
      </c>
      <c r="AN111" s="1">
        <v>0.15</v>
      </c>
      <c r="AO111" s="1">
        <v>0.3</v>
      </c>
      <c r="AP111" s="1">
        <v>0.15</v>
      </c>
      <c r="AQ111" s="1">
        <v>3</v>
      </c>
      <c r="AR111" s="1" t="s">
        <v>1541</v>
      </c>
      <c r="AS111" s="1">
        <v>0</v>
      </c>
      <c r="AT111" s="1" t="s">
        <v>1866</v>
      </c>
      <c r="AU111" s="1">
        <v>10</v>
      </c>
      <c r="AV111" s="1">
        <v>18010</v>
      </c>
      <c r="AW111" s="1">
        <v>0</v>
      </c>
    </row>
    <row r="112" spans="1:49" x14ac:dyDescent="0.25">
      <c r="A112" s="1">
        <v>112</v>
      </c>
      <c r="B112" s="1" t="s">
        <v>2120</v>
      </c>
      <c r="C112" s="1" t="s">
        <v>2121</v>
      </c>
      <c r="D112" s="1">
        <v>5</v>
      </c>
      <c r="E112" s="1">
        <v>1</v>
      </c>
      <c r="F112" s="1">
        <v>18</v>
      </c>
      <c r="G112" s="1" t="s">
        <v>329</v>
      </c>
      <c r="H112" s="1" t="s">
        <v>344</v>
      </c>
      <c r="I112" s="1" t="s">
        <v>329</v>
      </c>
      <c r="J112" s="1" t="s">
        <v>329</v>
      </c>
      <c r="K112" s="1" t="s">
        <v>345</v>
      </c>
      <c r="L112" s="1" t="s">
        <v>329</v>
      </c>
      <c r="M112" s="1" t="s">
        <v>393</v>
      </c>
      <c r="N112" s="1" t="s">
        <v>329</v>
      </c>
      <c r="O112" s="1" t="s">
        <v>329</v>
      </c>
      <c r="P112" s="1" t="s">
        <v>329</v>
      </c>
      <c r="Q112" s="1" t="s">
        <v>329</v>
      </c>
      <c r="R112" s="1" t="s">
        <v>329</v>
      </c>
      <c r="S112" s="1" t="s">
        <v>329</v>
      </c>
      <c r="T112" s="1" t="s">
        <v>329</v>
      </c>
      <c r="U112" s="1">
        <v>0</v>
      </c>
      <c r="V112" s="1">
        <v>0</v>
      </c>
      <c r="W112" s="1">
        <v>0</v>
      </c>
      <c r="X112" s="1">
        <v>0</v>
      </c>
      <c r="Y112" s="1">
        <v>0</v>
      </c>
      <c r="Z112" s="1">
        <v>0</v>
      </c>
      <c r="AA112" s="1">
        <v>0</v>
      </c>
      <c r="AB112" s="1">
        <v>0</v>
      </c>
      <c r="AC112" s="1">
        <v>4</v>
      </c>
      <c r="AD112" s="1">
        <v>0</v>
      </c>
      <c r="AE112" s="1">
        <v>3</v>
      </c>
      <c r="AF112" s="1">
        <v>2</v>
      </c>
      <c r="AG112" t="s">
        <v>260</v>
      </c>
      <c r="AH112" s="1">
        <v>3600</v>
      </c>
      <c r="AI112" s="1" t="s">
        <v>2122</v>
      </c>
      <c r="AJ112" s="1">
        <v>0</v>
      </c>
      <c r="AK112" s="1" t="s">
        <v>428</v>
      </c>
      <c r="AL112" s="1" t="s">
        <v>2123</v>
      </c>
      <c r="AM112" s="1">
        <v>0.45</v>
      </c>
      <c r="AN112" s="1">
        <v>0.15</v>
      </c>
      <c r="AO112" s="1">
        <v>0.3</v>
      </c>
      <c r="AP112" s="1">
        <v>0.15</v>
      </c>
      <c r="AQ112" s="1">
        <v>3</v>
      </c>
      <c r="AR112" s="1" t="s">
        <v>1542</v>
      </c>
      <c r="AS112" s="1">
        <v>0</v>
      </c>
      <c r="AT112" s="1" t="s">
        <v>1866</v>
      </c>
      <c r="AU112" s="1">
        <v>10</v>
      </c>
      <c r="AV112" s="1">
        <v>18011</v>
      </c>
      <c r="AW112" s="1">
        <v>0</v>
      </c>
    </row>
    <row r="113" spans="1:49" x14ac:dyDescent="0.25">
      <c r="A113" s="1">
        <v>113</v>
      </c>
      <c r="B113" s="1" t="s">
        <v>2124</v>
      </c>
      <c r="C113" s="1" t="s">
        <v>2125</v>
      </c>
      <c r="D113" s="1">
        <v>5</v>
      </c>
      <c r="E113" s="1">
        <v>1</v>
      </c>
      <c r="F113" s="1">
        <v>18</v>
      </c>
      <c r="G113" s="1" t="s">
        <v>329</v>
      </c>
      <c r="H113" s="1" t="s">
        <v>332</v>
      </c>
      <c r="I113" s="1" t="s">
        <v>342</v>
      </c>
      <c r="J113" s="1" t="s">
        <v>329</v>
      </c>
      <c r="K113" s="1" t="s">
        <v>329</v>
      </c>
      <c r="L113" s="1" t="s">
        <v>329</v>
      </c>
      <c r="M113" s="1" t="s">
        <v>386</v>
      </c>
      <c r="N113" s="1" t="s">
        <v>329</v>
      </c>
      <c r="O113" s="1" t="s">
        <v>329</v>
      </c>
      <c r="P113" s="1" t="s">
        <v>329</v>
      </c>
      <c r="Q113" s="1" t="s">
        <v>329</v>
      </c>
      <c r="R113" s="1" t="s">
        <v>329</v>
      </c>
      <c r="S113" s="1" t="s">
        <v>329</v>
      </c>
      <c r="T113" s="1" t="s">
        <v>329</v>
      </c>
      <c r="U113" s="1">
        <v>0</v>
      </c>
      <c r="V113" s="1">
        <v>0</v>
      </c>
      <c r="W113" s="1">
        <v>0</v>
      </c>
      <c r="X113" s="1">
        <v>0</v>
      </c>
      <c r="Y113" s="1">
        <v>0</v>
      </c>
      <c r="Z113" s="1">
        <v>0</v>
      </c>
      <c r="AA113" s="1">
        <v>0</v>
      </c>
      <c r="AB113" s="1">
        <v>0</v>
      </c>
      <c r="AC113" s="1">
        <v>4</v>
      </c>
      <c r="AD113" s="1">
        <v>2</v>
      </c>
      <c r="AE113" s="1">
        <v>2</v>
      </c>
      <c r="AF113" s="1">
        <v>2</v>
      </c>
      <c r="AG113" t="s">
        <v>787</v>
      </c>
      <c r="AH113" s="1">
        <v>3600</v>
      </c>
      <c r="AI113" s="1" t="s">
        <v>2126</v>
      </c>
      <c r="AJ113" s="1">
        <v>0</v>
      </c>
      <c r="AK113" s="1" t="s">
        <v>429</v>
      </c>
      <c r="AL113" s="1" t="s">
        <v>2127</v>
      </c>
      <c r="AM113" s="1">
        <v>0.55000000000000004</v>
      </c>
      <c r="AN113" s="1">
        <v>0.23</v>
      </c>
      <c r="AO113" s="1">
        <v>0.23</v>
      </c>
      <c r="AP113" s="1">
        <v>0.23</v>
      </c>
      <c r="AQ113" s="1">
        <v>3</v>
      </c>
      <c r="AR113" s="1" t="s">
        <v>1543</v>
      </c>
      <c r="AS113" s="1">
        <v>0</v>
      </c>
      <c r="AT113" s="1" t="s">
        <v>1866</v>
      </c>
      <c r="AU113" s="1">
        <v>10</v>
      </c>
      <c r="AV113" s="1">
        <v>18012</v>
      </c>
      <c r="AW113" s="1">
        <v>0</v>
      </c>
    </row>
    <row r="114" spans="1:49" x14ac:dyDescent="0.25">
      <c r="A114" s="1">
        <v>114</v>
      </c>
      <c r="B114" s="1" t="s">
        <v>2128</v>
      </c>
      <c r="C114" s="1" t="s">
        <v>2129</v>
      </c>
      <c r="D114" s="1">
        <v>5</v>
      </c>
      <c r="E114" s="1">
        <v>1</v>
      </c>
      <c r="F114" s="1">
        <v>18</v>
      </c>
      <c r="G114" s="1" t="s">
        <v>329</v>
      </c>
      <c r="H114" s="1" t="s">
        <v>355</v>
      </c>
      <c r="I114" s="1" t="s">
        <v>359</v>
      </c>
      <c r="J114" s="1" t="s">
        <v>329</v>
      </c>
      <c r="K114" s="1" t="s">
        <v>329</v>
      </c>
      <c r="L114" s="1" t="s">
        <v>329</v>
      </c>
      <c r="M114" s="1" t="s">
        <v>386</v>
      </c>
      <c r="N114" s="1" t="s">
        <v>329</v>
      </c>
      <c r="O114" s="1" t="s">
        <v>329</v>
      </c>
      <c r="P114" s="1" t="s">
        <v>329</v>
      </c>
      <c r="Q114" s="1" t="s">
        <v>329</v>
      </c>
      <c r="R114" s="1" t="s">
        <v>329</v>
      </c>
      <c r="S114" s="1" t="s">
        <v>329</v>
      </c>
      <c r="T114" s="1" t="s">
        <v>329</v>
      </c>
      <c r="U114" s="1">
        <v>0</v>
      </c>
      <c r="V114" s="1">
        <v>0</v>
      </c>
      <c r="W114" s="1">
        <v>0</v>
      </c>
      <c r="X114" s="1">
        <v>0</v>
      </c>
      <c r="Y114" s="1">
        <v>0</v>
      </c>
      <c r="Z114" s="1">
        <v>0</v>
      </c>
      <c r="AA114" s="1">
        <v>0</v>
      </c>
      <c r="AB114" s="1">
        <v>0</v>
      </c>
      <c r="AC114" s="1">
        <v>4</v>
      </c>
      <c r="AD114" s="1">
        <v>2</v>
      </c>
      <c r="AE114" s="1">
        <v>2</v>
      </c>
      <c r="AF114" s="1">
        <v>2</v>
      </c>
      <c r="AG114" t="s">
        <v>1712</v>
      </c>
      <c r="AH114" s="1">
        <v>3600</v>
      </c>
      <c r="AI114" s="1" t="s">
        <v>2130</v>
      </c>
      <c r="AJ114" s="1">
        <v>0</v>
      </c>
      <c r="AK114" s="1" t="s">
        <v>430</v>
      </c>
      <c r="AL114" s="1" t="s">
        <v>2131</v>
      </c>
      <c r="AM114" s="1">
        <v>0.55000000000000004</v>
      </c>
      <c r="AN114" s="1">
        <v>0.23</v>
      </c>
      <c r="AO114" s="1">
        <v>0.23</v>
      </c>
      <c r="AP114" s="1">
        <v>0.23</v>
      </c>
      <c r="AQ114" s="1">
        <v>3</v>
      </c>
      <c r="AR114" s="1" t="s">
        <v>1544</v>
      </c>
      <c r="AS114" s="1">
        <v>0</v>
      </c>
      <c r="AT114" s="1" t="s">
        <v>1866</v>
      </c>
      <c r="AU114" s="1">
        <v>10</v>
      </c>
      <c r="AV114" s="1">
        <v>18013</v>
      </c>
      <c r="AW114" s="1">
        <v>0</v>
      </c>
    </row>
    <row r="115" spans="1:49" x14ac:dyDescent="0.25">
      <c r="A115" s="1">
        <v>115</v>
      </c>
      <c r="B115" s="1" t="s">
        <v>2132</v>
      </c>
      <c r="C115" s="1" t="s">
        <v>2133</v>
      </c>
      <c r="D115" s="1">
        <v>5</v>
      </c>
      <c r="E115" s="1">
        <v>3</v>
      </c>
      <c r="F115" s="1">
        <v>20</v>
      </c>
      <c r="G115" s="1" t="s">
        <v>335</v>
      </c>
      <c r="H115" s="1" t="s">
        <v>329</v>
      </c>
      <c r="I115" s="1" t="s">
        <v>329</v>
      </c>
      <c r="J115" s="1" t="s">
        <v>402</v>
      </c>
      <c r="K115" s="1" t="s">
        <v>329</v>
      </c>
      <c r="L115" s="1" t="s">
        <v>344</v>
      </c>
      <c r="M115" s="1" t="s">
        <v>329</v>
      </c>
      <c r="N115" s="1" t="s">
        <v>329</v>
      </c>
      <c r="O115" s="1" t="s">
        <v>329</v>
      </c>
      <c r="P115" s="1" t="s">
        <v>329</v>
      </c>
      <c r="Q115" s="1" t="s">
        <v>329</v>
      </c>
      <c r="R115" s="1" t="s">
        <v>329</v>
      </c>
      <c r="S115" s="1" t="s">
        <v>329</v>
      </c>
      <c r="T115" s="1" t="s">
        <v>329</v>
      </c>
      <c r="U115" s="1">
        <v>0</v>
      </c>
      <c r="V115" s="1">
        <v>0</v>
      </c>
      <c r="W115" s="1">
        <v>0</v>
      </c>
      <c r="X115" s="1">
        <v>0</v>
      </c>
      <c r="Y115" s="1">
        <v>0</v>
      </c>
      <c r="Z115" s="1">
        <v>0</v>
      </c>
      <c r="AA115" s="1">
        <v>0</v>
      </c>
      <c r="AB115" s="1">
        <v>0</v>
      </c>
      <c r="AC115" s="1">
        <v>4</v>
      </c>
      <c r="AD115" s="1">
        <v>0</v>
      </c>
      <c r="AE115" s="1">
        <v>5</v>
      </c>
      <c r="AF115" s="1">
        <v>0</v>
      </c>
      <c r="AG115" t="s">
        <v>1709</v>
      </c>
      <c r="AH115" s="1">
        <v>3600</v>
      </c>
      <c r="AI115" s="1" t="s">
        <v>2134</v>
      </c>
      <c r="AJ115" s="1">
        <v>0</v>
      </c>
      <c r="AK115" s="1" t="s">
        <v>431</v>
      </c>
      <c r="AL115" s="1" t="s">
        <v>2135</v>
      </c>
      <c r="AM115" s="1">
        <v>0.55000000000000004</v>
      </c>
      <c r="AN115" s="1">
        <v>0.16</v>
      </c>
      <c r="AO115" s="1">
        <v>0.6</v>
      </c>
      <c r="AP115" s="1">
        <v>0.16</v>
      </c>
      <c r="AQ115" s="1">
        <v>3</v>
      </c>
      <c r="AR115" s="1" t="s">
        <v>1545</v>
      </c>
      <c r="AS115" s="1">
        <v>0</v>
      </c>
      <c r="AT115" s="1" t="s">
        <v>1866</v>
      </c>
      <c r="AU115" s="1">
        <v>10</v>
      </c>
      <c r="AV115" s="1">
        <v>20012</v>
      </c>
      <c r="AW115" s="1">
        <v>0</v>
      </c>
    </row>
    <row r="116" spans="1:49" x14ac:dyDescent="0.25">
      <c r="A116" s="1">
        <v>117</v>
      </c>
      <c r="B116" s="1" t="s">
        <v>2136</v>
      </c>
      <c r="C116" s="1" t="s">
        <v>2137</v>
      </c>
      <c r="D116" s="1">
        <v>5</v>
      </c>
      <c r="E116" s="1">
        <v>1</v>
      </c>
      <c r="F116" s="1">
        <v>18</v>
      </c>
      <c r="G116" s="1" t="s">
        <v>329</v>
      </c>
      <c r="H116" s="1" t="s">
        <v>329</v>
      </c>
      <c r="I116" s="1" t="s">
        <v>329</v>
      </c>
      <c r="J116" s="1" t="s">
        <v>329</v>
      </c>
      <c r="K116" s="1" t="s">
        <v>329</v>
      </c>
      <c r="L116" s="1" t="s">
        <v>329</v>
      </c>
      <c r="M116" s="1" t="s">
        <v>329</v>
      </c>
      <c r="N116" s="1" t="s">
        <v>329</v>
      </c>
      <c r="O116" s="1" t="s">
        <v>329</v>
      </c>
      <c r="P116" s="1" t="s">
        <v>329</v>
      </c>
      <c r="Q116" s="1" t="s">
        <v>329</v>
      </c>
      <c r="R116" s="1" t="s">
        <v>329</v>
      </c>
      <c r="S116" s="1" t="s">
        <v>369</v>
      </c>
      <c r="T116" s="1" t="s">
        <v>329</v>
      </c>
      <c r="U116" s="1">
        <v>30</v>
      </c>
      <c r="V116" s="1">
        <v>0</v>
      </c>
      <c r="W116" s="1">
        <v>0</v>
      </c>
      <c r="X116" s="1">
        <v>0</v>
      </c>
      <c r="Y116" s="1">
        <v>0</v>
      </c>
      <c r="Z116" s="1">
        <v>0</v>
      </c>
      <c r="AA116" s="1">
        <v>0</v>
      </c>
      <c r="AB116" s="1">
        <v>0</v>
      </c>
      <c r="AC116" s="1">
        <v>3</v>
      </c>
      <c r="AD116" s="1">
        <v>0</v>
      </c>
      <c r="AE116" s="1">
        <v>4</v>
      </c>
      <c r="AF116" s="1">
        <v>2</v>
      </c>
      <c r="AG116" t="s">
        <v>718</v>
      </c>
      <c r="AH116" s="1">
        <v>3600</v>
      </c>
      <c r="AI116" s="1" t="s">
        <v>2138</v>
      </c>
      <c r="AJ116" s="1">
        <v>0</v>
      </c>
      <c r="AK116" s="1" t="s">
        <v>432</v>
      </c>
      <c r="AL116" s="1" t="s">
        <v>2139</v>
      </c>
      <c r="AM116" s="1">
        <v>0</v>
      </c>
      <c r="AN116" s="1">
        <v>0</v>
      </c>
      <c r="AO116" s="1">
        <v>0</v>
      </c>
      <c r="AP116" s="1">
        <v>0</v>
      </c>
      <c r="AQ116" s="1">
        <v>3</v>
      </c>
      <c r="AR116" s="1" t="s">
        <v>329</v>
      </c>
      <c r="AS116" s="1">
        <v>109406</v>
      </c>
      <c r="AT116" s="1" t="s">
        <v>1866</v>
      </c>
      <c r="AU116" s="1">
        <v>0</v>
      </c>
      <c r="AV116" s="1">
        <v>18014</v>
      </c>
      <c r="AW116" s="1">
        <v>0</v>
      </c>
    </row>
    <row r="117" spans="1:49" x14ac:dyDescent="0.25">
      <c r="A117" s="1">
        <v>118</v>
      </c>
      <c r="B117" s="1" t="s">
        <v>2140</v>
      </c>
      <c r="C117" s="1" t="s">
        <v>2141</v>
      </c>
      <c r="D117" s="1">
        <v>5</v>
      </c>
      <c r="E117" s="1">
        <v>1</v>
      </c>
      <c r="F117" s="1">
        <v>18</v>
      </c>
      <c r="G117" s="1" t="s">
        <v>329</v>
      </c>
      <c r="H117" s="1" t="s">
        <v>329</v>
      </c>
      <c r="I117" s="1" t="s">
        <v>329</v>
      </c>
      <c r="J117" s="1" t="s">
        <v>329</v>
      </c>
      <c r="K117" s="1" t="s">
        <v>329</v>
      </c>
      <c r="L117" s="1" t="s">
        <v>329</v>
      </c>
      <c r="M117" s="1" t="s">
        <v>329</v>
      </c>
      <c r="N117" s="1" t="s">
        <v>329</v>
      </c>
      <c r="O117" s="1" t="s">
        <v>329</v>
      </c>
      <c r="P117" s="1" t="s">
        <v>329</v>
      </c>
      <c r="Q117" s="1" t="s">
        <v>329</v>
      </c>
      <c r="R117" s="1" t="s">
        <v>329</v>
      </c>
      <c r="S117" s="1" t="s">
        <v>369</v>
      </c>
      <c r="T117" s="1" t="s">
        <v>329</v>
      </c>
      <c r="U117" s="1">
        <v>30</v>
      </c>
      <c r="V117" s="1">
        <v>0</v>
      </c>
      <c r="W117" s="1">
        <v>0</v>
      </c>
      <c r="X117" s="1">
        <v>0</v>
      </c>
      <c r="Y117" s="1">
        <v>0</v>
      </c>
      <c r="Z117" s="1">
        <v>0</v>
      </c>
      <c r="AA117" s="1">
        <v>0</v>
      </c>
      <c r="AB117" s="1">
        <v>0</v>
      </c>
      <c r="AC117" s="1">
        <v>3</v>
      </c>
      <c r="AD117" s="1">
        <v>0</v>
      </c>
      <c r="AE117" s="1">
        <v>4</v>
      </c>
      <c r="AF117" s="1">
        <v>2</v>
      </c>
      <c r="AG117" t="s">
        <v>719</v>
      </c>
      <c r="AH117" s="1">
        <v>3600</v>
      </c>
      <c r="AI117" s="1" t="s">
        <v>2138</v>
      </c>
      <c r="AJ117" s="1">
        <v>0</v>
      </c>
      <c r="AK117" s="1" t="s">
        <v>433</v>
      </c>
      <c r="AL117" s="1" t="s">
        <v>2142</v>
      </c>
      <c r="AM117" s="1">
        <v>0</v>
      </c>
      <c r="AN117" s="1">
        <v>0</v>
      </c>
      <c r="AO117" s="1">
        <v>0</v>
      </c>
      <c r="AP117" s="1">
        <v>0</v>
      </c>
      <c r="AQ117" s="1">
        <v>3</v>
      </c>
      <c r="AR117" s="1" t="s">
        <v>329</v>
      </c>
      <c r="AS117" s="1">
        <v>109504</v>
      </c>
      <c r="AT117" s="1" t="s">
        <v>1866</v>
      </c>
      <c r="AU117" s="1">
        <v>0</v>
      </c>
      <c r="AV117" s="1">
        <v>18015</v>
      </c>
      <c r="AW117" s="1">
        <v>0</v>
      </c>
    </row>
    <row r="118" spans="1:49" x14ac:dyDescent="0.25">
      <c r="A118" s="1">
        <v>119</v>
      </c>
      <c r="B118" s="1" t="s">
        <v>2143</v>
      </c>
      <c r="C118" s="1" t="s">
        <v>2144</v>
      </c>
      <c r="D118" s="1">
        <v>5</v>
      </c>
      <c r="E118" s="1">
        <v>1</v>
      </c>
      <c r="F118" s="1">
        <v>18</v>
      </c>
      <c r="G118" s="1" t="s">
        <v>355</v>
      </c>
      <c r="H118" s="1" t="s">
        <v>332</v>
      </c>
      <c r="I118" s="1" t="s">
        <v>329</v>
      </c>
      <c r="J118" s="1" t="s">
        <v>329</v>
      </c>
      <c r="K118" s="1" t="s">
        <v>329</v>
      </c>
      <c r="L118" s="1" t="s">
        <v>329</v>
      </c>
      <c r="M118" s="1" t="s">
        <v>328</v>
      </c>
      <c r="N118" s="1" t="s">
        <v>329</v>
      </c>
      <c r="O118" s="1" t="s">
        <v>329</v>
      </c>
      <c r="P118" s="1" t="s">
        <v>329</v>
      </c>
      <c r="Q118" s="1" t="s">
        <v>329</v>
      </c>
      <c r="R118" s="1" t="s">
        <v>329</v>
      </c>
      <c r="S118" s="1" t="s">
        <v>329</v>
      </c>
      <c r="T118" s="1" t="s">
        <v>329</v>
      </c>
      <c r="U118" s="1">
        <v>0</v>
      </c>
      <c r="V118" s="1">
        <v>0</v>
      </c>
      <c r="W118" s="1">
        <v>0</v>
      </c>
      <c r="X118" s="1">
        <v>0</v>
      </c>
      <c r="Y118" s="1">
        <v>0</v>
      </c>
      <c r="Z118" s="1">
        <v>0</v>
      </c>
      <c r="AA118" s="1">
        <v>0</v>
      </c>
      <c r="AB118" s="1">
        <v>0</v>
      </c>
      <c r="AC118" s="1">
        <v>4</v>
      </c>
      <c r="AD118" s="1">
        <v>0</v>
      </c>
      <c r="AE118" s="1">
        <v>3</v>
      </c>
      <c r="AF118" s="1">
        <v>2</v>
      </c>
      <c r="AG118" t="s">
        <v>711</v>
      </c>
      <c r="AH118" s="1">
        <v>3600</v>
      </c>
      <c r="AI118" s="1" t="s">
        <v>2145</v>
      </c>
      <c r="AJ118" s="1">
        <v>0</v>
      </c>
      <c r="AK118" s="1" t="s">
        <v>434</v>
      </c>
      <c r="AL118" s="1" t="s">
        <v>2146</v>
      </c>
      <c r="AM118" s="1">
        <v>0.45</v>
      </c>
      <c r="AN118" s="1">
        <v>0.15</v>
      </c>
      <c r="AO118" s="1">
        <v>0.3</v>
      </c>
      <c r="AP118" s="1">
        <v>0.15</v>
      </c>
      <c r="AQ118" s="1">
        <v>3</v>
      </c>
      <c r="AR118" s="1" t="s">
        <v>1546</v>
      </c>
      <c r="AS118" s="1">
        <v>0</v>
      </c>
      <c r="AT118" s="1" t="s">
        <v>1866</v>
      </c>
      <c r="AU118" s="1">
        <v>10</v>
      </c>
      <c r="AV118" s="1">
        <v>18016</v>
      </c>
      <c r="AW118" s="1">
        <v>0</v>
      </c>
    </row>
    <row r="119" spans="1:49" x14ac:dyDescent="0.25">
      <c r="A119" s="1">
        <v>120</v>
      </c>
      <c r="B119" s="1" t="s">
        <v>5682</v>
      </c>
      <c r="C119" s="1" t="s">
        <v>5683</v>
      </c>
      <c r="D119" s="1">
        <v>5</v>
      </c>
      <c r="E119" s="1">
        <v>1</v>
      </c>
      <c r="F119" s="1">
        <v>3</v>
      </c>
      <c r="G119" s="1" t="s">
        <v>329</v>
      </c>
      <c r="H119" s="1" t="s">
        <v>393</v>
      </c>
      <c r="I119" s="1" t="s">
        <v>329</v>
      </c>
      <c r="J119" s="1" t="s">
        <v>329</v>
      </c>
      <c r="K119" s="1" t="s">
        <v>331</v>
      </c>
      <c r="L119" s="1" t="s">
        <v>329</v>
      </c>
      <c r="M119" s="1" t="s">
        <v>329</v>
      </c>
      <c r="N119" s="1" t="s">
        <v>329</v>
      </c>
      <c r="O119" s="1" t="s">
        <v>329</v>
      </c>
      <c r="P119" s="1" t="s">
        <v>329</v>
      </c>
      <c r="Q119" s="1" t="s">
        <v>329</v>
      </c>
      <c r="R119" s="1" t="s">
        <v>329</v>
      </c>
      <c r="S119" s="1" t="s">
        <v>329</v>
      </c>
      <c r="T119" s="1" t="s">
        <v>329</v>
      </c>
      <c r="U119" s="1">
        <v>0</v>
      </c>
      <c r="V119" s="1">
        <v>0</v>
      </c>
      <c r="W119" s="1">
        <v>0</v>
      </c>
      <c r="X119" s="1">
        <v>0</v>
      </c>
      <c r="Y119" s="1">
        <v>0</v>
      </c>
      <c r="Z119" s="1">
        <v>0</v>
      </c>
      <c r="AA119" s="1">
        <v>0</v>
      </c>
      <c r="AB119" s="1">
        <v>0</v>
      </c>
      <c r="AC119" s="1">
        <v>3</v>
      </c>
      <c r="AD119" s="1">
        <v>0</v>
      </c>
      <c r="AE119" s="1">
        <v>4</v>
      </c>
      <c r="AF119" s="1">
        <v>2</v>
      </c>
      <c r="AG119" t="s">
        <v>5684</v>
      </c>
      <c r="AH119" s="1">
        <v>3600</v>
      </c>
      <c r="AI119" s="1" t="s">
        <v>1978</v>
      </c>
      <c r="AJ119" s="1">
        <v>0</v>
      </c>
      <c r="AK119" s="1" t="s">
        <v>329</v>
      </c>
      <c r="AL119" s="1" t="s">
        <v>5685</v>
      </c>
      <c r="AM119" s="1">
        <v>0.45</v>
      </c>
      <c r="AN119" s="1">
        <v>0.15</v>
      </c>
      <c r="AO119" s="1">
        <v>0.3</v>
      </c>
      <c r="AP119" s="1">
        <v>0.15</v>
      </c>
      <c r="AQ119" s="1">
        <v>1</v>
      </c>
      <c r="AR119" s="1" t="s">
        <v>1498</v>
      </c>
      <c r="AS119" s="1">
        <v>0</v>
      </c>
      <c r="AT119" s="1" t="s">
        <v>1866</v>
      </c>
      <c r="AU119" s="1">
        <v>10</v>
      </c>
      <c r="AV119" s="1">
        <v>3001</v>
      </c>
      <c r="AW119" s="1">
        <v>0</v>
      </c>
    </row>
    <row r="120" spans="1:49" x14ac:dyDescent="0.25">
      <c r="A120" s="1">
        <v>121</v>
      </c>
      <c r="B120" s="1" t="s">
        <v>5686</v>
      </c>
      <c r="C120" s="1" t="s">
        <v>5687</v>
      </c>
      <c r="D120" s="1">
        <v>5</v>
      </c>
      <c r="E120" s="1">
        <v>3</v>
      </c>
      <c r="F120" s="1">
        <v>10</v>
      </c>
      <c r="G120" s="1" t="s">
        <v>435</v>
      </c>
      <c r="H120" s="1" t="s">
        <v>329</v>
      </c>
      <c r="I120" s="1" t="s">
        <v>397</v>
      </c>
      <c r="J120" s="1" t="s">
        <v>329</v>
      </c>
      <c r="K120" s="1" t="s">
        <v>329</v>
      </c>
      <c r="L120" s="1" t="s">
        <v>329</v>
      </c>
      <c r="M120" s="1" t="s">
        <v>329</v>
      </c>
      <c r="N120" s="1" t="s">
        <v>329</v>
      </c>
      <c r="O120" s="1" t="s">
        <v>329</v>
      </c>
      <c r="P120" s="1" t="s">
        <v>329</v>
      </c>
      <c r="Q120" s="1" t="s">
        <v>329</v>
      </c>
      <c r="R120" s="1" t="s">
        <v>329</v>
      </c>
      <c r="S120" s="1" t="s">
        <v>329</v>
      </c>
      <c r="T120" s="1" t="s">
        <v>329</v>
      </c>
      <c r="U120" s="1">
        <v>0</v>
      </c>
      <c r="V120" s="1">
        <v>0</v>
      </c>
      <c r="W120" s="1">
        <v>0</v>
      </c>
      <c r="X120" s="1">
        <v>0</v>
      </c>
      <c r="Y120" s="1">
        <v>0</v>
      </c>
      <c r="Z120" s="1">
        <v>0</v>
      </c>
      <c r="AA120" s="1">
        <v>0</v>
      </c>
      <c r="AB120" s="1">
        <v>0</v>
      </c>
      <c r="AC120" s="1">
        <v>4</v>
      </c>
      <c r="AD120" s="1">
        <v>2</v>
      </c>
      <c r="AE120" s="1">
        <v>0</v>
      </c>
      <c r="AF120" s="1">
        <v>4</v>
      </c>
      <c r="AG120" t="s">
        <v>5688</v>
      </c>
      <c r="AH120" s="1">
        <v>3600</v>
      </c>
      <c r="AI120" s="1" t="s">
        <v>1978</v>
      </c>
      <c r="AJ120" s="1">
        <v>0</v>
      </c>
      <c r="AK120" s="1" t="s">
        <v>329</v>
      </c>
      <c r="AL120" s="1" t="s">
        <v>5689</v>
      </c>
      <c r="AM120" s="1">
        <v>0.3</v>
      </c>
      <c r="AN120" s="1">
        <v>0.23</v>
      </c>
      <c r="AO120" s="1">
        <v>0.15</v>
      </c>
      <c r="AP120" s="1">
        <v>0.38</v>
      </c>
      <c r="AQ120" s="1">
        <v>1</v>
      </c>
      <c r="AR120" s="1" t="s">
        <v>1504</v>
      </c>
      <c r="AS120" s="1">
        <v>0</v>
      </c>
      <c r="AT120" s="1" t="s">
        <v>1866</v>
      </c>
      <c r="AU120" s="1">
        <v>10</v>
      </c>
      <c r="AV120" s="1">
        <v>10001</v>
      </c>
      <c r="AW120" s="1">
        <v>0</v>
      </c>
    </row>
    <row r="121" spans="1:49" x14ac:dyDescent="0.25">
      <c r="A121" s="1">
        <v>122</v>
      </c>
      <c r="B121" s="1" t="s">
        <v>2147</v>
      </c>
      <c r="C121" s="1" t="s">
        <v>2148</v>
      </c>
      <c r="D121" s="1">
        <v>5</v>
      </c>
      <c r="E121" s="1">
        <v>1</v>
      </c>
      <c r="F121" s="1">
        <v>18</v>
      </c>
      <c r="G121" s="1" t="s">
        <v>332</v>
      </c>
      <c r="H121" s="1" t="s">
        <v>329</v>
      </c>
      <c r="I121" s="1" t="s">
        <v>359</v>
      </c>
      <c r="J121" s="1" t="s">
        <v>329</v>
      </c>
      <c r="K121" s="1" t="s">
        <v>329</v>
      </c>
      <c r="L121" s="1" t="s">
        <v>329</v>
      </c>
      <c r="M121" s="1" t="s">
        <v>386</v>
      </c>
      <c r="N121" s="1" t="s">
        <v>329</v>
      </c>
      <c r="O121" s="1" t="s">
        <v>329</v>
      </c>
      <c r="P121" s="1" t="s">
        <v>329</v>
      </c>
      <c r="Q121" s="1" t="s">
        <v>329</v>
      </c>
      <c r="R121" s="1" t="s">
        <v>329</v>
      </c>
      <c r="S121" s="1" t="s">
        <v>329</v>
      </c>
      <c r="T121" s="1" t="s">
        <v>329</v>
      </c>
      <c r="U121" s="1">
        <v>0</v>
      </c>
      <c r="V121" s="1">
        <v>0</v>
      </c>
      <c r="W121" s="1">
        <v>0</v>
      </c>
      <c r="X121" s="1">
        <v>0</v>
      </c>
      <c r="Y121" s="1">
        <v>0</v>
      </c>
      <c r="Z121" s="1">
        <v>0</v>
      </c>
      <c r="AA121" s="1">
        <v>0</v>
      </c>
      <c r="AB121" s="1">
        <v>0</v>
      </c>
      <c r="AC121" s="1">
        <v>4</v>
      </c>
      <c r="AD121" s="1">
        <v>2</v>
      </c>
      <c r="AE121" s="1">
        <v>2</v>
      </c>
      <c r="AF121" s="1">
        <v>2</v>
      </c>
      <c r="AG121" t="s">
        <v>267</v>
      </c>
      <c r="AH121" s="1">
        <v>2820</v>
      </c>
      <c r="AI121" s="1" t="s">
        <v>2122</v>
      </c>
      <c r="AJ121" s="1">
        <v>0</v>
      </c>
      <c r="AK121" s="1" t="s">
        <v>436</v>
      </c>
      <c r="AL121" s="1" t="s">
        <v>2149</v>
      </c>
      <c r="AM121" s="1">
        <v>0.55000000000000004</v>
      </c>
      <c r="AN121" s="1">
        <v>0.23</v>
      </c>
      <c r="AO121" s="1">
        <v>0.23</v>
      </c>
      <c r="AP121" s="1">
        <v>0.23</v>
      </c>
      <c r="AQ121" s="1">
        <v>3</v>
      </c>
      <c r="AR121" s="1" t="s">
        <v>1547</v>
      </c>
      <c r="AS121" s="1">
        <v>0</v>
      </c>
      <c r="AT121" s="1" t="s">
        <v>1866</v>
      </c>
      <c r="AU121" s="1">
        <v>10</v>
      </c>
      <c r="AV121" s="1">
        <v>18017</v>
      </c>
      <c r="AW121" s="1">
        <v>0</v>
      </c>
    </row>
    <row r="122" spans="1:49" x14ac:dyDescent="0.25">
      <c r="A122" s="1">
        <v>123</v>
      </c>
      <c r="B122" s="1" t="s">
        <v>2150</v>
      </c>
      <c r="C122" s="1" t="s">
        <v>2151</v>
      </c>
      <c r="D122" s="1">
        <v>5</v>
      </c>
      <c r="E122" s="1">
        <v>1</v>
      </c>
      <c r="F122" s="1">
        <v>18</v>
      </c>
      <c r="G122" s="1" t="s">
        <v>335</v>
      </c>
      <c r="H122" s="1" t="s">
        <v>344</v>
      </c>
      <c r="I122" s="1" t="s">
        <v>329</v>
      </c>
      <c r="J122" s="1" t="s">
        <v>329</v>
      </c>
      <c r="K122" s="1" t="s">
        <v>329</v>
      </c>
      <c r="L122" s="1" t="s">
        <v>329</v>
      </c>
      <c r="M122" s="1" t="s">
        <v>393</v>
      </c>
      <c r="N122" s="1" t="s">
        <v>329</v>
      </c>
      <c r="O122" s="1" t="s">
        <v>329</v>
      </c>
      <c r="P122" s="1" t="s">
        <v>329</v>
      </c>
      <c r="Q122" s="1" t="s">
        <v>329</v>
      </c>
      <c r="R122" s="1" t="s">
        <v>329</v>
      </c>
      <c r="S122" s="1" t="s">
        <v>329</v>
      </c>
      <c r="T122" s="1" t="s">
        <v>329</v>
      </c>
      <c r="U122" s="1">
        <v>0</v>
      </c>
      <c r="V122" s="1">
        <v>0</v>
      </c>
      <c r="W122" s="1">
        <v>0</v>
      </c>
      <c r="X122" s="1">
        <v>0</v>
      </c>
      <c r="Y122" s="1">
        <v>0</v>
      </c>
      <c r="Z122" s="1">
        <v>0</v>
      </c>
      <c r="AA122" s="1">
        <v>0</v>
      </c>
      <c r="AB122" s="1">
        <v>0</v>
      </c>
      <c r="AC122" s="1">
        <v>4</v>
      </c>
      <c r="AD122" s="1">
        <v>0</v>
      </c>
      <c r="AE122" s="1">
        <v>3</v>
      </c>
      <c r="AF122" s="1">
        <v>2</v>
      </c>
      <c r="AG122" t="s">
        <v>744</v>
      </c>
      <c r="AH122" s="1">
        <v>3600</v>
      </c>
      <c r="AI122" s="1" t="s">
        <v>2152</v>
      </c>
      <c r="AJ122" s="1">
        <v>0</v>
      </c>
      <c r="AK122" s="1" t="s">
        <v>437</v>
      </c>
      <c r="AL122" s="1" t="s">
        <v>2153</v>
      </c>
      <c r="AM122" s="1">
        <v>0.45</v>
      </c>
      <c r="AN122" s="1">
        <v>0.15</v>
      </c>
      <c r="AO122" s="1">
        <v>0.3</v>
      </c>
      <c r="AP122" s="1">
        <v>0.15</v>
      </c>
      <c r="AQ122" s="1">
        <v>3</v>
      </c>
      <c r="AR122" s="1" t="s">
        <v>1548</v>
      </c>
      <c r="AS122" s="1">
        <v>0</v>
      </c>
      <c r="AT122" s="1" t="s">
        <v>1866</v>
      </c>
      <c r="AU122" s="1">
        <v>10</v>
      </c>
      <c r="AV122" s="1">
        <v>18018</v>
      </c>
      <c r="AW122" s="1">
        <v>0</v>
      </c>
    </row>
    <row r="123" spans="1:49" x14ac:dyDescent="0.25">
      <c r="A123" s="1">
        <v>124</v>
      </c>
      <c r="B123" s="1" t="s">
        <v>2154</v>
      </c>
      <c r="C123" s="1" t="s">
        <v>2155</v>
      </c>
      <c r="D123" s="1">
        <v>5</v>
      </c>
      <c r="E123" s="1">
        <v>1</v>
      </c>
      <c r="F123" s="1">
        <v>18</v>
      </c>
      <c r="G123" s="1" t="s">
        <v>355</v>
      </c>
      <c r="H123" s="1" t="s">
        <v>329</v>
      </c>
      <c r="I123" s="1" t="s">
        <v>329</v>
      </c>
      <c r="J123" s="1" t="s">
        <v>329</v>
      </c>
      <c r="K123" s="1" t="s">
        <v>329</v>
      </c>
      <c r="L123" s="1" t="s">
        <v>329</v>
      </c>
      <c r="M123" s="1" t="s">
        <v>328</v>
      </c>
      <c r="N123" s="1" t="s">
        <v>329</v>
      </c>
      <c r="O123" s="1" t="s">
        <v>329</v>
      </c>
      <c r="P123" s="1" t="s">
        <v>329</v>
      </c>
      <c r="Q123" s="1" t="s">
        <v>329</v>
      </c>
      <c r="R123" s="1" t="s">
        <v>329</v>
      </c>
      <c r="S123" s="1" t="s">
        <v>329</v>
      </c>
      <c r="T123" s="1" t="s">
        <v>329</v>
      </c>
      <c r="U123" s="1">
        <v>0</v>
      </c>
      <c r="V123" s="1">
        <v>0</v>
      </c>
      <c r="W123" s="1">
        <v>0</v>
      </c>
      <c r="X123" s="1">
        <v>0</v>
      </c>
      <c r="Y123" s="1">
        <v>0</v>
      </c>
      <c r="Z123" s="1">
        <v>0</v>
      </c>
      <c r="AA123" s="1">
        <v>0</v>
      </c>
      <c r="AB123" s="1">
        <v>0</v>
      </c>
      <c r="AC123" s="1">
        <v>4</v>
      </c>
      <c r="AD123" s="1">
        <v>0</v>
      </c>
      <c r="AE123" s="1">
        <v>3</v>
      </c>
      <c r="AF123" s="1">
        <v>2</v>
      </c>
      <c r="AG123" t="s">
        <v>1455</v>
      </c>
      <c r="AH123" s="1">
        <v>3600</v>
      </c>
      <c r="AI123" s="1" t="s">
        <v>2156</v>
      </c>
      <c r="AJ123" s="1">
        <v>0</v>
      </c>
      <c r="AK123" s="1" t="s">
        <v>438</v>
      </c>
      <c r="AL123" s="1" t="s">
        <v>2157</v>
      </c>
      <c r="AM123" s="1">
        <v>0.45</v>
      </c>
      <c r="AN123" s="1">
        <v>0.15</v>
      </c>
      <c r="AO123" s="1">
        <v>0.3</v>
      </c>
      <c r="AP123" s="1">
        <v>0.15</v>
      </c>
      <c r="AQ123" s="1">
        <v>3</v>
      </c>
      <c r="AR123" s="1" t="s">
        <v>1549</v>
      </c>
      <c r="AS123" s="1">
        <v>0</v>
      </c>
      <c r="AT123" s="1" t="s">
        <v>1866</v>
      </c>
      <c r="AU123" s="1">
        <v>10</v>
      </c>
      <c r="AV123" s="1">
        <v>18019</v>
      </c>
      <c r="AW123" s="1">
        <v>0</v>
      </c>
    </row>
    <row r="124" spans="1:49" x14ac:dyDescent="0.25">
      <c r="A124" s="1">
        <v>125</v>
      </c>
      <c r="B124" s="1" t="s">
        <v>2158</v>
      </c>
      <c r="C124" s="1" t="s">
        <v>2159</v>
      </c>
      <c r="D124" s="1">
        <v>5</v>
      </c>
      <c r="E124" s="1">
        <v>1</v>
      </c>
      <c r="F124" s="1">
        <v>18</v>
      </c>
      <c r="G124" s="1" t="s">
        <v>329</v>
      </c>
      <c r="H124" s="1" t="s">
        <v>329</v>
      </c>
      <c r="I124" s="1" t="s">
        <v>342</v>
      </c>
      <c r="J124" s="1" t="s">
        <v>329</v>
      </c>
      <c r="K124" s="1" t="s">
        <v>329</v>
      </c>
      <c r="L124" s="1" t="s">
        <v>329</v>
      </c>
      <c r="M124" s="1" t="s">
        <v>439</v>
      </c>
      <c r="N124" s="1" t="s">
        <v>329</v>
      </c>
      <c r="O124" s="1" t="s">
        <v>329</v>
      </c>
      <c r="P124" s="1" t="s">
        <v>329</v>
      </c>
      <c r="Q124" s="1" t="s">
        <v>329</v>
      </c>
      <c r="R124" s="1" t="s">
        <v>329</v>
      </c>
      <c r="S124" s="1" t="s">
        <v>329</v>
      </c>
      <c r="T124" s="1" t="s">
        <v>329</v>
      </c>
      <c r="U124" s="1">
        <v>0</v>
      </c>
      <c r="V124" s="1">
        <v>0</v>
      </c>
      <c r="W124" s="1">
        <v>0</v>
      </c>
      <c r="X124" s="1">
        <v>0</v>
      </c>
      <c r="Y124" s="1">
        <v>0</v>
      </c>
      <c r="Z124" s="1">
        <v>0</v>
      </c>
      <c r="AA124" s="1">
        <v>0</v>
      </c>
      <c r="AB124" s="1">
        <v>0</v>
      </c>
      <c r="AC124" s="1">
        <v>4</v>
      </c>
      <c r="AD124" s="1">
        <v>0</v>
      </c>
      <c r="AE124" s="1">
        <v>3</v>
      </c>
      <c r="AF124" s="1">
        <v>2</v>
      </c>
      <c r="AG124" t="s">
        <v>265</v>
      </c>
      <c r="AH124" s="1">
        <v>3600</v>
      </c>
      <c r="AI124" s="1" t="s">
        <v>2160</v>
      </c>
      <c r="AJ124" s="1">
        <v>0</v>
      </c>
      <c r="AK124" s="1" t="s">
        <v>440</v>
      </c>
      <c r="AL124" s="1" t="s">
        <v>2161</v>
      </c>
      <c r="AM124" s="1">
        <v>0.55000000000000004</v>
      </c>
      <c r="AN124" s="1">
        <v>0.23</v>
      </c>
      <c r="AO124" s="1">
        <v>0.23</v>
      </c>
      <c r="AP124" s="1">
        <v>0.23</v>
      </c>
      <c r="AQ124" s="1">
        <v>3</v>
      </c>
      <c r="AR124" s="1" t="s">
        <v>1550</v>
      </c>
      <c r="AS124" s="1">
        <v>0</v>
      </c>
      <c r="AT124" s="1" t="s">
        <v>1866</v>
      </c>
      <c r="AU124" s="1">
        <v>10</v>
      </c>
      <c r="AV124" s="1">
        <v>18020</v>
      </c>
      <c r="AW124" s="1">
        <v>0</v>
      </c>
    </row>
    <row r="125" spans="1:49" x14ac:dyDescent="0.25">
      <c r="A125" s="1">
        <v>126</v>
      </c>
      <c r="B125" s="1" t="s">
        <v>2162</v>
      </c>
      <c r="C125" s="1" t="s">
        <v>2163</v>
      </c>
      <c r="D125" s="1">
        <v>5</v>
      </c>
      <c r="E125" s="1">
        <v>1</v>
      </c>
      <c r="F125" s="1">
        <v>18</v>
      </c>
      <c r="G125" s="1" t="s">
        <v>441</v>
      </c>
      <c r="H125" s="1" t="s">
        <v>339</v>
      </c>
      <c r="I125" s="1" t="s">
        <v>329</v>
      </c>
      <c r="J125" s="1" t="s">
        <v>329</v>
      </c>
      <c r="K125" s="1" t="s">
        <v>379</v>
      </c>
      <c r="L125" s="1" t="s">
        <v>329</v>
      </c>
      <c r="M125" s="1" t="s">
        <v>329</v>
      </c>
      <c r="N125" s="1" t="s">
        <v>329</v>
      </c>
      <c r="O125" s="1" t="s">
        <v>329</v>
      </c>
      <c r="P125" s="1" t="s">
        <v>329</v>
      </c>
      <c r="Q125" s="1" t="s">
        <v>329</v>
      </c>
      <c r="R125" s="1" t="s">
        <v>329</v>
      </c>
      <c r="S125" s="1" t="s">
        <v>329</v>
      </c>
      <c r="T125" s="1" t="s">
        <v>329</v>
      </c>
      <c r="U125" s="1">
        <v>0</v>
      </c>
      <c r="V125" s="1">
        <v>0</v>
      </c>
      <c r="W125" s="1">
        <v>0</v>
      </c>
      <c r="X125" s="1">
        <v>0</v>
      </c>
      <c r="Y125" s="1">
        <v>0</v>
      </c>
      <c r="Z125" s="1">
        <v>0</v>
      </c>
      <c r="AA125" s="1">
        <v>0</v>
      </c>
      <c r="AB125" s="1">
        <v>0</v>
      </c>
      <c r="AC125" s="1">
        <v>4</v>
      </c>
      <c r="AD125" s="1">
        <v>0</v>
      </c>
      <c r="AE125" s="1">
        <v>3</v>
      </c>
      <c r="AF125" s="1">
        <v>2</v>
      </c>
      <c r="AG125" t="s">
        <v>257</v>
      </c>
      <c r="AH125" s="1">
        <v>3600</v>
      </c>
      <c r="AI125" s="1" t="s">
        <v>2160</v>
      </c>
      <c r="AJ125" s="1">
        <v>0</v>
      </c>
      <c r="AK125" s="1" t="s">
        <v>442</v>
      </c>
      <c r="AL125" s="1" t="s">
        <v>2164</v>
      </c>
      <c r="AM125" s="1">
        <v>0.45</v>
      </c>
      <c r="AN125" s="1">
        <v>0.15</v>
      </c>
      <c r="AO125" s="1">
        <v>0.3</v>
      </c>
      <c r="AP125" s="1">
        <v>0.15</v>
      </c>
      <c r="AQ125" s="1">
        <v>3</v>
      </c>
      <c r="AR125" s="1" t="s">
        <v>1551</v>
      </c>
      <c r="AS125" s="1">
        <v>0</v>
      </c>
      <c r="AT125" s="1" t="s">
        <v>1866</v>
      </c>
      <c r="AU125" s="1">
        <v>10</v>
      </c>
      <c r="AV125" s="1">
        <v>18021</v>
      </c>
      <c r="AW125" s="1">
        <v>0</v>
      </c>
    </row>
    <row r="126" spans="1:49" x14ac:dyDescent="0.25">
      <c r="A126" s="1">
        <v>127</v>
      </c>
      <c r="B126" s="1" t="s">
        <v>2165</v>
      </c>
      <c r="C126" s="1" t="s">
        <v>2166</v>
      </c>
      <c r="D126" s="1">
        <v>5</v>
      </c>
      <c r="E126" s="1">
        <v>3</v>
      </c>
      <c r="F126" s="1">
        <v>20</v>
      </c>
      <c r="G126" s="1" t="s">
        <v>392</v>
      </c>
      <c r="H126" s="1" t="s">
        <v>407</v>
      </c>
      <c r="I126" s="1" t="s">
        <v>426</v>
      </c>
      <c r="J126" s="1" t="s">
        <v>329</v>
      </c>
      <c r="K126" s="1" t="s">
        <v>329</v>
      </c>
      <c r="L126" s="1" t="s">
        <v>329</v>
      </c>
      <c r="M126" s="1" t="s">
        <v>329</v>
      </c>
      <c r="N126" s="1" t="s">
        <v>329</v>
      </c>
      <c r="O126" s="1" t="s">
        <v>329</v>
      </c>
      <c r="P126" s="1" t="s">
        <v>329</v>
      </c>
      <c r="Q126" s="1" t="s">
        <v>329</v>
      </c>
      <c r="R126" s="1" t="s">
        <v>329</v>
      </c>
      <c r="S126" s="1" t="s">
        <v>329</v>
      </c>
      <c r="T126" s="1" t="s">
        <v>329</v>
      </c>
      <c r="U126" s="1">
        <v>0</v>
      </c>
      <c r="V126" s="1">
        <v>0</v>
      </c>
      <c r="W126" s="1">
        <v>0</v>
      </c>
      <c r="X126" s="1">
        <v>0</v>
      </c>
      <c r="Y126" s="1">
        <v>0</v>
      </c>
      <c r="Z126" s="1">
        <v>0</v>
      </c>
      <c r="AA126" s="1">
        <v>0</v>
      </c>
      <c r="AB126" s="1">
        <v>0</v>
      </c>
      <c r="AC126" s="1">
        <v>4</v>
      </c>
      <c r="AD126" s="1">
        <v>2</v>
      </c>
      <c r="AE126" s="1">
        <v>0</v>
      </c>
      <c r="AF126" s="1">
        <v>4</v>
      </c>
      <c r="AG126" t="s">
        <v>735</v>
      </c>
      <c r="AH126" s="1">
        <v>3600</v>
      </c>
      <c r="AI126" s="1" t="s">
        <v>2167</v>
      </c>
      <c r="AJ126" s="1">
        <v>0</v>
      </c>
      <c r="AK126" s="1" t="s">
        <v>443</v>
      </c>
      <c r="AL126" s="1" t="s">
        <v>2168</v>
      </c>
      <c r="AM126" s="1">
        <v>0.3</v>
      </c>
      <c r="AN126" s="1">
        <v>0.25</v>
      </c>
      <c r="AO126" s="1">
        <v>0.12</v>
      </c>
      <c r="AP126" s="1">
        <v>0.38</v>
      </c>
      <c r="AQ126" s="1">
        <v>3</v>
      </c>
      <c r="AR126" s="1" t="s">
        <v>1552</v>
      </c>
      <c r="AS126" s="1">
        <v>0</v>
      </c>
      <c r="AT126" s="1" t="s">
        <v>1866</v>
      </c>
      <c r="AU126" s="1">
        <v>10</v>
      </c>
      <c r="AV126" s="1">
        <v>20013</v>
      </c>
      <c r="AW126" s="1">
        <v>0</v>
      </c>
    </row>
    <row r="127" spans="1:49" x14ac:dyDescent="0.25">
      <c r="A127" s="1">
        <v>128</v>
      </c>
      <c r="B127" s="1" t="s">
        <v>2169</v>
      </c>
      <c r="C127" s="1" t="s">
        <v>2170</v>
      </c>
      <c r="D127" s="1">
        <v>5</v>
      </c>
      <c r="E127" s="1">
        <v>1</v>
      </c>
      <c r="F127" s="1">
        <v>18</v>
      </c>
      <c r="G127" s="1" t="s">
        <v>329</v>
      </c>
      <c r="H127" s="1" t="s">
        <v>329</v>
      </c>
      <c r="I127" s="1" t="s">
        <v>414</v>
      </c>
      <c r="J127" s="1" t="s">
        <v>329</v>
      </c>
      <c r="K127" s="1" t="s">
        <v>329</v>
      </c>
      <c r="L127" s="1" t="s">
        <v>329</v>
      </c>
      <c r="M127" s="1" t="s">
        <v>386</v>
      </c>
      <c r="N127" s="1" t="s">
        <v>329</v>
      </c>
      <c r="O127" s="1" t="s">
        <v>329</v>
      </c>
      <c r="P127" s="1" t="s">
        <v>329</v>
      </c>
      <c r="Q127" s="1" t="s">
        <v>329</v>
      </c>
      <c r="R127" s="1" t="s">
        <v>329</v>
      </c>
      <c r="S127" s="1" t="s">
        <v>329</v>
      </c>
      <c r="T127" s="1" t="s">
        <v>329</v>
      </c>
      <c r="U127" s="1">
        <v>0</v>
      </c>
      <c r="V127" s="1">
        <v>0</v>
      </c>
      <c r="W127" s="1">
        <v>0</v>
      </c>
      <c r="X127" s="1">
        <v>0</v>
      </c>
      <c r="Y127" s="1">
        <v>0</v>
      </c>
      <c r="Z127" s="1">
        <v>0</v>
      </c>
      <c r="AA127" s="1">
        <v>0</v>
      </c>
      <c r="AB127" s="1">
        <v>0</v>
      </c>
      <c r="AC127" s="1">
        <v>4</v>
      </c>
      <c r="AD127" s="1">
        <v>2</v>
      </c>
      <c r="AE127" s="1">
        <v>2</v>
      </c>
      <c r="AF127" s="1">
        <v>2</v>
      </c>
      <c r="AG127" t="s">
        <v>831</v>
      </c>
      <c r="AH127" s="1">
        <v>3600</v>
      </c>
      <c r="AI127" s="1" t="s">
        <v>2171</v>
      </c>
      <c r="AJ127" s="1">
        <v>0</v>
      </c>
      <c r="AK127" s="1" t="s">
        <v>444</v>
      </c>
      <c r="AL127" s="1" t="s">
        <v>2172</v>
      </c>
      <c r="AM127" s="1">
        <v>0.55000000000000004</v>
      </c>
      <c r="AN127" s="1">
        <v>0.25</v>
      </c>
      <c r="AO127" s="1">
        <v>0.25</v>
      </c>
      <c r="AP127" s="1">
        <v>0.23</v>
      </c>
      <c r="AQ127" s="1">
        <v>3</v>
      </c>
      <c r="AR127" s="1" t="s">
        <v>1536</v>
      </c>
      <c r="AS127" s="1">
        <v>0</v>
      </c>
      <c r="AT127" s="1" t="s">
        <v>1866</v>
      </c>
      <c r="AU127" s="1">
        <v>10</v>
      </c>
      <c r="AV127" s="1">
        <v>18022</v>
      </c>
      <c r="AW127" s="1">
        <v>0</v>
      </c>
    </row>
    <row r="128" spans="1:49" x14ac:dyDescent="0.25">
      <c r="A128" s="1">
        <v>129</v>
      </c>
      <c r="B128" s="1" t="s">
        <v>2173</v>
      </c>
      <c r="C128" s="1" t="s">
        <v>2174</v>
      </c>
      <c r="D128" s="1">
        <v>5</v>
      </c>
      <c r="E128" s="1">
        <v>1</v>
      </c>
      <c r="F128" s="1">
        <v>18</v>
      </c>
      <c r="G128" s="1" t="s">
        <v>329</v>
      </c>
      <c r="H128" s="1" t="s">
        <v>336</v>
      </c>
      <c r="I128" s="1" t="s">
        <v>329</v>
      </c>
      <c r="J128" s="1" t="s">
        <v>329</v>
      </c>
      <c r="K128" s="1" t="s">
        <v>329</v>
      </c>
      <c r="L128" s="1" t="s">
        <v>329</v>
      </c>
      <c r="M128" s="1" t="s">
        <v>328</v>
      </c>
      <c r="N128" s="1" t="s">
        <v>329</v>
      </c>
      <c r="O128" s="1" t="s">
        <v>329</v>
      </c>
      <c r="P128" s="1" t="s">
        <v>329</v>
      </c>
      <c r="Q128" s="1" t="s">
        <v>329</v>
      </c>
      <c r="R128" s="1" t="s">
        <v>329</v>
      </c>
      <c r="S128" s="1" t="s">
        <v>329</v>
      </c>
      <c r="T128" s="1" t="s">
        <v>329</v>
      </c>
      <c r="U128" s="1">
        <v>0</v>
      </c>
      <c r="V128" s="1">
        <v>0</v>
      </c>
      <c r="W128" s="1">
        <v>0</v>
      </c>
      <c r="X128" s="1">
        <v>0</v>
      </c>
      <c r="Y128" s="1">
        <v>0</v>
      </c>
      <c r="Z128" s="1">
        <v>0</v>
      </c>
      <c r="AA128" s="1">
        <v>0</v>
      </c>
      <c r="AB128" s="1">
        <v>0</v>
      </c>
      <c r="AC128" s="1">
        <v>4</v>
      </c>
      <c r="AD128" s="1">
        <v>0</v>
      </c>
      <c r="AE128" s="1">
        <v>3</v>
      </c>
      <c r="AF128" s="1">
        <v>2</v>
      </c>
      <c r="AG128" t="s">
        <v>255</v>
      </c>
      <c r="AH128" s="1">
        <v>3600</v>
      </c>
      <c r="AI128" s="1" t="s">
        <v>2175</v>
      </c>
      <c r="AJ128" s="1">
        <v>0</v>
      </c>
      <c r="AK128" s="1" t="s">
        <v>445</v>
      </c>
      <c r="AL128" s="1" t="s">
        <v>2176</v>
      </c>
      <c r="AM128" s="1">
        <v>0.45</v>
      </c>
      <c r="AN128" s="1">
        <v>0.15</v>
      </c>
      <c r="AO128" s="1">
        <v>0.3</v>
      </c>
      <c r="AP128" s="1">
        <v>0.15</v>
      </c>
      <c r="AQ128" s="1">
        <v>3</v>
      </c>
      <c r="AR128" s="1" t="s">
        <v>1541</v>
      </c>
      <c r="AS128" s="1">
        <v>0</v>
      </c>
      <c r="AT128" s="1" t="s">
        <v>1866</v>
      </c>
      <c r="AU128" s="1">
        <v>10</v>
      </c>
      <c r="AV128" s="1">
        <v>18023</v>
      </c>
      <c r="AW128" s="1">
        <v>0</v>
      </c>
    </row>
    <row r="129" spans="1:49" x14ac:dyDescent="0.25">
      <c r="A129" s="1">
        <v>130</v>
      </c>
      <c r="B129" s="1" t="s">
        <v>2177</v>
      </c>
      <c r="C129" s="1" t="s">
        <v>2178</v>
      </c>
      <c r="D129" s="1">
        <v>5</v>
      </c>
      <c r="E129" s="1">
        <v>1</v>
      </c>
      <c r="F129" s="1">
        <v>18</v>
      </c>
      <c r="G129" s="1" t="s">
        <v>329</v>
      </c>
      <c r="H129" s="1" t="s">
        <v>355</v>
      </c>
      <c r="I129" s="1" t="s">
        <v>329</v>
      </c>
      <c r="J129" s="1" t="s">
        <v>329</v>
      </c>
      <c r="K129" s="1" t="s">
        <v>329</v>
      </c>
      <c r="L129" s="1" t="s">
        <v>329</v>
      </c>
      <c r="M129" s="1" t="s">
        <v>328</v>
      </c>
      <c r="N129" s="1" t="s">
        <v>329</v>
      </c>
      <c r="O129" s="1" t="s">
        <v>329</v>
      </c>
      <c r="P129" s="1" t="s">
        <v>329</v>
      </c>
      <c r="Q129" s="1" t="s">
        <v>329</v>
      </c>
      <c r="R129" s="1" t="s">
        <v>329</v>
      </c>
      <c r="S129" s="1" t="s">
        <v>329</v>
      </c>
      <c r="T129" s="1" t="s">
        <v>329</v>
      </c>
      <c r="U129" s="1">
        <v>0</v>
      </c>
      <c r="V129" s="1">
        <v>0</v>
      </c>
      <c r="W129" s="1">
        <v>0</v>
      </c>
      <c r="X129" s="1">
        <v>0</v>
      </c>
      <c r="Y129" s="1">
        <v>0</v>
      </c>
      <c r="Z129" s="1">
        <v>0</v>
      </c>
      <c r="AA129" s="1">
        <v>0</v>
      </c>
      <c r="AB129" s="1">
        <v>0</v>
      </c>
      <c r="AC129" s="1">
        <v>4</v>
      </c>
      <c r="AD129" s="1">
        <v>0</v>
      </c>
      <c r="AE129" s="1">
        <v>3</v>
      </c>
      <c r="AF129" s="1">
        <v>2</v>
      </c>
      <c r="AG129" t="s">
        <v>1457</v>
      </c>
      <c r="AH129" s="1">
        <v>3600</v>
      </c>
      <c r="AI129" s="1" t="s">
        <v>2179</v>
      </c>
      <c r="AJ129" s="1">
        <v>0</v>
      </c>
      <c r="AK129" s="1" t="s">
        <v>446</v>
      </c>
      <c r="AL129" s="1" t="s">
        <v>2180</v>
      </c>
      <c r="AM129" s="1">
        <v>0.45</v>
      </c>
      <c r="AN129" s="1">
        <v>0.15</v>
      </c>
      <c r="AO129" s="1">
        <v>0.3</v>
      </c>
      <c r="AP129" s="1">
        <v>0.15</v>
      </c>
      <c r="AQ129" s="1">
        <v>3</v>
      </c>
      <c r="AR129" s="1" t="s">
        <v>1541</v>
      </c>
      <c r="AS129" s="1">
        <v>0</v>
      </c>
      <c r="AT129" s="1" t="s">
        <v>1866</v>
      </c>
      <c r="AU129" s="1">
        <v>10</v>
      </c>
      <c r="AV129" s="1">
        <v>18024</v>
      </c>
      <c r="AW129" s="1">
        <v>0</v>
      </c>
    </row>
    <row r="130" spans="1:49" x14ac:dyDescent="0.25">
      <c r="A130" s="1">
        <v>131</v>
      </c>
      <c r="B130" s="1" t="s">
        <v>2181</v>
      </c>
      <c r="C130" s="1" t="s">
        <v>2182</v>
      </c>
      <c r="D130" s="1">
        <v>5</v>
      </c>
      <c r="E130" s="1">
        <v>1</v>
      </c>
      <c r="F130" s="1">
        <v>18</v>
      </c>
      <c r="G130" s="1" t="s">
        <v>330</v>
      </c>
      <c r="H130" s="1" t="s">
        <v>447</v>
      </c>
      <c r="I130" s="1" t="s">
        <v>329</v>
      </c>
      <c r="J130" s="1" t="s">
        <v>329</v>
      </c>
      <c r="K130" s="1" t="s">
        <v>329</v>
      </c>
      <c r="L130" s="1" t="s">
        <v>329</v>
      </c>
      <c r="M130" s="1" t="s">
        <v>393</v>
      </c>
      <c r="N130" s="1" t="s">
        <v>329</v>
      </c>
      <c r="O130" s="1" t="s">
        <v>329</v>
      </c>
      <c r="P130" s="1" t="s">
        <v>329</v>
      </c>
      <c r="Q130" s="1" t="s">
        <v>329</v>
      </c>
      <c r="R130" s="1" t="s">
        <v>329</v>
      </c>
      <c r="S130" s="1" t="s">
        <v>329</v>
      </c>
      <c r="T130" s="1" t="s">
        <v>329</v>
      </c>
      <c r="U130" s="1">
        <v>0</v>
      </c>
      <c r="V130" s="1">
        <v>0</v>
      </c>
      <c r="W130" s="1">
        <v>0</v>
      </c>
      <c r="X130" s="1">
        <v>0</v>
      </c>
      <c r="Y130" s="1">
        <v>0</v>
      </c>
      <c r="Z130" s="1">
        <v>0</v>
      </c>
      <c r="AA130" s="1">
        <v>0</v>
      </c>
      <c r="AB130" s="1">
        <v>0</v>
      </c>
      <c r="AC130" s="1">
        <v>4</v>
      </c>
      <c r="AD130" s="1">
        <v>0</v>
      </c>
      <c r="AE130" s="1">
        <v>3</v>
      </c>
      <c r="AF130" s="1">
        <v>2</v>
      </c>
      <c r="AG130" t="s">
        <v>261</v>
      </c>
      <c r="AH130" s="1">
        <v>3600</v>
      </c>
      <c r="AI130" s="1" t="s">
        <v>2183</v>
      </c>
      <c r="AJ130" s="1">
        <v>0</v>
      </c>
      <c r="AK130" s="1" t="s">
        <v>448</v>
      </c>
      <c r="AL130" s="1" t="s">
        <v>2184</v>
      </c>
      <c r="AM130" s="1">
        <v>0.45</v>
      </c>
      <c r="AN130" s="1">
        <v>0.15</v>
      </c>
      <c r="AO130" s="1">
        <v>0.3</v>
      </c>
      <c r="AP130" s="1">
        <v>0.15</v>
      </c>
      <c r="AQ130" s="1">
        <v>3</v>
      </c>
      <c r="AR130" s="1" t="s">
        <v>1553</v>
      </c>
      <c r="AS130" s="1">
        <v>0</v>
      </c>
      <c r="AT130" s="1" t="s">
        <v>1866</v>
      </c>
      <c r="AU130" s="1">
        <v>10</v>
      </c>
      <c r="AV130" s="1">
        <v>18025</v>
      </c>
      <c r="AW130" s="1">
        <v>0</v>
      </c>
    </row>
    <row r="131" spans="1:49" x14ac:dyDescent="0.25">
      <c r="A131" s="1">
        <v>132</v>
      </c>
      <c r="B131" s="1" t="s">
        <v>2185</v>
      </c>
      <c r="C131" s="1" t="s">
        <v>2186</v>
      </c>
      <c r="D131" s="1">
        <v>5</v>
      </c>
      <c r="E131" s="1">
        <v>1</v>
      </c>
      <c r="F131" s="1">
        <v>18</v>
      </c>
      <c r="G131" s="1" t="s">
        <v>329</v>
      </c>
      <c r="H131" s="1" t="s">
        <v>449</v>
      </c>
      <c r="I131" s="1" t="s">
        <v>329</v>
      </c>
      <c r="J131" s="1" t="s">
        <v>329</v>
      </c>
      <c r="K131" s="1" t="s">
        <v>331</v>
      </c>
      <c r="L131" s="1" t="s">
        <v>329</v>
      </c>
      <c r="M131" s="1" t="s">
        <v>423</v>
      </c>
      <c r="N131" s="1" t="s">
        <v>329</v>
      </c>
      <c r="O131" s="1" t="s">
        <v>329</v>
      </c>
      <c r="P131" s="1" t="s">
        <v>329</v>
      </c>
      <c r="Q131" s="1" t="s">
        <v>329</v>
      </c>
      <c r="R131" s="1" t="s">
        <v>329</v>
      </c>
      <c r="S131" s="1" t="s">
        <v>329</v>
      </c>
      <c r="T131" s="1" t="s">
        <v>329</v>
      </c>
      <c r="U131" s="1">
        <v>0</v>
      </c>
      <c r="V131" s="1">
        <v>0</v>
      </c>
      <c r="W131" s="1">
        <v>0</v>
      </c>
      <c r="X131" s="1">
        <v>0</v>
      </c>
      <c r="Y131" s="1">
        <v>0</v>
      </c>
      <c r="Z131" s="1">
        <v>0</v>
      </c>
      <c r="AA131" s="1">
        <v>0</v>
      </c>
      <c r="AB131" s="1">
        <v>0</v>
      </c>
      <c r="AC131" s="1">
        <v>4</v>
      </c>
      <c r="AD131" s="1">
        <v>0</v>
      </c>
      <c r="AE131" s="1">
        <v>3</v>
      </c>
      <c r="AF131" s="1">
        <v>2</v>
      </c>
      <c r="AG131" t="s">
        <v>300</v>
      </c>
      <c r="AH131" s="1">
        <v>3600</v>
      </c>
      <c r="AI131" s="1" t="s">
        <v>2183</v>
      </c>
      <c r="AJ131" s="1">
        <v>0</v>
      </c>
      <c r="AK131" s="1" t="s">
        <v>937</v>
      </c>
      <c r="AL131" s="1" t="s">
        <v>2187</v>
      </c>
      <c r="AM131" s="1">
        <v>0.45</v>
      </c>
      <c r="AN131" s="1">
        <v>0.15</v>
      </c>
      <c r="AO131" s="1">
        <v>0.3</v>
      </c>
      <c r="AP131" s="1">
        <v>0.15</v>
      </c>
      <c r="AQ131" s="1">
        <v>3</v>
      </c>
      <c r="AR131" s="1" t="s">
        <v>1554</v>
      </c>
      <c r="AS131" s="1">
        <v>0</v>
      </c>
      <c r="AT131" s="1" t="s">
        <v>1866</v>
      </c>
      <c r="AU131" s="1">
        <v>10</v>
      </c>
      <c r="AV131" s="1">
        <v>18026</v>
      </c>
      <c r="AW131" s="1">
        <v>0</v>
      </c>
    </row>
    <row r="132" spans="1:49" x14ac:dyDescent="0.25">
      <c r="A132" s="1">
        <v>133</v>
      </c>
      <c r="B132" s="1" t="s">
        <v>2188</v>
      </c>
      <c r="C132" s="1" t="s">
        <v>2189</v>
      </c>
      <c r="D132" s="1">
        <v>5</v>
      </c>
      <c r="E132" s="1">
        <v>1</v>
      </c>
      <c r="F132" s="1">
        <v>18</v>
      </c>
      <c r="G132" s="1" t="s">
        <v>329</v>
      </c>
      <c r="H132" s="1" t="s">
        <v>332</v>
      </c>
      <c r="I132" s="1" t="s">
        <v>359</v>
      </c>
      <c r="J132" s="1" t="s">
        <v>329</v>
      </c>
      <c r="K132" s="1" t="s">
        <v>329</v>
      </c>
      <c r="L132" s="1" t="s">
        <v>329</v>
      </c>
      <c r="M132" s="1" t="s">
        <v>386</v>
      </c>
      <c r="N132" s="1" t="s">
        <v>329</v>
      </c>
      <c r="O132" s="1" t="s">
        <v>329</v>
      </c>
      <c r="P132" s="1" t="s">
        <v>329</v>
      </c>
      <c r="Q132" s="1" t="s">
        <v>329</v>
      </c>
      <c r="R132" s="1" t="s">
        <v>329</v>
      </c>
      <c r="S132" s="1" t="s">
        <v>329</v>
      </c>
      <c r="T132" s="1" t="s">
        <v>329</v>
      </c>
      <c r="U132" s="1">
        <v>0</v>
      </c>
      <c r="V132" s="1">
        <v>0</v>
      </c>
      <c r="W132" s="1">
        <v>0</v>
      </c>
      <c r="X132" s="1">
        <v>0</v>
      </c>
      <c r="Y132" s="1">
        <v>0</v>
      </c>
      <c r="Z132" s="1">
        <v>0</v>
      </c>
      <c r="AA132" s="1">
        <v>0</v>
      </c>
      <c r="AB132" s="1">
        <v>0</v>
      </c>
      <c r="AC132" s="1">
        <v>4</v>
      </c>
      <c r="AD132" s="1">
        <v>2</v>
      </c>
      <c r="AE132" s="1">
        <v>2</v>
      </c>
      <c r="AF132" s="1">
        <v>2</v>
      </c>
      <c r="AG132" t="s">
        <v>67</v>
      </c>
      <c r="AH132" s="1">
        <v>3600</v>
      </c>
      <c r="AI132" s="1" t="s">
        <v>2190</v>
      </c>
      <c r="AJ132" s="1">
        <v>0</v>
      </c>
      <c r="AK132" s="1" t="s">
        <v>450</v>
      </c>
      <c r="AL132" s="1" t="s">
        <v>2191</v>
      </c>
      <c r="AM132" s="1">
        <v>0.55000000000000004</v>
      </c>
      <c r="AN132" s="1">
        <v>0.23</v>
      </c>
      <c r="AO132" s="1">
        <v>0.23</v>
      </c>
      <c r="AP132" s="1">
        <v>0.23</v>
      </c>
      <c r="AQ132" s="1">
        <v>3</v>
      </c>
      <c r="AR132" s="1" t="s">
        <v>1555</v>
      </c>
      <c r="AS132" s="1">
        <v>300119</v>
      </c>
      <c r="AT132" s="1" t="s">
        <v>2192</v>
      </c>
      <c r="AU132" s="1">
        <v>10</v>
      </c>
      <c r="AV132" s="1">
        <v>18027</v>
      </c>
      <c r="AW132" s="1">
        <v>0</v>
      </c>
    </row>
    <row r="133" spans="1:49" x14ac:dyDescent="0.25">
      <c r="A133" s="1">
        <v>134</v>
      </c>
      <c r="B133" s="1" t="s">
        <v>2193</v>
      </c>
      <c r="C133" s="1" t="s">
        <v>2194</v>
      </c>
      <c r="D133" s="1">
        <v>5</v>
      </c>
      <c r="E133" s="1">
        <v>1</v>
      </c>
      <c r="F133" s="1">
        <v>18</v>
      </c>
      <c r="G133" s="1" t="s">
        <v>407</v>
      </c>
      <c r="H133" s="1" t="s">
        <v>451</v>
      </c>
      <c r="I133" s="1" t="s">
        <v>329</v>
      </c>
      <c r="J133" s="1" t="s">
        <v>329</v>
      </c>
      <c r="K133" s="1" t="s">
        <v>345</v>
      </c>
      <c r="L133" s="1" t="s">
        <v>329</v>
      </c>
      <c r="M133" s="1" t="s">
        <v>329</v>
      </c>
      <c r="N133" s="1" t="s">
        <v>329</v>
      </c>
      <c r="O133" s="1" t="s">
        <v>329</v>
      </c>
      <c r="P133" s="1" t="s">
        <v>329</v>
      </c>
      <c r="Q133" s="1" t="s">
        <v>329</v>
      </c>
      <c r="R133" s="1" t="s">
        <v>329</v>
      </c>
      <c r="S133" s="1" t="s">
        <v>329</v>
      </c>
      <c r="T133" s="1" t="s">
        <v>329</v>
      </c>
      <c r="U133" s="1">
        <v>0</v>
      </c>
      <c r="V133" s="1">
        <v>0</v>
      </c>
      <c r="W133" s="1">
        <v>0</v>
      </c>
      <c r="X133" s="1">
        <v>0</v>
      </c>
      <c r="Y133" s="1">
        <v>0</v>
      </c>
      <c r="Z133" s="1">
        <v>0</v>
      </c>
      <c r="AA133" s="1">
        <v>0</v>
      </c>
      <c r="AB133" s="1">
        <v>0</v>
      </c>
      <c r="AC133" s="1">
        <v>4</v>
      </c>
      <c r="AD133" s="1">
        <v>0</v>
      </c>
      <c r="AE133" s="1">
        <v>3</v>
      </c>
      <c r="AF133" s="1">
        <v>2</v>
      </c>
      <c r="AG133" t="s">
        <v>254</v>
      </c>
      <c r="AH133" s="1">
        <v>3600</v>
      </c>
      <c r="AI133" s="1" t="s">
        <v>2195</v>
      </c>
      <c r="AJ133" s="1">
        <v>0</v>
      </c>
      <c r="AK133" s="1" t="s">
        <v>452</v>
      </c>
      <c r="AL133" s="1" t="s">
        <v>2196</v>
      </c>
      <c r="AM133" s="1">
        <v>0.45</v>
      </c>
      <c r="AN133" s="1">
        <v>0.15</v>
      </c>
      <c r="AO133" s="1">
        <v>0.3</v>
      </c>
      <c r="AP133" s="1">
        <v>0.15</v>
      </c>
      <c r="AQ133" s="1">
        <v>3</v>
      </c>
      <c r="AR133" s="1" t="s">
        <v>1556</v>
      </c>
      <c r="AS133" s="1">
        <v>0</v>
      </c>
      <c r="AT133" s="1" t="s">
        <v>1866</v>
      </c>
      <c r="AU133" s="1">
        <v>10</v>
      </c>
      <c r="AV133" s="1">
        <v>18028</v>
      </c>
      <c r="AW133" s="1">
        <v>0</v>
      </c>
    </row>
    <row r="134" spans="1:49" x14ac:dyDescent="0.25">
      <c r="A134" s="1">
        <v>135</v>
      </c>
      <c r="B134" s="1" t="s">
        <v>2197</v>
      </c>
      <c r="C134" s="1" t="s">
        <v>2198</v>
      </c>
      <c r="D134" s="1">
        <v>5</v>
      </c>
      <c r="E134" s="1">
        <v>2</v>
      </c>
      <c r="F134" s="1">
        <v>19</v>
      </c>
      <c r="G134" s="1" t="s">
        <v>453</v>
      </c>
      <c r="H134" s="1" t="s">
        <v>329</v>
      </c>
      <c r="I134" s="1" t="s">
        <v>329</v>
      </c>
      <c r="J134" s="1" t="s">
        <v>329</v>
      </c>
      <c r="K134" s="1" t="s">
        <v>329</v>
      </c>
      <c r="L134" s="1" t="s">
        <v>329</v>
      </c>
      <c r="M134" s="1" t="s">
        <v>329</v>
      </c>
      <c r="N134" s="1" t="s">
        <v>329</v>
      </c>
      <c r="O134" s="1" t="s">
        <v>329</v>
      </c>
      <c r="P134" s="1" t="s">
        <v>329</v>
      </c>
      <c r="Q134" s="1" t="s">
        <v>329</v>
      </c>
      <c r="R134" s="1" t="s">
        <v>329</v>
      </c>
      <c r="S134" s="1" t="s">
        <v>329</v>
      </c>
      <c r="T134" s="1" t="s">
        <v>329</v>
      </c>
      <c r="U134" s="1">
        <v>0</v>
      </c>
      <c r="V134" s="1">
        <v>0</v>
      </c>
      <c r="W134" s="1">
        <v>0</v>
      </c>
      <c r="X134" s="1">
        <v>0</v>
      </c>
      <c r="Y134" s="1">
        <v>0</v>
      </c>
      <c r="Z134" s="1">
        <v>0</v>
      </c>
      <c r="AA134" s="1">
        <v>0</v>
      </c>
      <c r="AB134" s="1">
        <v>0</v>
      </c>
      <c r="AC134" s="1">
        <v>0</v>
      </c>
      <c r="AD134" s="1">
        <v>5</v>
      </c>
      <c r="AE134" s="1">
        <v>3</v>
      </c>
      <c r="AF134" s="1">
        <v>2</v>
      </c>
      <c r="AG134" t="s">
        <v>258</v>
      </c>
      <c r="AH134" s="1">
        <v>3600</v>
      </c>
      <c r="AI134" s="1" t="s">
        <v>2199</v>
      </c>
      <c r="AJ134" s="1">
        <v>0</v>
      </c>
      <c r="AK134" s="1" t="s">
        <v>454</v>
      </c>
      <c r="AL134" s="1" t="s">
        <v>2200</v>
      </c>
      <c r="AM134" s="1">
        <v>0.15</v>
      </c>
      <c r="AN134" s="1">
        <v>0.6</v>
      </c>
      <c r="AO134" s="1">
        <v>0.38</v>
      </c>
      <c r="AP134" s="1">
        <v>0.23</v>
      </c>
      <c r="AQ134" s="1">
        <v>3</v>
      </c>
      <c r="AR134" s="1" t="s">
        <v>1557</v>
      </c>
      <c r="AS134" s="1">
        <v>0</v>
      </c>
      <c r="AT134" s="1" t="s">
        <v>1866</v>
      </c>
      <c r="AU134" s="1">
        <v>10</v>
      </c>
      <c r="AV134" s="1">
        <v>19005</v>
      </c>
      <c r="AW134" s="1">
        <v>0</v>
      </c>
    </row>
    <row r="135" spans="1:49" x14ac:dyDescent="0.25">
      <c r="A135" s="1">
        <v>136</v>
      </c>
      <c r="B135" s="1" t="s">
        <v>2201</v>
      </c>
      <c r="C135" s="1" t="s">
        <v>2202</v>
      </c>
      <c r="D135" s="1">
        <v>5</v>
      </c>
      <c r="E135" s="1">
        <v>2</v>
      </c>
      <c r="F135" s="1">
        <v>19</v>
      </c>
      <c r="G135" s="1" t="s">
        <v>453</v>
      </c>
      <c r="H135" s="1" t="s">
        <v>329</v>
      </c>
      <c r="I135" s="1" t="s">
        <v>329</v>
      </c>
      <c r="J135" s="1" t="s">
        <v>329</v>
      </c>
      <c r="K135" s="1" t="s">
        <v>329</v>
      </c>
      <c r="L135" s="1" t="s">
        <v>329</v>
      </c>
      <c r="M135" s="1" t="s">
        <v>329</v>
      </c>
      <c r="N135" s="1" t="s">
        <v>329</v>
      </c>
      <c r="O135" s="1" t="s">
        <v>329</v>
      </c>
      <c r="P135" s="1" t="s">
        <v>329</v>
      </c>
      <c r="Q135" s="1" t="s">
        <v>329</v>
      </c>
      <c r="R135" s="1" t="s">
        <v>329</v>
      </c>
      <c r="S135" s="1" t="s">
        <v>329</v>
      </c>
      <c r="T135" s="1" t="s">
        <v>329</v>
      </c>
      <c r="U135" s="1">
        <v>0</v>
      </c>
      <c r="V135" s="1">
        <v>0</v>
      </c>
      <c r="W135" s="1">
        <v>0</v>
      </c>
      <c r="X135" s="1">
        <v>0</v>
      </c>
      <c r="Y135" s="1">
        <v>0</v>
      </c>
      <c r="Z135" s="1">
        <v>0</v>
      </c>
      <c r="AA135" s="1">
        <v>0</v>
      </c>
      <c r="AB135" s="1">
        <v>0</v>
      </c>
      <c r="AC135" s="1">
        <v>0</v>
      </c>
      <c r="AD135" s="1">
        <v>5</v>
      </c>
      <c r="AE135" s="1">
        <v>3</v>
      </c>
      <c r="AF135" s="1">
        <v>2</v>
      </c>
      <c r="AG135" t="s">
        <v>833</v>
      </c>
      <c r="AH135" s="1">
        <v>3600</v>
      </c>
      <c r="AI135" s="1" t="s">
        <v>2203</v>
      </c>
      <c r="AJ135" s="1">
        <v>0</v>
      </c>
      <c r="AK135" s="1" t="s">
        <v>455</v>
      </c>
      <c r="AL135" s="1" t="s">
        <v>2204</v>
      </c>
      <c r="AM135" s="1">
        <v>0.15</v>
      </c>
      <c r="AN135" s="1">
        <v>0.6</v>
      </c>
      <c r="AO135" s="1">
        <v>0.38</v>
      </c>
      <c r="AP135" s="1">
        <v>0.23</v>
      </c>
      <c r="AQ135" s="1">
        <v>3</v>
      </c>
      <c r="AR135" s="1" t="s">
        <v>1557</v>
      </c>
      <c r="AS135" s="1">
        <v>0</v>
      </c>
      <c r="AT135" s="1" t="s">
        <v>1866</v>
      </c>
      <c r="AU135" s="1">
        <v>10</v>
      </c>
      <c r="AV135" s="1">
        <v>19006</v>
      </c>
      <c r="AW135" s="1">
        <v>0</v>
      </c>
    </row>
    <row r="136" spans="1:49" x14ac:dyDescent="0.25">
      <c r="A136" s="1">
        <v>137</v>
      </c>
      <c r="B136" s="1" t="s">
        <v>2205</v>
      </c>
      <c r="C136" s="1" t="s">
        <v>2206</v>
      </c>
      <c r="D136" s="1">
        <v>5</v>
      </c>
      <c r="E136" s="1">
        <v>1</v>
      </c>
      <c r="F136" s="1">
        <v>18</v>
      </c>
      <c r="G136" s="1" t="s">
        <v>329</v>
      </c>
      <c r="H136" s="1" t="s">
        <v>329</v>
      </c>
      <c r="I136" s="1" t="s">
        <v>393</v>
      </c>
      <c r="J136" s="1" t="s">
        <v>329</v>
      </c>
      <c r="K136" s="1" t="s">
        <v>329</v>
      </c>
      <c r="L136" s="1" t="s">
        <v>329</v>
      </c>
      <c r="M136" s="1" t="s">
        <v>329</v>
      </c>
      <c r="N136" s="1" t="s">
        <v>329</v>
      </c>
      <c r="O136" s="1" t="s">
        <v>329</v>
      </c>
      <c r="P136" s="1" t="s">
        <v>329</v>
      </c>
      <c r="Q136" s="1" t="s">
        <v>329</v>
      </c>
      <c r="R136" s="1" t="s">
        <v>329</v>
      </c>
      <c r="S136" s="1" t="s">
        <v>329</v>
      </c>
      <c r="T136" s="1" t="s">
        <v>329</v>
      </c>
      <c r="U136" s="1">
        <v>0</v>
      </c>
      <c r="V136" s="1">
        <v>0</v>
      </c>
      <c r="W136" s="1">
        <v>0</v>
      </c>
      <c r="X136" s="1">
        <v>0</v>
      </c>
      <c r="Y136" s="1">
        <v>0</v>
      </c>
      <c r="Z136" s="1">
        <v>0</v>
      </c>
      <c r="AA136" s="1">
        <v>0</v>
      </c>
      <c r="AB136" s="1">
        <v>0</v>
      </c>
      <c r="AC136" s="1">
        <v>4</v>
      </c>
      <c r="AD136" s="1">
        <v>2</v>
      </c>
      <c r="AE136" s="1">
        <v>2</v>
      </c>
      <c r="AF136" s="1">
        <v>2</v>
      </c>
      <c r="AG136" t="s">
        <v>756</v>
      </c>
      <c r="AH136" s="1">
        <v>3600</v>
      </c>
      <c r="AI136" s="1" t="s">
        <v>2207</v>
      </c>
      <c r="AJ136" s="1">
        <v>0</v>
      </c>
      <c r="AK136" s="1" t="s">
        <v>456</v>
      </c>
      <c r="AL136" s="1" t="s">
        <v>2208</v>
      </c>
      <c r="AM136" s="1">
        <v>0</v>
      </c>
      <c r="AN136" s="1">
        <v>0</v>
      </c>
      <c r="AO136" s="1">
        <v>0</v>
      </c>
      <c r="AP136" s="1">
        <v>0</v>
      </c>
      <c r="AQ136" s="1">
        <v>3</v>
      </c>
      <c r="AR136" s="1" t="s">
        <v>329</v>
      </c>
      <c r="AS136" s="1">
        <v>0</v>
      </c>
      <c r="AT136" s="1" t="s">
        <v>2209</v>
      </c>
      <c r="AU136" s="1">
        <v>0</v>
      </c>
      <c r="AV136" s="1">
        <v>18029</v>
      </c>
      <c r="AW136" s="1">
        <v>0</v>
      </c>
    </row>
    <row r="137" spans="1:49" x14ac:dyDescent="0.25">
      <c r="A137" s="1">
        <v>138</v>
      </c>
      <c r="B137" s="1" t="s">
        <v>2210</v>
      </c>
      <c r="C137" s="1" t="s">
        <v>2211</v>
      </c>
      <c r="D137" s="1">
        <v>5</v>
      </c>
      <c r="E137" s="1">
        <v>1</v>
      </c>
      <c r="F137" s="1">
        <v>18</v>
      </c>
      <c r="G137" s="1" t="s">
        <v>329</v>
      </c>
      <c r="H137" s="1" t="s">
        <v>329</v>
      </c>
      <c r="I137" s="1" t="s">
        <v>393</v>
      </c>
      <c r="J137" s="1" t="s">
        <v>329</v>
      </c>
      <c r="K137" s="1" t="s">
        <v>329</v>
      </c>
      <c r="L137" s="1" t="s">
        <v>329</v>
      </c>
      <c r="M137" s="1" t="s">
        <v>329</v>
      </c>
      <c r="N137" s="1" t="s">
        <v>329</v>
      </c>
      <c r="O137" s="1" t="s">
        <v>329</v>
      </c>
      <c r="P137" s="1" t="s">
        <v>329</v>
      </c>
      <c r="Q137" s="1" t="s">
        <v>329</v>
      </c>
      <c r="R137" s="1" t="s">
        <v>329</v>
      </c>
      <c r="S137" s="1" t="s">
        <v>329</v>
      </c>
      <c r="T137" s="1" t="s">
        <v>329</v>
      </c>
      <c r="U137" s="1">
        <v>0</v>
      </c>
      <c r="V137" s="1">
        <v>0</v>
      </c>
      <c r="W137" s="1">
        <v>0</v>
      </c>
      <c r="X137" s="1">
        <v>0</v>
      </c>
      <c r="Y137" s="1">
        <v>0</v>
      </c>
      <c r="Z137" s="1">
        <v>0</v>
      </c>
      <c r="AA137" s="1">
        <v>0</v>
      </c>
      <c r="AB137" s="1">
        <v>0</v>
      </c>
      <c r="AC137" s="1">
        <v>4</v>
      </c>
      <c r="AD137" s="1">
        <v>2</v>
      </c>
      <c r="AE137" s="1">
        <v>2</v>
      </c>
      <c r="AF137" s="1">
        <v>2</v>
      </c>
      <c r="AG137" t="s">
        <v>757</v>
      </c>
      <c r="AH137" s="1">
        <v>3600</v>
      </c>
      <c r="AI137" s="1" t="s">
        <v>2207</v>
      </c>
      <c r="AJ137" s="1">
        <v>0</v>
      </c>
      <c r="AK137" s="1" t="s">
        <v>456</v>
      </c>
      <c r="AL137" s="1" t="s">
        <v>2212</v>
      </c>
      <c r="AM137" s="1">
        <v>0</v>
      </c>
      <c r="AN137" s="1">
        <v>0</v>
      </c>
      <c r="AO137" s="1">
        <v>0</v>
      </c>
      <c r="AP137" s="1">
        <v>0</v>
      </c>
      <c r="AQ137" s="1">
        <v>3</v>
      </c>
      <c r="AR137" s="1" t="s">
        <v>329</v>
      </c>
      <c r="AS137" s="1">
        <v>0</v>
      </c>
      <c r="AT137" s="1" t="s">
        <v>2213</v>
      </c>
      <c r="AU137" s="1">
        <v>0</v>
      </c>
      <c r="AV137" s="1">
        <v>18030</v>
      </c>
      <c r="AW137" s="1">
        <v>0</v>
      </c>
    </row>
    <row r="138" spans="1:49" x14ac:dyDescent="0.25">
      <c r="A138" s="1">
        <v>139</v>
      </c>
      <c r="B138" s="1" t="s">
        <v>2214</v>
      </c>
      <c r="C138" s="1" t="s">
        <v>2215</v>
      </c>
      <c r="D138" s="1">
        <v>5</v>
      </c>
      <c r="E138" s="1">
        <v>2</v>
      </c>
      <c r="F138" s="1">
        <v>19</v>
      </c>
      <c r="G138" s="1" t="s">
        <v>329</v>
      </c>
      <c r="H138" s="1" t="s">
        <v>329</v>
      </c>
      <c r="I138" s="1" t="s">
        <v>393</v>
      </c>
      <c r="J138" s="1" t="s">
        <v>329</v>
      </c>
      <c r="K138" s="1" t="s">
        <v>329</v>
      </c>
      <c r="L138" s="1" t="s">
        <v>329</v>
      </c>
      <c r="M138" s="1" t="s">
        <v>329</v>
      </c>
      <c r="N138" s="1" t="s">
        <v>329</v>
      </c>
      <c r="O138" s="1" t="s">
        <v>329</v>
      </c>
      <c r="P138" s="1" t="s">
        <v>329</v>
      </c>
      <c r="Q138" s="1" t="s">
        <v>329</v>
      </c>
      <c r="R138" s="1" t="s">
        <v>329</v>
      </c>
      <c r="S138" s="1" t="s">
        <v>329</v>
      </c>
      <c r="T138" s="1" t="s">
        <v>329</v>
      </c>
      <c r="U138" s="1">
        <v>0</v>
      </c>
      <c r="V138" s="1">
        <v>0</v>
      </c>
      <c r="W138" s="1">
        <v>0</v>
      </c>
      <c r="X138" s="1">
        <v>0</v>
      </c>
      <c r="Y138" s="1">
        <v>0</v>
      </c>
      <c r="Z138" s="1">
        <v>0</v>
      </c>
      <c r="AA138" s="1">
        <v>0</v>
      </c>
      <c r="AB138" s="1">
        <v>0</v>
      </c>
      <c r="AC138" s="1">
        <v>4</v>
      </c>
      <c r="AD138" s="1">
        <v>4</v>
      </c>
      <c r="AE138" s="1">
        <v>0</v>
      </c>
      <c r="AF138" s="1">
        <v>2</v>
      </c>
      <c r="AG138" t="s">
        <v>759</v>
      </c>
      <c r="AH138" s="1">
        <v>3600</v>
      </c>
      <c r="AI138" s="1" t="s">
        <v>2207</v>
      </c>
      <c r="AJ138" s="1">
        <v>0</v>
      </c>
      <c r="AK138" s="1" t="s">
        <v>456</v>
      </c>
      <c r="AL138" s="1" t="s">
        <v>2216</v>
      </c>
      <c r="AM138" s="1">
        <v>0</v>
      </c>
      <c r="AN138" s="1">
        <v>0</v>
      </c>
      <c r="AO138" s="1">
        <v>0</v>
      </c>
      <c r="AP138" s="1">
        <v>0</v>
      </c>
      <c r="AQ138" s="1">
        <v>3</v>
      </c>
      <c r="AR138" s="1" t="s">
        <v>329</v>
      </c>
      <c r="AS138" s="1">
        <v>0</v>
      </c>
      <c r="AT138" s="1" t="s">
        <v>2217</v>
      </c>
      <c r="AU138" s="1">
        <v>0</v>
      </c>
      <c r="AV138" s="1">
        <v>19007</v>
      </c>
      <c r="AW138" s="1">
        <v>0</v>
      </c>
    </row>
    <row r="139" spans="1:49" x14ac:dyDescent="0.25">
      <c r="A139" s="1">
        <v>140</v>
      </c>
      <c r="B139" s="1" t="s">
        <v>2218</v>
      </c>
      <c r="C139" s="1" t="s">
        <v>2219</v>
      </c>
      <c r="D139" s="1">
        <v>5</v>
      </c>
      <c r="E139" s="1">
        <v>2</v>
      </c>
      <c r="F139" s="1">
        <v>19</v>
      </c>
      <c r="G139" s="1" t="s">
        <v>329</v>
      </c>
      <c r="H139" s="1" t="s">
        <v>329</v>
      </c>
      <c r="I139" s="1" t="s">
        <v>393</v>
      </c>
      <c r="J139" s="1" t="s">
        <v>329</v>
      </c>
      <c r="K139" s="1" t="s">
        <v>329</v>
      </c>
      <c r="L139" s="1" t="s">
        <v>329</v>
      </c>
      <c r="M139" s="1" t="s">
        <v>329</v>
      </c>
      <c r="N139" s="1" t="s">
        <v>329</v>
      </c>
      <c r="O139" s="1" t="s">
        <v>329</v>
      </c>
      <c r="P139" s="1" t="s">
        <v>329</v>
      </c>
      <c r="Q139" s="1" t="s">
        <v>329</v>
      </c>
      <c r="R139" s="1" t="s">
        <v>329</v>
      </c>
      <c r="S139" s="1" t="s">
        <v>329</v>
      </c>
      <c r="T139" s="1" t="s">
        <v>329</v>
      </c>
      <c r="U139" s="1">
        <v>0</v>
      </c>
      <c r="V139" s="1">
        <v>0</v>
      </c>
      <c r="W139" s="1">
        <v>0</v>
      </c>
      <c r="X139" s="1">
        <v>0</v>
      </c>
      <c r="Y139" s="1">
        <v>0</v>
      </c>
      <c r="Z139" s="1">
        <v>0</v>
      </c>
      <c r="AA139" s="1">
        <v>0</v>
      </c>
      <c r="AB139" s="1">
        <v>0</v>
      </c>
      <c r="AC139" s="1">
        <v>4</v>
      </c>
      <c r="AD139" s="1">
        <v>4</v>
      </c>
      <c r="AE139" s="1">
        <v>0</v>
      </c>
      <c r="AF139" s="1">
        <v>2</v>
      </c>
      <c r="AG139" t="s">
        <v>760</v>
      </c>
      <c r="AH139" s="1">
        <v>3600</v>
      </c>
      <c r="AI139" s="1" t="s">
        <v>2207</v>
      </c>
      <c r="AJ139" s="1">
        <v>0</v>
      </c>
      <c r="AK139" s="1" t="s">
        <v>456</v>
      </c>
      <c r="AL139" s="1" t="s">
        <v>2220</v>
      </c>
      <c r="AM139" s="1">
        <v>0</v>
      </c>
      <c r="AN139" s="1">
        <v>0</v>
      </c>
      <c r="AO139" s="1">
        <v>0</v>
      </c>
      <c r="AP139" s="1">
        <v>0</v>
      </c>
      <c r="AQ139" s="1">
        <v>3</v>
      </c>
      <c r="AR139" s="1" t="s">
        <v>329</v>
      </c>
      <c r="AS139" s="1">
        <v>0</v>
      </c>
      <c r="AT139" s="1" t="s">
        <v>2221</v>
      </c>
      <c r="AU139" s="1">
        <v>0</v>
      </c>
      <c r="AV139" s="1">
        <v>19008</v>
      </c>
      <c r="AW139" s="1">
        <v>0</v>
      </c>
    </row>
    <row r="140" spans="1:49" x14ac:dyDescent="0.25">
      <c r="A140" s="1">
        <v>141</v>
      </c>
      <c r="B140" s="1" t="s">
        <v>2222</v>
      </c>
      <c r="C140" s="1" t="s">
        <v>2223</v>
      </c>
      <c r="D140" s="1">
        <v>5</v>
      </c>
      <c r="E140" s="1">
        <v>3</v>
      </c>
      <c r="F140" s="1">
        <v>20</v>
      </c>
      <c r="G140" s="1" t="s">
        <v>329</v>
      </c>
      <c r="H140" s="1" t="s">
        <v>329</v>
      </c>
      <c r="I140" s="1" t="s">
        <v>393</v>
      </c>
      <c r="J140" s="1" t="s">
        <v>329</v>
      </c>
      <c r="K140" s="1" t="s">
        <v>329</v>
      </c>
      <c r="L140" s="1" t="s">
        <v>329</v>
      </c>
      <c r="M140" s="1" t="s">
        <v>329</v>
      </c>
      <c r="N140" s="1" t="s">
        <v>329</v>
      </c>
      <c r="O140" s="1" t="s">
        <v>329</v>
      </c>
      <c r="P140" s="1" t="s">
        <v>329</v>
      </c>
      <c r="Q140" s="1" t="s">
        <v>329</v>
      </c>
      <c r="R140" s="1" t="s">
        <v>329</v>
      </c>
      <c r="S140" s="1" t="s">
        <v>329</v>
      </c>
      <c r="T140" s="1" t="s">
        <v>329</v>
      </c>
      <c r="U140" s="1">
        <v>0</v>
      </c>
      <c r="V140" s="1">
        <v>0</v>
      </c>
      <c r="W140" s="1">
        <v>0</v>
      </c>
      <c r="X140" s="1">
        <v>0</v>
      </c>
      <c r="Y140" s="1">
        <v>0</v>
      </c>
      <c r="Z140" s="1">
        <v>0</v>
      </c>
      <c r="AA140" s="1">
        <v>0</v>
      </c>
      <c r="AB140" s="1">
        <v>0</v>
      </c>
      <c r="AC140" s="1">
        <v>4</v>
      </c>
      <c r="AD140" s="1">
        <v>2</v>
      </c>
      <c r="AE140" s="1">
        <v>0</v>
      </c>
      <c r="AF140" s="1">
        <v>4</v>
      </c>
      <c r="AG140" t="s">
        <v>844</v>
      </c>
      <c r="AH140" s="1">
        <v>3600</v>
      </c>
      <c r="AI140" s="1" t="s">
        <v>2207</v>
      </c>
      <c r="AJ140" s="1">
        <v>0</v>
      </c>
      <c r="AK140" s="1" t="s">
        <v>456</v>
      </c>
      <c r="AL140" s="1" t="s">
        <v>2224</v>
      </c>
      <c r="AM140" s="1">
        <v>0</v>
      </c>
      <c r="AN140" s="1">
        <v>0</v>
      </c>
      <c r="AO140" s="1">
        <v>0</v>
      </c>
      <c r="AP140" s="1">
        <v>0</v>
      </c>
      <c r="AQ140" s="1">
        <v>3</v>
      </c>
      <c r="AR140" s="1" t="s">
        <v>329</v>
      </c>
      <c r="AS140" s="1">
        <v>0</v>
      </c>
      <c r="AT140" s="1" t="s">
        <v>2225</v>
      </c>
      <c r="AU140" s="1">
        <v>0</v>
      </c>
      <c r="AV140" s="1">
        <v>20014</v>
      </c>
      <c r="AW140" s="1">
        <v>0</v>
      </c>
    </row>
    <row r="141" spans="1:49" x14ac:dyDescent="0.25">
      <c r="A141" s="1">
        <v>142</v>
      </c>
      <c r="B141" s="1" t="s">
        <v>2226</v>
      </c>
      <c r="C141" s="1" t="s">
        <v>2227</v>
      </c>
      <c r="D141" s="1">
        <v>5</v>
      </c>
      <c r="E141" s="1">
        <v>1</v>
      </c>
      <c r="F141" s="1">
        <v>18</v>
      </c>
      <c r="G141" s="1" t="s">
        <v>329</v>
      </c>
      <c r="H141" s="1" t="s">
        <v>329</v>
      </c>
      <c r="I141" s="1" t="s">
        <v>393</v>
      </c>
      <c r="J141" s="1" t="s">
        <v>329</v>
      </c>
      <c r="K141" s="1" t="s">
        <v>329</v>
      </c>
      <c r="L141" s="1" t="s">
        <v>329</v>
      </c>
      <c r="M141" s="1" t="s">
        <v>329</v>
      </c>
      <c r="N141" s="1" t="s">
        <v>329</v>
      </c>
      <c r="O141" s="1" t="s">
        <v>329</v>
      </c>
      <c r="P141" s="1" t="s">
        <v>329</v>
      </c>
      <c r="Q141" s="1" t="s">
        <v>329</v>
      </c>
      <c r="R141" s="1" t="s">
        <v>329</v>
      </c>
      <c r="S141" s="1" t="s">
        <v>329</v>
      </c>
      <c r="T141" s="1" t="s">
        <v>329</v>
      </c>
      <c r="U141" s="1">
        <v>0</v>
      </c>
      <c r="V141" s="1">
        <v>0</v>
      </c>
      <c r="W141" s="1">
        <v>0</v>
      </c>
      <c r="X141" s="1">
        <v>0</v>
      </c>
      <c r="Y141" s="1">
        <v>0</v>
      </c>
      <c r="Z141" s="1">
        <v>0</v>
      </c>
      <c r="AA141" s="1">
        <v>0</v>
      </c>
      <c r="AB141" s="1">
        <v>0</v>
      </c>
      <c r="AC141" s="1">
        <v>4</v>
      </c>
      <c r="AD141" s="1">
        <v>2</v>
      </c>
      <c r="AE141" s="1">
        <v>2</v>
      </c>
      <c r="AF141" s="1">
        <v>2</v>
      </c>
      <c r="AG141" t="s">
        <v>755</v>
      </c>
      <c r="AH141" s="1">
        <v>3600</v>
      </c>
      <c r="AI141" s="1" t="s">
        <v>2207</v>
      </c>
      <c r="AJ141" s="1">
        <v>0</v>
      </c>
      <c r="AK141" s="1" t="s">
        <v>456</v>
      </c>
      <c r="AL141" s="1" t="s">
        <v>2228</v>
      </c>
      <c r="AM141" s="1">
        <v>0</v>
      </c>
      <c r="AN141" s="1">
        <v>0</v>
      </c>
      <c r="AO141" s="1">
        <v>0</v>
      </c>
      <c r="AP141" s="1">
        <v>0</v>
      </c>
      <c r="AQ141" s="1">
        <v>3</v>
      </c>
      <c r="AR141" s="1" t="s">
        <v>329</v>
      </c>
      <c r="AS141" s="1">
        <v>0</v>
      </c>
      <c r="AT141" s="1" t="s">
        <v>2229</v>
      </c>
      <c r="AU141" s="1">
        <v>0</v>
      </c>
      <c r="AV141" s="1">
        <v>18031</v>
      </c>
      <c r="AW141" s="1">
        <v>0</v>
      </c>
    </row>
    <row r="142" spans="1:49" x14ac:dyDescent="0.25">
      <c r="A142" s="1">
        <v>143</v>
      </c>
      <c r="B142" s="1" t="s">
        <v>2230</v>
      </c>
      <c r="C142" s="1" t="s">
        <v>2231</v>
      </c>
      <c r="D142" s="1">
        <v>5</v>
      </c>
      <c r="E142" s="1">
        <v>2</v>
      </c>
      <c r="F142" s="1">
        <v>19</v>
      </c>
      <c r="G142" s="1" t="s">
        <v>329</v>
      </c>
      <c r="H142" s="1" t="s">
        <v>329</v>
      </c>
      <c r="I142" s="1" t="s">
        <v>393</v>
      </c>
      <c r="J142" s="1" t="s">
        <v>329</v>
      </c>
      <c r="K142" s="1" t="s">
        <v>329</v>
      </c>
      <c r="L142" s="1" t="s">
        <v>329</v>
      </c>
      <c r="M142" s="1" t="s">
        <v>329</v>
      </c>
      <c r="N142" s="1" t="s">
        <v>329</v>
      </c>
      <c r="O142" s="1" t="s">
        <v>329</v>
      </c>
      <c r="P142" s="1" t="s">
        <v>329</v>
      </c>
      <c r="Q142" s="1" t="s">
        <v>329</v>
      </c>
      <c r="R142" s="1" t="s">
        <v>329</v>
      </c>
      <c r="S142" s="1" t="s">
        <v>329</v>
      </c>
      <c r="T142" s="1" t="s">
        <v>329</v>
      </c>
      <c r="U142" s="1">
        <v>0</v>
      </c>
      <c r="V142" s="1">
        <v>0</v>
      </c>
      <c r="W142" s="1">
        <v>0</v>
      </c>
      <c r="X142" s="1">
        <v>0</v>
      </c>
      <c r="Y142" s="1">
        <v>0</v>
      </c>
      <c r="Z142" s="1">
        <v>0</v>
      </c>
      <c r="AA142" s="1">
        <v>0</v>
      </c>
      <c r="AB142" s="1">
        <v>0</v>
      </c>
      <c r="AC142" s="1">
        <v>4</v>
      </c>
      <c r="AD142" s="1">
        <v>4</v>
      </c>
      <c r="AE142" s="1">
        <v>0</v>
      </c>
      <c r="AF142" s="1">
        <v>2</v>
      </c>
      <c r="AG142" t="s">
        <v>758</v>
      </c>
      <c r="AH142" s="1">
        <v>3600</v>
      </c>
      <c r="AI142" s="1" t="s">
        <v>2207</v>
      </c>
      <c r="AJ142" s="1">
        <v>0</v>
      </c>
      <c r="AK142" s="1" t="s">
        <v>456</v>
      </c>
      <c r="AL142" s="1" t="s">
        <v>2232</v>
      </c>
      <c r="AM142" s="1">
        <v>0</v>
      </c>
      <c r="AN142" s="1">
        <v>0</v>
      </c>
      <c r="AO142" s="1">
        <v>0</v>
      </c>
      <c r="AP142" s="1">
        <v>0</v>
      </c>
      <c r="AQ142" s="1">
        <v>3</v>
      </c>
      <c r="AR142" s="1" t="s">
        <v>329</v>
      </c>
      <c r="AS142" s="1">
        <v>0</v>
      </c>
      <c r="AT142" s="1" t="s">
        <v>2233</v>
      </c>
      <c r="AU142" s="1">
        <v>0</v>
      </c>
      <c r="AV142" s="1">
        <v>19009</v>
      </c>
      <c r="AW142" s="1">
        <v>0</v>
      </c>
    </row>
    <row r="143" spans="1:49" x14ac:dyDescent="0.25">
      <c r="A143" s="1">
        <v>144</v>
      </c>
      <c r="B143" s="1" t="s">
        <v>2234</v>
      </c>
      <c r="C143" s="1" t="s">
        <v>2235</v>
      </c>
      <c r="D143" s="1">
        <v>5</v>
      </c>
      <c r="E143" s="1">
        <v>3</v>
      </c>
      <c r="F143" s="1">
        <v>20</v>
      </c>
      <c r="G143" s="1" t="s">
        <v>329</v>
      </c>
      <c r="H143" s="1" t="s">
        <v>329</v>
      </c>
      <c r="I143" s="1" t="s">
        <v>393</v>
      </c>
      <c r="J143" s="1" t="s">
        <v>329</v>
      </c>
      <c r="K143" s="1" t="s">
        <v>329</v>
      </c>
      <c r="L143" s="1" t="s">
        <v>329</v>
      </c>
      <c r="M143" s="1" t="s">
        <v>329</v>
      </c>
      <c r="N143" s="1" t="s">
        <v>329</v>
      </c>
      <c r="O143" s="1" t="s">
        <v>329</v>
      </c>
      <c r="P143" s="1" t="s">
        <v>329</v>
      </c>
      <c r="Q143" s="1" t="s">
        <v>329</v>
      </c>
      <c r="R143" s="1" t="s">
        <v>329</v>
      </c>
      <c r="S143" s="1" t="s">
        <v>329</v>
      </c>
      <c r="T143" s="1" t="s">
        <v>329</v>
      </c>
      <c r="U143" s="1">
        <v>0</v>
      </c>
      <c r="V143" s="1">
        <v>0</v>
      </c>
      <c r="W143" s="1">
        <v>0</v>
      </c>
      <c r="X143" s="1">
        <v>0</v>
      </c>
      <c r="Y143" s="1">
        <v>0</v>
      </c>
      <c r="Z143" s="1">
        <v>0</v>
      </c>
      <c r="AA143" s="1">
        <v>0</v>
      </c>
      <c r="AB143" s="1">
        <v>0</v>
      </c>
      <c r="AC143" s="1">
        <v>4</v>
      </c>
      <c r="AD143" s="1">
        <v>2</v>
      </c>
      <c r="AE143" s="1">
        <v>0</v>
      </c>
      <c r="AF143" s="1">
        <v>4</v>
      </c>
      <c r="AG143" t="s">
        <v>761</v>
      </c>
      <c r="AH143" s="1">
        <v>3600</v>
      </c>
      <c r="AI143" s="1" t="s">
        <v>2207</v>
      </c>
      <c r="AJ143" s="1">
        <v>0</v>
      </c>
      <c r="AK143" s="1" t="s">
        <v>456</v>
      </c>
      <c r="AL143" s="1" t="s">
        <v>2236</v>
      </c>
      <c r="AM143" s="1">
        <v>0</v>
      </c>
      <c r="AN143" s="1">
        <v>0</v>
      </c>
      <c r="AO143" s="1">
        <v>0</v>
      </c>
      <c r="AP143" s="1">
        <v>0</v>
      </c>
      <c r="AQ143" s="1">
        <v>3</v>
      </c>
      <c r="AR143" s="1" t="s">
        <v>329</v>
      </c>
      <c r="AS143" s="1">
        <v>0</v>
      </c>
      <c r="AT143" s="1" t="s">
        <v>2237</v>
      </c>
      <c r="AU143" s="1">
        <v>0</v>
      </c>
      <c r="AV143" s="1">
        <v>20015</v>
      </c>
      <c r="AW143" s="1">
        <v>0</v>
      </c>
    </row>
    <row r="144" spans="1:49" x14ac:dyDescent="0.25">
      <c r="A144" s="1">
        <v>145</v>
      </c>
      <c r="B144" s="1" t="s">
        <v>2238</v>
      </c>
      <c r="C144" s="1" t="s">
        <v>2239</v>
      </c>
      <c r="D144" s="1">
        <v>5</v>
      </c>
      <c r="E144" s="1">
        <v>3</v>
      </c>
      <c r="F144" s="1">
        <v>20</v>
      </c>
      <c r="G144" s="1" t="s">
        <v>399</v>
      </c>
      <c r="H144" s="1" t="s">
        <v>329</v>
      </c>
      <c r="I144" s="1" t="s">
        <v>367</v>
      </c>
      <c r="J144" s="1" t="s">
        <v>329</v>
      </c>
      <c r="K144" s="1" t="s">
        <v>329</v>
      </c>
      <c r="L144" s="1" t="s">
        <v>329</v>
      </c>
      <c r="M144" s="1" t="s">
        <v>329</v>
      </c>
      <c r="N144" s="1" t="s">
        <v>329</v>
      </c>
      <c r="O144" s="1" t="s">
        <v>359</v>
      </c>
      <c r="P144" s="1" t="s">
        <v>329</v>
      </c>
      <c r="Q144" s="1" t="s">
        <v>329</v>
      </c>
      <c r="R144" s="1" t="s">
        <v>329</v>
      </c>
      <c r="S144" s="1" t="s">
        <v>329</v>
      </c>
      <c r="T144" s="1" t="s">
        <v>329</v>
      </c>
      <c r="U144" s="1">
        <v>0</v>
      </c>
      <c r="V144" s="1">
        <v>0</v>
      </c>
      <c r="W144" s="1">
        <v>0</v>
      </c>
      <c r="X144" s="1">
        <v>0</v>
      </c>
      <c r="Y144" s="1">
        <v>0</v>
      </c>
      <c r="Z144" s="1">
        <v>0</v>
      </c>
      <c r="AA144" s="1">
        <v>0</v>
      </c>
      <c r="AB144" s="1">
        <v>0</v>
      </c>
      <c r="AC144" s="1">
        <v>2</v>
      </c>
      <c r="AD144" s="1">
        <v>2</v>
      </c>
      <c r="AE144" s="1">
        <v>3</v>
      </c>
      <c r="AF144" s="1">
        <v>3</v>
      </c>
      <c r="AG144" t="s">
        <v>736</v>
      </c>
      <c r="AH144" s="1">
        <v>3600</v>
      </c>
      <c r="AI144" s="1" t="s">
        <v>2240</v>
      </c>
      <c r="AJ144" s="1">
        <v>0</v>
      </c>
      <c r="AK144" s="1" t="s">
        <v>457</v>
      </c>
      <c r="AL144" s="1" t="s">
        <v>2241</v>
      </c>
      <c r="AM144" s="1">
        <v>0.23</v>
      </c>
      <c r="AN144" s="1">
        <v>0.23</v>
      </c>
      <c r="AO144" s="1">
        <v>0.33</v>
      </c>
      <c r="AP144" s="1">
        <v>0.33</v>
      </c>
      <c r="AQ144" s="1">
        <v>3</v>
      </c>
      <c r="AR144" s="1" t="s">
        <v>1558</v>
      </c>
      <c r="AS144" s="1">
        <v>0</v>
      </c>
      <c r="AT144" s="1" t="s">
        <v>1866</v>
      </c>
      <c r="AU144" s="1">
        <v>10</v>
      </c>
      <c r="AV144" s="1">
        <v>20016</v>
      </c>
      <c r="AW144" s="1">
        <v>0</v>
      </c>
    </row>
    <row r="145" spans="1:49" x14ac:dyDescent="0.25">
      <c r="A145" s="1">
        <v>146</v>
      </c>
      <c r="B145" s="1" t="s">
        <v>2242</v>
      </c>
      <c r="C145" s="1" t="s">
        <v>2243</v>
      </c>
      <c r="D145" s="1">
        <v>5</v>
      </c>
      <c r="E145" s="1">
        <v>2</v>
      </c>
      <c r="F145" s="1">
        <v>19</v>
      </c>
      <c r="G145" s="1" t="s">
        <v>386</v>
      </c>
      <c r="H145" s="1" t="s">
        <v>329</v>
      </c>
      <c r="I145" s="1" t="s">
        <v>329</v>
      </c>
      <c r="J145" s="1" t="s">
        <v>329</v>
      </c>
      <c r="K145" s="1" t="s">
        <v>329</v>
      </c>
      <c r="L145" s="1" t="s">
        <v>329</v>
      </c>
      <c r="M145" s="1" t="s">
        <v>329</v>
      </c>
      <c r="N145" s="1" t="s">
        <v>387</v>
      </c>
      <c r="O145" s="1" t="s">
        <v>329</v>
      </c>
      <c r="P145" s="1" t="s">
        <v>329</v>
      </c>
      <c r="Q145" s="1" t="s">
        <v>329</v>
      </c>
      <c r="R145" s="1" t="s">
        <v>329</v>
      </c>
      <c r="S145" s="1" t="s">
        <v>329</v>
      </c>
      <c r="T145" s="1" t="s">
        <v>329</v>
      </c>
      <c r="U145" s="1">
        <v>0</v>
      </c>
      <c r="V145" s="1">
        <v>0</v>
      </c>
      <c r="W145" s="1">
        <v>0</v>
      </c>
      <c r="X145" s="1">
        <v>0</v>
      </c>
      <c r="Y145" s="1">
        <v>0</v>
      </c>
      <c r="Z145" s="1">
        <v>0</v>
      </c>
      <c r="AA145" s="1">
        <v>0</v>
      </c>
      <c r="AB145" s="1">
        <v>0</v>
      </c>
      <c r="AC145" s="1">
        <v>4</v>
      </c>
      <c r="AD145" s="1">
        <v>4</v>
      </c>
      <c r="AE145" s="1">
        <v>0</v>
      </c>
      <c r="AF145" s="1">
        <v>2</v>
      </c>
      <c r="AG145" t="s">
        <v>722</v>
      </c>
      <c r="AH145" s="1">
        <v>3600</v>
      </c>
      <c r="AI145" s="1" t="s">
        <v>2240</v>
      </c>
      <c r="AJ145" s="1">
        <v>0</v>
      </c>
      <c r="AK145" s="1" t="s">
        <v>458</v>
      </c>
      <c r="AL145" s="1" t="s">
        <v>2244</v>
      </c>
      <c r="AM145" s="1">
        <v>0.48</v>
      </c>
      <c r="AN145" s="1">
        <v>0.48</v>
      </c>
      <c r="AO145" s="1">
        <v>0.08</v>
      </c>
      <c r="AP145" s="1">
        <v>0.25</v>
      </c>
      <c r="AQ145" s="1">
        <v>3</v>
      </c>
      <c r="AR145" s="1" t="s">
        <v>1517</v>
      </c>
      <c r="AS145" s="1">
        <v>0</v>
      </c>
      <c r="AT145" s="1" t="s">
        <v>1866</v>
      </c>
      <c r="AU145" s="1">
        <v>10</v>
      </c>
      <c r="AV145" s="1">
        <v>19010</v>
      </c>
      <c r="AW145" s="1">
        <v>0</v>
      </c>
    </row>
    <row r="146" spans="1:49" x14ac:dyDescent="0.25">
      <c r="A146" s="1">
        <v>147</v>
      </c>
      <c r="B146" s="1" t="s">
        <v>2245</v>
      </c>
      <c r="C146" s="1" t="s">
        <v>2246</v>
      </c>
      <c r="D146" s="1">
        <v>5</v>
      </c>
      <c r="E146" s="1">
        <v>3</v>
      </c>
      <c r="F146" s="1">
        <v>20</v>
      </c>
      <c r="G146" s="1" t="s">
        <v>329</v>
      </c>
      <c r="H146" s="1" t="s">
        <v>329</v>
      </c>
      <c r="I146" s="1" t="s">
        <v>400</v>
      </c>
      <c r="J146" s="1" t="s">
        <v>329</v>
      </c>
      <c r="K146" s="1" t="s">
        <v>329</v>
      </c>
      <c r="L146" s="1" t="s">
        <v>329</v>
      </c>
      <c r="M146" s="1" t="s">
        <v>329</v>
      </c>
      <c r="N146" s="1" t="s">
        <v>329</v>
      </c>
      <c r="O146" s="1" t="s">
        <v>329</v>
      </c>
      <c r="P146" s="1" t="s">
        <v>329</v>
      </c>
      <c r="Q146" s="1" t="s">
        <v>329</v>
      </c>
      <c r="R146" s="1" t="s">
        <v>329</v>
      </c>
      <c r="S146" s="1" t="s">
        <v>329</v>
      </c>
      <c r="T146" s="1" t="s">
        <v>329</v>
      </c>
      <c r="U146" s="1">
        <v>0</v>
      </c>
      <c r="V146" s="1">
        <v>0</v>
      </c>
      <c r="W146" s="1">
        <v>0</v>
      </c>
      <c r="X146" s="1">
        <v>0</v>
      </c>
      <c r="Y146" s="1">
        <v>0</v>
      </c>
      <c r="Z146" s="1">
        <v>0</v>
      </c>
      <c r="AA146" s="1">
        <v>0</v>
      </c>
      <c r="AB146" s="1">
        <v>0</v>
      </c>
      <c r="AC146" s="1">
        <v>4</v>
      </c>
      <c r="AD146" s="1">
        <v>2</v>
      </c>
      <c r="AE146" s="1">
        <v>0</v>
      </c>
      <c r="AF146" s="1">
        <v>4</v>
      </c>
      <c r="AG146" t="s">
        <v>732</v>
      </c>
      <c r="AH146" s="1">
        <v>3600</v>
      </c>
      <c r="AI146" s="1" t="s">
        <v>2240</v>
      </c>
      <c r="AJ146" s="1">
        <v>0</v>
      </c>
      <c r="AK146" s="1" t="s">
        <v>459</v>
      </c>
      <c r="AL146" s="1" t="s">
        <v>2247</v>
      </c>
      <c r="AM146" s="1">
        <v>0.3</v>
      </c>
      <c r="AN146" s="1">
        <v>0.23</v>
      </c>
      <c r="AO146" s="1">
        <v>0.15</v>
      </c>
      <c r="AP146" s="1">
        <v>0.38</v>
      </c>
      <c r="AQ146" s="1">
        <v>3</v>
      </c>
      <c r="AR146" s="1" t="s">
        <v>1508</v>
      </c>
      <c r="AS146" s="1">
        <v>0</v>
      </c>
      <c r="AT146" s="1" t="s">
        <v>1866</v>
      </c>
      <c r="AU146" s="1">
        <v>10</v>
      </c>
      <c r="AV146" s="1">
        <v>20017</v>
      </c>
      <c r="AW146" s="1">
        <v>0</v>
      </c>
    </row>
    <row r="147" spans="1:49" x14ac:dyDescent="0.25">
      <c r="A147" s="1">
        <v>148</v>
      </c>
      <c r="B147" s="1" t="s">
        <v>2248</v>
      </c>
      <c r="C147" s="1" t="s">
        <v>2249</v>
      </c>
      <c r="D147" s="1">
        <v>5</v>
      </c>
      <c r="E147" s="1">
        <v>3</v>
      </c>
      <c r="F147" s="1">
        <v>20</v>
      </c>
      <c r="G147" s="1" t="s">
        <v>329</v>
      </c>
      <c r="H147" s="1" t="s">
        <v>329</v>
      </c>
      <c r="I147" s="1" t="s">
        <v>329</v>
      </c>
      <c r="J147" s="1" t="s">
        <v>402</v>
      </c>
      <c r="K147" s="1" t="s">
        <v>332</v>
      </c>
      <c r="L147" s="1" t="s">
        <v>400</v>
      </c>
      <c r="M147" s="1" t="s">
        <v>329</v>
      </c>
      <c r="N147" s="1" t="s">
        <v>329</v>
      </c>
      <c r="O147" s="1" t="s">
        <v>329</v>
      </c>
      <c r="P147" s="1" t="s">
        <v>329</v>
      </c>
      <c r="Q147" s="1" t="s">
        <v>329</v>
      </c>
      <c r="R147" s="1" t="s">
        <v>329</v>
      </c>
      <c r="S147" s="1" t="s">
        <v>329</v>
      </c>
      <c r="T147" s="1" t="s">
        <v>329</v>
      </c>
      <c r="U147" s="1">
        <v>0</v>
      </c>
      <c r="V147" s="1">
        <v>0</v>
      </c>
      <c r="W147" s="1">
        <v>0</v>
      </c>
      <c r="X147" s="1">
        <v>0</v>
      </c>
      <c r="Y147" s="1">
        <v>0</v>
      </c>
      <c r="Z147" s="1">
        <v>0</v>
      </c>
      <c r="AA147" s="1">
        <v>0</v>
      </c>
      <c r="AB147" s="1">
        <v>0</v>
      </c>
      <c r="AC147" s="1">
        <v>4</v>
      </c>
      <c r="AD147" s="1">
        <v>0</v>
      </c>
      <c r="AE147" s="1">
        <v>5</v>
      </c>
      <c r="AF147" s="1">
        <v>0</v>
      </c>
      <c r="AG147" t="s">
        <v>737</v>
      </c>
      <c r="AH147" s="1">
        <v>3600</v>
      </c>
      <c r="AI147" s="1" t="s">
        <v>2240</v>
      </c>
      <c r="AJ147" s="1">
        <v>0</v>
      </c>
      <c r="AK147" s="1" t="s">
        <v>460</v>
      </c>
      <c r="AL147" s="1" t="s">
        <v>2250</v>
      </c>
      <c r="AM147" s="1">
        <v>0.55000000000000004</v>
      </c>
      <c r="AN147" s="1">
        <v>0.16</v>
      </c>
      <c r="AO147" s="1">
        <v>0.6</v>
      </c>
      <c r="AP147" s="1">
        <v>0.16</v>
      </c>
      <c r="AQ147" s="1">
        <v>3</v>
      </c>
      <c r="AR147" s="1" t="s">
        <v>1559</v>
      </c>
      <c r="AS147" s="1">
        <v>0</v>
      </c>
      <c r="AT147" s="1" t="s">
        <v>1866</v>
      </c>
      <c r="AU147" s="1">
        <v>10</v>
      </c>
      <c r="AV147" s="1">
        <v>20018</v>
      </c>
      <c r="AW147" s="1">
        <v>0</v>
      </c>
    </row>
    <row r="148" spans="1:49" x14ac:dyDescent="0.25">
      <c r="A148" s="1">
        <v>149</v>
      </c>
      <c r="B148" s="1" t="s">
        <v>2251</v>
      </c>
      <c r="C148" s="1" t="s">
        <v>2252</v>
      </c>
      <c r="D148" s="1">
        <v>5</v>
      </c>
      <c r="E148" s="1">
        <v>3</v>
      </c>
      <c r="F148" s="1">
        <v>20</v>
      </c>
      <c r="G148" s="1" t="s">
        <v>399</v>
      </c>
      <c r="H148" s="1" t="s">
        <v>329</v>
      </c>
      <c r="I148" s="1" t="s">
        <v>367</v>
      </c>
      <c r="J148" s="1" t="s">
        <v>329</v>
      </c>
      <c r="K148" s="1" t="s">
        <v>329</v>
      </c>
      <c r="L148" s="1" t="s">
        <v>329</v>
      </c>
      <c r="M148" s="1" t="s">
        <v>329</v>
      </c>
      <c r="N148" s="1" t="s">
        <v>329</v>
      </c>
      <c r="O148" s="1" t="s">
        <v>329</v>
      </c>
      <c r="P148" s="1" t="s">
        <v>329</v>
      </c>
      <c r="Q148" s="1" t="s">
        <v>329</v>
      </c>
      <c r="R148" s="1" t="s">
        <v>329</v>
      </c>
      <c r="S148" s="1" t="s">
        <v>329</v>
      </c>
      <c r="T148" s="1" t="s">
        <v>355</v>
      </c>
      <c r="U148" s="1">
        <v>0</v>
      </c>
      <c r="V148" s="1">
        <v>0</v>
      </c>
      <c r="W148" s="1">
        <v>0</v>
      </c>
      <c r="X148" s="1">
        <v>0</v>
      </c>
      <c r="Y148" s="1">
        <v>0</v>
      </c>
      <c r="Z148" s="1">
        <v>0</v>
      </c>
      <c r="AA148" s="1">
        <v>0</v>
      </c>
      <c r="AB148" s="1">
        <v>0</v>
      </c>
      <c r="AC148" s="1">
        <v>4</v>
      </c>
      <c r="AD148" s="1">
        <v>0</v>
      </c>
      <c r="AE148" s="1">
        <v>5</v>
      </c>
      <c r="AF148" s="1">
        <v>0</v>
      </c>
      <c r="AG148" t="s">
        <v>738</v>
      </c>
      <c r="AH148" s="1">
        <v>3600</v>
      </c>
      <c r="AI148" s="1" t="s">
        <v>2240</v>
      </c>
      <c r="AJ148" s="1">
        <v>0</v>
      </c>
      <c r="AK148" s="1" t="s">
        <v>461</v>
      </c>
      <c r="AL148" s="1" t="s">
        <v>2253</v>
      </c>
      <c r="AM148" s="1">
        <v>0.55000000000000004</v>
      </c>
      <c r="AN148" s="1">
        <v>0.16</v>
      </c>
      <c r="AO148" s="1">
        <v>0.6</v>
      </c>
      <c r="AP148" s="1">
        <v>0.16</v>
      </c>
      <c r="AQ148" s="1">
        <v>3</v>
      </c>
      <c r="AR148" s="1" t="s">
        <v>1560</v>
      </c>
      <c r="AS148" s="1">
        <v>0</v>
      </c>
      <c r="AT148" s="1" t="s">
        <v>1866</v>
      </c>
      <c r="AU148" s="1">
        <v>10</v>
      </c>
      <c r="AV148" s="1">
        <v>20019</v>
      </c>
      <c r="AW148" s="1">
        <v>0</v>
      </c>
    </row>
    <row r="149" spans="1:49" x14ac:dyDescent="0.25">
      <c r="A149" s="1">
        <v>150</v>
      </c>
      <c r="B149" s="1" t="s">
        <v>2254</v>
      </c>
      <c r="C149" s="1" t="s">
        <v>2255</v>
      </c>
      <c r="D149" s="1">
        <v>5</v>
      </c>
      <c r="E149" s="1">
        <v>1</v>
      </c>
      <c r="F149" s="1">
        <v>18</v>
      </c>
      <c r="G149" s="1" t="s">
        <v>329</v>
      </c>
      <c r="H149" s="1" t="s">
        <v>447</v>
      </c>
      <c r="I149" s="1" t="s">
        <v>329</v>
      </c>
      <c r="J149" s="1" t="s">
        <v>329</v>
      </c>
      <c r="K149" s="1" t="s">
        <v>345</v>
      </c>
      <c r="L149" s="1" t="s">
        <v>329</v>
      </c>
      <c r="M149" s="1" t="s">
        <v>423</v>
      </c>
      <c r="N149" s="1" t="s">
        <v>329</v>
      </c>
      <c r="O149" s="1" t="s">
        <v>329</v>
      </c>
      <c r="P149" s="1" t="s">
        <v>329</v>
      </c>
      <c r="Q149" s="1" t="s">
        <v>329</v>
      </c>
      <c r="R149" s="1" t="s">
        <v>329</v>
      </c>
      <c r="S149" s="1" t="s">
        <v>329</v>
      </c>
      <c r="T149" s="1" t="s">
        <v>329</v>
      </c>
      <c r="U149" s="1">
        <v>0</v>
      </c>
      <c r="V149" s="1">
        <v>0</v>
      </c>
      <c r="W149" s="1">
        <v>0</v>
      </c>
      <c r="X149" s="1">
        <v>0</v>
      </c>
      <c r="Y149" s="1">
        <v>0</v>
      </c>
      <c r="Z149" s="1">
        <v>0</v>
      </c>
      <c r="AA149" s="1">
        <v>0</v>
      </c>
      <c r="AB149" s="1">
        <v>0</v>
      </c>
      <c r="AC149" s="1">
        <v>4</v>
      </c>
      <c r="AD149" s="1">
        <v>0</v>
      </c>
      <c r="AE149" s="1">
        <v>3</v>
      </c>
      <c r="AF149" s="1">
        <v>2</v>
      </c>
      <c r="AG149" t="s">
        <v>125</v>
      </c>
      <c r="AH149" s="1">
        <v>3600</v>
      </c>
      <c r="AI149" s="1" t="s">
        <v>2179</v>
      </c>
      <c r="AJ149" s="1">
        <v>0</v>
      </c>
      <c r="AK149" s="1" t="s">
        <v>462</v>
      </c>
      <c r="AL149" s="1" t="s">
        <v>2256</v>
      </c>
      <c r="AM149" s="1">
        <v>0.45</v>
      </c>
      <c r="AN149" s="1">
        <v>0.15</v>
      </c>
      <c r="AO149" s="1">
        <v>0.3</v>
      </c>
      <c r="AP149" s="1">
        <v>0.15</v>
      </c>
      <c r="AQ149" s="1">
        <v>3</v>
      </c>
      <c r="AR149" s="1" t="s">
        <v>1561</v>
      </c>
      <c r="AS149" s="1">
        <v>0</v>
      </c>
      <c r="AT149" s="1" t="s">
        <v>1866</v>
      </c>
      <c r="AU149" s="1">
        <v>10</v>
      </c>
      <c r="AV149" s="1">
        <v>18032</v>
      </c>
      <c r="AW149" s="1">
        <v>0</v>
      </c>
    </row>
    <row r="150" spans="1:49" x14ac:dyDescent="0.25">
      <c r="A150" s="1">
        <v>151</v>
      </c>
      <c r="B150" s="1" t="s">
        <v>2257</v>
      </c>
      <c r="C150" s="1" t="s">
        <v>2258</v>
      </c>
      <c r="D150" s="1">
        <v>5</v>
      </c>
      <c r="E150" s="1">
        <v>2</v>
      </c>
      <c r="F150" s="1">
        <v>19</v>
      </c>
      <c r="G150" s="1" t="s">
        <v>357</v>
      </c>
      <c r="H150" s="1" t="s">
        <v>332</v>
      </c>
      <c r="I150" s="1" t="s">
        <v>329</v>
      </c>
      <c r="J150" s="1" t="s">
        <v>329</v>
      </c>
      <c r="K150" s="1" t="s">
        <v>329</v>
      </c>
      <c r="L150" s="1" t="s">
        <v>451</v>
      </c>
      <c r="M150" s="1" t="s">
        <v>329</v>
      </c>
      <c r="N150" s="1" t="s">
        <v>329</v>
      </c>
      <c r="O150" s="1" t="s">
        <v>329</v>
      </c>
      <c r="P150" s="1" t="s">
        <v>329</v>
      </c>
      <c r="Q150" s="1" t="s">
        <v>329</v>
      </c>
      <c r="R150" s="1" t="s">
        <v>329</v>
      </c>
      <c r="S150" s="1" t="s">
        <v>329</v>
      </c>
      <c r="T150" s="1" t="s">
        <v>329</v>
      </c>
      <c r="U150" s="1">
        <v>0</v>
      </c>
      <c r="V150" s="1">
        <v>0</v>
      </c>
      <c r="W150" s="1">
        <v>0</v>
      </c>
      <c r="X150" s="1">
        <v>0</v>
      </c>
      <c r="Y150" s="1">
        <v>0</v>
      </c>
      <c r="Z150" s="1">
        <v>0</v>
      </c>
      <c r="AA150" s="1">
        <v>0</v>
      </c>
      <c r="AB150" s="1">
        <v>0</v>
      </c>
      <c r="AC150" s="1">
        <v>1</v>
      </c>
      <c r="AD150" s="1">
        <v>4</v>
      </c>
      <c r="AE150" s="1">
        <v>1</v>
      </c>
      <c r="AF150" s="1">
        <v>3</v>
      </c>
      <c r="AG150" t="s">
        <v>723</v>
      </c>
      <c r="AH150" s="1">
        <v>3600</v>
      </c>
      <c r="AI150" s="1" t="s">
        <v>2259</v>
      </c>
      <c r="AJ150" s="1">
        <v>0</v>
      </c>
      <c r="AK150" s="1" t="s">
        <v>463</v>
      </c>
      <c r="AL150" s="1" t="s">
        <v>2260</v>
      </c>
      <c r="AM150" s="1">
        <v>0.08</v>
      </c>
      <c r="AN150" s="1">
        <v>0.53</v>
      </c>
      <c r="AO150" s="1">
        <v>0.08</v>
      </c>
      <c r="AP150" s="1">
        <v>0.45</v>
      </c>
      <c r="AQ150" s="1">
        <v>3</v>
      </c>
      <c r="AR150" s="1" t="s">
        <v>1562</v>
      </c>
      <c r="AS150" s="1">
        <v>0</v>
      </c>
      <c r="AT150" s="1" t="s">
        <v>1866</v>
      </c>
      <c r="AU150" s="1">
        <v>10</v>
      </c>
      <c r="AV150" s="1">
        <v>19011</v>
      </c>
      <c r="AW150" s="1">
        <v>0</v>
      </c>
    </row>
    <row r="151" spans="1:49" x14ac:dyDescent="0.25">
      <c r="A151" s="1">
        <v>152</v>
      </c>
      <c r="B151" s="1" t="s">
        <v>2261</v>
      </c>
      <c r="C151" s="1" t="s">
        <v>2262</v>
      </c>
      <c r="D151" s="1">
        <v>5</v>
      </c>
      <c r="E151" s="1">
        <v>1</v>
      </c>
      <c r="F151" s="1">
        <v>18</v>
      </c>
      <c r="G151" s="1" t="s">
        <v>336</v>
      </c>
      <c r="H151" s="1" t="s">
        <v>332</v>
      </c>
      <c r="I151" s="1" t="s">
        <v>329</v>
      </c>
      <c r="J151" s="1" t="s">
        <v>329</v>
      </c>
      <c r="K151" s="1" t="s">
        <v>329</v>
      </c>
      <c r="L151" s="1" t="s">
        <v>329</v>
      </c>
      <c r="M151" s="1" t="s">
        <v>398</v>
      </c>
      <c r="N151" s="1" t="s">
        <v>329</v>
      </c>
      <c r="O151" s="1" t="s">
        <v>329</v>
      </c>
      <c r="P151" s="1" t="s">
        <v>329</v>
      </c>
      <c r="Q151" s="1" t="s">
        <v>329</v>
      </c>
      <c r="R151" s="1" t="s">
        <v>329</v>
      </c>
      <c r="S151" s="1" t="s">
        <v>329</v>
      </c>
      <c r="T151" s="1" t="s">
        <v>329</v>
      </c>
      <c r="U151" s="1">
        <v>0</v>
      </c>
      <c r="V151" s="1">
        <v>0</v>
      </c>
      <c r="W151" s="1">
        <v>0</v>
      </c>
      <c r="X151" s="1">
        <v>0</v>
      </c>
      <c r="Y151" s="1">
        <v>0</v>
      </c>
      <c r="Z151" s="1">
        <v>0</v>
      </c>
      <c r="AA151" s="1">
        <v>0</v>
      </c>
      <c r="AB151" s="1">
        <v>0</v>
      </c>
      <c r="AC151" s="1">
        <v>4</v>
      </c>
      <c r="AD151" s="1">
        <v>0</v>
      </c>
      <c r="AE151" s="1">
        <v>3</v>
      </c>
      <c r="AF151" s="1">
        <v>2</v>
      </c>
      <c r="AG151" t="s">
        <v>745</v>
      </c>
      <c r="AH151" s="1">
        <v>3600</v>
      </c>
      <c r="AI151" s="1" t="s">
        <v>2263</v>
      </c>
      <c r="AJ151" s="1">
        <v>0</v>
      </c>
      <c r="AK151" s="1" t="s">
        <v>464</v>
      </c>
      <c r="AL151" s="1" t="s">
        <v>2264</v>
      </c>
      <c r="AM151" s="1">
        <v>0.45</v>
      </c>
      <c r="AN151" s="1">
        <v>0.15</v>
      </c>
      <c r="AO151" s="1">
        <v>0.3</v>
      </c>
      <c r="AP151" s="1">
        <v>0.15</v>
      </c>
      <c r="AQ151" s="1">
        <v>3</v>
      </c>
      <c r="AR151" s="1" t="s">
        <v>1563</v>
      </c>
      <c r="AS151" s="1">
        <v>0</v>
      </c>
      <c r="AT151" s="1" t="s">
        <v>1866</v>
      </c>
      <c r="AU151" s="1">
        <v>10</v>
      </c>
      <c r="AV151" s="1">
        <v>18033</v>
      </c>
      <c r="AW151" s="1">
        <v>0</v>
      </c>
    </row>
    <row r="152" spans="1:49" x14ac:dyDescent="0.25">
      <c r="A152" s="1">
        <v>153</v>
      </c>
      <c r="B152" s="1" t="s">
        <v>2265</v>
      </c>
      <c r="C152" s="1" t="s">
        <v>2266</v>
      </c>
      <c r="D152" s="1">
        <v>5</v>
      </c>
      <c r="E152" s="1">
        <v>1</v>
      </c>
      <c r="F152" s="1">
        <v>18</v>
      </c>
      <c r="G152" s="1" t="s">
        <v>329</v>
      </c>
      <c r="H152" s="1" t="s">
        <v>338</v>
      </c>
      <c r="I152" s="1" t="s">
        <v>329</v>
      </c>
      <c r="J152" s="1" t="s">
        <v>329</v>
      </c>
      <c r="K152" s="1" t="s">
        <v>399</v>
      </c>
      <c r="L152" s="1" t="s">
        <v>329</v>
      </c>
      <c r="M152" s="1" t="s">
        <v>398</v>
      </c>
      <c r="N152" s="1" t="s">
        <v>329</v>
      </c>
      <c r="O152" s="1" t="s">
        <v>329</v>
      </c>
      <c r="P152" s="1" t="s">
        <v>329</v>
      </c>
      <c r="Q152" s="1" t="s">
        <v>329</v>
      </c>
      <c r="R152" s="1" t="s">
        <v>329</v>
      </c>
      <c r="S152" s="1" t="s">
        <v>329</v>
      </c>
      <c r="T152" s="1" t="s">
        <v>329</v>
      </c>
      <c r="U152" s="1">
        <v>0</v>
      </c>
      <c r="V152" s="1">
        <v>0</v>
      </c>
      <c r="W152" s="1">
        <v>0</v>
      </c>
      <c r="X152" s="1">
        <v>0</v>
      </c>
      <c r="Y152" s="1">
        <v>0</v>
      </c>
      <c r="Z152" s="1">
        <v>0</v>
      </c>
      <c r="AA152" s="1">
        <v>0</v>
      </c>
      <c r="AB152" s="1">
        <v>0</v>
      </c>
      <c r="AC152" s="1">
        <v>4</v>
      </c>
      <c r="AD152" s="1">
        <v>0</v>
      </c>
      <c r="AE152" s="1">
        <v>3</v>
      </c>
      <c r="AF152" s="1">
        <v>2</v>
      </c>
      <c r="AG152" t="s">
        <v>97</v>
      </c>
      <c r="AH152" s="1">
        <v>3600</v>
      </c>
      <c r="AI152" s="1" t="s">
        <v>2267</v>
      </c>
      <c r="AJ152" s="1">
        <v>0</v>
      </c>
      <c r="AK152" s="1" t="s">
        <v>371</v>
      </c>
      <c r="AL152" s="1" t="s">
        <v>2268</v>
      </c>
      <c r="AM152" s="1">
        <v>0.45</v>
      </c>
      <c r="AN152" s="1">
        <v>0.15</v>
      </c>
      <c r="AO152" s="1">
        <v>0.3</v>
      </c>
      <c r="AP152" s="1">
        <v>0.15</v>
      </c>
      <c r="AQ152" s="1">
        <v>3</v>
      </c>
      <c r="AR152" s="1" t="s">
        <v>1564</v>
      </c>
      <c r="AS152" s="1">
        <v>0</v>
      </c>
      <c r="AT152" s="1" t="s">
        <v>1866</v>
      </c>
      <c r="AU152" s="1">
        <v>10</v>
      </c>
      <c r="AV152" s="1">
        <v>18034</v>
      </c>
      <c r="AW152" s="1">
        <v>0</v>
      </c>
    </row>
    <row r="153" spans="1:49" x14ac:dyDescent="0.25">
      <c r="A153" s="1">
        <v>154</v>
      </c>
      <c r="B153" s="1" t="s">
        <v>2269</v>
      </c>
      <c r="C153" s="1" t="s">
        <v>2270</v>
      </c>
      <c r="D153" s="1">
        <v>5</v>
      </c>
      <c r="E153" s="1">
        <v>1</v>
      </c>
      <c r="F153" s="1">
        <v>18</v>
      </c>
      <c r="G153" s="1" t="s">
        <v>355</v>
      </c>
      <c r="H153" s="1" t="s">
        <v>329</v>
      </c>
      <c r="I153" s="1" t="s">
        <v>465</v>
      </c>
      <c r="J153" s="1" t="s">
        <v>329</v>
      </c>
      <c r="K153" s="1" t="s">
        <v>329</v>
      </c>
      <c r="L153" s="1" t="s">
        <v>329</v>
      </c>
      <c r="M153" s="1" t="s">
        <v>400</v>
      </c>
      <c r="N153" s="1" t="s">
        <v>329</v>
      </c>
      <c r="O153" s="1" t="s">
        <v>329</v>
      </c>
      <c r="P153" s="1" t="s">
        <v>329</v>
      </c>
      <c r="Q153" s="1" t="s">
        <v>329</v>
      </c>
      <c r="R153" s="1" t="s">
        <v>329</v>
      </c>
      <c r="S153" s="1" t="s">
        <v>329</v>
      </c>
      <c r="T153" s="1" t="s">
        <v>329</v>
      </c>
      <c r="U153" s="1">
        <v>0</v>
      </c>
      <c r="V153" s="1">
        <v>0</v>
      </c>
      <c r="W153" s="1">
        <v>0</v>
      </c>
      <c r="X153" s="1">
        <v>0</v>
      </c>
      <c r="Y153" s="1">
        <v>0</v>
      </c>
      <c r="Z153" s="1">
        <v>0</v>
      </c>
      <c r="AA153" s="1">
        <v>0</v>
      </c>
      <c r="AB153" s="1">
        <v>0</v>
      </c>
      <c r="AC153" s="1">
        <v>4</v>
      </c>
      <c r="AD153" s="1">
        <v>2</v>
      </c>
      <c r="AE153" s="1">
        <v>2</v>
      </c>
      <c r="AF153" s="1">
        <v>2</v>
      </c>
      <c r="AG153" t="s">
        <v>77</v>
      </c>
      <c r="AH153" s="1">
        <v>3600</v>
      </c>
      <c r="AI153" s="1" t="s">
        <v>2271</v>
      </c>
      <c r="AJ153" s="1">
        <v>0</v>
      </c>
      <c r="AK153" s="1" t="s">
        <v>466</v>
      </c>
      <c r="AL153" s="1" t="s">
        <v>2272</v>
      </c>
      <c r="AM153" s="1">
        <v>0.55000000000000004</v>
      </c>
      <c r="AN153" s="1">
        <v>0.23</v>
      </c>
      <c r="AO153" s="1">
        <v>0.23</v>
      </c>
      <c r="AP153" s="1">
        <v>0.23</v>
      </c>
      <c r="AQ153" s="1">
        <v>3</v>
      </c>
      <c r="AR153" s="1" t="s">
        <v>1565</v>
      </c>
      <c r="AS153" s="1">
        <v>0</v>
      </c>
      <c r="AT153" s="1" t="s">
        <v>1866</v>
      </c>
      <c r="AU153" s="1">
        <v>10</v>
      </c>
      <c r="AV153" s="1">
        <v>18035</v>
      </c>
      <c r="AW153" s="1">
        <v>0</v>
      </c>
    </row>
    <row r="154" spans="1:49" x14ac:dyDescent="0.25">
      <c r="A154" s="1">
        <v>155</v>
      </c>
      <c r="B154" s="1" t="s">
        <v>2273</v>
      </c>
      <c r="C154" s="1" t="s">
        <v>2274</v>
      </c>
      <c r="D154" s="1">
        <v>5</v>
      </c>
      <c r="E154" s="1">
        <v>1</v>
      </c>
      <c r="F154" s="1">
        <v>18</v>
      </c>
      <c r="G154" s="1" t="s">
        <v>329</v>
      </c>
      <c r="H154" s="1" t="s">
        <v>329</v>
      </c>
      <c r="I154" s="1" t="s">
        <v>467</v>
      </c>
      <c r="J154" s="1" t="s">
        <v>329</v>
      </c>
      <c r="K154" s="1" t="s">
        <v>329</v>
      </c>
      <c r="L154" s="1" t="s">
        <v>329</v>
      </c>
      <c r="M154" s="1" t="s">
        <v>400</v>
      </c>
      <c r="N154" s="1" t="s">
        <v>329</v>
      </c>
      <c r="O154" s="1" t="s">
        <v>329</v>
      </c>
      <c r="P154" s="1" t="s">
        <v>329</v>
      </c>
      <c r="Q154" s="1" t="s">
        <v>329</v>
      </c>
      <c r="R154" s="1" t="s">
        <v>329</v>
      </c>
      <c r="S154" s="1" t="s">
        <v>329</v>
      </c>
      <c r="T154" s="1" t="s">
        <v>329</v>
      </c>
      <c r="U154" s="1">
        <v>0</v>
      </c>
      <c r="V154" s="1">
        <v>0</v>
      </c>
      <c r="W154" s="1">
        <v>0</v>
      </c>
      <c r="X154" s="1">
        <v>0</v>
      </c>
      <c r="Y154" s="1">
        <v>0</v>
      </c>
      <c r="Z154" s="1">
        <v>0</v>
      </c>
      <c r="AA154" s="1">
        <v>0</v>
      </c>
      <c r="AB154" s="1">
        <v>0</v>
      </c>
      <c r="AC154" s="1">
        <v>4</v>
      </c>
      <c r="AD154" s="1">
        <v>2</v>
      </c>
      <c r="AE154" s="1">
        <v>2</v>
      </c>
      <c r="AF154" s="1">
        <v>2</v>
      </c>
      <c r="AG154" t="s">
        <v>70</v>
      </c>
      <c r="AH154" s="1">
        <v>3600</v>
      </c>
      <c r="AI154" s="1" t="s">
        <v>2275</v>
      </c>
      <c r="AJ154" s="1">
        <v>0</v>
      </c>
      <c r="AK154" s="1" t="s">
        <v>468</v>
      </c>
      <c r="AL154" s="1" t="s">
        <v>2276</v>
      </c>
      <c r="AM154" s="1">
        <v>0.55000000000000004</v>
      </c>
      <c r="AN154" s="1">
        <v>0.23</v>
      </c>
      <c r="AO154" s="1">
        <v>0.23</v>
      </c>
      <c r="AP154" s="1">
        <v>0.23</v>
      </c>
      <c r="AQ154" s="1">
        <v>3</v>
      </c>
      <c r="AR154" s="1" t="s">
        <v>1566</v>
      </c>
      <c r="AS154" s="1">
        <v>0</v>
      </c>
      <c r="AT154" s="1" t="s">
        <v>1866</v>
      </c>
      <c r="AU154" s="1">
        <v>10</v>
      </c>
      <c r="AV154" s="1">
        <v>18036</v>
      </c>
      <c r="AW154" s="1">
        <v>0</v>
      </c>
    </row>
    <row r="155" spans="1:49" x14ac:dyDescent="0.25">
      <c r="A155" s="1">
        <v>156</v>
      </c>
      <c r="B155" s="1" t="s">
        <v>2277</v>
      </c>
      <c r="C155" s="1" t="s">
        <v>2278</v>
      </c>
      <c r="D155" s="1">
        <v>5</v>
      </c>
      <c r="E155" s="1">
        <v>1</v>
      </c>
      <c r="F155" s="1">
        <v>18</v>
      </c>
      <c r="G155" s="1" t="s">
        <v>356</v>
      </c>
      <c r="H155" s="1" t="s">
        <v>339</v>
      </c>
      <c r="I155" s="1" t="s">
        <v>392</v>
      </c>
      <c r="J155" s="1" t="s">
        <v>329</v>
      </c>
      <c r="K155" s="1" t="s">
        <v>329</v>
      </c>
      <c r="L155" s="1" t="s">
        <v>329</v>
      </c>
      <c r="M155" s="1" t="s">
        <v>329</v>
      </c>
      <c r="N155" s="1" t="s">
        <v>329</v>
      </c>
      <c r="O155" s="1" t="s">
        <v>329</v>
      </c>
      <c r="P155" s="1" t="s">
        <v>329</v>
      </c>
      <c r="Q155" s="1" t="s">
        <v>329</v>
      </c>
      <c r="R155" s="1" t="s">
        <v>329</v>
      </c>
      <c r="S155" s="1" t="s">
        <v>329</v>
      </c>
      <c r="T155" s="1" t="s">
        <v>329</v>
      </c>
      <c r="U155" s="1">
        <v>0</v>
      </c>
      <c r="V155" s="1">
        <v>0</v>
      </c>
      <c r="W155" s="1">
        <v>0</v>
      </c>
      <c r="X155" s="1">
        <v>0</v>
      </c>
      <c r="Y155" s="1">
        <v>0</v>
      </c>
      <c r="Z155" s="1">
        <v>0</v>
      </c>
      <c r="AA155" s="1">
        <v>0</v>
      </c>
      <c r="AB155" s="1">
        <v>0</v>
      </c>
      <c r="AC155" s="1">
        <v>4</v>
      </c>
      <c r="AD155" s="1">
        <v>0</v>
      </c>
      <c r="AE155" s="1">
        <v>3</v>
      </c>
      <c r="AF155" s="1">
        <v>2</v>
      </c>
      <c r="AG155" t="s">
        <v>264</v>
      </c>
      <c r="AH155" s="1">
        <v>3600</v>
      </c>
      <c r="AI155" s="1" t="s">
        <v>1890</v>
      </c>
      <c r="AJ155" s="1">
        <v>0</v>
      </c>
      <c r="AK155" s="1" t="s">
        <v>469</v>
      </c>
      <c r="AL155" s="1" t="s">
        <v>2279</v>
      </c>
      <c r="AM155" s="1">
        <v>0.45</v>
      </c>
      <c r="AN155" s="1">
        <v>0.15</v>
      </c>
      <c r="AO155" s="1">
        <v>0.3</v>
      </c>
      <c r="AP155" s="1">
        <v>0.15</v>
      </c>
      <c r="AQ155" s="1">
        <v>3</v>
      </c>
      <c r="AR155" s="1" t="s">
        <v>1567</v>
      </c>
      <c r="AS155" s="1">
        <v>0</v>
      </c>
      <c r="AT155" s="1" t="s">
        <v>1866</v>
      </c>
      <c r="AU155" s="1">
        <v>10</v>
      </c>
      <c r="AV155" s="1">
        <v>18037</v>
      </c>
      <c r="AW155" s="1">
        <v>0</v>
      </c>
    </row>
    <row r="156" spans="1:49" x14ac:dyDescent="0.25">
      <c r="A156" s="1">
        <v>157</v>
      </c>
      <c r="B156" s="1" t="s">
        <v>2280</v>
      </c>
      <c r="C156" s="1" t="s">
        <v>2281</v>
      </c>
      <c r="D156" s="1">
        <v>5</v>
      </c>
      <c r="E156" s="1">
        <v>1</v>
      </c>
      <c r="F156" s="1">
        <v>18</v>
      </c>
      <c r="G156" s="1" t="s">
        <v>356</v>
      </c>
      <c r="H156" s="1" t="s">
        <v>470</v>
      </c>
      <c r="I156" s="1" t="s">
        <v>392</v>
      </c>
      <c r="J156" s="1" t="s">
        <v>329</v>
      </c>
      <c r="K156" s="1" t="s">
        <v>329</v>
      </c>
      <c r="L156" s="1" t="s">
        <v>329</v>
      </c>
      <c r="M156" s="1" t="s">
        <v>329</v>
      </c>
      <c r="N156" s="1" t="s">
        <v>329</v>
      </c>
      <c r="O156" s="1" t="s">
        <v>329</v>
      </c>
      <c r="P156" s="1" t="s">
        <v>329</v>
      </c>
      <c r="Q156" s="1" t="s">
        <v>329</v>
      </c>
      <c r="R156" s="1" t="s">
        <v>329</v>
      </c>
      <c r="S156" s="1" t="s">
        <v>329</v>
      </c>
      <c r="T156" s="1" t="s">
        <v>329</v>
      </c>
      <c r="U156" s="1">
        <v>0</v>
      </c>
      <c r="V156" s="1">
        <v>0</v>
      </c>
      <c r="W156" s="1">
        <v>0</v>
      </c>
      <c r="X156" s="1">
        <v>0</v>
      </c>
      <c r="Y156" s="1">
        <v>0</v>
      </c>
      <c r="Z156" s="1">
        <v>0</v>
      </c>
      <c r="AA156" s="1">
        <v>0</v>
      </c>
      <c r="AB156" s="1">
        <v>0</v>
      </c>
      <c r="AC156" s="1">
        <v>4</v>
      </c>
      <c r="AD156" s="1">
        <v>0</v>
      </c>
      <c r="AE156" s="1">
        <v>3</v>
      </c>
      <c r="AF156" s="1">
        <v>2</v>
      </c>
      <c r="AG156" t="s">
        <v>1437</v>
      </c>
      <c r="AH156" s="1">
        <v>3600</v>
      </c>
      <c r="AI156" s="1" t="s">
        <v>2069</v>
      </c>
      <c r="AJ156" s="1">
        <v>0</v>
      </c>
      <c r="AK156" s="1" t="s">
        <v>384</v>
      </c>
      <c r="AL156" s="1" t="s">
        <v>2282</v>
      </c>
      <c r="AM156" s="1">
        <v>0.45</v>
      </c>
      <c r="AN156" s="1">
        <v>0.15</v>
      </c>
      <c r="AO156" s="1">
        <v>0.3</v>
      </c>
      <c r="AP156" s="1">
        <v>0.15</v>
      </c>
      <c r="AQ156" s="1">
        <v>3</v>
      </c>
      <c r="AR156" s="1" t="s">
        <v>1568</v>
      </c>
      <c r="AS156" s="1">
        <v>0</v>
      </c>
      <c r="AT156" s="1" t="s">
        <v>1866</v>
      </c>
      <c r="AU156" s="1">
        <v>10</v>
      </c>
      <c r="AV156" s="1">
        <v>18038</v>
      </c>
      <c r="AW156" s="1">
        <v>0</v>
      </c>
    </row>
    <row r="157" spans="1:49" x14ac:dyDescent="0.25">
      <c r="A157" s="1">
        <v>158</v>
      </c>
      <c r="B157" s="1" t="s">
        <v>2283</v>
      </c>
      <c r="C157" s="1" t="s">
        <v>2284</v>
      </c>
      <c r="D157" s="1">
        <v>5</v>
      </c>
      <c r="E157" s="1">
        <v>1</v>
      </c>
      <c r="F157" s="1">
        <v>18</v>
      </c>
      <c r="G157" s="1" t="s">
        <v>471</v>
      </c>
      <c r="H157" s="1" t="s">
        <v>329</v>
      </c>
      <c r="I157" s="1" t="s">
        <v>329</v>
      </c>
      <c r="J157" s="1" t="s">
        <v>329</v>
      </c>
      <c r="K157" s="1" t="s">
        <v>329</v>
      </c>
      <c r="L157" s="1" t="s">
        <v>329</v>
      </c>
      <c r="M157" s="1" t="s">
        <v>398</v>
      </c>
      <c r="N157" s="1" t="s">
        <v>329</v>
      </c>
      <c r="O157" s="1" t="s">
        <v>329</v>
      </c>
      <c r="P157" s="1" t="s">
        <v>329</v>
      </c>
      <c r="Q157" s="1" t="s">
        <v>329</v>
      </c>
      <c r="R157" s="1" t="s">
        <v>329</v>
      </c>
      <c r="S157" s="1" t="s">
        <v>329</v>
      </c>
      <c r="T157" s="1" t="s">
        <v>329</v>
      </c>
      <c r="U157" s="1">
        <v>0</v>
      </c>
      <c r="V157" s="1">
        <v>0</v>
      </c>
      <c r="W157" s="1">
        <v>0</v>
      </c>
      <c r="X157" s="1">
        <v>0</v>
      </c>
      <c r="Y157" s="1">
        <v>0</v>
      </c>
      <c r="Z157" s="1">
        <v>0</v>
      </c>
      <c r="AA157" s="1">
        <v>0</v>
      </c>
      <c r="AB157" s="1">
        <v>0</v>
      </c>
      <c r="AC157" s="1">
        <v>4</v>
      </c>
      <c r="AD157" s="1">
        <v>0</v>
      </c>
      <c r="AE157" s="1">
        <v>3</v>
      </c>
      <c r="AF157" s="1">
        <v>2</v>
      </c>
      <c r="AG157" t="s">
        <v>841</v>
      </c>
      <c r="AH157" s="1">
        <v>3600</v>
      </c>
      <c r="AI157" s="1" t="s">
        <v>2285</v>
      </c>
      <c r="AJ157" s="1">
        <v>0</v>
      </c>
      <c r="AK157" s="1" t="s">
        <v>472</v>
      </c>
      <c r="AL157" s="1" t="s">
        <v>2286</v>
      </c>
      <c r="AM157" s="1">
        <v>0.45</v>
      </c>
      <c r="AN157" s="1">
        <v>0.15</v>
      </c>
      <c r="AO157" s="1">
        <v>0.3</v>
      </c>
      <c r="AP157" s="1">
        <v>0.15</v>
      </c>
      <c r="AQ157" s="1">
        <v>3</v>
      </c>
      <c r="AR157" s="1" t="s">
        <v>1569</v>
      </c>
      <c r="AS157" s="1">
        <v>0</v>
      </c>
      <c r="AT157" s="1" t="s">
        <v>1866</v>
      </c>
      <c r="AU157" s="1">
        <v>10</v>
      </c>
      <c r="AV157" s="1">
        <v>18039</v>
      </c>
      <c r="AW157" s="1">
        <v>0</v>
      </c>
    </row>
    <row r="158" spans="1:49" x14ac:dyDescent="0.25">
      <c r="A158" s="1">
        <v>159</v>
      </c>
      <c r="B158" s="1" t="s">
        <v>2287</v>
      </c>
      <c r="C158" s="1" t="s">
        <v>2288</v>
      </c>
      <c r="D158" s="1">
        <v>5</v>
      </c>
      <c r="E158" s="1">
        <v>3</v>
      </c>
      <c r="F158" s="1">
        <v>20</v>
      </c>
      <c r="G158" s="1" t="s">
        <v>392</v>
      </c>
      <c r="H158" s="1" t="s">
        <v>329</v>
      </c>
      <c r="I158" s="1" t="s">
        <v>360</v>
      </c>
      <c r="J158" s="1" t="s">
        <v>329</v>
      </c>
      <c r="K158" s="1" t="s">
        <v>329</v>
      </c>
      <c r="L158" s="1" t="s">
        <v>359</v>
      </c>
      <c r="M158" s="1" t="s">
        <v>329</v>
      </c>
      <c r="N158" s="1" t="s">
        <v>329</v>
      </c>
      <c r="O158" s="1" t="s">
        <v>329</v>
      </c>
      <c r="P158" s="1" t="s">
        <v>329</v>
      </c>
      <c r="Q158" s="1" t="s">
        <v>329</v>
      </c>
      <c r="R158" s="1" t="s">
        <v>329</v>
      </c>
      <c r="S158" s="1" t="s">
        <v>329</v>
      </c>
      <c r="T158" s="1" t="s">
        <v>329</v>
      </c>
      <c r="U158" s="1">
        <v>0</v>
      </c>
      <c r="V158" s="1">
        <v>0</v>
      </c>
      <c r="W158" s="1">
        <v>0</v>
      </c>
      <c r="X158" s="1">
        <v>0</v>
      </c>
      <c r="Y158" s="1">
        <v>0</v>
      </c>
      <c r="Z158" s="1">
        <v>0</v>
      </c>
      <c r="AA158" s="1">
        <v>0</v>
      </c>
      <c r="AB158" s="1">
        <v>0</v>
      </c>
      <c r="AC158" s="1">
        <v>4</v>
      </c>
      <c r="AD158" s="1">
        <v>2</v>
      </c>
      <c r="AE158" s="1">
        <v>0</v>
      </c>
      <c r="AF158" s="1">
        <v>4</v>
      </c>
      <c r="AG158" t="s">
        <v>259</v>
      </c>
      <c r="AH158" s="1">
        <v>3600</v>
      </c>
      <c r="AI158" s="1" t="s">
        <v>2289</v>
      </c>
      <c r="AJ158" s="1">
        <v>0</v>
      </c>
      <c r="AK158" s="1" t="s">
        <v>421</v>
      </c>
      <c r="AL158" s="1" t="s">
        <v>2290</v>
      </c>
      <c r="AM158" s="1">
        <v>0.3</v>
      </c>
      <c r="AN158" s="1">
        <v>0.23</v>
      </c>
      <c r="AO158" s="1">
        <v>0.15</v>
      </c>
      <c r="AP158" s="1">
        <v>0.38</v>
      </c>
      <c r="AQ158" s="1">
        <v>3</v>
      </c>
      <c r="AR158" s="1" t="s">
        <v>1570</v>
      </c>
      <c r="AS158" s="1">
        <v>0</v>
      </c>
      <c r="AT158" s="1" t="s">
        <v>1866</v>
      </c>
      <c r="AU158" s="1">
        <v>10</v>
      </c>
      <c r="AV158" s="1">
        <v>20020</v>
      </c>
      <c r="AW158" s="1">
        <v>0</v>
      </c>
    </row>
    <row r="159" spans="1:49" x14ac:dyDescent="0.25">
      <c r="A159" s="1">
        <v>160</v>
      </c>
      <c r="B159" s="1" t="s">
        <v>2291</v>
      </c>
      <c r="C159" s="1" t="s">
        <v>2292</v>
      </c>
      <c r="D159" s="1">
        <v>5</v>
      </c>
      <c r="E159" s="1">
        <v>1</v>
      </c>
      <c r="F159" s="1">
        <v>18</v>
      </c>
      <c r="G159" s="1" t="s">
        <v>329</v>
      </c>
      <c r="H159" s="1" t="s">
        <v>329</v>
      </c>
      <c r="I159" s="1" t="s">
        <v>329</v>
      </c>
      <c r="J159" s="1" t="s">
        <v>329</v>
      </c>
      <c r="K159" s="1" t="s">
        <v>333</v>
      </c>
      <c r="L159" s="1" t="s">
        <v>329</v>
      </c>
      <c r="M159" s="1" t="s">
        <v>420</v>
      </c>
      <c r="N159" s="1" t="s">
        <v>329</v>
      </c>
      <c r="O159" s="1" t="s">
        <v>329</v>
      </c>
      <c r="P159" s="1" t="s">
        <v>329</v>
      </c>
      <c r="Q159" s="1" t="s">
        <v>329</v>
      </c>
      <c r="R159" s="1" t="s">
        <v>329</v>
      </c>
      <c r="S159" s="1" t="s">
        <v>329</v>
      </c>
      <c r="T159" s="1" t="s">
        <v>329</v>
      </c>
      <c r="U159" s="1">
        <v>0</v>
      </c>
      <c r="V159" s="1">
        <v>0</v>
      </c>
      <c r="W159" s="1">
        <v>0</v>
      </c>
      <c r="X159" s="1">
        <v>0</v>
      </c>
      <c r="Y159" s="1">
        <v>0</v>
      </c>
      <c r="Z159" s="1">
        <v>0</v>
      </c>
      <c r="AA159" s="1">
        <v>0</v>
      </c>
      <c r="AB159" s="1">
        <v>0</v>
      </c>
      <c r="AC159" s="1">
        <v>4</v>
      </c>
      <c r="AD159" s="1">
        <v>0</v>
      </c>
      <c r="AE159" s="1">
        <v>3</v>
      </c>
      <c r="AF159" s="1">
        <v>2</v>
      </c>
      <c r="AG159" t="s">
        <v>96</v>
      </c>
      <c r="AH159" s="1">
        <v>3600</v>
      </c>
      <c r="AI159" s="1" t="s">
        <v>2293</v>
      </c>
      <c r="AJ159" s="1">
        <v>0</v>
      </c>
      <c r="AK159" s="1" t="s">
        <v>473</v>
      </c>
      <c r="AL159" s="1" t="s">
        <v>2294</v>
      </c>
      <c r="AM159" s="1">
        <v>0.45</v>
      </c>
      <c r="AN159" s="1">
        <v>0.15</v>
      </c>
      <c r="AO159" s="1">
        <v>0.3</v>
      </c>
      <c r="AP159" s="1">
        <v>0.15</v>
      </c>
      <c r="AQ159" s="1">
        <v>3</v>
      </c>
      <c r="AR159" s="1" t="s">
        <v>1571</v>
      </c>
      <c r="AS159" s="1">
        <v>0</v>
      </c>
      <c r="AT159" s="1" t="s">
        <v>1866</v>
      </c>
      <c r="AU159" s="1">
        <v>10</v>
      </c>
      <c r="AV159" s="1">
        <v>18040</v>
      </c>
      <c r="AW159" s="1">
        <v>0</v>
      </c>
    </row>
    <row r="160" spans="1:49" x14ac:dyDescent="0.25">
      <c r="A160" s="1">
        <v>161</v>
      </c>
      <c r="B160" s="1" t="s">
        <v>2295</v>
      </c>
      <c r="C160" s="1" t="s">
        <v>2296</v>
      </c>
      <c r="D160" s="1">
        <v>5</v>
      </c>
      <c r="E160" s="1">
        <v>1</v>
      </c>
      <c r="F160" s="1">
        <v>18</v>
      </c>
      <c r="G160" s="1" t="s">
        <v>335</v>
      </c>
      <c r="H160" s="1" t="s">
        <v>329</v>
      </c>
      <c r="I160" s="1" t="s">
        <v>329</v>
      </c>
      <c r="J160" s="1" t="s">
        <v>329</v>
      </c>
      <c r="K160" s="1" t="s">
        <v>329</v>
      </c>
      <c r="L160" s="1" t="s">
        <v>329</v>
      </c>
      <c r="M160" s="1" t="s">
        <v>328</v>
      </c>
      <c r="N160" s="1" t="s">
        <v>329</v>
      </c>
      <c r="O160" s="1" t="s">
        <v>329</v>
      </c>
      <c r="P160" s="1" t="s">
        <v>329</v>
      </c>
      <c r="Q160" s="1" t="s">
        <v>329</v>
      </c>
      <c r="R160" s="1" t="s">
        <v>329</v>
      </c>
      <c r="S160" s="1" t="s">
        <v>329</v>
      </c>
      <c r="T160" s="1" t="s">
        <v>329</v>
      </c>
      <c r="U160" s="1">
        <v>0</v>
      </c>
      <c r="V160" s="1">
        <v>0</v>
      </c>
      <c r="W160" s="1">
        <v>0</v>
      </c>
      <c r="X160" s="1">
        <v>0</v>
      </c>
      <c r="Y160" s="1">
        <v>0</v>
      </c>
      <c r="Z160" s="1">
        <v>0</v>
      </c>
      <c r="AA160" s="1">
        <v>0</v>
      </c>
      <c r="AB160" s="1">
        <v>0</v>
      </c>
      <c r="AC160" s="1">
        <v>4</v>
      </c>
      <c r="AD160" s="1">
        <v>0</v>
      </c>
      <c r="AE160" s="1">
        <v>3</v>
      </c>
      <c r="AF160" s="1">
        <v>2</v>
      </c>
      <c r="AG160" t="s">
        <v>712</v>
      </c>
      <c r="AH160" s="1">
        <v>3600</v>
      </c>
      <c r="AI160" s="1" t="s">
        <v>2297</v>
      </c>
      <c r="AJ160" s="1">
        <v>0</v>
      </c>
      <c r="AK160" s="1" t="s">
        <v>474</v>
      </c>
      <c r="AL160" s="1" t="s">
        <v>2298</v>
      </c>
      <c r="AM160" s="1">
        <v>0.45</v>
      </c>
      <c r="AN160" s="1">
        <v>0.15</v>
      </c>
      <c r="AO160" s="1">
        <v>0.3</v>
      </c>
      <c r="AP160" s="1">
        <v>0.15</v>
      </c>
      <c r="AQ160" s="1">
        <v>3</v>
      </c>
      <c r="AR160" s="1" t="s">
        <v>1572</v>
      </c>
      <c r="AS160" s="1">
        <v>0</v>
      </c>
      <c r="AT160" s="1" t="s">
        <v>1866</v>
      </c>
      <c r="AU160" s="1">
        <v>10</v>
      </c>
      <c r="AV160" s="1">
        <v>18041</v>
      </c>
      <c r="AW160" s="1">
        <v>0</v>
      </c>
    </row>
    <row r="161" spans="1:49" x14ac:dyDescent="0.25">
      <c r="A161" s="1">
        <v>162</v>
      </c>
      <c r="B161" s="1" t="s">
        <v>2299</v>
      </c>
      <c r="C161" s="1" t="s">
        <v>2300</v>
      </c>
      <c r="D161" s="1">
        <v>5</v>
      </c>
      <c r="E161" s="1">
        <v>3</v>
      </c>
      <c r="F161" s="1">
        <v>20</v>
      </c>
      <c r="G161" s="1" t="s">
        <v>335</v>
      </c>
      <c r="H161" s="1" t="s">
        <v>329</v>
      </c>
      <c r="I161" s="1" t="s">
        <v>367</v>
      </c>
      <c r="J161" s="1" t="s">
        <v>329</v>
      </c>
      <c r="K161" s="1" t="s">
        <v>329</v>
      </c>
      <c r="L161" s="1" t="s">
        <v>329</v>
      </c>
      <c r="M161" s="1" t="s">
        <v>329</v>
      </c>
      <c r="N161" s="1" t="s">
        <v>329</v>
      </c>
      <c r="O161" s="1" t="s">
        <v>329</v>
      </c>
      <c r="P161" s="1" t="s">
        <v>329</v>
      </c>
      <c r="Q161" s="1" t="s">
        <v>329</v>
      </c>
      <c r="R161" s="1" t="s">
        <v>329</v>
      </c>
      <c r="S161" s="1" t="s">
        <v>329</v>
      </c>
      <c r="T161" s="1" t="s">
        <v>335</v>
      </c>
      <c r="U161" s="1">
        <v>0</v>
      </c>
      <c r="V161" s="1">
        <v>0</v>
      </c>
      <c r="W161" s="1">
        <v>0</v>
      </c>
      <c r="X161" s="1">
        <v>0</v>
      </c>
      <c r="Y161" s="1">
        <v>0</v>
      </c>
      <c r="Z161" s="1">
        <v>0</v>
      </c>
      <c r="AA161" s="1">
        <v>0</v>
      </c>
      <c r="AB161" s="1">
        <v>0</v>
      </c>
      <c r="AC161" s="1">
        <v>1</v>
      </c>
      <c r="AD161" s="1">
        <v>1</v>
      </c>
      <c r="AE161" s="1">
        <v>1</v>
      </c>
      <c r="AF161" s="1">
        <v>5</v>
      </c>
      <c r="AG161" t="s">
        <v>110</v>
      </c>
      <c r="AH161" s="1">
        <v>3420</v>
      </c>
      <c r="AI161" s="1" t="s">
        <v>2301</v>
      </c>
      <c r="AJ161" s="1">
        <v>0</v>
      </c>
      <c r="AK161" s="1" t="s">
        <v>475</v>
      </c>
      <c r="AL161" s="1" t="s">
        <v>2302</v>
      </c>
      <c r="AM161" s="1">
        <v>0.1</v>
      </c>
      <c r="AN161" s="1">
        <v>0.1</v>
      </c>
      <c r="AO161" s="1">
        <v>0.1</v>
      </c>
      <c r="AP161" s="1">
        <v>0.55000000000000004</v>
      </c>
      <c r="AQ161" s="1">
        <v>3</v>
      </c>
      <c r="AR161" s="1" t="s">
        <v>1573</v>
      </c>
      <c r="AS161" s="1">
        <v>0</v>
      </c>
      <c r="AT161" s="1" t="s">
        <v>1866</v>
      </c>
      <c r="AU161" s="1">
        <v>10</v>
      </c>
      <c r="AV161" s="1">
        <v>20021</v>
      </c>
      <c r="AW161" s="1">
        <v>0</v>
      </c>
    </row>
    <row r="162" spans="1:49" x14ac:dyDescent="0.25">
      <c r="A162" s="1">
        <v>163</v>
      </c>
      <c r="B162" s="1" t="s">
        <v>2303</v>
      </c>
      <c r="C162" s="1" t="s">
        <v>2304</v>
      </c>
      <c r="D162" s="1">
        <v>5</v>
      </c>
      <c r="E162" s="1">
        <v>1</v>
      </c>
      <c r="F162" s="1">
        <v>18</v>
      </c>
      <c r="G162" s="1" t="s">
        <v>329</v>
      </c>
      <c r="H162" s="1" t="s">
        <v>329</v>
      </c>
      <c r="I162" s="1" t="s">
        <v>360</v>
      </c>
      <c r="J162" s="1" t="s">
        <v>329</v>
      </c>
      <c r="K162" s="1" t="s">
        <v>340</v>
      </c>
      <c r="L162" s="1" t="s">
        <v>329</v>
      </c>
      <c r="M162" s="1" t="s">
        <v>400</v>
      </c>
      <c r="N162" s="1" t="s">
        <v>329</v>
      </c>
      <c r="O162" s="1" t="s">
        <v>329</v>
      </c>
      <c r="P162" s="1" t="s">
        <v>329</v>
      </c>
      <c r="Q162" s="1" t="s">
        <v>329</v>
      </c>
      <c r="R162" s="1" t="s">
        <v>329</v>
      </c>
      <c r="S162" s="1" t="s">
        <v>329</v>
      </c>
      <c r="T162" s="1" t="s">
        <v>329</v>
      </c>
      <c r="U162" s="1">
        <v>0</v>
      </c>
      <c r="V162" s="1">
        <v>0</v>
      </c>
      <c r="W162" s="1">
        <v>0</v>
      </c>
      <c r="X162" s="1">
        <v>0</v>
      </c>
      <c r="Y162" s="1">
        <v>0</v>
      </c>
      <c r="Z162" s="1">
        <v>0</v>
      </c>
      <c r="AA162" s="1">
        <v>0</v>
      </c>
      <c r="AB162" s="1">
        <v>0</v>
      </c>
      <c r="AC162" s="1">
        <v>4</v>
      </c>
      <c r="AD162" s="1">
        <v>2</v>
      </c>
      <c r="AE162" s="1">
        <v>2</v>
      </c>
      <c r="AF162" s="1">
        <v>2</v>
      </c>
      <c r="AG162" t="s">
        <v>78</v>
      </c>
      <c r="AH162" s="1">
        <v>2820</v>
      </c>
      <c r="AI162" s="1" t="s">
        <v>2305</v>
      </c>
      <c r="AJ162" s="1">
        <v>0</v>
      </c>
      <c r="AK162" s="1" t="s">
        <v>476</v>
      </c>
      <c r="AL162" s="1" t="s">
        <v>2306</v>
      </c>
      <c r="AM162" s="1">
        <v>0.55000000000000004</v>
      </c>
      <c r="AN162" s="1">
        <v>0.23</v>
      </c>
      <c r="AO162" s="1">
        <v>0.23</v>
      </c>
      <c r="AP162" s="1">
        <v>0.23</v>
      </c>
      <c r="AQ162" s="1">
        <v>3</v>
      </c>
      <c r="AR162" s="1" t="s">
        <v>1574</v>
      </c>
      <c r="AS162" s="1">
        <v>0</v>
      </c>
      <c r="AT162" s="1" t="s">
        <v>1866</v>
      </c>
      <c r="AU162" s="1">
        <v>10</v>
      </c>
      <c r="AV162" s="1">
        <v>18042</v>
      </c>
      <c r="AW162" s="1">
        <v>0</v>
      </c>
    </row>
    <row r="163" spans="1:49" x14ac:dyDescent="0.25">
      <c r="A163" s="1">
        <v>164</v>
      </c>
      <c r="B163" s="1" t="s">
        <v>2307</v>
      </c>
      <c r="C163" s="1" t="s">
        <v>2308</v>
      </c>
      <c r="D163" s="1">
        <v>5</v>
      </c>
      <c r="E163" s="1">
        <v>1</v>
      </c>
      <c r="F163" s="1">
        <v>18</v>
      </c>
      <c r="G163" s="1" t="s">
        <v>329</v>
      </c>
      <c r="H163" s="1" t="s">
        <v>365</v>
      </c>
      <c r="I163" s="1" t="s">
        <v>360</v>
      </c>
      <c r="J163" s="1" t="s">
        <v>329</v>
      </c>
      <c r="K163" s="1" t="s">
        <v>329</v>
      </c>
      <c r="L163" s="1" t="s">
        <v>329</v>
      </c>
      <c r="M163" s="1" t="s">
        <v>386</v>
      </c>
      <c r="N163" s="1" t="s">
        <v>329</v>
      </c>
      <c r="O163" s="1" t="s">
        <v>329</v>
      </c>
      <c r="P163" s="1" t="s">
        <v>329</v>
      </c>
      <c r="Q163" s="1" t="s">
        <v>329</v>
      </c>
      <c r="R163" s="1" t="s">
        <v>329</v>
      </c>
      <c r="S163" s="1" t="s">
        <v>329</v>
      </c>
      <c r="T163" s="1" t="s">
        <v>329</v>
      </c>
      <c r="U163" s="1">
        <v>0</v>
      </c>
      <c r="V163" s="1">
        <v>0</v>
      </c>
      <c r="W163" s="1">
        <v>0</v>
      </c>
      <c r="X163" s="1">
        <v>0</v>
      </c>
      <c r="Y163" s="1">
        <v>0</v>
      </c>
      <c r="Z163" s="1">
        <v>0</v>
      </c>
      <c r="AA163" s="1">
        <v>0</v>
      </c>
      <c r="AB163" s="1">
        <v>0</v>
      </c>
      <c r="AC163" s="1">
        <v>4</v>
      </c>
      <c r="AD163" s="1">
        <v>2</v>
      </c>
      <c r="AE163" s="1">
        <v>2</v>
      </c>
      <c r="AF163" s="1">
        <v>2</v>
      </c>
      <c r="AG163" t="s">
        <v>63</v>
      </c>
      <c r="AH163" s="1">
        <v>2820</v>
      </c>
      <c r="AI163" s="1" t="s">
        <v>2309</v>
      </c>
      <c r="AJ163" s="1">
        <v>0</v>
      </c>
      <c r="AK163" s="1" t="s">
        <v>477</v>
      </c>
      <c r="AL163" s="1" t="s">
        <v>2310</v>
      </c>
      <c r="AM163" s="1">
        <v>0.55000000000000004</v>
      </c>
      <c r="AN163" s="1">
        <v>0.23</v>
      </c>
      <c r="AO163" s="1">
        <v>0.23</v>
      </c>
      <c r="AP163" s="1">
        <v>0.23</v>
      </c>
      <c r="AQ163" s="1">
        <v>3</v>
      </c>
      <c r="AR163" s="1" t="s">
        <v>1575</v>
      </c>
      <c r="AS163" s="1">
        <v>0</v>
      </c>
      <c r="AT163" s="1" t="s">
        <v>1866</v>
      </c>
      <c r="AU163" s="1">
        <v>10</v>
      </c>
      <c r="AV163" s="1">
        <v>18043</v>
      </c>
      <c r="AW163" s="1">
        <v>0</v>
      </c>
    </row>
    <row r="164" spans="1:49" x14ac:dyDescent="0.25">
      <c r="A164" s="1">
        <v>165</v>
      </c>
      <c r="B164" s="1" t="s">
        <v>2311</v>
      </c>
      <c r="C164" s="1" t="s">
        <v>2312</v>
      </c>
      <c r="D164" s="1">
        <v>5</v>
      </c>
      <c r="E164" s="1">
        <v>3</v>
      </c>
      <c r="F164" s="1">
        <v>20</v>
      </c>
      <c r="G164" s="1" t="s">
        <v>407</v>
      </c>
      <c r="H164" s="1" t="s">
        <v>329</v>
      </c>
      <c r="I164" s="1" t="s">
        <v>360</v>
      </c>
      <c r="J164" s="1" t="s">
        <v>329</v>
      </c>
      <c r="K164" s="1" t="s">
        <v>407</v>
      </c>
      <c r="L164" s="1" t="s">
        <v>329</v>
      </c>
      <c r="M164" s="1" t="s">
        <v>329</v>
      </c>
      <c r="N164" s="1" t="s">
        <v>329</v>
      </c>
      <c r="O164" s="1" t="s">
        <v>329</v>
      </c>
      <c r="P164" s="1" t="s">
        <v>329</v>
      </c>
      <c r="Q164" s="1" t="s">
        <v>329</v>
      </c>
      <c r="R164" s="1" t="s">
        <v>329</v>
      </c>
      <c r="S164" s="1" t="s">
        <v>329</v>
      </c>
      <c r="T164" s="1" t="s">
        <v>329</v>
      </c>
      <c r="U164" s="1">
        <v>0</v>
      </c>
      <c r="V164" s="1">
        <v>0</v>
      </c>
      <c r="W164" s="1">
        <v>0</v>
      </c>
      <c r="X164" s="1">
        <v>0</v>
      </c>
      <c r="Y164" s="1">
        <v>0</v>
      </c>
      <c r="Z164" s="1">
        <v>0</v>
      </c>
      <c r="AA164" s="1">
        <v>0</v>
      </c>
      <c r="AB164" s="1">
        <v>0</v>
      </c>
      <c r="AC164" s="1">
        <v>4</v>
      </c>
      <c r="AD164" s="1">
        <v>2</v>
      </c>
      <c r="AE164" s="1">
        <v>0</v>
      </c>
      <c r="AF164" s="1">
        <v>4</v>
      </c>
      <c r="AG164" t="s">
        <v>739</v>
      </c>
      <c r="AH164" s="1">
        <v>3600</v>
      </c>
      <c r="AI164" s="1" t="s">
        <v>2313</v>
      </c>
      <c r="AJ164" s="1">
        <v>0</v>
      </c>
      <c r="AK164" s="1" t="s">
        <v>478</v>
      </c>
      <c r="AL164" s="1" t="s">
        <v>2314</v>
      </c>
      <c r="AM164" s="1">
        <v>0.3</v>
      </c>
      <c r="AN164" s="1">
        <v>0.25</v>
      </c>
      <c r="AO164" s="1">
        <v>0.12</v>
      </c>
      <c r="AP164" s="1">
        <v>0.38</v>
      </c>
      <c r="AQ164" s="1">
        <v>3</v>
      </c>
      <c r="AR164" s="1" t="s">
        <v>1576</v>
      </c>
      <c r="AS164" s="1">
        <v>0</v>
      </c>
      <c r="AT164" s="1" t="s">
        <v>1866</v>
      </c>
      <c r="AU164" s="1">
        <v>10</v>
      </c>
      <c r="AV164" s="1">
        <v>20022</v>
      </c>
      <c r="AW164" s="1">
        <v>0</v>
      </c>
    </row>
    <row r="165" spans="1:49" x14ac:dyDescent="0.25">
      <c r="A165" s="1">
        <v>166</v>
      </c>
      <c r="B165" s="1" t="s">
        <v>2315</v>
      </c>
      <c r="C165" s="1" t="s">
        <v>2316</v>
      </c>
      <c r="D165" s="1">
        <v>5</v>
      </c>
      <c r="E165" s="1">
        <v>1</v>
      </c>
      <c r="F165" s="1">
        <v>18</v>
      </c>
      <c r="G165" s="1" t="s">
        <v>338</v>
      </c>
      <c r="H165" s="1" t="s">
        <v>339</v>
      </c>
      <c r="I165" s="1" t="s">
        <v>329</v>
      </c>
      <c r="J165" s="1" t="s">
        <v>329</v>
      </c>
      <c r="K165" s="1" t="s">
        <v>340</v>
      </c>
      <c r="L165" s="1" t="s">
        <v>329</v>
      </c>
      <c r="M165" s="1" t="s">
        <v>329</v>
      </c>
      <c r="N165" s="1" t="s">
        <v>329</v>
      </c>
      <c r="O165" s="1" t="s">
        <v>329</v>
      </c>
      <c r="P165" s="1" t="s">
        <v>329</v>
      </c>
      <c r="Q165" s="1" t="s">
        <v>329</v>
      </c>
      <c r="R165" s="1" t="s">
        <v>329</v>
      </c>
      <c r="S165" s="1" t="s">
        <v>329</v>
      </c>
      <c r="T165" s="1" t="s">
        <v>329</v>
      </c>
      <c r="U165" s="1">
        <v>0</v>
      </c>
      <c r="V165" s="1">
        <v>0</v>
      </c>
      <c r="W165" s="1">
        <v>0</v>
      </c>
      <c r="X165" s="1">
        <v>0</v>
      </c>
      <c r="Y165" s="1">
        <v>0</v>
      </c>
      <c r="Z165" s="1">
        <v>0</v>
      </c>
      <c r="AA165" s="1">
        <v>0</v>
      </c>
      <c r="AB165" s="1">
        <v>0</v>
      </c>
      <c r="AC165" s="1">
        <v>4</v>
      </c>
      <c r="AD165" s="1">
        <v>0</v>
      </c>
      <c r="AE165" s="1">
        <v>3</v>
      </c>
      <c r="AF165" s="1">
        <v>2</v>
      </c>
      <c r="AG165" t="s">
        <v>715</v>
      </c>
      <c r="AH165" s="1">
        <v>2880</v>
      </c>
      <c r="AI165" s="1" t="s">
        <v>2317</v>
      </c>
      <c r="AJ165" s="1">
        <v>0</v>
      </c>
      <c r="AK165" s="1" t="s">
        <v>479</v>
      </c>
      <c r="AL165" s="1" t="s">
        <v>2318</v>
      </c>
      <c r="AM165" s="1">
        <v>0.45</v>
      </c>
      <c r="AN165" s="1">
        <v>0.15</v>
      </c>
      <c r="AO165" s="1">
        <v>0.3</v>
      </c>
      <c r="AP165" s="1">
        <v>0.15</v>
      </c>
      <c r="AQ165" s="1">
        <v>3</v>
      </c>
      <c r="AR165" s="1" t="s">
        <v>1577</v>
      </c>
      <c r="AS165" s="1">
        <v>0</v>
      </c>
      <c r="AT165" s="1" t="s">
        <v>1866</v>
      </c>
      <c r="AU165" s="1">
        <v>10</v>
      </c>
      <c r="AV165" s="1">
        <v>18044</v>
      </c>
      <c r="AW165" s="1">
        <v>0</v>
      </c>
    </row>
    <row r="166" spans="1:49" x14ac:dyDescent="0.25">
      <c r="A166" s="1">
        <v>167</v>
      </c>
      <c r="B166" s="1" t="s">
        <v>2319</v>
      </c>
      <c r="C166" s="1" t="s">
        <v>2320</v>
      </c>
      <c r="D166" s="1">
        <v>5</v>
      </c>
      <c r="E166" s="1">
        <v>1</v>
      </c>
      <c r="F166" s="1">
        <v>18</v>
      </c>
      <c r="G166" s="1" t="s">
        <v>329</v>
      </c>
      <c r="H166" s="1" t="s">
        <v>329</v>
      </c>
      <c r="I166" s="1" t="s">
        <v>403</v>
      </c>
      <c r="J166" s="1" t="s">
        <v>329</v>
      </c>
      <c r="K166" s="1" t="s">
        <v>329</v>
      </c>
      <c r="L166" s="1" t="s">
        <v>329</v>
      </c>
      <c r="M166" s="1" t="s">
        <v>386</v>
      </c>
      <c r="N166" s="1" t="s">
        <v>329</v>
      </c>
      <c r="O166" s="1" t="s">
        <v>329</v>
      </c>
      <c r="P166" s="1" t="s">
        <v>329</v>
      </c>
      <c r="Q166" s="1" t="s">
        <v>329</v>
      </c>
      <c r="R166" s="1" t="s">
        <v>329</v>
      </c>
      <c r="S166" s="1" t="s">
        <v>329</v>
      </c>
      <c r="T166" s="1" t="s">
        <v>329</v>
      </c>
      <c r="U166" s="1">
        <v>0</v>
      </c>
      <c r="V166" s="1">
        <v>0</v>
      </c>
      <c r="W166" s="1">
        <v>0</v>
      </c>
      <c r="X166" s="1">
        <v>0</v>
      </c>
      <c r="Y166" s="1">
        <v>0</v>
      </c>
      <c r="Z166" s="1">
        <v>0</v>
      </c>
      <c r="AA166" s="1">
        <v>0</v>
      </c>
      <c r="AB166" s="1">
        <v>0</v>
      </c>
      <c r="AC166" s="1">
        <v>4</v>
      </c>
      <c r="AD166" s="1">
        <v>2</v>
      </c>
      <c r="AE166" s="1">
        <v>2</v>
      </c>
      <c r="AF166" s="1">
        <v>2</v>
      </c>
      <c r="AG166" t="s">
        <v>746</v>
      </c>
      <c r="AH166" s="1">
        <v>2820</v>
      </c>
      <c r="AI166" s="1" t="s">
        <v>2167</v>
      </c>
      <c r="AJ166" s="1">
        <v>0</v>
      </c>
      <c r="AK166" s="1" t="s">
        <v>480</v>
      </c>
      <c r="AL166" s="1" t="s">
        <v>2321</v>
      </c>
      <c r="AM166" s="1">
        <v>0.55000000000000004</v>
      </c>
      <c r="AN166" s="1">
        <v>0.23</v>
      </c>
      <c r="AO166" s="1">
        <v>0.23</v>
      </c>
      <c r="AP166" s="1">
        <v>0.23</v>
      </c>
      <c r="AQ166" s="1">
        <v>3</v>
      </c>
      <c r="AR166" s="1" t="s">
        <v>1578</v>
      </c>
      <c r="AS166" s="1">
        <v>0</v>
      </c>
      <c r="AT166" s="1" t="s">
        <v>1866</v>
      </c>
      <c r="AU166" s="1">
        <v>10</v>
      </c>
      <c r="AV166" s="1">
        <v>18045</v>
      </c>
      <c r="AW166" s="1">
        <v>0</v>
      </c>
    </row>
    <row r="167" spans="1:49" x14ac:dyDescent="0.25">
      <c r="A167" s="1">
        <v>168</v>
      </c>
      <c r="B167" s="1" t="s">
        <v>2322</v>
      </c>
      <c r="C167" s="1" t="s">
        <v>2323</v>
      </c>
      <c r="D167" s="1">
        <v>5</v>
      </c>
      <c r="E167" s="1">
        <v>1</v>
      </c>
      <c r="F167" s="1">
        <v>18</v>
      </c>
      <c r="G167" s="1" t="s">
        <v>329</v>
      </c>
      <c r="H167" s="1" t="s">
        <v>329</v>
      </c>
      <c r="I167" s="1" t="s">
        <v>386</v>
      </c>
      <c r="J167" s="1" t="s">
        <v>329</v>
      </c>
      <c r="K167" s="1" t="s">
        <v>329</v>
      </c>
      <c r="L167" s="1" t="s">
        <v>329</v>
      </c>
      <c r="M167" s="1" t="s">
        <v>386</v>
      </c>
      <c r="N167" s="1" t="s">
        <v>329</v>
      </c>
      <c r="O167" s="1" t="s">
        <v>329</v>
      </c>
      <c r="P167" s="1" t="s">
        <v>329</v>
      </c>
      <c r="Q167" s="1" t="s">
        <v>329</v>
      </c>
      <c r="R167" s="1" t="s">
        <v>329</v>
      </c>
      <c r="S167" s="1" t="s">
        <v>329</v>
      </c>
      <c r="T167" s="1" t="s">
        <v>329</v>
      </c>
      <c r="U167" s="1">
        <v>0</v>
      </c>
      <c r="V167" s="1">
        <v>0</v>
      </c>
      <c r="W167" s="1">
        <v>0</v>
      </c>
      <c r="X167" s="1">
        <v>0</v>
      </c>
      <c r="Y167" s="1">
        <v>0</v>
      </c>
      <c r="Z167" s="1">
        <v>0</v>
      </c>
      <c r="AA167" s="1">
        <v>0</v>
      </c>
      <c r="AB167" s="1">
        <v>0</v>
      </c>
      <c r="AC167" s="1">
        <v>4</v>
      </c>
      <c r="AD167" s="1">
        <v>2</v>
      </c>
      <c r="AE167" s="1">
        <v>2</v>
      </c>
      <c r="AF167" s="1">
        <v>2</v>
      </c>
      <c r="AG167" t="s">
        <v>752</v>
      </c>
      <c r="AH167" s="1">
        <v>2820</v>
      </c>
      <c r="AI167" s="1" t="s">
        <v>2324</v>
      </c>
      <c r="AJ167" s="1">
        <v>0</v>
      </c>
      <c r="AK167" s="1" t="s">
        <v>481</v>
      </c>
      <c r="AL167" s="1" t="s">
        <v>2325</v>
      </c>
      <c r="AM167" s="1">
        <v>0.55000000000000004</v>
      </c>
      <c r="AN167" s="1">
        <v>0.23</v>
      </c>
      <c r="AO167" s="1">
        <v>0.23</v>
      </c>
      <c r="AP167" s="1">
        <v>0.23</v>
      </c>
      <c r="AQ167" s="1">
        <v>3</v>
      </c>
      <c r="AR167" s="1" t="s">
        <v>1575</v>
      </c>
      <c r="AS167" s="1">
        <v>0</v>
      </c>
      <c r="AT167" s="1" t="s">
        <v>1866</v>
      </c>
      <c r="AU167" s="1">
        <v>10</v>
      </c>
      <c r="AV167" s="1">
        <v>18046</v>
      </c>
      <c r="AW167" s="1">
        <v>0</v>
      </c>
    </row>
    <row r="168" spans="1:49" x14ac:dyDescent="0.25">
      <c r="A168" s="1">
        <v>169</v>
      </c>
      <c r="B168" s="1" t="s">
        <v>2326</v>
      </c>
      <c r="C168" s="1" t="s">
        <v>2327</v>
      </c>
      <c r="D168" s="1">
        <v>5</v>
      </c>
      <c r="E168" s="1">
        <v>1</v>
      </c>
      <c r="F168" s="1">
        <v>18</v>
      </c>
      <c r="G168" s="1" t="s">
        <v>329</v>
      </c>
      <c r="H168" s="1" t="s">
        <v>329</v>
      </c>
      <c r="I168" s="1" t="s">
        <v>329</v>
      </c>
      <c r="J168" s="1" t="s">
        <v>329</v>
      </c>
      <c r="K168" s="1" t="s">
        <v>329</v>
      </c>
      <c r="L168" s="1" t="s">
        <v>339</v>
      </c>
      <c r="M168" s="1" t="s">
        <v>328</v>
      </c>
      <c r="N168" s="1" t="s">
        <v>329</v>
      </c>
      <c r="O168" s="1" t="s">
        <v>329</v>
      </c>
      <c r="P168" s="1" t="s">
        <v>329</v>
      </c>
      <c r="Q168" s="1" t="s">
        <v>329</v>
      </c>
      <c r="R168" s="1" t="s">
        <v>329</v>
      </c>
      <c r="S168" s="1" t="s">
        <v>329</v>
      </c>
      <c r="T168" s="1" t="s">
        <v>329</v>
      </c>
      <c r="U168" s="1">
        <v>0</v>
      </c>
      <c r="V168" s="1">
        <v>0</v>
      </c>
      <c r="W168" s="1">
        <v>0</v>
      </c>
      <c r="X168" s="1">
        <v>0</v>
      </c>
      <c r="Y168" s="1">
        <v>0</v>
      </c>
      <c r="Z168" s="1">
        <v>0</v>
      </c>
      <c r="AA168" s="1">
        <v>0</v>
      </c>
      <c r="AB168" s="1">
        <v>0</v>
      </c>
      <c r="AC168" s="1">
        <v>4</v>
      </c>
      <c r="AD168" s="1">
        <v>0</v>
      </c>
      <c r="AE168" s="1">
        <v>3</v>
      </c>
      <c r="AF168" s="1">
        <v>2</v>
      </c>
      <c r="AG168" t="s">
        <v>230</v>
      </c>
      <c r="AH168" s="1">
        <v>3600</v>
      </c>
      <c r="AI168" s="1" t="s">
        <v>2328</v>
      </c>
      <c r="AJ168" s="1">
        <v>0</v>
      </c>
      <c r="AK168" s="1" t="s">
        <v>482</v>
      </c>
      <c r="AL168" s="1" t="s">
        <v>2329</v>
      </c>
      <c r="AM168" s="1">
        <v>0.45</v>
      </c>
      <c r="AN168" s="1">
        <v>0.15</v>
      </c>
      <c r="AO168" s="1">
        <v>0.3</v>
      </c>
      <c r="AP168" s="1">
        <v>0.15</v>
      </c>
      <c r="AQ168" s="1">
        <v>3</v>
      </c>
      <c r="AR168" s="1" t="s">
        <v>1579</v>
      </c>
      <c r="AS168" s="1">
        <v>0</v>
      </c>
      <c r="AT168" s="1" t="s">
        <v>1866</v>
      </c>
      <c r="AU168" s="1">
        <v>10</v>
      </c>
      <c r="AV168" s="1">
        <v>18047</v>
      </c>
      <c r="AW168" s="1">
        <v>0</v>
      </c>
    </row>
    <row r="169" spans="1:49" x14ac:dyDescent="0.25">
      <c r="A169" s="1">
        <v>170</v>
      </c>
      <c r="B169" s="1" t="s">
        <v>2330</v>
      </c>
      <c r="C169" s="1" t="s">
        <v>2331</v>
      </c>
      <c r="D169" s="1">
        <v>5</v>
      </c>
      <c r="E169" s="1">
        <v>2</v>
      </c>
      <c r="F169" s="1">
        <v>19</v>
      </c>
      <c r="G169" s="1" t="s">
        <v>336</v>
      </c>
      <c r="H169" s="1" t="s">
        <v>329</v>
      </c>
      <c r="I169" s="1" t="s">
        <v>329</v>
      </c>
      <c r="J169" s="1" t="s">
        <v>329</v>
      </c>
      <c r="K169" s="1" t="s">
        <v>329</v>
      </c>
      <c r="L169" s="1" t="s">
        <v>329</v>
      </c>
      <c r="M169" s="1" t="s">
        <v>329</v>
      </c>
      <c r="N169" s="1" t="s">
        <v>353</v>
      </c>
      <c r="O169" s="1" t="s">
        <v>329</v>
      </c>
      <c r="P169" s="1" t="s">
        <v>329</v>
      </c>
      <c r="Q169" s="1" t="s">
        <v>329</v>
      </c>
      <c r="R169" s="1" t="s">
        <v>329</v>
      </c>
      <c r="S169" s="1" t="s">
        <v>329</v>
      </c>
      <c r="T169" s="1" t="s">
        <v>329</v>
      </c>
      <c r="U169" s="1">
        <v>0</v>
      </c>
      <c r="V169" s="1">
        <v>0</v>
      </c>
      <c r="W169" s="1">
        <v>0</v>
      </c>
      <c r="X169" s="1">
        <v>0</v>
      </c>
      <c r="Y169" s="1">
        <v>0</v>
      </c>
      <c r="Z169" s="1">
        <v>0</v>
      </c>
      <c r="AA169" s="1">
        <v>0</v>
      </c>
      <c r="AB169" s="1">
        <v>0</v>
      </c>
      <c r="AC169" s="1">
        <v>0</v>
      </c>
      <c r="AD169" s="1">
        <v>4</v>
      </c>
      <c r="AE169" s="1">
        <v>2</v>
      </c>
      <c r="AF169" s="1">
        <v>3</v>
      </c>
      <c r="AG169" t="s">
        <v>1710</v>
      </c>
      <c r="AH169" s="1">
        <v>3300</v>
      </c>
      <c r="AI169" s="1" t="s">
        <v>2332</v>
      </c>
      <c r="AJ169" s="1">
        <v>0</v>
      </c>
      <c r="AK169" s="1" t="s">
        <v>483</v>
      </c>
      <c r="AL169" s="1" t="s">
        <v>2333</v>
      </c>
      <c r="AM169" s="1">
        <v>0.08</v>
      </c>
      <c r="AN169" s="1">
        <v>0.5</v>
      </c>
      <c r="AO169" s="1">
        <v>0.3</v>
      </c>
      <c r="AP169" s="1">
        <v>0.3</v>
      </c>
      <c r="AQ169" s="1">
        <v>3</v>
      </c>
      <c r="AR169" s="1" t="s">
        <v>1580</v>
      </c>
      <c r="AS169" s="1">
        <v>0</v>
      </c>
      <c r="AT169" s="1" t="s">
        <v>1866</v>
      </c>
      <c r="AU169" s="1">
        <v>10</v>
      </c>
      <c r="AV169" s="1">
        <v>19012</v>
      </c>
      <c r="AW169" s="1">
        <v>0</v>
      </c>
    </row>
    <row r="170" spans="1:49" x14ac:dyDescent="0.25">
      <c r="A170" s="1">
        <v>171</v>
      </c>
      <c r="B170" s="1" t="s">
        <v>2334</v>
      </c>
      <c r="C170" s="1" t="s">
        <v>2335</v>
      </c>
      <c r="D170" s="1">
        <v>5</v>
      </c>
      <c r="E170" s="1">
        <v>3</v>
      </c>
      <c r="F170" s="1">
        <v>20</v>
      </c>
      <c r="G170" s="1" t="s">
        <v>329</v>
      </c>
      <c r="H170" s="1" t="s">
        <v>329</v>
      </c>
      <c r="I170" s="1" t="s">
        <v>357</v>
      </c>
      <c r="J170" s="1" t="s">
        <v>329</v>
      </c>
      <c r="K170" s="1" t="s">
        <v>329</v>
      </c>
      <c r="L170" s="1" t="s">
        <v>329</v>
      </c>
      <c r="M170" s="1" t="s">
        <v>386</v>
      </c>
      <c r="N170" s="1" t="s">
        <v>329</v>
      </c>
      <c r="O170" s="1" t="s">
        <v>329</v>
      </c>
      <c r="P170" s="1" t="s">
        <v>329</v>
      </c>
      <c r="Q170" s="1" t="s">
        <v>329</v>
      </c>
      <c r="R170" s="1" t="s">
        <v>329</v>
      </c>
      <c r="S170" s="1" t="s">
        <v>329</v>
      </c>
      <c r="T170" s="1" t="s">
        <v>329</v>
      </c>
      <c r="U170" s="1">
        <v>0</v>
      </c>
      <c r="V170" s="1">
        <v>0</v>
      </c>
      <c r="W170" s="1">
        <v>0</v>
      </c>
      <c r="X170" s="1">
        <v>0</v>
      </c>
      <c r="Y170" s="1">
        <v>0</v>
      </c>
      <c r="Z170" s="1">
        <v>0</v>
      </c>
      <c r="AA170" s="1">
        <v>0</v>
      </c>
      <c r="AB170" s="1">
        <v>0</v>
      </c>
      <c r="AC170" s="1">
        <v>4</v>
      </c>
      <c r="AD170" s="1">
        <v>2</v>
      </c>
      <c r="AE170" s="1">
        <v>0</v>
      </c>
      <c r="AF170" s="1">
        <v>4</v>
      </c>
      <c r="AG170" t="s">
        <v>740</v>
      </c>
      <c r="AH170" s="1">
        <v>3120</v>
      </c>
      <c r="AI170" s="1" t="s">
        <v>2336</v>
      </c>
      <c r="AJ170" s="1">
        <v>0</v>
      </c>
      <c r="AK170" s="1" t="s">
        <v>484</v>
      </c>
      <c r="AL170" s="1" t="s">
        <v>2337</v>
      </c>
      <c r="AM170" s="1">
        <v>0.3</v>
      </c>
      <c r="AN170" s="1">
        <v>0.25</v>
      </c>
      <c r="AO170" s="1">
        <v>0.12</v>
      </c>
      <c r="AP170" s="1">
        <v>0.38</v>
      </c>
      <c r="AQ170" s="1">
        <v>3</v>
      </c>
      <c r="AR170" s="1" t="s">
        <v>1575</v>
      </c>
      <c r="AS170" s="1">
        <v>0</v>
      </c>
      <c r="AT170" s="1" t="s">
        <v>1866</v>
      </c>
      <c r="AU170" s="1">
        <v>10</v>
      </c>
      <c r="AV170" s="1">
        <v>20023</v>
      </c>
      <c r="AW170" s="1">
        <v>0</v>
      </c>
    </row>
    <row r="171" spans="1:49" x14ac:dyDescent="0.25">
      <c r="A171" s="1">
        <v>172</v>
      </c>
      <c r="B171" s="1" t="s">
        <v>2338</v>
      </c>
      <c r="C171" s="1" t="s">
        <v>2339</v>
      </c>
      <c r="D171" s="1">
        <v>5</v>
      </c>
      <c r="E171" s="1">
        <v>1</v>
      </c>
      <c r="F171" s="1">
        <v>18</v>
      </c>
      <c r="G171" s="1" t="s">
        <v>336</v>
      </c>
      <c r="H171" s="1" t="s">
        <v>329</v>
      </c>
      <c r="I171" s="1" t="s">
        <v>329</v>
      </c>
      <c r="J171" s="1" t="s">
        <v>329</v>
      </c>
      <c r="K171" s="1" t="s">
        <v>329</v>
      </c>
      <c r="L171" s="1" t="s">
        <v>329</v>
      </c>
      <c r="M171" s="1" t="s">
        <v>328</v>
      </c>
      <c r="N171" s="1" t="s">
        <v>329</v>
      </c>
      <c r="O171" s="1" t="s">
        <v>329</v>
      </c>
      <c r="P171" s="1" t="s">
        <v>329</v>
      </c>
      <c r="Q171" s="1" t="s">
        <v>329</v>
      </c>
      <c r="R171" s="1" t="s">
        <v>329</v>
      </c>
      <c r="S171" s="1" t="s">
        <v>329</v>
      </c>
      <c r="T171" s="1" t="s">
        <v>329</v>
      </c>
      <c r="U171" s="1">
        <v>0</v>
      </c>
      <c r="V171" s="1">
        <v>0</v>
      </c>
      <c r="W171" s="1">
        <v>0</v>
      </c>
      <c r="X171" s="1">
        <v>0</v>
      </c>
      <c r="Y171" s="1">
        <v>0</v>
      </c>
      <c r="Z171" s="1">
        <v>0</v>
      </c>
      <c r="AA171" s="1">
        <v>0</v>
      </c>
      <c r="AB171" s="1">
        <v>0</v>
      </c>
      <c r="AC171" s="1">
        <v>4</v>
      </c>
      <c r="AD171" s="1">
        <v>0</v>
      </c>
      <c r="AE171" s="1">
        <v>3</v>
      </c>
      <c r="AF171" s="1">
        <v>2</v>
      </c>
      <c r="AG171" t="s">
        <v>89</v>
      </c>
      <c r="AH171" s="1">
        <v>2700</v>
      </c>
      <c r="AI171" s="1" t="s">
        <v>2340</v>
      </c>
      <c r="AJ171" s="1">
        <v>0</v>
      </c>
      <c r="AK171" s="1" t="s">
        <v>485</v>
      </c>
      <c r="AL171" s="1" t="s">
        <v>2341</v>
      </c>
      <c r="AM171" s="1">
        <v>0.45</v>
      </c>
      <c r="AN171" s="1">
        <v>0.15</v>
      </c>
      <c r="AO171" s="1">
        <v>0.3</v>
      </c>
      <c r="AP171" s="1">
        <v>0.15</v>
      </c>
      <c r="AQ171" s="1">
        <v>3</v>
      </c>
      <c r="AR171" s="1" t="s">
        <v>1581</v>
      </c>
      <c r="AS171" s="1">
        <v>0</v>
      </c>
      <c r="AT171" s="1" t="s">
        <v>1866</v>
      </c>
      <c r="AU171" s="1">
        <v>10</v>
      </c>
      <c r="AV171" s="1">
        <v>18048</v>
      </c>
      <c r="AW171" s="1">
        <v>0</v>
      </c>
    </row>
    <row r="172" spans="1:49" x14ac:dyDescent="0.25">
      <c r="A172" s="1">
        <v>173</v>
      </c>
      <c r="B172" s="1" t="s">
        <v>2342</v>
      </c>
      <c r="C172" s="1" t="s">
        <v>2343</v>
      </c>
      <c r="D172" s="1">
        <v>5</v>
      </c>
      <c r="E172" s="1">
        <v>2</v>
      </c>
      <c r="F172" s="1">
        <v>19</v>
      </c>
      <c r="G172" s="1" t="s">
        <v>357</v>
      </c>
      <c r="H172" s="1" t="s">
        <v>329</v>
      </c>
      <c r="I172" s="1" t="s">
        <v>329</v>
      </c>
      <c r="J172" s="1" t="s">
        <v>329</v>
      </c>
      <c r="K172" s="1" t="s">
        <v>329</v>
      </c>
      <c r="L172" s="1" t="s">
        <v>339</v>
      </c>
      <c r="M172" s="1" t="s">
        <v>329</v>
      </c>
      <c r="N172" s="1" t="s">
        <v>329</v>
      </c>
      <c r="O172" s="1" t="s">
        <v>329</v>
      </c>
      <c r="P172" s="1" t="s">
        <v>329</v>
      </c>
      <c r="Q172" s="1" t="s">
        <v>329</v>
      </c>
      <c r="R172" s="1" t="s">
        <v>329</v>
      </c>
      <c r="S172" s="1" t="s">
        <v>329</v>
      </c>
      <c r="T172" s="1" t="s">
        <v>329</v>
      </c>
      <c r="U172" s="1">
        <v>0</v>
      </c>
      <c r="V172" s="1">
        <v>0</v>
      </c>
      <c r="W172" s="1">
        <v>0</v>
      </c>
      <c r="X172" s="1">
        <v>0</v>
      </c>
      <c r="Y172" s="1">
        <v>0</v>
      </c>
      <c r="Z172" s="1">
        <v>0</v>
      </c>
      <c r="AA172" s="1">
        <v>0</v>
      </c>
      <c r="AB172" s="1">
        <v>0</v>
      </c>
      <c r="AC172" s="1">
        <v>0</v>
      </c>
      <c r="AD172" s="1">
        <v>5</v>
      </c>
      <c r="AE172" s="1">
        <v>3</v>
      </c>
      <c r="AF172" s="1">
        <v>2</v>
      </c>
      <c r="AG172" t="s">
        <v>727</v>
      </c>
      <c r="AH172" s="1">
        <v>3480</v>
      </c>
      <c r="AI172" s="1" t="s">
        <v>2344</v>
      </c>
      <c r="AJ172" s="1">
        <v>0</v>
      </c>
      <c r="AK172" s="1" t="s">
        <v>486</v>
      </c>
      <c r="AL172" s="1" t="s">
        <v>2345</v>
      </c>
      <c r="AM172" s="1">
        <v>0.15</v>
      </c>
      <c r="AN172" s="1">
        <v>0.6</v>
      </c>
      <c r="AO172" s="1">
        <v>0.38</v>
      </c>
      <c r="AP172" s="1">
        <v>0.23</v>
      </c>
      <c r="AQ172" s="1">
        <v>3</v>
      </c>
      <c r="AR172" s="1" t="s">
        <v>1582</v>
      </c>
      <c r="AS172" s="1">
        <v>0</v>
      </c>
      <c r="AT172" s="1" t="s">
        <v>1866</v>
      </c>
      <c r="AU172" s="1">
        <v>10</v>
      </c>
      <c r="AV172" s="1">
        <v>19013</v>
      </c>
      <c r="AW172" s="1">
        <v>0</v>
      </c>
    </row>
    <row r="173" spans="1:49" x14ac:dyDescent="0.25">
      <c r="A173" s="1">
        <v>174</v>
      </c>
      <c r="B173" s="1" t="s">
        <v>2346</v>
      </c>
      <c r="C173" s="1" t="s">
        <v>2347</v>
      </c>
      <c r="D173" s="1">
        <v>5</v>
      </c>
      <c r="E173" s="1">
        <v>2</v>
      </c>
      <c r="F173" s="1">
        <v>19</v>
      </c>
      <c r="G173" s="1" t="s">
        <v>391</v>
      </c>
      <c r="H173" s="1" t="s">
        <v>426</v>
      </c>
      <c r="I173" s="1" t="s">
        <v>329</v>
      </c>
      <c r="J173" s="1" t="s">
        <v>329</v>
      </c>
      <c r="K173" s="1" t="s">
        <v>329</v>
      </c>
      <c r="L173" s="1" t="s">
        <v>329</v>
      </c>
      <c r="M173" s="1" t="s">
        <v>329</v>
      </c>
      <c r="N173" s="1" t="s">
        <v>329</v>
      </c>
      <c r="O173" s="1" t="s">
        <v>329</v>
      </c>
      <c r="P173" s="1" t="s">
        <v>329</v>
      </c>
      <c r="Q173" s="1" t="s">
        <v>329</v>
      </c>
      <c r="R173" s="1" t="s">
        <v>329</v>
      </c>
      <c r="S173" s="1" t="s">
        <v>329</v>
      </c>
      <c r="T173" s="1" t="s">
        <v>329</v>
      </c>
      <c r="U173" s="1">
        <v>0</v>
      </c>
      <c r="V173" s="1">
        <v>0</v>
      </c>
      <c r="W173" s="1">
        <v>0</v>
      </c>
      <c r="X173" s="1">
        <v>0</v>
      </c>
      <c r="Y173" s="1">
        <v>0</v>
      </c>
      <c r="Z173" s="1">
        <v>0</v>
      </c>
      <c r="AA173" s="1">
        <v>0</v>
      </c>
      <c r="AB173" s="1">
        <v>0</v>
      </c>
      <c r="AC173" s="1">
        <v>1</v>
      </c>
      <c r="AD173" s="1">
        <v>3</v>
      </c>
      <c r="AE173" s="1">
        <v>1</v>
      </c>
      <c r="AF173" s="1">
        <v>4</v>
      </c>
      <c r="AG173" t="s">
        <v>724</v>
      </c>
      <c r="AH173" s="1">
        <v>3240</v>
      </c>
      <c r="AI173" s="1" t="s">
        <v>2348</v>
      </c>
      <c r="AJ173" s="1">
        <v>0</v>
      </c>
      <c r="AK173" s="1" t="s">
        <v>487</v>
      </c>
      <c r="AL173" s="1" t="s">
        <v>2349</v>
      </c>
      <c r="AM173" s="1">
        <v>0.08</v>
      </c>
      <c r="AN173" s="1">
        <v>0.39</v>
      </c>
      <c r="AO173" s="1">
        <v>0.08</v>
      </c>
      <c r="AP173" s="1">
        <v>0.48</v>
      </c>
      <c r="AQ173" s="1">
        <v>3</v>
      </c>
      <c r="AR173" s="1" t="s">
        <v>1583</v>
      </c>
      <c r="AS173" s="1">
        <v>0</v>
      </c>
      <c r="AT173" s="1" t="s">
        <v>2350</v>
      </c>
      <c r="AU173" s="1">
        <v>10</v>
      </c>
      <c r="AV173" s="1">
        <v>19014</v>
      </c>
      <c r="AW173" s="1">
        <v>0</v>
      </c>
    </row>
    <row r="174" spans="1:49" x14ac:dyDescent="0.25">
      <c r="A174" s="1">
        <v>175</v>
      </c>
      <c r="B174" s="1" t="s">
        <v>2351</v>
      </c>
      <c r="C174" s="1" t="s">
        <v>2352</v>
      </c>
      <c r="D174" s="1">
        <v>5</v>
      </c>
      <c r="E174" s="1">
        <v>1</v>
      </c>
      <c r="F174" s="1">
        <v>18</v>
      </c>
      <c r="G174" s="1" t="s">
        <v>335</v>
      </c>
      <c r="H174" s="1" t="s">
        <v>329</v>
      </c>
      <c r="I174" s="1" t="s">
        <v>359</v>
      </c>
      <c r="J174" s="1" t="s">
        <v>329</v>
      </c>
      <c r="K174" s="1" t="s">
        <v>329</v>
      </c>
      <c r="L174" s="1" t="s">
        <v>329</v>
      </c>
      <c r="M174" s="1" t="s">
        <v>328</v>
      </c>
      <c r="N174" s="1" t="s">
        <v>329</v>
      </c>
      <c r="O174" s="1" t="s">
        <v>329</v>
      </c>
      <c r="P174" s="1" t="s">
        <v>329</v>
      </c>
      <c r="Q174" s="1" t="s">
        <v>329</v>
      </c>
      <c r="R174" s="1" t="s">
        <v>329</v>
      </c>
      <c r="S174" s="1" t="s">
        <v>329</v>
      </c>
      <c r="T174" s="1" t="s">
        <v>329</v>
      </c>
      <c r="U174" s="1">
        <v>0</v>
      </c>
      <c r="V174" s="1">
        <v>0</v>
      </c>
      <c r="W174" s="1">
        <v>0</v>
      </c>
      <c r="X174" s="1">
        <v>0</v>
      </c>
      <c r="Y174" s="1">
        <v>0</v>
      </c>
      <c r="Z174" s="1">
        <v>0</v>
      </c>
      <c r="AA174" s="1">
        <v>0</v>
      </c>
      <c r="AB174" s="1">
        <v>0</v>
      </c>
      <c r="AC174" s="1">
        <v>4</v>
      </c>
      <c r="AD174" s="1">
        <v>2</v>
      </c>
      <c r="AE174" s="1">
        <v>2</v>
      </c>
      <c r="AF174" s="1">
        <v>2</v>
      </c>
      <c r="AG174" t="s">
        <v>179</v>
      </c>
      <c r="AH174" s="1">
        <v>2820</v>
      </c>
      <c r="AI174" s="1" t="s">
        <v>179</v>
      </c>
      <c r="AJ174" s="1">
        <v>0</v>
      </c>
      <c r="AK174" s="1" t="s">
        <v>488</v>
      </c>
      <c r="AL174" s="1" t="s">
        <v>2353</v>
      </c>
      <c r="AM174" s="1">
        <v>0.55000000000000004</v>
      </c>
      <c r="AN174" s="1">
        <v>0.23</v>
      </c>
      <c r="AO174" s="1">
        <v>0.23</v>
      </c>
      <c r="AP174" s="1">
        <v>0.23</v>
      </c>
      <c r="AQ174" s="1">
        <v>3</v>
      </c>
      <c r="AR174" s="1" t="s">
        <v>1584</v>
      </c>
      <c r="AS174" s="1">
        <v>0</v>
      </c>
      <c r="AT174" s="1" t="s">
        <v>1866</v>
      </c>
      <c r="AU174" s="1">
        <v>10</v>
      </c>
      <c r="AV174" s="1">
        <v>18049</v>
      </c>
      <c r="AW174" s="1">
        <v>0</v>
      </c>
    </row>
    <row r="175" spans="1:49" x14ac:dyDescent="0.25">
      <c r="A175" s="1">
        <v>176</v>
      </c>
      <c r="B175" s="1" t="s">
        <v>2354</v>
      </c>
      <c r="C175" s="1" t="s">
        <v>2355</v>
      </c>
      <c r="D175" s="1">
        <v>5</v>
      </c>
      <c r="E175" s="1">
        <v>2</v>
      </c>
      <c r="F175" s="1">
        <v>19</v>
      </c>
      <c r="G175" s="1" t="s">
        <v>342</v>
      </c>
      <c r="H175" s="1" t="s">
        <v>329</v>
      </c>
      <c r="I175" s="1" t="s">
        <v>329</v>
      </c>
      <c r="J175" s="1" t="s">
        <v>329</v>
      </c>
      <c r="K175" s="1" t="s">
        <v>332</v>
      </c>
      <c r="L175" s="1" t="s">
        <v>329</v>
      </c>
      <c r="M175" s="1" t="s">
        <v>329</v>
      </c>
      <c r="N175" s="1" t="s">
        <v>489</v>
      </c>
      <c r="O175" s="1" t="s">
        <v>329</v>
      </c>
      <c r="P175" s="1" t="s">
        <v>329</v>
      </c>
      <c r="Q175" s="1" t="s">
        <v>329</v>
      </c>
      <c r="R175" s="1" t="s">
        <v>329</v>
      </c>
      <c r="S175" s="1" t="s">
        <v>329</v>
      </c>
      <c r="T175" s="1" t="s">
        <v>329</v>
      </c>
      <c r="U175" s="1">
        <v>0</v>
      </c>
      <c r="V175" s="1">
        <v>0</v>
      </c>
      <c r="W175" s="1">
        <v>0</v>
      </c>
      <c r="X175" s="1">
        <v>0</v>
      </c>
      <c r="Y175" s="1">
        <v>0</v>
      </c>
      <c r="Z175" s="1">
        <v>0</v>
      </c>
      <c r="AA175" s="1">
        <v>0</v>
      </c>
      <c r="AB175" s="1">
        <v>0</v>
      </c>
      <c r="AC175" s="1">
        <v>4</v>
      </c>
      <c r="AD175" s="1">
        <v>4</v>
      </c>
      <c r="AE175" s="1">
        <v>0</v>
      </c>
      <c r="AF175" s="1">
        <v>2</v>
      </c>
      <c r="AG175" t="s">
        <v>1714</v>
      </c>
      <c r="AH175" s="1">
        <v>3180</v>
      </c>
      <c r="AI175" s="1" t="s">
        <v>1903</v>
      </c>
      <c r="AJ175" s="1">
        <v>0</v>
      </c>
      <c r="AK175" s="1" t="s">
        <v>490</v>
      </c>
      <c r="AL175" s="1" t="s">
        <v>2356</v>
      </c>
      <c r="AM175" s="1">
        <v>0.48</v>
      </c>
      <c r="AN175" s="1">
        <v>0.48</v>
      </c>
      <c r="AO175" s="1">
        <v>0.08</v>
      </c>
      <c r="AP175" s="1">
        <v>0.25</v>
      </c>
      <c r="AQ175" s="1">
        <v>3</v>
      </c>
      <c r="AR175" s="1" t="s">
        <v>1585</v>
      </c>
      <c r="AS175" s="1">
        <v>0</v>
      </c>
      <c r="AT175" s="1" t="s">
        <v>1866</v>
      </c>
      <c r="AU175" s="1">
        <v>10</v>
      </c>
      <c r="AV175" s="1">
        <v>19015</v>
      </c>
      <c r="AW175" s="1">
        <v>0</v>
      </c>
    </row>
    <row r="176" spans="1:49" x14ac:dyDescent="0.25">
      <c r="A176" s="1">
        <v>177</v>
      </c>
      <c r="B176" s="1" t="s">
        <v>2357</v>
      </c>
      <c r="C176" s="1" t="s">
        <v>2358</v>
      </c>
      <c r="D176" s="1">
        <v>5</v>
      </c>
      <c r="E176" s="1">
        <v>1</v>
      </c>
      <c r="F176" s="1">
        <v>18</v>
      </c>
      <c r="G176" s="1" t="s">
        <v>329</v>
      </c>
      <c r="H176" s="1" t="s">
        <v>344</v>
      </c>
      <c r="I176" s="1" t="s">
        <v>329</v>
      </c>
      <c r="J176" s="1" t="s">
        <v>329</v>
      </c>
      <c r="K176" s="1" t="s">
        <v>345</v>
      </c>
      <c r="L176" s="1" t="s">
        <v>386</v>
      </c>
      <c r="M176" s="1" t="s">
        <v>329</v>
      </c>
      <c r="N176" s="1" t="s">
        <v>329</v>
      </c>
      <c r="O176" s="1" t="s">
        <v>329</v>
      </c>
      <c r="P176" s="1" t="s">
        <v>329</v>
      </c>
      <c r="Q176" s="1" t="s">
        <v>329</v>
      </c>
      <c r="R176" s="1" t="s">
        <v>329</v>
      </c>
      <c r="S176" s="1" t="s">
        <v>329</v>
      </c>
      <c r="T176" s="1" t="s">
        <v>329</v>
      </c>
      <c r="U176" s="1">
        <v>0</v>
      </c>
      <c r="V176" s="1">
        <v>0</v>
      </c>
      <c r="W176" s="1">
        <v>0</v>
      </c>
      <c r="X176" s="1">
        <v>0</v>
      </c>
      <c r="Y176" s="1">
        <v>0</v>
      </c>
      <c r="Z176" s="1">
        <v>0</v>
      </c>
      <c r="AA176" s="1">
        <v>0</v>
      </c>
      <c r="AB176" s="1">
        <v>0</v>
      </c>
      <c r="AC176" s="1">
        <v>4</v>
      </c>
      <c r="AD176" s="1">
        <v>0</v>
      </c>
      <c r="AE176" s="1">
        <v>3</v>
      </c>
      <c r="AF176" s="1">
        <v>2</v>
      </c>
      <c r="AG176" t="s">
        <v>716</v>
      </c>
      <c r="AH176" s="1">
        <v>3000</v>
      </c>
      <c r="AI176" s="1" t="s">
        <v>2359</v>
      </c>
      <c r="AJ176" s="1">
        <v>0</v>
      </c>
      <c r="AK176" s="1" t="s">
        <v>491</v>
      </c>
      <c r="AL176" s="1" t="s">
        <v>2360</v>
      </c>
      <c r="AM176" s="1">
        <v>0.45</v>
      </c>
      <c r="AN176" s="1">
        <v>0.15</v>
      </c>
      <c r="AO176" s="1">
        <v>0.3</v>
      </c>
      <c r="AP176" s="1">
        <v>0.15</v>
      </c>
      <c r="AQ176" s="1">
        <v>3</v>
      </c>
      <c r="AR176" s="1" t="s">
        <v>1586</v>
      </c>
      <c r="AS176" s="1">
        <v>0</v>
      </c>
      <c r="AT176" s="1" t="s">
        <v>1866</v>
      </c>
      <c r="AU176" s="1">
        <v>10</v>
      </c>
      <c r="AV176" s="1">
        <v>18050</v>
      </c>
      <c r="AW176" s="1">
        <v>0</v>
      </c>
    </row>
    <row r="177" spans="1:49" x14ac:dyDescent="0.25">
      <c r="A177" s="1">
        <v>178</v>
      </c>
      <c r="B177" s="1" t="s">
        <v>2361</v>
      </c>
      <c r="C177" s="1" t="s">
        <v>2362</v>
      </c>
      <c r="D177" s="1">
        <v>5</v>
      </c>
      <c r="E177" s="1">
        <v>2</v>
      </c>
      <c r="F177" s="1">
        <v>19</v>
      </c>
      <c r="G177" s="1" t="s">
        <v>336</v>
      </c>
      <c r="H177" s="1" t="s">
        <v>329</v>
      </c>
      <c r="I177" s="1" t="s">
        <v>329</v>
      </c>
      <c r="J177" s="1" t="s">
        <v>329</v>
      </c>
      <c r="K177" s="1" t="s">
        <v>329</v>
      </c>
      <c r="L177" s="1" t="s">
        <v>329</v>
      </c>
      <c r="M177" s="1" t="s">
        <v>329</v>
      </c>
      <c r="N177" s="1" t="s">
        <v>353</v>
      </c>
      <c r="O177" s="1" t="s">
        <v>329</v>
      </c>
      <c r="P177" s="1" t="s">
        <v>329</v>
      </c>
      <c r="Q177" s="1" t="s">
        <v>329</v>
      </c>
      <c r="R177" s="1" t="s">
        <v>329</v>
      </c>
      <c r="S177" s="1" t="s">
        <v>329</v>
      </c>
      <c r="T177" s="1" t="s">
        <v>329</v>
      </c>
      <c r="U177" s="1">
        <v>0</v>
      </c>
      <c r="V177" s="1">
        <v>0</v>
      </c>
      <c r="W177" s="1">
        <v>0</v>
      </c>
      <c r="X177" s="1">
        <v>0</v>
      </c>
      <c r="Y177" s="1">
        <v>0</v>
      </c>
      <c r="Z177" s="1">
        <v>0</v>
      </c>
      <c r="AA177" s="1">
        <v>0</v>
      </c>
      <c r="AB177" s="1">
        <v>0</v>
      </c>
      <c r="AC177" s="1">
        <v>0</v>
      </c>
      <c r="AD177" s="1">
        <v>4</v>
      </c>
      <c r="AE177" s="1">
        <v>2</v>
      </c>
      <c r="AF177" s="1">
        <v>3</v>
      </c>
      <c r="AG177" t="s">
        <v>266</v>
      </c>
      <c r="AH177" s="1">
        <v>3300</v>
      </c>
      <c r="AI177" s="1" t="s">
        <v>1903</v>
      </c>
      <c r="AJ177" s="1">
        <v>0</v>
      </c>
      <c r="AK177" s="1" t="s">
        <v>492</v>
      </c>
      <c r="AL177" s="1" t="s">
        <v>2363</v>
      </c>
      <c r="AM177" s="1">
        <v>0.08</v>
      </c>
      <c r="AN177" s="1">
        <v>0.5</v>
      </c>
      <c r="AO177" s="1">
        <v>0.3</v>
      </c>
      <c r="AP177" s="1">
        <v>0.3</v>
      </c>
      <c r="AQ177" s="1">
        <v>3</v>
      </c>
      <c r="AR177" s="1" t="s">
        <v>1580</v>
      </c>
      <c r="AS177" s="1">
        <v>0</v>
      </c>
      <c r="AT177" s="1" t="s">
        <v>1866</v>
      </c>
      <c r="AU177" s="1">
        <v>10</v>
      </c>
      <c r="AV177" s="1">
        <v>19016</v>
      </c>
      <c r="AW177" s="1">
        <v>0</v>
      </c>
    </row>
    <row r="178" spans="1:49" x14ac:dyDescent="0.25">
      <c r="A178" s="1">
        <v>179</v>
      </c>
      <c r="B178" s="1" t="s">
        <v>2364</v>
      </c>
      <c r="C178" s="1" t="s">
        <v>2365</v>
      </c>
      <c r="D178" s="1">
        <v>5</v>
      </c>
      <c r="E178" s="1">
        <v>1</v>
      </c>
      <c r="F178" s="1">
        <v>18</v>
      </c>
      <c r="G178" s="1" t="s">
        <v>329</v>
      </c>
      <c r="H178" s="1" t="s">
        <v>329</v>
      </c>
      <c r="I178" s="1" t="s">
        <v>326</v>
      </c>
      <c r="J178" s="1" t="s">
        <v>329</v>
      </c>
      <c r="K178" s="1" t="s">
        <v>329</v>
      </c>
      <c r="L178" s="1" t="s">
        <v>329</v>
      </c>
      <c r="M178" s="1" t="s">
        <v>386</v>
      </c>
      <c r="N178" s="1" t="s">
        <v>329</v>
      </c>
      <c r="O178" s="1" t="s">
        <v>329</v>
      </c>
      <c r="P178" s="1" t="s">
        <v>329</v>
      </c>
      <c r="Q178" s="1" t="s">
        <v>329</v>
      </c>
      <c r="R178" s="1" t="s">
        <v>329</v>
      </c>
      <c r="S178" s="1" t="s">
        <v>329</v>
      </c>
      <c r="T178" s="1" t="s">
        <v>329</v>
      </c>
      <c r="U178" s="1">
        <v>0</v>
      </c>
      <c r="V178" s="1">
        <v>0</v>
      </c>
      <c r="W178" s="1">
        <v>0</v>
      </c>
      <c r="X178" s="1">
        <v>0</v>
      </c>
      <c r="Y178" s="1">
        <v>0</v>
      </c>
      <c r="Z178" s="1">
        <v>0</v>
      </c>
      <c r="AA178" s="1">
        <v>0</v>
      </c>
      <c r="AB178" s="1">
        <v>0</v>
      </c>
      <c r="AC178" s="1">
        <v>4</v>
      </c>
      <c r="AD178" s="1">
        <v>2</v>
      </c>
      <c r="AE178" s="1">
        <v>2</v>
      </c>
      <c r="AF178" s="1">
        <v>2</v>
      </c>
      <c r="AG178" t="s">
        <v>263</v>
      </c>
      <c r="AH178" s="1">
        <v>2820</v>
      </c>
      <c r="AI178" s="1" t="s">
        <v>1903</v>
      </c>
      <c r="AJ178" s="1">
        <v>0</v>
      </c>
      <c r="AK178" s="1" t="s">
        <v>493</v>
      </c>
      <c r="AL178" s="1" t="s">
        <v>2366</v>
      </c>
      <c r="AM178" s="1">
        <v>0.55000000000000004</v>
      </c>
      <c r="AN178" s="1">
        <v>0.23</v>
      </c>
      <c r="AO178" s="1">
        <v>0.23</v>
      </c>
      <c r="AP178" s="1">
        <v>0.23</v>
      </c>
      <c r="AQ178" s="1">
        <v>3</v>
      </c>
      <c r="AR178" s="1" t="s">
        <v>1575</v>
      </c>
      <c r="AS178" s="1">
        <v>0</v>
      </c>
      <c r="AT178" s="1" t="s">
        <v>1866</v>
      </c>
      <c r="AU178" s="1">
        <v>10</v>
      </c>
      <c r="AV178" s="1">
        <v>18051</v>
      </c>
      <c r="AW178" s="1">
        <v>0</v>
      </c>
    </row>
    <row r="179" spans="1:49" x14ac:dyDescent="0.25">
      <c r="A179" s="1">
        <v>180</v>
      </c>
      <c r="B179" s="1" t="s">
        <v>2367</v>
      </c>
      <c r="C179" s="1" t="s">
        <v>2368</v>
      </c>
      <c r="D179" s="1">
        <v>5</v>
      </c>
      <c r="E179" s="1">
        <v>1</v>
      </c>
      <c r="F179" s="1">
        <v>18</v>
      </c>
      <c r="G179" s="1" t="s">
        <v>329</v>
      </c>
      <c r="H179" s="1" t="s">
        <v>329</v>
      </c>
      <c r="I179" s="1" t="s">
        <v>414</v>
      </c>
      <c r="J179" s="1" t="s">
        <v>329</v>
      </c>
      <c r="K179" s="1" t="s">
        <v>329</v>
      </c>
      <c r="L179" s="1" t="s">
        <v>329</v>
      </c>
      <c r="M179" s="1" t="s">
        <v>386</v>
      </c>
      <c r="N179" s="1" t="s">
        <v>329</v>
      </c>
      <c r="O179" s="1" t="s">
        <v>329</v>
      </c>
      <c r="P179" s="1" t="s">
        <v>329</v>
      </c>
      <c r="Q179" s="1" t="s">
        <v>329</v>
      </c>
      <c r="R179" s="1" t="s">
        <v>329</v>
      </c>
      <c r="S179" s="1" t="s">
        <v>329</v>
      </c>
      <c r="T179" s="1" t="s">
        <v>329</v>
      </c>
      <c r="U179" s="1">
        <v>0</v>
      </c>
      <c r="V179" s="1">
        <v>0</v>
      </c>
      <c r="W179" s="1">
        <v>0</v>
      </c>
      <c r="X179" s="1">
        <v>0</v>
      </c>
      <c r="Y179" s="1">
        <v>0</v>
      </c>
      <c r="Z179" s="1">
        <v>0</v>
      </c>
      <c r="AA179" s="1">
        <v>0</v>
      </c>
      <c r="AB179" s="1">
        <v>0</v>
      </c>
      <c r="AC179" s="1">
        <v>4</v>
      </c>
      <c r="AD179" s="1">
        <v>2</v>
      </c>
      <c r="AE179" s="1">
        <v>2</v>
      </c>
      <c r="AF179" s="1">
        <v>2</v>
      </c>
      <c r="AG179" t="s">
        <v>68</v>
      </c>
      <c r="AH179" s="1">
        <v>2820</v>
      </c>
      <c r="AI179" s="1" t="s">
        <v>2369</v>
      </c>
      <c r="AJ179" s="1">
        <v>0</v>
      </c>
      <c r="AK179" s="1" t="s">
        <v>938</v>
      </c>
      <c r="AL179" s="1" t="s">
        <v>2370</v>
      </c>
      <c r="AM179" s="1">
        <v>0.55000000000000004</v>
      </c>
      <c r="AN179" s="1">
        <v>0.23</v>
      </c>
      <c r="AO179" s="1">
        <v>0.23</v>
      </c>
      <c r="AP179" s="1">
        <v>0.23</v>
      </c>
      <c r="AQ179" s="1">
        <v>3</v>
      </c>
      <c r="AR179" s="1" t="s">
        <v>1587</v>
      </c>
      <c r="AS179" s="1">
        <v>0</v>
      </c>
      <c r="AT179" s="1" t="s">
        <v>1866</v>
      </c>
      <c r="AU179" s="1">
        <v>10</v>
      </c>
      <c r="AV179" s="1">
        <v>18052</v>
      </c>
      <c r="AW179" s="1">
        <v>0</v>
      </c>
    </row>
    <row r="180" spans="1:49" x14ac:dyDescent="0.25">
      <c r="A180" s="1">
        <v>181</v>
      </c>
      <c r="B180" s="1" t="s">
        <v>2371</v>
      </c>
      <c r="C180" s="1" t="s">
        <v>2372</v>
      </c>
      <c r="D180" s="1">
        <v>5</v>
      </c>
      <c r="E180" s="1">
        <v>2</v>
      </c>
      <c r="F180" s="1">
        <v>19</v>
      </c>
      <c r="G180" s="1" t="s">
        <v>342</v>
      </c>
      <c r="H180" s="1" t="s">
        <v>329</v>
      </c>
      <c r="I180" s="1" t="s">
        <v>329</v>
      </c>
      <c r="J180" s="1" t="s">
        <v>329</v>
      </c>
      <c r="K180" s="1" t="s">
        <v>494</v>
      </c>
      <c r="L180" s="1" t="s">
        <v>329</v>
      </c>
      <c r="M180" s="1" t="s">
        <v>329</v>
      </c>
      <c r="N180" s="1" t="s">
        <v>387</v>
      </c>
      <c r="O180" s="1" t="s">
        <v>329</v>
      </c>
      <c r="P180" s="1" t="s">
        <v>329</v>
      </c>
      <c r="Q180" s="1" t="s">
        <v>329</v>
      </c>
      <c r="R180" s="1" t="s">
        <v>329</v>
      </c>
      <c r="S180" s="1" t="s">
        <v>329</v>
      </c>
      <c r="T180" s="1" t="s">
        <v>329</v>
      </c>
      <c r="U180" s="1">
        <v>0</v>
      </c>
      <c r="V180" s="1">
        <v>0</v>
      </c>
      <c r="W180" s="1">
        <v>0</v>
      </c>
      <c r="X180" s="1">
        <v>0</v>
      </c>
      <c r="Y180" s="1">
        <v>0</v>
      </c>
      <c r="Z180" s="1">
        <v>0</v>
      </c>
      <c r="AA180" s="1">
        <v>0</v>
      </c>
      <c r="AB180" s="1">
        <v>0</v>
      </c>
      <c r="AC180" s="1">
        <v>4</v>
      </c>
      <c r="AD180" s="1">
        <v>4</v>
      </c>
      <c r="AE180" s="1">
        <v>0</v>
      </c>
      <c r="AF180" s="1">
        <v>2</v>
      </c>
      <c r="AG180" t="s">
        <v>81</v>
      </c>
      <c r="AH180" s="1">
        <v>3180</v>
      </c>
      <c r="AI180" s="1" t="s">
        <v>2373</v>
      </c>
      <c r="AJ180" s="1">
        <v>0</v>
      </c>
      <c r="AK180" s="1" t="s">
        <v>354</v>
      </c>
      <c r="AL180" s="1" t="s">
        <v>2374</v>
      </c>
      <c r="AM180" s="1">
        <v>0.48</v>
      </c>
      <c r="AN180" s="1">
        <v>0.48</v>
      </c>
      <c r="AO180" s="1">
        <v>0.08</v>
      </c>
      <c r="AP180" s="1">
        <v>0.25</v>
      </c>
      <c r="AQ180" s="1">
        <v>3</v>
      </c>
      <c r="AR180" s="1" t="s">
        <v>1501</v>
      </c>
      <c r="AS180" s="1">
        <v>0</v>
      </c>
      <c r="AT180" s="1" t="s">
        <v>1866</v>
      </c>
      <c r="AU180" s="1">
        <v>10</v>
      </c>
      <c r="AV180" s="1">
        <v>19017</v>
      </c>
      <c r="AW180" s="1">
        <v>0</v>
      </c>
    </row>
    <row r="181" spans="1:49" x14ac:dyDescent="0.25">
      <c r="A181" s="1">
        <v>182</v>
      </c>
      <c r="B181" s="1" t="s">
        <v>2375</v>
      </c>
      <c r="C181" s="1" t="s">
        <v>2376</v>
      </c>
      <c r="D181" s="1">
        <v>5</v>
      </c>
      <c r="E181" s="1">
        <v>2</v>
      </c>
      <c r="F181" s="1">
        <v>19</v>
      </c>
      <c r="G181" s="1" t="s">
        <v>386</v>
      </c>
      <c r="H181" s="1" t="s">
        <v>329</v>
      </c>
      <c r="I181" s="1" t="s">
        <v>329</v>
      </c>
      <c r="J181" s="1" t="s">
        <v>329</v>
      </c>
      <c r="K181" s="1" t="s">
        <v>494</v>
      </c>
      <c r="L181" s="1" t="s">
        <v>329</v>
      </c>
      <c r="M181" s="1" t="s">
        <v>329</v>
      </c>
      <c r="N181" s="1" t="s">
        <v>329</v>
      </c>
      <c r="O181" s="1" t="s">
        <v>329</v>
      </c>
      <c r="P181" s="1" t="s">
        <v>329</v>
      </c>
      <c r="Q181" s="1" t="s">
        <v>329</v>
      </c>
      <c r="R181" s="1" t="s">
        <v>329</v>
      </c>
      <c r="S181" s="1" t="s">
        <v>329</v>
      </c>
      <c r="T181" s="1" t="s">
        <v>329</v>
      </c>
      <c r="U181" s="1">
        <v>0</v>
      </c>
      <c r="V181" s="1">
        <v>0</v>
      </c>
      <c r="W181" s="1">
        <v>0</v>
      </c>
      <c r="X181" s="1">
        <v>0</v>
      </c>
      <c r="Y181" s="1">
        <v>0</v>
      </c>
      <c r="Z181" s="1">
        <v>0</v>
      </c>
      <c r="AA181" s="1">
        <v>0</v>
      </c>
      <c r="AB181" s="1">
        <v>0</v>
      </c>
      <c r="AC181" s="1">
        <v>4</v>
      </c>
      <c r="AD181" s="1">
        <v>4</v>
      </c>
      <c r="AE181" s="1">
        <v>0</v>
      </c>
      <c r="AF181" s="1">
        <v>2</v>
      </c>
      <c r="AG181" t="s">
        <v>224</v>
      </c>
      <c r="AH181" s="1">
        <v>3180</v>
      </c>
      <c r="AI181" s="1" t="s">
        <v>2105</v>
      </c>
      <c r="AJ181" s="1">
        <v>0</v>
      </c>
      <c r="AK181" s="1" t="s">
        <v>495</v>
      </c>
      <c r="AL181" s="1" t="s">
        <v>2377</v>
      </c>
      <c r="AM181" s="1">
        <v>0.48</v>
      </c>
      <c r="AN181" s="1">
        <v>0.48</v>
      </c>
      <c r="AO181" s="1">
        <v>0.08</v>
      </c>
      <c r="AP181" s="1">
        <v>0.25</v>
      </c>
      <c r="AQ181" s="1">
        <v>3</v>
      </c>
      <c r="AR181" s="1" t="s">
        <v>1503</v>
      </c>
      <c r="AS181" s="1">
        <v>0</v>
      </c>
      <c r="AT181" s="1" t="s">
        <v>1866</v>
      </c>
      <c r="AU181" s="1">
        <v>10</v>
      </c>
      <c r="AV181" s="1">
        <v>19018</v>
      </c>
      <c r="AW181" s="1">
        <v>0</v>
      </c>
    </row>
    <row r="182" spans="1:49" x14ac:dyDescent="0.25">
      <c r="A182" s="1">
        <v>183</v>
      </c>
      <c r="B182" s="1" t="s">
        <v>2378</v>
      </c>
      <c r="C182" s="1" t="s">
        <v>2379</v>
      </c>
      <c r="D182" s="1">
        <v>5</v>
      </c>
      <c r="E182" s="1">
        <v>3</v>
      </c>
      <c r="F182" s="1">
        <v>20</v>
      </c>
      <c r="G182" s="1" t="s">
        <v>329</v>
      </c>
      <c r="H182" s="1" t="s">
        <v>329</v>
      </c>
      <c r="I182" s="1" t="s">
        <v>329</v>
      </c>
      <c r="J182" s="1" t="s">
        <v>402</v>
      </c>
      <c r="K182" s="1" t="s">
        <v>329</v>
      </c>
      <c r="L182" s="1" t="s">
        <v>364</v>
      </c>
      <c r="M182" s="1" t="s">
        <v>329</v>
      </c>
      <c r="N182" s="1" t="s">
        <v>329</v>
      </c>
      <c r="O182" s="1" t="s">
        <v>329</v>
      </c>
      <c r="P182" s="1" t="s">
        <v>329</v>
      </c>
      <c r="Q182" s="1" t="s">
        <v>329</v>
      </c>
      <c r="R182" s="1" t="s">
        <v>329</v>
      </c>
      <c r="S182" s="1" t="s">
        <v>329</v>
      </c>
      <c r="T182" s="1" t="s">
        <v>329</v>
      </c>
      <c r="U182" s="1">
        <v>0</v>
      </c>
      <c r="V182" s="1">
        <v>0</v>
      </c>
      <c r="W182" s="1">
        <v>0</v>
      </c>
      <c r="X182" s="1">
        <v>0</v>
      </c>
      <c r="Y182" s="1">
        <v>0</v>
      </c>
      <c r="Z182" s="1">
        <v>0</v>
      </c>
      <c r="AA182" s="1">
        <v>0</v>
      </c>
      <c r="AB182" s="1">
        <v>0</v>
      </c>
      <c r="AC182" s="1">
        <v>4</v>
      </c>
      <c r="AD182" s="1">
        <v>0</v>
      </c>
      <c r="AE182" s="1">
        <v>5</v>
      </c>
      <c r="AF182" s="1">
        <v>0</v>
      </c>
      <c r="AG182" t="s">
        <v>249</v>
      </c>
      <c r="AH182" s="1">
        <v>3360</v>
      </c>
      <c r="AI182" s="1" t="s">
        <v>1903</v>
      </c>
      <c r="AJ182" s="1">
        <v>0</v>
      </c>
      <c r="AK182" s="1" t="s">
        <v>496</v>
      </c>
      <c r="AL182" s="1" t="s">
        <v>2380</v>
      </c>
      <c r="AM182" s="1">
        <v>0.55000000000000004</v>
      </c>
      <c r="AN182" s="1">
        <v>0.16</v>
      </c>
      <c r="AO182" s="1">
        <v>0.6</v>
      </c>
      <c r="AP182" s="1">
        <v>0.16</v>
      </c>
      <c r="AQ182" s="1">
        <v>3</v>
      </c>
      <c r="AR182" s="1" t="s">
        <v>1527</v>
      </c>
      <c r="AS182" s="1">
        <v>0</v>
      </c>
      <c r="AT182" s="1" t="s">
        <v>1866</v>
      </c>
      <c r="AU182" s="1">
        <v>10</v>
      </c>
      <c r="AV182" s="1">
        <v>20024</v>
      </c>
      <c r="AW182" s="1">
        <v>0</v>
      </c>
    </row>
    <row r="183" spans="1:49" x14ac:dyDescent="0.25">
      <c r="A183" s="1">
        <v>184</v>
      </c>
      <c r="B183" s="1" t="s">
        <v>2381</v>
      </c>
      <c r="C183" s="1" t="s">
        <v>2382</v>
      </c>
      <c r="D183" s="1">
        <v>5</v>
      </c>
      <c r="E183" s="1">
        <v>3</v>
      </c>
      <c r="F183" s="1">
        <v>20</v>
      </c>
      <c r="G183" s="1" t="s">
        <v>391</v>
      </c>
      <c r="H183" s="1" t="s">
        <v>329</v>
      </c>
      <c r="I183" s="1" t="s">
        <v>357</v>
      </c>
      <c r="J183" s="1" t="s">
        <v>329</v>
      </c>
      <c r="K183" s="1" t="s">
        <v>329</v>
      </c>
      <c r="L183" s="1" t="s">
        <v>329</v>
      </c>
      <c r="M183" s="1" t="s">
        <v>329</v>
      </c>
      <c r="N183" s="1" t="s">
        <v>329</v>
      </c>
      <c r="O183" s="1" t="s">
        <v>329</v>
      </c>
      <c r="P183" s="1" t="s">
        <v>329</v>
      </c>
      <c r="Q183" s="1" t="s">
        <v>329</v>
      </c>
      <c r="R183" s="1" t="s">
        <v>329</v>
      </c>
      <c r="S183" s="1" t="s">
        <v>329</v>
      </c>
      <c r="T183" s="1" t="s">
        <v>329</v>
      </c>
      <c r="U183" s="1">
        <v>0</v>
      </c>
      <c r="V183" s="1">
        <v>0</v>
      </c>
      <c r="W183" s="1">
        <v>0</v>
      </c>
      <c r="X183" s="1">
        <v>0</v>
      </c>
      <c r="Y183" s="1">
        <v>0</v>
      </c>
      <c r="Z183" s="1">
        <v>0</v>
      </c>
      <c r="AA183" s="1">
        <v>0</v>
      </c>
      <c r="AB183" s="1">
        <v>0</v>
      </c>
      <c r="AC183" s="1">
        <v>4</v>
      </c>
      <c r="AD183" s="1">
        <v>2</v>
      </c>
      <c r="AE183" s="1">
        <v>0</v>
      </c>
      <c r="AF183" s="1">
        <v>4</v>
      </c>
      <c r="AG183" t="s">
        <v>252</v>
      </c>
      <c r="AH183" s="1">
        <v>3120</v>
      </c>
      <c r="AI183" s="1" t="s">
        <v>1903</v>
      </c>
      <c r="AJ183" s="1">
        <v>0</v>
      </c>
      <c r="AK183" s="1" t="s">
        <v>497</v>
      </c>
      <c r="AL183" s="1" t="s">
        <v>2383</v>
      </c>
      <c r="AM183" s="1">
        <v>0.3</v>
      </c>
      <c r="AN183" s="1">
        <v>0.25</v>
      </c>
      <c r="AO183" s="1">
        <v>0.12</v>
      </c>
      <c r="AP183" s="1">
        <v>0.38</v>
      </c>
      <c r="AQ183" s="1">
        <v>3</v>
      </c>
      <c r="AR183" s="1" t="s">
        <v>1588</v>
      </c>
      <c r="AS183" s="1">
        <v>0</v>
      </c>
      <c r="AT183" s="1" t="s">
        <v>1866</v>
      </c>
      <c r="AU183" s="1">
        <v>10</v>
      </c>
      <c r="AV183" s="1">
        <v>20025</v>
      </c>
      <c r="AW183" s="1">
        <v>0</v>
      </c>
    </row>
    <row r="184" spans="1:49" x14ac:dyDescent="0.25">
      <c r="A184" s="1">
        <v>185</v>
      </c>
      <c r="B184" s="1" t="s">
        <v>2384</v>
      </c>
      <c r="C184" s="1" t="s">
        <v>2385</v>
      </c>
      <c r="D184" s="1">
        <v>5</v>
      </c>
      <c r="E184" s="1">
        <v>1</v>
      </c>
      <c r="F184" s="1">
        <v>18</v>
      </c>
      <c r="G184" s="1" t="s">
        <v>336</v>
      </c>
      <c r="H184" s="1" t="s">
        <v>471</v>
      </c>
      <c r="I184" s="1" t="s">
        <v>329</v>
      </c>
      <c r="J184" s="1" t="s">
        <v>329</v>
      </c>
      <c r="K184" s="1" t="s">
        <v>329</v>
      </c>
      <c r="L184" s="1" t="s">
        <v>329</v>
      </c>
      <c r="M184" s="1" t="s">
        <v>398</v>
      </c>
      <c r="N184" s="1" t="s">
        <v>329</v>
      </c>
      <c r="O184" s="1" t="s">
        <v>329</v>
      </c>
      <c r="P184" s="1" t="s">
        <v>329</v>
      </c>
      <c r="Q184" s="1" t="s">
        <v>329</v>
      </c>
      <c r="R184" s="1" t="s">
        <v>329</v>
      </c>
      <c r="S184" s="1" t="s">
        <v>329</v>
      </c>
      <c r="T184" s="1" t="s">
        <v>329</v>
      </c>
      <c r="U184" s="1">
        <v>0</v>
      </c>
      <c r="V184" s="1">
        <v>0</v>
      </c>
      <c r="W184" s="1">
        <v>0</v>
      </c>
      <c r="X184" s="1">
        <v>0</v>
      </c>
      <c r="Y184" s="1">
        <v>0</v>
      </c>
      <c r="Z184" s="1">
        <v>0</v>
      </c>
      <c r="AA184" s="1">
        <v>0</v>
      </c>
      <c r="AB184" s="1">
        <v>0</v>
      </c>
      <c r="AC184" s="1">
        <v>4</v>
      </c>
      <c r="AD184" s="1">
        <v>0</v>
      </c>
      <c r="AE184" s="1">
        <v>3</v>
      </c>
      <c r="AF184" s="1">
        <v>2</v>
      </c>
      <c r="AG184" t="s">
        <v>747</v>
      </c>
      <c r="AH184" s="1">
        <v>2700</v>
      </c>
      <c r="AI184" s="1" t="s">
        <v>1903</v>
      </c>
      <c r="AJ184" s="1">
        <v>0</v>
      </c>
      <c r="AK184" s="1" t="s">
        <v>498</v>
      </c>
      <c r="AL184" s="1" t="s">
        <v>2386</v>
      </c>
      <c r="AM184" s="1">
        <v>0.45</v>
      </c>
      <c r="AN184" s="1">
        <v>0.15</v>
      </c>
      <c r="AO184" s="1">
        <v>0.3</v>
      </c>
      <c r="AP184" s="1">
        <v>0.15</v>
      </c>
      <c r="AQ184" s="1">
        <v>3</v>
      </c>
      <c r="AR184" s="1" t="s">
        <v>1589</v>
      </c>
      <c r="AS184" s="1">
        <v>0</v>
      </c>
      <c r="AT184" s="1" t="s">
        <v>2387</v>
      </c>
      <c r="AU184" s="1">
        <v>10</v>
      </c>
      <c r="AV184" s="1">
        <v>18053</v>
      </c>
      <c r="AW184" s="1">
        <v>0</v>
      </c>
    </row>
    <row r="185" spans="1:49" x14ac:dyDescent="0.25">
      <c r="A185" s="1">
        <v>186</v>
      </c>
      <c r="B185" s="1" t="s">
        <v>2388</v>
      </c>
      <c r="C185" s="1" t="s">
        <v>2389</v>
      </c>
      <c r="D185" s="1">
        <v>5</v>
      </c>
      <c r="E185" s="1">
        <v>2</v>
      </c>
      <c r="F185" s="1">
        <v>19</v>
      </c>
      <c r="G185" s="1" t="s">
        <v>342</v>
      </c>
      <c r="H185" s="1" t="s">
        <v>329</v>
      </c>
      <c r="I185" s="1" t="s">
        <v>329</v>
      </c>
      <c r="J185" s="1" t="s">
        <v>329</v>
      </c>
      <c r="K185" s="1" t="s">
        <v>329</v>
      </c>
      <c r="L185" s="1" t="s">
        <v>390</v>
      </c>
      <c r="M185" s="1" t="s">
        <v>499</v>
      </c>
      <c r="N185" s="1" t="s">
        <v>329</v>
      </c>
      <c r="O185" s="1" t="s">
        <v>329</v>
      </c>
      <c r="P185" s="1" t="s">
        <v>329</v>
      </c>
      <c r="Q185" s="1" t="s">
        <v>329</v>
      </c>
      <c r="R185" s="1" t="s">
        <v>329</v>
      </c>
      <c r="S185" s="1" t="s">
        <v>329</v>
      </c>
      <c r="T185" s="1" t="s">
        <v>329</v>
      </c>
      <c r="U185" s="1">
        <v>0</v>
      </c>
      <c r="V185" s="1">
        <v>0</v>
      </c>
      <c r="W185" s="1">
        <v>0</v>
      </c>
      <c r="X185" s="1">
        <v>0</v>
      </c>
      <c r="Y185" s="1">
        <v>0</v>
      </c>
      <c r="Z185" s="1">
        <v>0</v>
      </c>
      <c r="AA185" s="1">
        <v>0</v>
      </c>
      <c r="AB185" s="1">
        <v>0</v>
      </c>
      <c r="AC185" s="1">
        <v>1</v>
      </c>
      <c r="AD185" s="1">
        <v>4</v>
      </c>
      <c r="AE185" s="1">
        <v>1</v>
      </c>
      <c r="AF185" s="1">
        <v>3</v>
      </c>
      <c r="AG185" t="s">
        <v>250</v>
      </c>
      <c r="AH185" s="1">
        <v>3240</v>
      </c>
      <c r="AI185" s="1" t="s">
        <v>1903</v>
      </c>
      <c r="AJ185" s="1">
        <v>0</v>
      </c>
      <c r="AK185" s="1" t="s">
        <v>500</v>
      </c>
      <c r="AL185" s="1" t="s">
        <v>2390</v>
      </c>
      <c r="AM185" s="1">
        <v>0.08</v>
      </c>
      <c r="AN185" s="1">
        <v>0.53</v>
      </c>
      <c r="AO185" s="1">
        <v>0.08</v>
      </c>
      <c r="AP185" s="1">
        <v>0.45</v>
      </c>
      <c r="AQ185" s="1">
        <v>3</v>
      </c>
      <c r="AR185" s="1" t="s">
        <v>1590</v>
      </c>
      <c r="AS185" s="1">
        <v>0</v>
      </c>
      <c r="AT185" s="1" t="s">
        <v>1866</v>
      </c>
      <c r="AU185" s="1">
        <v>10</v>
      </c>
      <c r="AV185" s="1">
        <v>19019</v>
      </c>
      <c r="AW185" s="1">
        <v>0</v>
      </c>
    </row>
    <row r="186" spans="1:49" x14ac:dyDescent="0.25">
      <c r="A186" s="1">
        <v>187</v>
      </c>
      <c r="B186" s="1" t="s">
        <v>2391</v>
      </c>
      <c r="C186" s="1" t="s">
        <v>2392</v>
      </c>
      <c r="D186" s="1">
        <v>5</v>
      </c>
      <c r="E186" s="1">
        <v>1</v>
      </c>
      <c r="F186" s="1">
        <v>18</v>
      </c>
      <c r="G186" s="1" t="s">
        <v>329</v>
      </c>
      <c r="H186" s="1" t="s">
        <v>471</v>
      </c>
      <c r="I186" s="1" t="s">
        <v>359</v>
      </c>
      <c r="J186" s="1" t="s">
        <v>329</v>
      </c>
      <c r="K186" s="1" t="s">
        <v>329</v>
      </c>
      <c r="L186" s="1" t="s">
        <v>329</v>
      </c>
      <c r="M186" s="1" t="s">
        <v>386</v>
      </c>
      <c r="N186" s="1" t="s">
        <v>329</v>
      </c>
      <c r="O186" s="1" t="s">
        <v>329</v>
      </c>
      <c r="P186" s="1" t="s">
        <v>329</v>
      </c>
      <c r="Q186" s="1" t="s">
        <v>329</v>
      </c>
      <c r="R186" s="1" t="s">
        <v>329</v>
      </c>
      <c r="S186" s="1" t="s">
        <v>329</v>
      </c>
      <c r="T186" s="1" t="s">
        <v>329</v>
      </c>
      <c r="U186" s="1">
        <v>0</v>
      </c>
      <c r="V186" s="1">
        <v>0</v>
      </c>
      <c r="W186" s="1">
        <v>0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4</v>
      </c>
      <c r="AD186" s="1">
        <v>2</v>
      </c>
      <c r="AE186" s="1">
        <v>2</v>
      </c>
      <c r="AF186" s="1">
        <v>2</v>
      </c>
      <c r="AG186" t="s">
        <v>248</v>
      </c>
      <c r="AH186" s="1">
        <v>2820</v>
      </c>
      <c r="AI186" s="1" t="s">
        <v>1903</v>
      </c>
      <c r="AJ186" s="1">
        <v>0</v>
      </c>
      <c r="AK186" s="1" t="s">
        <v>501</v>
      </c>
      <c r="AL186" s="1" t="s">
        <v>2393</v>
      </c>
      <c r="AM186" s="1">
        <v>0.55000000000000004</v>
      </c>
      <c r="AN186" s="1">
        <v>0.23</v>
      </c>
      <c r="AO186" s="1">
        <v>0.23</v>
      </c>
      <c r="AP186" s="1">
        <v>0.23</v>
      </c>
      <c r="AQ186" s="1">
        <v>3</v>
      </c>
      <c r="AR186" s="1" t="s">
        <v>1591</v>
      </c>
      <c r="AS186" s="1">
        <v>0</v>
      </c>
      <c r="AT186" s="1" t="s">
        <v>1866</v>
      </c>
      <c r="AU186" s="1">
        <v>10</v>
      </c>
      <c r="AV186" s="1">
        <v>18054</v>
      </c>
      <c r="AW186" s="1">
        <v>0</v>
      </c>
    </row>
    <row r="187" spans="1:49" x14ac:dyDescent="0.25">
      <c r="A187" s="1">
        <v>188</v>
      </c>
      <c r="B187" s="1" t="s">
        <v>2394</v>
      </c>
      <c r="C187" s="1" t="s">
        <v>2395</v>
      </c>
      <c r="D187" s="1">
        <v>5</v>
      </c>
      <c r="E187" s="1">
        <v>1</v>
      </c>
      <c r="F187" s="1">
        <v>18</v>
      </c>
      <c r="G187" s="1" t="s">
        <v>336</v>
      </c>
      <c r="H187" s="1" t="s">
        <v>471</v>
      </c>
      <c r="I187" s="1" t="s">
        <v>329</v>
      </c>
      <c r="J187" s="1" t="s">
        <v>329</v>
      </c>
      <c r="K187" s="1" t="s">
        <v>329</v>
      </c>
      <c r="L187" s="1" t="s">
        <v>329</v>
      </c>
      <c r="M187" s="1" t="s">
        <v>398</v>
      </c>
      <c r="N187" s="1" t="s">
        <v>329</v>
      </c>
      <c r="O187" s="1" t="s">
        <v>329</v>
      </c>
      <c r="P187" s="1" t="s">
        <v>329</v>
      </c>
      <c r="Q187" s="1" t="s">
        <v>329</v>
      </c>
      <c r="R187" s="1" t="s">
        <v>329</v>
      </c>
      <c r="S187" s="1" t="s">
        <v>329</v>
      </c>
      <c r="T187" s="1" t="s">
        <v>329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0</v>
      </c>
      <c r="AA187" s="1">
        <v>0</v>
      </c>
      <c r="AB187" s="1">
        <v>0</v>
      </c>
      <c r="AC187" s="1">
        <v>4</v>
      </c>
      <c r="AD187" s="1">
        <v>0</v>
      </c>
      <c r="AE187" s="1">
        <v>3</v>
      </c>
      <c r="AF187" s="1">
        <v>2</v>
      </c>
      <c r="AG187" t="s">
        <v>748</v>
      </c>
      <c r="AH187" s="1">
        <v>2700</v>
      </c>
      <c r="AI187" s="1" t="s">
        <v>1903</v>
      </c>
      <c r="AJ187" s="1">
        <v>0</v>
      </c>
      <c r="AK187" s="1" t="s">
        <v>498</v>
      </c>
      <c r="AL187" s="1" t="s">
        <v>2396</v>
      </c>
      <c r="AM187" s="1">
        <v>0.45</v>
      </c>
      <c r="AN187" s="1">
        <v>0.15</v>
      </c>
      <c r="AO187" s="1">
        <v>0.3</v>
      </c>
      <c r="AP187" s="1">
        <v>0.15</v>
      </c>
      <c r="AQ187" s="1">
        <v>3</v>
      </c>
      <c r="AR187" s="1" t="s">
        <v>1589</v>
      </c>
      <c r="AS187" s="1">
        <v>0</v>
      </c>
      <c r="AT187" s="1" t="s">
        <v>2397</v>
      </c>
      <c r="AU187" s="1">
        <v>10</v>
      </c>
      <c r="AV187" s="1">
        <v>18055</v>
      </c>
      <c r="AW187" s="1">
        <v>0</v>
      </c>
    </row>
    <row r="188" spans="1:49" x14ac:dyDescent="0.25">
      <c r="A188" s="1">
        <v>189</v>
      </c>
      <c r="B188" s="1" t="s">
        <v>2398</v>
      </c>
      <c r="C188" s="1" t="s">
        <v>2399</v>
      </c>
      <c r="D188" s="1">
        <v>5</v>
      </c>
      <c r="E188" s="1">
        <v>1</v>
      </c>
      <c r="F188" s="1">
        <v>18</v>
      </c>
      <c r="G188" s="1" t="s">
        <v>336</v>
      </c>
      <c r="H188" s="1" t="s">
        <v>471</v>
      </c>
      <c r="I188" s="1" t="s">
        <v>329</v>
      </c>
      <c r="J188" s="1" t="s">
        <v>329</v>
      </c>
      <c r="K188" s="1" t="s">
        <v>329</v>
      </c>
      <c r="L188" s="1" t="s">
        <v>329</v>
      </c>
      <c r="M188" s="1" t="s">
        <v>398</v>
      </c>
      <c r="N188" s="1" t="s">
        <v>329</v>
      </c>
      <c r="O188" s="1" t="s">
        <v>329</v>
      </c>
      <c r="P188" s="1" t="s">
        <v>329</v>
      </c>
      <c r="Q188" s="1" t="s">
        <v>329</v>
      </c>
      <c r="R188" s="1" t="s">
        <v>329</v>
      </c>
      <c r="S188" s="1" t="s">
        <v>329</v>
      </c>
      <c r="T188" s="1" t="s">
        <v>329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4</v>
      </c>
      <c r="AD188" s="1">
        <v>0</v>
      </c>
      <c r="AE188" s="1">
        <v>3</v>
      </c>
      <c r="AF188" s="1">
        <v>2</v>
      </c>
      <c r="AG188" t="s">
        <v>749</v>
      </c>
      <c r="AH188" s="1">
        <v>2700</v>
      </c>
      <c r="AI188" s="1" t="s">
        <v>1903</v>
      </c>
      <c r="AJ188" s="1">
        <v>0</v>
      </c>
      <c r="AK188" s="1" t="s">
        <v>498</v>
      </c>
      <c r="AL188" s="1" t="s">
        <v>2400</v>
      </c>
      <c r="AM188" s="1">
        <v>0.45</v>
      </c>
      <c r="AN188" s="1">
        <v>0.15</v>
      </c>
      <c r="AO188" s="1">
        <v>0.3</v>
      </c>
      <c r="AP188" s="1">
        <v>0.15</v>
      </c>
      <c r="AQ188" s="1">
        <v>3</v>
      </c>
      <c r="AR188" s="1" t="s">
        <v>1589</v>
      </c>
      <c r="AS188" s="1">
        <v>0</v>
      </c>
      <c r="AT188" s="1" t="s">
        <v>2401</v>
      </c>
      <c r="AU188" s="1">
        <v>10</v>
      </c>
      <c r="AV188" s="1">
        <v>18056</v>
      </c>
      <c r="AW188" s="1">
        <v>0</v>
      </c>
    </row>
    <row r="189" spans="1:49" x14ac:dyDescent="0.25">
      <c r="A189" s="1">
        <v>190</v>
      </c>
      <c r="B189" s="1" t="s">
        <v>2402</v>
      </c>
      <c r="C189" s="1" t="s">
        <v>2403</v>
      </c>
      <c r="D189" s="1">
        <v>5</v>
      </c>
      <c r="E189" s="1">
        <v>3</v>
      </c>
      <c r="F189" s="1">
        <v>20</v>
      </c>
      <c r="G189" s="1" t="s">
        <v>392</v>
      </c>
      <c r="H189" s="1" t="s">
        <v>336</v>
      </c>
      <c r="I189" s="1" t="s">
        <v>329</v>
      </c>
      <c r="J189" s="1" t="s">
        <v>329</v>
      </c>
      <c r="K189" s="1" t="s">
        <v>329</v>
      </c>
      <c r="L189" s="1" t="s">
        <v>392</v>
      </c>
      <c r="M189" s="1" t="s">
        <v>329</v>
      </c>
      <c r="N189" s="1" t="s">
        <v>329</v>
      </c>
      <c r="O189" s="1" t="s">
        <v>329</v>
      </c>
      <c r="P189" s="1" t="s">
        <v>329</v>
      </c>
      <c r="Q189" s="1" t="s">
        <v>329</v>
      </c>
      <c r="R189" s="1" t="s">
        <v>329</v>
      </c>
      <c r="S189" s="1" t="s">
        <v>329</v>
      </c>
      <c r="T189" s="1" t="s">
        <v>329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4</v>
      </c>
      <c r="AD189" s="1">
        <v>2</v>
      </c>
      <c r="AE189" s="1">
        <v>0</v>
      </c>
      <c r="AF189" s="1">
        <v>4</v>
      </c>
      <c r="AG189" t="s">
        <v>1475</v>
      </c>
      <c r="AH189" s="1">
        <v>3120</v>
      </c>
      <c r="AI189" s="1" t="s">
        <v>2404</v>
      </c>
      <c r="AJ189" s="1">
        <v>0</v>
      </c>
      <c r="AK189" s="1" t="s">
        <v>502</v>
      </c>
      <c r="AL189" s="1" t="s">
        <v>2405</v>
      </c>
      <c r="AM189" s="1">
        <v>0.3</v>
      </c>
      <c r="AN189" s="1">
        <v>0.25</v>
      </c>
      <c r="AO189" s="1">
        <v>0.12</v>
      </c>
      <c r="AP189" s="1">
        <v>0.38</v>
      </c>
      <c r="AQ189" s="1">
        <v>3</v>
      </c>
      <c r="AR189" s="1" t="s">
        <v>1592</v>
      </c>
      <c r="AS189" s="1">
        <v>0</v>
      </c>
      <c r="AT189" s="1" t="s">
        <v>1866</v>
      </c>
      <c r="AU189" s="1">
        <v>10</v>
      </c>
      <c r="AV189" s="1">
        <v>20026</v>
      </c>
      <c r="AW189" s="1">
        <v>0</v>
      </c>
    </row>
    <row r="190" spans="1:49" x14ac:dyDescent="0.25">
      <c r="A190" s="1">
        <v>191</v>
      </c>
      <c r="B190" s="1" t="s">
        <v>2406</v>
      </c>
      <c r="C190" s="1" t="s">
        <v>2407</v>
      </c>
      <c r="D190" s="1">
        <v>5</v>
      </c>
      <c r="E190" s="1">
        <v>1</v>
      </c>
      <c r="F190" s="1">
        <v>18</v>
      </c>
      <c r="G190" s="1" t="s">
        <v>336</v>
      </c>
      <c r="H190" s="1" t="s">
        <v>329</v>
      </c>
      <c r="I190" s="1" t="s">
        <v>329</v>
      </c>
      <c r="J190" s="1" t="s">
        <v>329</v>
      </c>
      <c r="K190" s="1" t="s">
        <v>329</v>
      </c>
      <c r="L190" s="1" t="s">
        <v>329</v>
      </c>
      <c r="M190" s="1" t="s">
        <v>328</v>
      </c>
      <c r="N190" s="1" t="s">
        <v>329</v>
      </c>
      <c r="O190" s="1" t="s">
        <v>329</v>
      </c>
      <c r="P190" s="1" t="s">
        <v>329</v>
      </c>
      <c r="Q190" s="1" t="s">
        <v>329</v>
      </c>
      <c r="R190" s="1" t="s">
        <v>329</v>
      </c>
      <c r="S190" s="1" t="s">
        <v>329</v>
      </c>
      <c r="T190" s="1" t="s">
        <v>329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0</v>
      </c>
      <c r="AC190" s="1">
        <v>4</v>
      </c>
      <c r="AD190" s="1">
        <v>0</v>
      </c>
      <c r="AE190" s="1">
        <v>3</v>
      </c>
      <c r="AF190" s="1">
        <v>2</v>
      </c>
      <c r="AG190" t="s">
        <v>835</v>
      </c>
      <c r="AH190" s="1">
        <v>2700</v>
      </c>
      <c r="AI190" s="1" t="s">
        <v>2359</v>
      </c>
      <c r="AJ190" s="1">
        <v>0</v>
      </c>
      <c r="AK190" s="1" t="s">
        <v>503</v>
      </c>
      <c r="AL190" s="1" t="s">
        <v>2408</v>
      </c>
      <c r="AM190" s="1">
        <v>0.45</v>
      </c>
      <c r="AN190" s="1">
        <v>0.15</v>
      </c>
      <c r="AO190" s="1">
        <v>0.3</v>
      </c>
      <c r="AP190" s="1">
        <v>0.15</v>
      </c>
      <c r="AQ190" s="1">
        <v>3</v>
      </c>
      <c r="AR190" s="1" t="s">
        <v>1549</v>
      </c>
      <c r="AS190" s="1">
        <v>0</v>
      </c>
      <c r="AT190" s="1" t="s">
        <v>1866</v>
      </c>
      <c r="AU190" s="1">
        <v>10</v>
      </c>
      <c r="AV190" s="1">
        <v>18057</v>
      </c>
      <c r="AW190" s="1">
        <v>0</v>
      </c>
    </row>
    <row r="191" spans="1:49" x14ac:dyDescent="0.25">
      <c r="A191" s="1">
        <v>192</v>
      </c>
      <c r="B191" s="1" t="s">
        <v>2409</v>
      </c>
      <c r="C191" s="1" t="s">
        <v>2410</v>
      </c>
      <c r="D191" s="1">
        <v>5</v>
      </c>
      <c r="E191" s="1">
        <v>3</v>
      </c>
      <c r="F191" s="1">
        <v>20</v>
      </c>
      <c r="G191" s="1" t="s">
        <v>363</v>
      </c>
      <c r="H191" s="1" t="s">
        <v>329</v>
      </c>
      <c r="I191" s="1" t="s">
        <v>364</v>
      </c>
      <c r="J191" s="1" t="s">
        <v>329</v>
      </c>
      <c r="K191" s="1" t="s">
        <v>329</v>
      </c>
      <c r="L191" s="1" t="s">
        <v>329</v>
      </c>
      <c r="M191" s="1" t="s">
        <v>329</v>
      </c>
      <c r="N191" s="1" t="s">
        <v>329</v>
      </c>
      <c r="O191" s="1" t="s">
        <v>329</v>
      </c>
      <c r="P191" s="1" t="s">
        <v>329</v>
      </c>
      <c r="Q191" s="1" t="s">
        <v>329</v>
      </c>
      <c r="R191" s="1" t="s">
        <v>329</v>
      </c>
      <c r="S191" s="1" t="s">
        <v>329</v>
      </c>
      <c r="T191" s="1" t="s">
        <v>329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4</v>
      </c>
      <c r="AD191" s="1">
        <v>2</v>
      </c>
      <c r="AE191" s="1">
        <v>0</v>
      </c>
      <c r="AF191" s="1">
        <v>4</v>
      </c>
      <c r="AG191" t="s">
        <v>828</v>
      </c>
      <c r="AH191" s="1">
        <v>3120</v>
      </c>
      <c r="AI191" s="1" t="s">
        <v>1903</v>
      </c>
      <c r="AJ191" s="1">
        <v>0</v>
      </c>
      <c r="AK191" s="1" t="s">
        <v>504</v>
      </c>
      <c r="AL191" s="1" t="s">
        <v>2411</v>
      </c>
      <c r="AM191" s="1">
        <v>0.3</v>
      </c>
      <c r="AN191" s="1">
        <v>0.25</v>
      </c>
      <c r="AO191" s="1">
        <v>0.12</v>
      </c>
      <c r="AP191" s="1">
        <v>0.38</v>
      </c>
      <c r="AQ191" s="1">
        <v>3</v>
      </c>
      <c r="AR191" s="1" t="s">
        <v>1506</v>
      </c>
      <c r="AS191" s="1">
        <v>0</v>
      </c>
      <c r="AT191" s="1" t="s">
        <v>1866</v>
      </c>
      <c r="AU191" s="1">
        <v>10</v>
      </c>
      <c r="AV191" s="1">
        <v>20027</v>
      </c>
      <c r="AW191" s="1">
        <v>0</v>
      </c>
    </row>
    <row r="192" spans="1:49" x14ac:dyDescent="0.25">
      <c r="A192" s="1">
        <v>193</v>
      </c>
      <c r="B192" s="1" t="s">
        <v>2412</v>
      </c>
      <c r="C192" s="1" t="s">
        <v>2413</v>
      </c>
      <c r="D192" s="1">
        <v>5</v>
      </c>
      <c r="E192" s="1">
        <v>3</v>
      </c>
      <c r="F192" s="1">
        <v>20</v>
      </c>
      <c r="G192" s="1" t="s">
        <v>329</v>
      </c>
      <c r="H192" s="1" t="s">
        <v>329</v>
      </c>
      <c r="I192" s="1" t="s">
        <v>332</v>
      </c>
      <c r="J192" s="1" t="s">
        <v>329</v>
      </c>
      <c r="K192" s="1" t="s">
        <v>329</v>
      </c>
      <c r="L192" s="1" t="s">
        <v>329</v>
      </c>
      <c r="M192" s="1" t="s">
        <v>329</v>
      </c>
      <c r="N192" s="1" t="s">
        <v>329</v>
      </c>
      <c r="O192" s="1" t="s">
        <v>359</v>
      </c>
      <c r="P192" s="1" t="s">
        <v>329</v>
      </c>
      <c r="Q192" s="1" t="s">
        <v>329</v>
      </c>
      <c r="R192" s="1" t="s">
        <v>329</v>
      </c>
      <c r="S192" s="1" t="s">
        <v>329</v>
      </c>
      <c r="T192" s="1" t="s">
        <v>329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2</v>
      </c>
      <c r="AD192" s="1">
        <v>2</v>
      </c>
      <c r="AE192" s="1">
        <v>3</v>
      </c>
      <c r="AF192" s="1">
        <v>3</v>
      </c>
      <c r="AG192" t="s">
        <v>734</v>
      </c>
      <c r="AH192" s="1">
        <v>3060</v>
      </c>
      <c r="AI192" s="1" t="s">
        <v>1903</v>
      </c>
      <c r="AJ192" s="1">
        <v>0</v>
      </c>
      <c r="AK192" s="1" t="s">
        <v>505</v>
      </c>
      <c r="AL192" s="1" t="s">
        <v>2414</v>
      </c>
      <c r="AM192" s="1">
        <v>0.23</v>
      </c>
      <c r="AN192" s="1">
        <v>0.23</v>
      </c>
      <c r="AO192" s="1">
        <v>0.33</v>
      </c>
      <c r="AP192" s="1">
        <v>0.38</v>
      </c>
      <c r="AQ192" s="1">
        <v>3</v>
      </c>
      <c r="AR192" s="1" t="s">
        <v>1505</v>
      </c>
      <c r="AS192" s="1">
        <v>0</v>
      </c>
      <c r="AT192" s="1" t="s">
        <v>1866</v>
      </c>
      <c r="AU192" s="1">
        <v>10</v>
      </c>
      <c r="AV192" s="1">
        <v>20028</v>
      </c>
      <c r="AW192" s="1">
        <v>0</v>
      </c>
    </row>
    <row r="193" spans="1:49" x14ac:dyDescent="0.25">
      <c r="A193" s="1">
        <v>194</v>
      </c>
      <c r="B193" s="1" t="s">
        <v>2415</v>
      </c>
      <c r="C193" s="1" t="s">
        <v>2416</v>
      </c>
      <c r="D193" s="1">
        <v>5</v>
      </c>
      <c r="E193" s="1">
        <v>1</v>
      </c>
      <c r="F193" s="1">
        <v>18</v>
      </c>
      <c r="G193" s="1" t="s">
        <v>329</v>
      </c>
      <c r="H193" s="1" t="s">
        <v>329</v>
      </c>
      <c r="I193" s="1" t="s">
        <v>414</v>
      </c>
      <c r="J193" s="1" t="s">
        <v>329</v>
      </c>
      <c r="K193" s="1" t="s">
        <v>329</v>
      </c>
      <c r="L193" s="1" t="s">
        <v>329</v>
      </c>
      <c r="M193" s="1" t="s">
        <v>386</v>
      </c>
      <c r="N193" s="1" t="s">
        <v>329</v>
      </c>
      <c r="O193" s="1" t="s">
        <v>329</v>
      </c>
      <c r="P193" s="1" t="s">
        <v>329</v>
      </c>
      <c r="Q193" s="1" t="s">
        <v>329</v>
      </c>
      <c r="R193" s="1" t="s">
        <v>329</v>
      </c>
      <c r="S193" s="1" t="s">
        <v>329</v>
      </c>
      <c r="T193" s="1" t="s">
        <v>329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4</v>
      </c>
      <c r="AD193" s="1">
        <v>2</v>
      </c>
      <c r="AE193" s="1">
        <v>2</v>
      </c>
      <c r="AF193" s="1">
        <v>2</v>
      </c>
      <c r="AG193" t="s">
        <v>750</v>
      </c>
      <c r="AH193" s="1">
        <v>2820</v>
      </c>
      <c r="AI193" s="1" t="s">
        <v>1903</v>
      </c>
      <c r="AJ193" s="1">
        <v>0</v>
      </c>
      <c r="AK193" s="1" t="s">
        <v>506</v>
      </c>
      <c r="AL193" s="1" t="s">
        <v>2417</v>
      </c>
      <c r="AM193" s="1">
        <v>0.55000000000000004</v>
      </c>
      <c r="AN193" s="1">
        <v>0.23</v>
      </c>
      <c r="AO193" s="1">
        <v>0.23</v>
      </c>
      <c r="AP193" s="1">
        <v>0.23</v>
      </c>
      <c r="AQ193" s="1">
        <v>3</v>
      </c>
      <c r="AR193" s="1" t="s">
        <v>1587</v>
      </c>
      <c r="AS193" s="1">
        <v>0</v>
      </c>
      <c r="AT193" s="1" t="s">
        <v>1866</v>
      </c>
      <c r="AU193" s="1">
        <v>10</v>
      </c>
      <c r="AV193" s="1">
        <v>18058</v>
      </c>
      <c r="AW193" s="1">
        <v>0</v>
      </c>
    </row>
    <row r="194" spans="1:49" x14ac:dyDescent="0.25">
      <c r="A194" s="1">
        <v>195</v>
      </c>
      <c r="B194" s="1" t="s">
        <v>2418</v>
      </c>
      <c r="C194" s="1" t="s">
        <v>2419</v>
      </c>
      <c r="D194" s="1">
        <v>5</v>
      </c>
      <c r="E194" s="1">
        <v>2</v>
      </c>
      <c r="F194" s="1">
        <v>19</v>
      </c>
      <c r="G194" s="1" t="s">
        <v>403</v>
      </c>
      <c r="H194" s="1" t="s">
        <v>329</v>
      </c>
      <c r="I194" s="1" t="s">
        <v>329</v>
      </c>
      <c r="J194" s="1" t="s">
        <v>329</v>
      </c>
      <c r="K194" s="1" t="s">
        <v>329</v>
      </c>
      <c r="L194" s="1" t="s">
        <v>329</v>
      </c>
      <c r="M194" s="1" t="s">
        <v>329</v>
      </c>
      <c r="N194" s="1" t="s">
        <v>387</v>
      </c>
      <c r="O194" s="1" t="s">
        <v>329</v>
      </c>
      <c r="P194" s="1" t="s">
        <v>329</v>
      </c>
      <c r="Q194" s="1" t="s">
        <v>329</v>
      </c>
      <c r="R194" s="1" t="s">
        <v>329</v>
      </c>
      <c r="S194" s="1" t="s">
        <v>329</v>
      </c>
      <c r="T194" s="1" t="s">
        <v>329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4</v>
      </c>
      <c r="AD194" s="1">
        <v>4</v>
      </c>
      <c r="AE194" s="1">
        <v>0</v>
      </c>
      <c r="AF194" s="1">
        <v>2</v>
      </c>
      <c r="AG194" t="s">
        <v>74</v>
      </c>
      <c r="AH194" s="1">
        <v>3600</v>
      </c>
      <c r="AI194" s="1" t="s">
        <v>2007</v>
      </c>
      <c r="AJ194" s="1">
        <v>0</v>
      </c>
      <c r="AK194" s="1" t="s">
        <v>507</v>
      </c>
      <c r="AL194" s="1" t="s">
        <v>2420</v>
      </c>
      <c r="AM194" s="1">
        <v>0.48</v>
      </c>
      <c r="AN194" s="1">
        <v>0.48</v>
      </c>
      <c r="AO194" s="1">
        <v>0.08</v>
      </c>
      <c r="AP194" s="1">
        <v>0.25</v>
      </c>
      <c r="AQ194" s="1">
        <v>3</v>
      </c>
      <c r="AR194" s="1" t="s">
        <v>1501</v>
      </c>
      <c r="AS194" s="1">
        <v>0</v>
      </c>
      <c r="AT194" s="1" t="s">
        <v>1866</v>
      </c>
      <c r="AU194" s="1">
        <v>10</v>
      </c>
      <c r="AV194" s="1">
        <v>19020</v>
      </c>
      <c r="AW194" s="1">
        <v>0</v>
      </c>
    </row>
    <row r="195" spans="1:49" x14ac:dyDescent="0.25">
      <c r="A195" s="1">
        <v>196</v>
      </c>
      <c r="B195" s="1" t="s">
        <v>2421</v>
      </c>
      <c r="C195" s="1" t="s">
        <v>2422</v>
      </c>
      <c r="D195" s="1">
        <v>5</v>
      </c>
      <c r="E195" s="1">
        <v>1</v>
      </c>
      <c r="F195" s="1">
        <v>18</v>
      </c>
      <c r="G195" s="1" t="s">
        <v>332</v>
      </c>
      <c r="H195" s="1" t="s">
        <v>329</v>
      </c>
      <c r="I195" s="1" t="s">
        <v>342</v>
      </c>
      <c r="J195" s="1" t="s">
        <v>329</v>
      </c>
      <c r="K195" s="1" t="s">
        <v>329</v>
      </c>
      <c r="L195" s="1" t="s">
        <v>329</v>
      </c>
      <c r="M195" s="1" t="s">
        <v>329</v>
      </c>
      <c r="N195" s="1" t="s">
        <v>329</v>
      </c>
      <c r="O195" s="1" t="s">
        <v>329</v>
      </c>
      <c r="P195" s="1" t="s">
        <v>329</v>
      </c>
      <c r="Q195" s="1" t="s">
        <v>329</v>
      </c>
      <c r="R195" s="1" t="s">
        <v>329</v>
      </c>
      <c r="S195" s="1" t="s">
        <v>329</v>
      </c>
      <c r="T195" s="1" t="s">
        <v>329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4</v>
      </c>
      <c r="AD195" s="1">
        <v>2</v>
      </c>
      <c r="AE195" s="1">
        <v>2</v>
      </c>
      <c r="AF195" s="1">
        <v>2</v>
      </c>
      <c r="AG195" t="s">
        <v>116</v>
      </c>
      <c r="AH195" s="1">
        <v>2820</v>
      </c>
      <c r="AI195" s="1" t="s">
        <v>1903</v>
      </c>
      <c r="AJ195" s="1">
        <v>0</v>
      </c>
      <c r="AK195" s="1" t="s">
        <v>508</v>
      </c>
      <c r="AL195" s="1" t="s">
        <v>2423</v>
      </c>
      <c r="AM195" s="1">
        <v>0.55000000000000004</v>
      </c>
      <c r="AN195" s="1">
        <v>0.23</v>
      </c>
      <c r="AO195" s="1">
        <v>0.23</v>
      </c>
      <c r="AP195" s="1">
        <v>0.23</v>
      </c>
      <c r="AQ195" s="1">
        <v>3</v>
      </c>
      <c r="AR195" s="1" t="s">
        <v>1593</v>
      </c>
      <c r="AS195" s="1">
        <v>0</v>
      </c>
      <c r="AT195" s="1" t="s">
        <v>1866</v>
      </c>
      <c r="AU195" s="1">
        <v>10</v>
      </c>
      <c r="AV195" s="1">
        <v>18059</v>
      </c>
      <c r="AW195" s="1">
        <v>0</v>
      </c>
    </row>
    <row r="196" spans="1:49" x14ac:dyDescent="0.25">
      <c r="A196" s="1">
        <v>197</v>
      </c>
      <c r="B196" s="1" t="s">
        <v>2424</v>
      </c>
      <c r="C196" s="1" t="s">
        <v>2425</v>
      </c>
      <c r="D196" s="1">
        <v>5</v>
      </c>
      <c r="E196" s="1">
        <v>3</v>
      </c>
      <c r="F196" s="1">
        <v>20</v>
      </c>
      <c r="G196" s="1" t="s">
        <v>435</v>
      </c>
      <c r="H196" s="1" t="s">
        <v>329</v>
      </c>
      <c r="I196" s="1" t="s">
        <v>397</v>
      </c>
      <c r="J196" s="1" t="s">
        <v>329</v>
      </c>
      <c r="K196" s="1" t="s">
        <v>329</v>
      </c>
      <c r="L196" s="1" t="s">
        <v>329</v>
      </c>
      <c r="M196" s="1" t="s">
        <v>329</v>
      </c>
      <c r="N196" s="1" t="s">
        <v>329</v>
      </c>
      <c r="O196" s="1" t="s">
        <v>329</v>
      </c>
      <c r="P196" s="1" t="s">
        <v>329</v>
      </c>
      <c r="Q196" s="1" t="s">
        <v>329</v>
      </c>
      <c r="R196" s="1" t="s">
        <v>329</v>
      </c>
      <c r="S196" s="1" t="s">
        <v>329</v>
      </c>
      <c r="T196" s="1" t="s">
        <v>329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4</v>
      </c>
      <c r="AD196" s="1">
        <v>2</v>
      </c>
      <c r="AE196" s="1">
        <v>0</v>
      </c>
      <c r="AF196" s="1">
        <v>4</v>
      </c>
      <c r="AG196" t="s">
        <v>127</v>
      </c>
      <c r="AH196" s="1">
        <v>3120</v>
      </c>
      <c r="AI196" s="1" t="s">
        <v>1903</v>
      </c>
      <c r="AJ196" s="1">
        <v>0</v>
      </c>
      <c r="AK196" s="1" t="s">
        <v>509</v>
      </c>
      <c r="AL196" s="1" t="s">
        <v>2426</v>
      </c>
      <c r="AM196" s="1">
        <v>0.3</v>
      </c>
      <c r="AN196" s="1">
        <v>0.25</v>
      </c>
      <c r="AO196" s="1">
        <v>0.12</v>
      </c>
      <c r="AP196" s="1">
        <v>0.38</v>
      </c>
      <c r="AQ196" s="1">
        <v>3</v>
      </c>
      <c r="AR196" s="1" t="s">
        <v>1507</v>
      </c>
      <c r="AS196" s="1">
        <v>0</v>
      </c>
      <c r="AT196" s="1" t="s">
        <v>1866</v>
      </c>
      <c r="AU196" s="1">
        <v>10</v>
      </c>
      <c r="AV196" s="1">
        <v>20029</v>
      </c>
      <c r="AW196" s="1">
        <v>0</v>
      </c>
    </row>
    <row r="197" spans="1:49" x14ac:dyDescent="0.25">
      <c r="A197" s="1">
        <v>198</v>
      </c>
      <c r="B197" s="1" t="s">
        <v>2427</v>
      </c>
      <c r="C197" s="1" t="s">
        <v>2428</v>
      </c>
      <c r="D197" s="1">
        <v>5</v>
      </c>
      <c r="E197" s="1">
        <v>1</v>
      </c>
      <c r="F197" s="1">
        <v>18</v>
      </c>
      <c r="G197" s="1" t="s">
        <v>329</v>
      </c>
      <c r="H197" s="1" t="s">
        <v>329</v>
      </c>
      <c r="I197" s="1" t="s">
        <v>342</v>
      </c>
      <c r="J197" s="1" t="s">
        <v>329</v>
      </c>
      <c r="K197" s="1" t="s">
        <v>329</v>
      </c>
      <c r="L197" s="1" t="s">
        <v>329</v>
      </c>
      <c r="M197" s="1" t="s">
        <v>489</v>
      </c>
      <c r="N197" s="1" t="s">
        <v>329</v>
      </c>
      <c r="O197" s="1" t="s">
        <v>329</v>
      </c>
      <c r="P197" s="1" t="s">
        <v>329</v>
      </c>
      <c r="Q197" s="1" t="s">
        <v>329</v>
      </c>
      <c r="R197" s="1" t="s">
        <v>329</v>
      </c>
      <c r="S197" s="1" t="s">
        <v>329</v>
      </c>
      <c r="T197" s="1" t="s">
        <v>329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4</v>
      </c>
      <c r="AD197" s="1">
        <v>2</v>
      </c>
      <c r="AE197" s="1">
        <v>2</v>
      </c>
      <c r="AF197" s="1">
        <v>2</v>
      </c>
      <c r="AG197" t="s">
        <v>131</v>
      </c>
      <c r="AH197" s="1">
        <v>2820</v>
      </c>
      <c r="AI197" s="1" t="s">
        <v>1903</v>
      </c>
      <c r="AJ197" s="1">
        <v>0</v>
      </c>
      <c r="AK197" s="1" t="s">
        <v>510</v>
      </c>
      <c r="AL197" s="1" t="s">
        <v>2429</v>
      </c>
      <c r="AM197" s="1">
        <v>0.55000000000000004</v>
      </c>
      <c r="AN197" s="1">
        <v>0.23</v>
      </c>
      <c r="AO197" s="1">
        <v>0.23</v>
      </c>
      <c r="AP197" s="1">
        <v>0.23</v>
      </c>
      <c r="AQ197" s="1">
        <v>3</v>
      </c>
      <c r="AR197" s="1" t="s">
        <v>1594</v>
      </c>
      <c r="AS197" s="1">
        <v>0</v>
      </c>
      <c r="AT197" s="1" t="s">
        <v>1866</v>
      </c>
      <c r="AU197" s="1">
        <v>10</v>
      </c>
      <c r="AV197" s="1">
        <v>18060</v>
      </c>
      <c r="AW197" s="1">
        <v>0</v>
      </c>
    </row>
    <row r="198" spans="1:49" x14ac:dyDescent="0.25">
      <c r="A198" s="1">
        <v>199</v>
      </c>
      <c r="B198" s="1" t="s">
        <v>2430</v>
      </c>
      <c r="C198" s="1" t="s">
        <v>2431</v>
      </c>
      <c r="D198" s="1">
        <v>5</v>
      </c>
      <c r="E198" s="1">
        <v>1</v>
      </c>
      <c r="F198" s="1">
        <v>18</v>
      </c>
      <c r="G198" s="1" t="s">
        <v>329</v>
      </c>
      <c r="H198" s="1" t="s">
        <v>329</v>
      </c>
      <c r="I198" s="1" t="s">
        <v>391</v>
      </c>
      <c r="J198" s="1" t="s">
        <v>329</v>
      </c>
      <c r="K198" s="1" t="s">
        <v>329</v>
      </c>
      <c r="L198" s="1" t="s">
        <v>329</v>
      </c>
      <c r="M198" s="1" t="s">
        <v>393</v>
      </c>
      <c r="N198" s="1" t="s">
        <v>329</v>
      </c>
      <c r="O198" s="1" t="s">
        <v>329</v>
      </c>
      <c r="P198" s="1" t="s">
        <v>329</v>
      </c>
      <c r="Q198" s="1" t="s">
        <v>329</v>
      </c>
      <c r="R198" s="1" t="s">
        <v>329</v>
      </c>
      <c r="S198" s="1" t="s">
        <v>329</v>
      </c>
      <c r="T198" s="1" t="s">
        <v>329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4</v>
      </c>
      <c r="AD198" s="1">
        <v>2</v>
      </c>
      <c r="AE198" s="1">
        <v>2</v>
      </c>
      <c r="AF198" s="1">
        <v>2</v>
      </c>
      <c r="AG198" t="s">
        <v>925</v>
      </c>
      <c r="AH198" s="1">
        <v>2820</v>
      </c>
      <c r="AI198" s="1" t="s">
        <v>2432</v>
      </c>
      <c r="AJ198" s="1">
        <v>0</v>
      </c>
      <c r="AK198" s="1" t="s">
        <v>511</v>
      </c>
      <c r="AL198" s="1" t="s">
        <v>2433</v>
      </c>
      <c r="AM198" s="1">
        <v>0.55000000000000004</v>
      </c>
      <c r="AN198" s="1">
        <v>0.23</v>
      </c>
      <c r="AO198" s="1">
        <v>0.23</v>
      </c>
      <c r="AP198" s="1">
        <v>0.23</v>
      </c>
      <c r="AQ198" s="1">
        <v>1</v>
      </c>
      <c r="AR198" s="1" t="s">
        <v>1514</v>
      </c>
      <c r="AS198" s="1">
        <v>0</v>
      </c>
      <c r="AT198" s="1" t="s">
        <v>2434</v>
      </c>
      <c r="AU198" s="1">
        <v>10</v>
      </c>
      <c r="AV198" s="1">
        <v>18061</v>
      </c>
      <c r="AW198" s="1">
        <v>1</v>
      </c>
    </row>
    <row r="199" spans="1:49" x14ac:dyDescent="0.25">
      <c r="A199" s="1">
        <v>200</v>
      </c>
      <c r="B199" s="1" t="s">
        <v>2435</v>
      </c>
      <c r="C199" s="1" t="s">
        <v>2436</v>
      </c>
      <c r="D199" s="1">
        <v>5</v>
      </c>
      <c r="E199" s="1">
        <v>2</v>
      </c>
      <c r="F199" s="1">
        <v>19</v>
      </c>
      <c r="G199" s="1" t="s">
        <v>392</v>
      </c>
      <c r="H199" s="1" t="s">
        <v>329</v>
      </c>
      <c r="I199" s="1" t="s">
        <v>329</v>
      </c>
      <c r="J199" s="1" t="s">
        <v>329</v>
      </c>
      <c r="K199" s="1" t="s">
        <v>329</v>
      </c>
      <c r="L199" s="1" t="s">
        <v>329</v>
      </c>
      <c r="M199" s="1" t="s">
        <v>329</v>
      </c>
      <c r="N199" s="1" t="s">
        <v>411</v>
      </c>
      <c r="O199" s="1" t="s">
        <v>329</v>
      </c>
      <c r="P199" s="1" t="s">
        <v>329</v>
      </c>
      <c r="Q199" s="1" t="s">
        <v>329</v>
      </c>
      <c r="R199" s="1" t="s">
        <v>329</v>
      </c>
      <c r="S199" s="1" t="s">
        <v>329</v>
      </c>
      <c r="T199" s="1" t="s">
        <v>329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4</v>
      </c>
      <c r="AD199" s="1">
        <v>4</v>
      </c>
      <c r="AE199" s="1">
        <v>0</v>
      </c>
      <c r="AF199" s="1">
        <v>2</v>
      </c>
      <c r="AG199" t="s">
        <v>923</v>
      </c>
      <c r="AH199" s="1">
        <v>3180</v>
      </c>
      <c r="AI199" s="1" t="s">
        <v>2437</v>
      </c>
      <c r="AJ199" s="1">
        <v>0</v>
      </c>
      <c r="AK199" s="1" t="s">
        <v>511</v>
      </c>
      <c r="AL199" s="1" t="s">
        <v>2438</v>
      </c>
      <c r="AM199" s="1">
        <v>0.48</v>
      </c>
      <c r="AN199" s="1">
        <v>0.48</v>
      </c>
      <c r="AO199" s="1">
        <v>0.08</v>
      </c>
      <c r="AP199" s="1">
        <v>0.25</v>
      </c>
      <c r="AQ199" s="1">
        <v>1</v>
      </c>
      <c r="AR199" s="1" t="s">
        <v>1517</v>
      </c>
      <c r="AS199" s="1">
        <v>0</v>
      </c>
      <c r="AT199" s="1" t="s">
        <v>2439</v>
      </c>
      <c r="AU199" s="1">
        <v>10</v>
      </c>
      <c r="AV199" s="1">
        <v>19021</v>
      </c>
      <c r="AW199" s="1">
        <v>1</v>
      </c>
    </row>
    <row r="200" spans="1:49" x14ac:dyDescent="0.25">
      <c r="A200" s="1">
        <v>201</v>
      </c>
      <c r="B200" s="1" t="s">
        <v>2440</v>
      </c>
      <c r="C200" s="1" t="s">
        <v>2441</v>
      </c>
      <c r="D200" s="1">
        <v>5</v>
      </c>
      <c r="E200" s="1">
        <v>3</v>
      </c>
      <c r="F200" s="1">
        <v>20</v>
      </c>
      <c r="G200" s="1" t="s">
        <v>435</v>
      </c>
      <c r="H200" s="1" t="s">
        <v>329</v>
      </c>
      <c r="I200" s="1" t="s">
        <v>397</v>
      </c>
      <c r="J200" s="1" t="s">
        <v>329</v>
      </c>
      <c r="K200" s="1" t="s">
        <v>329</v>
      </c>
      <c r="L200" s="1" t="s">
        <v>329</v>
      </c>
      <c r="M200" s="1" t="s">
        <v>329</v>
      </c>
      <c r="N200" s="1" t="s">
        <v>329</v>
      </c>
      <c r="O200" s="1" t="s">
        <v>329</v>
      </c>
      <c r="P200" s="1" t="s">
        <v>329</v>
      </c>
      <c r="Q200" s="1" t="s">
        <v>329</v>
      </c>
      <c r="R200" s="1" t="s">
        <v>329</v>
      </c>
      <c r="S200" s="1" t="s">
        <v>329</v>
      </c>
      <c r="T200" s="1" t="s">
        <v>329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4</v>
      </c>
      <c r="AD200" s="1">
        <v>2</v>
      </c>
      <c r="AE200" s="1">
        <v>0</v>
      </c>
      <c r="AF200" s="1">
        <v>4</v>
      </c>
      <c r="AG200" t="s">
        <v>924</v>
      </c>
      <c r="AH200" s="1">
        <v>3120</v>
      </c>
      <c r="AI200" s="1" t="s">
        <v>2437</v>
      </c>
      <c r="AJ200" s="1">
        <v>0</v>
      </c>
      <c r="AK200" s="1" t="s">
        <v>511</v>
      </c>
      <c r="AL200" s="1" t="s">
        <v>2442</v>
      </c>
      <c r="AM200" s="1">
        <v>0.3</v>
      </c>
      <c r="AN200" s="1">
        <v>0.23</v>
      </c>
      <c r="AO200" s="1">
        <v>0.15</v>
      </c>
      <c r="AP200" s="1">
        <v>0.38</v>
      </c>
      <c r="AQ200" s="1">
        <v>1</v>
      </c>
      <c r="AR200" s="1" t="s">
        <v>1504</v>
      </c>
      <c r="AS200" s="1">
        <v>0</v>
      </c>
      <c r="AT200" s="1" t="s">
        <v>2443</v>
      </c>
      <c r="AU200" s="1">
        <v>10</v>
      </c>
      <c r="AV200" s="1">
        <v>20030</v>
      </c>
      <c r="AW200" s="1">
        <v>1</v>
      </c>
    </row>
    <row r="201" spans="1:49" x14ac:dyDescent="0.25">
      <c r="A201" s="1">
        <v>202</v>
      </c>
      <c r="B201" s="1" t="s">
        <v>2444</v>
      </c>
      <c r="C201" s="1" t="s">
        <v>2445</v>
      </c>
      <c r="D201" s="1">
        <v>5</v>
      </c>
      <c r="E201" s="1">
        <v>1</v>
      </c>
      <c r="F201" s="1">
        <v>18</v>
      </c>
      <c r="G201" s="1" t="s">
        <v>329</v>
      </c>
      <c r="H201" s="1" t="s">
        <v>329</v>
      </c>
      <c r="I201" s="1" t="s">
        <v>329</v>
      </c>
      <c r="J201" s="1" t="s">
        <v>329</v>
      </c>
      <c r="K201" s="1" t="s">
        <v>329</v>
      </c>
      <c r="L201" s="1" t="s">
        <v>329</v>
      </c>
      <c r="M201" s="1" t="s">
        <v>420</v>
      </c>
      <c r="N201" s="1" t="s">
        <v>329</v>
      </c>
      <c r="O201" s="1" t="s">
        <v>329</v>
      </c>
      <c r="P201" s="1" t="s">
        <v>329</v>
      </c>
      <c r="Q201" s="1" t="s">
        <v>329</v>
      </c>
      <c r="R201" s="1" t="s">
        <v>329</v>
      </c>
      <c r="S201" s="1" t="s">
        <v>329</v>
      </c>
      <c r="T201" s="1" t="s">
        <v>329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4</v>
      </c>
      <c r="AD201" s="1">
        <v>0</v>
      </c>
      <c r="AE201" s="1">
        <v>3</v>
      </c>
      <c r="AF201" s="1">
        <v>2</v>
      </c>
      <c r="AG201" t="s">
        <v>926</v>
      </c>
      <c r="AH201" s="1">
        <v>3600</v>
      </c>
      <c r="AI201" s="1" t="s">
        <v>2446</v>
      </c>
      <c r="AJ201" s="1">
        <v>0</v>
      </c>
      <c r="AK201" s="1" t="s">
        <v>512</v>
      </c>
      <c r="AL201" s="1" t="s">
        <v>2447</v>
      </c>
      <c r="AM201" s="1">
        <v>0.45</v>
      </c>
      <c r="AN201" s="1">
        <v>0.15</v>
      </c>
      <c r="AO201" s="1">
        <v>0.3</v>
      </c>
      <c r="AP201" s="1">
        <v>0.15</v>
      </c>
      <c r="AQ201" s="1">
        <v>1</v>
      </c>
      <c r="AR201" s="1" t="s">
        <v>1495</v>
      </c>
      <c r="AS201" s="1">
        <v>0</v>
      </c>
      <c r="AT201" s="1" t="s">
        <v>2448</v>
      </c>
      <c r="AU201" s="1">
        <v>10</v>
      </c>
      <c r="AV201" s="1">
        <v>18062</v>
      </c>
      <c r="AW201" s="1">
        <v>2</v>
      </c>
    </row>
    <row r="202" spans="1:49" x14ac:dyDescent="0.25">
      <c r="A202" s="1">
        <v>203</v>
      </c>
      <c r="B202" s="1" t="s">
        <v>2449</v>
      </c>
      <c r="C202" s="1" t="s">
        <v>2450</v>
      </c>
      <c r="D202" s="1">
        <v>5</v>
      </c>
      <c r="E202" s="1">
        <v>2</v>
      </c>
      <c r="F202" s="1">
        <v>19</v>
      </c>
      <c r="G202" s="1" t="s">
        <v>426</v>
      </c>
      <c r="H202" s="1" t="s">
        <v>329</v>
      </c>
      <c r="I202" s="1" t="s">
        <v>329</v>
      </c>
      <c r="J202" s="1" t="s">
        <v>329</v>
      </c>
      <c r="K202" s="1" t="s">
        <v>329</v>
      </c>
      <c r="L202" s="1" t="s">
        <v>329</v>
      </c>
      <c r="M202" s="1" t="s">
        <v>329</v>
      </c>
      <c r="N202" s="1" t="s">
        <v>329</v>
      </c>
      <c r="O202" s="1" t="s">
        <v>329</v>
      </c>
      <c r="P202" s="1" t="s">
        <v>329</v>
      </c>
      <c r="Q202" s="1" t="s">
        <v>329</v>
      </c>
      <c r="R202" s="1" t="s">
        <v>329</v>
      </c>
      <c r="S202" s="1" t="s">
        <v>329</v>
      </c>
      <c r="T202" s="1" t="s">
        <v>329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5</v>
      </c>
      <c r="AE202" s="1">
        <v>3</v>
      </c>
      <c r="AF202" s="1">
        <v>2</v>
      </c>
      <c r="AG202" t="s">
        <v>927</v>
      </c>
      <c r="AH202" s="1">
        <v>3480</v>
      </c>
      <c r="AI202" s="1" t="s">
        <v>2437</v>
      </c>
      <c r="AJ202" s="1">
        <v>0</v>
      </c>
      <c r="AK202" s="1" t="s">
        <v>512</v>
      </c>
      <c r="AL202" s="1" t="s">
        <v>2451</v>
      </c>
      <c r="AM202" s="1">
        <v>0.15</v>
      </c>
      <c r="AN202" s="1">
        <v>0.6</v>
      </c>
      <c r="AO202" s="1">
        <v>0.38</v>
      </c>
      <c r="AP202" s="1">
        <v>0.23</v>
      </c>
      <c r="AQ202" s="1">
        <v>1</v>
      </c>
      <c r="AR202" s="1" t="s">
        <v>1503</v>
      </c>
      <c r="AS202" s="1">
        <v>0</v>
      </c>
      <c r="AT202" s="1" t="s">
        <v>2452</v>
      </c>
      <c r="AU202" s="1">
        <v>10</v>
      </c>
      <c r="AV202" s="1">
        <v>19022</v>
      </c>
      <c r="AW202" s="1">
        <v>2</v>
      </c>
    </row>
    <row r="203" spans="1:49" x14ac:dyDescent="0.25">
      <c r="A203" s="1">
        <v>204</v>
      </c>
      <c r="B203" s="1" t="s">
        <v>2453</v>
      </c>
      <c r="C203" s="1" t="s">
        <v>2454</v>
      </c>
      <c r="D203" s="1">
        <v>5</v>
      </c>
      <c r="E203" s="1">
        <v>3</v>
      </c>
      <c r="F203" s="1">
        <v>20</v>
      </c>
      <c r="G203" s="1" t="s">
        <v>329</v>
      </c>
      <c r="H203" s="1" t="s">
        <v>329</v>
      </c>
      <c r="I203" s="1" t="s">
        <v>426</v>
      </c>
      <c r="J203" s="1" t="s">
        <v>329</v>
      </c>
      <c r="K203" s="1" t="s">
        <v>329</v>
      </c>
      <c r="L203" s="1" t="s">
        <v>329</v>
      </c>
      <c r="M203" s="1" t="s">
        <v>329</v>
      </c>
      <c r="N203" s="1" t="s">
        <v>329</v>
      </c>
      <c r="O203" s="1" t="s">
        <v>329</v>
      </c>
      <c r="P203" s="1" t="s">
        <v>329</v>
      </c>
      <c r="Q203" s="1" t="s">
        <v>329</v>
      </c>
      <c r="R203" s="1" t="s">
        <v>329</v>
      </c>
      <c r="S203" s="1" t="s">
        <v>329</v>
      </c>
      <c r="T203" s="1" t="s">
        <v>329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4</v>
      </c>
      <c r="AD203" s="1">
        <v>2</v>
      </c>
      <c r="AE203" s="1">
        <v>0</v>
      </c>
      <c r="AF203" s="1">
        <v>4</v>
      </c>
      <c r="AG203" t="s">
        <v>928</v>
      </c>
      <c r="AH203" s="1">
        <v>3120</v>
      </c>
      <c r="AI203" s="1" t="s">
        <v>2437</v>
      </c>
      <c r="AJ203" s="1">
        <v>0</v>
      </c>
      <c r="AK203" s="1" t="s">
        <v>512</v>
      </c>
      <c r="AL203" s="1" t="s">
        <v>2455</v>
      </c>
      <c r="AM203" s="1">
        <v>0.3</v>
      </c>
      <c r="AN203" s="1">
        <v>0.25</v>
      </c>
      <c r="AO203" s="1">
        <v>0.12</v>
      </c>
      <c r="AP203" s="1">
        <v>0.38</v>
      </c>
      <c r="AQ203" s="1">
        <v>1</v>
      </c>
      <c r="AR203" s="1" t="s">
        <v>1508</v>
      </c>
      <c r="AS203" s="1">
        <v>0</v>
      </c>
      <c r="AT203" s="1" t="s">
        <v>2456</v>
      </c>
      <c r="AU203" s="1">
        <v>10</v>
      </c>
      <c r="AV203" s="1">
        <v>20031</v>
      </c>
      <c r="AW203" s="1">
        <v>2</v>
      </c>
    </row>
    <row r="204" spans="1:49" x14ac:dyDescent="0.25">
      <c r="A204" s="1">
        <v>205</v>
      </c>
      <c r="B204" s="1" t="s">
        <v>2457</v>
      </c>
      <c r="C204" s="1" t="s">
        <v>2458</v>
      </c>
      <c r="D204" s="1">
        <v>5</v>
      </c>
      <c r="E204" s="1">
        <v>3</v>
      </c>
      <c r="F204" s="1">
        <v>20</v>
      </c>
      <c r="G204" s="1" t="s">
        <v>392</v>
      </c>
      <c r="H204" s="1" t="s">
        <v>336</v>
      </c>
      <c r="I204" s="1" t="s">
        <v>370</v>
      </c>
      <c r="J204" s="1" t="s">
        <v>329</v>
      </c>
      <c r="K204" s="1" t="s">
        <v>329</v>
      </c>
      <c r="L204" s="1" t="s">
        <v>329</v>
      </c>
      <c r="M204" s="1" t="s">
        <v>329</v>
      </c>
      <c r="N204" s="1" t="s">
        <v>329</v>
      </c>
      <c r="O204" s="1" t="s">
        <v>329</v>
      </c>
      <c r="P204" s="1" t="s">
        <v>329</v>
      </c>
      <c r="Q204" s="1" t="s">
        <v>329</v>
      </c>
      <c r="R204" s="1" t="s">
        <v>329</v>
      </c>
      <c r="S204" s="1" t="s">
        <v>329</v>
      </c>
      <c r="T204" s="1" t="s">
        <v>329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4</v>
      </c>
      <c r="AD204" s="1">
        <v>2</v>
      </c>
      <c r="AE204" s="1">
        <v>0</v>
      </c>
      <c r="AF204" s="1">
        <v>4</v>
      </c>
      <c r="AG204" t="s">
        <v>834</v>
      </c>
      <c r="AH204" s="1">
        <v>3120</v>
      </c>
      <c r="AI204" s="1" t="s">
        <v>2459</v>
      </c>
      <c r="AJ204" s="1">
        <v>0</v>
      </c>
      <c r="AK204" s="1" t="s">
        <v>513</v>
      </c>
      <c r="AL204" s="1" t="s">
        <v>2460</v>
      </c>
      <c r="AM204" s="1">
        <v>0.3</v>
      </c>
      <c r="AN204" s="1">
        <v>0.25</v>
      </c>
      <c r="AO204" s="1">
        <v>0.12</v>
      </c>
      <c r="AP204" s="1">
        <v>0.38</v>
      </c>
      <c r="AQ204" s="1">
        <v>3</v>
      </c>
      <c r="AR204" s="1" t="s">
        <v>1595</v>
      </c>
      <c r="AS204" s="1">
        <v>0</v>
      </c>
      <c r="AT204" s="1" t="s">
        <v>1866</v>
      </c>
      <c r="AU204" s="1">
        <v>10</v>
      </c>
      <c r="AV204" s="1">
        <v>20032</v>
      </c>
      <c r="AW204" s="1">
        <v>0</v>
      </c>
    </row>
    <row r="205" spans="1:49" x14ac:dyDescent="0.25">
      <c r="A205" s="1">
        <v>206</v>
      </c>
      <c r="B205" s="1" t="s">
        <v>2461</v>
      </c>
      <c r="C205" s="1" t="s">
        <v>2462</v>
      </c>
      <c r="D205" s="1">
        <v>5</v>
      </c>
      <c r="E205" s="1">
        <v>2</v>
      </c>
      <c r="F205" s="1">
        <v>19</v>
      </c>
      <c r="G205" s="1" t="s">
        <v>357</v>
      </c>
      <c r="H205" s="1" t="s">
        <v>338</v>
      </c>
      <c r="I205" s="1" t="s">
        <v>329</v>
      </c>
      <c r="J205" s="1" t="s">
        <v>329</v>
      </c>
      <c r="K205" s="1" t="s">
        <v>329</v>
      </c>
      <c r="L205" s="1" t="s">
        <v>329</v>
      </c>
      <c r="M205" s="1" t="s">
        <v>329</v>
      </c>
      <c r="N205" s="1" t="s">
        <v>329</v>
      </c>
      <c r="O205" s="1" t="s">
        <v>329</v>
      </c>
      <c r="P205" s="1" t="s">
        <v>329</v>
      </c>
      <c r="Q205" s="1" t="s">
        <v>329</v>
      </c>
      <c r="R205" s="1" t="s">
        <v>329</v>
      </c>
      <c r="S205" s="1" t="s">
        <v>329</v>
      </c>
      <c r="T205" s="1" t="s">
        <v>329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1</v>
      </c>
      <c r="AD205" s="1">
        <v>4</v>
      </c>
      <c r="AE205" s="1">
        <v>1</v>
      </c>
      <c r="AF205" s="1">
        <v>3</v>
      </c>
      <c r="AG205" t="s">
        <v>725</v>
      </c>
      <c r="AH205" s="1">
        <v>3600</v>
      </c>
      <c r="AI205" s="1" t="s">
        <v>1903</v>
      </c>
      <c r="AJ205" s="1">
        <v>0</v>
      </c>
      <c r="AK205" s="1" t="s">
        <v>514</v>
      </c>
      <c r="AL205" s="1" t="s">
        <v>2463</v>
      </c>
      <c r="AM205" s="1">
        <v>0.08</v>
      </c>
      <c r="AN205" s="1">
        <v>0.53</v>
      </c>
      <c r="AO205" s="1">
        <v>0.08</v>
      </c>
      <c r="AP205" s="1">
        <v>0.45</v>
      </c>
      <c r="AQ205" s="1">
        <v>3</v>
      </c>
      <c r="AR205" s="1" t="s">
        <v>1595</v>
      </c>
      <c r="AS205" s="1">
        <v>0</v>
      </c>
      <c r="AT205" s="1" t="s">
        <v>1866</v>
      </c>
      <c r="AU205" s="1">
        <v>10</v>
      </c>
      <c r="AV205" s="1">
        <v>19023</v>
      </c>
      <c r="AW205" s="1">
        <v>0</v>
      </c>
    </row>
    <row r="206" spans="1:49" x14ac:dyDescent="0.25">
      <c r="A206" s="1">
        <v>207</v>
      </c>
      <c r="B206" s="1" t="s">
        <v>2464</v>
      </c>
      <c r="C206" s="1" t="s">
        <v>2465</v>
      </c>
      <c r="D206" s="1">
        <v>5</v>
      </c>
      <c r="E206" s="1">
        <v>1</v>
      </c>
      <c r="F206" s="1">
        <v>18</v>
      </c>
      <c r="G206" s="1" t="s">
        <v>332</v>
      </c>
      <c r="H206" s="1" t="s">
        <v>329</v>
      </c>
      <c r="I206" s="1" t="s">
        <v>342</v>
      </c>
      <c r="J206" s="1" t="s">
        <v>329</v>
      </c>
      <c r="K206" s="1" t="s">
        <v>329</v>
      </c>
      <c r="L206" s="1" t="s">
        <v>329</v>
      </c>
      <c r="M206" s="1" t="s">
        <v>329</v>
      </c>
      <c r="N206" s="1" t="s">
        <v>329</v>
      </c>
      <c r="O206" s="1" t="s">
        <v>329</v>
      </c>
      <c r="P206" s="1" t="s">
        <v>329</v>
      </c>
      <c r="Q206" s="1" t="s">
        <v>329</v>
      </c>
      <c r="R206" s="1" t="s">
        <v>329</v>
      </c>
      <c r="S206" s="1" t="s">
        <v>329</v>
      </c>
      <c r="T206" s="1" t="s">
        <v>329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4</v>
      </c>
      <c r="AD206" s="1">
        <v>2</v>
      </c>
      <c r="AE206" s="1">
        <v>2</v>
      </c>
      <c r="AF206" s="1">
        <v>2</v>
      </c>
      <c r="AG206" t="s">
        <v>1713</v>
      </c>
      <c r="AH206" s="1">
        <v>2820</v>
      </c>
      <c r="AI206" s="1" t="s">
        <v>2466</v>
      </c>
      <c r="AJ206" s="1">
        <v>0</v>
      </c>
      <c r="AK206" s="1" t="s">
        <v>515</v>
      </c>
      <c r="AL206" s="1" t="s">
        <v>2467</v>
      </c>
      <c r="AM206" s="1">
        <v>0.55000000000000004</v>
      </c>
      <c r="AN206" s="1">
        <v>0.23</v>
      </c>
      <c r="AO206" s="1">
        <v>0.23</v>
      </c>
      <c r="AP206" s="1">
        <v>0.23</v>
      </c>
      <c r="AQ206" s="1">
        <v>3</v>
      </c>
      <c r="AR206" s="1" t="s">
        <v>1593</v>
      </c>
      <c r="AS206" s="1">
        <v>0</v>
      </c>
      <c r="AT206" s="1" t="s">
        <v>2468</v>
      </c>
      <c r="AU206" s="1">
        <v>10</v>
      </c>
      <c r="AV206" s="1">
        <v>18063</v>
      </c>
      <c r="AW206" s="1">
        <v>0</v>
      </c>
    </row>
    <row r="207" spans="1:49" x14ac:dyDescent="0.25">
      <c r="A207" s="1">
        <v>208</v>
      </c>
      <c r="B207" s="1" t="s">
        <v>2469</v>
      </c>
      <c r="C207" s="1" t="s">
        <v>2470</v>
      </c>
      <c r="D207" s="1">
        <v>5</v>
      </c>
      <c r="E207" s="1">
        <v>1</v>
      </c>
      <c r="F207" s="1">
        <v>18</v>
      </c>
      <c r="G207" s="1" t="s">
        <v>329</v>
      </c>
      <c r="H207" s="1" t="s">
        <v>329</v>
      </c>
      <c r="I207" s="1" t="s">
        <v>329</v>
      </c>
      <c r="J207" s="1" t="s">
        <v>329</v>
      </c>
      <c r="K207" s="1" t="s">
        <v>329</v>
      </c>
      <c r="L207" s="1" t="s">
        <v>336</v>
      </c>
      <c r="M207" s="1" t="s">
        <v>328</v>
      </c>
      <c r="N207" s="1" t="s">
        <v>329</v>
      </c>
      <c r="O207" s="1" t="s">
        <v>329</v>
      </c>
      <c r="P207" s="1" t="s">
        <v>329</v>
      </c>
      <c r="Q207" s="1" t="s">
        <v>329</v>
      </c>
      <c r="R207" s="1" t="s">
        <v>329</v>
      </c>
      <c r="S207" s="1" t="s">
        <v>329</v>
      </c>
      <c r="T207" s="1" t="s">
        <v>329</v>
      </c>
      <c r="U207" s="1">
        <v>0</v>
      </c>
      <c r="V207" s="1">
        <v>0</v>
      </c>
      <c r="W207" s="1">
        <v>0</v>
      </c>
      <c r="X207" s="1">
        <v>0</v>
      </c>
      <c r="Y207" s="1">
        <v>0</v>
      </c>
      <c r="Z207" s="1">
        <v>0</v>
      </c>
      <c r="AA207" s="1">
        <v>0</v>
      </c>
      <c r="AB207" s="1">
        <v>0</v>
      </c>
      <c r="AC207" s="1">
        <v>4</v>
      </c>
      <c r="AD207" s="1">
        <v>0</v>
      </c>
      <c r="AE207" s="1">
        <v>3</v>
      </c>
      <c r="AF207" s="1">
        <v>2</v>
      </c>
      <c r="AG207" t="s">
        <v>1659</v>
      </c>
      <c r="AH207" s="1">
        <v>2700</v>
      </c>
      <c r="AI207" s="1" t="s">
        <v>1903</v>
      </c>
      <c r="AJ207" s="1">
        <v>0</v>
      </c>
      <c r="AK207" s="1" t="s">
        <v>516</v>
      </c>
      <c r="AL207" s="1" t="s">
        <v>2471</v>
      </c>
      <c r="AM207" s="1">
        <v>0.45</v>
      </c>
      <c r="AN207" s="1">
        <v>0.15</v>
      </c>
      <c r="AO207" s="1">
        <v>0.3</v>
      </c>
      <c r="AP207" s="1">
        <v>0.15</v>
      </c>
      <c r="AQ207" s="1">
        <v>3</v>
      </c>
      <c r="AR207" s="1" t="s">
        <v>1596</v>
      </c>
      <c r="AS207" s="1">
        <v>0</v>
      </c>
      <c r="AT207" s="1" t="s">
        <v>1866</v>
      </c>
      <c r="AU207" s="1">
        <v>10</v>
      </c>
      <c r="AV207" s="1">
        <v>18064</v>
      </c>
      <c r="AW207" s="1">
        <v>0</v>
      </c>
    </row>
    <row r="208" spans="1:49" x14ac:dyDescent="0.25">
      <c r="A208" s="1">
        <v>209</v>
      </c>
      <c r="B208" s="1" t="s">
        <v>2472</v>
      </c>
      <c r="C208" s="1" t="s">
        <v>2473</v>
      </c>
      <c r="D208" s="1">
        <v>5</v>
      </c>
      <c r="E208" s="1">
        <v>1</v>
      </c>
      <c r="F208" s="1">
        <v>18</v>
      </c>
      <c r="G208" s="1" t="s">
        <v>355</v>
      </c>
      <c r="H208" s="1" t="s">
        <v>329</v>
      </c>
      <c r="I208" s="1" t="s">
        <v>329</v>
      </c>
      <c r="J208" s="1" t="s">
        <v>329</v>
      </c>
      <c r="K208" s="1" t="s">
        <v>329</v>
      </c>
      <c r="L208" s="1" t="s">
        <v>329</v>
      </c>
      <c r="M208" s="1" t="s">
        <v>328</v>
      </c>
      <c r="N208" s="1" t="s">
        <v>329</v>
      </c>
      <c r="O208" s="1" t="s">
        <v>329</v>
      </c>
      <c r="P208" s="1" t="s">
        <v>329</v>
      </c>
      <c r="Q208" s="1" t="s">
        <v>329</v>
      </c>
      <c r="R208" s="1" t="s">
        <v>329</v>
      </c>
      <c r="S208" s="1" t="s">
        <v>329</v>
      </c>
      <c r="T208" s="1" t="s">
        <v>329</v>
      </c>
      <c r="U208" s="1">
        <v>0</v>
      </c>
      <c r="V208" s="1">
        <v>0</v>
      </c>
      <c r="W208" s="1">
        <v>0</v>
      </c>
      <c r="X208" s="1">
        <v>0</v>
      </c>
      <c r="Y208" s="1">
        <v>0</v>
      </c>
      <c r="Z208" s="1">
        <v>0</v>
      </c>
      <c r="AA208" s="1">
        <v>0</v>
      </c>
      <c r="AB208" s="1">
        <v>0</v>
      </c>
      <c r="AC208" s="1">
        <v>4</v>
      </c>
      <c r="AD208" s="1">
        <v>2</v>
      </c>
      <c r="AE208" s="1">
        <v>2</v>
      </c>
      <c r="AF208" s="1">
        <v>2</v>
      </c>
      <c r="AG208" t="s">
        <v>136</v>
      </c>
      <c r="AH208" s="1">
        <v>2820</v>
      </c>
      <c r="AI208" s="1" t="s">
        <v>1903</v>
      </c>
      <c r="AJ208" s="1">
        <v>0</v>
      </c>
      <c r="AK208" s="1" t="s">
        <v>517</v>
      </c>
      <c r="AL208" s="1" t="s">
        <v>2474</v>
      </c>
      <c r="AM208" s="1">
        <v>0.55000000000000004</v>
      </c>
      <c r="AN208" s="1">
        <v>0.23</v>
      </c>
      <c r="AO208" s="1">
        <v>0.23</v>
      </c>
      <c r="AP208" s="1">
        <v>0.23</v>
      </c>
      <c r="AQ208" s="1">
        <v>3</v>
      </c>
      <c r="AR208" s="1" t="s">
        <v>1549</v>
      </c>
      <c r="AS208" s="1">
        <v>0</v>
      </c>
      <c r="AT208" s="1" t="s">
        <v>1866</v>
      </c>
      <c r="AU208" s="1">
        <v>10</v>
      </c>
      <c r="AV208" s="1">
        <v>18065</v>
      </c>
      <c r="AW208" s="1">
        <v>0</v>
      </c>
    </row>
    <row r="209" spans="1:49" x14ac:dyDescent="0.25">
      <c r="A209" s="1">
        <v>210</v>
      </c>
      <c r="B209" s="1" t="s">
        <v>2475</v>
      </c>
      <c r="C209" s="1" t="s">
        <v>2476</v>
      </c>
      <c r="D209" s="1">
        <v>5</v>
      </c>
      <c r="E209" s="1">
        <v>1</v>
      </c>
      <c r="F209" s="1">
        <v>18</v>
      </c>
      <c r="G209" s="1" t="s">
        <v>329</v>
      </c>
      <c r="H209" s="1" t="s">
        <v>329</v>
      </c>
      <c r="I209" s="1" t="s">
        <v>359</v>
      </c>
      <c r="J209" s="1" t="s">
        <v>329</v>
      </c>
      <c r="K209" s="1" t="s">
        <v>329</v>
      </c>
      <c r="L209" s="1" t="s">
        <v>329</v>
      </c>
      <c r="M209" s="1" t="s">
        <v>386</v>
      </c>
      <c r="N209" s="1" t="s">
        <v>329</v>
      </c>
      <c r="O209" s="1" t="s">
        <v>329</v>
      </c>
      <c r="P209" s="1" t="s">
        <v>329</v>
      </c>
      <c r="Q209" s="1" t="s">
        <v>329</v>
      </c>
      <c r="R209" s="1" t="s">
        <v>329</v>
      </c>
      <c r="S209" s="1" t="s">
        <v>329</v>
      </c>
      <c r="T209" s="1" t="s">
        <v>329</v>
      </c>
      <c r="U209" s="1">
        <v>0</v>
      </c>
      <c r="V209" s="1">
        <v>0</v>
      </c>
      <c r="W209" s="1">
        <v>0</v>
      </c>
      <c r="X209" s="1">
        <v>0</v>
      </c>
      <c r="Y209" s="1">
        <v>0</v>
      </c>
      <c r="Z209" s="1">
        <v>0</v>
      </c>
      <c r="AA209" s="1">
        <v>0</v>
      </c>
      <c r="AB209" s="1">
        <v>0</v>
      </c>
      <c r="AC209" s="1">
        <v>4</v>
      </c>
      <c r="AD209" s="1">
        <v>2</v>
      </c>
      <c r="AE209" s="1">
        <v>2</v>
      </c>
      <c r="AF209" s="1">
        <v>2</v>
      </c>
      <c r="AG209" t="s">
        <v>751</v>
      </c>
      <c r="AH209" s="1">
        <v>2820</v>
      </c>
      <c r="AI209" s="1" t="s">
        <v>2122</v>
      </c>
      <c r="AJ209" s="1">
        <v>0</v>
      </c>
      <c r="AK209" s="1" t="s">
        <v>518</v>
      </c>
      <c r="AL209" s="1" t="s">
        <v>2477</v>
      </c>
      <c r="AM209" s="1">
        <v>0.55000000000000004</v>
      </c>
      <c r="AN209" s="1">
        <v>0.23</v>
      </c>
      <c r="AO209" s="1">
        <v>0.23</v>
      </c>
      <c r="AP209" s="1">
        <v>0.23</v>
      </c>
      <c r="AQ209" s="1">
        <v>3</v>
      </c>
      <c r="AR209" s="1" t="s">
        <v>1597</v>
      </c>
      <c r="AS209" s="1">
        <v>0</v>
      </c>
      <c r="AT209" s="1" t="s">
        <v>1866</v>
      </c>
      <c r="AU209" s="1">
        <v>10</v>
      </c>
      <c r="AV209" s="1">
        <v>18066</v>
      </c>
      <c r="AW209" s="1">
        <v>0</v>
      </c>
    </row>
    <row r="210" spans="1:49" x14ac:dyDescent="0.25">
      <c r="A210" s="1">
        <v>211</v>
      </c>
      <c r="B210" s="1" t="s">
        <v>2478</v>
      </c>
      <c r="C210" s="1" t="s">
        <v>2479</v>
      </c>
      <c r="D210" s="1">
        <v>5</v>
      </c>
      <c r="E210" s="1">
        <v>2</v>
      </c>
      <c r="F210" s="1">
        <v>19</v>
      </c>
      <c r="G210" s="1" t="s">
        <v>336</v>
      </c>
      <c r="H210" s="1" t="s">
        <v>329</v>
      </c>
      <c r="I210" s="1" t="s">
        <v>329</v>
      </c>
      <c r="J210" s="1" t="s">
        <v>329</v>
      </c>
      <c r="K210" s="1" t="s">
        <v>329</v>
      </c>
      <c r="L210" s="1" t="s">
        <v>329</v>
      </c>
      <c r="M210" s="1" t="s">
        <v>329</v>
      </c>
      <c r="N210" s="1" t="s">
        <v>353</v>
      </c>
      <c r="O210" s="1" t="s">
        <v>329</v>
      </c>
      <c r="P210" s="1" t="s">
        <v>329</v>
      </c>
      <c r="Q210" s="1" t="s">
        <v>329</v>
      </c>
      <c r="R210" s="1" t="s">
        <v>329</v>
      </c>
      <c r="S210" s="1" t="s">
        <v>329</v>
      </c>
      <c r="T210" s="1" t="s">
        <v>329</v>
      </c>
      <c r="U210" s="1">
        <v>0</v>
      </c>
      <c r="V210" s="1">
        <v>0</v>
      </c>
      <c r="W210" s="1">
        <v>0</v>
      </c>
      <c r="X210" s="1">
        <v>0</v>
      </c>
      <c r="Y210" s="1">
        <v>0</v>
      </c>
      <c r="Z210" s="1">
        <v>0</v>
      </c>
      <c r="AA210" s="1">
        <v>0</v>
      </c>
      <c r="AB210" s="1">
        <v>0</v>
      </c>
      <c r="AC210" s="1">
        <v>0</v>
      </c>
      <c r="AD210" s="1">
        <v>4</v>
      </c>
      <c r="AE210" s="1">
        <v>2</v>
      </c>
      <c r="AF210" s="1">
        <v>3</v>
      </c>
      <c r="AG210" t="s">
        <v>243</v>
      </c>
      <c r="AH210" s="1">
        <v>3300</v>
      </c>
      <c r="AI210" s="1" t="s">
        <v>1903</v>
      </c>
      <c r="AJ210" s="1">
        <v>0</v>
      </c>
      <c r="AK210" s="1" t="s">
        <v>519</v>
      </c>
      <c r="AL210" s="1" t="s">
        <v>2480</v>
      </c>
      <c r="AM210" s="1">
        <v>0.08</v>
      </c>
      <c r="AN210" s="1">
        <v>0.5</v>
      </c>
      <c r="AO210" s="1">
        <v>0.3</v>
      </c>
      <c r="AP210" s="1">
        <v>0.3</v>
      </c>
      <c r="AQ210" s="1">
        <v>3</v>
      </c>
      <c r="AR210" s="1" t="s">
        <v>1580</v>
      </c>
      <c r="AS210" s="1">
        <v>0</v>
      </c>
      <c r="AT210" s="1" t="s">
        <v>2481</v>
      </c>
      <c r="AU210" s="1">
        <v>10</v>
      </c>
      <c r="AV210" s="1">
        <v>19024</v>
      </c>
      <c r="AW210" s="1">
        <v>0</v>
      </c>
    </row>
    <row r="211" spans="1:49" x14ac:dyDescent="0.25">
      <c r="A211" s="1">
        <v>212</v>
      </c>
      <c r="B211" s="1" t="s">
        <v>2482</v>
      </c>
      <c r="C211" s="1" t="s">
        <v>2483</v>
      </c>
      <c r="D211" s="1">
        <v>5</v>
      </c>
      <c r="E211" s="1">
        <v>2</v>
      </c>
      <c r="F211" s="1">
        <v>19</v>
      </c>
      <c r="G211" s="1" t="s">
        <v>336</v>
      </c>
      <c r="H211" s="1" t="s">
        <v>329</v>
      </c>
      <c r="I211" s="1" t="s">
        <v>329</v>
      </c>
      <c r="J211" s="1" t="s">
        <v>329</v>
      </c>
      <c r="K211" s="1" t="s">
        <v>329</v>
      </c>
      <c r="L211" s="1" t="s">
        <v>329</v>
      </c>
      <c r="M211" s="1" t="s">
        <v>329</v>
      </c>
      <c r="N211" s="1" t="s">
        <v>353</v>
      </c>
      <c r="O211" s="1" t="s">
        <v>329</v>
      </c>
      <c r="P211" s="1" t="s">
        <v>329</v>
      </c>
      <c r="Q211" s="1" t="s">
        <v>329</v>
      </c>
      <c r="R211" s="1" t="s">
        <v>329</v>
      </c>
      <c r="S211" s="1" t="s">
        <v>329</v>
      </c>
      <c r="T211" s="1" t="s">
        <v>329</v>
      </c>
      <c r="U211" s="1">
        <v>0</v>
      </c>
      <c r="V211" s="1">
        <v>0</v>
      </c>
      <c r="W211" s="1">
        <v>0</v>
      </c>
      <c r="X211" s="1">
        <v>0</v>
      </c>
      <c r="Y211" s="1">
        <v>0</v>
      </c>
      <c r="Z211" s="1">
        <v>0</v>
      </c>
      <c r="AA211" s="1">
        <v>0</v>
      </c>
      <c r="AB211" s="1">
        <v>0</v>
      </c>
      <c r="AC211" s="1">
        <v>0</v>
      </c>
      <c r="AD211" s="1">
        <v>4</v>
      </c>
      <c r="AE211" s="1">
        <v>2</v>
      </c>
      <c r="AF211" s="1">
        <v>3</v>
      </c>
      <c r="AG211" t="s">
        <v>832</v>
      </c>
      <c r="AH211" s="1">
        <v>3300</v>
      </c>
      <c r="AI211" s="1" t="s">
        <v>1903</v>
      </c>
      <c r="AJ211" s="1">
        <v>0</v>
      </c>
      <c r="AK211" s="1" t="s">
        <v>892</v>
      </c>
      <c r="AL211" s="1" t="s">
        <v>2484</v>
      </c>
      <c r="AM211" s="1">
        <v>0.08</v>
      </c>
      <c r="AN211" s="1">
        <v>0.5</v>
      </c>
      <c r="AO211" s="1">
        <v>0.3</v>
      </c>
      <c r="AP211" s="1">
        <v>0.3</v>
      </c>
      <c r="AQ211" s="1">
        <v>3</v>
      </c>
      <c r="AR211" s="1" t="s">
        <v>1580</v>
      </c>
      <c r="AS211" s="1">
        <v>0</v>
      </c>
      <c r="AT211" s="1" t="s">
        <v>1866</v>
      </c>
      <c r="AU211" s="1">
        <v>10</v>
      </c>
      <c r="AV211" s="1">
        <v>19025</v>
      </c>
      <c r="AW211" s="1">
        <v>0</v>
      </c>
    </row>
    <row r="212" spans="1:49" x14ac:dyDescent="0.25">
      <c r="A212" s="1">
        <v>213</v>
      </c>
      <c r="B212" s="1" t="s">
        <v>2485</v>
      </c>
      <c r="C212" s="1" t="s">
        <v>2486</v>
      </c>
      <c r="D212" s="1">
        <v>5</v>
      </c>
      <c r="E212" s="1">
        <v>3</v>
      </c>
      <c r="F212" s="1">
        <v>20</v>
      </c>
      <c r="G212" s="1" t="s">
        <v>329</v>
      </c>
      <c r="H212" s="1" t="s">
        <v>329</v>
      </c>
      <c r="I212" s="1" t="s">
        <v>386</v>
      </c>
      <c r="J212" s="1" t="s">
        <v>329</v>
      </c>
      <c r="K212" s="1" t="s">
        <v>329</v>
      </c>
      <c r="L212" s="1" t="s">
        <v>329</v>
      </c>
      <c r="M212" s="1" t="s">
        <v>329</v>
      </c>
      <c r="N212" s="1" t="s">
        <v>329</v>
      </c>
      <c r="O212" s="1" t="s">
        <v>336</v>
      </c>
      <c r="P212" s="1" t="s">
        <v>329</v>
      </c>
      <c r="Q212" s="1" t="s">
        <v>329</v>
      </c>
      <c r="R212" s="1" t="s">
        <v>329</v>
      </c>
      <c r="S212" s="1" t="s">
        <v>329</v>
      </c>
      <c r="T212" s="1" t="s">
        <v>329</v>
      </c>
      <c r="U212" s="1">
        <v>0</v>
      </c>
      <c r="V212" s="1">
        <v>0</v>
      </c>
      <c r="W212" s="1">
        <v>0</v>
      </c>
      <c r="X212" s="1">
        <v>0</v>
      </c>
      <c r="Y212" s="1">
        <v>0</v>
      </c>
      <c r="Z212" s="1">
        <v>0</v>
      </c>
      <c r="AA212" s="1">
        <v>0</v>
      </c>
      <c r="AB212" s="1">
        <v>0</v>
      </c>
      <c r="AC212" s="1">
        <v>4</v>
      </c>
      <c r="AD212" s="1">
        <v>2</v>
      </c>
      <c r="AE212" s="1">
        <v>0</v>
      </c>
      <c r="AF212" s="1">
        <v>4</v>
      </c>
      <c r="AG212" t="s">
        <v>837</v>
      </c>
      <c r="AH212" s="1">
        <v>3120</v>
      </c>
      <c r="AI212" s="1" t="s">
        <v>1903</v>
      </c>
      <c r="AJ212" s="1">
        <v>0</v>
      </c>
      <c r="AK212" s="1" t="s">
        <v>893</v>
      </c>
      <c r="AL212" s="1" t="s">
        <v>2487</v>
      </c>
      <c r="AM212" s="1">
        <v>0.3</v>
      </c>
      <c r="AN212" s="1">
        <v>0.25</v>
      </c>
      <c r="AO212" s="1">
        <v>0.12</v>
      </c>
      <c r="AP212" s="1">
        <v>0.38</v>
      </c>
      <c r="AQ212" s="1">
        <v>3</v>
      </c>
      <c r="AR212" s="1" t="s">
        <v>1508</v>
      </c>
      <c r="AS212" s="1">
        <v>902257</v>
      </c>
      <c r="AT212" s="1" t="s">
        <v>2488</v>
      </c>
      <c r="AU212" s="1">
        <v>10</v>
      </c>
      <c r="AV212" s="1">
        <v>20033</v>
      </c>
      <c r="AW212" s="1">
        <v>0</v>
      </c>
    </row>
    <row r="213" spans="1:49" x14ac:dyDescent="0.25">
      <c r="A213" s="1">
        <v>214</v>
      </c>
      <c r="B213" s="1" t="s">
        <v>2489</v>
      </c>
      <c r="C213" s="1" t="s">
        <v>2490</v>
      </c>
      <c r="D213" s="1">
        <v>5</v>
      </c>
      <c r="E213" s="1">
        <v>3</v>
      </c>
      <c r="F213" s="1">
        <v>20</v>
      </c>
      <c r="G213" s="1" t="s">
        <v>336</v>
      </c>
      <c r="H213" s="1" t="s">
        <v>329</v>
      </c>
      <c r="I213" s="1" t="s">
        <v>364</v>
      </c>
      <c r="J213" s="1" t="s">
        <v>329</v>
      </c>
      <c r="K213" s="1" t="s">
        <v>329</v>
      </c>
      <c r="L213" s="1" t="s">
        <v>329</v>
      </c>
      <c r="M213" s="1" t="s">
        <v>329</v>
      </c>
      <c r="N213" s="1" t="s">
        <v>329</v>
      </c>
      <c r="O213" s="1" t="s">
        <v>329</v>
      </c>
      <c r="P213" s="1" t="s">
        <v>329</v>
      </c>
      <c r="Q213" s="1" t="s">
        <v>329</v>
      </c>
      <c r="R213" s="1" t="s">
        <v>329</v>
      </c>
      <c r="S213" s="1" t="s">
        <v>329</v>
      </c>
      <c r="T213" s="1" t="s">
        <v>329</v>
      </c>
      <c r="U213" s="1">
        <v>0</v>
      </c>
      <c r="V213" s="1">
        <v>0</v>
      </c>
      <c r="W213" s="1">
        <v>0</v>
      </c>
      <c r="X213" s="1">
        <v>0</v>
      </c>
      <c r="Y213" s="1">
        <v>0</v>
      </c>
      <c r="Z213" s="1">
        <v>0</v>
      </c>
      <c r="AA213" s="1">
        <v>0</v>
      </c>
      <c r="AB213" s="1">
        <v>0</v>
      </c>
      <c r="AC213" s="1">
        <v>4</v>
      </c>
      <c r="AD213" s="1">
        <v>2</v>
      </c>
      <c r="AE213" s="1">
        <v>0</v>
      </c>
      <c r="AF213" s="1">
        <v>4</v>
      </c>
      <c r="AG213" t="s">
        <v>829</v>
      </c>
      <c r="AH213" s="1">
        <v>3600</v>
      </c>
      <c r="AI213" s="1" t="s">
        <v>1903</v>
      </c>
      <c r="AJ213" s="1">
        <v>0</v>
      </c>
      <c r="AK213" s="1" t="s">
        <v>894</v>
      </c>
      <c r="AL213" s="1" t="s">
        <v>2491</v>
      </c>
      <c r="AM213" s="1">
        <v>0.3</v>
      </c>
      <c r="AN213" s="1">
        <v>0.25</v>
      </c>
      <c r="AO213" s="1">
        <v>0.12</v>
      </c>
      <c r="AP213" s="1">
        <v>0.38</v>
      </c>
      <c r="AQ213" s="1">
        <v>3</v>
      </c>
      <c r="AR213" s="1" t="s">
        <v>1598</v>
      </c>
      <c r="AS213" s="1">
        <v>0</v>
      </c>
      <c r="AT213" s="1" t="s">
        <v>1866</v>
      </c>
      <c r="AU213" s="1">
        <v>10</v>
      </c>
      <c r="AV213" s="1">
        <v>20034</v>
      </c>
      <c r="AW213" s="1">
        <v>0</v>
      </c>
    </row>
    <row r="214" spans="1:49" x14ac:dyDescent="0.25">
      <c r="A214" s="1">
        <v>215</v>
      </c>
      <c r="B214" s="1" t="s">
        <v>2492</v>
      </c>
      <c r="C214" s="1" t="s">
        <v>2493</v>
      </c>
      <c r="D214" s="1">
        <v>5</v>
      </c>
      <c r="E214" s="1">
        <v>2</v>
      </c>
      <c r="F214" s="1">
        <v>19</v>
      </c>
      <c r="G214" s="1" t="s">
        <v>336</v>
      </c>
      <c r="H214" s="1" t="s">
        <v>329</v>
      </c>
      <c r="I214" s="1" t="s">
        <v>329</v>
      </c>
      <c r="J214" s="1" t="s">
        <v>329</v>
      </c>
      <c r="K214" s="1" t="s">
        <v>329</v>
      </c>
      <c r="L214" s="1" t="s">
        <v>329</v>
      </c>
      <c r="M214" s="1" t="s">
        <v>329</v>
      </c>
      <c r="N214" s="1" t="s">
        <v>353</v>
      </c>
      <c r="O214" s="1" t="s">
        <v>329</v>
      </c>
      <c r="P214" s="1" t="s">
        <v>329</v>
      </c>
      <c r="Q214" s="1" t="s">
        <v>329</v>
      </c>
      <c r="R214" s="1" t="s">
        <v>329</v>
      </c>
      <c r="S214" s="1" t="s">
        <v>329</v>
      </c>
      <c r="T214" s="1" t="s">
        <v>329</v>
      </c>
      <c r="U214" s="1">
        <v>0</v>
      </c>
      <c r="V214" s="1">
        <v>0</v>
      </c>
      <c r="W214" s="1">
        <v>0</v>
      </c>
      <c r="X214" s="1">
        <v>0</v>
      </c>
      <c r="Y214" s="1">
        <v>0</v>
      </c>
      <c r="Z214" s="1">
        <v>0</v>
      </c>
      <c r="AA214" s="1">
        <v>0</v>
      </c>
      <c r="AB214" s="1">
        <v>0</v>
      </c>
      <c r="AC214" s="1">
        <v>0</v>
      </c>
      <c r="AD214" s="1">
        <v>4</v>
      </c>
      <c r="AE214" s="1">
        <v>2</v>
      </c>
      <c r="AF214" s="1">
        <v>3</v>
      </c>
      <c r="AG214" t="s">
        <v>836</v>
      </c>
      <c r="AH214" s="1">
        <v>3300</v>
      </c>
      <c r="AI214" s="1" t="s">
        <v>1903</v>
      </c>
      <c r="AJ214" s="1">
        <v>0</v>
      </c>
      <c r="AK214" s="1" t="s">
        <v>895</v>
      </c>
      <c r="AL214" s="1" t="s">
        <v>2494</v>
      </c>
      <c r="AM214" s="1">
        <v>0.08</v>
      </c>
      <c r="AN214" s="1">
        <v>0.5</v>
      </c>
      <c r="AO214" s="1">
        <v>0.3</v>
      </c>
      <c r="AP214" s="1">
        <v>0.3</v>
      </c>
      <c r="AQ214" s="1">
        <v>3</v>
      </c>
      <c r="AR214" s="1" t="s">
        <v>1580</v>
      </c>
      <c r="AS214" s="1">
        <v>0</v>
      </c>
      <c r="AT214" s="1" t="s">
        <v>1866</v>
      </c>
      <c r="AU214" s="1">
        <v>10</v>
      </c>
      <c r="AV214" s="1">
        <v>19026</v>
      </c>
      <c r="AW214" s="1">
        <v>0</v>
      </c>
    </row>
    <row r="215" spans="1:49" x14ac:dyDescent="0.25">
      <c r="A215" s="1">
        <v>216</v>
      </c>
      <c r="B215" s="1" t="s">
        <v>2495</v>
      </c>
      <c r="C215" s="1" t="s">
        <v>2496</v>
      </c>
      <c r="D215" s="1">
        <v>5</v>
      </c>
      <c r="E215" s="1">
        <v>2</v>
      </c>
      <c r="F215" s="1">
        <v>19</v>
      </c>
      <c r="G215" s="1" t="s">
        <v>359</v>
      </c>
      <c r="H215" s="1" t="s">
        <v>329</v>
      </c>
      <c r="I215" s="1" t="s">
        <v>329</v>
      </c>
      <c r="J215" s="1" t="s">
        <v>329</v>
      </c>
      <c r="K215" s="1" t="s">
        <v>329</v>
      </c>
      <c r="L215" s="1" t="s">
        <v>329</v>
      </c>
      <c r="M215" s="1" t="s">
        <v>386</v>
      </c>
      <c r="N215" s="1" t="s">
        <v>329</v>
      </c>
      <c r="O215" s="1" t="s">
        <v>329</v>
      </c>
      <c r="P215" s="1" t="s">
        <v>329</v>
      </c>
      <c r="Q215" s="1" t="s">
        <v>329</v>
      </c>
      <c r="R215" s="1" t="s">
        <v>329</v>
      </c>
      <c r="S215" s="1" t="s">
        <v>329</v>
      </c>
      <c r="T215" s="1" t="s">
        <v>329</v>
      </c>
      <c r="U215" s="1">
        <v>0</v>
      </c>
      <c r="V215" s="1">
        <v>0</v>
      </c>
      <c r="W215" s="1">
        <v>0</v>
      </c>
      <c r="X215" s="1">
        <v>0</v>
      </c>
      <c r="Y215" s="1">
        <v>0</v>
      </c>
      <c r="Z215" s="1">
        <v>0</v>
      </c>
      <c r="AA215" s="1">
        <v>0</v>
      </c>
      <c r="AB215" s="1">
        <v>0</v>
      </c>
      <c r="AC215" s="1">
        <v>1</v>
      </c>
      <c r="AD215" s="1">
        <v>3</v>
      </c>
      <c r="AE215" s="1">
        <v>1</v>
      </c>
      <c r="AF215" s="1">
        <v>4</v>
      </c>
      <c r="AG215" t="s">
        <v>1632</v>
      </c>
      <c r="AH215" s="1">
        <v>3240</v>
      </c>
      <c r="AI215" s="1" t="s">
        <v>1903</v>
      </c>
      <c r="AJ215" s="1">
        <v>0</v>
      </c>
      <c r="AK215" s="1" t="s">
        <v>896</v>
      </c>
      <c r="AL215" s="1" t="s">
        <v>2497</v>
      </c>
      <c r="AM215" s="1">
        <v>0.08</v>
      </c>
      <c r="AN215" s="1">
        <v>0.39</v>
      </c>
      <c r="AO215" s="1">
        <v>0.08</v>
      </c>
      <c r="AP215" s="1">
        <v>0.48</v>
      </c>
      <c r="AQ215" s="1">
        <v>3</v>
      </c>
      <c r="AR215" s="1" t="s">
        <v>1599</v>
      </c>
      <c r="AS215" s="1">
        <v>0</v>
      </c>
      <c r="AT215" s="1" t="s">
        <v>2498</v>
      </c>
      <c r="AU215" s="1">
        <v>10</v>
      </c>
      <c r="AV215" s="1">
        <v>19027</v>
      </c>
      <c r="AW215" s="1">
        <v>0</v>
      </c>
    </row>
    <row r="216" spans="1:49" x14ac:dyDescent="0.25">
      <c r="A216" s="1">
        <v>217</v>
      </c>
      <c r="B216" s="1" t="s">
        <v>2499</v>
      </c>
      <c r="C216" s="1" t="s">
        <v>2500</v>
      </c>
      <c r="D216" s="1">
        <v>5</v>
      </c>
      <c r="E216" s="1">
        <v>1</v>
      </c>
      <c r="F216" s="1">
        <v>18</v>
      </c>
      <c r="G216" s="1" t="s">
        <v>365</v>
      </c>
      <c r="H216" s="1" t="s">
        <v>329</v>
      </c>
      <c r="I216" s="1" t="s">
        <v>329</v>
      </c>
      <c r="J216" s="1" t="s">
        <v>329</v>
      </c>
      <c r="K216" s="1" t="s">
        <v>329</v>
      </c>
      <c r="L216" s="1" t="s">
        <v>329</v>
      </c>
      <c r="M216" s="1" t="s">
        <v>397</v>
      </c>
      <c r="N216" s="1" t="s">
        <v>329</v>
      </c>
      <c r="O216" s="1" t="s">
        <v>329</v>
      </c>
      <c r="P216" s="1" t="s">
        <v>329</v>
      </c>
      <c r="Q216" s="1" t="s">
        <v>329</v>
      </c>
      <c r="R216" s="1" t="s">
        <v>329</v>
      </c>
      <c r="S216" s="1" t="s">
        <v>329</v>
      </c>
      <c r="T216" s="1" t="s">
        <v>329</v>
      </c>
      <c r="U216" s="1">
        <v>0</v>
      </c>
      <c r="V216" s="1">
        <v>0</v>
      </c>
      <c r="W216" s="1">
        <v>0</v>
      </c>
      <c r="X216" s="1">
        <v>0</v>
      </c>
      <c r="Y216" s="1">
        <v>0</v>
      </c>
      <c r="Z216" s="1">
        <v>0</v>
      </c>
      <c r="AA216" s="1">
        <v>0</v>
      </c>
      <c r="AB216" s="1">
        <v>0</v>
      </c>
      <c r="AC216" s="1">
        <v>4</v>
      </c>
      <c r="AD216" s="1">
        <v>0</v>
      </c>
      <c r="AE216" s="1">
        <v>3</v>
      </c>
      <c r="AF216" s="1">
        <v>2</v>
      </c>
      <c r="AG216" t="s">
        <v>95</v>
      </c>
      <c r="AH216" s="1">
        <v>3600</v>
      </c>
      <c r="AI216" s="1" t="s">
        <v>2501</v>
      </c>
      <c r="AJ216" s="1">
        <v>0</v>
      </c>
      <c r="AK216" s="1" t="s">
        <v>891</v>
      </c>
      <c r="AL216" s="1" t="s">
        <v>2502</v>
      </c>
      <c r="AM216" s="1">
        <v>0.45</v>
      </c>
      <c r="AN216" s="1">
        <v>0.15</v>
      </c>
      <c r="AO216" s="1">
        <v>0.3</v>
      </c>
      <c r="AP216" s="1">
        <v>0.15</v>
      </c>
      <c r="AQ216" s="1">
        <v>3</v>
      </c>
      <c r="AR216" s="1" t="s">
        <v>1572</v>
      </c>
      <c r="AS216" s="1">
        <v>0</v>
      </c>
      <c r="AT216" s="1" t="s">
        <v>1866</v>
      </c>
      <c r="AU216" s="1">
        <v>10</v>
      </c>
      <c r="AV216" s="1">
        <v>18067</v>
      </c>
      <c r="AW216" s="1">
        <v>0</v>
      </c>
    </row>
    <row r="217" spans="1:49" x14ac:dyDescent="0.25">
      <c r="A217" s="1">
        <v>218</v>
      </c>
      <c r="B217" s="1" t="s">
        <v>2503</v>
      </c>
      <c r="C217" s="1" t="s">
        <v>2504</v>
      </c>
      <c r="D217" s="1">
        <v>5</v>
      </c>
      <c r="E217" s="1">
        <v>3</v>
      </c>
      <c r="F217" s="1">
        <v>20</v>
      </c>
      <c r="G217" s="1" t="s">
        <v>329</v>
      </c>
      <c r="H217" s="1" t="s">
        <v>329</v>
      </c>
      <c r="I217" s="1" t="s">
        <v>489</v>
      </c>
      <c r="J217" s="1" t="s">
        <v>329</v>
      </c>
      <c r="K217" s="1" t="s">
        <v>329</v>
      </c>
      <c r="L217" s="1" t="s">
        <v>329</v>
      </c>
      <c r="M217" s="1" t="s">
        <v>329</v>
      </c>
      <c r="N217" s="1" t="s">
        <v>329</v>
      </c>
      <c r="O217" s="1" t="s">
        <v>329</v>
      </c>
      <c r="P217" s="1" t="s">
        <v>329</v>
      </c>
      <c r="Q217" s="1" t="s">
        <v>329</v>
      </c>
      <c r="R217" s="1" t="s">
        <v>329</v>
      </c>
      <c r="S217" s="1" t="s">
        <v>329</v>
      </c>
      <c r="T217" s="1" t="s">
        <v>329</v>
      </c>
      <c r="U217" s="1">
        <v>0</v>
      </c>
      <c r="V217" s="1">
        <v>0</v>
      </c>
      <c r="W217" s="1">
        <v>0</v>
      </c>
      <c r="X217" s="1">
        <v>0</v>
      </c>
      <c r="Y217" s="1">
        <v>0</v>
      </c>
      <c r="Z217" s="1">
        <v>0</v>
      </c>
      <c r="AA217" s="1">
        <v>0</v>
      </c>
      <c r="AB217" s="1">
        <v>0</v>
      </c>
      <c r="AC217" s="1">
        <v>4</v>
      </c>
      <c r="AD217" s="1">
        <v>2</v>
      </c>
      <c r="AE217" s="1">
        <v>0</v>
      </c>
      <c r="AF217" s="1">
        <v>4</v>
      </c>
      <c r="AG217" t="s">
        <v>118</v>
      </c>
      <c r="AH217" s="1">
        <v>3120</v>
      </c>
      <c r="AI217" s="1" t="s">
        <v>1903</v>
      </c>
      <c r="AJ217" s="1">
        <v>0</v>
      </c>
      <c r="AK217" s="1" t="s">
        <v>902</v>
      </c>
      <c r="AL217" s="1" t="s">
        <v>2505</v>
      </c>
      <c r="AM217" s="1">
        <v>0.3</v>
      </c>
      <c r="AN217" s="1">
        <v>0.25</v>
      </c>
      <c r="AO217" s="1">
        <v>0.12</v>
      </c>
      <c r="AP217" s="1">
        <v>0.38</v>
      </c>
      <c r="AQ217" s="1">
        <v>3</v>
      </c>
      <c r="AR217" s="1" t="s">
        <v>1600</v>
      </c>
      <c r="AS217" s="1">
        <v>0</v>
      </c>
      <c r="AT217" s="1" t="s">
        <v>2506</v>
      </c>
      <c r="AU217" s="1">
        <v>10</v>
      </c>
      <c r="AV217" s="1">
        <v>20035</v>
      </c>
      <c r="AW217" s="1">
        <v>0</v>
      </c>
    </row>
    <row r="218" spans="1:49" x14ac:dyDescent="0.25">
      <c r="A218" s="1">
        <v>219</v>
      </c>
      <c r="B218" s="1" t="s">
        <v>2507</v>
      </c>
      <c r="C218" s="1" t="s">
        <v>2508</v>
      </c>
      <c r="D218" s="1">
        <v>5</v>
      </c>
      <c r="E218" s="1">
        <v>1</v>
      </c>
      <c r="F218" s="1">
        <v>18</v>
      </c>
      <c r="G218" s="1" t="s">
        <v>332</v>
      </c>
      <c r="H218" s="1" t="s">
        <v>329</v>
      </c>
      <c r="I218" s="1" t="s">
        <v>342</v>
      </c>
      <c r="J218" s="1" t="s">
        <v>329</v>
      </c>
      <c r="K218" s="1" t="s">
        <v>329</v>
      </c>
      <c r="L218" s="1" t="s">
        <v>329</v>
      </c>
      <c r="M218" s="1" t="s">
        <v>329</v>
      </c>
      <c r="N218" s="1" t="s">
        <v>329</v>
      </c>
      <c r="O218" s="1" t="s">
        <v>329</v>
      </c>
      <c r="P218" s="1" t="s">
        <v>329</v>
      </c>
      <c r="Q218" s="1" t="s">
        <v>329</v>
      </c>
      <c r="R218" s="1" t="s">
        <v>329</v>
      </c>
      <c r="S218" s="1" t="s">
        <v>329</v>
      </c>
      <c r="T218" s="1" t="s">
        <v>329</v>
      </c>
      <c r="U218" s="1">
        <v>0</v>
      </c>
      <c r="V218" s="1">
        <v>0</v>
      </c>
      <c r="W218" s="1">
        <v>0</v>
      </c>
      <c r="X218" s="1">
        <v>0</v>
      </c>
      <c r="Y218" s="1">
        <v>0</v>
      </c>
      <c r="Z218" s="1">
        <v>0</v>
      </c>
      <c r="AA218" s="1">
        <v>0</v>
      </c>
      <c r="AB218" s="1">
        <v>0</v>
      </c>
      <c r="AC218" s="1">
        <v>4</v>
      </c>
      <c r="AD218" s="1">
        <v>2</v>
      </c>
      <c r="AE218" s="1">
        <v>2</v>
      </c>
      <c r="AF218" s="1">
        <v>2</v>
      </c>
      <c r="AG218" t="s">
        <v>912</v>
      </c>
      <c r="AH218" s="1">
        <v>2820</v>
      </c>
      <c r="AI218" s="1" t="s">
        <v>1903</v>
      </c>
      <c r="AJ218" s="1">
        <v>0</v>
      </c>
      <c r="AK218" s="1" t="s">
        <v>897</v>
      </c>
      <c r="AL218" s="1" t="s">
        <v>2509</v>
      </c>
      <c r="AM218" s="1">
        <v>0.55000000000000004</v>
      </c>
      <c r="AN218" s="1">
        <v>0.23</v>
      </c>
      <c r="AO218" s="1">
        <v>0.23</v>
      </c>
      <c r="AP218" s="1">
        <v>0.23</v>
      </c>
      <c r="AQ218" s="1">
        <v>3</v>
      </c>
      <c r="AR218" s="1" t="s">
        <v>1593</v>
      </c>
      <c r="AS218" s="1">
        <v>0</v>
      </c>
      <c r="AT218" s="1" t="s">
        <v>1866</v>
      </c>
      <c r="AU218" s="1">
        <v>10</v>
      </c>
      <c r="AV218" s="1">
        <v>18068</v>
      </c>
      <c r="AW218" s="1">
        <v>0</v>
      </c>
    </row>
    <row r="219" spans="1:49" x14ac:dyDescent="0.25">
      <c r="A219" s="1">
        <v>220</v>
      </c>
      <c r="B219" s="1" t="s">
        <v>2510</v>
      </c>
      <c r="C219" s="1" t="s">
        <v>2511</v>
      </c>
      <c r="D219" s="1">
        <v>5</v>
      </c>
      <c r="E219" s="1">
        <v>1</v>
      </c>
      <c r="F219" s="1">
        <v>18</v>
      </c>
      <c r="G219" s="1" t="s">
        <v>329</v>
      </c>
      <c r="H219" s="1" t="s">
        <v>362</v>
      </c>
      <c r="I219" s="1" t="s">
        <v>329</v>
      </c>
      <c r="J219" s="1" t="s">
        <v>329</v>
      </c>
      <c r="K219" s="1" t="s">
        <v>329</v>
      </c>
      <c r="L219" s="1" t="s">
        <v>336</v>
      </c>
      <c r="M219" s="1" t="s">
        <v>393</v>
      </c>
      <c r="N219" s="1" t="s">
        <v>329</v>
      </c>
      <c r="O219" s="1" t="s">
        <v>329</v>
      </c>
      <c r="P219" s="1" t="s">
        <v>329</v>
      </c>
      <c r="Q219" s="1" t="s">
        <v>329</v>
      </c>
      <c r="R219" s="1" t="s">
        <v>329</v>
      </c>
      <c r="S219" s="1" t="s">
        <v>329</v>
      </c>
      <c r="T219" s="1" t="s">
        <v>329</v>
      </c>
      <c r="U219" s="1">
        <v>0</v>
      </c>
      <c r="V219" s="1">
        <v>0</v>
      </c>
      <c r="W219" s="1">
        <v>0</v>
      </c>
      <c r="X219" s="1">
        <v>0</v>
      </c>
      <c r="Y219" s="1">
        <v>0</v>
      </c>
      <c r="Z219" s="1">
        <v>0</v>
      </c>
      <c r="AA219" s="1">
        <v>0</v>
      </c>
      <c r="AB219" s="1">
        <v>0</v>
      </c>
      <c r="AC219" s="1">
        <v>4</v>
      </c>
      <c r="AD219" s="1">
        <v>2</v>
      </c>
      <c r="AE219" s="1">
        <v>2</v>
      </c>
      <c r="AF219" s="1">
        <v>2</v>
      </c>
      <c r="AG219" t="s">
        <v>107</v>
      </c>
      <c r="AH219" s="1">
        <v>2820</v>
      </c>
      <c r="AI219" s="1" t="s">
        <v>1903</v>
      </c>
      <c r="AJ219" s="1">
        <v>0</v>
      </c>
      <c r="AK219" s="1" t="s">
        <v>903</v>
      </c>
      <c r="AL219" s="1" t="s">
        <v>2512</v>
      </c>
      <c r="AM219" s="1">
        <v>0.55000000000000004</v>
      </c>
      <c r="AN219" s="1">
        <v>0.23</v>
      </c>
      <c r="AO219" s="1">
        <v>0.23</v>
      </c>
      <c r="AP219" s="1">
        <v>0.23</v>
      </c>
      <c r="AQ219" s="1">
        <v>3</v>
      </c>
      <c r="AR219" s="1" t="s">
        <v>1601</v>
      </c>
      <c r="AS219" s="1">
        <v>0</v>
      </c>
      <c r="AT219" s="1" t="s">
        <v>1866</v>
      </c>
      <c r="AU219" s="1">
        <v>10</v>
      </c>
      <c r="AV219" s="1">
        <v>18069</v>
      </c>
      <c r="AW219" s="1">
        <v>0</v>
      </c>
    </row>
    <row r="220" spans="1:49" x14ac:dyDescent="0.25">
      <c r="A220" s="1">
        <v>221</v>
      </c>
      <c r="B220" s="1" t="s">
        <v>2513</v>
      </c>
      <c r="C220" s="1" t="s">
        <v>2514</v>
      </c>
      <c r="D220" s="1">
        <v>5</v>
      </c>
      <c r="E220" s="1">
        <v>2</v>
      </c>
      <c r="F220" s="1">
        <v>19</v>
      </c>
      <c r="G220" s="1" t="s">
        <v>335</v>
      </c>
      <c r="H220" s="1" t="s">
        <v>329</v>
      </c>
      <c r="I220" s="1" t="s">
        <v>329</v>
      </c>
      <c r="J220" s="1" t="s">
        <v>329</v>
      </c>
      <c r="K220" s="1" t="s">
        <v>329</v>
      </c>
      <c r="L220" s="1" t="s">
        <v>329</v>
      </c>
      <c r="M220" s="1" t="s">
        <v>329</v>
      </c>
      <c r="N220" s="1" t="s">
        <v>353</v>
      </c>
      <c r="O220" s="1" t="s">
        <v>329</v>
      </c>
      <c r="P220" s="1" t="s">
        <v>329</v>
      </c>
      <c r="Q220" s="1" t="s">
        <v>329</v>
      </c>
      <c r="R220" s="1" t="s">
        <v>329</v>
      </c>
      <c r="S220" s="1" t="s">
        <v>329</v>
      </c>
      <c r="T220" s="1" t="s">
        <v>329</v>
      </c>
      <c r="U220" s="1">
        <v>0</v>
      </c>
      <c r="V220" s="1">
        <v>0</v>
      </c>
      <c r="W220" s="1">
        <v>0</v>
      </c>
      <c r="X220" s="1">
        <v>0</v>
      </c>
      <c r="Y220" s="1">
        <v>0</v>
      </c>
      <c r="Z220" s="1">
        <v>0</v>
      </c>
      <c r="AA220" s="1">
        <v>0</v>
      </c>
      <c r="AB220" s="1">
        <v>0</v>
      </c>
      <c r="AC220" s="1">
        <v>0</v>
      </c>
      <c r="AD220" s="1">
        <v>4</v>
      </c>
      <c r="AE220" s="1">
        <v>2</v>
      </c>
      <c r="AF220" s="1">
        <v>3</v>
      </c>
      <c r="AG220" t="s">
        <v>119</v>
      </c>
      <c r="AH220" s="1">
        <v>3300</v>
      </c>
      <c r="AI220" s="1" t="s">
        <v>1978</v>
      </c>
      <c r="AJ220" s="1">
        <v>0</v>
      </c>
      <c r="AK220" s="1" t="s">
        <v>939</v>
      </c>
      <c r="AL220" s="1" t="s">
        <v>2515</v>
      </c>
      <c r="AM220" s="1">
        <v>0.08</v>
      </c>
      <c r="AN220" s="1">
        <v>0.5</v>
      </c>
      <c r="AO220" s="1">
        <v>0.3</v>
      </c>
      <c r="AP220" s="1">
        <v>0.3</v>
      </c>
      <c r="AQ220" s="1">
        <v>3</v>
      </c>
      <c r="AR220" s="1" t="s">
        <v>1602</v>
      </c>
      <c r="AS220" s="1">
        <v>0</v>
      </c>
      <c r="AT220" s="1" t="s">
        <v>1866</v>
      </c>
      <c r="AU220" s="1">
        <v>10</v>
      </c>
      <c r="AV220" s="1">
        <v>19028</v>
      </c>
      <c r="AW220" s="1">
        <v>0</v>
      </c>
    </row>
    <row r="221" spans="1:49" x14ac:dyDescent="0.25">
      <c r="A221" s="1">
        <v>222</v>
      </c>
      <c r="B221" s="1" t="s">
        <v>2516</v>
      </c>
      <c r="C221" s="1" t="s">
        <v>2517</v>
      </c>
      <c r="D221" s="1">
        <v>3</v>
      </c>
      <c r="E221" s="1">
        <v>1</v>
      </c>
      <c r="F221" s="1">
        <v>16</v>
      </c>
      <c r="G221" s="1" t="s">
        <v>329</v>
      </c>
      <c r="H221" s="1" t="s">
        <v>336</v>
      </c>
      <c r="I221" s="1" t="s">
        <v>329</v>
      </c>
      <c r="J221" s="1" t="s">
        <v>329</v>
      </c>
      <c r="K221" s="1" t="s">
        <v>329</v>
      </c>
      <c r="L221" s="1" t="s">
        <v>329</v>
      </c>
      <c r="M221" s="1" t="s">
        <v>325</v>
      </c>
      <c r="N221" s="1" t="s">
        <v>329</v>
      </c>
      <c r="O221" s="1" t="s">
        <v>329</v>
      </c>
      <c r="P221" s="1" t="s">
        <v>329</v>
      </c>
      <c r="Q221" s="1" t="s">
        <v>329</v>
      </c>
      <c r="R221" s="1" t="s">
        <v>329</v>
      </c>
      <c r="S221" s="1" t="s">
        <v>329</v>
      </c>
      <c r="T221" s="1" t="s">
        <v>329</v>
      </c>
      <c r="U221" s="1">
        <v>0</v>
      </c>
      <c r="V221" s="1">
        <v>0</v>
      </c>
      <c r="W221" s="1">
        <v>0</v>
      </c>
      <c r="X221" s="1">
        <v>0</v>
      </c>
      <c r="Y221" s="1">
        <v>0</v>
      </c>
      <c r="Z221" s="1">
        <v>0</v>
      </c>
      <c r="AA221" s="1">
        <v>0</v>
      </c>
      <c r="AB221" s="1">
        <v>0</v>
      </c>
      <c r="AC221" s="1">
        <v>3</v>
      </c>
      <c r="AD221" s="1">
        <v>0</v>
      </c>
      <c r="AE221" s="1">
        <v>0</v>
      </c>
      <c r="AF221" s="1">
        <v>0</v>
      </c>
      <c r="AG221" t="s">
        <v>929</v>
      </c>
      <c r="AH221" s="1">
        <v>2040</v>
      </c>
      <c r="AI221" s="1" t="s">
        <v>2183</v>
      </c>
      <c r="AJ221" s="1">
        <v>0</v>
      </c>
      <c r="AK221" s="1" t="s">
        <v>329</v>
      </c>
      <c r="AL221" s="1" t="s">
        <v>2518</v>
      </c>
      <c r="AM221" s="1">
        <v>0.45</v>
      </c>
      <c r="AN221" s="1">
        <v>0.15</v>
      </c>
      <c r="AO221" s="1">
        <v>0.3</v>
      </c>
      <c r="AP221" s="1">
        <v>0.15</v>
      </c>
      <c r="AQ221" s="1">
        <v>1</v>
      </c>
      <c r="AR221" s="1" t="s">
        <v>1603</v>
      </c>
      <c r="AS221" s="1">
        <v>0</v>
      </c>
      <c r="AT221" s="1" t="s">
        <v>1866</v>
      </c>
      <c r="AU221" s="1">
        <v>10</v>
      </c>
      <c r="AV221" s="1">
        <v>16001</v>
      </c>
      <c r="AW221" s="1">
        <v>0</v>
      </c>
    </row>
    <row r="222" spans="1:49" x14ac:dyDescent="0.25">
      <c r="A222" s="1">
        <v>223</v>
      </c>
      <c r="B222" s="1" t="s">
        <v>2519</v>
      </c>
      <c r="C222" s="1" t="s">
        <v>2520</v>
      </c>
      <c r="D222" s="1">
        <v>4</v>
      </c>
      <c r="E222" s="1">
        <v>1</v>
      </c>
      <c r="F222" s="1">
        <v>16</v>
      </c>
      <c r="G222" s="1" t="s">
        <v>329</v>
      </c>
      <c r="H222" s="1" t="s">
        <v>441</v>
      </c>
      <c r="I222" s="1" t="s">
        <v>329</v>
      </c>
      <c r="J222" s="1" t="s">
        <v>329</v>
      </c>
      <c r="K222" s="1" t="s">
        <v>329</v>
      </c>
      <c r="L222" s="1" t="s">
        <v>329</v>
      </c>
      <c r="M222" s="1" t="s">
        <v>326</v>
      </c>
      <c r="N222" s="1" t="s">
        <v>329</v>
      </c>
      <c r="O222" s="1" t="s">
        <v>329</v>
      </c>
      <c r="P222" s="1" t="s">
        <v>329</v>
      </c>
      <c r="Q222" s="1" t="s">
        <v>329</v>
      </c>
      <c r="R222" s="1" t="s">
        <v>329</v>
      </c>
      <c r="S222" s="1" t="s">
        <v>329</v>
      </c>
      <c r="T222" s="1" t="s">
        <v>329</v>
      </c>
      <c r="U222" s="1">
        <v>0</v>
      </c>
      <c r="V222" s="1">
        <v>0</v>
      </c>
      <c r="W222" s="1">
        <v>0</v>
      </c>
      <c r="X222" s="1">
        <v>0</v>
      </c>
      <c r="Y222" s="1">
        <v>0</v>
      </c>
      <c r="Z222" s="1">
        <v>0</v>
      </c>
      <c r="AA222" s="1">
        <v>0</v>
      </c>
      <c r="AB222" s="1">
        <v>0</v>
      </c>
      <c r="AC222" s="1">
        <v>3</v>
      </c>
      <c r="AD222" s="1">
        <v>1</v>
      </c>
      <c r="AE222" s="1">
        <v>1</v>
      </c>
      <c r="AF222" s="1">
        <v>1</v>
      </c>
      <c r="AG222" t="s">
        <v>930</v>
      </c>
      <c r="AH222" s="1">
        <v>2940</v>
      </c>
      <c r="AI222" s="1" t="s">
        <v>2183</v>
      </c>
      <c r="AJ222" s="1">
        <v>0</v>
      </c>
      <c r="AK222" s="1" t="s">
        <v>329</v>
      </c>
      <c r="AL222" s="1" t="s">
        <v>2521</v>
      </c>
      <c r="AM222" s="1">
        <v>0.45</v>
      </c>
      <c r="AN222" s="1">
        <v>0.15</v>
      </c>
      <c r="AO222" s="1">
        <v>0.3</v>
      </c>
      <c r="AP222" s="1">
        <v>0.15</v>
      </c>
      <c r="AQ222" s="1">
        <v>1</v>
      </c>
      <c r="AR222" s="1" t="s">
        <v>1604</v>
      </c>
      <c r="AS222" s="1">
        <v>0</v>
      </c>
      <c r="AT222" s="1" t="s">
        <v>1866</v>
      </c>
      <c r="AU222" s="1">
        <v>10</v>
      </c>
      <c r="AV222" s="1">
        <v>16001</v>
      </c>
      <c r="AW222" s="1">
        <v>0</v>
      </c>
    </row>
    <row r="223" spans="1:49" x14ac:dyDescent="0.25">
      <c r="A223" s="1">
        <v>224</v>
      </c>
      <c r="B223" s="1" t="s">
        <v>2522</v>
      </c>
      <c r="C223" s="1" t="s">
        <v>2523</v>
      </c>
      <c r="D223" s="1">
        <v>5</v>
      </c>
      <c r="E223" s="1">
        <v>1</v>
      </c>
      <c r="F223" s="1">
        <v>16</v>
      </c>
      <c r="G223" s="1" t="s">
        <v>329</v>
      </c>
      <c r="H223" s="1" t="s">
        <v>360</v>
      </c>
      <c r="I223" s="1" t="s">
        <v>329</v>
      </c>
      <c r="J223" s="1" t="s">
        <v>329</v>
      </c>
      <c r="K223" s="1" t="s">
        <v>329</v>
      </c>
      <c r="L223" s="1" t="s">
        <v>329</v>
      </c>
      <c r="M223" s="1" t="s">
        <v>904</v>
      </c>
      <c r="N223" s="1" t="s">
        <v>329</v>
      </c>
      <c r="O223" s="1" t="s">
        <v>329</v>
      </c>
      <c r="P223" s="1" t="s">
        <v>329</v>
      </c>
      <c r="Q223" s="1" t="s">
        <v>329</v>
      </c>
      <c r="R223" s="1" t="s">
        <v>329</v>
      </c>
      <c r="S223" s="1" t="s">
        <v>329</v>
      </c>
      <c r="T223" s="1" t="s">
        <v>329</v>
      </c>
      <c r="U223" s="1">
        <v>0</v>
      </c>
      <c r="V223" s="1">
        <v>0</v>
      </c>
      <c r="W223" s="1">
        <v>0</v>
      </c>
      <c r="X223" s="1">
        <v>0</v>
      </c>
      <c r="Y223" s="1">
        <v>0</v>
      </c>
      <c r="Z223" s="1">
        <v>0</v>
      </c>
      <c r="AA223" s="1">
        <v>0</v>
      </c>
      <c r="AB223" s="1">
        <v>0</v>
      </c>
      <c r="AC223" s="1">
        <v>4</v>
      </c>
      <c r="AD223" s="1">
        <v>2</v>
      </c>
      <c r="AE223" s="1">
        <v>2</v>
      </c>
      <c r="AF223" s="1">
        <v>2</v>
      </c>
      <c r="AG223" t="s">
        <v>931</v>
      </c>
      <c r="AH223" s="1">
        <v>3540</v>
      </c>
      <c r="AI223" s="1" t="s">
        <v>2183</v>
      </c>
      <c r="AJ223" s="1">
        <v>0</v>
      </c>
      <c r="AK223" s="1" t="s">
        <v>329</v>
      </c>
      <c r="AL223" s="1" t="s">
        <v>2524</v>
      </c>
      <c r="AM223" s="1">
        <v>0.45</v>
      </c>
      <c r="AN223" s="1">
        <v>0.15</v>
      </c>
      <c r="AO223" s="1">
        <v>0.3</v>
      </c>
      <c r="AP223" s="1">
        <v>0.15</v>
      </c>
      <c r="AQ223" s="1">
        <v>1</v>
      </c>
      <c r="AR223" s="1" t="s">
        <v>1605</v>
      </c>
      <c r="AS223" s="1">
        <v>0</v>
      </c>
      <c r="AT223" s="1" t="s">
        <v>1866</v>
      </c>
      <c r="AU223" s="1">
        <v>10</v>
      </c>
      <c r="AV223" s="1">
        <v>16001</v>
      </c>
      <c r="AW223" s="1">
        <v>0</v>
      </c>
    </row>
    <row r="224" spans="1:49" x14ac:dyDescent="0.25">
      <c r="A224" s="1">
        <v>225</v>
      </c>
      <c r="B224" s="1" t="s">
        <v>2525</v>
      </c>
      <c r="C224" s="1" t="s">
        <v>2526</v>
      </c>
      <c r="D224" s="1">
        <v>5</v>
      </c>
      <c r="E224" s="1">
        <v>2</v>
      </c>
      <c r="F224" s="1">
        <v>6</v>
      </c>
      <c r="G224" s="1" t="s">
        <v>329</v>
      </c>
      <c r="H224" s="1" t="s">
        <v>329</v>
      </c>
      <c r="I224" s="1" t="s">
        <v>329</v>
      </c>
      <c r="J224" s="1" t="s">
        <v>329</v>
      </c>
      <c r="K224" s="1" t="s">
        <v>377</v>
      </c>
      <c r="L224" s="1" t="s">
        <v>329</v>
      </c>
      <c r="M224" s="1" t="s">
        <v>329</v>
      </c>
      <c r="N224" s="1" t="s">
        <v>329</v>
      </c>
      <c r="O224" s="1" t="s">
        <v>329</v>
      </c>
      <c r="P224" s="1" t="s">
        <v>329</v>
      </c>
      <c r="Q224" s="1" t="s">
        <v>329</v>
      </c>
      <c r="R224" s="1" t="s">
        <v>329</v>
      </c>
      <c r="S224" s="1" t="s">
        <v>329</v>
      </c>
      <c r="T224" s="1" t="s">
        <v>329</v>
      </c>
      <c r="U224" s="1">
        <v>0</v>
      </c>
      <c r="V224" s="1">
        <v>150</v>
      </c>
      <c r="W224" s="1">
        <v>0</v>
      </c>
      <c r="X224" s="1">
        <v>0</v>
      </c>
      <c r="Y224" s="1">
        <v>0</v>
      </c>
      <c r="Z224" s="1">
        <v>0</v>
      </c>
      <c r="AA224" s="1">
        <v>0</v>
      </c>
      <c r="AB224" s="1">
        <v>0</v>
      </c>
      <c r="AC224" s="1">
        <v>4</v>
      </c>
      <c r="AD224" s="1">
        <v>4</v>
      </c>
      <c r="AE224" s="1">
        <v>0</v>
      </c>
      <c r="AF224" s="1">
        <v>2</v>
      </c>
      <c r="AG224" t="s">
        <v>921</v>
      </c>
      <c r="AH224" s="1">
        <v>3420</v>
      </c>
      <c r="AI224" s="1" t="s">
        <v>1903</v>
      </c>
      <c r="AJ224" s="1">
        <v>0</v>
      </c>
      <c r="AK224" s="1" t="s">
        <v>329</v>
      </c>
      <c r="AL224" s="1" t="s">
        <v>2527</v>
      </c>
      <c r="AM224" s="1">
        <v>0.48</v>
      </c>
      <c r="AN224" s="1">
        <v>0.48</v>
      </c>
      <c r="AO224" s="1">
        <v>0.08</v>
      </c>
      <c r="AP224" s="1">
        <v>0.45</v>
      </c>
      <c r="AQ224" s="1">
        <v>1</v>
      </c>
      <c r="AR224" s="1" t="s">
        <v>329</v>
      </c>
      <c r="AS224" s="1">
        <v>0</v>
      </c>
      <c r="AT224" s="1" t="s">
        <v>2528</v>
      </c>
      <c r="AU224" s="1">
        <v>0</v>
      </c>
      <c r="AV224" s="1">
        <v>6004</v>
      </c>
      <c r="AW224" s="1">
        <v>0</v>
      </c>
    </row>
    <row r="225" spans="1:49" x14ac:dyDescent="0.25">
      <c r="A225" s="1">
        <v>226</v>
      </c>
      <c r="B225" s="1" t="s">
        <v>2529</v>
      </c>
      <c r="C225" s="1" t="s">
        <v>2530</v>
      </c>
      <c r="D225" s="1">
        <v>4</v>
      </c>
      <c r="E225" s="1">
        <v>2</v>
      </c>
      <c r="F225" s="1">
        <v>5</v>
      </c>
      <c r="G225" s="1" t="s">
        <v>471</v>
      </c>
      <c r="H225" s="1" t="s">
        <v>329</v>
      </c>
      <c r="I225" s="1" t="s">
        <v>329</v>
      </c>
      <c r="J225" s="1" t="s">
        <v>329</v>
      </c>
      <c r="K225" s="1" t="s">
        <v>329</v>
      </c>
      <c r="L225" s="1" t="s">
        <v>329</v>
      </c>
      <c r="M225" s="1" t="s">
        <v>329</v>
      </c>
      <c r="N225" s="1" t="s">
        <v>905</v>
      </c>
      <c r="O225" s="1" t="s">
        <v>329</v>
      </c>
      <c r="P225" s="1" t="s">
        <v>329</v>
      </c>
      <c r="Q225" s="1" t="s">
        <v>329</v>
      </c>
      <c r="R225" s="1" t="s">
        <v>329</v>
      </c>
      <c r="S225" s="1" t="s">
        <v>329</v>
      </c>
      <c r="T225" s="1" t="s">
        <v>329</v>
      </c>
      <c r="U225" s="1">
        <v>0</v>
      </c>
      <c r="V225" s="1">
        <v>0</v>
      </c>
      <c r="W225" s="1">
        <v>0</v>
      </c>
      <c r="X225" s="1">
        <v>0</v>
      </c>
      <c r="Y225" s="1">
        <v>0</v>
      </c>
      <c r="Z225" s="1">
        <v>0</v>
      </c>
      <c r="AA225" s="1">
        <v>0</v>
      </c>
      <c r="AB225" s="1">
        <v>0</v>
      </c>
      <c r="AC225" s="1">
        <v>0</v>
      </c>
      <c r="AD225" s="1">
        <v>3</v>
      </c>
      <c r="AE225" s="1">
        <v>1</v>
      </c>
      <c r="AF225" s="1">
        <v>2</v>
      </c>
      <c r="AG225" t="s">
        <v>5730</v>
      </c>
      <c r="AH225" s="1">
        <v>2400</v>
      </c>
      <c r="AI225" s="1" t="s">
        <v>1903</v>
      </c>
      <c r="AJ225" s="1">
        <v>0</v>
      </c>
      <c r="AK225" s="1" t="s">
        <v>329</v>
      </c>
      <c r="AL225" s="1" t="s">
        <v>2531</v>
      </c>
      <c r="AM225" s="1">
        <v>0.08</v>
      </c>
      <c r="AN225" s="1">
        <v>0.5</v>
      </c>
      <c r="AO225" s="1">
        <v>0.3</v>
      </c>
      <c r="AP225" s="1">
        <v>0.3</v>
      </c>
      <c r="AQ225" s="1">
        <v>1</v>
      </c>
      <c r="AR225" s="1" t="s">
        <v>1606</v>
      </c>
      <c r="AS225" s="1">
        <v>0</v>
      </c>
      <c r="AT225" s="1" t="s">
        <v>1866</v>
      </c>
      <c r="AU225" s="1">
        <v>10</v>
      </c>
      <c r="AV225" s="1">
        <v>5003</v>
      </c>
      <c r="AW225" s="1">
        <v>0</v>
      </c>
    </row>
    <row r="226" spans="1:49" x14ac:dyDescent="0.25">
      <c r="A226" s="1">
        <v>227</v>
      </c>
      <c r="B226" s="1" t="s">
        <v>2532</v>
      </c>
      <c r="C226" s="1" t="s">
        <v>2533</v>
      </c>
      <c r="D226" s="1">
        <v>5</v>
      </c>
      <c r="E226" s="1">
        <v>2</v>
      </c>
      <c r="F226" s="1">
        <v>5</v>
      </c>
      <c r="G226" s="1" t="s">
        <v>359</v>
      </c>
      <c r="H226" s="1" t="s">
        <v>329</v>
      </c>
      <c r="I226" s="1" t="s">
        <v>329</v>
      </c>
      <c r="J226" s="1" t="s">
        <v>329</v>
      </c>
      <c r="K226" s="1" t="s">
        <v>329</v>
      </c>
      <c r="L226" s="1" t="s">
        <v>329</v>
      </c>
      <c r="M226" s="1" t="s">
        <v>329</v>
      </c>
      <c r="N226" s="1" t="s">
        <v>906</v>
      </c>
      <c r="O226" s="1" t="s">
        <v>329</v>
      </c>
      <c r="P226" s="1" t="s">
        <v>329</v>
      </c>
      <c r="Q226" s="1" t="s">
        <v>329</v>
      </c>
      <c r="R226" s="1" t="s">
        <v>329</v>
      </c>
      <c r="S226" s="1" t="s">
        <v>329</v>
      </c>
      <c r="T226" s="1" t="s">
        <v>329</v>
      </c>
      <c r="U226" s="1">
        <v>0</v>
      </c>
      <c r="V226" s="1">
        <v>0</v>
      </c>
      <c r="W226" s="1">
        <v>0</v>
      </c>
      <c r="X226" s="1">
        <v>0</v>
      </c>
      <c r="Y226" s="1">
        <v>0</v>
      </c>
      <c r="Z226" s="1">
        <v>0</v>
      </c>
      <c r="AA226" s="1">
        <v>0</v>
      </c>
      <c r="AB226" s="1">
        <v>0</v>
      </c>
      <c r="AC226" s="1">
        <v>0</v>
      </c>
      <c r="AD226" s="1">
        <v>4</v>
      </c>
      <c r="AE226" s="1">
        <v>2</v>
      </c>
      <c r="AF226" s="1">
        <v>3</v>
      </c>
      <c r="AG226" t="s">
        <v>5729</v>
      </c>
      <c r="AH226" s="1">
        <v>3000</v>
      </c>
      <c r="AI226" s="1" t="s">
        <v>1903</v>
      </c>
      <c r="AJ226" s="1">
        <v>0</v>
      </c>
      <c r="AK226" s="1" t="s">
        <v>329</v>
      </c>
      <c r="AL226" s="1" t="s">
        <v>2534</v>
      </c>
      <c r="AM226" s="1">
        <v>0.08</v>
      </c>
      <c r="AN226" s="1">
        <v>0.5</v>
      </c>
      <c r="AO226" s="1">
        <v>0.3</v>
      </c>
      <c r="AP226" s="1">
        <v>0.3</v>
      </c>
      <c r="AQ226" s="1">
        <v>1</v>
      </c>
      <c r="AR226" s="1" t="s">
        <v>1607</v>
      </c>
      <c r="AS226" s="1">
        <v>0</v>
      </c>
      <c r="AT226" s="1" t="s">
        <v>1866</v>
      </c>
      <c r="AU226" s="1">
        <v>10</v>
      </c>
      <c r="AV226" s="1">
        <v>5003</v>
      </c>
      <c r="AW226" s="1">
        <v>0</v>
      </c>
    </row>
    <row r="227" spans="1:49" x14ac:dyDescent="0.25">
      <c r="A227" s="1">
        <v>228</v>
      </c>
      <c r="B227" s="1" t="s">
        <v>2535</v>
      </c>
      <c r="C227" s="1" t="s">
        <v>2536</v>
      </c>
      <c r="D227" s="1">
        <v>4</v>
      </c>
      <c r="E227" s="1">
        <v>2</v>
      </c>
      <c r="F227" s="1">
        <v>17</v>
      </c>
      <c r="G227" s="1" t="s">
        <v>329</v>
      </c>
      <c r="H227" s="1" t="s">
        <v>329</v>
      </c>
      <c r="I227" s="1" t="s">
        <v>329</v>
      </c>
      <c r="J227" s="1" t="s">
        <v>329</v>
      </c>
      <c r="K227" s="1" t="s">
        <v>907</v>
      </c>
      <c r="L227" s="1" t="s">
        <v>329</v>
      </c>
      <c r="M227" s="1" t="s">
        <v>329</v>
      </c>
      <c r="N227" s="1" t="s">
        <v>908</v>
      </c>
      <c r="O227" s="1" t="s">
        <v>329</v>
      </c>
      <c r="P227" s="1" t="s">
        <v>329</v>
      </c>
      <c r="Q227" s="1" t="s">
        <v>329</v>
      </c>
      <c r="R227" s="1" t="s">
        <v>329</v>
      </c>
      <c r="S227" s="1" t="s">
        <v>329</v>
      </c>
      <c r="T227" s="1" t="s">
        <v>329</v>
      </c>
      <c r="U227" s="1">
        <v>0</v>
      </c>
      <c r="V227" s="1">
        <v>0</v>
      </c>
      <c r="W227" s="1">
        <v>0</v>
      </c>
      <c r="X227" s="1">
        <v>0</v>
      </c>
      <c r="Y227" s="1">
        <v>0</v>
      </c>
      <c r="Z227" s="1">
        <v>0</v>
      </c>
      <c r="AA227" s="1">
        <v>0</v>
      </c>
      <c r="AB227" s="1">
        <v>0</v>
      </c>
      <c r="AC227" s="1">
        <v>0</v>
      </c>
      <c r="AD227" s="1">
        <v>4</v>
      </c>
      <c r="AE227" s="1">
        <v>0</v>
      </c>
      <c r="AF227" s="1">
        <v>0</v>
      </c>
      <c r="AG227" t="s">
        <v>920</v>
      </c>
      <c r="AH227" s="1">
        <v>2880</v>
      </c>
      <c r="AI227" s="1" t="s">
        <v>1903</v>
      </c>
      <c r="AJ227" s="1">
        <v>0</v>
      </c>
      <c r="AK227" s="1" t="s">
        <v>329</v>
      </c>
      <c r="AL227" s="1" t="s">
        <v>2537</v>
      </c>
      <c r="AM227" s="1">
        <v>0.08</v>
      </c>
      <c r="AN227" s="1">
        <v>0.5</v>
      </c>
      <c r="AO227" s="1">
        <v>0.08</v>
      </c>
      <c r="AP227" s="1">
        <v>0.08</v>
      </c>
      <c r="AQ227" s="1">
        <v>1</v>
      </c>
      <c r="AR227" s="1" t="s">
        <v>1608</v>
      </c>
      <c r="AS227" s="1">
        <v>0</v>
      </c>
      <c r="AT227" s="1" t="s">
        <v>1866</v>
      </c>
      <c r="AU227" s="1">
        <v>10</v>
      </c>
      <c r="AV227" s="1">
        <v>17001</v>
      </c>
      <c r="AW227" s="1">
        <v>0</v>
      </c>
    </row>
    <row r="228" spans="1:49" x14ac:dyDescent="0.25">
      <c r="A228" s="1">
        <v>229</v>
      </c>
      <c r="B228" s="1" t="s">
        <v>2538</v>
      </c>
      <c r="C228" s="1" t="s">
        <v>2539</v>
      </c>
      <c r="D228" s="1">
        <v>5</v>
      </c>
      <c r="E228" s="1">
        <v>2</v>
      </c>
      <c r="F228" s="1">
        <v>17</v>
      </c>
      <c r="G228" s="1" t="s">
        <v>329</v>
      </c>
      <c r="H228" s="1" t="s">
        <v>329</v>
      </c>
      <c r="I228" s="1" t="s">
        <v>329</v>
      </c>
      <c r="J228" s="1" t="s">
        <v>329</v>
      </c>
      <c r="K228" s="1" t="s">
        <v>907</v>
      </c>
      <c r="L228" s="1" t="s">
        <v>329</v>
      </c>
      <c r="M228" s="1" t="s">
        <v>329</v>
      </c>
      <c r="N228" s="1" t="s">
        <v>909</v>
      </c>
      <c r="O228" s="1" t="s">
        <v>329</v>
      </c>
      <c r="P228" s="1" t="s">
        <v>329</v>
      </c>
      <c r="Q228" s="1" t="s">
        <v>329</v>
      </c>
      <c r="R228" s="1" t="s">
        <v>329</v>
      </c>
      <c r="S228" s="1" t="s">
        <v>329</v>
      </c>
      <c r="T228" s="1" t="s">
        <v>329</v>
      </c>
      <c r="U228" s="1">
        <v>0</v>
      </c>
      <c r="V228" s="1">
        <v>0</v>
      </c>
      <c r="W228" s="1">
        <v>0</v>
      </c>
      <c r="X228" s="1">
        <v>0</v>
      </c>
      <c r="Y228" s="1">
        <v>0</v>
      </c>
      <c r="Z228" s="1">
        <v>0</v>
      </c>
      <c r="AA228" s="1">
        <v>0</v>
      </c>
      <c r="AB228" s="1">
        <v>0</v>
      </c>
      <c r="AC228" s="1">
        <v>1</v>
      </c>
      <c r="AD228" s="1">
        <v>5</v>
      </c>
      <c r="AE228" s="1">
        <v>1</v>
      </c>
      <c r="AF228" s="1">
        <v>1</v>
      </c>
      <c r="AG228" t="s">
        <v>919</v>
      </c>
      <c r="AH228" s="1">
        <v>3480</v>
      </c>
      <c r="AI228" s="1" t="s">
        <v>1903</v>
      </c>
      <c r="AJ228" s="1">
        <v>0</v>
      </c>
      <c r="AK228" s="1" t="s">
        <v>329</v>
      </c>
      <c r="AL228" s="1" t="s">
        <v>2540</v>
      </c>
      <c r="AM228" s="1">
        <v>0.08</v>
      </c>
      <c r="AN228" s="1">
        <v>0.5</v>
      </c>
      <c r="AO228" s="1">
        <v>0.08</v>
      </c>
      <c r="AP228" s="1">
        <v>0.08</v>
      </c>
      <c r="AQ228" s="1">
        <v>1</v>
      </c>
      <c r="AR228" s="1" t="s">
        <v>1608</v>
      </c>
      <c r="AS228" s="1">
        <v>0</v>
      </c>
      <c r="AT228" s="1" t="s">
        <v>1866</v>
      </c>
      <c r="AU228" s="1">
        <v>10</v>
      </c>
      <c r="AV228" s="1">
        <v>17001</v>
      </c>
      <c r="AW228" s="1">
        <v>0</v>
      </c>
    </row>
    <row r="229" spans="1:49" x14ac:dyDescent="0.25">
      <c r="A229" s="1">
        <v>230</v>
      </c>
      <c r="B229" s="1" t="s">
        <v>2541</v>
      </c>
      <c r="C229" s="1" t="s">
        <v>2542</v>
      </c>
      <c r="D229" s="1">
        <v>4</v>
      </c>
      <c r="E229" s="1">
        <v>2</v>
      </c>
      <c r="F229" s="1">
        <v>7</v>
      </c>
      <c r="G229" s="1" t="s">
        <v>329</v>
      </c>
      <c r="H229" s="1" t="s">
        <v>329</v>
      </c>
      <c r="I229" s="1" t="s">
        <v>329</v>
      </c>
      <c r="J229" s="1" t="s">
        <v>329</v>
      </c>
      <c r="K229" s="1" t="s">
        <v>355</v>
      </c>
      <c r="L229" s="1" t="s">
        <v>901</v>
      </c>
      <c r="M229" s="1" t="s">
        <v>329</v>
      </c>
      <c r="N229" s="1" t="s">
        <v>329</v>
      </c>
      <c r="O229" s="1" t="s">
        <v>329</v>
      </c>
      <c r="P229" s="1" t="s">
        <v>329</v>
      </c>
      <c r="Q229" s="1" t="s">
        <v>329</v>
      </c>
      <c r="R229" s="1" t="s">
        <v>329</v>
      </c>
      <c r="S229" s="1" t="s">
        <v>329</v>
      </c>
      <c r="T229" s="1" t="s">
        <v>329</v>
      </c>
      <c r="U229" s="1">
        <v>0</v>
      </c>
      <c r="V229" s="1">
        <v>0</v>
      </c>
      <c r="W229" s="1">
        <v>0</v>
      </c>
      <c r="X229" s="1">
        <v>0</v>
      </c>
      <c r="Y229" s="1">
        <v>0</v>
      </c>
      <c r="Z229" s="1">
        <v>0</v>
      </c>
      <c r="AA229" s="1">
        <v>0</v>
      </c>
      <c r="AB229" s="1">
        <v>0</v>
      </c>
      <c r="AC229" s="1">
        <v>1</v>
      </c>
      <c r="AD229" s="1">
        <v>3</v>
      </c>
      <c r="AE229" s="1">
        <v>1</v>
      </c>
      <c r="AF229" s="1">
        <v>2</v>
      </c>
      <c r="AG229" t="s">
        <v>918</v>
      </c>
      <c r="AH229" s="1">
        <v>2700</v>
      </c>
      <c r="AI229" s="1" t="s">
        <v>1903</v>
      </c>
      <c r="AJ229" s="1">
        <v>0</v>
      </c>
      <c r="AK229" s="1" t="s">
        <v>329</v>
      </c>
      <c r="AL229" s="1" t="s">
        <v>2543</v>
      </c>
      <c r="AM229" s="1">
        <v>0.08</v>
      </c>
      <c r="AN229" s="1">
        <v>0.39</v>
      </c>
      <c r="AO229" s="1">
        <v>0.08</v>
      </c>
      <c r="AP229" s="1">
        <v>0.48</v>
      </c>
      <c r="AQ229" s="1">
        <v>1</v>
      </c>
      <c r="AR229" s="1" t="s">
        <v>1609</v>
      </c>
      <c r="AS229" s="1">
        <v>300901</v>
      </c>
      <c r="AT229" s="1" t="s">
        <v>1866</v>
      </c>
      <c r="AU229" s="1">
        <v>10</v>
      </c>
      <c r="AV229" s="1">
        <v>7003</v>
      </c>
      <c r="AW229" s="1">
        <v>0</v>
      </c>
    </row>
    <row r="230" spans="1:49" x14ac:dyDescent="0.25">
      <c r="A230" s="1">
        <v>231</v>
      </c>
      <c r="B230" s="1" t="s">
        <v>2544</v>
      </c>
      <c r="C230" s="1" t="s">
        <v>2545</v>
      </c>
      <c r="D230" s="1">
        <v>5</v>
      </c>
      <c r="E230" s="1">
        <v>2</v>
      </c>
      <c r="F230" s="1">
        <v>7</v>
      </c>
      <c r="G230" s="1" t="s">
        <v>329</v>
      </c>
      <c r="H230" s="1" t="s">
        <v>329</v>
      </c>
      <c r="I230" s="1" t="s">
        <v>329</v>
      </c>
      <c r="J230" s="1" t="s">
        <v>329</v>
      </c>
      <c r="K230" s="1" t="s">
        <v>359</v>
      </c>
      <c r="L230" s="1" t="s">
        <v>900</v>
      </c>
      <c r="M230" s="1" t="s">
        <v>329</v>
      </c>
      <c r="N230" s="1" t="s">
        <v>329</v>
      </c>
      <c r="O230" s="1" t="s">
        <v>329</v>
      </c>
      <c r="P230" s="1" t="s">
        <v>329</v>
      </c>
      <c r="Q230" s="1" t="s">
        <v>329</v>
      </c>
      <c r="R230" s="1" t="s">
        <v>329</v>
      </c>
      <c r="S230" s="1" t="s">
        <v>329</v>
      </c>
      <c r="T230" s="1" t="s">
        <v>329</v>
      </c>
      <c r="U230" s="1">
        <v>0</v>
      </c>
      <c r="V230" s="1">
        <v>0</v>
      </c>
      <c r="W230" s="1">
        <v>0</v>
      </c>
      <c r="X230" s="1">
        <v>0</v>
      </c>
      <c r="Y230" s="1">
        <v>0</v>
      </c>
      <c r="Z230" s="1">
        <v>0</v>
      </c>
      <c r="AA230" s="1">
        <v>0</v>
      </c>
      <c r="AB230" s="1">
        <v>0</v>
      </c>
      <c r="AC230" s="1">
        <v>1</v>
      </c>
      <c r="AD230" s="1">
        <v>4</v>
      </c>
      <c r="AE230" s="1">
        <v>1</v>
      </c>
      <c r="AF230" s="1">
        <v>3</v>
      </c>
      <c r="AG230" t="s">
        <v>917</v>
      </c>
      <c r="AH230" s="1">
        <v>3300</v>
      </c>
      <c r="AI230" s="1" t="s">
        <v>1903</v>
      </c>
      <c r="AJ230" s="1">
        <v>0</v>
      </c>
      <c r="AK230" s="1" t="s">
        <v>329</v>
      </c>
      <c r="AL230" s="1" t="s">
        <v>2546</v>
      </c>
      <c r="AM230" s="1">
        <v>0.08</v>
      </c>
      <c r="AN230" s="1">
        <v>0.39</v>
      </c>
      <c r="AO230" s="1">
        <v>0.08</v>
      </c>
      <c r="AP230" s="1">
        <v>0.48</v>
      </c>
      <c r="AQ230" s="1">
        <v>1</v>
      </c>
      <c r="AR230" s="1" t="s">
        <v>1609</v>
      </c>
      <c r="AS230" s="1">
        <v>300901</v>
      </c>
      <c r="AT230" s="1" t="s">
        <v>1866</v>
      </c>
      <c r="AU230" s="1">
        <v>10</v>
      </c>
      <c r="AV230" s="1">
        <v>7003</v>
      </c>
      <c r="AW230" s="1">
        <v>0</v>
      </c>
    </row>
    <row r="231" spans="1:49" x14ac:dyDescent="0.25">
      <c r="A231" s="1">
        <v>232</v>
      </c>
      <c r="B231" s="1" t="s">
        <v>2547</v>
      </c>
      <c r="C231" s="1" t="s">
        <v>2548</v>
      </c>
      <c r="D231" s="1">
        <v>3</v>
      </c>
      <c r="E231" s="1">
        <v>3</v>
      </c>
      <c r="F231" s="1">
        <v>9</v>
      </c>
      <c r="G231" s="1" t="s">
        <v>471</v>
      </c>
      <c r="H231" s="1" t="s">
        <v>329</v>
      </c>
      <c r="I231" s="1" t="s">
        <v>329</v>
      </c>
      <c r="J231" s="1" t="s">
        <v>329</v>
      </c>
      <c r="K231" s="1" t="s">
        <v>336</v>
      </c>
      <c r="L231" s="1" t="s">
        <v>910</v>
      </c>
      <c r="M231" s="1" t="s">
        <v>329</v>
      </c>
      <c r="N231" s="1" t="s">
        <v>329</v>
      </c>
      <c r="O231" s="1" t="s">
        <v>329</v>
      </c>
      <c r="P231" s="1" t="s">
        <v>329</v>
      </c>
      <c r="Q231" s="1" t="s">
        <v>329</v>
      </c>
      <c r="R231" s="1" t="s">
        <v>329</v>
      </c>
      <c r="S231" s="1" t="s">
        <v>329</v>
      </c>
      <c r="T231" s="1" t="s">
        <v>329</v>
      </c>
      <c r="U231" s="1">
        <v>0</v>
      </c>
      <c r="V231" s="1">
        <v>0</v>
      </c>
      <c r="W231" s="1">
        <v>0</v>
      </c>
      <c r="X231" s="1">
        <v>0</v>
      </c>
      <c r="Y231" s="1">
        <v>0</v>
      </c>
      <c r="Z231" s="1">
        <v>0</v>
      </c>
      <c r="AA231" s="1">
        <v>0</v>
      </c>
      <c r="AB231" s="1">
        <v>0</v>
      </c>
      <c r="AC231" s="1">
        <v>2</v>
      </c>
      <c r="AD231" s="1">
        <v>1</v>
      </c>
      <c r="AE231" s="1">
        <v>0</v>
      </c>
      <c r="AF231" s="1">
        <v>0</v>
      </c>
      <c r="AG231" t="s">
        <v>916</v>
      </c>
      <c r="AH231" s="1">
        <v>1560</v>
      </c>
      <c r="AI231" s="1" t="s">
        <v>1903</v>
      </c>
      <c r="AJ231" s="1">
        <v>0</v>
      </c>
      <c r="AK231" s="1" t="s">
        <v>329</v>
      </c>
      <c r="AL231" s="1" t="s">
        <v>2549</v>
      </c>
      <c r="AM231" s="1">
        <v>0.3</v>
      </c>
      <c r="AN231" s="1">
        <v>0.23</v>
      </c>
      <c r="AO231" s="1">
        <v>0.15</v>
      </c>
      <c r="AP231" s="1">
        <v>0.38</v>
      </c>
      <c r="AQ231" s="1">
        <v>1</v>
      </c>
      <c r="AR231" s="1" t="s">
        <v>1610</v>
      </c>
      <c r="AS231" s="1">
        <v>0</v>
      </c>
      <c r="AT231" s="1" t="s">
        <v>1866</v>
      </c>
      <c r="AU231" s="1">
        <v>10</v>
      </c>
      <c r="AV231" s="1">
        <v>9001</v>
      </c>
      <c r="AW231" s="1">
        <v>0</v>
      </c>
    </row>
    <row r="232" spans="1:49" x14ac:dyDescent="0.25">
      <c r="A232" s="1">
        <v>233</v>
      </c>
      <c r="B232" s="1" t="s">
        <v>2550</v>
      </c>
      <c r="C232" s="1" t="s">
        <v>2551</v>
      </c>
      <c r="D232" s="1">
        <v>4</v>
      </c>
      <c r="E232" s="1">
        <v>3</v>
      </c>
      <c r="F232" s="1">
        <v>9</v>
      </c>
      <c r="G232" s="1" t="s">
        <v>338</v>
      </c>
      <c r="H232" s="1" t="s">
        <v>329</v>
      </c>
      <c r="I232" s="1" t="s">
        <v>329</v>
      </c>
      <c r="J232" s="1" t="s">
        <v>329</v>
      </c>
      <c r="K232" s="1" t="s">
        <v>403</v>
      </c>
      <c r="L232" s="1" t="s">
        <v>910</v>
      </c>
      <c r="M232" s="1" t="s">
        <v>329</v>
      </c>
      <c r="N232" s="1" t="s">
        <v>329</v>
      </c>
      <c r="O232" s="1" t="s">
        <v>329</v>
      </c>
      <c r="P232" s="1" t="s">
        <v>329</v>
      </c>
      <c r="Q232" s="1" t="s">
        <v>329</v>
      </c>
      <c r="R232" s="1" t="s">
        <v>329</v>
      </c>
      <c r="S232" s="1" t="s">
        <v>329</v>
      </c>
      <c r="T232" s="1" t="s">
        <v>329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0</v>
      </c>
      <c r="AA232" s="1">
        <v>0</v>
      </c>
      <c r="AB232" s="1">
        <v>0</v>
      </c>
      <c r="AC232" s="1">
        <v>3</v>
      </c>
      <c r="AD232" s="1">
        <v>2</v>
      </c>
      <c r="AE232" s="1">
        <v>0</v>
      </c>
      <c r="AF232" s="1">
        <v>1</v>
      </c>
      <c r="AG232" t="s">
        <v>915</v>
      </c>
      <c r="AH232" s="1">
        <v>2460</v>
      </c>
      <c r="AI232" s="1" t="s">
        <v>1903</v>
      </c>
      <c r="AJ232" s="1">
        <v>0</v>
      </c>
      <c r="AK232" s="1" t="s">
        <v>329</v>
      </c>
      <c r="AL232" s="1" t="s">
        <v>2552</v>
      </c>
      <c r="AM232" s="1">
        <v>0.3</v>
      </c>
      <c r="AN232" s="1">
        <v>0.23</v>
      </c>
      <c r="AO232" s="1">
        <v>0.15</v>
      </c>
      <c r="AP232" s="1">
        <v>0.38</v>
      </c>
      <c r="AQ232" s="1">
        <v>1</v>
      </c>
      <c r="AR232" s="1" t="s">
        <v>1610</v>
      </c>
      <c r="AS232" s="1">
        <v>0</v>
      </c>
      <c r="AT232" s="1" t="s">
        <v>1866</v>
      </c>
      <c r="AU232" s="1">
        <v>10</v>
      </c>
      <c r="AV232" s="1">
        <v>9001</v>
      </c>
      <c r="AW232" s="1">
        <v>0</v>
      </c>
    </row>
    <row r="233" spans="1:49" x14ac:dyDescent="0.25">
      <c r="A233" s="1">
        <v>234</v>
      </c>
      <c r="B233" s="1" t="s">
        <v>2553</v>
      </c>
      <c r="C233" s="1" t="s">
        <v>2554</v>
      </c>
      <c r="D233" s="1">
        <v>5</v>
      </c>
      <c r="E233" s="1">
        <v>3</v>
      </c>
      <c r="F233" s="1">
        <v>9</v>
      </c>
      <c r="G233" s="1" t="s">
        <v>403</v>
      </c>
      <c r="H233" s="1" t="s">
        <v>329</v>
      </c>
      <c r="I233" s="1" t="s">
        <v>329</v>
      </c>
      <c r="J233" s="1" t="s">
        <v>329</v>
      </c>
      <c r="K233" s="1" t="s">
        <v>376</v>
      </c>
      <c r="L233" s="1" t="s">
        <v>910</v>
      </c>
      <c r="M233" s="1" t="s">
        <v>329</v>
      </c>
      <c r="N233" s="1" t="s">
        <v>329</v>
      </c>
      <c r="O233" s="1" t="s">
        <v>329</v>
      </c>
      <c r="P233" s="1" t="s">
        <v>329</v>
      </c>
      <c r="Q233" s="1" t="s">
        <v>329</v>
      </c>
      <c r="R233" s="1" t="s">
        <v>329</v>
      </c>
      <c r="S233" s="1" t="s">
        <v>329</v>
      </c>
      <c r="T233" s="1" t="s">
        <v>329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4</v>
      </c>
      <c r="AD233" s="1">
        <v>3</v>
      </c>
      <c r="AE233" s="1">
        <v>0</v>
      </c>
      <c r="AF233" s="1">
        <v>2</v>
      </c>
      <c r="AG233" t="s">
        <v>914</v>
      </c>
      <c r="AH233" s="1">
        <v>3060</v>
      </c>
      <c r="AI233" s="1" t="s">
        <v>1903</v>
      </c>
      <c r="AJ233" s="1">
        <v>0</v>
      </c>
      <c r="AK233" s="1" t="s">
        <v>329</v>
      </c>
      <c r="AL233" s="1" t="s">
        <v>2555</v>
      </c>
      <c r="AM233" s="1">
        <v>0.3</v>
      </c>
      <c r="AN233" s="1">
        <v>0.23</v>
      </c>
      <c r="AO233" s="1">
        <v>0.15</v>
      </c>
      <c r="AP233" s="1">
        <v>0.38</v>
      </c>
      <c r="AQ233" s="1">
        <v>1</v>
      </c>
      <c r="AR233" s="1" t="s">
        <v>1611</v>
      </c>
      <c r="AS233" s="1">
        <v>0</v>
      </c>
      <c r="AT233" s="1" t="s">
        <v>1866</v>
      </c>
      <c r="AU233" s="1">
        <v>10</v>
      </c>
      <c r="AV233" s="1">
        <v>9001</v>
      </c>
      <c r="AW233" s="1">
        <v>0</v>
      </c>
    </row>
    <row r="234" spans="1:49" x14ac:dyDescent="0.25">
      <c r="A234" s="1">
        <v>235</v>
      </c>
      <c r="B234" s="1" t="s">
        <v>2556</v>
      </c>
      <c r="C234" s="1" t="s">
        <v>2557</v>
      </c>
      <c r="D234" s="1">
        <v>5</v>
      </c>
      <c r="E234" s="1">
        <v>2</v>
      </c>
      <c r="F234" s="1">
        <v>7</v>
      </c>
      <c r="G234" s="1" t="s">
        <v>329</v>
      </c>
      <c r="H234" s="1" t="s">
        <v>357</v>
      </c>
      <c r="I234" s="1" t="s">
        <v>329</v>
      </c>
      <c r="J234" s="1" t="s">
        <v>329</v>
      </c>
      <c r="K234" s="1" t="s">
        <v>329</v>
      </c>
      <c r="L234" s="1" t="s">
        <v>329</v>
      </c>
      <c r="M234" s="1" t="s">
        <v>329</v>
      </c>
      <c r="N234" s="1" t="s">
        <v>329</v>
      </c>
      <c r="O234" s="1" t="s">
        <v>329</v>
      </c>
      <c r="P234" s="1" t="s">
        <v>329</v>
      </c>
      <c r="Q234" s="1" t="s">
        <v>329</v>
      </c>
      <c r="R234" s="1" t="s">
        <v>329</v>
      </c>
      <c r="S234" s="1" t="s">
        <v>329</v>
      </c>
      <c r="T234" s="1" t="s">
        <v>329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1</v>
      </c>
      <c r="AD234" s="1">
        <v>4</v>
      </c>
      <c r="AE234" s="1">
        <v>1</v>
      </c>
      <c r="AF234" s="1">
        <v>3</v>
      </c>
      <c r="AG234" t="s">
        <v>913</v>
      </c>
      <c r="AH234" s="1">
        <v>3420</v>
      </c>
      <c r="AI234" s="1" t="s">
        <v>1903</v>
      </c>
      <c r="AJ234" s="1">
        <v>0</v>
      </c>
      <c r="AK234" s="1" t="s">
        <v>329</v>
      </c>
      <c r="AL234" s="1" t="s">
        <v>2558</v>
      </c>
      <c r="AM234" s="1">
        <v>0.08</v>
      </c>
      <c r="AN234" s="1">
        <v>0.39</v>
      </c>
      <c r="AO234" s="1">
        <v>0.08</v>
      </c>
      <c r="AP234" s="1">
        <v>0.48</v>
      </c>
      <c r="AQ234" s="1">
        <v>1</v>
      </c>
      <c r="AR234" s="1" t="s">
        <v>1521</v>
      </c>
      <c r="AS234" s="1">
        <v>0</v>
      </c>
      <c r="AT234" s="1" t="s">
        <v>2559</v>
      </c>
      <c r="AU234" s="1">
        <v>10</v>
      </c>
      <c r="AV234" s="1">
        <v>7004</v>
      </c>
      <c r="AW234" s="1">
        <v>0</v>
      </c>
    </row>
    <row r="235" spans="1:49" x14ac:dyDescent="0.25">
      <c r="A235" s="1">
        <v>236</v>
      </c>
      <c r="B235" s="1" t="s">
        <v>2560</v>
      </c>
      <c r="C235" s="1" t="s">
        <v>2561</v>
      </c>
      <c r="D235" s="1">
        <v>5</v>
      </c>
      <c r="E235" s="1">
        <v>3</v>
      </c>
      <c r="F235" s="1">
        <v>20</v>
      </c>
      <c r="G235" s="1" t="s">
        <v>1635</v>
      </c>
      <c r="H235" s="1" t="s">
        <v>329</v>
      </c>
      <c r="I235" s="1" t="s">
        <v>364</v>
      </c>
      <c r="J235" s="1" t="s">
        <v>329</v>
      </c>
      <c r="K235" s="1" t="s">
        <v>329</v>
      </c>
      <c r="L235" s="1" t="s">
        <v>329</v>
      </c>
      <c r="M235" s="1" t="s">
        <v>329</v>
      </c>
      <c r="N235" s="1" t="s">
        <v>329</v>
      </c>
      <c r="O235" s="1" t="s">
        <v>329</v>
      </c>
      <c r="P235" s="1" t="s">
        <v>329</v>
      </c>
      <c r="Q235" s="1" t="s">
        <v>329</v>
      </c>
      <c r="R235" s="1" t="s">
        <v>329</v>
      </c>
      <c r="S235" s="1" t="s">
        <v>329</v>
      </c>
      <c r="T235" s="1" t="s">
        <v>329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4</v>
      </c>
      <c r="AD235" s="1">
        <v>2</v>
      </c>
      <c r="AE235" s="1">
        <v>0</v>
      </c>
      <c r="AF235" s="1">
        <v>4</v>
      </c>
      <c r="AG235" t="s">
        <v>76</v>
      </c>
      <c r="AH235" s="1">
        <v>3120</v>
      </c>
      <c r="AI235" s="1" t="s">
        <v>2562</v>
      </c>
      <c r="AJ235" s="1">
        <v>0</v>
      </c>
      <c r="AK235" s="1" t="s">
        <v>911</v>
      </c>
      <c r="AL235" s="1" t="s">
        <v>2563</v>
      </c>
      <c r="AM235" s="1">
        <v>0.3</v>
      </c>
      <c r="AN235" s="1">
        <v>0.25</v>
      </c>
      <c r="AO235" s="1">
        <v>0.12</v>
      </c>
      <c r="AP235" s="1">
        <v>0.38</v>
      </c>
      <c r="AQ235" s="1">
        <v>3</v>
      </c>
      <c r="AR235" s="1" t="s">
        <v>1612</v>
      </c>
      <c r="AS235" s="1">
        <v>116202</v>
      </c>
      <c r="AT235" s="1" t="s">
        <v>2564</v>
      </c>
      <c r="AU235" s="1">
        <v>10</v>
      </c>
      <c r="AV235" s="1">
        <v>20036</v>
      </c>
      <c r="AW235" s="1">
        <v>0</v>
      </c>
    </row>
    <row r="236" spans="1:49" x14ac:dyDescent="0.25">
      <c r="A236" s="1">
        <v>237</v>
      </c>
      <c r="B236" s="1" t="s">
        <v>2565</v>
      </c>
      <c r="C236" s="1" t="s">
        <v>2566</v>
      </c>
      <c r="D236" s="1">
        <v>5</v>
      </c>
      <c r="E236" s="1">
        <v>3</v>
      </c>
      <c r="F236" s="1">
        <v>20</v>
      </c>
      <c r="G236" s="1" t="s">
        <v>329</v>
      </c>
      <c r="H236" s="1" t="s">
        <v>329</v>
      </c>
      <c r="I236" s="1" t="s">
        <v>940</v>
      </c>
      <c r="J236" s="1" t="s">
        <v>365</v>
      </c>
      <c r="K236" s="1" t="s">
        <v>329</v>
      </c>
      <c r="L236" s="1" t="s">
        <v>329</v>
      </c>
      <c r="M236" s="1" t="s">
        <v>329</v>
      </c>
      <c r="N236" s="1" t="s">
        <v>329</v>
      </c>
      <c r="O236" s="1" t="s">
        <v>329</v>
      </c>
      <c r="P236" s="1" t="s">
        <v>329</v>
      </c>
      <c r="Q236" s="1" t="s">
        <v>329</v>
      </c>
      <c r="R236" s="1" t="s">
        <v>329</v>
      </c>
      <c r="S236" s="1" t="s">
        <v>329</v>
      </c>
      <c r="T236" s="1" t="s">
        <v>329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4</v>
      </c>
      <c r="AD236" s="1">
        <v>2</v>
      </c>
      <c r="AE236" s="1">
        <v>0</v>
      </c>
      <c r="AF236" s="1">
        <v>4</v>
      </c>
      <c r="AG236" t="s">
        <v>120</v>
      </c>
      <c r="AH236" s="1">
        <v>3120</v>
      </c>
      <c r="AI236" s="1" t="s">
        <v>1903</v>
      </c>
      <c r="AJ236" s="1">
        <v>0</v>
      </c>
      <c r="AK236" s="1" t="s">
        <v>941</v>
      </c>
      <c r="AL236" s="1" t="s">
        <v>2567</v>
      </c>
      <c r="AM236" s="1">
        <v>0.3</v>
      </c>
      <c r="AN236" s="1">
        <v>0.25</v>
      </c>
      <c r="AO236" s="1">
        <v>0.12</v>
      </c>
      <c r="AP236" s="1">
        <v>0.38</v>
      </c>
      <c r="AQ236" s="1">
        <v>3</v>
      </c>
      <c r="AR236" s="1" t="s">
        <v>1600</v>
      </c>
      <c r="AS236" s="1">
        <v>0</v>
      </c>
      <c r="AT236" s="1" t="s">
        <v>2568</v>
      </c>
      <c r="AU236" s="1">
        <v>10</v>
      </c>
      <c r="AV236" s="1">
        <v>20037</v>
      </c>
      <c r="AW236" s="1">
        <v>0</v>
      </c>
    </row>
    <row r="237" spans="1:49" x14ac:dyDescent="0.25">
      <c r="A237" s="1">
        <v>238</v>
      </c>
      <c r="B237" s="1" t="s">
        <v>2569</v>
      </c>
      <c r="C237" s="1" t="s">
        <v>2570</v>
      </c>
      <c r="D237" s="1">
        <v>5</v>
      </c>
      <c r="E237" s="1">
        <v>2</v>
      </c>
      <c r="F237" s="1">
        <v>19</v>
      </c>
      <c r="G237" s="1" t="s">
        <v>325</v>
      </c>
      <c r="H237" s="1" t="s">
        <v>329</v>
      </c>
      <c r="I237" s="1" t="s">
        <v>329</v>
      </c>
      <c r="J237" s="1" t="s">
        <v>329</v>
      </c>
      <c r="K237" s="1" t="s">
        <v>329</v>
      </c>
      <c r="L237" s="1" t="s">
        <v>329</v>
      </c>
      <c r="M237" s="1" t="s">
        <v>329</v>
      </c>
      <c r="N237" s="1" t="s">
        <v>329</v>
      </c>
      <c r="O237" s="1" t="s">
        <v>329</v>
      </c>
      <c r="P237" s="1" t="s">
        <v>329</v>
      </c>
      <c r="Q237" s="1" t="s">
        <v>329</v>
      </c>
      <c r="R237" s="1" t="s">
        <v>329</v>
      </c>
      <c r="S237" s="1" t="s">
        <v>329</v>
      </c>
      <c r="T237" s="1" t="s">
        <v>329</v>
      </c>
      <c r="U237" s="1">
        <v>0</v>
      </c>
      <c r="V237" s="1">
        <v>150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4</v>
      </c>
      <c r="AD237" s="1">
        <v>4</v>
      </c>
      <c r="AE237" s="1">
        <v>0</v>
      </c>
      <c r="AF237" s="1">
        <v>2</v>
      </c>
      <c r="AG237" t="s">
        <v>945</v>
      </c>
      <c r="AH237" s="1">
        <v>3600</v>
      </c>
      <c r="AI237" s="1" t="s">
        <v>2571</v>
      </c>
      <c r="AJ237" s="1">
        <v>0</v>
      </c>
      <c r="AK237" s="1" t="s">
        <v>938</v>
      </c>
      <c r="AL237" s="1" t="s">
        <v>2572</v>
      </c>
      <c r="AM237" s="1">
        <v>0.48</v>
      </c>
      <c r="AN237" s="1">
        <v>0.48</v>
      </c>
      <c r="AO237" s="1">
        <v>0.08</v>
      </c>
      <c r="AP237" s="1">
        <v>0.25</v>
      </c>
      <c r="AQ237" s="1">
        <v>3</v>
      </c>
      <c r="AR237" s="1" t="s">
        <v>1501</v>
      </c>
      <c r="AS237" s="1">
        <v>0</v>
      </c>
      <c r="AT237" s="1" t="s">
        <v>2528</v>
      </c>
      <c r="AU237" s="1">
        <v>10</v>
      </c>
      <c r="AV237" s="1">
        <v>19029</v>
      </c>
      <c r="AW237" s="1">
        <v>0</v>
      </c>
    </row>
    <row r="238" spans="1:49" x14ac:dyDescent="0.25">
      <c r="A238" s="1">
        <v>239</v>
      </c>
      <c r="B238" s="1" t="s">
        <v>2573</v>
      </c>
      <c r="C238" s="1" t="s">
        <v>2574</v>
      </c>
      <c r="D238" s="1">
        <v>5</v>
      </c>
      <c r="E238" s="1">
        <v>2</v>
      </c>
      <c r="F238" s="1">
        <v>19</v>
      </c>
      <c r="G238" s="1" t="s">
        <v>377</v>
      </c>
      <c r="H238" s="1" t="s">
        <v>329</v>
      </c>
      <c r="I238" s="1" t="s">
        <v>329</v>
      </c>
      <c r="J238" s="1" t="s">
        <v>329</v>
      </c>
      <c r="K238" s="1" t="s">
        <v>329</v>
      </c>
      <c r="L238" s="1" t="s">
        <v>329</v>
      </c>
      <c r="M238" s="1" t="s">
        <v>329</v>
      </c>
      <c r="N238" s="1" t="s">
        <v>942</v>
      </c>
      <c r="O238" s="1" t="s">
        <v>329</v>
      </c>
      <c r="P238" s="1" t="s">
        <v>329</v>
      </c>
      <c r="Q238" s="1" t="s">
        <v>329</v>
      </c>
      <c r="R238" s="1" t="s">
        <v>329</v>
      </c>
      <c r="S238" s="1" t="s">
        <v>329</v>
      </c>
      <c r="T238" s="1" t="s">
        <v>329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4</v>
      </c>
      <c r="AE238" s="1">
        <v>2</v>
      </c>
      <c r="AF238" s="1">
        <v>3</v>
      </c>
      <c r="AG238" t="s">
        <v>934</v>
      </c>
      <c r="AH238" s="1">
        <v>3300</v>
      </c>
      <c r="AI238" s="1" t="s">
        <v>2575</v>
      </c>
      <c r="AJ238" s="1">
        <v>0</v>
      </c>
      <c r="AK238" s="1" t="s">
        <v>937</v>
      </c>
      <c r="AL238" s="1" t="s">
        <v>2576</v>
      </c>
      <c r="AM238" s="1">
        <v>0.08</v>
      </c>
      <c r="AN238" s="1">
        <v>0.5</v>
      </c>
      <c r="AO238" s="1">
        <v>0.3</v>
      </c>
      <c r="AP238" s="1">
        <v>0.3</v>
      </c>
      <c r="AQ238" s="1">
        <v>3</v>
      </c>
      <c r="AR238" s="1" t="s">
        <v>1608</v>
      </c>
      <c r="AS238" s="1">
        <v>0</v>
      </c>
      <c r="AT238" s="1" t="s">
        <v>2577</v>
      </c>
      <c r="AU238" s="1">
        <v>10</v>
      </c>
      <c r="AV238" s="1">
        <v>19030</v>
      </c>
      <c r="AW238" s="1">
        <v>0</v>
      </c>
    </row>
    <row r="239" spans="1:49" x14ac:dyDescent="0.25">
      <c r="A239" s="1">
        <v>240</v>
      </c>
      <c r="B239" s="1" t="s">
        <v>2578</v>
      </c>
      <c r="C239" s="1" t="s">
        <v>2579</v>
      </c>
      <c r="D239" s="1">
        <v>5</v>
      </c>
      <c r="E239" s="1">
        <v>3</v>
      </c>
      <c r="F239" s="1">
        <v>20</v>
      </c>
      <c r="G239" s="1" t="s">
        <v>329</v>
      </c>
      <c r="H239" s="1" t="s">
        <v>329</v>
      </c>
      <c r="I239" s="1" t="s">
        <v>329</v>
      </c>
      <c r="J239" s="1" t="s">
        <v>365</v>
      </c>
      <c r="K239" s="1" t="s">
        <v>329</v>
      </c>
      <c r="L239" s="1" t="s">
        <v>329</v>
      </c>
      <c r="M239" s="1" t="s">
        <v>329</v>
      </c>
      <c r="N239" s="1" t="s">
        <v>329</v>
      </c>
      <c r="O239" s="1" t="s">
        <v>359</v>
      </c>
      <c r="P239" s="1" t="s">
        <v>329</v>
      </c>
      <c r="Q239" s="1" t="s">
        <v>329</v>
      </c>
      <c r="R239" s="1" t="s">
        <v>329</v>
      </c>
      <c r="S239" s="1" t="s">
        <v>329</v>
      </c>
      <c r="T239" s="1" t="s">
        <v>329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2</v>
      </c>
      <c r="AD239" s="1">
        <v>2</v>
      </c>
      <c r="AE239" s="1">
        <v>3</v>
      </c>
      <c r="AF239" s="1">
        <v>3</v>
      </c>
      <c r="AG239" t="s">
        <v>935</v>
      </c>
      <c r="AH239" s="1">
        <v>3060</v>
      </c>
      <c r="AI239" s="1" t="s">
        <v>1903</v>
      </c>
      <c r="AJ239" s="1">
        <v>0</v>
      </c>
      <c r="AK239" s="1" t="s">
        <v>943</v>
      </c>
      <c r="AL239" s="1" t="s">
        <v>2580</v>
      </c>
      <c r="AM239" s="1">
        <v>0.23</v>
      </c>
      <c r="AN239" s="1">
        <v>0.23</v>
      </c>
      <c r="AO239" s="1">
        <v>0.33</v>
      </c>
      <c r="AP239" s="1">
        <v>0.33</v>
      </c>
      <c r="AQ239" s="1">
        <v>3</v>
      </c>
      <c r="AR239" s="1" t="s">
        <v>1613</v>
      </c>
      <c r="AS239" s="1">
        <v>0</v>
      </c>
      <c r="AT239" s="1" t="s">
        <v>1866</v>
      </c>
      <c r="AU239" s="1">
        <v>10</v>
      </c>
      <c r="AV239" s="1">
        <v>20038</v>
      </c>
      <c r="AW239" s="1">
        <v>0</v>
      </c>
    </row>
    <row r="240" spans="1:49" x14ac:dyDescent="0.25">
      <c r="A240" s="1">
        <v>241</v>
      </c>
      <c r="B240" s="1" t="s">
        <v>2581</v>
      </c>
      <c r="C240" s="1" t="s">
        <v>2582</v>
      </c>
      <c r="D240" s="1">
        <v>5</v>
      </c>
      <c r="E240" s="1">
        <v>2</v>
      </c>
      <c r="F240" s="1">
        <v>19</v>
      </c>
      <c r="G240" s="1" t="s">
        <v>399</v>
      </c>
      <c r="H240" s="1" t="s">
        <v>407</v>
      </c>
      <c r="I240" s="1" t="s">
        <v>329</v>
      </c>
      <c r="J240" s="1" t="s">
        <v>329</v>
      </c>
      <c r="K240" s="1" t="s">
        <v>329</v>
      </c>
      <c r="L240" s="1" t="s">
        <v>329</v>
      </c>
      <c r="M240" s="1" t="s">
        <v>329</v>
      </c>
      <c r="N240" s="1" t="s">
        <v>353</v>
      </c>
      <c r="O240" s="1" t="s">
        <v>329</v>
      </c>
      <c r="P240" s="1" t="s">
        <v>329</v>
      </c>
      <c r="Q240" s="1" t="s">
        <v>329</v>
      </c>
      <c r="R240" s="1" t="s">
        <v>329</v>
      </c>
      <c r="S240" s="1" t="s">
        <v>329</v>
      </c>
      <c r="T240" s="1" t="s">
        <v>329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4</v>
      </c>
      <c r="AE240" s="1">
        <v>2</v>
      </c>
      <c r="AF240" s="1">
        <v>3</v>
      </c>
      <c r="AG240" t="s">
        <v>936</v>
      </c>
      <c r="AH240" s="1">
        <v>3300</v>
      </c>
      <c r="AI240" s="1" t="s">
        <v>1903</v>
      </c>
      <c r="AJ240" s="1">
        <v>0</v>
      </c>
      <c r="AK240" s="1" t="s">
        <v>944</v>
      </c>
      <c r="AL240" s="1" t="s">
        <v>2583</v>
      </c>
      <c r="AM240" s="1">
        <v>0.08</v>
      </c>
      <c r="AN240" s="1">
        <v>0.5</v>
      </c>
      <c r="AO240" s="1">
        <v>0.3</v>
      </c>
      <c r="AP240" s="1">
        <v>0.3</v>
      </c>
      <c r="AQ240" s="1">
        <v>3</v>
      </c>
      <c r="AR240" s="1" t="s">
        <v>1614</v>
      </c>
      <c r="AS240" s="1">
        <v>0</v>
      </c>
      <c r="AT240" s="1" t="s">
        <v>1866</v>
      </c>
      <c r="AU240" s="1">
        <v>10</v>
      </c>
      <c r="AV240" s="1">
        <v>19031</v>
      </c>
      <c r="AW240" s="1">
        <v>0</v>
      </c>
    </row>
    <row r="241" spans="1:49" x14ac:dyDescent="0.25">
      <c r="A241" s="1">
        <v>242</v>
      </c>
      <c r="B241" s="1" t="s">
        <v>2584</v>
      </c>
      <c r="C241" s="1" t="s">
        <v>2585</v>
      </c>
      <c r="D241" s="1">
        <v>5</v>
      </c>
      <c r="E241" s="1">
        <v>2</v>
      </c>
      <c r="F241" s="1">
        <v>19</v>
      </c>
      <c r="G241" s="1" t="s">
        <v>332</v>
      </c>
      <c r="H241" s="1" t="s">
        <v>329</v>
      </c>
      <c r="I241" s="1" t="s">
        <v>329</v>
      </c>
      <c r="J241" s="1" t="s">
        <v>329</v>
      </c>
      <c r="K241" s="1" t="s">
        <v>329</v>
      </c>
      <c r="L241" s="1" t="s">
        <v>329</v>
      </c>
      <c r="M241" s="1" t="s">
        <v>329</v>
      </c>
      <c r="N241" s="1" t="s">
        <v>353</v>
      </c>
      <c r="O241" s="1" t="s">
        <v>329</v>
      </c>
      <c r="P241" s="1" t="s">
        <v>329</v>
      </c>
      <c r="Q241" s="1" t="s">
        <v>329</v>
      </c>
      <c r="R241" s="1" t="s">
        <v>329</v>
      </c>
      <c r="S241" s="1" t="s">
        <v>329</v>
      </c>
      <c r="T241" s="1" t="s">
        <v>329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4</v>
      </c>
      <c r="AE241" s="1">
        <v>2</v>
      </c>
      <c r="AF241" s="1">
        <v>3</v>
      </c>
      <c r="AG241" t="s">
        <v>92</v>
      </c>
      <c r="AH241" s="1">
        <v>3300</v>
      </c>
      <c r="AI241" s="1" t="s">
        <v>1903</v>
      </c>
      <c r="AJ241" s="1">
        <v>0</v>
      </c>
      <c r="AK241" s="1" t="s">
        <v>1615</v>
      </c>
      <c r="AL241" s="1" t="s">
        <v>2586</v>
      </c>
      <c r="AM241" s="1">
        <v>0.08</v>
      </c>
      <c r="AN241" s="1">
        <v>0.5</v>
      </c>
      <c r="AO241" s="1">
        <v>0.3</v>
      </c>
      <c r="AP241" s="1">
        <v>0.3</v>
      </c>
      <c r="AQ241" s="1">
        <v>3</v>
      </c>
      <c r="AR241" s="1" t="s">
        <v>1580</v>
      </c>
      <c r="AS241" s="1">
        <v>756005</v>
      </c>
      <c r="AT241" s="1" t="s">
        <v>2587</v>
      </c>
      <c r="AU241" s="1">
        <v>10</v>
      </c>
      <c r="AV241" s="1">
        <v>19032</v>
      </c>
      <c r="AW241" s="1">
        <v>0</v>
      </c>
    </row>
    <row r="242" spans="1:49" x14ac:dyDescent="0.25">
      <c r="A242" s="1">
        <v>243</v>
      </c>
      <c r="B242" s="1" t="s">
        <v>2588</v>
      </c>
      <c r="C242" s="1" t="s">
        <v>2589</v>
      </c>
      <c r="D242" s="1">
        <v>5</v>
      </c>
      <c r="E242" s="1">
        <v>1</v>
      </c>
      <c r="F242" s="1">
        <v>18</v>
      </c>
      <c r="G242" s="1" t="s">
        <v>399</v>
      </c>
      <c r="H242" s="1" t="s">
        <v>329</v>
      </c>
      <c r="I242" s="1" t="s">
        <v>329</v>
      </c>
      <c r="J242" s="1" t="s">
        <v>329</v>
      </c>
      <c r="K242" s="1" t="s">
        <v>329</v>
      </c>
      <c r="L242" s="1" t="s">
        <v>329</v>
      </c>
      <c r="M242" s="1" t="s">
        <v>328</v>
      </c>
      <c r="N242" s="1" t="s">
        <v>329</v>
      </c>
      <c r="O242" s="1" t="s">
        <v>329</v>
      </c>
      <c r="P242" s="1" t="s">
        <v>329</v>
      </c>
      <c r="Q242" s="1" t="s">
        <v>329</v>
      </c>
      <c r="R242" s="1" t="s">
        <v>329</v>
      </c>
      <c r="S242" s="1" t="s">
        <v>329</v>
      </c>
      <c r="T242" s="1" t="s">
        <v>329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4</v>
      </c>
      <c r="AD242" s="1">
        <v>0</v>
      </c>
      <c r="AE242" s="1">
        <v>3</v>
      </c>
      <c r="AF242" s="1">
        <v>2</v>
      </c>
      <c r="AG242" t="s">
        <v>1211</v>
      </c>
      <c r="AH242" s="1">
        <v>3600</v>
      </c>
      <c r="AI242" s="1" t="s">
        <v>2101</v>
      </c>
      <c r="AJ242" s="1">
        <v>0</v>
      </c>
      <c r="AK242" s="1" t="s">
        <v>1616</v>
      </c>
      <c r="AL242" s="1" t="s">
        <v>2590</v>
      </c>
      <c r="AM242" s="1">
        <v>0.45</v>
      </c>
      <c r="AN242" s="1">
        <v>0.15</v>
      </c>
      <c r="AO242" s="1">
        <v>0.3</v>
      </c>
      <c r="AP242" s="1">
        <v>0.15</v>
      </c>
      <c r="AQ242" s="1">
        <v>3</v>
      </c>
      <c r="AR242" s="1" t="s">
        <v>1617</v>
      </c>
      <c r="AS242" s="1">
        <v>0</v>
      </c>
      <c r="AT242" s="1" t="s">
        <v>1866</v>
      </c>
      <c r="AU242" s="1">
        <v>10</v>
      </c>
      <c r="AV242" s="1">
        <v>18070</v>
      </c>
      <c r="AW242" s="1">
        <v>0</v>
      </c>
    </row>
    <row r="243" spans="1:49" x14ac:dyDescent="0.25">
      <c r="A243" s="1">
        <v>244</v>
      </c>
      <c r="B243" s="1" t="s">
        <v>2591</v>
      </c>
      <c r="C243" s="1" t="s">
        <v>2592</v>
      </c>
      <c r="D243" s="1">
        <v>5</v>
      </c>
      <c r="E243" s="1">
        <v>1</v>
      </c>
      <c r="F243" s="1">
        <v>18</v>
      </c>
      <c r="G243" s="1" t="s">
        <v>338</v>
      </c>
      <c r="H243" s="1" t="s">
        <v>339</v>
      </c>
      <c r="I243" s="1" t="s">
        <v>359</v>
      </c>
      <c r="J243" s="1" t="s">
        <v>329</v>
      </c>
      <c r="K243" s="1" t="s">
        <v>329</v>
      </c>
      <c r="L243" s="1" t="s">
        <v>329</v>
      </c>
      <c r="M243" s="1" t="s">
        <v>329</v>
      </c>
      <c r="N243" s="1" t="s">
        <v>329</v>
      </c>
      <c r="O243" s="1" t="s">
        <v>329</v>
      </c>
      <c r="P243" s="1" t="s">
        <v>329</v>
      </c>
      <c r="Q243" s="1" t="s">
        <v>329</v>
      </c>
      <c r="R243" s="1" t="s">
        <v>329</v>
      </c>
      <c r="S243" s="1" t="s">
        <v>329</v>
      </c>
      <c r="T243" s="1" t="s">
        <v>329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4</v>
      </c>
      <c r="AD243" s="1">
        <v>0</v>
      </c>
      <c r="AE243" s="1">
        <v>3</v>
      </c>
      <c r="AF243" s="1">
        <v>2</v>
      </c>
      <c r="AG243" t="s">
        <v>1161</v>
      </c>
      <c r="AH243" s="1">
        <v>3600</v>
      </c>
      <c r="AI243" s="1" t="s">
        <v>1903</v>
      </c>
      <c r="AJ243" s="1">
        <v>0</v>
      </c>
      <c r="AK243" s="1" t="s">
        <v>1500</v>
      </c>
      <c r="AL243" s="1" t="s">
        <v>2593</v>
      </c>
      <c r="AM243" s="1">
        <v>0.45</v>
      </c>
      <c r="AN243" s="1">
        <v>0.15</v>
      </c>
      <c r="AO243" s="1">
        <v>0.3</v>
      </c>
      <c r="AP243" s="1">
        <v>0.15</v>
      </c>
      <c r="AQ243" s="1">
        <v>3</v>
      </c>
      <c r="AR243" s="1" t="s">
        <v>1618</v>
      </c>
      <c r="AS243" s="1">
        <v>0</v>
      </c>
      <c r="AT243" s="1" t="s">
        <v>1866</v>
      </c>
      <c r="AU243" s="1">
        <v>10</v>
      </c>
      <c r="AV243" s="1">
        <v>18071</v>
      </c>
      <c r="AW243" s="1">
        <v>0</v>
      </c>
    </row>
    <row r="244" spans="1:49" x14ac:dyDescent="0.25">
      <c r="A244" s="1">
        <v>245</v>
      </c>
      <c r="B244" s="1" t="s">
        <v>2594</v>
      </c>
      <c r="C244" s="1" t="s">
        <v>2595</v>
      </c>
      <c r="D244" s="1">
        <v>5</v>
      </c>
      <c r="E244" s="1">
        <v>1</v>
      </c>
      <c r="F244" s="1">
        <v>18</v>
      </c>
      <c r="G244" s="1" t="s">
        <v>329</v>
      </c>
      <c r="H244" s="1" t="s">
        <v>360</v>
      </c>
      <c r="I244" s="1" t="s">
        <v>359</v>
      </c>
      <c r="J244" s="1" t="s">
        <v>329</v>
      </c>
      <c r="K244" s="1" t="s">
        <v>329</v>
      </c>
      <c r="L244" s="1" t="s">
        <v>329</v>
      </c>
      <c r="M244" s="1" t="s">
        <v>904</v>
      </c>
      <c r="N244" s="1" t="s">
        <v>329</v>
      </c>
      <c r="O244" s="1" t="s">
        <v>329</v>
      </c>
      <c r="P244" s="1" t="s">
        <v>329</v>
      </c>
      <c r="Q244" s="1" t="s">
        <v>329</v>
      </c>
      <c r="R244" s="1" t="s">
        <v>329</v>
      </c>
      <c r="S244" s="1" t="s">
        <v>329</v>
      </c>
      <c r="T244" s="1" t="s">
        <v>329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4</v>
      </c>
      <c r="AD244" s="1">
        <v>2</v>
      </c>
      <c r="AE244" s="1">
        <v>2</v>
      </c>
      <c r="AF244" s="1">
        <v>2</v>
      </c>
      <c r="AG244" t="s">
        <v>75</v>
      </c>
      <c r="AH244" s="1">
        <v>3540</v>
      </c>
      <c r="AI244" s="1" t="s">
        <v>2596</v>
      </c>
      <c r="AJ244" s="1">
        <v>0</v>
      </c>
      <c r="AK244" s="1" t="s">
        <v>1619</v>
      </c>
      <c r="AL244" s="1" t="s">
        <v>2597</v>
      </c>
      <c r="AM244" s="1">
        <v>0.45</v>
      </c>
      <c r="AN244" s="1">
        <v>0.15</v>
      </c>
      <c r="AO244" s="1">
        <v>0.3</v>
      </c>
      <c r="AP244" s="1">
        <v>0.15</v>
      </c>
      <c r="AQ244" s="1">
        <v>3</v>
      </c>
      <c r="AR244" s="1" t="s">
        <v>1620</v>
      </c>
      <c r="AS244" s="1">
        <v>0</v>
      </c>
      <c r="AT244" s="1" t="s">
        <v>1866</v>
      </c>
      <c r="AU244" s="1">
        <v>10</v>
      </c>
      <c r="AV244" s="1">
        <v>18072</v>
      </c>
      <c r="AW244" s="1">
        <v>0</v>
      </c>
    </row>
    <row r="245" spans="1:49" x14ac:dyDescent="0.25">
      <c r="A245" s="1">
        <v>246</v>
      </c>
      <c r="B245" s="1" t="s">
        <v>2598</v>
      </c>
      <c r="C245" s="1" t="s">
        <v>2599</v>
      </c>
      <c r="D245" s="1">
        <v>5</v>
      </c>
      <c r="E245" s="1">
        <v>1</v>
      </c>
      <c r="F245" s="1">
        <v>18</v>
      </c>
      <c r="G245" s="1" t="s">
        <v>329</v>
      </c>
      <c r="H245" s="1" t="s">
        <v>329</v>
      </c>
      <c r="I245" s="1" t="s">
        <v>342</v>
      </c>
      <c r="J245" s="1" t="s">
        <v>329</v>
      </c>
      <c r="K245" s="1" t="s">
        <v>329</v>
      </c>
      <c r="L245" s="1" t="s">
        <v>329</v>
      </c>
      <c r="M245" s="1" t="s">
        <v>386</v>
      </c>
      <c r="N245" s="1" t="s">
        <v>329</v>
      </c>
      <c r="O245" s="1" t="s">
        <v>329</v>
      </c>
      <c r="P245" s="1" t="s">
        <v>329</v>
      </c>
      <c r="Q245" s="1" t="s">
        <v>329</v>
      </c>
      <c r="R245" s="1" t="s">
        <v>329</v>
      </c>
      <c r="S245" s="1" t="s">
        <v>329</v>
      </c>
      <c r="T245" s="1" t="s">
        <v>329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4</v>
      </c>
      <c r="AD245" s="1">
        <v>2</v>
      </c>
      <c r="AE245" s="1">
        <v>2</v>
      </c>
      <c r="AF245" s="1">
        <v>2</v>
      </c>
      <c r="AG245" t="s">
        <v>192</v>
      </c>
      <c r="AH245" s="1">
        <v>2820</v>
      </c>
      <c r="AI245" s="1" t="s">
        <v>2600</v>
      </c>
      <c r="AJ245" s="1">
        <v>0</v>
      </c>
      <c r="AK245" s="1" t="s">
        <v>1621</v>
      </c>
      <c r="AL245" s="1" t="s">
        <v>2601</v>
      </c>
      <c r="AM245" s="1">
        <v>0.55000000000000004</v>
      </c>
      <c r="AN245" s="1">
        <v>0.23</v>
      </c>
      <c r="AO245" s="1">
        <v>0.23</v>
      </c>
      <c r="AP245" s="1">
        <v>0.23</v>
      </c>
      <c r="AQ245" s="1">
        <v>3</v>
      </c>
      <c r="AR245" s="1" t="s">
        <v>1622</v>
      </c>
      <c r="AS245" s="1">
        <v>0</v>
      </c>
      <c r="AT245" s="1" t="s">
        <v>2602</v>
      </c>
      <c r="AU245" s="1">
        <v>10</v>
      </c>
      <c r="AV245" s="1">
        <v>18073</v>
      </c>
      <c r="AW245" s="1">
        <v>0</v>
      </c>
    </row>
    <row r="246" spans="1:49" x14ac:dyDescent="0.25">
      <c r="A246" s="1">
        <v>247</v>
      </c>
      <c r="B246" s="1" t="s">
        <v>2603</v>
      </c>
      <c r="C246" s="1" t="s">
        <v>2604</v>
      </c>
      <c r="D246" s="1">
        <v>5</v>
      </c>
      <c r="E246" s="1">
        <v>1</v>
      </c>
      <c r="F246" s="1">
        <v>18</v>
      </c>
      <c r="G246" s="1" t="s">
        <v>329</v>
      </c>
      <c r="H246" s="1" t="s">
        <v>329</v>
      </c>
      <c r="I246" s="1" t="s">
        <v>329</v>
      </c>
      <c r="J246" s="1" t="s">
        <v>329</v>
      </c>
      <c r="K246" s="1" t="s">
        <v>329</v>
      </c>
      <c r="L246" s="1" t="s">
        <v>403</v>
      </c>
      <c r="M246" s="1" t="s">
        <v>364</v>
      </c>
      <c r="N246" s="1" t="s">
        <v>329</v>
      </c>
      <c r="O246" s="1" t="s">
        <v>329</v>
      </c>
      <c r="P246" s="1" t="s">
        <v>329</v>
      </c>
      <c r="Q246" s="1" t="s">
        <v>329</v>
      </c>
      <c r="R246" s="1" t="s">
        <v>329</v>
      </c>
      <c r="S246" s="1" t="s">
        <v>329</v>
      </c>
      <c r="T246" s="1" t="s">
        <v>329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4</v>
      </c>
      <c r="AD246" s="1">
        <v>0</v>
      </c>
      <c r="AE246" s="1">
        <v>3</v>
      </c>
      <c r="AF246" s="1">
        <v>2</v>
      </c>
      <c r="AG246" t="s">
        <v>1265</v>
      </c>
      <c r="AH246" s="1">
        <v>3600</v>
      </c>
      <c r="AI246" s="1" t="s">
        <v>2605</v>
      </c>
      <c r="AJ246" s="1">
        <v>0</v>
      </c>
      <c r="AK246" s="1" t="s">
        <v>1400</v>
      </c>
      <c r="AL246" s="1" t="s">
        <v>2606</v>
      </c>
      <c r="AM246" s="1">
        <v>0.45</v>
      </c>
      <c r="AN246" s="1">
        <v>0.15</v>
      </c>
      <c r="AO246" s="1">
        <v>0.3</v>
      </c>
      <c r="AP246" s="1">
        <v>0.15</v>
      </c>
      <c r="AQ246" s="1">
        <v>3</v>
      </c>
      <c r="AR246" s="1" t="s">
        <v>1623</v>
      </c>
      <c r="AS246" s="1">
        <v>0</v>
      </c>
      <c r="AT246" s="1" t="s">
        <v>1866</v>
      </c>
      <c r="AU246" s="1">
        <v>10</v>
      </c>
      <c r="AV246" s="1">
        <v>18074</v>
      </c>
      <c r="AW246" s="1">
        <v>0</v>
      </c>
    </row>
    <row r="247" spans="1:49" x14ac:dyDescent="0.25">
      <c r="A247" s="1">
        <v>248</v>
      </c>
      <c r="B247" s="1" t="s">
        <v>2607</v>
      </c>
      <c r="C247" s="1" t="s">
        <v>2608</v>
      </c>
      <c r="D247" s="1">
        <v>5</v>
      </c>
      <c r="E247" s="1">
        <v>3</v>
      </c>
      <c r="F247" s="1">
        <v>20</v>
      </c>
      <c r="G247" s="1" t="s">
        <v>403</v>
      </c>
      <c r="H247" s="1" t="s">
        <v>329</v>
      </c>
      <c r="I247" s="1" t="s">
        <v>329</v>
      </c>
      <c r="J247" s="1" t="s">
        <v>329</v>
      </c>
      <c r="K247" s="1" t="s">
        <v>376</v>
      </c>
      <c r="L247" s="1" t="s">
        <v>329</v>
      </c>
      <c r="M247" s="1" t="s">
        <v>329</v>
      </c>
      <c r="N247" s="1" t="s">
        <v>329</v>
      </c>
      <c r="O247" s="1" t="s">
        <v>329</v>
      </c>
      <c r="P247" s="1" t="s">
        <v>329</v>
      </c>
      <c r="Q247" s="1" t="s">
        <v>329</v>
      </c>
      <c r="R247" s="1" t="s">
        <v>329</v>
      </c>
      <c r="S247" s="1" t="s">
        <v>329</v>
      </c>
      <c r="T247" s="1" t="s">
        <v>329</v>
      </c>
      <c r="U247" s="1">
        <v>0</v>
      </c>
      <c r="V247" s="1">
        <v>0</v>
      </c>
      <c r="W247" s="1">
        <v>0</v>
      </c>
      <c r="X247" s="1">
        <v>0</v>
      </c>
      <c r="Y247" s="1">
        <v>0</v>
      </c>
      <c r="Z247" s="1">
        <v>0</v>
      </c>
      <c r="AA247" s="1">
        <v>0</v>
      </c>
      <c r="AB247" s="1">
        <v>0</v>
      </c>
      <c r="AC247" s="1">
        <v>4</v>
      </c>
      <c r="AD247" s="1">
        <v>3</v>
      </c>
      <c r="AE247" s="1">
        <v>0</v>
      </c>
      <c r="AF247" s="1">
        <v>2</v>
      </c>
      <c r="AG247" t="s">
        <v>1636</v>
      </c>
      <c r="AH247" s="1">
        <v>3060</v>
      </c>
      <c r="AI247" s="1" t="s">
        <v>1903</v>
      </c>
      <c r="AJ247" s="1">
        <v>0</v>
      </c>
      <c r="AK247" s="1" t="s">
        <v>408</v>
      </c>
      <c r="AL247" s="1" t="s">
        <v>2609</v>
      </c>
      <c r="AM247" s="1">
        <v>0.3</v>
      </c>
      <c r="AN247" s="1">
        <v>0.23</v>
      </c>
      <c r="AO247" s="1">
        <v>0.15</v>
      </c>
      <c r="AP247" s="1">
        <v>0.38</v>
      </c>
      <c r="AQ247" s="1">
        <v>3</v>
      </c>
      <c r="AR247" s="1" t="s">
        <v>1611</v>
      </c>
      <c r="AS247" s="1">
        <v>0</v>
      </c>
      <c r="AT247" s="1" t="s">
        <v>2610</v>
      </c>
      <c r="AU247" s="1">
        <v>10</v>
      </c>
      <c r="AV247" s="1">
        <v>20042</v>
      </c>
      <c r="AW247" s="1">
        <v>0</v>
      </c>
    </row>
    <row r="248" spans="1:49" x14ac:dyDescent="0.25">
      <c r="A248" s="1">
        <v>249</v>
      </c>
      <c r="B248" s="1" t="s">
        <v>2611</v>
      </c>
      <c r="C248" s="1" t="s">
        <v>2612</v>
      </c>
      <c r="D248" s="1">
        <v>5</v>
      </c>
      <c r="E248" s="1">
        <v>1</v>
      </c>
      <c r="F248" s="1">
        <v>18</v>
      </c>
      <c r="G248" s="1" t="s">
        <v>1749</v>
      </c>
      <c r="H248" s="1" t="s">
        <v>392</v>
      </c>
      <c r="I248" s="1" t="s">
        <v>392</v>
      </c>
      <c r="J248" s="1" t="s">
        <v>329</v>
      </c>
      <c r="K248" s="1" t="s">
        <v>329</v>
      </c>
      <c r="L248" s="1" t="s">
        <v>329</v>
      </c>
      <c r="M248" s="1" t="s">
        <v>329</v>
      </c>
      <c r="N248" s="1" t="s">
        <v>329</v>
      </c>
      <c r="O248" s="1" t="s">
        <v>329</v>
      </c>
      <c r="P248" s="1" t="s">
        <v>329</v>
      </c>
      <c r="Q248" s="1" t="s">
        <v>329</v>
      </c>
      <c r="R248" s="1" t="s">
        <v>329</v>
      </c>
      <c r="S248" s="1" t="s">
        <v>329</v>
      </c>
      <c r="T248" s="1" t="s">
        <v>329</v>
      </c>
      <c r="U248" s="1">
        <v>0</v>
      </c>
      <c r="V248" s="1">
        <v>0</v>
      </c>
      <c r="W248" s="1">
        <v>0</v>
      </c>
      <c r="X248" s="1">
        <v>0</v>
      </c>
      <c r="Y248" s="1">
        <v>0</v>
      </c>
      <c r="Z248" s="1">
        <v>0</v>
      </c>
      <c r="AA248" s="1">
        <v>0</v>
      </c>
      <c r="AB248" s="1">
        <v>0</v>
      </c>
      <c r="AC248" s="1">
        <v>4</v>
      </c>
      <c r="AD248" s="1">
        <v>2</v>
      </c>
      <c r="AE248" s="1">
        <v>2</v>
      </c>
      <c r="AF248" s="1">
        <v>2</v>
      </c>
      <c r="AG248" t="s">
        <v>1655</v>
      </c>
      <c r="AH248" s="1">
        <v>3600</v>
      </c>
      <c r="AI248" s="1" t="s">
        <v>1903</v>
      </c>
      <c r="AJ248" s="1">
        <v>0</v>
      </c>
      <c r="AK248" s="1" t="s">
        <v>1750</v>
      </c>
      <c r="AL248" s="1" t="s">
        <v>2613</v>
      </c>
      <c r="AM248" s="1">
        <v>0.55000000000000004</v>
      </c>
      <c r="AN248" s="1">
        <v>0.23</v>
      </c>
      <c r="AO248" s="1">
        <v>0.23</v>
      </c>
      <c r="AP248" s="1">
        <v>0.23</v>
      </c>
      <c r="AQ248" s="1">
        <v>3</v>
      </c>
      <c r="AR248" s="1" t="s">
        <v>1751</v>
      </c>
      <c r="AS248" s="1">
        <v>0</v>
      </c>
      <c r="AT248" s="1" t="s">
        <v>1866</v>
      </c>
      <c r="AU248" s="1">
        <v>10</v>
      </c>
      <c r="AV248" s="1">
        <v>18077</v>
      </c>
      <c r="AW248" s="1">
        <v>0</v>
      </c>
    </row>
    <row r="249" spans="1:49" x14ac:dyDescent="0.25">
      <c r="A249" s="1">
        <v>250</v>
      </c>
      <c r="B249" s="1" t="s">
        <v>2614</v>
      </c>
      <c r="C249" s="1" t="s">
        <v>2615</v>
      </c>
      <c r="D249" s="1">
        <v>5</v>
      </c>
      <c r="E249" s="1">
        <v>3</v>
      </c>
      <c r="F249" s="1">
        <v>20</v>
      </c>
      <c r="G249" s="1" t="s">
        <v>403</v>
      </c>
      <c r="H249" s="1" t="s">
        <v>329</v>
      </c>
      <c r="I249" s="1" t="s">
        <v>364</v>
      </c>
      <c r="J249" s="1" t="s">
        <v>329</v>
      </c>
      <c r="K249" s="1" t="s">
        <v>329</v>
      </c>
      <c r="L249" s="1" t="s">
        <v>329</v>
      </c>
      <c r="M249" s="1" t="s">
        <v>329</v>
      </c>
      <c r="N249" s="1" t="s">
        <v>329</v>
      </c>
      <c r="O249" s="1" t="s">
        <v>329</v>
      </c>
      <c r="P249" s="1" t="s">
        <v>329</v>
      </c>
      <c r="Q249" s="1" t="s">
        <v>329</v>
      </c>
      <c r="R249" s="1" t="s">
        <v>329</v>
      </c>
      <c r="S249" s="1" t="s">
        <v>329</v>
      </c>
      <c r="T249" s="1" t="s">
        <v>329</v>
      </c>
      <c r="U249" s="1">
        <v>0</v>
      </c>
      <c r="V249" s="1">
        <v>0</v>
      </c>
      <c r="W249" s="1">
        <v>0</v>
      </c>
      <c r="X249" s="1">
        <v>0</v>
      </c>
      <c r="Y249" s="1">
        <v>0</v>
      </c>
      <c r="Z249" s="1">
        <v>0</v>
      </c>
      <c r="AA249" s="1">
        <v>0</v>
      </c>
      <c r="AB249" s="1">
        <v>0</v>
      </c>
      <c r="AC249" s="1">
        <v>4</v>
      </c>
      <c r="AD249" s="1">
        <v>2</v>
      </c>
      <c r="AE249" s="1">
        <v>0</v>
      </c>
      <c r="AF249" s="1">
        <v>4</v>
      </c>
      <c r="AG249" t="s">
        <v>1748</v>
      </c>
      <c r="AH249" s="1">
        <v>3120</v>
      </c>
      <c r="AI249" s="1" t="s">
        <v>2562</v>
      </c>
      <c r="AJ249" s="1">
        <v>0</v>
      </c>
      <c r="AK249" s="1" t="s">
        <v>1752</v>
      </c>
      <c r="AL249" s="1" t="s">
        <v>2616</v>
      </c>
      <c r="AM249" s="1">
        <v>0.3</v>
      </c>
      <c r="AN249" s="1">
        <v>0.25</v>
      </c>
      <c r="AO249" s="1">
        <v>0.12</v>
      </c>
      <c r="AP249" s="1">
        <v>0.38</v>
      </c>
      <c r="AQ249" s="1">
        <v>3</v>
      </c>
      <c r="AR249" s="1" t="s">
        <v>1753</v>
      </c>
      <c r="AS249" s="1">
        <v>0</v>
      </c>
      <c r="AT249" s="1" t="s">
        <v>2617</v>
      </c>
      <c r="AU249" s="1">
        <v>10</v>
      </c>
      <c r="AV249" s="1">
        <v>20043</v>
      </c>
      <c r="AW249" s="1">
        <v>0</v>
      </c>
    </row>
    <row r="250" spans="1:49" x14ac:dyDescent="0.25">
      <c r="A250" s="1">
        <v>251</v>
      </c>
      <c r="B250" s="1" t="s">
        <v>2618</v>
      </c>
      <c r="C250" s="1" t="s">
        <v>2619</v>
      </c>
      <c r="D250" s="1">
        <v>5</v>
      </c>
      <c r="E250" s="1">
        <v>1</v>
      </c>
      <c r="F250" s="1">
        <v>18</v>
      </c>
      <c r="G250" s="1" t="s">
        <v>329</v>
      </c>
      <c r="H250" s="1" t="s">
        <v>1624</v>
      </c>
      <c r="I250" s="1" t="s">
        <v>336</v>
      </c>
      <c r="J250" s="1" t="s">
        <v>329</v>
      </c>
      <c r="K250" s="1" t="s">
        <v>329</v>
      </c>
      <c r="L250" s="1" t="s">
        <v>329</v>
      </c>
      <c r="M250" s="1" t="s">
        <v>329</v>
      </c>
      <c r="N250" s="1" t="s">
        <v>329</v>
      </c>
      <c r="O250" s="1" t="s">
        <v>329</v>
      </c>
      <c r="P250" s="1" t="s">
        <v>329</v>
      </c>
      <c r="Q250" s="1" t="s">
        <v>329</v>
      </c>
      <c r="R250" s="1" t="s">
        <v>329</v>
      </c>
      <c r="S250" s="1" t="s">
        <v>329</v>
      </c>
      <c r="T250" s="1" t="s">
        <v>329</v>
      </c>
      <c r="U250" s="1">
        <v>0</v>
      </c>
      <c r="V250" s="1">
        <v>0</v>
      </c>
      <c r="W250" s="1">
        <v>0</v>
      </c>
      <c r="X250" s="1">
        <v>0</v>
      </c>
      <c r="Y250" s="1">
        <v>0</v>
      </c>
      <c r="Z250" s="1">
        <v>0</v>
      </c>
      <c r="AA250" s="1">
        <v>0</v>
      </c>
      <c r="AB250" s="1">
        <v>0</v>
      </c>
      <c r="AC250" s="1">
        <v>4</v>
      </c>
      <c r="AD250" s="1">
        <v>0</v>
      </c>
      <c r="AE250" s="1">
        <v>3</v>
      </c>
      <c r="AF250" s="1">
        <v>2</v>
      </c>
      <c r="AG250" t="s">
        <v>1428</v>
      </c>
      <c r="AH250" s="1">
        <v>3000</v>
      </c>
      <c r="AI250" s="1" t="s">
        <v>1903</v>
      </c>
      <c r="AJ250" s="1">
        <v>0</v>
      </c>
      <c r="AK250" s="1" t="s">
        <v>1625</v>
      </c>
      <c r="AL250" s="1" t="s">
        <v>2620</v>
      </c>
      <c r="AM250" s="1">
        <v>0.45</v>
      </c>
      <c r="AN250" s="1">
        <v>0.15</v>
      </c>
      <c r="AO250" s="1">
        <v>0.3</v>
      </c>
      <c r="AP250" s="1">
        <v>0.15</v>
      </c>
      <c r="AQ250" s="1">
        <v>3</v>
      </c>
      <c r="AR250" s="1" t="s">
        <v>1498</v>
      </c>
      <c r="AS250" s="1">
        <v>0</v>
      </c>
      <c r="AT250" s="1" t="s">
        <v>1866</v>
      </c>
      <c r="AU250" s="1">
        <v>10</v>
      </c>
      <c r="AV250" s="1">
        <v>18075</v>
      </c>
      <c r="AW250" s="1">
        <v>0</v>
      </c>
    </row>
    <row r="251" spans="1:49" x14ac:dyDescent="0.25">
      <c r="A251" s="1">
        <v>252</v>
      </c>
      <c r="B251" s="1" t="s">
        <v>2621</v>
      </c>
      <c r="C251" s="1" t="s">
        <v>2622</v>
      </c>
      <c r="D251" s="1">
        <v>5</v>
      </c>
      <c r="E251" s="1">
        <v>1</v>
      </c>
      <c r="F251" s="1">
        <v>18</v>
      </c>
      <c r="G251" s="1" t="s">
        <v>336</v>
      </c>
      <c r="H251" s="1" t="s">
        <v>471</v>
      </c>
      <c r="I251" s="1" t="s">
        <v>329</v>
      </c>
      <c r="J251" s="1" t="s">
        <v>329</v>
      </c>
      <c r="K251" s="1" t="s">
        <v>329</v>
      </c>
      <c r="L251" s="1" t="s">
        <v>329</v>
      </c>
      <c r="M251" s="1" t="s">
        <v>398</v>
      </c>
      <c r="N251" s="1" t="s">
        <v>329</v>
      </c>
      <c r="O251" s="1" t="s">
        <v>329</v>
      </c>
      <c r="P251" s="1" t="s">
        <v>329</v>
      </c>
      <c r="Q251" s="1" t="s">
        <v>329</v>
      </c>
      <c r="R251" s="1" t="s">
        <v>329</v>
      </c>
      <c r="S251" s="1" t="s">
        <v>329</v>
      </c>
      <c r="T251" s="1" t="s">
        <v>329</v>
      </c>
      <c r="U251" s="1">
        <v>0</v>
      </c>
      <c r="V251" s="1">
        <v>0</v>
      </c>
      <c r="W251" s="1">
        <v>0</v>
      </c>
      <c r="X251" s="1">
        <v>0</v>
      </c>
      <c r="Y251" s="1">
        <v>0</v>
      </c>
      <c r="Z251" s="1">
        <v>0</v>
      </c>
      <c r="AA251" s="1">
        <v>0</v>
      </c>
      <c r="AB251" s="1">
        <v>0</v>
      </c>
      <c r="AC251" s="1">
        <v>4</v>
      </c>
      <c r="AD251" s="1">
        <v>0</v>
      </c>
      <c r="AE251" s="1">
        <v>3</v>
      </c>
      <c r="AF251" s="1">
        <v>2</v>
      </c>
      <c r="AG251" t="s">
        <v>1719</v>
      </c>
      <c r="AH251" s="1">
        <v>2700</v>
      </c>
      <c r="AI251" s="1" t="s">
        <v>1903</v>
      </c>
      <c r="AJ251" s="1">
        <v>0</v>
      </c>
      <c r="AK251" s="1" t="s">
        <v>1626</v>
      </c>
      <c r="AL251" s="1" t="s">
        <v>2623</v>
      </c>
      <c r="AM251" s="1">
        <v>0.45</v>
      </c>
      <c r="AN251" s="1">
        <v>0.15</v>
      </c>
      <c r="AO251" s="1">
        <v>0.3</v>
      </c>
      <c r="AP251" s="1">
        <v>0.15</v>
      </c>
      <c r="AQ251" s="1">
        <v>3</v>
      </c>
      <c r="AR251" s="1" t="s">
        <v>1589</v>
      </c>
      <c r="AS251" s="1">
        <v>0</v>
      </c>
      <c r="AT251" s="1" t="s">
        <v>1866</v>
      </c>
      <c r="AU251" s="1">
        <v>10</v>
      </c>
      <c r="AV251" s="1">
        <v>18076</v>
      </c>
      <c r="AW251" s="1">
        <v>0</v>
      </c>
    </row>
    <row r="252" spans="1:49" x14ac:dyDescent="0.25">
      <c r="A252" s="1">
        <v>253</v>
      </c>
      <c r="B252" s="1" t="s">
        <v>2624</v>
      </c>
      <c r="C252" s="1" t="s">
        <v>2625</v>
      </c>
      <c r="D252" s="1">
        <v>5</v>
      </c>
      <c r="E252" s="1">
        <v>3</v>
      </c>
      <c r="F252" s="1">
        <v>20</v>
      </c>
      <c r="G252" s="1" t="s">
        <v>336</v>
      </c>
      <c r="H252" s="1" t="s">
        <v>329</v>
      </c>
      <c r="I252" s="1" t="s">
        <v>364</v>
      </c>
      <c r="J252" s="1" t="s">
        <v>329</v>
      </c>
      <c r="K252" s="1" t="s">
        <v>329</v>
      </c>
      <c r="L252" s="1" t="s">
        <v>329</v>
      </c>
      <c r="M252" s="1" t="s">
        <v>329</v>
      </c>
      <c r="N252" s="1" t="s">
        <v>329</v>
      </c>
      <c r="O252" s="1" t="s">
        <v>329</v>
      </c>
      <c r="P252" s="1" t="s">
        <v>329</v>
      </c>
      <c r="Q252" s="1" t="s">
        <v>329</v>
      </c>
      <c r="R252" s="1" t="s">
        <v>329</v>
      </c>
      <c r="S252" s="1" t="s">
        <v>329</v>
      </c>
      <c r="T252" s="1" t="s">
        <v>329</v>
      </c>
      <c r="U252" s="1">
        <v>0</v>
      </c>
      <c r="V252" s="1">
        <v>0</v>
      </c>
      <c r="W252" s="1">
        <v>0</v>
      </c>
      <c r="X252" s="1">
        <v>0</v>
      </c>
      <c r="Y252" s="1">
        <v>0</v>
      </c>
      <c r="Z252" s="1">
        <v>0</v>
      </c>
      <c r="AA252" s="1">
        <v>0</v>
      </c>
      <c r="AB252" s="1">
        <v>0</v>
      </c>
      <c r="AC252" s="1">
        <v>4</v>
      </c>
      <c r="AD252" s="1">
        <v>2</v>
      </c>
      <c r="AE252" s="1">
        <v>0</v>
      </c>
      <c r="AF252" s="1">
        <v>4</v>
      </c>
      <c r="AG252" t="s">
        <v>1720</v>
      </c>
      <c r="AH252" s="1">
        <v>3600</v>
      </c>
      <c r="AI252" s="1" t="s">
        <v>1903</v>
      </c>
      <c r="AJ252" s="1">
        <v>0</v>
      </c>
      <c r="AK252" s="1" t="s">
        <v>1627</v>
      </c>
      <c r="AL252" s="1" t="s">
        <v>2626</v>
      </c>
      <c r="AM252" s="1">
        <v>0.3</v>
      </c>
      <c r="AN252" s="1">
        <v>0.25</v>
      </c>
      <c r="AO252" s="1">
        <v>0.12</v>
      </c>
      <c r="AP252" s="1">
        <v>0.38</v>
      </c>
      <c r="AQ252" s="1">
        <v>3</v>
      </c>
      <c r="AR252" s="1" t="s">
        <v>1598</v>
      </c>
      <c r="AS252" s="1">
        <v>0</v>
      </c>
      <c r="AT252" s="1" t="s">
        <v>1866</v>
      </c>
      <c r="AU252" s="1">
        <v>10</v>
      </c>
      <c r="AV252" s="1">
        <v>20039</v>
      </c>
      <c r="AW252" s="1">
        <v>0</v>
      </c>
    </row>
    <row r="253" spans="1:49" x14ac:dyDescent="0.25">
      <c r="A253" s="1">
        <v>254</v>
      </c>
      <c r="B253" s="1" t="s">
        <v>2627</v>
      </c>
      <c r="C253" s="1" t="s">
        <v>2628</v>
      </c>
      <c r="D253" s="1">
        <v>5</v>
      </c>
      <c r="E253" s="1">
        <v>3</v>
      </c>
      <c r="F253" s="1">
        <v>20</v>
      </c>
      <c r="G253" s="1" t="s">
        <v>329</v>
      </c>
      <c r="H253" s="1" t="s">
        <v>329</v>
      </c>
      <c r="I253" s="1" t="s">
        <v>329</v>
      </c>
      <c r="J253" s="1" t="s">
        <v>402</v>
      </c>
      <c r="K253" s="1" t="s">
        <v>329</v>
      </c>
      <c r="L253" s="1" t="s">
        <v>364</v>
      </c>
      <c r="M253" s="1" t="s">
        <v>329</v>
      </c>
      <c r="N253" s="1" t="s">
        <v>329</v>
      </c>
      <c r="O253" s="1" t="s">
        <v>329</v>
      </c>
      <c r="P253" s="1" t="s">
        <v>329</v>
      </c>
      <c r="Q253" s="1" t="s">
        <v>329</v>
      </c>
      <c r="R253" s="1" t="s">
        <v>329</v>
      </c>
      <c r="S253" s="1" t="s">
        <v>329</v>
      </c>
      <c r="T253" s="1" t="s">
        <v>329</v>
      </c>
      <c r="U253" s="1">
        <v>0</v>
      </c>
      <c r="V253" s="1">
        <v>0</v>
      </c>
      <c r="W253" s="1">
        <v>0</v>
      </c>
      <c r="X253" s="1">
        <v>0</v>
      </c>
      <c r="Y253" s="1">
        <v>0</v>
      </c>
      <c r="Z253" s="1">
        <v>0</v>
      </c>
      <c r="AA253" s="1">
        <v>0</v>
      </c>
      <c r="AB253" s="1">
        <v>0</v>
      </c>
      <c r="AC253" s="1">
        <v>4</v>
      </c>
      <c r="AD253" s="1">
        <v>0</v>
      </c>
      <c r="AE253" s="1">
        <v>5</v>
      </c>
      <c r="AF253" s="1">
        <v>0</v>
      </c>
      <c r="AG253" t="s">
        <v>1421</v>
      </c>
      <c r="AH253" s="1">
        <v>3360</v>
      </c>
      <c r="AI253" s="1" t="s">
        <v>1903</v>
      </c>
      <c r="AJ253" s="1">
        <v>0</v>
      </c>
      <c r="AK253" s="1" t="s">
        <v>1628</v>
      </c>
      <c r="AL253" s="1" t="s">
        <v>2629</v>
      </c>
      <c r="AM253" s="1">
        <v>0.55000000000000004</v>
      </c>
      <c r="AN253" s="1">
        <v>0.16</v>
      </c>
      <c r="AO253" s="1">
        <v>0.6</v>
      </c>
      <c r="AP253" s="1">
        <v>0.16</v>
      </c>
      <c r="AQ253" s="1">
        <v>3</v>
      </c>
      <c r="AR253" s="1" t="s">
        <v>1527</v>
      </c>
      <c r="AS253" s="1">
        <v>0</v>
      </c>
      <c r="AT253" s="1" t="s">
        <v>1866</v>
      </c>
      <c r="AU253" s="1">
        <v>10</v>
      </c>
      <c r="AV253" s="1">
        <v>20040</v>
      </c>
      <c r="AW253" s="1">
        <v>0</v>
      </c>
    </row>
    <row r="254" spans="1:49" x14ac:dyDescent="0.25">
      <c r="A254" s="1">
        <v>255</v>
      </c>
      <c r="B254" s="1" t="s">
        <v>2630</v>
      </c>
      <c r="C254" s="1" t="s">
        <v>2631</v>
      </c>
      <c r="D254" s="1">
        <v>5</v>
      </c>
      <c r="E254" s="1">
        <v>3</v>
      </c>
      <c r="F254" s="1">
        <v>20</v>
      </c>
      <c r="G254" s="1" t="s">
        <v>360</v>
      </c>
      <c r="H254" s="1" t="s">
        <v>329</v>
      </c>
      <c r="I254" s="1" t="s">
        <v>329</v>
      </c>
      <c r="J254" s="1" t="s">
        <v>329</v>
      </c>
      <c r="K254" s="1" t="s">
        <v>376</v>
      </c>
      <c r="L254" s="1" t="s">
        <v>910</v>
      </c>
      <c r="M254" s="1" t="s">
        <v>329</v>
      </c>
      <c r="N254" s="1" t="s">
        <v>329</v>
      </c>
      <c r="O254" s="1" t="s">
        <v>329</v>
      </c>
      <c r="P254" s="1" t="s">
        <v>329</v>
      </c>
      <c r="Q254" s="1" t="s">
        <v>329</v>
      </c>
      <c r="R254" s="1" t="s">
        <v>329</v>
      </c>
      <c r="S254" s="1" t="s">
        <v>329</v>
      </c>
      <c r="T254" s="1" t="s">
        <v>329</v>
      </c>
      <c r="U254" s="1">
        <v>0</v>
      </c>
      <c r="V254" s="1">
        <v>0</v>
      </c>
      <c r="W254" s="1">
        <v>0</v>
      </c>
      <c r="X254" s="1">
        <v>0</v>
      </c>
      <c r="Y254" s="1">
        <v>0</v>
      </c>
      <c r="Z254" s="1">
        <v>0</v>
      </c>
      <c r="AA254" s="1">
        <v>0</v>
      </c>
      <c r="AB254" s="1">
        <v>0</v>
      </c>
      <c r="AC254" s="1">
        <v>4</v>
      </c>
      <c r="AD254" s="1">
        <v>2</v>
      </c>
      <c r="AE254" s="1">
        <v>0</v>
      </c>
      <c r="AF254" s="1">
        <v>4</v>
      </c>
      <c r="AG254" t="s">
        <v>1424</v>
      </c>
      <c r="AH254" s="1">
        <v>3120</v>
      </c>
      <c r="AI254" s="1" t="s">
        <v>1903</v>
      </c>
      <c r="AJ254" s="1">
        <v>0</v>
      </c>
      <c r="AK254" s="1" t="s">
        <v>1629</v>
      </c>
      <c r="AL254" s="1" t="s">
        <v>2632</v>
      </c>
      <c r="AM254" s="1">
        <v>0.3</v>
      </c>
      <c r="AN254" s="1">
        <v>0.25</v>
      </c>
      <c r="AO254" s="1">
        <v>0.12</v>
      </c>
      <c r="AP254" s="1">
        <v>0.38</v>
      </c>
      <c r="AQ254" s="1">
        <v>3</v>
      </c>
      <c r="AR254" s="1" t="s">
        <v>1611</v>
      </c>
      <c r="AS254" s="1">
        <v>0</v>
      </c>
      <c r="AT254" s="1" t="s">
        <v>1866</v>
      </c>
      <c r="AU254" s="1">
        <v>10</v>
      </c>
      <c r="AV254" s="1">
        <v>20041</v>
      </c>
      <c r="AW254" s="1">
        <v>0</v>
      </c>
    </row>
    <row r="255" spans="1:49" x14ac:dyDescent="0.25">
      <c r="A255" s="1">
        <v>256</v>
      </c>
      <c r="B255" s="1" t="s">
        <v>2633</v>
      </c>
      <c r="C255" s="1" t="s">
        <v>2634</v>
      </c>
      <c r="D255" s="1">
        <v>5</v>
      </c>
      <c r="E255" s="1">
        <v>3</v>
      </c>
      <c r="F255" s="1">
        <v>20</v>
      </c>
      <c r="G255" s="1" t="s">
        <v>329</v>
      </c>
      <c r="H255" s="1" t="s">
        <v>329</v>
      </c>
      <c r="I255" s="1" t="s">
        <v>329</v>
      </c>
      <c r="J255" s="1" t="s">
        <v>329</v>
      </c>
      <c r="K255" s="1" t="s">
        <v>329</v>
      </c>
      <c r="L255" s="1" t="s">
        <v>329</v>
      </c>
      <c r="M255" s="1" t="s">
        <v>386</v>
      </c>
      <c r="N255" s="1" t="s">
        <v>329</v>
      </c>
      <c r="O255" s="1" t="s">
        <v>329</v>
      </c>
      <c r="P255" s="1" t="s">
        <v>329</v>
      </c>
      <c r="Q255" s="1" t="s">
        <v>329</v>
      </c>
      <c r="R255" s="1" t="s">
        <v>329</v>
      </c>
      <c r="S255" s="1" t="s">
        <v>329</v>
      </c>
      <c r="T255" s="1" t="s">
        <v>355</v>
      </c>
      <c r="U255" s="1">
        <v>0</v>
      </c>
      <c r="V255" s="1">
        <v>0</v>
      </c>
      <c r="W255" s="1">
        <v>0</v>
      </c>
      <c r="X255" s="1">
        <v>0</v>
      </c>
      <c r="Y255" s="1">
        <v>0</v>
      </c>
      <c r="Z255" s="1">
        <v>0</v>
      </c>
      <c r="AA255" s="1">
        <v>0</v>
      </c>
      <c r="AB255" s="1">
        <v>0</v>
      </c>
      <c r="AC255" s="1">
        <v>1</v>
      </c>
      <c r="AD255" s="1">
        <v>1</v>
      </c>
      <c r="AE255" s="1">
        <v>1</v>
      </c>
      <c r="AF255" s="1">
        <v>5</v>
      </c>
      <c r="AG255" t="s">
        <v>1199</v>
      </c>
      <c r="AH255" s="1">
        <v>3420</v>
      </c>
      <c r="AI255" s="1" t="s">
        <v>2635</v>
      </c>
      <c r="AJ255" s="1">
        <v>0</v>
      </c>
      <c r="AK255" s="1" t="s">
        <v>1765</v>
      </c>
      <c r="AL255" s="1" t="s">
        <v>2636</v>
      </c>
      <c r="AM255" s="1">
        <v>0.1</v>
      </c>
      <c r="AN255" s="1">
        <v>0.1</v>
      </c>
      <c r="AO255" s="1">
        <v>0.1</v>
      </c>
      <c r="AP255" s="1">
        <v>0.55000000000000004</v>
      </c>
      <c r="AQ255" s="1">
        <v>3</v>
      </c>
      <c r="AR255" s="1" t="s">
        <v>1766</v>
      </c>
      <c r="AS255" s="1">
        <v>0</v>
      </c>
      <c r="AT255" s="1" t="s">
        <v>1866</v>
      </c>
      <c r="AU255" s="1">
        <v>10</v>
      </c>
      <c r="AV255" s="1">
        <v>20044</v>
      </c>
      <c r="AW255" s="1">
        <v>0</v>
      </c>
    </row>
    <row r="256" spans="1:49" x14ac:dyDescent="0.25">
      <c r="A256" s="1">
        <v>257</v>
      </c>
      <c r="B256" s="1" t="s">
        <v>2637</v>
      </c>
      <c r="C256" s="1" t="s">
        <v>2638</v>
      </c>
      <c r="D256" s="1">
        <v>5</v>
      </c>
      <c r="E256" s="1">
        <v>1</v>
      </c>
      <c r="F256" s="1">
        <v>18</v>
      </c>
      <c r="G256" s="1" t="s">
        <v>329</v>
      </c>
      <c r="H256" s="1" t="s">
        <v>362</v>
      </c>
      <c r="I256" s="1" t="s">
        <v>329</v>
      </c>
      <c r="J256" s="1" t="s">
        <v>329</v>
      </c>
      <c r="K256" s="1" t="s">
        <v>329</v>
      </c>
      <c r="L256" s="1" t="s">
        <v>329</v>
      </c>
      <c r="M256" s="1" t="s">
        <v>1767</v>
      </c>
      <c r="N256" s="1" t="s">
        <v>329</v>
      </c>
      <c r="O256" s="1" t="s">
        <v>329</v>
      </c>
      <c r="P256" s="1" t="s">
        <v>329</v>
      </c>
      <c r="Q256" s="1" t="s">
        <v>329</v>
      </c>
      <c r="R256" s="1" t="s">
        <v>329</v>
      </c>
      <c r="S256" s="1" t="s">
        <v>329</v>
      </c>
      <c r="T256" s="1" t="s">
        <v>329</v>
      </c>
      <c r="U256" s="1">
        <v>0</v>
      </c>
      <c r="V256" s="1">
        <v>0</v>
      </c>
      <c r="W256" s="1">
        <v>0</v>
      </c>
      <c r="X256" s="1">
        <v>0</v>
      </c>
      <c r="Y256" s="1">
        <v>0</v>
      </c>
      <c r="Z256" s="1">
        <v>0</v>
      </c>
      <c r="AA256" s="1">
        <v>0</v>
      </c>
      <c r="AB256" s="1">
        <v>0</v>
      </c>
      <c r="AC256" s="1">
        <v>4</v>
      </c>
      <c r="AD256" s="1">
        <v>0</v>
      </c>
      <c r="AE256" s="1">
        <v>3</v>
      </c>
      <c r="AF256" s="1">
        <v>2</v>
      </c>
      <c r="AG256" t="s">
        <v>109</v>
      </c>
      <c r="AH256" s="1">
        <v>3600</v>
      </c>
      <c r="AI256" s="1" t="s">
        <v>2639</v>
      </c>
      <c r="AJ256" s="1">
        <v>0</v>
      </c>
      <c r="AK256" s="1" t="s">
        <v>1754</v>
      </c>
      <c r="AL256" s="1" t="s">
        <v>2640</v>
      </c>
      <c r="AM256" s="1">
        <v>0.45</v>
      </c>
      <c r="AN256" s="1">
        <v>0.15</v>
      </c>
      <c r="AO256" s="1">
        <v>0.3</v>
      </c>
      <c r="AP256" s="1">
        <v>0.15</v>
      </c>
      <c r="AQ256" s="1">
        <v>3</v>
      </c>
      <c r="AR256" s="1" t="s">
        <v>1542</v>
      </c>
      <c r="AS256" s="1">
        <v>0</v>
      </c>
      <c r="AT256" s="1" t="s">
        <v>1866</v>
      </c>
      <c r="AU256" s="1">
        <v>10</v>
      </c>
      <c r="AV256" s="1">
        <v>18077</v>
      </c>
      <c r="AW256" s="1">
        <v>0</v>
      </c>
    </row>
    <row r="257" spans="1:50" x14ac:dyDescent="0.25">
      <c r="A257" s="1">
        <v>258</v>
      </c>
      <c r="B257" s="1" t="s">
        <v>2641</v>
      </c>
      <c r="C257" s="1" t="s">
        <v>2642</v>
      </c>
      <c r="D257" s="1">
        <v>5</v>
      </c>
      <c r="E257" s="1">
        <v>2</v>
      </c>
      <c r="F257" s="1">
        <v>19</v>
      </c>
      <c r="G257" s="1" t="s">
        <v>336</v>
      </c>
      <c r="H257" s="1" t="s">
        <v>329</v>
      </c>
      <c r="I257" s="1" t="s">
        <v>329</v>
      </c>
      <c r="J257" s="1" t="s">
        <v>329</v>
      </c>
      <c r="K257" s="1" t="s">
        <v>329</v>
      </c>
      <c r="L257" s="1" t="s">
        <v>329</v>
      </c>
      <c r="M257" s="1" t="s">
        <v>329</v>
      </c>
      <c r="N257" s="1" t="s">
        <v>353</v>
      </c>
      <c r="O257" s="1" t="s">
        <v>329</v>
      </c>
      <c r="P257" s="1" t="s">
        <v>329</v>
      </c>
      <c r="Q257" s="1" t="s">
        <v>329</v>
      </c>
      <c r="R257" s="1" t="s">
        <v>329</v>
      </c>
      <c r="S257" s="1" t="s">
        <v>329</v>
      </c>
      <c r="T257" s="1" t="s">
        <v>329</v>
      </c>
      <c r="U257" s="1">
        <v>0</v>
      </c>
      <c r="V257" s="1">
        <v>0</v>
      </c>
      <c r="W257" s="1">
        <v>0</v>
      </c>
      <c r="X257" s="1">
        <v>0</v>
      </c>
      <c r="Y257" s="1">
        <v>0</v>
      </c>
      <c r="Z257" s="1">
        <v>0</v>
      </c>
      <c r="AA257" s="1">
        <v>0</v>
      </c>
      <c r="AB257" s="1">
        <v>0</v>
      </c>
      <c r="AC257" s="1">
        <v>0</v>
      </c>
      <c r="AD257" s="1">
        <v>4</v>
      </c>
      <c r="AE257" s="1">
        <v>2</v>
      </c>
      <c r="AF257" s="1">
        <v>3</v>
      </c>
      <c r="AG257" t="s">
        <v>159</v>
      </c>
      <c r="AH257" s="1">
        <v>3300</v>
      </c>
      <c r="AI257" s="1" t="s">
        <v>1903</v>
      </c>
      <c r="AJ257" s="1">
        <v>0</v>
      </c>
      <c r="AK257" s="1" t="s">
        <v>1768</v>
      </c>
      <c r="AL257" s="1" t="s">
        <v>2643</v>
      </c>
      <c r="AM257" s="1">
        <v>0.08</v>
      </c>
      <c r="AN257" s="1">
        <v>0.5</v>
      </c>
      <c r="AO257" s="1">
        <v>0.3</v>
      </c>
      <c r="AP257" s="1">
        <v>0.3</v>
      </c>
      <c r="AQ257" s="1">
        <v>3</v>
      </c>
      <c r="AR257" s="1" t="s">
        <v>1580</v>
      </c>
      <c r="AS257" s="1">
        <v>0</v>
      </c>
      <c r="AT257" s="1" t="s">
        <v>1866</v>
      </c>
      <c r="AU257" s="1">
        <v>10</v>
      </c>
      <c r="AV257" s="1">
        <v>19033</v>
      </c>
      <c r="AW257" s="1">
        <v>0</v>
      </c>
    </row>
    <row r="258" spans="1:50" x14ac:dyDescent="0.25">
      <c r="A258" s="1">
        <v>259</v>
      </c>
      <c r="B258" s="1" t="s">
        <v>2644</v>
      </c>
      <c r="C258" s="1" t="s">
        <v>2645</v>
      </c>
      <c r="D258" s="1">
        <v>5</v>
      </c>
      <c r="E258" s="1">
        <v>3</v>
      </c>
      <c r="F258" s="1">
        <v>20</v>
      </c>
      <c r="G258" s="1" t="s">
        <v>329</v>
      </c>
      <c r="H258" s="1" t="s">
        <v>329</v>
      </c>
      <c r="I258" s="1" t="s">
        <v>329</v>
      </c>
      <c r="J258" s="1" t="s">
        <v>329</v>
      </c>
      <c r="K258" s="1" t="s">
        <v>329</v>
      </c>
      <c r="L258" s="1" t="s">
        <v>364</v>
      </c>
      <c r="M258" s="1" t="s">
        <v>329</v>
      </c>
      <c r="N258" s="1" t="s">
        <v>329</v>
      </c>
      <c r="O258" s="1" t="s">
        <v>329</v>
      </c>
      <c r="P258" s="1" t="s">
        <v>329</v>
      </c>
      <c r="Q258" s="1" t="s">
        <v>329</v>
      </c>
      <c r="R258" s="1" t="s">
        <v>329</v>
      </c>
      <c r="S258" s="1" t="s">
        <v>329</v>
      </c>
      <c r="T258" s="1" t="s">
        <v>329</v>
      </c>
      <c r="U258" s="1">
        <v>0</v>
      </c>
      <c r="V258" s="1">
        <v>0</v>
      </c>
      <c r="W258" s="1">
        <v>0</v>
      </c>
      <c r="X258" s="1">
        <v>0</v>
      </c>
      <c r="Y258" s="1">
        <v>0</v>
      </c>
      <c r="Z258" s="1">
        <v>0</v>
      </c>
      <c r="AA258" s="1">
        <v>0</v>
      </c>
      <c r="AB258" s="1">
        <v>0</v>
      </c>
      <c r="AC258" s="1">
        <v>4</v>
      </c>
      <c r="AD258" s="1">
        <v>0</v>
      </c>
      <c r="AE258" s="1">
        <v>5</v>
      </c>
      <c r="AF258" s="1">
        <v>0</v>
      </c>
      <c r="AG258" t="s">
        <v>808</v>
      </c>
      <c r="AH258" s="1">
        <v>3360</v>
      </c>
      <c r="AI258" s="1" t="s">
        <v>1903</v>
      </c>
      <c r="AJ258" s="1">
        <v>0</v>
      </c>
      <c r="AK258" s="1" t="s">
        <v>1769</v>
      </c>
      <c r="AL258" s="1" t="s">
        <v>2646</v>
      </c>
      <c r="AM258" s="1">
        <v>0.55000000000000004</v>
      </c>
      <c r="AN258" s="1">
        <v>0.16</v>
      </c>
      <c r="AO258" s="1">
        <v>0.6</v>
      </c>
      <c r="AP258" s="1">
        <v>0.16</v>
      </c>
      <c r="AQ258" s="1">
        <v>3</v>
      </c>
      <c r="AR258" s="1" t="s">
        <v>1527</v>
      </c>
      <c r="AS258" s="1">
        <v>0</v>
      </c>
      <c r="AT258" s="1" t="s">
        <v>2647</v>
      </c>
      <c r="AU258" s="1">
        <v>10</v>
      </c>
      <c r="AV258" s="1">
        <v>20045</v>
      </c>
      <c r="AW258" s="1">
        <v>0</v>
      </c>
    </row>
    <row r="259" spans="1:50" x14ac:dyDescent="0.25">
      <c r="A259" s="1">
        <v>260</v>
      </c>
      <c r="B259" s="1" t="s">
        <v>2648</v>
      </c>
      <c r="C259" s="1" t="s">
        <v>2649</v>
      </c>
      <c r="D259" s="1">
        <v>5</v>
      </c>
      <c r="E259" s="1">
        <v>3</v>
      </c>
      <c r="F259" s="1">
        <v>20</v>
      </c>
      <c r="G259" s="1" t="s">
        <v>329</v>
      </c>
      <c r="H259" s="1" t="s">
        <v>329</v>
      </c>
      <c r="I259" s="1" t="s">
        <v>489</v>
      </c>
      <c r="J259" s="1" t="s">
        <v>365</v>
      </c>
      <c r="K259" s="1" t="s">
        <v>329</v>
      </c>
      <c r="L259" s="1" t="s">
        <v>329</v>
      </c>
      <c r="M259" s="1" t="s">
        <v>329</v>
      </c>
      <c r="N259" s="1" t="s">
        <v>329</v>
      </c>
      <c r="O259" s="1" t="s">
        <v>329</v>
      </c>
      <c r="P259" s="1" t="s">
        <v>329</v>
      </c>
      <c r="Q259" s="1" t="s">
        <v>329</v>
      </c>
      <c r="R259" s="1" t="s">
        <v>329</v>
      </c>
      <c r="S259" s="1" t="s">
        <v>329</v>
      </c>
      <c r="T259" s="1" t="s">
        <v>329</v>
      </c>
      <c r="U259" s="1">
        <v>0</v>
      </c>
      <c r="V259" s="1">
        <v>0</v>
      </c>
      <c r="W259" s="1">
        <v>0</v>
      </c>
      <c r="X259" s="1">
        <v>0</v>
      </c>
      <c r="Y259" s="1">
        <v>0</v>
      </c>
      <c r="Z259" s="1">
        <v>0</v>
      </c>
      <c r="AA259" s="1">
        <v>0</v>
      </c>
      <c r="AB259" s="1">
        <v>0</v>
      </c>
      <c r="AC259" s="1">
        <v>4</v>
      </c>
      <c r="AD259" s="1">
        <v>2</v>
      </c>
      <c r="AE259" s="1">
        <v>0</v>
      </c>
      <c r="AF259" s="1">
        <v>4</v>
      </c>
      <c r="AG259" t="s">
        <v>6451</v>
      </c>
      <c r="AH259" s="1">
        <v>3120</v>
      </c>
      <c r="AI259" s="1" t="s">
        <v>1903</v>
      </c>
      <c r="AJ259" s="1">
        <v>0</v>
      </c>
      <c r="AK259" s="1" t="s">
        <v>1785</v>
      </c>
      <c r="AL259" s="1" t="s">
        <v>2650</v>
      </c>
      <c r="AM259" s="1">
        <v>0.3</v>
      </c>
      <c r="AN259" s="1">
        <v>0.25</v>
      </c>
      <c r="AO259" s="1">
        <v>0.12</v>
      </c>
      <c r="AP259" s="1">
        <v>0.38</v>
      </c>
      <c r="AQ259" s="1">
        <v>3</v>
      </c>
      <c r="AR259" s="1" t="s">
        <v>1786</v>
      </c>
      <c r="AS259" s="1">
        <v>0</v>
      </c>
      <c r="AT259" s="1" t="s">
        <v>1866</v>
      </c>
      <c r="AU259" s="1">
        <v>10</v>
      </c>
      <c r="AV259" s="1">
        <v>20046</v>
      </c>
      <c r="AW259" s="1">
        <v>0</v>
      </c>
      <c r="AX259">
        <v>0</v>
      </c>
    </row>
    <row r="260" spans="1:50" x14ac:dyDescent="0.25">
      <c r="A260" s="1">
        <v>261</v>
      </c>
      <c r="B260" s="1" t="s">
        <v>2651</v>
      </c>
      <c r="C260" s="1" t="s">
        <v>2652</v>
      </c>
      <c r="D260" s="1">
        <v>5</v>
      </c>
      <c r="E260" s="1">
        <v>1</v>
      </c>
      <c r="F260" s="1">
        <v>18</v>
      </c>
      <c r="G260" s="1" t="s">
        <v>338</v>
      </c>
      <c r="H260" s="1" t="s">
        <v>344</v>
      </c>
      <c r="I260" s="1" t="s">
        <v>329</v>
      </c>
      <c r="J260" s="1" t="s">
        <v>329</v>
      </c>
      <c r="K260" s="1" t="s">
        <v>329</v>
      </c>
      <c r="L260" s="1" t="s">
        <v>329</v>
      </c>
      <c r="M260" s="1" t="s">
        <v>329</v>
      </c>
      <c r="N260" s="1" t="s">
        <v>329</v>
      </c>
      <c r="O260" s="1" t="s">
        <v>329</v>
      </c>
      <c r="P260" s="1" t="s">
        <v>329</v>
      </c>
      <c r="Q260" s="1" t="s">
        <v>329</v>
      </c>
      <c r="R260" s="1" t="s">
        <v>329</v>
      </c>
      <c r="S260" s="1" t="s">
        <v>329</v>
      </c>
      <c r="T260" s="1" t="s">
        <v>329</v>
      </c>
      <c r="U260" s="1">
        <v>0</v>
      </c>
      <c r="V260" s="1">
        <v>0</v>
      </c>
      <c r="W260" s="1">
        <v>0</v>
      </c>
      <c r="X260" s="1">
        <v>0</v>
      </c>
      <c r="Y260" s="1">
        <v>0</v>
      </c>
      <c r="Z260" s="1">
        <v>0</v>
      </c>
      <c r="AA260" s="1">
        <v>0</v>
      </c>
      <c r="AB260" s="1">
        <v>0</v>
      </c>
      <c r="AC260" s="1">
        <v>4</v>
      </c>
      <c r="AD260" s="1">
        <v>0</v>
      </c>
      <c r="AE260" s="1">
        <v>3</v>
      </c>
      <c r="AF260" s="1">
        <v>2</v>
      </c>
      <c r="AG260" t="s">
        <v>1783</v>
      </c>
      <c r="AH260" s="1">
        <v>3600</v>
      </c>
      <c r="AI260" s="1" t="s">
        <v>1903</v>
      </c>
      <c r="AJ260" s="1">
        <v>0</v>
      </c>
      <c r="AK260" s="1" t="s">
        <v>1787</v>
      </c>
      <c r="AL260" s="1" t="s">
        <v>2653</v>
      </c>
      <c r="AM260" s="1">
        <v>0.45</v>
      </c>
      <c r="AN260" s="1">
        <v>0.15</v>
      </c>
      <c r="AO260" s="1">
        <v>0.3</v>
      </c>
      <c r="AP260" s="1">
        <v>0.15</v>
      </c>
      <c r="AQ260" s="1">
        <v>3</v>
      </c>
      <c r="AR260" s="1" t="s">
        <v>1751</v>
      </c>
      <c r="AS260" s="1">
        <v>0</v>
      </c>
      <c r="AT260" s="1" t="s">
        <v>1866</v>
      </c>
      <c r="AU260" s="1">
        <v>10</v>
      </c>
      <c r="AV260" s="1">
        <v>18078</v>
      </c>
      <c r="AW260" s="1">
        <v>0</v>
      </c>
    </row>
    <row r="261" spans="1:50" x14ac:dyDescent="0.25">
      <c r="A261" s="1">
        <v>262</v>
      </c>
      <c r="B261" s="1" t="s">
        <v>2654</v>
      </c>
      <c r="C261" s="1" t="s">
        <v>2655</v>
      </c>
      <c r="D261" s="1">
        <v>5</v>
      </c>
      <c r="E261" s="1">
        <v>2</v>
      </c>
      <c r="F261" s="1">
        <v>19</v>
      </c>
      <c r="G261" s="1" t="s">
        <v>336</v>
      </c>
      <c r="H261" s="1" t="s">
        <v>329</v>
      </c>
      <c r="I261" s="1" t="s">
        <v>329</v>
      </c>
      <c r="J261" s="1" t="s">
        <v>329</v>
      </c>
      <c r="K261" s="1" t="s">
        <v>329</v>
      </c>
      <c r="L261" s="1" t="s">
        <v>329</v>
      </c>
      <c r="M261" s="1" t="s">
        <v>329</v>
      </c>
      <c r="N261" s="1" t="s">
        <v>1788</v>
      </c>
      <c r="O261" s="1" t="s">
        <v>329</v>
      </c>
      <c r="P261" s="1" t="s">
        <v>329</v>
      </c>
      <c r="Q261" s="1" t="s">
        <v>329</v>
      </c>
      <c r="R261" s="1" t="s">
        <v>329</v>
      </c>
      <c r="S261" s="1" t="s">
        <v>329</v>
      </c>
      <c r="T261" s="1" t="s">
        <v>329</v>
      </c>
      <c r="U261" s="1">
        <v>0</v>
      </c>
      <c r="V261" s="1">
        <v>0</v>
      </c>
      <c r="W261" s="1">
        <v>0</v>
      </c>
      <c r="X261" s="1">
        <v>0</v>
      </c>
      <c r="Y261" s="1">
        <v>0</v>
      </c>
      <c r="Z261" s="1">
        <v>0</v>
      </c>
      <c r="AA261" s="1">
        <v>0</v>
      </c>
      <c r="AB261" s="1">
        <v>0</v>
      </c>
      <c r="AC261" s="1">
        <v>0</v>
      </c>
      <c r="AD261" s="1">
        <v>4</v>
      </c>
      <c r="AE261" s="1">
        <v>2</v>
      </c>
      <c r="AF261" s="1">
        <v>3</v>
      </c>
      <c r="AG261" t="s">
        <v>1784</v>
      </c>
      <c r="AH261" s="1">
        <v>3300</v>
      </c>
      <c r="AI261" s="1" t="s">
        <v>1903</v>
      </c>
      <c r="AJ261" s="1">
        <v>0</v>
      </c>
      <c r="AK261" s="1" t="s">
        <v>1789</v>
      </c>
      <c r="AL261" s="1" t="s">
        <v>2656</v>
      </c>
      <c r="AM261" s="1">
        <v>0.08</v>
      </c>
      <c r="AN261" s="1">
        <v>0.5</v>
      </c>
      <c r="AO261" s="1">
        <v>0.3</v>
      </c>
      <c r="AP261" s="1">
        <v>0.3</v>
      </c>
      <c r="AQ261" s="1">
        <v>3</v>
      </c>
      <c r="AR261" s="1" t="s">
        <v>1790</v>
      </c>
      <c r="AS261" s="1">
        <v>0</v>
      </c>
      <c r="AT261" s="1" t="s">
        <v>1866</v>
      </c>
      <c r="AU261" s="1">
        <v>10</v>
      </c>
      <c r="AV261" s="1">
        <v>19034</v>
      </c>
      <c r="AW261" s="1">
        <v>0</v>
      </c>
    </row>
    <row r="262" spans="1:50" x14ac:dyDescent="0.25">
      <c r="A262" s="1">
        <v>263</v>
      </c>
      <c r="B262" s="1" t="s">
        <v>2657</v>
      </c>
      <c r="C262" s="1" t="s">
        <v>2658</v>
      </c>
      <c r="D262" s="1">
        <v>5</v>
      </c>
      <c r="E262" s="1">
        <v>2</v>
      </c>
      <c r="F262" s="1">
        <v>19</v>
      </c>
      <c r="G262" s="1" t="s">
        <v>329</v>
      </c>
      <c r="H262" s="1" t="s">
        <v>357</v>
      </c>
      <c r="I262" s="1" t="s">
        <v>329</v>
      </c>
      <c r="J262" s="1" t="s">
        <v>329</v>
      </c>
      <c r="K262" s="1" t="s">
        <v>329</v>
      </c>
      <c r="L262" s="1" t="s">
        <v>329</v>
      </c>
      <c r="M262" s="1" t="s">
        <v>329</v>
      </c>
      <c r="N262" s="1" t="s">
        <v>329</v>
      </c>
      <c r="O262" s="1" t="s">
        <v>329</v>
      </c>
      <c r="P262" s="1" t="s">
        <v>329</v>
      </c>
      <c r="Q262" s="1" t="s">
        <v>329</v>
      </c>
      <c r="R262" s="1" t="s">
        <v>329</v>
      </c>
      <c r="S262" s="1" t="s">
        <v>329</v>
      </c>
      <c r="T262" s="1" t="s">
        <v>329</v>
      </c>
      <c r="U262" s="1">
        <v>0</v>
      </c>
      <c r="V262" s="1">
        <v>150</v>
      </c>
      <c r="W262" s="1">
        <v>0</v>
      </c>
      <c r="X262" s="1">
        <v>0</v>
      </c>
      <c r="Y262" s="1">
        <v>0</v>
      </c>
      <c r="Z262" s="1">
        <v>0</v>
      </c>
      <c r="AA262" s="1">
        <v>0</v>
      </c>
      <c r="AB262" s="1">
        <v>0</v>
      </c>
      <c r="AC262" s="1">
        <v>4</v>
      </c>
      <c r="AD262" s="1">
        <v>4</v>
      </c>
      <c r="AE262" s="1">
        <v>0</v>
      </c>
      <c r="AF262" s="1">
        <v>2</v>
      </c>
      <c r="AG262" t="s">
        <v>1782</v>
      </c>
      <c r="AH262" s="1">
        <v>3600</v>
      </c>
      <c r="AI262" s="1" t="s">
        <v>2659</v>
      </c>
      <c r="AJ262" s="1">
        <v>0</v>
      </c>
      <c r="AK262" s="1" t="s">
        <v>1791</v>
      </c>
      <c r="AL262" s="1" t="s">
        <v>2660</v>
      </c>
      <c r="AM262" s="1">
        <v>0.48</v>
      </c>
      <c r="AN262" s="1">
        <v>0.48</v>
      </c>
      <c r="AO262" s="1">
        <v>0.08</v>
      </c>
      <c r="AP262" s="1">
        <v>0.25</v>
      </c>
      <c r="AQ262" s="1">
        <v>3</v>
      </c>
      <c r="AR262" s="1" t="s">
        <v>1521</v>
      </c>
      <c r="AS262" s="1">
        <v>0</v>
      </c>
      <c r="AT262" s="1" t="s">
        <v>2528</v>
      </c>
      <c r="AU262" s="1">
        <v>10</v>
      </c>
      <c r="AV262" s="1">
        <v>19035</v>
      </c>
      <c r="AW262" s="1">
        <v>0</v>
      </c>
    </row>
    <row r="263" spans="1:50" x14ac:dyDescent="0.25">
      <c r="A263" s="1">
        <v>264</v>
      </c>
      <c r="B263" s="1" t="s">
        <v>2661</v>
      </c>
      <c r="C263" s="1" t="s">
        <v>2662</v>
      </c>
      <c r="D263" s="1">
        <v>5</v>
      </c>
      <c r="E263" s="1">
        <v>1</v>
      </c>
      <c r="F263" s="1">
        <v>18</v>
      </c>
      <c r="G263" s="1" t="s">
        <v>336</v>
      </c>
      <c r="H263" s="1" t="s">
        <v>336</v>
      </c>
      <c r="I263" s="1" t="s">
        <v>329</v>
      </c>
      <c r="J263" s="1" t="s">
        <v>329</v>
      </c>
      <c r="K263" s="1" t="s">
        <v>329</v>
      </c>
      <c r="L263" s="1" t="s">
        <v>329</v>
      </c>
      <c r="M263" s="1" t="s">
        <v>364</v>
      </c>
      <c r="N263" s="1" t="s">
        <v>329</v>
      </c>
      <c r="O263" s="1" t="s">
        <v>329</v>
      </c>
      <c r="P263" s="1" t="s">
        <v>329</v>
      </c>
      <c r="Q263" s="1" t="s">
        <v>329</v>
      </c>
      <c r="R263" s="1" t="s">
        <v>329</v>
      </c>
      <c r="S263" s="1" t="s">
        <v>329</v>
      </c>
      <c r="T263" s="1" t="s">
        <v>329</v>
      </c>
      <c r="U263" s="1">
        <v>0</v>
      </c>
      <c r="V263" s="1">
        <v>0</v>
      </c>
      <c r="W263" s="1">
        <v>0</v>
      </c>
      <c r="X263" s="1">
        <v>0</v>
      </c>
      <c r="Y263" s="1">
        <v>0</v>
      </c>
      <c r="Z263" s="1">
        <v>0</v>
      </c>
      <c r="AA263" s="1">
        <v>0</v>
      </c>
      <c r="AB263" s="1">
        <v>0</v>
      </c>
      <c r="AC263" s="1">
        <v>4</v>
      </c>
      <c r="AD263" s="1">
        <v>0</v>
      </c>
      <c r="AE263" s="1">
        <v>3</v>
      </c>
      <c r="AF263" s="1">
        <v>2</v>
      </c>
      <c r="AG263" t="s">
        <v>111</v>
      </c>
      <c r="AH263" s="1">
        <v>3600</v>
      </c>
      <c r="AI263" s="1" t="s">
        <v>1903</v>
      </c>
      <c r="AJ263" s="1">
        <v>0</v>
      </c>
      <c r="AK263" s="1" t="s">
        <v>2663</v>
      </c>
      <c r="AL263" s="1" t="s">
        <v>2664</v>
      </c>
      <c r="AM263" s="1">
        <v>0.45</v>
      </c>
      <c r="AN263" s="1">
        <v>0.15</v>
      </c>
      <c r="AO263" s="1">
        <v>0.3</v>
      </c>
      <c r="AP263" s="1">
        <v>0.15</v>
      </c>
      <c r="AQ263" s="1">
        <v>3</v>
      </c>
      <c r="AR263" s="1" t="s">
        <v>1617</v>
      </c>
      <c r="AS263" s="1">
        <v>0</v>
      </c>
      <c r="AT263" s="1" t="s">
        <v>5690</v>
      </c>
      <c r="AU263" s="1">
        <v>10</v>
      </c>
      <c r="AV263" s="1">
        <v>18079</v>
      </c>
      <c r="AW263" s="1">
        <v>0</v>
      </c>
      <c r="AX263">
        <v>0</v>
      </c>
    </row>
    <row r="264" spans="1:50" x14ac:dyDescent="0.25">
      <c r="A264" s="1">
        <v>265</v>
      </c>
      <c r="B264" s="1" t="s">
        <v>5553</v>
      </c>
      <c r="C264" s="1" t="s">
        <v>5554</v>
      </c>
      <c r="D264" s="1">
        <v>5</v>
      </c>
      <c r="E264" s="1">
        <v>1</v>
      </c>
      <c r="F264" s="1">
        <v>18</v>
      </c>
      <c r="G264" s="1" t="s">
        <v>336</v>
      </c>
      <c r="H264" s="1" t="s">
        <v>344</v>
      </c>
      <c r="I264" s="1" t="s">
        <v>329</v>
      </c>
      <c r="J264" s="1" t="s">
        <v>329</v>
      </c>
      <c r="K264" s="1" t="s">
        <v>329</v>
      </c>
      <c r="L264" s="1" t="s">
        <v>329</v>
      </c>
      <c r="M264" s="1" t="s">
        <v>329</v>
      </c>
      <c r="N264" s="1" t="s">
        <v>329</v>
      </c>
      <c r="O264" s="1" t="s">
        <v>329</v>
      </c>
      <c r="P264" s="1" t="s">
        <v>329</v>
      </c>
      <c r="Q264" s="1" t="s">
        <v>329</v>
      </c>
      <c r="R264" s="1" t="s">
        <v>329</v>
      </c>
      <c r="S264" s="1" t="s">
        <v>329</v>
      </c>
      <c r="T264" s="1" t="s">
        <v>329</v>
      </c>
      <c r="U264" s="1">
        <v>0</v>
      </c>
      <c r="V264" s="1">
        <v>0</v>
      </c>
      <c r="W264" s="1">
        <v>0</v>
      </c>
      <c r="X264" s="1">
        <v>0</v>
      </c>
      <c r="Y264" s="1">
        <v>0</v>
      </c>
      <c r="Z264" s="1">
        <v>0</v>
      </c>
      <c r="AA264" s="1">
        <v>0</v>
      </c>
      <c r="AB264" s="1">
        <v>0</v>
      </c>
      <c r="AC264" s="1">
        <v>4</v>
      </c>
      <c r="AD264" s="1">
        <v>0</v>
      </c>
      <c r="AE264" s="1">
        <v>3</v>
      </c>
      <c r="AF264" s="1">
        <v>2</v>
      </c>
      <c r="AG264" t="s">
        <v>147</v>
      </c>
      <c r="AH264" s="1">
        <v>3000</v>
      </c>
      <c r="AI264" s="1" t="s">
        <v>5555</v>
      </c>
      <c r="AJ264" s="1">
        <v>0</v>
      </c>
      <c r="AK264" s="1" t="s">
        <v>5556</v>
      </c>
      <c r="AL264" s="1" t="s">
        <v>5557</v>
      </c>
      <c r="AM264" s="1">
        <v>0.45</v>
      </c>
      <c r="AN264" s="1">
        <v>0.15</v>
      </c>
      <c r="AO264" s="1">
        <v>0.3</v>
      </c>
      <c r="AP264" s="1">
        <v>0.15</v>
      </c>
      <c r="AQ264" s="1">
        <v>3</v>
      </c>
      <c r="AR264" s="1" t="s">
        <v>5558</v>
      </c>
      <c r="AS264" s="1">
        <v>0</v>
      </c>
      <c r="AT264" s="1" t="s">
        <v>5559</v>
      </c>
      <c r="AU264" s="1">
        <v>10</v>
      </c>
      <c r="AV264" s="1">
        <v>18080</v>
      </c>
      <c r="AW264" s="1">
        <v>0</v>
      </c>
    </row>
    <row r="265" spans="1:50" x14ac:dyDescent="0.25">
      <c r="A265" s="1">
        <v>266</v>
      </c>
      <c r="B265" s="1" t="s">
        <v>5560</v>
      </c>
      <c r="C265" s="1" t="s">
        <v>5561</v>
      </c>
      <c r="D265" s="1">
        <v>5</v>
      </c>
      <c r="E265" s="1">
        <v>1</v>
      </c>
      <c r="F265" s="1">
        <v>18</v>
      </c>
      <c r="G265" s="1" t="s">
        <v>329</v>
      </c>
      <c r="H265" s="1" t="s">
        <v>329</v>
      </c>
      <c r="I265" s="1" t="s">
        <v>386</v>
      </c>
      <c r="J265" s="1" t="s">
        <v>329</v>
      </c>
      <c r="K265" s="1" t="s">
        <v>329</v>
      </c>
      <c r="L265" s="1" t="s">
        <v>329</v>
      </c>
      <c r="M265" s="1" t="s">
        <v>403</v>
      </c>
      <c r="N265" s="1" t="s">
        <v>329</v>
      </c>
      <c r="O265" s="1" t="s">
        <v>329</v>
      </c>
      <c r="P265" s="1" t="s">
        <v>329</v>
      </c>
      <c r="Q265" s="1" t="s">
        <v>329</v>
      </c>
      <c r="R265" s="1" t="s">
        <v>329</v>
      </c>
      <c r="S265" s="1" t="s">
        <v>329</v>
      </c>
      <c r="T265" s="1" t="s">
        <v>329</v>
      </c>
      <c r="U265" s="1">
        <v>0</v>
      </c>
      <c r="V265" s="1">
        <v>0</v>
      </c>
      <c r="W265" s="1">
        <v>0</v>
      </c>
      <c r="X265" s="1">
        <v>0</v>
      </c>
      <c r="Y265" s="1">
        <v>0</v>
      </c>
      <c r="Z265" s="1">
        <v>0</v>
      </c>
      <c r="AA265" s="1">
        <v>0</v>
      </c>
      <c r="AB265" s="1">
        <v>0</v>
      </c>
      <c r="AC265" s="1">
        <v>4</v>
      </c>
      <c r="AD265" s="1">
        <v>2</v>
      </c>
      <c r="AE265" s="1">
        <v>2</v>
      </c>
      <c r="AF265" s="1">
        <v>2</v>
      </c>
      <c r="AG265" t="s">
        <v>186</v>
      </c>
      <c r="AH265" s="1">
        <v>2820</v>
      </c>
      <c r="AI265" s="1" t="s">
        <v>5562</v>
      </c>
      <c r="AJ265" s="1">
        <v>0</v>
      </c>
      <c r="AK265" s="1" t="s">
        <v>5465</v>
      </c>
      <c r="AL265" s="1" t="s">
        <v>5563</v>
      </c>
      <c r="AM265" s="1">
        <v>0.55000000000000004</v>
      </c>
      <c r="AN265" s="1">
        <v>0.23</v>
      </c>
      <c r="AO265" s="1">
        <v>0.23</v>
      </c>
      <c r="AP265" s="1">
        <v>0.23</v>
      </c>
      <c r="AQ265" s="1">
        <v>3</v>
      </c>
      <c r="AR265" s="1" t="s">
        <v>5564</v>
      </c>
      <c r="AS265" s="1">
        <v>0</v>
      </c>
      <c r="AT265" s="1" t="s">
        <v>1866</v>
      </c>
      <c r="AU265" s="1">
        <v>10</v>
      </c>
      <c r="AV265" s="1">
        <v>18081</v>
      </c>
      <c r="AW265" s="1">
        <v>0</v>
      </c>
    </row>
    <row r="266" spans="1:50" x14ac:dyDescent="0.25">
      <c r="A266" s="1">
        <v>267</v>
      </c>
      <c r="B266" s="1" t="s">
        <v>5696</v>
      </c>
      <c r="C266" s="1" t="s">
        <v>5697</v>
      </c>
      <c r="D266" s="1">
        <v>5</v>
      </c>
      <c r="E266" s="1">
        <v>1</v>
      </c>
      <c r="F266" s="1">
        <v>18</v>
      </c>
      <c r="G266" s="1" t="s">
        <v>329</v>
      </c>
      <c r="H266" s="1" t="s">
        <v>365</v>
      </c>
      <c r="I266" s="1" t="s">
        <v>360</v>
      </c>
      <c r="J266" s="1" t="s">
        <v>329</v>
      </c>
      <c r="K266" s="1" t="s">
        <v>329</v>
      </c>
      <c r="L266" s="1" t="s">
        <v>329</v>
      </c>
      <c r="M266" s="1" t="s">
        <v>386</v>
      </c>
      <c r="N266" s="1" t="s">
        <v>329</v>
      </c>
      <c r="O266" s="1" t="s">
        <v>329</v>
      </c>
      <c r="P266" s="1" t="s">
        <v>329</v>
      </c>
      <c r="Q266" s="1" t="s">
        <v>329</v>
      </c>
      <c r="R266" s="1" t="s">
        <v>329</v>
      </c>
      <c r="S266" s="1" t="s">
        <v>329</v>
      </c>
      <c r="T266" s="1" t="s">
        <v>329</v>
      </c>
      <c r="U266" s="1">
        <v>0</v>
      </c>
      <c r="V266" s="1">
        <v>0</v>
      </c>
      <c r="W266" s="1">
        <v>0</v>
      </c>
      <c r="X266" s="1">
        <v>0</v>
      </c>
      <c r="Y266" s="1">
        <v>0</v>
      </c>
      <c r="Z266" s="1">
        <v>0</v>
      </c>
      <c r="AA266" s="1">
        <v>0</v>
      </c>
      <c r="AB266" s="1">
        <v>0</v>
      </c>
      <c r="AC266" s="1">
        <v>4</v>
      </c>
      <c r="AD266" s="1">
        <v>2</v>
      </c>
      <c r="AE266" s="1">
        <v>2</v>
      </c>
      <c r="AF266" s="1">
        <v>2</v>
      </c>
      <c r="AG266" t="s">
        <v>69</v>
      </c>
      <c r="AH266" s="1">
        <v>2820</v>
      </c>
      <c r="AI266" s="1" t="s">
        <v>1903</v>
      </c>
      <c r="AJ266" s="1">
        <v>0</v>
      </c>
      <c r="AK266" s="1" t="s">
        <v>5201</v>
      </c>
      <c r="AL266" s="1" t="s">
        <v>5698</v>
      </c>
      <c r="AM266" s="1">
        <v>0.55000000000000004</v>
      </c>
      <c r="AN266" s="1">
        <v>0.23</v>
      </c>
      <c r="AO266" s="1">
        <v>0.23</v>
      </c>
      <c r="AP266" s="1">
        <v>0.23</v>
      </c>
      <c r="AQ266" s="1">
        <v>3</v>
      </c>
      <c r="AR266" s="1" t="s">
        <v>1575</v>
      </c>
      <c r="AS266" s="1">
        <v>0</v>
      </c>
      <c r="AT266" s="1" t="s">
        <v>1866</v>
      </c>
      <c r="AU266" s="1">
        <v>10</v>
      </c>
      <c r="AV266" s="1">
        <v>18082</v>
      </c>
      <c r="AW266" s="1">
        <v>0</v>
      </c>
      <c r="AX266">
        <v>0</v>
      </c>
    </row>
    <row r="267" spans="1:50" x14ac:dyDescent="0.25">
      <c r="A267" s="1">
        <v>268</v>
      </c>
      <c r="B267" s="1" t="s">
        <v>5699</v>
      </c>
      <c r="C267" s="1" t="s">
        <v>5700</v>
      </c>
      <c r="D267" s="1">
        <v>5</v>
      </c>
      <c r="E267" s="1">
        <v>2</v>
      </c>
      <c r="F267" s="1">
        <v>19</v>
      </c>
      <c r="G267" s="1" t="s">
        <v>357</v>
      </c>
      <c r="H267" s="1" t="s">
        <v>329</v>
      </c>
      <c r="I267" s="1" t="s">
        <v>329</v>
      </c>
      <c r="J267" s="1" t="s">
        <v>329</v>
      </c>
      <c r="K267" s="1" t="s">
        <v>329</v>
      </c>
      <c r="L267" s="1" t="s">
        <v>339</v>
      </c>
      <c r="M267" s="1" t="s">
        <v>329</v>
      </c>
      <c r="N267" s="1" t="s">
        <v>329</v>
      </c>
      <c r="O267" s="1" t="s">
        <v>329</v>
      </c>
      <c r="P267" s="1" t="s">
        <v>329</v>
      </c>
      <c r="Q267" s="1" t="s">
        <v>329</v>
      </c>
      <c r="R267" s="1" t="s">
        <v>329</v>
      </c>
      <c r="S267" s="1" t="s">
        <v>329</v>
      </c>
      <c r="T267" s="1" t="s">
        <v>329</v>
      </c>
      <c r="U267" s="1">
        <v>0</v>
      </c>
      <c r="V267" s="1">
        <v>0</v>
      </c>
      <c r="W267" s="1">
        <v>0</v>
      </c>
      <c r="X267" s="1">
        <v>0</v>
      </c>
      <c r="Y267" s="1">
        <v>0</v>
      </c>
      <c r="Z267" s="1">
        <v>0</v>
      </c>
      <c r="AA267" s="1">
        <v>0</v>
      </c>
      <c r="AB267" s="1">
        <v>0</v>
      </c>
      <c r="AC267" s="1">
        <v>0</v>
      </c>
      <c r="AD267" s="1">
        <v>5</v>
      </c>
      <c r="AE267" s="1">
        <v>3</v>
      </c>
      <c r="AF267" s="1">
        <v>2</v>
      </c>
      <c r="AG267" t="s">
        <v>239</v>
      </c>
      <c r="AH267" s="1">
        <v>3480</v>
      </c>
      <c r="AI267" s="1" t="s">
        <v>1903</v>
      </c>
      <c r="AJ267" s="1">
        <v>0</v>
      </c>
      <c r="AK267" s="1" t="s">
        <v>5118</v>
      </c>
      <c r="AL267" s="1" t="s">
        <v>5701</v>
      </c>
      <c r="AM267" s="1">
        <v>0.15</v>
      </c>
      <c r="AN267" s="1">
        <v>0.6</v>
      </c>
      <c r="AO267" s="1">
        <v>0.38</v>
      </c>
      <c r="AP267" s="1">
        <v>0.23</v>
      </c>
      <c r="AQ267" s="1">
        <v>3</v>
      </c>
      <c r="AR267" s="1" t="s">
        <v>1582</v>
      </c>
      <c r="AS267" s="1">
        <v>0</v>
      </c>
      <c r="AT267" s="1" t="s">
        <v>1866</v>
      </c>
      <c r="AU267" s="1">
        <v>10</v>
      </c>
      <c r="AV267" s="1">
        <v>19036</v>
      </c>
      <c r="AW267" s="1">
        <v>0</v>
      </c>
      <c r="AX267">
        <v>0</v>
      </c>
    </row>
    <row r="268" spans="1:50" x14ac:dyDescent="0.25">
      <c r="A268" s="1">
        <v>269</v>
      </c>
      <c r="B268" s="1" t="s">
        <v>5702</v>
      </c>
      <c r="C268" s="1" t="s">
        <v>5703</v>
      </c>
      <c r="D268" s="1">
        <v>5</v>
      </c>
      <c r="E268" s="1">
        <v>1</v>
      </c>
      <c r="F268" s="1">
        <v>18</v>
      </c>
      <c r="G268" s="1" t="s">
        <v>329</v>
      </c>
      <c r="H268" s="1" t="s">
        <v>329</v>
      </c>
      <c r="I268" s="1" t="s">
        <v>339</v>
      </c>
      <c r="J268" s="1" t="s">
        <v>329</v>
      </c>
      <c r="K268" s="1" t="s">
        <v>329</v>
      </c>
      <c r="L268" s="1" t="s">
        <v>329</v>
      </c>
      <c r="M268" s="1" t="s">
        <v>329</v>
      </c>
      <c r="N268" s="1" t="s">
        <v>329</v>
      </c>
      <c r="O268" s="1" t="s">
        <v>329</v>
      </c>
      <c r="P268" s="1" t="s">
        <v>329</v>
      </c>
      <c r="Q268" s="1" t="s">
        <v>329</v>
      </c>
      <c r="R268" s="1" t="s">
        <v>329</v>
      </c>
      <c r="S268" s="1" t="s">
        <v>1788</v>
      </c>
      <c r="T268" s="1" t="s">
        <v>329</v>
      </c>
      <c r="U268" s="1">
        <v>0</v>
      </c>
      <c r="V268" s="1">
        <v>0</v>
      </c>
      <c r="W268" s="1">
        <v>0</v>
      </c>
      <c r="X268" s="1">
        <v>0</v>
      </c>
      <c r="Y268" s="1">
        <v>0</v>
      </c>
      <c r="Z268" s="1">
        <v>0</v>
      </c>
      <c r="AA268" s="1">
        <v>0</v>
      </c>
      <c r="AB268" s="1">
        <v>0</v>
      </c>
      <c r="AC268" s="1">
        <v>3</v>
      </c>
      <c r="AD268" s="1">
        <v>0</v>
      </c>
      <c r="AE268" s="1">
        <v>4</v>
      </c>
      <c r="AF268" s="1">
        <v>2</v>
      </c>
      <c r="AG268" t="s">
        <v>1206</v>
      </c>
      <c r="AH268" s="1">
        <v>2940</v>
      </c>
      <c r="AI268" s="1" t="s">
        <v>5704</v>
      </c>
      <c r="AJ268" s="1">
        <v>0</v>
      </c>
      <c r="AK268" s="1" t="s">
        <v>5705</v>
      </c>
      <c r="AL268" s="1" t="s">
        <v>5706</v>
      </c>
      <c r="AM268" s="1">
        <v>0.33</v>
      </c>
      <c r="AN268" s="1">
        <v>0.22</v>
      </c>
      <c r="AO268" s="1">
        <v>0.5</v>
      </c>
      <c r="AP268" s="1">
        <v>0.18</v>
      </c>
      <c r="AQ268" s="1">
        <v>3</v>
      </c>
      <c r="AR268" s="1" t="s">
        <v>1786</v>
      </c>
      <c r="AS268" s="1">
        <v>0</v>
      </c>
      <c r="AT268" s="1" t="s">
        <v>1866</v>
      </c>
      <c r="AU268" s="1">
        <v>10</v>
      </c>
      <c r="AV268" s="1">
        <v>18083</v>
      </c>
      <c r="AW268" s="1">
        <v>0</v>
      </c>
      <c r="AX268">
        <v>0</v>
      </c>
    </row>
    <row r="269" spans="1:50" x14ac:dyDescent="0.25">
      <c r="A269" s="1">
        <v>270</v>
      </c>
      <c r="B269" s="1" t="s">
        <v>5707</v>
      </c>
      <c r="C269" s="1" t="s">
        <v>5708</v>
      </c>
      <c r="D269" s="1">
        <v>5</v>
      </c>
      <c r="E269" s="1">
        <v>1</v>
      </c>
      <c r="F269" s="1">
        <v>18</v>
      </c>
      <c r="G269" s="1" t="s">
        <v>471</v>
      </c>
      <c r="H269" s="1" t="s">
        <v>360</v>
      </c>
      <c r="I269" s="1" t="s">
        <v>329</v>
      </c>
      <c r="J269" s="1" t="s">
        <v>329</v>
      </c>
      <c r="K269" s="1" t="s">
        <v>329</v>
      </c>
      <c r="L269" s="1" t="s">
        <v>329</v>
      </c>
      <c r="M269" s="1" t="s">
        <v>904</v>
      </c>
      <c r="N269" s="1" t="s">
        <v>329</v>
      </c>
      <c r="O269" s="1" t="s">
        <v>329</v>
      </c>
      <c r="P269" s="1" t="s">
        <v>329</v>
      </c>
      <c r="Q269" s="1" t="s">
        <v>329</v>
      </c>
      <c r="R269" s="1" t="s">
        <v>329</v>
      </c>
      <c r="S269" s="1" t="s">
        <v>329</v>
      </c>
      <c r="T269" s="1" t="s">
        <v>329</v>
      </c>
      <c r="U269" s="1">
        <v>0</v>
      </c>
      <c r="V269" s="1">
        <v>0</v>
      </c>
      <c r="W269" s="1">
        <v>0</v>
      </c>
      <c r="X269" s="1">
        <v>0</v>
      </c>
      <c r="Y269" s="1">
        <v>0</v>
      </c>
      <c r="Z269" s="1">
        <v>0</v>
      </c>
      <c r="AA269" s="1">
        <v>0</v>
      </c>
      <c r="AB269" s="1">
        <v>0</v>
      </c>
      <c r="AC269" s="1">
        <v>4</v>
      </c>
      <c r="AD269" s="1">
        <v>2</v>
      </c>
      <c r="AE269" s="1">
        <v>2</v>
      </c>
      <c r="AF269" s="1">
        <v>2</v>
      </c>
      <c r="AG269" t="s">
        <v>152</v>
      </c>
      <c r="AH269" s="1">
        <v>3540</v>
      </c>
      <c r="AI269" s="1" t="s">
        <v>5709</v>
      </c>
      <c r="AJ269" s="1">
        <v>0</v>
      </c>
      <c r="AK269" s="1" t="s">
        <v>5710</v>
      </c>
      <c r="AL269" s="1" t="s">
        <v>5711</v>
      </c>
      <c r="AM269" s="1">
        <v>0.45</v>
      </c>
      <c r="AN269" s="1">
        <v>0.15</v>
      </c>
      <c r="AO269" s="1">
        <v>0.3</v>
      </c>
      <c r="AP269" s="1">
        <v>0.15</v>
      </c>
      <c r="AQ269" s="1">
        <v>3</v>
      </c>
      <c r="AR269" s="1" t="s">
        <v>5712</v>
      </c>
      <c r="AS269" s="1">
        <v>0</v>
      </c>
      <c r="AT269" s="1" t="s">
        <v>1866</v>
      </c>
      <c r="AU269" s="1">
        <v>10</v>
      </c>
      <c r="AV269" s="1">
        <v>18084</v>
      </c>
      <c r="AW269" s="1">
        <v>0</v>
      </c>
      <c r="AX269">
        <v>0</v>
      </c>
    </row>
    <row r="270" spans="1:50" x14ac:dyDescent="0.25">
      <c r="A270" s="1">
        <v>271</v>
      </c>
      <c r="B270" s="1" t="s">
        <v>5815</v>
      </c>
      <c r="C270" s="1" t="s">
        <v>5816</v>
      </c>
      <c r="D270" s="1">
        <v>5</v>
      </c>
      <c r="E270" s="1">
        <v>2</v>
      </c>
      <c r="F270" s="1">
        <v>19</v>
      </c>
      <c r="G270" s="1" t="s">
        <v>392</v>
      </c>
      <c r="H270" s="1" t="s">
        <v>329</v>
      </c>
      <c r="I270" s="1" t="s">
        <v>329</v>
      </c>
      <c r="J270" s="1" t="s">
        <v>329</v>
      </c>
      <c r="K270" s="1" t="s">
        <v>329</v>
      </c>
      <c r="L270" s="1" t="s">
        <v>329</v>
      </c>
      <c r="M270" s="1" t="s">
        <v>329</v>
      </c>
      <c r="N270" s="1" t="s">
        <v>411</v>
      </c>
      <c r="O270" s="1" t="s">
        <v>329</v>
      </c>
      <c r="P270" s="1" t="s">
        <v>329</v>
      </c>
      <c r="Q270" s="1" t="s">
        <v>329</v>
      </c>
      <c r="R270" s="1" t="s">
        <v>329</v>
      </c>
      <c r="S270" s="1" t="s">
        <v>329</v>
      </c>
      <c r="T270" s="1" t="s">
        <v>329</v>
      </c>
      <c r="U270" s="1">
        <v>0</v>
      </c>
      <c r="V270" s="1">
        <v>0</v>
      </c>
      <c r="W270" s="1">
        <v>0</v>
      </c>
      <c r="X270" s="1">
        <v>0</v>
      </c>
      <c r="Y270" s="1">
        <v>0</v>
      </c>
      <c r="Z270" s="1">
        <v>0</v>
      </c>
      <c r="AA270" s="1">
        <v>0</v>
      </c>
      <c r="AB270" s="1">
        <v>0</v>
      </c>
      <c r="AC270" s="1">
        <v>4</v>
      </c>
      <c r="AD270" s="1">
        <v>4</v>
      </c>
      <c r="AE270" s="1">
        <v>0</v>
      </c>
      <c r="AF270" s="1">
        <v>2</v>
      </c>
      <c r="AG270" t="s">
        <v>64</v>
      </c>
      <c r="AH270" s="1">
        <v>3600</v>
      </c>
      <c r="AI270" s="1" t="s">
        <v>1903</v>
      </c>
      <c r="AJ270" s="1">
        <v>0</v>
      </c>
      <c r="AK270" s="1" t="s">
        <v>4850</v>
      </c>
      <c r="AL270" s="1" t="s">
        <v>5817</v>
      </c>
      <c r="AM270" s="1">
        <v>0.48</v>
      </c>
      <c r="AN270" s="1">
        <v>0.48</v>
      </c>
      <c r="AO270" s="1">
        <v>0.08</v>
      </c>
      <c r="AP270" s="1">
        <v>0.25</v>
      </c>
      <c r="AQ270" s="1">
        <v>3</v>
      </c>
      <c r="AR270" s="1" t="s">
        <v>1501</v>
      </c>
      <c r="AS270" s="1">
        <v>0</v>
      </c>
      <c r="AT270" s="1" t="s">
        <v>1866</v>
      </c>
      <c r="AU270" s="1">
        <v>10</v>
      </c>
      <c r="AV270" s="1">
        <v>19037</v>
      </c>
      <c r="AW270" s="1">
        <v>0</v>
      </c>
      <c r="AX270">
        <v>0</v>
      </c>
    </row>
    <row r="271" spans="1:50" x14ac:dyDescent="0.25">
      <c r="A271" s="1">
        <v>272</v>
      </c>
      <c r="B271" s="1" t="s">
        <v>5818</v>
      </c>
      <c r="C271" s="1" t="s">
        <v>5819</v>
      </c>
      <c r="D271" s="1">
        <v>5</v>
      </c>
      <c r="E271" s="1">
        <v>2</v>
      </c>
      <c r="F271" s="1">
        <v>19</v>
      </c>
      <c r="G271" s="1" t="s">
        <v>339</v>
      </c>
      <c r="H271" s="1" t="s">
        <v>329</v>
      </c>
      <c r="I271" s="1" t="s">
        <v>329</v>
      </c>
      <c r="J271" s="1" t="s">
        <v>329</v>
      </c>
      <c r="K271" s="1" t="s">
        <v>329</v>
      </c>
      <c r="L271" s="1" t="s">
        <v>329</v>
      </c>
      <c r="M271" s="1" t="s">
        <v>329</v>
      </c>
      <c r="N271" s="1" t="s">
        <v>387</v>
      </c>
      <c r="O271" s="1" t="s">
        <v>329</v>
      </c>
      <c r="P271" s="1" t="s">
        <v>329</v>
      </c>
      <c r="Q271" s="1" t="s">
        <v>329</v>
      </c>
      <c r="R271" s="1" t="s">
        <v>329</v>
      </c>
      <c r="S271" s="1" t="s">
        <v>329</v>
      </c>
      <c r="T271" s="1" t="s">
        <v>329</v>
      </c>
      <c r="U271" s="1">
        <v>0</v>
      </c>
      <c r="V271" s="1">
        <v>0</v>
      </c>
      <c r="W271" s="1">
        <v>0</v>
      </c>
      <c r="X271" s="1">
        <v>0</v>
      </c>
      <c r="Y271" s="1">
        <v>0</v>
      </c>
      <c r="Z271" s="1">
        <v>0</v>
      </c>
      <c r="AA271" s="1">
        <v>0</v>
      </c>
      <c r="AB271" s="1">
        <v>0</v>
      </c>
      <c r="AC271" s="1">
        <v>4</v>
      </c>
      <c r="AD271" s="1">
        <v>4</v>
      </c>
      <c r="AE271" s="1">
        <v>0</v>
      </c>
      <c r="AF271" s="1">
        <v>2</v>
      </c>
      <c r="AG271" t="s">
        <v>5783</v>
      </c>
      <c r="AH271" s="1">
        <v>3600</v>
      </c>
      <c r="AI271" s="1" t="s">
        <v>1903</v>
      </c>
      <c r="AJ271" s="1">
        <v>0</v>
      </c>
      <c r="AK271" s="1" t="s">
        <v>5814</v>
      </c>
      <c r="AL271" s="1" t="s">
        <v>5820</v>
      </c>
      <c r="AM271" s="1">
        <v>0.48</v>
      </c>
      <c r="AN271" s="1">
        <v>0.48</v>
      </c>
      <c r="AO271" s="1">
        <v>0.08</v>
      </c>
      <c r="AP271" s="1">
        <v>0.25</v>
      </c>
      <c r="AQ271" s="1">
        <v>3</v>
      </c>
      <c r="AR271" s="1" t="s">
        <v>1501</v>
      </c>
      <c r="AS271" s="1">
        <v>0</v>
      </c>
      <c r="AT271" s="1" t="s">
        <v>1866</v>
      </c>
      <c r="AU271" s="1">
        <v>10</v>
      </c>
      <c r="AV271" s="1">
        <v>19038</v>
      </c>
      <c r="AW271" s="1">
        <v>0</v>
      </c>
      <c r="AX271">
        <v>0</v>
      </c>
    </row>
    <row r="272" spans="1:50" x14ac:dyDescent="0.25">
      <c r="A272" s="1">
        <v>273</v>
      </c>
      <c r="B272" s="1" t="s">
        <v>5821</v>
      </c>
      <c r="C272" s="1" t="s">
        <v>5822</v>
      </c>
      <c r="D272" s="1">
        <v>5</v>
      </c>
      <c r="E272" s="1">
        <v>1</v>
      </c>
      <c r="F272" s="1">
        <v>18</v>
      </c>
      <c r="G272" s="1" t="s">
        <v>338</v>
      </c>
      <c r="H272" s="1" t="s">
        <v>344</v>
      </c>
      <c r="I272" s="1" t="s">
        <v>329</v>
      </c>
      <c r="J272" s="1" t="s">
        <v>329</v>
      </c>
      <c r="K272" s="1" t="s">
        <v>340</v>
      </c>
      <c r="L272" s="1" t="s">
        <v>329</v>
      </c>
      <c r="M272" s="1" t="s">
        <v>329</v>
      </c>
      <c r="N272" s="1" t="s">
        <v>329</v>
      </c>
      <c r="O272" s="1" t="s">
        <v>329</v>
      </c>
      <c r="P272" s="1" t="s">
        <v>329</v>
      </c>
      <c r="Q272" s="1" t="s">
        <v>329</v>
      </c>
      <c r="R272" s="1" t="s">
        <v>329</v>
      </c>
      <c r="S272" s="1" t="s">
        <v>329</v>
      </c>
      <c r="T272" s="1" t="s">
        <v>329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4</v>
      </c>
      <c r="AD272" s="1">
        <v>0</v>
      </c>
      <c r="AE272" s="1">
        <v>3</v>
      </c>
      <c r="AF272" s="1">
        <v>2</v>
      </c>
      <c r="AG272" t="s">
        <v>5798</v>
      </c>
      <c r="AH272" s="1">
        <v>3600</v>
      </c>
      <c r="AI272" s="1" t="s">
        <v>5704</v>
      </c>
      <c r="AJ272" s="1">
        <v>0</v>
      </c>
      <c r="AK272" s="1" t="s">
        <v>5823</v>
      </c>
      <c r="AL272" s="1" t="s">
        <v>5824</v>
      </c>
      <c r="AM272" s="1">
        <v>0.45</v>
      </c>
      <c r="AN272" s="1">
        <v>0.15</v>
      </c>
      <c r="AO272" s="1">
        <v>0.3</v>
      </c>
      <c r="AP272" s="1">
        <v>0.15</v>
      </c>
      <c r="AQ272" s="1">
        <v>3</v>
      </c>
      <c r="AR272" s="1" t="s">
        <v>1556</v>
      </c>
      <c r="AS272" s="1">
        <v>0</v>
      </c>
      <c r="AT272" s="1" t="s">
        <v>1866</v>
      </c>
      <c r="AU272" s="1">
        <v>10</v>
      </c>
      <c r="AV272" s="1">
        <v>18085</v>
      </c>
      <c r="AW272" s="1">
        <v>0</v>
      </c>
      <c r="AX272">
        <v>0</v>
      </c>
    </row>
    <row r="273" spans="1:50" x14ac:dyDescent="0.25">
      <c r="A273" s="1">
        <v>274</v>
      </c>
      <c r="B273" s="1" t="s">
        <v>5825</v>
      </c>
      <c r="C273" s="1" t="s">
        <v>5826</v>
      </c>
      <c r="D273" s="1">
        <v>5</v>
      </c>
      <c r="E273" s="1">
        <v>1</v>
      </c>
      <c r="F273" s="1">
        <v>18</v>
      </c>
      <c r="G273" s="1" t="s">
        <v>329</v>
      </c>
      <c r="H273" s="1" t="s">
        <v>329</v>
      </c>
      <c r="I273" s="1" t="s">
        <v>329</v>
      </c>
      <c r="J273" s="1" t="s">
        <v>329</v>
      </c>
      <c r="K273" s="1" t="s">
        <v>329</v>
      </c>
      <c r="L273" s="1" t="s">
        <v>390</v>
      </c>
      <c r="M273" s="1" t="s">
        <v>5827</v>
      </c>
      <c r="N273" s="1" t="s">
        <v>329</v>
      </c>
      <c r="O273" s="1" t="s">
        <v>329</v>
      </c>
      <c r="P273" s="1" t="s">
        <v>329</v>
      </c>
      <c r="Q273" s="1" t="s">
        <v>329</v>
      </c>
      <c r="R273" s="1" t="s">
        <v>329</v>
      </c>
      <c r="S273" s="1" t="s">
        <v>329</v>
      </c>
      <c r="T273" s="1" t="s">
        <v>329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4</v>
      </c>
      <c r="AD273" s="1">
        <v>0</v>
      </c>
      <c r="AE273" s="1">
        <v>3</v>
      </c>
      <c r="AF273" s="1">
        <v>2</v>
      </c>
      <c r="AG273" t="s">
        <v>5791</v>
      </c>
      <c r="AH273" s="1">
        <v>3600</v>
      </c>
      <c r="AI273" s="1" t="s">
        <v>1903</v>
      </c>
      <c r="AJ273" s="1">
        <v>0</v>
      </c>
      <c r="AK273" s="1" t="s">
        <v>5828</v>
      </c>
      <c r="AL273" s="1" t="s">
        <v>5829</v>
      </c>
      <c r="AM273" s="1">
        <v>0.45</v>
      </c>
      <c r="AN273" s="1">
        <v>0.15</v>
      </c>
      <c r="AO273" s="1">
        <v>0.3</v>
      </c>
      <c r="AP273" s="1">
        <v>0.15</v>
      </c>
      <c r="AQ273" s="1">
        <v>3</v>
      </c>
      <c r="AR273" s="1" t="s">
        <v>5830</v>
      </c>
      <c r="AS273" s="1">
        <v>0</v>
      </c>
      <c r="AT273" s="1" t="s">
        <v>1866</v>
      </c>
      <c r="AU273" s="1">
        <v>10</v>
      </c>
      <c r="AV273" s="1">
        <v>18086</v>
      </c>
      <c r="AW273" s="1">
        <v>0</v>
      </c>
      <c r="AX273">
        <v>0</v>
      </c>
    </row>
    <row r="274" spans="1:50" x14ac:dyDescent="0.25">
      <c r="A274" s="1">
        <v>275</v>
      </c>
      <c r="B274" s="1" t="s">
        <v>5831</v>
      </c>
      <c r="C274" s="1" t="s">
        <v>5832</v>
      </c>
      <c r="D274" s="1">
        <v>5</v>
      </c>
      <c r="E274" s="1">
        <v>3</v>
      </c>
      <c r="F274" s="1">
        <v>20</v>
      </c>
      <c r="G274" s="1" t="s">
        <v>339</v>
      </c>
      <c r="H274" s="1" t="s">
        <v>329</v>
      </c>
      <c r="I274" s="1" t="s">
        <v>357</v>
      </c>
      <c r="J274" s="1" t="s">
        <v>329</v>
      </c>
      <c r="K274" s="1" t="s">
        <v>329</v>
      </c>
      <c r="L274" s="1" t="s">
        <v>403</v>
      </c>
      <c r="M274" s="1" t="s">
        <v>329</v>
      </c>
      <c r="N274" s="1" t="s">
        <v>329</v>
      </c>
      <c r="O274" s="1" t="s">
        <v>329</v>
      </c>
      <c r="P274" s="1" t="s">
        <v>329</v>
      </c>
      <c r="Q274" s="1" t="s">
        <v>329</v>
      </c>
      <c r="R274" s="1" t="s">
        <v>329</v>
      </c>
      <c r="S274" s="1" t="s">
        <v>329</v>
      </c>
      <c r="T274" s="1" t="s">
        <v>329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4</v>
      </c>
      <c r="AD274" s="1">
        <v>3</v>
      </c>
      <c r="AE274" s="1">
        <v>0</v>
      </c>
      <c r="AF274" s="1">
        <v>2</v>
      </c>
      <c r="AG274" t="s">
        <v>5807</v>
      </c>
      <c r="AH274" s="1">
        <v>3060</v>
      </c>
      <c r="AI274" s="1" t="s">
        <v>2466</v>
      </c>
      <c r="AJ274" s="1">
        <v>0</v>
      </c>
      <c r="AK274" s="1" t="s">
        <v>5833</v>
      </c>
      <c r="AL274" s="1" t="s">
        <v>5834</v>
      </c>
      <c r="AM274" s="1">
        <v>0.3</v>
      </c>
      <c r="AN274" s="1">
        <v>0.23</v>
      </c>
      <c r="AO274" s="1">
        <v>0.15</v>
      </c>
      <c r="AP274" s="1">
        <v>0.38</v>
      </c>
      <c r="AQ274" s="1">
        <v>3</v>
      </c>
      <c r="AR274" s="1" t="s">
        <v>5835</v>
      </c>
      <c r="AS274" s="1">
        <v>0</v>
      </c>
      <c r="AT274" s="1" t="s">
        <v>1866</v>
      </c>
      <c r="AU274" s="1">
        <v>10</v>
      </c>
      <c r="AV274" s="1">
        <v>20047</v>
      </c>
      <c r="AW274" s="1">
        <v>0</v>
      </c>
      <c r="AX274">
        <v>0</v>
      </c>
    </row>
    <row r="275" spans="1:50" x14ac:dyDescent="0.25">
      <c r="A275" s="1">
        <v>276</v>
      </c>
      <c r="B275" s="1" t="s">
        <v>6370</v>
      </c>
      <c r="C275" s="1" t="s">
        <v>6371</v>
      </c>
      <c r="D275" s="1">
        <v>5</v>
      </c>
      <c r="E275" s="1">
        <v>1</v>
      </c>
      <c r="F275" s="1">
        <v>18</v>
      </c>
      <c r="G275" s="1" t="s">
        <v>329</v>
      </c>
      <c r="H275" s="1" t="s">
        <v>329</v>
      </c>
      <c r="I275" s="1" t="s">
        <v>342</v>
      </c>
      <c r="J275" s="1" t="s">
        <v>329</v>
      </c>
      <c r="K275" s="1" t="s">
        <v>329</v>
      </c>
      <c r="L275" s="1" t="s">
        <v>329</v>
      </c>
      <c r="M275" s="1" t="s">
        <v>386</v>
      </c>
      <c r="N275" s="1" t="s">
        <v>329</v>
      </c>
      <c r="O275" s="1" t="s">
        <v>329</v>
      </c>
      <c r="P275" s="1" t="s">
        <v>329</v>
      </c>
      <c r="Q275" s="1" t="s">
        <v>329</v>
      </c>
      <c r="R275" s="1" t="s">
        <v>329</v>
      </c>
      <c r="S275" s="1" t="s">
        <v>329</v>
      </c>
      <c r="T275" s="1" t="s">
        <v>329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4</v>
      </c>
      <c r="AD275" s="1">
        <v>2</v>
      </c>
      <c r="AE275" s="1">
        <v>2</v>
      </c>
      <c r="AF275" s="1">
        <v>2</v>
      </c>
      <c r="AG275" t="s">
        <v>122</v>
      </c>
      <c r="AH275" s="1">
        <v>2820</v>
      </c>
      <c r="AI275" s="1" t="s">
        <v>2289</v>
      </c>
      <c r="AJ275" s="1">
        <v>0</v>
      </c>
      <c r="AK275" s="1" t="s">
        <v>6372</v>
      </c>
      <c r="AL275" s="1" t="s">
        <v>6373</v>
      </c>
      <c r="AM275" s="1">
        <v>0.55000000000000004</v>
      </c>
      <c r="AN275" s="1">
        <v>0.23</v>
      </c>
      <c r="AO275" s="1">
        <v>0.23</v>
      </c>
      <c r="AP275" s="1">
        <v>0.23</v>
      </c>
      <c r="AQ275" s="1">
        <v>3</v>
      </c>
      <c r="AR275" s="1" t="s">
        <v>1622</v>
      </c>
      <c r="AS275" s="1">
        <v>0</v>
      </c>
      <c r="AT275" s="1" t="s">
        <v>1866</v>
      </c>
      <c r="AU275" s="1">
        <v>10</v>
      </c>
      <c r="AV275" s="1">
        <v>18087</v>
      </c>
      <c r="AW275" s="1">
        <v>0</v>
      </c>
      <c r="AX275">
        <v>0</v>
      </c>
    </row>
    <row r="276" spans="1:50" x14ac:dyDescent="0.25">
      <c r="A276" s="1">
        <v>277</v>
      </c>
      <c r="B276" s="1" t="s">
        <v>6409</v>
      </c>
      <c r="C276" s="1" t="s">
        <v>6410</v>
      </c>
      <c r="D276" s="1">
        <v>5</v>
      </c>
      <c r="E276" s="1">
        <v>1</v>
      </c>
      <c r="F276" s="1">
        <v>18</v>
      </c>
      <c r="G276" s="1" t="s">
        <v>329</v>
      </c>
      <c r="H276" s="1" t="s">
        <v>338</v>
      </c>
      <c r="I276" s="1" t="s">
        <v>342</v>
      </c>
      <c r="J276" s="1" t="s">
        <v>365</v>
      </c>
      <c r="K276" s="1" t="s">
        <v>329</v>
      </c>
      <c r="L276" s="1" t="s">
        <v>329</v>
      </c>
      <c r="M276" s="1" t="s">
        <v>329</v>
      </c>
      <c r="N276" s="1" t="s">
        <v>329</v>
      </c>
      <c r="O276" s="1" t="s">
        <v>329</v>
      </c>
      <c r="P276" s="1" t="s">
        <v>329</v>
      </c>
      <c r="Q276" s="1" t="s">
        <v>329</v>
      </c>
      <c r="R276" s="1" t="s">
        <v>329</v>
      </c>
      <c r="S276" s="1" t="s">
        <v>329</v>
      </c>
      <c r="T276" s="1" t="s">
        <v>329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4</v>
      </c>
      <c r="AD276" s="1">
        <v>2</v>
      </c>
      <c r="AE276" s="1">
        <v>2</v>
      </c>
      <c r="AF276" s="1">
        <v>2</v>
      </c>
      <c r="AG276" t="s">
        <v>190</v>
      </c>
      <c r="AH276" s="1">
        <v>2820</v>
      </c>
      <c r="AI276" s="1" t="s">
        <v>6411</v>
      </c>
      <c r="AJ276" s="1">
        <v>0</v>
      </c>
      <c r="AK276" s="1" t="s">
        <v>5436</v>
      </c>
      <c r="AL276" s="1" t="s">
        <v>6412</v>
      </c>
      <c r="AM276" s="1">
        <v>0.55000000000000004</v>
      </c>
      <c r="AN276" s="1">
        <v>0.23</v>
      </c>
      <c r="AO276" s="1">
        <v>0.23</v>
      </c>
      <c r="AP276" s="1">
        <v>0.23</v>
      </c>
      <c r="AQ276" s="1">
        <v>3</v>
      </c>
      <c r="AR276" s="1" t="s">
        <v>6413</v>
      </c>
      <c r="AS276" s="1">
        <v>0</v>
      </c>
      <c r="AT276" s="1" t="s">
        <v>1866</v>
      </c>
      <c r="AU276" s="1">
        <v>10</v>
      </c>
      <c r="AV276" s="1">
        <v>18088</v>
      </c>
      <c r="AW276" s="1">
        <v>0</v>
      </c>
      <c r="AX276">
        <v>0</v>
      </c>
    </row>
    <row r="277" spans="1:50" x14ac:dyDescent="0.25">
      <c r="A277" s="1">
        <v>278</v>
      </c>
      <c r="B277" s="1" t="s">
        <v>6479</v>
      </c>
      <c r="C277" s="1" t="s">
        <v>6480</v>
      </c>
      <c r="D277" s="1">
        <v>5</v>
      </c>
      <c r="E277" s="1">
        <v>1</v>
      </c>
      <c r="F277" s="1">
        <v>18</v>
      </c>
      <c r="G277" s="1" t="s">
        <v>329</v>
      </c>
      <c r="H277" s="1" t="s">
        <v>329</v>
      </c>
      <c r="I277" s="1" t="s">
        <v>403</v>
      </c>
      <c r="J277" s="1" t="s">
        <v>329</v>
      </c>
      <c r="K277" s="1" t="s">
        <v>329</v>
      </c>
      <c r="L277" s="1" t="s">
        <v>329</v>
      </c>
      <c r="M277" s="1" t="s">
        <v>386</v>
      </c>
      <c r="N277" s="1" t="s">
        <v>329</v>
      </c>
      <c r="O277" s="1" t="s">
        <v>329</v>
      </c>
      <c r="P277" s="1" t="s">
        <v>329</v>
      </c>
      <c r="Q277" s="1" t="s">
        <v>329</v>
      </c>
      <c r="R277" s="1" t="s">
        <v>329</v>
      </c>
      <c r="S277" s="1" t="s">
        <v>329</v>
      </c>
      <c r="T277" s="1" t="s">
        <v>329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4</v>
      </c>
      <c r="AD277" s="1">
        <v>2</v>
      </c>
      <c r="AE277" s="1">
        <v>2</v>
      </c>
      <c r="AF277" s="1">
        <v>2</v>
      </c>
      <c r="AG277" t="s">
        <v>197</v>
      </c>
      <c r="AH277" s="1">
        <v>2820</v>
      </c>
      <c r="AI277" s="1" t="s">
        <v>2275</v>
      </c>
      <c r="AJ277" s="1">
        <v>0</v>
      </c>
      <c r="AK277" s="1" t="s">
        <v>5474</v>
      </c>
      <c r="AL277" s="1" t="s">
        <v>6481</v>
      </c>
      <c r="AM277" s="1">
        <v>0.55000000000000004</v>
      </c>
      <c r="AN277" s="1">
        <v>0.23</v>
      </c>
      <c r="AO277" s="1">
        <v>0.23</v>
      </c>
      <c r="AP277" s="1">
        <v>0.23</v>
      </c>
      <c r="AQ277" s="1">
        <v>3</v>
      </c>
      <c r="AR277" s="1" t="s">
        <v>1578</v>
      </c>
      <c r="AS277" s="1">
        <v>0</v>
      </c>
      <c r="AT277" s="1" t="s">
        <v>1866</v>
      </c>
      <c r="AU277" s="1">
        <v>10</v>
      </c>
      <c r="AV277" s="1">
        <v>18089</v>
      </c>
      <c r="AW277" s="1">
        <v>0</v>
      </c>
      <c r="AX277">
        <v>0</v>
      </c>
    </row>
    <row r="278" spans="1:50" x14ac:dyDescent="0.25">
      <c r="A278" s="1">
        <v>279</v>
      </c>
      <c r="B278" s="1" t="s">
        <v>6482</v>
      </c>
      <c r="C278" s="1" t="s">
        <v>6483</v>
      </c>
      <c r="D278" s="1">
        <v>5</v>
      </c>
      <c r="E278" s="1">
        <v>1</v>
      </c>
      <c r="F278" s="1">
        <v>18</v>
      </c>
      <c r="G278" s="1" t="s">
        <v>329</v>
      </c>
      <c r="H278" s="1" t="s">
        <v>329</v>
      </c>
      <c r="I278" s="1" t="s">
        <v>329</v>
      </c>
      <c r="J278" s="1" t="s">
        <v>329</v>
      </c>
      <c r="K278" s="1" t="s">
        <v>332</v>
      </c>
      <c r="L278" s="1" t="s">
        <v>329</v>
      </c>
      <c r="M278" s="1" t="s">
        <v>328</v>
      </c>
      <c r="N278" s="1" t="s">
        <v>329</v>
      </c>
      <c r="O278" s="1" t="s">
        <v>329</v>
      </c>
      <c r="P278" s="1" t="s">
        <v>329</v>
      </c>
      <c r="Q278" s="1" t="s">
        <v>329</v>
      </c>
      <c r="R278" s="1" t="s">
        <v>329</v>
      </c>
      <c r="S278" s="1" t="s">
        <v>329</v>
      </c>
      <c r="T278" s="1" t="s">
        <v>329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4</v>
      </c>
      <c r="AD278" s="1">
        <v>0</v>
      </c>
      <c r="AE278" s="1">
        <v>3</v>
      </c>
      <c r="AF278" s="1">
        <v>2</v>
      </c>
      <c r="AG278" t="s">
        <v>86</v>
      </c>
      <c r="AH278" s="1">
        <v>3600</v>
      </c>
      <c r="AI278" s="1" t="s">
        <v>1903</v>
      </c>
      <c r="AJ278" s="1">
        <v>0</v>
      </c>
      <c r="AK278" s="1" t="s">
        <v>5601</v>
      </c>
      <c r="AL278" s="1" t="s">
        <v>6484</v>
      </c>
      <c r="AM278" s="1">
        <v>0.45</v>
      </c>
      <c r="AN278" s="1">
        <v>0.15</v>
      </c>
      <c r="AO278" s="1">
        <v>0.3</v>
      </c>
      <c r="AP278" s="1">
        <v>0.15</v>
      </c>
      <c r="AQ278" s="1">
        <v>3</v>
      </c>
      <c r="AR278" s="1" t="s">
        <v>1571</v>
      </c>
      <c r="AS278" s="1">
        <v>0</v>
      </c>
      <c r="AT278" s="1" t="s">
        <v>1866</v>
      </c>
      <c r="AU278" s="1">
        <v>10</v>
      </c>
      <c r="AV278" s="1">
        <v>18090</v>
      </c>
      <c r="AW278" s="1">
        <v>0</v>
      </c>
      <c r="AX278">
        <v>0</v>
      </c>
    </row>
    <row r="279" spans="1:50" x14ac:dyDescent="0.25">
      <c r="A279" s="1">
        <v>280</v>
      </c>
      <c r="B279" s="1" t="s">
        <v>6485</v>
      </c>
      <c r="C279" s="1" t="s">
        <v>6486</v>
      </c>
      <c r="D279" s="1">
        <v>5</v>
      </c>
      <c r="E279" s="1">
        <v>2</v>
      </c>
      <c r="F279" s="1">
        <v>19</v>
      </c>
      <c r="G279" s="1" t="s">
        <v>6487</v>
      </c>
      <c r="H279" s="1" t="s">
        <v>471</v>
      </c>
      <c r="I279" s="1" t="s">
        <v>329</v>
      </c>
      <c r="J279" s="1" t="s">
        <v>329</v>
      </c>
      <c r="K279" s="1" t="s">
        <v>435</v>
      </c>
      <c r="L279" s="1" t="s">
        <v>329</v>
      </c>
      <c r="M279" s="1" t="s">
        <v>329</v>
      </c>
      <c r="N279" s="1" t="s">
        <v>329</v>
      </c>
      <c r="O279" s="1" t="s">
        <v>329</v>
      </c>
      <c r="P279" s="1" t="s">
        <v>329</v>
      </c>
      <c r="Q279" s="1" t="s">
        <v>329</v>
      </c>
      <c r="R279" s="1" t="s">
        <v>329</v>
      </c>
      <c r="S279" s="1" t="s">
        <v>329</v>
      </c>
      <c r="T279" s="1" t="s">
        <v>329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4</v>
      </c>
      <c r="AD279" s="1">
        <v>4</v>
      </c>
      <c r="AE279" s="1">
        <v>0</v>
      </c>
      <c r="AF279" s="1">
        <v>2</v>
      </c>
      <c r="AG279" t="s">
        <v>181</v>
      </c>
      <c r="AH279" s="1">
        <v>3180</v>
      </c>
      <c r="AI279" s="1" t="s">
        <v>6488</v>
      </c>
      <c r="AJ279" s="1">
        <v>0</v>
      </c>
      <c r="AK279" s="1" t="s">
        <v>5289</v>
      </c>
      <c r="AL279" s="1" t="s">
        <v>6489</v>
      </c>
      <c r="AM279" s="1">
        <v>0.48</v>
      </c>
      <c r="AN279" s="1">
        <v>0.48</v>
      </c>
      <c r="AO279" s="1">
        <v>0.08</v>
      </c>
      <c r="AP279" s="1">
        <v>0.25</v>
      </c>
      <c r="AQ279" s="1">
        <v>3</v>
      </c>
      <c r="AR279" s="1" t="s">
        <v>6490</v>
      </c>
      <c r="AS279" s="1">
        <v>0</v>
      </c>
      <c r="AT279" s="1" t="s">
        <v>1866</v>
      </c>
      <c r="AU279" s="1">
        <v>10</v>
      </c>
      <c r="AV279" s="1">
        <v>19039</v>
      </c>
      <c r="AW279" s="1">
        <v>0</v>
      </c>
      <c r="AX279">
        <v>0</v>
      </c>
    </row>
    <row r="280" spans="1:50" x14ac:dyDescent="0.25">
      <c r="A280" s="1">
        <v>281</v>
      </c>
      <c r="B280" s="1" t="s">
        <v>6491</v>
      </c>
      <c r="C280" s="1" t="s">
        <v>6492</v>
      </c>
      <c r="D280" s="1">
        <v>5</v>
      </c>
      <c r="E280" s="1">
        <v>2</v>
      </c>
      <c r="F280" s="1">
        <v>19</v>
      </c>
      <c r="G280" s="1" t="s">
        <v>336</v>
      </c>
      <c r="H280" s="1" t="s">
        <v>329</v>
      </c>
      <c r="I280" s="1" t="s">
        <v>329</v>
      </c>
      <c r="J280" s="1" t="s">
        <v>329</v>
      </c>
      <c r="K280" s="1" t="s">
        <v>329</v>
      </c>
      <c r="L280" s="1" t="s">
        <v>329</v>
      </c>
      <c r="M280" s="1" t="s">
        <v>329</v>
      </c>
      <c r="N280" s="1" t="s">
        <v>353</v>
      </c>
      <c r="O280" s="1" t="s">
        <v>329</v>
      </c>
      <c r="P280" s="1" t="s">
        <v>329</v>
      </c>
      <c r="Q280" s="1" t="s">
        <v>329</v>
      </c>
      <c r="R280" s="1" t="s">
        <v>329</v>
      </c>
      <c r="S280" s="1" t="s">
        <v>329</v>
      </c>
      <c r="T280" s="1" t="s">
        <v>329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4</v>
      </c>
      <c r="AE280" s="1">
        <v>2</v>
      </c>
      <c r="AF280" s="1">
        <v>3</v>
      </c>
      <c r="AG280" t="s">
        <v>1640</v>
      </c>
      <c r="AH280" s="1">
        <v>3300</v>
      </c>
      <c r="AI280" s="1" t="s">
        <v>1903</v>
      </c>
      <c r="AJ280" s="1">
        <v>0</v>
      </c>
      <c r="AK280" s="1" t="s">
        <v>6493</v>
      </c>
      <c r="AL280" s="1" t="s">
        <v>6494</v>
      </c>
      <c r="AM280" s="1">
        <v>0.08</v>
      </c>
      <c r="AN280" s="1">
        <v>0.5</v>
      </c>
      <c r="AO280" s="1">
        <v>0.3</v>
      </c>
      <c r="AP280" s="1">
        <v>0.3</v>
      </c>
      <c r="AQ280" s="1">
        <v>3</v>
      </c>
      <c r="AR280" s="1" t="s">
        <v>1580</v>
      </c>
      <c r="AS280" s="1">
        <v>0</v>
      </c>
      <c r="AT280" s="1" t="s">
        <v>1866</v>
      </c>
      <c r="AU280" s="1">
        <v>10</v>
      </c>
      <c r="AV280" s="1">
        <v>19040</v>
      </c>
      <c r="AW280" s="1">
        <v>0</v>
      </c>
      <c r="AX280">
        <v>0</v>
      </c>
    </row>
    <row r="281" spans="1:50" x14ac:dyDescent="0.25">
      <c r="A281" s="1">
        <v>282</v>
      </c>
      <c r="B281" s="1" t="s">
        <v>6495</v>
      </c>
      <c r="C281" s="1" t="s">
        <v>6496</v>
      </c>
      <c r="D281" s="1">
        <v>5</v>
      </c>
      <c r="E281" s="1">
        <v>1</v>
      </c>
      <c r="F281" s="1">
        <v>18</v>
      </c>
      <c r="G281" s="1" t="s">
        <v>329</v>
      </c>
      <c r="H281" s="1" t="s">
        <v>329</v>
      </c>
      <c r="I281" s="1" t="s">
        <v>329</v>
      </c>
      <c r="J281" s="1" t="s">
        <v>329</v>
      </c>
      <c r="K281" s="1" t="s">
        <v>329</v>
      </c>
      <c r="L281" s="1" t="s">
        <v>339</v>
      </c>
      <c r="M281" s="1" t="s">
        <v>328</v>
      </c>
      <c r="N281" s="1" t="s">
        <v>329</v>
      </c>
      <c r="O281" s="1" t="s">
        <v>329</v>
      </c>
      <c r="P281" s="1" t="s">
        <v>329</v>
      </c>
      <c r="Q281" s="1" t="s">
        <v>329</v>
      </c>
      <c r="R281" s="1" t="s">
        <v>329</v>
      </c>
      <c r="S281" s="1" t="s">
        <v>329</v>
      </c>
      <c r="T281" s="1" t="s">
        <v>329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4</v>
      </c>
      <c r="AD281" s="1">
        <v>0</v>
      </c>
      <c r="AE281" s="1">
        <v>3</v>
      </c>
      <c r="AF281" s="1">
        <v>2</v>
      </c>
      <c r="AG281" t="s">
        <v>840</v>
      </c>
      <c r="AH281" s="1">
        <v>3600</v>
      </c>
      <c r="AI281" s="1" t="s">
        <v>1903</v>
      </c>
      <c r="AJ281" s="1">
        <v>0</v>
      </c>
      <c r="AK281" s="1" t="s">
        <v>5475</v>
      </c>
      <c r="AL281" s="1" t="s">
        <v>6497</v>
      </c>
      <c r="AM281" s="1">
        <v>0.45</v>
      </c>
      <c r="AN281" s="1">
        <v>0.15</v>
      </c>
      <c r="AO281" s="1">
        <v>0.3</v>
      </c>
      <c r="AP281" s="1">
        <v>0.15</v>
      </c>
      <c r="AQ281" s="1">
        <v>3</v>
      </c>
      <c r="AR281" s="1" t="s">
        <v>1579</v>
      </c>
      <c r="AS281" s="1">
        <v>0</v>
      </c>
      <c r="AT281" s="1" t="s">
        <v>1866</v>
      </c>
      <c r="AU281" s="1">
        <v>10</v>
      </c>
      <c r="AV281" s="1">
        <v>18091</v>
      </c>
      <c r="AW281" s="1">
        <v>0</v>
      </c>
      <c r="AX281">
        <v>0</v>
      </c>
    </row>
    <row r="282" spans="1:50" x14ac:dyDescent="0.25">
      <c r="A282" s="1">
        <v>283</v>
      </c>
      <c r="B282" s="1" t="s">
        <v>6525</v>
      </c>
      <c r="C282" s="1" t="s">
        <v>6526</v>
      </c>
      <c r="D282" s="1">
        <v>5</v>
      </c>
      <c r="E282" s="1">
        <v>1</v>
      </c>
      <c r="F282" s="1">
        <v>18</v>
      </c>
      <c r="G282" s="1" t="s">
        <v>336</v>
      </c>
      <c r="H282" s="1" t="s">
        <v>329</v>
      </c>
      <c r="I282" s="1" t="s">
        <v>329</v>
      </c>
      <c r="J282" s="1" t="s">
        <v>329</v>
      </c>
      <c r="K282" s="1" t="s">
        <v>329</v>
      </c>
      <c r="L282" s="1" t="s">
        <v>329</v>
      </c>
      <c r="M282" s="1" t="s">
        <v>328</v>
      </c>
      <c r="N282" s="1" t="s">
        <v>329</v>
      </c>
      <c r="O282" s="1" t="s">
        <v>329</v>
      </c>
      <c r="P282" s="1" t="s">
        <v>329</v>
      </c>
      <c r="Q282" s="1" t="s">
        <v>329</v>
      </c>
      <c r="R282" s="1" t="s">
        <v>329</v>
      </c>
      <c r="S282" s="1" t="s">
        <v>329</v>
      </c>
      <c r="T282" s="1" t="s">
        <v>329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4</v>
      </c>
      <c r="AD282" s="1">
        <v>0</v>
      </c>
      <c r="AE282" s="1">
        <v>3</v>
      </c>
      <c r="AF282" s="1">
        <v>2</v>
      </c>
      <c r="AG282" t="s">
        <v>185</v>
      </c>
      <c r="AH282" s="1">
        <v>2700</v>
      </c>
      <c r="AI282" s="1" t="s">
        <v>2267</v>
      </c>
      <c r="AJ282" s="1">
        <v>0</v>
      </c>
      <c r="AK282" s="1" t="s">
        <v>5463</v>
      </c>
      <c r="AL282" s="1" t="s">
        <v>6527</v>
      </c>
      <c r="AM282" s="1">
        <v>0.45</v>
      </c>
      <c r="AN282" s="1">
        <v>0.15</v>
      </c>
      <c r="AO282" s="1">
        <v>0.3</v>
      </c>
      <c r="AP282" s="1">
        <v>0.15</v>
      </c>
      <c r="AQ282" s="1">
        <v>3</v>
      </c>
      <c r="AR282" s="1" t="s">
        <v>1549</v>
      </c>
      <c r="AS282" s="1">
        <v>0</v>
      </c>
      <c r="AT282" s="1" t="s">
        <v>1866</v>
      </c>
      <c r="AU282" s="1">
        <v>10</v>
      </c>
      <c r="AV282" s="1">
        <v>18092</v>
      </c>
      <c r="AW282" s="1">
        <v>0</v>
      </c>
      <c r="AX282">
        <v>0</v>
      </c>
    </row>
    <row r="283" spans="1:50" x14ac:dyDescent="0.25">
      <c r="A283" s="1">
        <v>284</v>
      </c>
      <c r="B283" s="1" t="s">
        <v>6572</v>
      </c>
      <c r="C283" s="1" t="s">
        <v>6573</v>
      </c>
      <c r="D283" s="1">
        <v>5</v>
      </c>
      <c r="E283" s="1">
        <v>2</v>
      </c>
      <c r="F283" s="1">
        <v>19</v>
      </c>
      <c r="G283" s="1" t="s">
        <v>329</v>
      </c>
      <c r="H283" s="1" t="s">
        <v>339</v>
      </c>
      <c r="I283" s="1" t="s">
        <v>329</v>
      </c>
      <c r="J283" s="1" t="s">
        <v>329</v>
      </c>
      <c r="K283" s="1" t="s">
        <v>329</v>
      </c>
      <c r="L283" s="1" t="s">
        <v>329</v>
      </c>
      <c r="M283" s="1" t="s">
        <v>329</v>
      </c>
      <c r="N283" s="1" t="s">
        <v>329</v>
      </c>
      <c r="O283" s="1" t="s">
        <v>329</v>
      </c>
      <c r="P283" s="1" t="s">
        <v>329</v>
      </c>
      <c r="Q283" s="1" t="s">
        <v>329</v>
      </c>
      <c r="R283" s="1" t="s">
        <v>329</v>
      </c>
      <c r="S283" s="1" t="s">
        <v>329</v>
      </c>
      <c r="T283" s="1" t="s">
        <v>329</v>
      </c>
      <c r="U283" s="1">
        <v>0</v>
      </c>
      <c r="V283" s="1">
        <v>150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4</v>
      </c>
      <c r="AD283" s="1">
        <v>4</v>
      </c>
      <c r="AE283" s="1">
        <v>0</v>
      </c>
      <c r="AF283" s="1">
        <v>2</v>
      </c>
      <c r="AG283" t="s">
        <v>6542</v>
      </c>
      <c r="AH283" s="1">
        <v>3600</v>
      </c>
      <c r="AI283" s="1" t="s">
        <v>1903</v>
      </c>
      <c r="AJ283" s="1">
        <v>0</v>
      </c>
      <c r="AK283" s="1" t="s">
        <v>6570</v>
      </c>
      <c r="AL283" s="1" t="s">
        <v>6574</v>
      </c>
      <c r="AM283" s="1">
        <v>0.48</v>
      </c>
      <c r="AN283" s="1">
        <v>0.48</v>
      </c>
      <c r="AO283" s="1">
        <v>0.08</v>
      </c>
      <c r="AP283" s="1">
        <v>0.25</v>
      </c>
      <c r="AQ283" s="1">
        <v>3</v>
      </c>
      <c r="AR283" s="1" t="s">
        <v>1498</v>
      </c>
      <c r="AS283" s="1">
        <v>0</v>
      </c>
      <c r="AT283" s="1" t="s">
        <v>2528</v>
      </c>
      <c r="AU283" s="1">
        <v>10</v>
      </c>
      <c r="AV283" s="1">
        <v>19041</v>
      </c>
      <c r="AW283" s="1">
        <v>0</v>
      </c>
      <c r="AX283">
        <v>0</v>
      </c>
    </row>
    <row r="284" spans="1:50" x14ac:dyDescent="0.25">
      <c r="A284" s="1">
        <v>285</v>
      </c>
      <c r="B284" s="1" t="s">
        <v>6575</v>
      </c>
      <c r="C284" s="1" t="s">
        <v>6576</v>
      </c>
      <c r="D284" s="1">
        <v>5</v>
      </c>
      <c r="E284" s="1">
        <v>1</v>
      </c>
      <c r="F284" s="1">
        <v>18</v>
      </c>
      <c r="G284" s="1" t="s">
        <v>336</v>
      </c>
      <c r="H284" s="1" t="s">
        <v>471</v>
      </c>
      <c r="I284" s="1" t="s">
        <v>329</v>
      </c>
      <c r="J284" s="1" t="s">
        <v>329</v>
      </c>
      <c r="K284" s="1" t="s">
        <v>329</v>
      </c>
      <c r="L284" s="1" t="s">
        <v>329</v>
      </c>
      <c r="M284" s="1" t="s">
        <v>398</v>
      </c>
      <c r="N284" s="1" t="s">
        <v>329</v>
      </c>
      <c r="O284" s="1" t="s">
        <v>329</v>
      </c>
      <c r="P284" s="1" t="s">
        <v>329</v>
      </c>
      <c r="Q284" s="1" t="s">
        <v>329</v>
      </c>
      <c r="R284" s="1" t="s">
        <v>329</v>
      </c>
      <c r="S284" s="1" t="s">
        <v>329</v>
      </c>
      <c r="T284" s="1" t="s">
        <v>329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4</v>
      </c>
      <c r="AD284" s="1">
        <v>0</v>
      </c>
      <c r="AE284" s="1">
        <v>3</v>
      </c>
      <c r="AF284" s="1">
        <v>2</v>
      </c>
      <c r="AG284" t="s">
        <v>6550</v>
      </c>
      <c r="AH284" s="1">
        <v>3600</v>
      </c>
      <c r="AI284" s="1" t="s">
        <v>1903</v>
      </c>
      <c r="AJ284" s="1">
        <v>0</v>
      </c>
      <c r="AK284" s="1" t="s">
        <v>6569</v>
      </c>
      <c r="AL284" s="1" t="s">
        <v>6577</v>
      </c>
      <c r="AM284" s="1">
        <v>0.45</v>
      </c>
      <c r="AN284" s="1">
        <v>0.15</v>
      </c>
      <c r="AO284" s="1">
        <v>0.3</v>
      </c>
      <c r="AP284" s="1">
        <v>0.15</v>
      </c>
      <c r="AQ284" s="1">
        <v>3</v>
      </c>
      <c r="AR284" s="1" t="s">
        <v>1589</v>
      </c>
      <c r="AS284" s="1">
        <v>0</v>
      </c>
      <c r="AT284" s="1" t="s">
        <v>1866</v>
      </c>
      <c r="AU284" s="1">
        <v>10</v>
      </c>
      <c r="AV284" s="1">
        <v>18093</v>
      </c>
      <c r="AW284" s="1">
        <v>0</v>
      </c>
      <c r="AX284">
        <v>0</v>
      </c>
    </row>
    <row r="285" spans="1:50" x14ac:dyDescent="0.25">
      <c r="A285" s="1">
        <v>286</v>
      </c>
      <c r="B285" s="1" t="s">
        <v>6578</v>
      </c>
      <c r="C285" s="1" t="s">
        <v>6579</v>
      </c>
      <c r="D285" s="1">
        <v>5</v>
      </c>
      <c r="E285" s="1">
        <v>2</v>
      </c>
      <c r="F285" s="1">
        <v>19</v>
      </c>
      <c r="G285" s="1" t="s">
        <v>329</v>
      </c>
      <c r="H285" s="1" t="s">
        <v>386</v>
      </c>
      <c r="I285" s="1" t="s">
        <v>329</v>
      </c>
      <c r="J285" s="1" t="s">
        <v>329</v>
      </c>
      <c r="K285" s="1" t="s">
        <v>329</v>
      </c>
      <c r="L285" s="1" t="s">
        <v>329</v>
      </c>
      <c r="M285" s="1" t="s">
        <v>329</v>
      </c>
      <c r="N285" s="1" t="s">
        <v>329</v>
      </c>
      <c r="O285" s="1" t="s">
        <v>329</v>
      </c>
      <c r="P285" s="1" t="s">
        <v>329</v>
      </c>
      <c r="Q285" s="1" t="s">
        <v>329</v>
      </c>
      <c r="R285" s="1" t="s">
        <v>329</v>
      </c>
      <c r="S285" s="1" t="s">
        <v>329</v>
      </c>
      <c r="T285" s="1" t="s">
        <v>329</v>
      </c>
      <c r="U285" s="1">
        <v>0</v>
      </c>
      <c r="V285" s="1">
        <v>150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4</v>
      </c>
      <c r="AD285" s="1">
        <v>4</v>
      </c>
      <c r="AE285" s="1">
        <v>0</v>
      </c>
      <c r="AF285" s="1">
        <v>2</v>
      </c>
      <c r="AG285" t="s">
        <v>6588</v>
      </c>
      <c r="AH285" s="1">
        <v>3600</v>
      </c>
      <c r="AI285" s="1" t="s">
        <v>6580</v>
      </c>
      <c r="AJ285" s="1">
        <v>0</v>
      </c>
      <c r="AK285" s="1" t="s">
        <v>6571</v>
      </c>
      <c r="AL285" s="1" t="s">
        <v>6581</v>
      </c>
      <c r="AM285" s="1">
        <v>0.48</v>
      </c>
      <c r="AN285" s="1">
        <v>0.48</v>
      </c>
      <c r="AO285" s="1">
        <v>0.08</v>
      </c>
      <c r="AP285" s="1">
        <v>0.25</v>
      </c>
      <c r="AQ285" s="1">
        <v>3</v>
      </c>
      <c r="AR285" s="1" t="s">
        <v>1521</v>
      </c>
      <c r="AS285" s="1">
        <v>0</v>
      </c>
      <c r="AT285" s="1" t="s">
        <v>6582</v>
      </c>
      <c r="AU285" s="1">
        <v>10</v>
      </c>
      <c r="AV285" s="1">
        <v>19042</v>
      </c>
      <c r="AW285" s="1">
        <v>0</v>
      </c>
      <c r="AX285">
        <v>0</v>
      </c>
    </row>
    <row r="286" spans="1:50" x14ac:dyDescent="0.25">
      <c r="A286" s="1">
        <v>287</v>
      </c>
      <c r="B286" s="1" t="s">
        <v>6583</v>
      </c>
      <c r="C286" s="1" t="s">
        <v>6584</v>
      </c>
      <c r="D286" s="1">
        <v>5</v>
      </c>
      <c r="E286" s="1">
        <v>1</v>
      </c>
      <c r="F286" s="1">
        <v>18</v>
      </c>
      <c r="G286" s="1" t="s">
        <v>336</v>
      </c>
      <c r="H286" s="1" t="s">
        <v>329</v>
      </c>
      <c r="I286" s="1" t="s">
        <v>329</v>
      </c>
      <c r="J286" s="1" t="s">
        <v>329</v>
      </c>
      <c r="K286" s="1" t="s">
        <v>329</v>
      </c>
      <c r="L286" s="1" t="s">
        <v>329</v>
      </c>
      <c r="M286" s="1" t="s">
        <v>328</v>
      </c>
      <c r="N286" s="1" t="s">
        <v>329</v>
      </c>
      <c r="O286" s="1" t="s">
        <v>329</v>
      </c>
      <c r="P286" s="1" t="s">
        <v>329</v>
      </c>
      <c r="Q286" s="1" t="s">
        <v>329</v>
      </c>
      <c r="R286" s="1" t="s">
        <v>329</v>
      </c>
      <c r="S286" s="1" t="s">
        <v>329</v>
      </c>
      <c r="T286" s="1" t="s">
        <v>329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4</v>
      </c>
      <c r="AD286" s="1">
        <v>0</v>
      </c>
      <c r="AE286" s="1">
        <v>3</v>
      </c>
      <c r="AF286" s="1">
        <v>2</v>
      </c>
      <c r="AG286" t="s">
        <v>6563</v>
      </c>
      <c r="AH286" s="1">
        <v>2700</v>
      </c>
      <c r="AI286" s="1" t="s">
        <v>6585</v>
      </c>
      <c r="AJ286" s="1">
        <v>0</v>
      </c>
      <c r="AK286" s="1" t="s">
        <v>6586</v>
      </c>
      <c r="AL286" s="1" t="s">
        <v>6587</v>
      </c>
      <c r="AM286" s="1">
        <v>0.45</v>
      </c>
      <c r="AN286" s="1">
        <v>0.15</v>
      </c>
      <c r="AO286" s="1">
        <v>0.3</v>
      </c>
      <c r="AP286" s="1">
        <v>0.15</v>
      </c>
      <c r="AQ286" s="1">
        <v>3</v>
      </c>
      <c r="AR286" s="1" t="s">
        <v>1549</v>
      </c>
      <c r="AS286" s="1">
        <v>0</v>
      </c>
      <c r="AT286" s="1" t="s">
        <v>1866</v>
      </c>
      <c r="AU286" s="1">
        <v>10</v>
      </c>
      <c r="AV286" s="1">
        <v>18094</v>
      </c>
      <c r="AW286" s="1">
        <v>0</v>
      </c>
      <c r="AX286">
        <v>0</v>
      </c>
    </row>
    <row r="287" spans="1:50" x14ac:dyDescent="0.25">
      <c r="A287" s="1">
        <v>288</v>
      </c>
      <c r="B287" s="1" t="s">
        <v>6596</v>
      </c>
      <c r="C287" s="1" t="s">
        <v>6597</v>
      </c>
      <c r="D287" s="1">
        <v>5</v>
      </c>
      <c r="E287" s="1">
        <v>1</v>
      </c>
      <c r="F287" s="1">
        <v>18</v>
      </c>
      <c r="G287" s="1" t="s">
        <v>336</v>
      </c>
      <c r="H287" s="1" t="s">
        <v>400</v>
      </c>
      <c r="I287" s="1" t="s">
        <v>329</v>
      </c>
      <c r="J287" s="1" t="s">
        <v>329</v>
      </c>
      <c r="K287" s="1" t="s">
        <v>494</v>
      </c>
      <c r="L287" s="1" t="s">
        <v>329</v>
      </c>
      <c r="M287" s="1" t="s">
        <v>329</v>
      </c>
      <c r="N287" s="1" t="s">
        <v>329</v>
      </c>
      <c r="O287" s="1" t="s">
        <v>329</v>
      </c>
      <c r="P287" s="1" t="s">
        <v>329</v>
      </c>
      <c r="Q287" s="1" t="s">
        <v>329</v>
      </c>
      <c r="R287" s="1" t="s">
        <v>329</v>
      </c>
      <c r="S287" s="1" t="s">
        <v>329</v>
      </c>
      <c r="T287" s="1" t="s">
        <v>329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4</v>
      </c>
      <c r="AD287" s="1">
        <v>0</v>
      </c>
      <c r="AE287" s="1">
        <v>3</v>
      </c>
      <c r="AF287" s="1">
        <v>2</v>
      </c>
      <c r="AG287" t="s">
        <v>231</v>
      </c>
      <c r="AH287" s="1">
        <v>3600</v>
      </c>
      <c r="AI287" s="1" t="s">
        <v>721</v>
      </c>
      <c r="AJ287" s="1">
        <v>0</v>
      </c>
      <c r="AK287" s="1" t="s">
        <v>6598</v>
      </c>
      <c r="AL287" s="1" t="s">
        <v>6599</v>
      </c>
      <c r="AM287" s="1">
        <v>0.45</v>
      </c>
      <c r="AN287" s="1">
        <v>0.15</v>
      </c>
      <c r="AO287" s="1">
        <v>0.3</v>
      </c>
      <c r="AP287" s="1">
        <v>0.15</v>
      </c>
      <c r="AQ287" s="1">
        <v>3</v>
      </c>
      <c r="AR287" s="1" t="s">
        <v>6600</v>
      </c>
      <c r="AS287" s="1">
        <v>0</v>
      </c>
      <c r="AT287" s="1" t="s">
        <v>6601</v>
      </c>
      <c r="AU287" s="1">
        <v>10</v>
      </c>
      <c r="AV287" s="1">
        <v>18095</v>
      </c>
      <c r="AW287" s="1">
        <v>0</v>
      </c>
      <c r="AX287">
        <v>0</v>
      </c>
    </row>
    <row r="288" spans="1:50" x14ac:dyDescent="0.25">
      <c r="A288">
        <v>289</v>
      </c>
      <c r="B288" t="s">
        <v>6619</v>
      </c>
      <c r="C288" t="s">
        <v>6620</v>
      </c>
      <c r="D288">
        <v>5</v>
      </c>
      <c r="E288">
        <v>1</v>
      </c>
      <c r="F288">
        <v>18</v>
      </c>
      <c r="G288" s="1" t="s">
        <v>355</v>
      </c>
      <c r="H288" s="1" t="s">
        <v>329</v>
      </c>
      <c r="I288" s="1" t="s">
        <v>329</v>
      </c>
      <c r="J288" s="1" t="s">
        <v>329</v>
      </c>
      <c r="K288" s="1" t="s">
        <v>329</v>
      </c>
      <c r="L288" s="1" t="s">
        <v>329</v>
      </c>
      <c r="M288" s="1" t="s">
        <v>398</v>
      </c>
      <c r="N288" s="1" t="s">
        <v>329</v>
      </c>
      <c r="O288" s="1" t="s">
        <v>329</v>
      </c>
      <c r="P288" s="1" t="s">
        <v>329</v>
      </c>
      <c r="Q288" s="1" t="s">
        <v>329</v>
      </c>
      <c r="R288" s="1" t="s">
        <v>329</v>
      </c>
      <c r="S288" s="1" t="s">
        <v>329</v>
      </c>
      <c r="T288" s="1" t="s">
        <v>329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4</v>
      </c>
      <c r="AD288" s="1">
        <v>0</v>
      </c>
      <c r="AE288" s="1">
        <v>3</v>
      </c>
      <c r="AF288" s="1">
        <v>2</v>
      </c>
      <c r="AG288" t="s">
        <v>1654</v>
      </c>
      <c r="AH288" s="1">
        <v>3600</v>
      </c>
      <c r="AI288" t="s">
        <v>2267</v>
      </c>
      <c r="AJ288">
        <v>0</v>
      </c>
      <c r="AK288" s="1" t="s">
        <v>6621</v>
      </c>
      <c r="AL288" s="1" t="s">
        <v>6622</v>
      </c>
      <c r="AM288" s="1">
        <v>0.45</v>
      </c>
      <c r="AN288" s="1">
        <v>0.15</v>
      </c>
      <c r="AO288" s="1">
        <v>0.3</v>
      </c>
      <c r="AP288" s="1">
        <v>0.15</v>
      </c>
      <c r="AQ288" s="1">
        <v>3</v>
      </c>
      <c r="AR288" t="s">
        <v>6623</v>
      </c>
      <c r="AS288">
        <v>0</v>
      </c>
      <c r="AT288" t="s">
        <v>1866</v>
      </c>
      <c r="AU288">
        <v>10</v>
      </c>
      <c r="AV288">
        <v>18096</v>
      </c>
      <c r="AW288">
        <v>0</v>
      </c>
      <c r="AX288">
        <v>0</v>
      </c>
    </row>
    <row r="289" spans="1:50" x14ac:dyDescent="0.25">
      <c r="A289">
        <v>290</v>
      </c>
      <c r="B289" t="s">
        <v>6624</v>
      </c>
      <c r="C289" t="s">
        <v>6625</v>
      </c>
      <c r="D289">
        <v>5</v>
      </c>
      <c r="E289">
        <v>1</v>
      </c>
      <c r="F289">
        <v>18</v>
      </c>
      <c r="G289" s="1" t="s">
        <v>399</v>
      </c>
      <c r="H289" s="1" t="s">
        <v>336</v>
      </c>
      <c r="I289" s="1" t="s">
        <v>329</v>
      </c>
      <c r="J289" s="1" t="s">
        <v>329</v>
      </c>
      <c r="K289" s="1" t="s">
        <v>329</v>
      </c>
      <c r="L289" s="1" t="s">
        <v>329</v>
      </c>
      <c r="M289" s="1" t="s">
        <v>6626</v>
      </c>
      <c r="N289" s="1" t="s">
        <v>329</v>
      </c>
      <c r="O289" s="1" t="s">
        <v>329</v>
      </c>
      <c r="P289" s="1" t="s">
        <v>329</v>
      </c>
      <c r="Q289" s="1" t="s">
        <v>329</v>
      </c>
      <c r="R289" s="1" t="s">
        <v>329</v>
      </c>
      <c r="S289" s="1" t="s">
        <v>329</v>
      </c>
      <c r="T289" s="1" t="s">
        <v>329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4</v>
      </c>
      <c r="AD289" s="1">
        <v>0</v>
      </c>
      <c r="AE289" s="1">
        <v>3</v>
      </c>
      <c r="AF289" s="1">
        <v>2</v>
      </c>
      <c r="AG289" t="s">
        <v>112</v>
      </c>
      <c r="AH289" s="1">
        <v>3600</v>
      </c>
      <c r="AI289" t="s">
        <v>1903</v>
      </c>
      <c r="AJ289">
        <v>0</v>
      </c>
      <c r="AK289" s="1" t="s">
        <v>6627</v>
      </c>
      <c r="AL289" s="1" t="s">
        <v>6628</v>
      </c>
      <c r="AM289" s="1">
        <v>0.45</v>
      </c>
      <c r="AN289" s="1">
        <v>0.15</v>
      </c>
      <c r="AO289" s="1">
        <v>0.3</v>
      </c>
      <c r="AP289" s="1">
        <v>0.15</v>
      </c>
      <c r="AQ289" s="1">
        <v>3</v>
      </c>
      <c r="AR289" t="s">
        <v>6629</v>
      </c>
      <c r="AS289">
        <v>0</v>
      </c>
      <c r="AT289" t="s">
        <v>1866</v>
      </c>
      <c r="AU289">
        <v>10</v>
      </c>
      <c r="AV289">
        <v>18097</v>
      </c>
      <c r="AW289">
        <v>0</v>
      </c>
      <c r="AX289">
        <v>0</v>
      </c>
    </row>
    <row r="290" spans="1:50" x14ac:dyDescent="0.25">
      <c r="A290">
        <v>291</v>
      </c>
      <c r="B290" t="s">
        <v>6630</v>
      </c>
      <c r="C290" t="s">
        <v>6631</v>
      </c>
      <c r="D290">
        <v>5</v>
      </c>
      <c r="E290">
        <v>1</v>
      </c>
      <c r="F290">
        <v>18</v>
      </c>
      <c r="G290" s="1" t="s">
        <v>471</v>
      </c>
      <c r="H290" s="1" t="s">
        <v>386</v>
      </c>
      <c r="I290" s="1" t="s">
        <v>329</v>
      </c>
      <c r="J290" s="1" t="s">
        <v>329</v>
      </c>
      <c r="K290" s="1" t="s">
        <v>329</v>
      </c>
      <c r="L290" s="1" t="s">
        <v>329</v>
      </c>
      <c r="M290" s="1" t="s">
        <v>904</v>
      </c>
      <c r="N290" s="1" t="s">
        <v>329</v>
      </c>
      <c r="O290" s="1" t="s">
        <v>329</v>
      </c>
      <c r="P290" s="1" t="s">
        <v>329</v>
      </c>
      <c r="Q290" s="1" t="s">
        <v>329</v>
      </c>
      <c r="R290" s="1" t="s">
        <v>329</v>
      </c>
      <c r="S290" s="1" t="s">
        <v>329</v>
      </c>
      <c r="T290" s="1" t="s">
        <v>329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4</v>
      </c>
      <c r="AD290" s="1">
        <v>2</v>
      </c>
      <c r="AE290" s="1">
        <v>2</v>
      </c>
      <c r="AF290" s="1">
        <v>2</v>
      </c>
      <c r="AG290" t="s">
        <v>71</v>
      </c>
      <c r="AH290" s="1">
        <v>3600</v>
      </c>
      <c r="AI290" t="s">
        <v>1903</v>
      </c>
      <c r="AJ290">
        <v>0</v>
      </c>
      <c r="AK290" s="1" t="s">
        <v>6632</v>
      </c>
      <c r="AL290" s="1" t="s">
        <v>6633</v>
      </c>
      <c r="AM290" s="1">
        <v>0.45</v>
      </c>
      <c r="AN290" s="1">
        <v>0.15</v>
      </c>
      <c r="AO290" s="1">
        <v>0.3</v>
      </c>
      <c r="AP290" s="1">
        <v>0.15</v>
      </c>
      <c r="AQ290" s="1">
        <v>3</v>
      </c>
      <c r="AR290" t="s">
        <v>5712</v>
      </c>
      <c r="AS290">
        <v>0</v>
      </c>
      <c r="AT290" t="s">
        <v>1866</v>
      </c>
      <c r="AU290">
        <v>10</v>
      </c>
      <c r="AV290">
        <v>18098</v>
      </c>
      <c r="AW290">
        <v>0</v>
      </c>
      <c r="AX290">
        <v>0</v>
      </c>
    </row>
    <row r="291" spans="1:50" x14ac:dyDescent="0.25">
      <c r="A291">
        <v>292</v>
      </c>
      <c r="B291" t="s">
        <v>6634</v>
      </c>
      <c r="C291" t="s">
        <v>6635</v>
      </c>
      <c r="D291">
        <v>5</v>
      </c>
      <c r="E291">
        <v>1</v>
      </c>
      <c r="F291">
        <v>18</v>
      </c>
      <c r="G291" s="1" t="s">
        <v>336</v>
      </c>
      <c r="H291" s="1" t="s">
        <v>344</v>
      </c>
      <c r="I291" s="1" t="s">
        <v>329</v>
      </c>
      <c r="J291" s="1" t="s">
        <v>329</v>
      </c>
      <c r="K291" s="1" t="s">
        <v>329</v>
      </c>
      <c r="L291" s="1" t="s">
        <v>329</v>
      </c>
      <c r="M291" s="1" t="s">
        <v>329</v>
      </c>
      <c r="N291" s="1" t="s">
        <v>329</v>
      </c>
      <c r="O291" s="1" t="s">
        <v>329</v>
      </c>
      <c r="P291" s="1" t="s">
        <v>329</v>
      </c>
      <c r="Q291" s="1" t="s">
        <v>329</v>
      </c>
      <c r="R291" s="1" t="s">
        <v>329</v>
      </c>
      <c r="S291" s="1" t="s">
        <v>329</v>
      </c>
      <c r="T291" s="1" t="s">
        <v>329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4</v>
      </c>
      <c r="AD291" s="1">
        <v>0</v>
      </c>
      <c r="AE291" s="1">
        <v>3</v>
      </c>
      <c r="AF291" s="1">
        <v>2</v>
      </c>
      <c r="AG291" t="s">
        <v>1663</v>
      </c>
      <c r="AH291" s="1">
        <v>3000</v>
      </c>
      <c r="AI291" t="s">
        <v>6636</v>
      </c>
      <c r="AJ291">
        <v>0</v>
      </c>
      <c r="AK291" s="1" t="s">
        <v>6637</v>
      </c>
      <c r="AL291" s="1" t="s">
        <v>6638</v>
      </c>
      <c r="AM291" s="1">
        <v>0.45</v>
      </c>
      <c r="AN291" s="1">
        <v>0.15</v>
      </c>
      <c r="AO291" s="1">
        <v>0.3</v>
      </c>
      <c r="AP291" s="1">
        <v>0.15</v>
      </c>
      <c r="AQ291" s="1">
        <v>3</v>
      </c>
      <c r="AR291" t="s">
        <v>5558</v>
      </c>
      <c r="AS291">
        <v>0</v>
      </c>
      <c r="AT291" t="s">
        <v>6639</v>
      </c>
      <c r="AU291">
        <v>10</v>
      </c>
      <c r="AV291">
        <v>18099</v>
      </c>
      <c r="AW291">
        <v>0</v>
      </c>
      <c r="AX291">
        <v>0</v>
      </c>
    </row>
  </sheetData>
  <autoFilter ref="A1:AW1" xr:uid="{BA0C6CAA-67FA-488C-A0ED-FA9FBD889C76}">
    <sortState ref="A2:AW265">
      <sortCondition ref="A1"/>
    </sortState>
  </autoFilter>
  <pageMargins left="0.7" right="0.7" top="0.75" bottom="0.75" header="0.3" footer="0.3"/>
  <pageSetup orientation="portrait" horizontalDpi="0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1EFC3-3D07-4D5A-B775-6B830F1C45E4}">
  <sheetPr codeName="Sheet8">
    <tabColor theme="4" tint="0.79998168889431442"/>
  </sheetPr>
  <dimension ref="A1:BE552"/>
  <sheetViews>
    <sheetView workbookViewId="0">
      <pane ySplit="1" topLeftCell="A2" activePane="bottomLeft" state="frozen"/>
      <selection activeCell="U2" sqref="U2:U45"/>
      <selection pane="bottomLeft" activeCell="D12" sqref="D12"/>
    </sheetView>
  </sheetViews>
  <sheetFormatPr defaultRowHeight="15" x14ac:dyDescent="0.25"/>
  <cols>
    <col min="1" max="1" width="7.28515625" bestFit="1" customWidth="1"/>
    <col min="2" max="2" width="13.140625" bestFit="1" customWidth="1"/>
    <col min="3" max="3" width="19.28515625" bestFit="1" customWidth="1"/>
    <col min="4" max="4" width="18" customWidth="1"/>
    <col min="5" max="5" width="14.140625" bestFit="1" customWidth="1"/>
    <col min="6" max="6" width="13.28515625" bestFit="1" customWidth="1"/>
    <col min="7" max="7" width="13.140625" bestFit="1" customWidth="1"/>
    <col min="8" max="8" width="17.42578125" bestFit="1" customWidth="1"/>
    <col min="9" max="9" width="13.7109375" bestFit="1" customWidth="1"/>
    <col min="10" max="10" width="9.5703125" bestFit="1" customWidth="1"/>
    <col min="11" max="11" width="9.42578125" bestFit="1" customWidth="1"/>
    <col min="12" max="12" width="21.5703125" bestFit="1" customWidth="1"/>
    <col min="13" max="13" width="15.28515625" bestFit="1" customWidth="1"/>
    <col min="14" max="14" width="13.28515625" bestFit="1" customWidth="1"/>
    <col min="15" max="15" width="27.85546875" bestFit="1" customWidth="1"/>
    <col min="16" max="16" width="25.7109375" bestFit="1" customWidth="1"/>
    <col min="17" max="17" width="13.42578125" bestFit="1" customWidth="1"/>
    <col min="18" max="18" width="16.140625" bestFit="1" customWidth="1"/>
    <col min="19" max="20" width="14.140625" bestFit="1" customWidth="1"/>
    <col min="21" max="21" width="13.7109375" bestFit="1" customWidth="1"/>
    <col min="22" max="22" width="14.5703125" bestFit="1" customWidth="1"/>
    <col min="23" max="23" width="14.28515625" bestFit="1" customWidth="1"/>
    <col min="24" max="24" width="16.140625" bestFit="1" customWidth="1"/>
    <col min="25" max="25" width="13.140625" bestFit="1" customWidth="1"/>
    <col min="26" max="26" width="16.28515625" bestFit="1" customWidth="1"/>
    <col min="27" max="27" width="16" bestFit="1" customWidth="1"/>
    <col min="28" max="28" width="19.140625" bestFit="1" customWidth="1"/>
    <col min="29" max="29" width="8.42578125" bestFit="1" customWidth="1"/>
    <col min="30" max="30" width="11.7109375" bestFit="1" customWidth="1"/>
    <col min="31" max="31" width="13.5703125" bestFit="1" customWidth="1"/>
    <col min="32" max="32" width="15.7109375" bestFit="1" customWidth="1"/>
    <col min="33" max="34" width="10.140625" bestFit="1" customWidth="1"/>
    <col min="35" max="35" width="18.28515625" bestFit="1" customWidth="1"/>
    <col min="36" max="36" width="95.28515625" bestFit="1" customWidth="1"/>
    <col min="37" max="37" width="61.28515625" bestFit="1" customWidth="1"/>
    <col min="38" max="38" width="22.28515625" bestFit="1" customWidth="1"/>
    <col min="39" max="39" width="19.28515625" bestFit="1" customWidth="1"/>
    <col min="40" max="40" width="19.5703125" bestFit="1" customWidth="1"/>
    <col min="41" max="41" width="21.85546875" bestFit="1" customWidth="1"/>
    <col min="42" max="42" width="15.42578125" bestFit="1" customWidth="1"/>
    <col min="43" max="45" width="16.7109375" bestFit="1" customWidth="1"/>
    <col min="46" max="46" width="14.42578125" bestFit="1" customWidth="1"/>
    <col min="47" max="47" width="4.85546875" bestFit="1" customWidth="1"/>
    <col min="48" max="48" width="14.7109375" bestFit="1" customWidth="1"/>
    <col min="49" max="49" width="14.28515625" bestFit="1" customWidth="1"/>
    <col min="50" max="50" width="12.5703125" bestFit="1" customWidth="1"/>
    <col min="51" max="51" width="14.42578125" bestFit="1" customWidth="1"/>
    <col min="52" max="52" width="10.42578125" bestFit="1" customWidth="1"/>
    <col min="53" max="53" width="23.42578125" bestFit="1" customWidth="1"/>
    <col min="54" max="54" width="13.85546875" bestFit="1" customWidth="1"/>
    <col min="55" max="55" width="16" bestFit="1" customWidth="1"/>
    <col min="56" max="56" width="8.85546875" bestFit="1" customWidth="1"/>
  </cols>
  <sheetData>
    <row r="1" spans="1:57" x14ac:dyDescent="0.25">
      <c r="A1" s="43" t="s">
        <v>25</v>
      </c>
      <c r="B1" s="43" t="s">
        <v>1837</v>
      </c>
      <c r="C1" s="43" t="s">
        <v>219</v>
      </c>
      <c r="D1" s="43" t="s">
        <v>322</v>
      </c>
      <c r="E1" s="43" t="s">
        <v>2665</v>
      </c>
      <c r="F1" s="43" t="s">
        <v>2666</v>
      </c>
      <c r="G1" s="43" t="s">
        <v>2667</v>
      </c>
      <c r="H1" s="43" t="s">
        <v>2668</v>
      </c>
      <c r="I1" s="43" t="s">
        <v>981</v>
      </c>
      <c r="J1" s="43" t="s">
        <v>61</v>
      </c>
      <c r="K1" s="43" t="s">
        <v>220</v>
      </c>
      <c r="L1" s="43" t="s">
        <v>323</v>
      </c>
      <c r="M1" s="43" t="s">
        <v>2669</v>
      </c>
      <c r="N1" s="43" t="s">
        <v>2670</v>
      </c>
      <c r="O1" s="43" t="s">
        <v>2671</v>
      </c>
      <c r="P1" s="43" t="s">
        <v>2672</v>
      </c>
      <c r="Q1" s="43" t="s">
        <v>2673</v>
      </c>
      <c r="R1" s="43" t="s">
        <v>2674</v>
      </c>
      <c r="S1" s="43" t="s">
        <v>2675</v>
      </c>
      <c r="T1" s="43" t="s">
        <v>2676</v>
      </c>
      <c r="U1" s="43" t="s">
        <v>1134</v>
      </c>
      <c r="V1" s="43" t="s">
        <v>1135</v>
      </c>
      <c r="W1" s="43" t="s">
        <v>1136</v>
      </c>
      <c r="X1" s="43" t="s">
        <v>2677</v>
      </c>
      <c r="Y1" s="43" t="s">
        <v>1137</v>
      </c>
      <c r="Z1" s="43" t="s">
        <v>1138</v>
      </c>
      <c r="AA1" s="43" t="s">
        <v>1139</v>
      </c>
      <c r="AB1" s="43" t="s">
        <v>221</v>
      </c>
      <c r="AC1" s="43" t="s">
        <v>2678</v>
      </c>
      <c r="AD1" s="43" t="s">
        <v>2679</v>
      </c>
      <c r="AE1" s="43" t="s">
        <v>1140</v>
      </c>
      <c r="AF1" s="43" t="s">
        <v>2680</v>
      </c>
      <c r="AG1" s="43" t="s">
        <v>41</v>
      </c>
      <c r="AH1" s="43" t="s">
        <v>42</v>
      </c>
      <c r="AI1" s="43" t="s">
        <v>1141</v>
      </c>
      <c r="AJ1" s="43" t="s">
        <v>630</v>
      </c>
      <c r="AK1" s="43" t="s">
        <v>1142</v>
      </c>
      <c r="AL1" s="43" t="s">
        <v>2681</v>
      </c>
      <c r="AM1" s="43" t="s">
        <v>2682</v>
      </c>
      <c r="AN1" s="43" t="s">
        <v>2683</v>
      </c>
      <c r="AO1" s="43" t="s">
        <v>2684</v>
      </c>
      <c r="AP1" s="43" t="s">
        <v>2685</v>
      </c>
      <c r="AQ1" s="43" t="s">
        <v>1143</v>
      </c>
      <c r="AR1" s="43" t="s">
        <v>1144</v>
      </c>
      <c r="AS1" s="43" t="s">
        <v>1145</v>
      </c>
      <c r="AT1" t="s">
        <v>2686</v>
      </c>
      <c r="AU1" t="s">
        <v>2687</v>
      </c>
      <c r="AV1" t="s">
        <v>583</v>
      </c>
      <c r="AW1" t="s">
        <v>2688</v>
      </c>
      <c r="AX1" t="s">
        <v>2689</v>
      </c>
      <c r="AY1" t="s">
        <v>2690</v>
      </c>
      <c r="AZ1" t="s">
        <v>2691</v>
      </c>
      <c r="BA1" t="s">
        <v>2692</v>
      </c>
      <c r="BB1" t="s">
        <v>2693</v>
      </c>
      <c r="BC1" t="s">
        <v>2694</v>
      </c>
      <c r="BD1" t="s">
        <v>2695</v>
      </c>
    </row>
    <row r="2" spans="1:57" x14ac:dyDescent="0.25">
      <c r="A2" s="1">
        <v>1</v>
      </c>
      <c r="B2" s="1" t="s">
        <v>2696</v>
      </c>
      <c r="C2" s="9" t="s">
        <v>19</v>
      </c>
      <c r="D2" s="1" t="s">
        <v>2697</v>
      </c>
      <c r="E2" s="1"/>
      <c r="F2" s="1"/>
      <c r="G2" s="1" t="s">
        <v>2698</v>
      </c>
      <c r="H2" s="1" t="s">
        <v>2699</v>
      </c>
      <c r="I2" s="1" t="s">
        <v>2700</v>
      </c>
      <c r="J2" s="1">
        <v>1</v>
      </c>
      <c r="K2" s="1">
        <v>4</v>
      </c>
      <c r="L2" s="1">
        <v>3000</v>
      </c>
      <c r="M2" s="1">
        <v>10</v>
      </c>
      <c r="N2" s="1">
        <v>10</v>
      </c>
      <c r="O2" s="1">
        <v>5</v>
      </c>
      <c r="P2" s="1">
        <v>5</v>
      </c>
      <c r="Q2" s="1">
        <v>2</v>
      </c>
      <c r="R2" s="1">
        <v>2</v>
      </c>
      <c r="S2" s="1">
        <v>2</v>
      </c>
      <c r="T2" s="1">
        <v>0</v>
      </c>
      <c r="U2" s="1">
        <v>120</v>
      </c>
      <c r="V2" s="1">
        <v>125</v>
      </c>
      <c r="W2" s="1">
        <v>85</v>
      </c>
      <c r="X2" s="1">
        <v>100</v>
      </c>
      <c r="Y2" s="1">
        <v>90</v>
      </c>
      <c r="Z2" s="1">
        <v>95</v>
      </c>
      <c r="AA2" s="1">
        <v>0</v>
      </c>
      <c r="AB2" s="1">
        <v>15</v>
      </c>
      <c r="AC2" s="1">
        <v>20</v>
      </c>
      <c r="AD2" s="1">
        <v>0</v>
      </c>
      <c r="AE2" s="1">
        <v>130</v>
      </c>
      <c r="AF2" s="1">
        <v>95</v>
      </c>
      <c r="AG2" s="1">
        <v>100503</v>
      </c>
      <c r="AH2" s="1">
        <v>0</v>
      </c>
      <c r="AI2" s="1">
        <v>300115</v>
      </c>
      <c r="AJ2" s="1" t="s">
        <v>329</v>
      </c>
      <c r="AK2" s="1" t="s">
        <v>329</v>
      </c>
      <c r="AL2" s="1">
        <v>13</v>
      </c>
      <c r="AM2" s="1" t="s">
        <v>1866</v>
      </c>
      <c r="AN2" s="1" t="s">
        <v>4800</v>
      </c>
      <c r="AO2" s="1" t="s">
        <v>4801</v>
      </c>
      <c r="AP2" s="1">
        <v>0</v>
      </c>
      <c r="AQ2" s="1" t="s">
        <v>4802</v>
      </c>
      <c r="AR2" s="1" t="s">
        <v>1147</v>
      </c>
      <c r="AS2" s="1" t="s">
        <v>1148</v>
      </c>
      <c r="AT2" s="1" t="s">
        <v>329</v>
      </c>
      <c r="AU2" s="1">
        <v>1</v>
      </c>
      <c r="AV2" s="1">
        <v>0</v>
      </c>
      <c r="AW2" s="1" t="s">
        <v>4552</v>
      </c>
      <c r="AX2" s="1" t="s">
        <v>471</v>
      </c>
      <c r="AY2" s="1">
        <v>4</v>
      </c>
      <c r="AZ2" s="1">
        <v>0</v>
      </c>
      <c r="BA2" s="1" t="s">
        <v>4803</v>
      </c>
      <c r="BB2" s="1" t="s">
        <v>371</v>
      </c>
      <c r="BC2" s="1" t="s">
        <v>4780</v>
      </c>
      <c r="BD2" s="1">
        <v>10302</v>
      </c>
      <c r="BE2" s="1"/>
    </row>
    <row r="3" spans="1:57" x14ac:dyDescent="0.25">
      <c r="A3" s="1">
        <v>2</v>
      </c>
      <c r="B3" s="1" t="s">
        <v>2701</v>
      </c>
      <c r="C3" s="9" t="s">
        <v>62</v>
      </c>
      <c r="D3" s="1" t="s">
        <v>62</v>
      </c>
      <c r="E3" s="1"/>
      <c r="F3" s="1"/>
      <c r="G3" s="1" t="s">
        <v>2702</v>
      </c>
      <c r="H3" s="1" t="s">
        <v>2703</v>
      </c>
      <c r="I3" s="1" t="s">
        <v>2704</v>
      </c>
      <c r="J3" s="1">
        <v>1</v>
      </c>
      <c r="K3" s="1">
        <v>2</v>
      </c>
      <c r="L3" s="1">
        <v>1200</v>
      </c>
      <c r="M3" s="1">
        <v>10</v>
      </c>
      <c r="N3" s="1">
        <v>10</v>
      </c>
      <c r="O3" s="1">
        <v>5</v>
      </c>
      <c r="P3" s="1">
        <v>5</v>
      </c>
      <c r="Q3" s="1">
        <v>2</v>
      </c>
      <c r="R3" s="1">
        <v>2</v>
      </c>
      <c r="S3" s="1">
        <v>2</v>
      </c>
      <c r="T3" s="1">
        <v>0</v>
      </c>
      <c r="U3" s="1">
        <v>110</v>
      </c>
      <c r="V3" s="1">
        <v>95</v>
      </c>
      <c r="W3" s="1">
        <v>105</v>
      </c>
      <c r="X3" s="1">
        <v>100</v>
      </c>
      <c r="Y3" s="1">
        <v>100</v>
      </c>
      <c r="Z3" s="1">
        <v>100</v>
      </c>
      <c r="AA3" s="1">
        <v>0</v>
      </c>
      <c r="AB3" s="1">
        <v>15</v>
      </c>
      <c r="AC3" s="1">
        <v>20</v>
      </c>
      <c r="AD3" s="1">
        <v>0</v>
      </c>
      <c r="AE3" s="1">
        <v>120</v>
      </c>
      <c r="AF3" s="1">
        <v>105</v>
      </c>
      <c r="AG3" s="1">
        <v>102401</v>
      </c>
      <c r="AH3" s="1">
        <v>0</v>
      </c>
      <c r="AI3" s="1">
        <v>300101</v>
      </c>
      <c r="AJ3" s="1" t="s">
        <v>1149</v>
      </c>
      <c r="AK3" s="1" t="s">
        <v>329</v>
      </c>
      <c r="AL3" s="1">
        <v>13</v>
      </c>
      <c r="AM3" s="1" t="s">
        <v>1866</v>
      </c>
      <c r="AN3" s="1" t="s">
        <v>4800</v>
      </c>
      <c r="AO3" s="1" t="s">
        <v>4804</v>
      </c>
      <c r="AP3" s="1">
        <v>0</v>
      </c>
      <c r="AQ3" s="1" t="s">
        <v>1146</v>
      </c>
      <c r="AR3" s="1" t="s">
        <v>1772</v>
      </c>
      <c r="AS3" s="1" t="s">
        <v>1148</v>
      </c>
      <c r="AT3" s="1" t="s">
        <v>329</v>
      </c>
      <c r="AU3" s="1">
        <v>2</v>
      </c>
      <c r="AV3" s="1">
        <v>0</v>
      </c>
      <c r="AW3" s="1" t="s">
        <v>4552</v>
      </c>
      <c r="AX3" s="1" t="s">
        <v>471</v>
      </c>
      <c r="AY3" s="1">
        <v>2</v>
      </c>
      <c r="AZ3" s="1">
        <v>0</v>
      </c>
      <c r="BA3" s="1" t="s">
        <v>4805</v>
      </c>
      <c r="BB3" s="1" t="s">
        <v>4806</v>
      </c>
      <c r="BC3" s="1" t="s">
        <v>4780</v>
      </c>
      <c r="BD3" s="1">
        <v>10202</v>
      </c>
      <c r="BE3" s="1"/>
    </row>
    <row r="4" spans="1:57" x14ac:dyDescent="0.25">
      <c r="A4" s="1">
        <v>3</v>
      </c>
      <c r="B4" s="1" t="s">
        <v>2705</v>
      </c>
      <c r="C4" s="9" t="s">
        <v>63</v>
      </c>
      <c r="D4" s="1" t="s">
        <v>63</v>
      </c>
      <c r="E4" s="1"/>
      <c r="F4" s="1"/>
      <c r="G4" s="1" t="s">
        <v>2706</v>
      </c>
      <c r="H4" s="1" t="s">
        <v>2707</v>
      </c>
      <c r="I4" s="1" t="s">
        <v>2708</v>
      </c>
      <c r="J4" s="1">
        <v>1</v>
      </c>
      <c r="K4" s="1">
        <v>3</v>
      </c>
      <c r="L4" s="1">
        <v>2400</v>
      </c>
      <c r="M4" s="1">
        <v>10</v>
      </c>
      <c r="N4" s="1">
        <v>10</v>
      </c>
      <c r="O4" s="1">
        <v>5</v>
      </c>
      <c r="P4" s="1">
        <v>5</v>
      </c>
      <c r="Q4" s="1">
        <v>2</v>
      </c>
      <c r="R4" s="1">
        <v>2</v>
      </c>
      <c r="S4" s="1">
        <v>2</v>
      </c>
      <c r="T4" s="1">
        <v>0</v>
      </c>
      <c r="U4" s="1">
        <v>115</v>
      </c>
      <c r="V4" s="1">
        <v>110</v>
      </c>
      <c r="W4" s="1">
        <v>115</v>
      </c>
      <c r="X4" s="1">
        <v>100</v>
      </c>
      <c r="Y4" s="1">
        <v>120</v>
      </c>
      <c r="Z4" s="1">
        <v>95</v>
      </c>
      <c r="AA4" s="1">
        <v>0</v>
      </c>
      <c r="AB4" s="1">
        <v>15</v>
      </c>
      <c r="AC4" s="1">
        <v>20</v>
      </c>
      <c r="AD4" s="1">
        <v>0</v>
      </c>
      <c r="AE4" s="1">
        <v>110</v>
      </c>
      <c r="AF4" s="1">
        <v>105</v>
      </c>
      <c r="AG4" s="1">
        <v>102202</v>
      </c>
      <c r="AH4" s="1">
        <v>0</v>
      </c>
      <c r="AI4" s="1">
        <v>300101</v>
      </c>
      <c r="AJ4" s="1" t="s">
        <v>1149</v>
      </c>
      <c r="AK4" s="1" t="s">
        <v>329</v>
      </c>
      <c r="AL4" s="1">
        <v>13</v>
      </c>
      <c r="AM4" s="1" t="s">
        <v>1866</v>
      </c>
      <c r="AN4" s="1" t="s">
        <v>4807</v>
      </c>
      <c r="AO4" s="1" t="s">
        <v>4808</v>
      </c>
      <c r="AP4" s="1">
        <v>0</v>
      </c>
      <c r="AQ4" s="1" t="s">
        <v>4802</v>
      </c>
      <c r="AR4" s="1" t="s">
        <v>1147</v>
      </c>
      <c r="AS4" s="1" t="s">
        <v>1148</v>
      </c>
      <c r="AT4" s="1" t="s">
        <v>329</v>
      </c>
      <c r="AU4" s="1">
        <v>3</v>
      </c>
      <c r="AV4" s="1">
        <v>0</v>
      </c>
      <c r="AW4" s="1" t="s">
        <v>4552</v>
      </c>
      <c r="AX4" s="1" t="s">
        <v>471</v>
      </c>
      <c r="AY4" s="1">
        <v>3</v>
      </c>
      <c r="AZ4" s="1">
        <v>0</v>
      </c>
      <c r="BA4" s="1" t="s">
        <v>329</v>
      </c>
      <c r="BB4" s="1" t="s">
        <v>4809</v>
      </c>
      <c r="BC4" s="1" t="s">
        <v>4780</v>
      </c>
      <c r="BD4" s="1">
        <v>10202</v>
      </c>
      <c r="BE4" s="1"/>
    </row>
    <row r="5" spans="1:57" x14ac:dyDescent="0.25">
      <c r="A5" s="1">
        <v>4</v>
      </c>
      <c r="B5" s="1" t="s">
        <v>2709</v>
      </c>
      <c r="C5" s="9" t="s">
        <v>64</v>
      </c>
      <c r="D5" s="1" t="s">
        <v>64</v>
      </c>
      <c r="E5" s="1"/>
      <c r="F5" s="1"/>
      <c r="G5" s="1" t="s">
        <v>2710</v>
      </c>
      <c r="H5" s="1" t="s">
        <v>2711</v>
      </c>
      <c r="I5" s="1" t="s">
        <v>2712</v>
      </c>
      <c r="J5" s="1">
        <v>1</v>
      </c>
      <c r="K5" s="1">
        <v>5</v>
      </c>
      <c r="L5" s="1">
        <v>3180</v>
      </c>
      <c r="M5" s="1">
        <v>10</v>
      </c>
      <c r="N5" s="1">
        <v>10</v>
      </c>
      <c r="O5" s="1">
        <v>5</v>
      </c>
      <c r="P5" s="1">
        <v>5</v>
      </c>
      <c r="Q5" s="1">
        <v>2</v>
      </c>
      <c r="R5" s="1">
        <v>2</v>
      </c>
      <c r="S5" s="1">
        <v>2</v>
      </c>
      <c r="T5" s="1">
        <v>0</v>
      </c>
      <c r="U5" s="1">
        <v>105</v>
      </c>
      <c r="V5" s="1">
        <v>128</v>
      </c>
      <c r="W5" s="1">
        <v>85</v>
      </c>
      <c r="X5" s="1">
        <v>100</v>
      </c>
      <c r="Y5" s="1">
        <v>140</v>
      </c>
      <c r="Z5" s="1">
        <v>95</v>
      </c>
      <c r="AA5" s="1">
        <v>0</v>
      </c>
      <c r="AB5" s="1">
        <v>15</v>
      </c>
      <c r="AC5" s="1">
        <v>40</v>
      </c>
      <c r="AD5" s="1">
        <v>0</v>
      </c>
      <c r="AE5" s="1">
        <v>142</v>
      </c>
      <c r="AF5" s="1">
        <v>100</v>
      </c>
      <c r="AG5" s="1">
        <v>120007</v>
      </c>
      <c r="AH5" s="1">
        <v>0</v>
      </c>
      <c r="AI5" s="1">
        <v>120009</v>
      </c>
      <c r="AJ5" s="1" t="s">
        <v>1150</v>
      </c>
      <c r="AK5" s="1" t="s">
        <v>1151</v>
      </c>
      <c r="AL5" s="1">
        <v>13</v>
      </c>
      <c r="AM5" s="1" t="s">
        <v>1866</v>
      </c>
      <c r="AN5" s="1" t="s">
        <v>4810</v>
      </c>
      <c r="AO5" s="1" t="s">
        <v>4811</v>
      </c>
      <c r="AP5" s="1">
        <v>0</v>
      </c>
      <c r="AQ5" s="1" t="s">
        <v>1146</v>
      </c>
      <c r="AR5" s="1" t="s">
        <v>1147</v>
      </c>
      <c r="AS5" s="1" t="s">
        <v>1148</v>
      </c>
      <c r="AT5" s="1" t="s">
        <v>329</v>
      </c>
      <c r="AU5" s="1">
        <v>4</v>
      </c>
      <c r="AV5" s="1">
        <v>0</v>
      </c>
      <c r="AW5" s="1" t="s">
        <v>4812</v>
      </c>
      <c r="AX5" s="1" t="s">
        <v>4813</v>
      </c>
      <c r="AY5" s="1">
        <v>5</v>
      </c>
      <c r="AZ5" s="1">
        <v>0</v>
      </c>
      <c r="BA5" s="1" t="s">
        <v>329</v>
      </c>
      <c r="BB5" s="1" t="s">
        <v>329</v>
      </c>
      <c r="BC5" s="1" t="s">
        <v>4780</v>
      </c>
      <c r="BD5" s="1">
        <v>10202</v>
      </c>
      <c r="BE5" s="1"/>
    </row>
    <row r="6" spans="1:57" x14ac:dyDescent="0.25">
      <c r="A6" s="1">
        <v>5</v>
      </c>
      <c r="B6" s="1" t="s">
        <v>2713</v>
      </c>
      <c r="C6" s="9" t="s">
        <v>65</v>
      </c>
      <c r="D6" s="1" t="s">
        <v>65</v>
      </c>
      <c r="E6" s="1"/>
      <c r="F6" s="1"/>
      <c r="G6" s="1" t="s">
        <v>2714</v>
      </c>
      <c r="H6" s="1" t="s">
        <v>2715</v>
      </c>
      <c r="I6" s="1" t="s">
        <v>2716</v>
      </c>
      <c r="J6" s="1">
        <v>1</v>
      </c>
      <c r="K6" s="1">
        <v>2</v>
      </c>
      <c r="L6" s="1">
        <v>1200</v>
      </c>
      <c r="M6" s="1">
        <v>10</v>
      </c>
      <c r="N6" s="1">
        <v>10</v>
      </c>
      <c r="O6" s="1">
        <v>5</v>
      </c>
      <c r="P6" s="1">
        <v>5</v>
      </c>
      <c r="Q6" s="1">
        <v>2</v>
      </c>
      <c r="R6" s="1">
        <v>2</v>
      </c>
      <c r="S6" s="1">
        <v>2</v>
      </c>
      <c r="T6" s="1">
        <v>0</v>
      </c>
      <c r="U6" s="1">
        <v>105</v>
      </c>
      <c r="V6" s="1">
        <v>110</v>
      </c>
      <c r="W6" s="1">
        <v>80</v>
      </c>
      <c r="X6" s="1">
        <v>100</v>
      </c>
      <c r="Y6" s="1">
        <v>85</v>
      </c>
      <c r="Z6" s="1">
        <v>115</v>
      </c>
      <c r="AA6" s="1">
        <v>0</v>
      </c>
      <c r="AB6" s="1">
        <v>15</v>
      </c>
      <c r="AC6" s="1">
        <v>20</v>
      </c>
      <c r="AD6" s="1">
        <v>0</v>
      </c>
      <c r="AE6" s="1">
        <v>130</v>
      </c>
      <c r="AF6" s="1">
        <v>80</v>
      </c>
      <c r="AG6" s="1">
        <v>101309</v>
      </c>
      <c r="AH6" s="1">
        <v>0</v>
      </c>
      <c r="AI6" s="1">
        <v>300115</v>
      </c>
      <c r="AJ6" s="1" t="s">
        <v>1152</v>
      </c>
      <c r="AK6" s="1" t="s">
        <v>329</v>
      </c>
      <c r="AL6" s="1">
        <v>13</v>
      </c>
      <c r="AM6" s="1" t="s">
        <v>1866</v>
      </c>
      <c r="AN6" s="1" t="s">
        <v>4814</v>
      </c>
      <c r="AO6" s="1" t="s">
        <v>4815</v>
      </c>
      <c r="AP6" s="1">
        <v>0</v>
      </c>
      <c r="AQ6" s="1" t="s">
        <v>4802</v>
      </c>
      <c r="AR6" s="1" t="s">
        <v>1147</v>
      </c>
      <c r="AS6" s="1" t="s">
        <v>1148</v>
      </c>
      <c r="AT6" s="1" t="s">
        <v>329</v>
      </c>
      <c r="AU6" s="1">
        <v>5</v>
      </c>
      <c r="AV6" s="1">
        <v>0</v>
      </c>
      <c r="AW6" s="1" t="s">
        <v>4552</v>
      </c>
      <c r="AX6" s="1" t="s">
        <v>471</v>
      </c>
      <c r="AY6" s="1">
        <v>2</v>
      </c>
      <c r="AZ6" s="1">
        <v>0</v>
      </c>
      <c r="BA6" s="1" t="s">
        <v>4805</v>
      </c>
      <c r="BB6" s="1" t="s">
        <v>4816</v>
      </c>
      <c r="BC6" s="1" t="s">
        <v>4817</v>
      </c>
      <c r="BD6" s="1">
        <v>10302</v>
      </c>
      <c r="BE6" s="1"/>
    </row>
    <row r="7" spans="1:57" x14ac:dyDescent="0.25">
      <c r="A7" s="1">
        <v>6</v>
      </c>
      <c r="B7" s="1" t="s">
        <v>2717</v>
      </c>
      <c r="C7" s="9" t="s">
        <v>66</v>
      </c>
      <c r="D7" s="1" t="s">
        <v>2718</v>
      </c>
      <c r="E7" s="1"/>
      <c r="F7" s="1"/>
      <c r="G7" s="1" t="s">
        <v>2719</v>
      </c>
      <c r="H7" s="1" t="s">
        <v>2720</v>
      </c>
      <c r="I7" s="1" t="s">
        <v>2721</v>
      </c>
      <c r="J7" s="1">
        <v>1</v>
      </c>
      <c r="K7" s="1">
        <v>3</v>
      </c>
      <c r="L7" s="1">
        <v>2700</v>
      </c>
      <c r="M7" s="1">
        <v>10</v>
      </c>
      <c r="N7" s="1">
        <v>10</v>
      </c>
      <c r="O7" s="1">
        <v>5</v>
      </c>
      <c r="P7" s="1">
        <v>5</v>
      </c>
      <c r="Q7" s="1">
        <v>2</v>
      </c>
      <c r="R7" s="1">
        <v>2</v>
      </c>
      <c r="S7" s="1">
        <v>2</v>
      </c>
      <c r="T7" s="1">
        <v>0</v>
      </c>
      <c r="U7" s="1">
        <v>130</v>
      </c>
      <c r="V7" s="1">
        <v>120</v>
      </c>
      <c r="W7" s="1">
        <v>100</v>
      </c>
      <c r="X7" s="1">
        <v>100</v>
      </c>
      <c r="Y7" s="1">
        <v>105</v>
      </c>
      <c r="Z7" s="1">
        <v>100</v>
      </c>
      <c r="AA7" s="1">
        <v>0</v>
      </c>
      <c r="AB7" s="1">
        <v>15</v>
      </c>
      <c r="AC7" s="1">
        <v>20</v>
      </c>
      <c r="AD7" s="1">
        <v>0</v>
      </c>
      <c r="AE7" s="1">
        <v>105</v>
      </c>
      <c r="AF7" s="1">
        <v>120</v>
      </c>
      <c r="AG7" s="1">
        <v>100602</v>
      </c>
      <c r="AH7" s="1">
        <v>0</v>
      </c>
      <c r="AI7" s="1">
        <v>300101</v>
      </c>
      <c r="AJ7" s="1" t="s">
        <v>4818</v>
      </c>
      <c r="AK7" s="1" t="s">
        <v>329</v>
      </c>
      <c r="AL7" s="1">
        <v>13</v>
      </c>
      <c r="AM7" s="1" t="s">
        <v>1866</v>
      </c>
      <c r="AN7" s="1" t="s">
        <v>4807</v>
      </c>
      <c r="AO7" s="1" t="s">
        <v>4804</v>
      </c>
      <c r="AP7" s="1">
        <v>0</v>
      </c>
      <c r="AQ7" s="1" t="s">
        <v>1146</v>
      </c>
      <c r="AR7" s="1" t="s">
        <v>1147</v>
      </c>
      <c r="AS7" s="1" t="s">
        <v>1148</v>
      </c>
      <c r="AT7" s="1" t="s">
        <v>329</v>
      </c>
      <c r="AU7" s="1">
        <v>6</v>
      </c>
      <c r="AV7" s="1">
        <v>0</v>
      </c>
      <c r="AW7" s="1" t="s">
        <v>4552</v>
      </c>
      <c r="AX7" s="1" t="s">
        <v>471</v>
      </c>
      <c r="AY7" s="1">
        <v>3</v>
      </c>
      <c r="AZ7" s="1">
        <v>0</v>
      </c>
      <c r="BA7" s="1" t="s">
        <v>329</v>
      </c>
      <c r="BB7" s="1" t="s">
        <v>4819</v>
      </c>
      <c r="BC7" s="1" t="s">
        <v>4817</v>
      </c>
      <c r="BD7" s="1">
        <v>10302</v>
      </c>
      <c r="BE7" s="1"/>
    </row>
    <row r="8" spans="1:57" x14ac:dyDescent="0.25">
      <c r="A8" s="1">
        <v>7</v>
      </c>
      <c r="B8" s="1" t="s">
        <v>2722</v>
      </c>
      <c r="C8" s="9" t="s">
        <v>67</v>
      </c>
      <c r="D8" s="1" t="s">
        <v>2723</v>
      </c>
      <c r="E8" s="1"/>
      <c r="F8" s="1"/>
      <c r="G8" s="1" t="s">
        <v>2724</v>
      </c>
      <c r="H8" s="1" t="s">
        <v>2725</v>
      </c>
      <c r="I8" s="1" t="s">
        <v>2726</v>
      </c>
      <c r="J8" s="1">
        <v>1</v>
      </c>
      <c r="K8" s="1">
        <v>4</v>
      </c>
      <c r="L8" s="1">
        <v>3300</v>
      </c>
      <c r="M8" s="1">
        <v>10</v>
      </c>
      <c r="N8" s="1">
        <v>10</v>
      </c>
      <c r="O8" s="1">
        <v>5</v>
      </c>
      <c r="P8" s="1">
        <v>5</v>
      </c>
      <c r="Q8" s="1">
        <v>2</v>
      </c>
      <c r="R8" s="1">
        <v>2</v>
      </c>
      <c r="S8" s="1">
        <v>2</v>
      </c>
      <c r="T8" s="1">
        <v>0</v>
      </c>
      <c r="U8" s="1">
        <v>125</v>
      </c>
      <c r="V8" s="1">
        <v>105</v>
      </c>
      <c r="W8" s="1">
        <v>125</v>
      </c>
      <c r="X8" s="1">
        <v>100</v>
      </c>
      <c r="Y8" s="1">
        <v>95</v>
      </c>
      <c r="Z8" s="1">
        <v>95</v>
      </c>
      <c r="AA8" s="1">
        <v>0</v>
      </c>
      <c r="AB8" s="1">
        <v>15</v>
      </c>
      <c r="AC8" s="1">
        <v>20</v>
      </c>
      <c r="AD8" s="1">
        <v>0</v>
      </c>
      <c r="AE8" s="1">
        <v>110</v>
      </c>
      <c r="AF8" s="1">
        <v>100</v>
      </c>
      <c r="AG8" s="1">
        <v>100805</v>
      </c>
      <c r="AH8" s="1">
        <v>0</v>
      </c>
      <c r="AI8" s="1">
        <v>900271</v>
      </c>
      <c r="AJ8" s="1" t="s">
        <v>329</v>
      </c>
      <c r="AK8" s="1" t="s">
        <v>329</v>
      </c>
      <c r="AL8" s="1">
        <v>13</v>
      </c>
      <c r="AM8" s="1" t="s">
        <v>1866</v>
      </c>
      <c r="AN8" s="1" t="s">
        <v>4807</v>
      </c>
      <c r="AO8" s="1" t="s">
        <v>4820</v>
      </c>
      <c r="AP8" s="1">
        <v>0</v>
      </c>
      <c r="AQ8" s="1" t="s">
        <v>4802</v>
      </c>
      <c r="AR8" s="1" t="s">
        <v>1147</v>
      </c>
      <c r="AS8" s="1" t="s">
        <v>4821</v>
      </c>
      <c r="AT8" s="1" t="s">
        <v>329</v>
      </c>
      <c r="AU8" s="1">
        <v>7</v>
      </c>
      <c r="AV8" s="1">
        <v>0</v>
      </c>
      <c r="AW8" s="1" t="s">
        <v>4552</v>
      </c>
      <c r="AX8" s="1" t="s">
        <v>4822</v>
      </c>
      <c r="AY8" s="1">
        <v>4</v>
      </c>
      <c r="AZ8" s="1">
        <v>0</v>
      </c>
      <c r="BA8" s="1" t="s">
        <v>4803</v>
      </c>
      <c r="BB8" s="1" t="s">
        <v>485</v>
      </c>
      <c r="BC8" s="1" t="s">
        <v>4817</v>
      </c>
      <c r="BD8" s="1">
        <v>10303</v>
      </c>
      <c r="BE8" s="1"/>
    </row>
    <row r="9" spans="1:57" x14ac:dyDescent="0.25">
      <c r="A9" s="1">
        <v>8</v>
      </c>
      <c r="B9" s="1" t="s">
        <v>2727</v>
      </c>
      <c r="C9" s="9" t="s">
        <v>68</v>
      </c>
      <c r="D9" s="1" t="s">
        <v>2728</v>
      </c>
      <c r="E9" s="1"/>
      <c r="F9" s="1"/>
      <c r="G9" s="1" t="s">
        <v>2729</v>
      </c>
      <c r="H9" s="1" t="s">
        <v>2730</v>
      </c>
      <c r="I9" s="1" t="s">
        <v>2731</v>
      </c>
      <c r="J9" s="1">
        <v>1</v>
      </c>
      <c r="K9" s="1">
        <v>3</v>
      </c>
      <c r="L9" s="1">
        <v>2400</v>
      </c>
      <c r="M9" s="1">
        <v>10</v>
      </c>
      <c r="N9" s="1">
        <v>10</v>
      </c>
      <c r="O9" s="1">
        <v>5</v>
      </c>
      <c r="P9" s="1">
        <v>5</v>
      </c>
      <c r="Q9" s="1">
        <v>2</v>
      </c>
      <c r="R9" s="1">
        <v>2</v>
      </c>
      <c r="S9" s="1">
        <v>2</v>
      </c>
      <c r="T9" s="1">
        <v>0</v>
      </c>
      <c r="U9" s="1">
        <v>95</v>
      </c>
      <c r="V9" s="1">
        <v>90</v>
      </c>
      <c r="W9" s="1">
        <v>110</v>
      </c>
      <c r="X9" s="1">
        <v>100</v>
      </c>
      <c r="Y9" s="1">
        <v>115</v>
      </c>
      <c r="Z9" s="1">
        <v>120</v>
      </c>
      <c r="AA9" s="1">
        <v>0</v>
      </c>
      <c r="AB9" s="1">
        <v>15</v>
      </c>
      <c r="AC9" s="1">
        <v>20</v>
      </c>
      <c r="AD9" s="1">
        <v>0</v>
      </c>
      <c r="AE9" s="1">
        <v>130</v>
      </c>
      <c r="AF9" s="1">
        <v>100</v>
      </c>
      <c r="AG9" s="1">
        <v>101502</v>
      </c>
      <c r="AH9" s="1">
        <v>0</v>
      </c>
      <c r="AI9" s="1">
        <v>300101</v>
      </c>
      <c r="AJ9" s="1" t="s">
        <v>1153</v>
      </c>
      <c r="AK9" s="1" t="s">
        <v>1154</v>
      </c>
      <c r="AL9" s="1">
        <v>13</v>
      </c>
      <c r="AM9" s="1" t="s">
        <v>1866</v>
      </c>
      <c r="AN9" s="1" t="s">
        <v>4823</v>
      </c>
      <c r="AO9" s="1" t="s">
        <v>4824</v>
      </c>
      <c r="AP9" s="1">
        <v>0</v>
      </c>
      <c r="AQ9" s="1" t="s">
        <v>4802</v>
      </c>
      <c r="AR9" s="1" t="s">
        <v>1772</v>
      </c>
      <c r="AS9" s="1" t="s">
        <v>1148</v>
      </c>
      <c r="AT9" s="1" t="s">
        <v>329</v>
      </c>
      <c r="AU9" s="1">
        <v>8</v>
      </c>
      <c r="AV9" s="1">
        <v>0</v>
      </c>
      <c r="AW9" s="1" t="s">
        <v>4552</v>
      </c>
      <c r="AX9" s="1" t="s">
        <v>471</v>
      </c>
      <c r="AY9" s="1">
        <v>3</v>
      </c>
      <c r="AZ9" s="1">
        <v>0</v>
      </c>
      <c r="BA9" s="1" t="s">
        <v>4825</v>
      </c>
      <c r="BB9" s="1" t="s">
        <v>4826</v>
      </c>
      <c r="BC9" s="1" t="s">
        <v>4817</v>
      </c>
      <c r="BD9" s="1">
        <v>10704</v>
      </c>
      <c r="BE9" s="1"/>
    </row>
    <row r="10" spans="1:57" x14ac:dyDescent="0.25">
      <c r="A10" s="1">
        <v>9</v>
      </c>
      <c r="B10" s="1" t="s">
        <v>2732</v>
      </c>
      <c r="C10" s="9" t="s">
        <v>69</v>
      </c>
      <c r="D10" s="1" t="s">
        <v>69</v>
      </c>
      <c r="E10" s="1"/>
      <c r="F10" s="1"/>
      <c r="G10" s="1" t="s">
        <v>2733</v>
      </c>
      <c r="H10" s="1" t="s">
        <v>2734</v>
      </c>
      <c r="I10" s="1" t="s">
        <v>2735</v>
      </c>
      <c r="J10" s="1">
        <v>1</v>
      </c>
      <c r="K10" s="1">
        <v>2</v>
      </c>
      <c r="L10" s="1">
        <v>1200</v>
      </c>
      <c r="M10" s="1">
        <v>10</v>
      </c>
      <c r="N10" s="1">
        <v>10</v>
      </c>
      <c r="O10" s="1">
        <v>5</v>
      </c>
      <c r="P10" s="1">
        <v>5</v>
      </c>
      <c r="Q10" s="1">
        <v>2</v>
      </c>
      <c r="R10" s="1">
        <v>2</v>
      </c>
      <c r="S10" s="1">
        <v>2</v>
      </c>
      <c r="T10" s="1">
        <v>0</v>
      </c>
      <c r="U10" s="1">
        <v>100</v>
      </c>
      <c r="V10" s="1">
        <v>100</v>
      </c>
      <c r="W10" s="1">
        <v>105</v>
      </c>
      <c r="X10" s="1">
        <v>100</v>
      </c>
      <c r="Y10" s="1">
        <v>95</v>
      </c>
      <c r="Z10" s="1">
        <v>105</v>
      </c>
      <c r="AA10" s="1">
        <v>0</v>
      </c>
      <c r="AB10" s="1">
        <v>15</v>
      </c>
      <c r="AC10" s="1">
        <v>20</v>
      </c>
      <c r="AD10" s="1">
        <v>0</v>
      </c>
      <c r="AE10" s="1">
        <v>125</v>
      </c>
      <c r="AF10" s="1">
        <v>105</v>
      </c>
      <c r="AG10" s="1">
        <v>102501</v>
      </c>
      <c r="AH10" s="1">
        <v>0</v>
      </c>
      <c r="AI10" s="1">
        <v>300101</v>
      </c>
      <c r="AJ10" s="1" t="s">
        <v>1155</v>
      </c>
      <c r="AK10" s="1" t="s">
        <v>329</v>
      </c>
      <c r="AL10" s="1">
        <v>13</v>
      </c>
      <c r="AM10" s="1" t="s">
        <v>1866</v>
      </c>
      <c r="AN10" s="1" t="s">
        <v>4807</v>
      </c>
      <c r="AO10" s="1" t="s">
        <v>4827</v>
      </c>
      <c r="AP10" s="1">
        <v>0</v>
      </c>
      <c r="AQ10" s="1" t="s">
        <v>1146</v>
      </c>
      <c r="AR10" s="1" t="s">
        <v>1147</v>
      </c>
      <c r="AS10" s="1" t="s">
        <v>1148</v>
      </c>
      <c r="AT10" s="1" t="s">
        <v>329</v>
      </c>
      <c r="AU10" s="1">
        <v>9</v>
      </c>
      <c r="AV10" s="1">
        <v>0</v>
      </c>
      <c r="AW10" s="1" t="s">
        <v>4552</v>
      </c>
      <c r="AX10" s="1" t="s">
        <v>471</v>
      </c>
      <c r="AY10" s="1">
        <v>2</v>
      </c>
      <c r="AZ10" s="1">
        <v>0</v>
      </c>
      <c r="BA10" s="1" t="s">
        <v>329</v>
      </c>
      <c r="BB10" s="1" t="s">
        <v>4828</v>
      </c>
      <c r="BC10" s="1" t="s">
        <v>4829</v>
      </c>
      <c r="BD10" s="1">
        <v>10803</v>
      </c>
      <c r="BE10" s="1"/>
    </row>
    <row r="11" spans="1:57" x14ac:dyDescent="0.25">
      <c r="A11" s="1">
        <v>10</v>
      </c>
      <c r="B11" s="1" t="s">
        <v>2736</v>
      </c>
      <c r="C11" s="9" t="s">
        <v>70</v>
      </c>
      <c r="D11" s="1" t="s">
        <v>70</v>
      </c>
      <c r="E11" s="1"/>
      <c r="F11" s="1"/>
      <c r="G11" s="1" t="s">
        <v>2737</v>
      </c>
      <c r="H11" s="1" t="s">
        <v>2738</v>
      </c>
      <c r="I11" s="1" t="s">
        <v>2739</v>
      </c>
      <c r="J11" s="1">
        <v>1</v>
      </c>
      <c r="K11" s="1">
        <v>2</v>
      </c>
      <c r="L11" s="1">
        <v>1320</v>
      </c>
      <c r="M11" s="1">
        <v>10</v>
      </c>
      <c r="N11" s="1">
        <v>10</v>
      </c>
      <c r="O11" s="1">
        <v>5</v>
      </c>
      <c r="P11" s="1">
        <v>5</v>
      </c>
      <c r="Q11" s="1">
        <v>2</v>
      </c>
      <c r="R11" s="1">
        <v>2</v>
      </c>
      <c r="S11" s="1">
        <v>2</v>
      </c>
      <c r="T11" s="1">
        <v>0</v>
      </c>
      <c r="U11" s="1">
        <v>85</v>
      </c>
      <c r="V11" s="1">
        <v>85</v>
      </c>
      <c r="W11" s="1">
        <v>115</v>
      </c>
      <c r="X11" s="1">
        <v>100</v>
      </c>
      <c r="Y11" s="1">
        <v>115</v>
      </c>
      <c r="Z11" s="1">
        <v>130</v>
      </c>
      <c r="AA11" s="1">
        <v>0</v>
      </c>
      <c r="AB11" s="1">
        <v>15</v>
      </c>
      <c r="AC11" s="1">
        <v>20</v>
      </c>
      <c r="AD11" s="1">
        <v>0</v>
      </c>
      <c r="AE11" s="1">
        <v>125</v>
      </c>
      <c r="AF11" s="1">
        <v>95</v>
      </c>
      <c r="AG11" s="1">
        <v>105001</v>
      </c>
      <c r="AH11" s="1">
        <v>0</v>
      </c>
      <c r="AI11" s="1">
        <v>300101</v>
      </c>
      <c r="AJ11" s="1" t="s">
        <v>4830</v>
      </c>
      <c r="AK11" s="1" t="s">
        <v>329</v>
      </c>
      <c r="AL11" s="1">
        <v>13</v>
      </c>
      <c r="AM11" s="1" t="s">
        <v>1866</v>
      </c>
      <c r="AN11" s="1" t="s">
        <v>4823</v>
      </c>
      <c r="AO11" s="1" t="s">
        <v>4831</v>
      </c>
      <c r="AP11" s="1">
        <v>0</v>
      </c>
      <c r="AQ11" s="1" t="s">
        <v>4802</v>
      </c>
      <c r="AR11" s="1" t="s">
        <v>1147</v>
      </c>
      <c r="AS11" s="1" t="s">
        <v>1148</v>
      </c>
      <c r="AT11" s="1" t="s">
        <v>329</v>
      </c>
      <c r="AU11" s="1">
        <v>10</v>
      </c>
      <c r="AV11" s="1">
        <v>0</v>
      </c>
      <c r="AW11" s="1" t="s">
        <v>4552</v>
      </c>
      <c r="AX11" s="1" t="s">
        <v>471</v>
      </c>
      <c r="AY11" s="1">
        <v>2</v>
      </c>
      <c r="AZ11" s="1">
        <v>0</v>
      </c>
      <c r="BA11" s="1" t="s">
        <v>329</v>
      </c>
      <c r="BB11" s="1" t="s">
        <v>4832</v>
      </c>
      <c r="BC11" s="1" t="s">
        <v>4829</v>
      </c>
      <c r="BD11" s="1">
        <v>10303</v>
      </c>
      <c r="BE11" s="1"/>
    </row>
    <row r="12" spans="1:57" x14ac:dyDescent="0.25">
      <c r="A12" s="1">
        <v>11</v>
      </c>
      <c r="B12" s="1" t="s">
        <v>2740</v>
      </c>
      <c r="C12" s="9" t="s">
        <v>71</v>
      </c>
      <c r="D12" s="1" t="s">
        <v>71</v>
      </c>
      <c r="E12" s="1"/>
      <c r="F12" s="1"/>
      <c r="G12" s="1" t="s">
        <v>2741</v>
      </c>
      <c r="H12" s="1" t="s">
        <v>2742</v>
      </c>
      <c r="I12" s="1" t="s">
        <v>2743</v>
      </c>
      <c r="J12" s="1">
        <v>1</v>
      </c>
      <c r="K12" s="1">
        <v>3</v>
      </c>
      <c r="L12" s="1">
        <v>1800</v>
      </c>
      <c r="M12" s="1">
        <v>10</v>
      </c>
      <c r="N12" s="1">
        <v>10</v>
      </c>
      <c r="O12" s="1">
        <v>5</v>
      </c>
      <c r="P12" s="1">
        <v>5</v>
      </c>
      <c r="Q12" s="1">
        <v>2</v>
      </c>
      <c r="R12" s="1">
        <v>2</v>
      </c>
      <c r="S12" s="1">
        <v>2</v>
      </c>
      <c r="T12" s="1">
        <v>0</v>
      </c>
      <c r="U12" s="1">
        <v>105</v>
      </c>
      <c r="V12" s="1">
        <v>105</v>
      </c>
      <c r="W12" s="1">
        <v>100</v>
      </c>
      <c r="X12" s="1">
        <v>100</v>
      </c>
      <c r="Y12" s="1">
        <v>85</v>
      </c>
      <c r="Z12" s="1">
        <v>100</v>
      </c>
      <c r="AA12" s="1">
        <v>0</v>
      </c>
      <c r="AB12" s="1">
        <v>15</v>
      </c>
      <c r="AC12" s="1">
        <v>20</v>
      </c>
      <c r="AD12" s="1">
        <v>0</v>
      </c>
      <c r="AE12" s="1">
        <v>130</v>
      </c>
      <c r="AF12" s="1">
        <v>100</v>
      </c>
      <c r="AG12" s="1">
        <v>100610</v>
      </c>
      <c r="AH12" s="1">
        <v>0</v>
      </c>
      <c r="AI12" s="1">
        <v>300101</v>
      </c>
      <c r="AJ12" s="1" t="s">
        <v>1153</v>
      </c>
      <c r="AK12" s="1" t="s">
        <v>329</v>
      </c>
      <c r="AL12" s="1">
        <v>13</v>
      </c>
      <c r="AM12" s="1" t="s">
        <v>1866</v>
      </c>
      <c r="AN12" s="1" t="s">
        <v>4833</v>
      </c>
      <c r="AO12" s="1" t="s">
        <v>4834</v>
      </c>
      <c r="AP12" s="1">
        <v>0</v>
      </c>
      <c r="AQ12" s="1" t="s">
        <v>1146</v>
      </c>
      <c r="AR12" s="1" t="s">
        <v>1147</v>
      </c>
      <c r="AS12" s="1" t="s">
        <v>1148</v>
      </c>
      <c r="AT12" s="1" t="s">
        <v>329</v>
      </c>
      <c r="AU12" s="1">
        <v>11</v>
      </c>
      <c r="AV12" s="1">
        <v>0</v>
      </c>
      <c r="AW12" s="1" t="s">
        <v>4552</v>
      </c>
      <c r="AX12" s="1" t="s">
        <v>471</v>
      </c>
      <c r="AY12" s="1">
        <v>3</v>
      </c>
      <c r="AZ12" s="1">
        <v>0</v>
      </c>
      <c r="BA12" s="1" t="s">
        <v>329</v>
      </c>
      <c r="BB12" s="1" t="s">
        <v>4835</v>
      </c>
      <c r="BC12" s="1" t="s">
        <v>4829</v>
      </c>
      <c r="BD12" s="1">
        <v>10303</v>
      </c>
      <c r="BE12" s="1"/>
    </row>
    <row r="13" spans="1:57" x14ac:dyDescent="0.25">
      <c r="A13" s="1">
        <v>12</v>
      </c>
      <c r="B13" s="1" t="s">
        <v>2744</v>
      </c>
      <c r="C13" s="9" t="s">
        <v>72</v>
      </c>
      <c r="D13" s="1" t="s">
        <v>72</v>
      </c>
      <c r="E13" s="1"/>
      <c r="F13" s="1"/>
      <c r="G13" s="1" t="s">
        <v>2745</v>
      </c>
      <c r="H13" s="1" t="s">
        <v>2746</v>
      </c>
      <c r="I13" s="1" t="s">
        <v>2747</v>
      </c>
      <c r="J13" s="1">
        <v>1</v>
      </c>
      <c r="K13" s="1">
        <v>3</v>
      </c>
      <c r="L13" s="1">
        <v>1800</v>
      </c>
      <c r="M13" s="1">
        <v>10</v>
      </c>
      <c r="N13" s="1">
        <v>10</v>
      </c>
      <c r="O13" s="1">
        <v>5</v>
      </c>
      <c r="P13" s="1">
        <v>5</v>
      </c>
      <c r="Q13" s="1">
        <v>2</v>
      </c>
      <c r="R13" s="1">
        <v>2</v>
      </c>
      <c r="S13" s="1">
        <v>2</v>
      </c>
      <c r="T13" s="1">
        <v>0</v>
      </c>
      <c r="U13" s="1">
        <v>125</v>
      </c>
      <c r="V13" s="1">
        <v>115</v>
      </c>
      <c r="W13" s="1">
        <v>120</v>
      </c>
      <c r="X13" s="1">
        <v>100</v>
      </c>
      <c r="Y13" s="1">
        <v>95</v>
      </c>
      <c r="Z13" s="1">
        <v>95</v>
      </c>
      <c r="AA13" s="1">
        <v>0</v>
      </c>
      <c r="AB13" s="1">
        <v>15</v>
      </c>
      <c r="AC13" s="1">
        <v>20</v>
      </c>
      <c r="AD13" s="1">
        <v>0</v>
      </c>
      <c r="AE13" s="1">
        <v>100</v>
      </c>
      <c r="AF13" s="1">
        <v>135</v>
      </c>
      <c r="AG13" s="1">
        <v>102502</v>
      </c>
      <c r="AH13" s="1">
        <v>0</v>
      </c>
      <c r="AI13" s="1">
        <v>300101</v>
      </c>
      <c r="AJ13" s="1" t="s">
        <v>1153</v>
      </c>
      <c r="AK13" s="1" t="s">
        <v>329</v>
      </c>
      <c r="AL13" s="1">
        <v>13</v>
      </c>
      <c r="AM13" s="1" t="s">
        <v>1866</v>
      </c>
      <c r="AN13" s="1" t="s">
        <v>4836</v>
      </c>
      <c r="AO13" s="1" t="s">
        <v>4837</v>
      </c>
      <c r="AP13" s="1">
        <v>0</v>
      </c>
      <c r="AQ13" s="1" t="s">
        <v>4802</v>
      </c>
      <c r="AR13" s="1" t="s">
        <v>1147</v>
      </c>
      <c r="AS13" s="1" t="s">
        <v>1148</v>
      </c>
      <c r="AT13" s="1" t="s">
        <v>329</v>
      </c>
      <c r="AU13" s="1">
        <v>12</v>
      </c>
      <c r="AV13" s="1">
        <v>0</v>
      </c>
      <c r="AW13" s="1" t="s">
        <v>4552</v>
      </c>
      <c r="AX13" s="1" t="s">
        <v>471</v>
      </c>
      <c r="AY13" s="1">
        <v>3</v>
      </c>
      <c r="AZ13" s="1">
        <v>0</v>
      </c>
      <c r="BA13" s="1" t="s">
        <v>4825</v>
      </c>
      <c r="BB13" s="1" t="s">
        <v>4838</v>
      </c>
      <c r="BC13" s="1" t="s">
        <v>4829</v>
      </c>
      <c r="BD13" s="1">
        <v>10302</v>
      </c>
      <c r="BE13" s="1"/>
    </row>
    <row r="14" spans="1:57" x14ac:dyDescent="0.25">
      <c r="A14" s="1">
        <v>13</v>
      </c>
      <c r="B14" s="1" t="s">
        <v>2748</v>
      </c>
      <c r="C14" s="9" t="s">
        <v>73</v>
      </c>
      <c r="D14" s="1" t="s">
        <v>2749</v>
      </c>
      <c r="E14" s="1"/>
      <c r="F14" s="1"/>
      <c r="G14" s="1" t="s">
        <v>2750</v>
      </c>
      <c r="H14" s="1" t="s">
        <v>2751</v>
      </c>
      <c r="I14" s="1" t="s">
        <v>2752</v>
      </c>
      <c r="J14" s="1">
        <v>1</v>
      </c>
      <c r="K14" s="1">
        <v>3</v>
      </c>
      <c r="L14" s="1">
        <v>2100</v>
      </c>
      <c r="M14" s="1">
        <v>10</v>
      </c>
      <c r="N14" s="1">
        <v>10</v>
      </c>
      <c r="O14" s="1">
        <v>5</v>
      </c>
      <c r="P14" s="1">
        <v>5</v>
      </c>
      <c r="Q14" s="1">
        <v>2</v>
      </c>
      <c r="R14" s="1">
        <v>2</v>
      </c>
      <c r="S14" s="1">
        <v>2</v>
      </c>
      <c r="T14" s="1">
        <v>0</v>
      </c>
      <c r="U14" s="1">
        <v>95</v>
      </c>
      <c r="V14" s="1">
        <v>115</v>
      </c>
      <c r="W14" s="1">
        <v>115</v>
      </c>
      <c r="X14" s="1">
        <v>100</v>
      </c>
      <c r="Y14" s="1">
        <v>100</v>
      </c>
      <c r="Z14" s="1">
        <v>115</v>
      </c>
      <c r="AA14" s="1">
        <v>0</v>
      </c>
      <c r="AB14" s="1">
        <v>15</v>
      </c>
      <c r="AC14" s="1">
        <v>20</v>
      </c>
      <c r="AD14" s="1">
        <v>0</v>
      </c>
      <c r="AE14" s="1">
        <v>110</v>
      </c>
      <c r="AF14" s="1">
        <v>100</v>
      </c>
      <c r="AG14" s="1">
        <v>102002</v>
      </c>
      <c r="AH14" s="1">
        <v>0</v>
      </c>
      <c r="AI14" s="1">
        <v>300101</v>
      </c>
      <c r="AJ14" s="1" t="s">
        <v>4839</v>
      </c>
      <c r="AK14" s="1" t="s">
        <v>329</v>
      </c>
      <c r="AL14" s="1">
        <v>13</v>
      </c>
      <c r="AM14" s="1" t="s">
        <v>1866</v>
      </c>
      <c r="AN14" s="1" t="s">
        <v>4840</v>
      </c>
      <c r="AO14" s="1" t="s">
        <v>4841</v>
      </c>
      <c r="AP14" s="1">
        <v>0</v>
      </c>
      <c r="AQ14" s="1" t="s">
        <v>1146</v>
      </c>
      <c r="AR14" s="1" t="s">
        <v>1147</v>
      </c>
      <c r="AS14" s="1" t="s">
        <v>1148</v>
      </c>
      <c r="AT14" s="1" t="s">
        <v>329</v>
      </c>
      <c r="AU14" s="1">
        <v>13</v>
      </c>
      <c r="AV14" s="1">
        <v>0</v>
      </c>
      <c r="AW14" s="1" t="s">
        <v>4552</v>
      </c>
      <c r="AX14" s="1" t="s">
        <v>471</v>
      </c>
      <c r="AY14" s="1">
        <v>3</v>
      </c>
      <c r="AZ14" s="1">
        <v>0</v>
      </c>
      <c r="BA14" s="1" t="s">
        <v>329</v>
      </c>
      <c r="BB14" s="1" t="s">
        <v>4842</v>
      </c>
      <c r="BC14" s="1" t="s">
        <v>4843</v>
      </c>
      <c r="BD14" s="1">
        <v>10704</v>
      </c>
      <c r="BE14" s="1"/>
    </row>
    <row r="15" spans="1:57" x14ac:dyDescent="0.25">
      <c r="A15" s="1">
        <v>14</v>
      </c>
      <c r="B15" s="1" t="s">
        <v>2753</v>
      </c>
      <c r="C15" s="9" t="s">
        <v>74</v>
      </c>
      <c r="D15" s="1" t="s">
        <v>2754</v>
      </c>
      <c r="E15" s="1"/>
      <c r="F15" s="1"/>
      <c r="G15" s="1" t="s">
        <v>2755</v>
      </c>
      <c r="H15" s="1" t="s">
        <v>2756</v>
      </c>
      <c r="I15" s="1" t="s">
        <v>2757</v>
      </c>
      <c r="J15" s="1">
        <v>1</v>
      </c>
      <c r="K15" s="1">
        <v>3</v>
      </c>
      <c r="L15" s="1">
        <v>2400</v>
      </c>
      <c r="M15" s="1">
        <v>10</v>
      </c>
      <c r="N15" s="1">
        <v>10</v>
      </c>
      <c r="O15" s="1">
        <v>5</v>
      </c>
      <c r="P15" s="1">
        <v>5</v>
      </c>
      <c r="Q15" s="1">
        <v>2</v>
      </c>
      <c r="R15" s="1">
        <v>2</v>
      </c>
      <c r="S15" s="1">
        <v>2</v>
      </c>
      <c r="T15" s="1">
        <v>0</v>
      </c>
      <c r="U15" s="1">
        <v>120</v>
      </c>
      <c r="V15" s="1">
        <v>120</v>
      </c>
      <c r="W15" s="1">
        <v>95</v>
      </c>
      <c r="X15" s="1">
        <v>100</v>
      </c>
      <c r="Y15" s="1">
        <v>90</v>
      </c>
      <c r="Z15" s="1">
        <v>90</v>
      </c>
      <c r="AA15" s="1">
        <v>0</v>
      </c>
      <c r="AB15" s="1">
        <v>15</v>
      </c>
      <c r="AC15" s="1">
        <v>20</v>
      </c>
      <c r="AD15" s="1">
        <v>0</v>
      </c>
      <c r="AE15" s="1">
        <v>120</v>
      </c>
      <c r="AF15" s="1">
        <v>90</v>
      </c>
      <c r="AG15" s="1">
        <v>100802</v>
      </c>
      <c r="AH15" s="1">
        <v>0</v>
      </c>
      <c r="AI15" s="1">
        <v>300115</v>
      </c>
      <c r="AJ15" s="1" t="s">
        <v>1153</v>
      </c>
      <c r="AK15" s="1" t="s">
        <v>329</v>
      </c>
      <c r="AL15" s="1">
        <v>13</v>
      </c>
      <c r="AM15" s="1" t="s">
        <v>1866</v>
      </c>
      <c r="AN15" s="1" t="s">
        <v>4844</v>
      </c>
      <c r="AO15" s="1" t="s">
        <v>4845</v>
      </c>
      <c r="AP15" s="1">
        <v>0</v>
      </c>
      <c r="AQ15" s="1" t="s">
        <v>1146</v>
      </c>
      <c r="AR15" s="1" t="s">
        <v>1772</v>
      </c>
      <c r="AS15" s="1" t="s">
        <v>1148</v>
      </c>
      <c r="AT15" s="1" t="s">
        <v>329</v>
      </c>
      <c r="AU15" s="1">
        <v>14</v>
      </c>
      <c r="AV15" s="1">
        <v>0</v>
      </c>
      <c r="AW15" s="1" t="s">
        <v>4552</v>
      </c>
      <c r="AX15" s="1" t="s">
        <v>471</v>
      </c>
      <c r="AY15" s="1">
        <v>3</v>
      </c>
      <c r="AZ15" s="1">
        <v>0</v>
      </c>
      <c r="BA15" s="1" t="s">
        <v>329</v>
      </c>
      <c r="BB15" s="1" t="s">
        <v>4846</v>
      </c>
      <c r="BC15" s="1" t="s">
        <v>329</v>
      </c>
      <c r="BD15" s="1">
        <v>10303</v>
      </c>
      <c r="BE15" s="1"/>
    </row>
    <row r="16" spans="1:57" x14ac:dyDescent="0.25">
      <c r="A16" s="1">
        <v>15</v>
      </c>
      <c r="B16" s="1" t="s">
        <v>2758</v>
      </c>
      <c r="C16" s="9" t="s">
        <v>75</v>
      </c>
      <c r="D16" s="1" t="s">
        <v>2759</v>
      </c>
      <c r="E16" s="1"/>
      <c r="F16" s="1"/>
      <c r="G16" s="1" t="s">
        <v>2760</v>
      </c>
      <c r="H16" s="1" t="s">
        <v>2761</v>
      </c>
      <c r="I16" s="1" t="s">
        <v>2762</v>
      </c>
      <c r="J16" s="1">
        <v>1</v>
      </c>
      <c r="K16" s="1">
        <v>3</v>
      </c>
      <c r="L16" s="1">
        <v>2700</v>
      </c>
      <c r="M16" s="1">
        <v>10</v>
      </c>
      <c r="N16" s="1">
        <v>10</v>
      </c>
      <c r="O16" s="1">
        <v>5</v>
      </c>
      <c r="P16" s="1">
        <v>5</v>
      </c>
      <c r="Q16" s="1">
        <v>2</v>
      </c>
      <c r="R16" s="1">
        <v>2</v>
      </c>
      <c r="S16" s="1">
        <v>2</v>
      </c>
      <c r="T16" s="1">
        <v>0</v>
      </c>
      <c r="U16" s="1">
        <v>95</v>
      </c>
      <c r="V16" s="1">
        <v>110</v>
      </c>
      <c r="W16" s="1">
        <v>115</v>
      </c>
      <c r="X16" s="1">
        <v>100</v>
      </c>
      <c r="Y16" s="1">
        <v>125</v>
      </c>
      <c r="Z16" s="1">
        <v>125</v>
      </c>
      <c r="AA16" s="1">
        <v>0</v>
      </c>
      <c r="AB16" s="1">
        <v>15</v>
      </c>
      <c r="AC16" s="1">
        <v>20</v>
      </c>
      <c r="AD16" s="1">
        <v>0</v>
      </c>
      <c r="AE16" s="1">
        <v>110</v>
      </c>
      <c r="AF16" s="1">
        <v>100</v>
      </c>
      <c r="AG16" s="1">
        <v>101302</v>
      </c>
      <c r="AH16" s="1">
        <v>0</v>
      </c>
      <c r="AI16" s="1">
        <v>300101</v>
      </c>
      <c r="AJ16" s="1" t="s">
        <v>1153</v>
      </c>
      <c r="AK16" s="1" t="s">
        <v>329</v>
      </c>
      <c r="AL16" s="1">
        <v>13</v>
      </c>
      <c r="AM16" s="1" t="s">
        <v>1866</v>
      </c>
      <c r="AN16" s="1" t="s">
        <v>4847</v>
      </c>
      <c r="AO16" s="1" t="s">
        <v>4837</v>
      </c>
      <c r="AP16" s="1">
        <v>0</v>
      </c>
      <c r="AQ16" s="1" t="s">
        <v>4802</v>
      </c>
      <c r="AR16" s="1" t="s">
        <v>1147</v>
      </c>
      <c r="AS16" s="1" t="s">
        <v>1148</v>
      </c>
      <c r="AT16" s="1" t="s">
        <v>329</v>
      </c>
      <c r="AU16" s="1">
        <v>15</v>
      </c>
      <c r="AV16" s="1">
        <v>0</v>
      </c>
      <c r="AW16" s="1" t="s">
        <v>4552</v>
      </c>
      <c r="AX16" s="1" t="s">
        <v>4848</v>
      </c>
      <c r="AY16" s="1">
        <v>3</v>
      </c>
      <c r="AZ16" s="1">
        <v>0</v>
      </c>
      <c r="BA16" s="1" t="s">
        <v>329</v>
      </c>
      <c r="BB16" s="1" t="s">
        <v>4849</v>
      </c>
      <c r="BC16" s="1" t="s">
        <v>329</v>
      </c>
      <c r="BD16" s="1">
        <v>10802</v>
      </c>
      <c r="BE16" s="1"/>
    </row>
    <row r="17" spans="1:57" x14ac:dyDescent="0.25">
      <c r="A17" s="1">
        <v>16</v>
      </c>
      <c r="B17" s="1" t="s">
        <v>2763</v>
      </c>
      <c r="C17" s="9" t="s">
        <v>76</v>
      </c>
      <c r="D17" s="1" t="s">
        <v>2764</v>
      </c>
      <c r="E17" s="1"/>
      <c r="F17" s="1"/>
      <c r="G17" s="1" t="s">
        <v>2765</v>
      </c>
      <c r="H17" s="1" t="s">
        <v>2766</v>
      </c>
      <c r="I17" s="1" t="s">
        <v>2767</v>
      </c>
      <c r="J17" s="1">
        <v>2</v>
      </c>
      <c r="K17" s="1">
        <v>5</v>
      </c>
      <c r="L17" s="1">
        <v>9000</v>
      </c>
      <c r="M17" s="1">
        <v>25</v>
      </c>
      <c r="N17" s="1">
        <v>20</v>
      </c>
      <c r="O17" s="1">
        <v>15</v>
      </c>
      <c r="P17" s="1">
        <v>10</v>
      </c>
      <c r="Q17" s="1">
        <v>5</v>
      </c>
      <c r="R17" s="1">
        <v>5</v>
      </c>
      <c r="S17" s="1">
        <v>2</v>
      </c>
      <c r="T17" s="1">
        <v>0</v>
      </c>
      <c r="U17" s="1">
        <v>135</v>
      </c>
      <c r="V17" s="1">
        <v>120</v>
      </c>
      <c r="W17" s="1">
        <v>105</v>
      </c>
      <c r="X17" s="1">
        <v>100</v>
      </c>
      <c r="Y17" s="1">
        <v>100</v>
      </c>
      <c r="Z17" s="1">
        <v>90</v>
      </c>
      <c r="AA17" s="1">
        <v>0</v>
      </c>
      <c r="AB17" s="1">
        <v>15</v>
      </c>
      <c r="AC17" s="1">
        <v>5</v>
      </c>
      <c r="AD17" s="1">
        <v>0</v>
      </c>
      <c r="AE17" s="1">
        <v>110</v>
      </c>
      <c r="AF17" s="1">
        <v>85</v>
      </c>
      <c r="AG17" s="1">
        <v>116203</v>
      </c>
      <c r="AH17" s="1">
        <v>0</v>
      </c>
      <c r="AI17" s="1">
        <v>300102</v>
      </c>
      <c r="AJ17" s="1" t="s">
        <v>1156</v>
      </c>
      <c r="AK17" s="1" t="s">
        <v>329</v>
      </c>
      <c r="AL17" s="1">
        <v>13</v>
      </c>
      <c r="AM17" s="1" t="s">
        <v>4850</v>
      </c>
      <c r="AN17" s="1" t="s">
        <v>389</v>
      </c>
      <c r="AO17" s="1" t="s">
        <v>4851</v>
      </c>
      <c r="AP17" s="1">
        <v>0</v>
      </c>
      <c r="AQ17" s="1" t="s">
        <v>1773</v>
      </c>
      <c r="AR17" s="1" t="s">
        <v>1147</v>
      </c>
      <c r="AS17" s="1" t="s">
        <v>1158</v>
      </c>
      <c r="AT17" s="1" t="s">
        <v>329</v>
      </c>
      <c r="AU17" s="1">
        <v>16</v>
      </c>
      <c r="AV17" s="1">
        <v>0</v>
      </c>
      <c r="AW17" s="1" t="s">
        <v>4552</v>
      </c>
      <c r="AX17" s="1" t="s">
        <v>332</v>
      </c>
      <c r="AY17" s="1">
        <v>5</v>
      </c>
      <c r="AZ17" s="1">
        <v>0</v>
      </c>
      <c r="BA17" s="1" t="s">
        <v>329</v>
      </c>
      <c r="BB17" s="1" t="s">
        <v>4852</v>
      </c>
      <c r="BC17" s="1" t="s">
        <v>4780</v>
      </c>
      <c r="BD17" s="1">
        <v>102</v>
      </c>
      <c r="BE17" s="1"/>
    </row>
    <row r="18" spans="1:57" x14ac:dyDescent="0.25">
      <c r="A18" s="1">
        <v>17</v>
      </c>
      <c r="B18" s="1" t="s">
        <v>2768</v>
      </c>
      <c r="C18" s="9" t="s">
        <v>77</v>
      </c>
      <c r="D18" s="1" t="s">
        <v>77</v>
      </c>
      <c r="E18" s="1"/>
      <c r="F18" s="1"/>
      <c r="G18" s="1" t="s">
        <v>2769</v>
      </c>
      <c r="H18" s="1" t="s">
        <v>2770</v>
      </c>
      <c r="I18" s="1" t="s">
        <v>2771</v>
      </c>
      <c r="J18" s="1">
        <v>2</v>
      </c>
      <c r="K18" s="1">
        <v>2</v>
      </c>
      <c r="L18" s="1">
        <v>5400</v>
      </c>
      <c r="M18" s="1">
        <v>25</v>
      </c>
      <c r="N18" s="1">
        <v>20</v>
      </c>
      <c r="O18" s="1">
        <v>15</v>
      </c>
      <c r="P18" s="1">
        <v>10</v>
      </c>
      <c r="Q18" s="1">
        <v>5</v>
      </c>
      <c r="R18" s="1">
        <v>5</v>
      </c>
      <c r="S18" s="1">
        <v>2</v>
      </c>
      <c r="T18" s="1">
        <v>0</v>
      </c>
      <c r="U18" s="1">
        <v>105</v>
      </c>
      <c r="V18" s="1">
        <v>110</v>
      </c>
      <c r="W18" s="1">
        <v>85</v>
      </c>
      <c r="X18" s="1">
        <v>100</v>
      </c>
      <c r="Y18" s="1">
        <v>105</v>
      </c>
      <c r="Z18" s="1">
        <v>105</v>
      </c>
      <c r="AA18" s="1">
        <v>0</v>
      </c>
      <c r="AB18" s="1">
        <v>15</v>
      </c>
      <c r="AC18" s="1">
        <v>5</v>
      </c>
      <c r="AD18" s="1">
        <v>0</v>
      </c>
      <c r="AE18" s="1">
        <v>115</v>
      </c>
      <c r="AF18" s="1">
        <v>105</v>
      </c>
      <c r="AG18" s="1">
        <v>102101</v>
      </c>
      <c r="AH18" s="1">
        <v>0</v>
      </c>
      <c r="AI18" s="1">
        <v>300102</v>
      </c>
      <c r="AJ18" s="1" t="s">
        <v>1149</v>
      </c>
      <c r="AK18" s="1" t="s">
        <v>329</v>
      </c>
      <c r="AL18" s="1">
        <v>13</v>
      </c>
      <c r="AM18" s="1" t="s">
        <v>4850</v>
      </c>
      <c r="AN18" s="1" t="s">
        <v>4853</v>
      </c>
      <c r="AO18" s="1" t="s">
        <v>4854</v>
      </c>
      <c r="AP18" s="1">
        <v>0</v>
      </c>
      <c r="AQ18" s="1" t="s">
        <v>1157</v>
      </c>
      <c r="AR18" s="1" t="s">
        <v>1147</v>
      </c>
      <c r="AS18" s="1" t="s">
        <v>1774</v>
      </c>
      <c r="AT18" s="1" t="s">
        <v>329</v>
      </c>
      <c r="AU18" s="1">
        <v>17</v>
      </c>
      <c r="AV18" s="1">
        <v>0</v>
      </c>
      <c r="AW18" s="1" t="s">
        <v>4552</v>
      </c>
      <c r="AX18" s="1" t="s">
        <v>471</v>
      </c>
      <c r="AY18" s="1">
        <v>2</v>
      </c>
      <c r="AZ18" s="1">
        <v>0</v>
      </c>
      <c r="BA18" s="1" t="s">
        <v>329</v>
      </c>
      <c r="BB18" s="1" t="s">
        <v>326</v>
      </c>
      <c r="BC18" s="1" t="s">
        <v>4780</v>
      </c>
      <c r="BD18" s="1">
        <v>10303</v>
      </c>
      <c r="BE18" s="1"/>
    </row>
    <row r="19" spans="1:57" x14ac:dyDescent="0.25">
      <c r="A19" s="1">
        <v>18</v>
      </c>
      <c r="B19" s="1" t="s">
        <v>2772</v>
      </c>
      <c r="C19" s="9" t="s">
        <v>78</v>
      </c>
      <c r="D19" s="1" t="s">
        <v>2773</v>
      </c>
      <c r="E19" s="1"/>
      <c r="F19" s="1"/>
      <c r="G19" s="1" t="s">
        <v>2774</v>
      </c>
      <c r="H19" s="1" t="s">
        <v>2775</v>
      </c>
      <c r="I19" s="1" t="s">
        <v>2776</v>
      </c>
      <c r="J19" s="1">
        <v>2</v>
      </c>
      <c r="K19" s="1">
        <v>3</v>
      </c>
      <c r="L19" s="1">
        <v>7200</v>
      </c>
      <c r="M19" s="1">
        <v>25</v>
      </c>
      <c r="N19" s="1">
        <v>20</v>
      </c>
      <c r="O19" s="1">
        <v>15</v>
      </c>
      <c r="P19" s="1">
        <v>10</v>
      </c>
      <c r="Q19" s="1">
        <v>5</v>
      </c>
      <c r="R19" s="1">
        <v>5</v>
      </c>
      <c r="S19" s="1">
        <v>2</v>
      </c>
      <c r="T19" s="1">
        <v>0</v>
      </c>
      <c r="U19" s="1">
        <v>100</v>
      </c>
      <c r="V19" s="1">
        <v>105</v>
      </c>
      <c r="W19" s="1">
        <v>115</v>
      </c>
      <c r="X19" s="1">
        <v>100</v>
      </c>
      <c r="Y19" s="1">
        <v>90</v>
      </c>
      <c r="Z19" s="1">
        <v>110</v>
      </c>
      <c r="AA19" s="1">
        <v>0</v>
      </c>
      <c r="AB19" s="1">
        <v>15</v>
      </c>
      <c r="AC19" s="1">
        <v>5</v>
      </c>
      <c r="AD19" s="1">
        <v>0</v>
      </c>
      <c r="AE19" s="1">
        <v>110</v>
      </c>
      <c r="AF19" s="1">
        <v>80</v>
      </c>
      <c r="AG19" s="1">
        <v>102402</v>
      </c>
      <c r="AH19" s="1">
        <v>0</v>
      </c>
      <c r="AI19" s="1">
        <v>300102</v>
      </c>
      <c r="AJ19" s="1" t="s">
        <v>1149</v>
      </c>
      <c r="AK19" s="1" t="s">
        <v>329</v>
      </c>
      <c r="AL19" s="1">
        <v>13</v>
      </c>
      <c r="AM19" s="1" t="s">
        <v>4850</v>
      </c>
      <c r="AN19" s="1" t="s">
        <v>4855</v>
      </c>
      <c r="AO19" s="1" t="s">
        <v>4856</v>
      </c>
      <c r="AP19" s="1">
        <v>0</v>
      </c>
      <c r="AQ19" s="1" t="s">
        <v>1157</v>
      </c>
      <c r="AR19" s="1" t="s">
        <v>1147</v>
      </c>
      <c r="AS19" s="1" t="s">
        <v>1774</v>
      </c>
      <c r="AT19" s="1" t="s">
        <v>329</v>
      </c>
      <c r="AU19" s="1">
        <v>18</v>
      </c>
      <c r="AV19" s="1">
        <v>0</v>
      </c>
      <c r="AW19" s="1" t="s">
        <v>4552</v>
      </c>
      <c r="AX19" s="1" t="s">
        <v>4857</v>
      </c>
      <c r="AY19" s="1">
        <v>3</v>
      </c>
      <c r="AZ19" s="1">
        <v>0</v>
      </c>
      <c r="BA19" s="1" t="s">
        <v>329</v>
      </c>
      <c r="BB19" s="1" t="s">
        <v>4858</v>
      </c>
      <c r="BC19" s="1" t="s">
        <v>4780</v>
      </c>
      <c r="BD19" s="1">
        <v>10202</v>
      </c>
      <c r="BE19" s="1"/>
    </row>
    <row r="20" spans="1:57" x14ac:dyDescent="0.25">
      <c r="A20" s="1">
        <v>19</v>
      </c>
      <c r="B20" s="1" t="s">
        <v>2777</v>
      </c>
      <c r="C20" s="9" t="s">
        <v>1637</v>
      </c>
      <c r="D20" s="1" t="s">
        <v>1637</v>
      </c>
      <c r="E20" s="1"/>
      <c r="F20" s="1"/>
      <c r="G20" s="1" t="s">
        <v>2778</v>
      </c>
      <c r="H20" s="1" t="s">
        <v>2779</v>
      </c>
      <c r="I20" s="1" t="s">
        <v>2780</v>
      </c>
      <c r="J20" s="1">
        <v>2</v>
      </c>
      <c r="K20" s="1">
        <v>3</v>
      </c>
      <c r="L20" s="1">
        <v>7800</v>
      </c>
      <c r="M20" s="1">
        <v>25</v>
      </c>
      <c r="N20" s="1">
        <v>20</v>
      </c>
      <c r="O20" s="1">
        <v>15</v>
      </c>
      <c r="P20" s="1">
        <v>10</v>
      </c>
      <c r="Q20" s="1">
        <v>5</v>
      </c>
      <c r="R20" s="1">
        <v>5</v>
      </c>
      <c r="S20" s="1">
        <v>2</v>
      </c>
      <c r="T20" s="1">
        <v>0</v>
      </c>
      <c r="U20" s="1">
        <v>80</v>
      </c>
      <c r="V20" s="1">
        <v>95</v>
      </c>
      <c r="W20" s="1">
        <v>115</v>
      </c>
      <c r="X20" s="1">
        <v>100</v>
      </c>
      <c r="Y20" s="1">
        <v>105</v>
      </c>
      <c r="Z20" s="1">
        <v>140</v>
      </c>
      <c r="AA20" s="1">
        <v>0</v>
      </c>
      <c r="AB20" s="1">
        <v>15</v>
      </c>
      <c r="AC20" s="1">
        <v>5</v>
      </c>
      <c r="AD20" s="1">
        <v>0</v>
      </c>
      <c r="AE20" s="1">
        <v>115</v>
      </c>
      <c r="AF20" s="1">
        <v>100</v>
      </c>
      <c r="AG20" s="1">
        <v>100202</v>
      </c>
      <c r="AH20" s="1">
        <v>0</v>
      </c>
      <c r="AI20" s="1">
        <v>300102</v>
      </c>
      <c r="AJ20" s="1" t="s">
        <v>1153</v>
      </c>
      <c r="AK20" s="1" t="s">
        <v>329</v>
      </c>
      <c r="AL20" s="1">
        <v>13</v>
      </c>
      <c r="AM20" s="1" t="s">
        <v>4850</v>
      </c>
      <c r="AN20" s="1" t="s">
        <v>389</v>
      </c>
      <c r="AO20" s="1" t="s">
        <v>4859</v>
      </c>
      <c r="AP20" s="1">
        <v>0</v>
      </c>
      <c r="AQ20" s="1" t="s">
        <v>1157</v>
      </c>
      <c r="AR20" s="1" t="s">
        <v>1147</v>
      </c>
      <c r="AS20" s="1" t="s">
        <v>1158</v>
      </c>
      <c r="AT20" s="1" t="s">
        <v>329</v>
      </c>
      <c r="AU20" s="1">
        <v>19</v>
      </c>
      <c r="AV20" s="1">
        <v>0</v>
      </c>
      <c r="AW20" s="1" t="s">
        <v>4552</v>
      </c>
      <c r="AX20" s="1" t="s">
        <v>4860</v>
      </c>
      <c r="AY20" s="1">
        <v>3</v>
      </c>
      <c r="AZ20" s="1">
        <v>0</v>
      </c>
      <c r="BA20" s="1" t="s">
        <v>329</v>
      </c>
      <c r="BB20" s="1" t="s">
        <v>4861</v>
      </c>
      <c r="BC20" s="1" t="s">
        <v>4780</v>
      </c>
      <c r="BD20" s="1">
        <v>10402</v>
      </c>
      <c r="BE20" s="1"/>
    </row>
    <row r="21" spans="1:57" x14ac:dyDescent="0.25">
      <c r="A21" s="1">
        <v>20</v>
      </c>
      <c r="B21" s="1" t="s">
        <v>2781</v>
      </c>
      <c r="C21" s="9" t="s">
        <v>79</v>
      </c>
      <c r="D21" s="1" t="s">
        <v>79</v>
      </c>
      <c r="E21" s="1"/>
      <c r="F21" s="1"/>
      <c r="G21" s="1" t="s">
        <v>2782</v>
      </c>
      <c r="H21" s="1" t="s">
        <v>2783</v>
      </c>
      <c r="I21" s="1" t="s">
        <v>2784</v>
      </c>
      <c r="J21" s="1">
        <v>2</v>
      </c>
      <c r="K21" s="1">
        <v>5</v>
      </c>
      <c r="L21" s="1">
        <v>9300</v>
      </c>
      <c r="M21" s="1">
        <v>25</v>
      </c>
      <c r="N21" s="1">
        <v>20</v>
      </c>
      <c r="O21" s="1">
        <v>15</v>
      </c>
      <c r="P21" s="1">
        <v>10</v>
      </c>
      <c r="Q21" s="1">
        <v>5</v>
      </c>
      <c r="R21" s="1">
        <v>5</v>
      </c>
      <c r="S21" s="1">
        <v>2</v>
      </c>
      <c r="T21" s="1">
        <v>0</v>
      </c>
      <c r="U21" s="1">
        <v>105</v>
      </c>
      <c r="V21" s="1">
        <v>115</v>
      </c>
      <c r="W21" s="1">
        <v>130</v>
      </c>
      <c r="X21" s="1">
        <v>100</v>
      </c>
      <c r="Y21" s="1">
        <v>90</v>
      </c>
      <c r="Z21" s="1">
        <v>120</v>
      </c>
      <c r="AA21" s="1">
        <v>0</v>
      </c>
      <c r="AB21" s="1">
        <v>15</v>
      </c>
      <c r="AC21" s="1">
        <v>5</v>
      </c>
      <c r="AD21" s="1">
        <v>0</v>
      </c>
      <c r="AE21" s="1">
        <v>105</v>
      </c>
      <c r="AF21" s="1">
        <v>100</v>
      </c>
      <c r="AG21" s="1">
        <v>102304</v>
      </c>
      <c r="AH21" s="1">
        <v>0</v>
      </c>
      <c r="AI21" s="1">
        <v>300102</v>
      </c>
      <c r="AJ21" s="1" t="s">
        <v>1159</v>
      </c>
      <c r="AK21" s="1" t="s">
        <v>329</v>
      </c>
      <c r="AL21" s="1">
        <v>13</v>
      </c>
      <c r="AM21" s="1" t="s">
        <v>4850</v>
      </c>
      <c r="AN21" s="1" t="s">
        <v>4853</v>
      </c>
      <c r="AO21" s="1" t="s">
        <v>4862</v>
      </c>
      <c r="AP21" s="1">
        <v>0</v>
      </c>
      <c r="AQ21" s="1" t="s">
        <v>1157</v>
      </c>
      <c r="AR21" s="1" t="s">
        <v>1147</v>
      </c>
      <c r="AS21" s="1" t="s">
        <v>1158</v>
      </c>
      <c r="AT21" s="1" t="s">
        <v>329</v>
      </c>
      <c r="AU21" s="1">
        <v>20</v>
      </c>
      <c r="AV21" s="1">
        <v>0</v>
      </c>
      <c r="AW21" s="1" t="s">
        <v>4552</v>
      </c>
      <c r="AX21" s="1" t="s">
        <v>4857</v>
      </c>
      <c r="AY21" s="1">
        <v>5</v>
      </c>
      <c r="AZ21" s="1">
        <v>0</v>
      </c>
      <c r="BA21" s="1" t="s">
        <v>329</v>
      </c>
      <c r="BB21" s="1" t="s">
        <v>4863</v>
      </c>
      <c r="BC21" s="1" t="s">
        <v>4780</v>
      </c>
      <c r="BD21" s="1">
        <v>10202</v>
      </c>
      <c r="BE21" s="1"/>
    </row>
    <row r="22" spans="1:57" x14ac:dyDescent="0.25">
      <c r="A22" s="1">
        <v>21</v>
      </c>
      <c r="B22" s="1" t="s">
        <v>2785</v>
      </c>
      <c r="C22" s="9" t="s">
        <v>912</v>
      </c>
      <c r="D22" s="1" t="s">
        <v>2786</v>
      </c>
      <c r="E22" s="1"/>
      <c r="F22" s="1"/>
      <c r="G22" s="1" t="s">
        <v>2787</v>
      </c>
      <c r="H22" s="1" t="s">
        <v>2788</v>
      </c>
      <c r="I22" s="1" t="s">
        <v>2789</v>
      </c>
      <c r="J22" s="1">
        <v>2</v>
      </c>
      <c r="K22" s="1">
        <v>2</v>
      </c>
      <c r="L22" s="1">
        <v>6600</v>
      </c>
      <c r="M22" s="1">
        <v>25</v>
      </c>
      <c r="N22" s="1">
        <v>20</v>
      </c>
      <c r="O22" s="1">
        <v>15</v>
      </c>
      <c r="P22" s="1">
        <v>10</v>
      </c>
      <c r="Q22" s="1">
        <v>5</v>
      </c>
      <c r="R22" s="1">
        <v>5</v>
      </c>
      <c r="S22" s="1">
        <v>2</v>
      </c>
      <c r="T22" s="1">
        <v>0</v>
      </c>
      <c r="U22" s="1">
        <v>110</v>
      </c>
      <c r="V22" s="1">
        <v>100</v>
      </c>
      <c r="W22" s="1">
        <v>120</v>
      </c>
      <c r="X22" s="1">
        <v>100</v>
      </c>
      <c r="Y22" s="1">
        <v>85</v>
      </c>
      <c r="Z22" s="1">
        <v>95</v>
      </c>
      <c r="AA22" s="1">
        <v>0</v>
      </c>
      <c r="AB22" s="1">
        <v>15</v>
      </c>
      <c r="AC22" s="1">
        <v>5</v>
      </c>
      <c r="AD22" s="1">
        <v>0</v>
      </c>
      <c r="AE22" s="1">
        <v>105</v>
      </c>
      <c r="AF22" s="1">
        <v>135</v>
      </c>
      <c r="AG22" s="1">
        <v>102101</v>
      </c>
      <c r="AH22" s="1">
        <v>0</v>
      </c>
      <c r="AI22" s="1">
        <v>300102</v>
      </c>
      <c r="AJ22" s="1" t="s">
        <v>1149</v>
      </c>
      <c r="AK22" s="1" t="s">
        <v>329</v>
      </c>
      <c r="AL22" s="1">
        <v>13</v>
      </c>
      <c r="AM22" s="1" t="s">
        <v>4850</v>
      </c>
      <c r="AN22" s="1" t="s">
        <v>465</v>
      </c>
      <c r="AO22" s="1" t="s">
        <v>4864</v>
      </c>
      <c r="AP22" s="1">
        <v>0</v>
      </c>
      <c r="AQ22" s="1" t="s">
        <v>1157</v>
      </c>
      <c r="AR22" s="1" t="s">
        <v>1147</v>
      </c>
      <c r="AS22" s="1" t="s">
        <v>1774</v>
      </c>
      <c r="AT22" s="1" t="s">
        <v>329</v>
      </c>
      <c r="AU22" s="1">
        <v>21</v>
      </c>
      <c r="AV22" s="1">
        <v>0</v>
      </c>
      <c r="AW22" s="1" t="s">
        <v>4552</v>
      </c>
      <c r="AX22" s="1" t="s">
        <v>471</v>
      </c>
      <c r="AY22" s="1">
        <v>2</v>
      </c>
      <c r="AZ22" s="1">
        <v>0</v>
      </c>
      <c r="BA22" s="1" t="s">
        <v>329</v>
      </c>
      <c r="BB22" s="1" t="s">
        <v>4865</v>
      </c>
      <c r="BC22" s="1" t="s">
        <v>4817</v>
      </c>
      <c r="BD22" s="1">
        <v>10303</v>
      </c>
      <c r="BE22" s="1"/>
    </row>
    <row r="23" spans="1:57" x14ac:dyDescent="0.25">
      <c r="A23" s="1">
        <v>22</v>
      </c>
      <c r="B23" s="1" t="s">
        <v>2790</v>
      </c>
      <c r="C23" s="9" t="s">
        <v>1638</v>
      </c>
      <c r="D23" s="1" t="s">
        <v>1638</v>
      </c>
      <c r="E23" s="1"/>
      <c r="F23" s="1"/>
      <c r="G23" s="1" t="s">
        <v>2791</v>
      </c>
      <c r="H23" s="1" t="s">
        <v>2792</v>
      </c>
      <c r="I23" s="1" t="s">
        <v>2793</v>
      </c>
      <c r="J23" s="1">
        <v>2</v>
      </c>
      <c r="K23" s="1">
        <v>3</v>
      </c>
      <c r="L23" s="1">
        <v>7800</v>
      </c>
      <c r="M23" s="1">
        <v>25</v>
      </c>
      <c r="N23" s="1">
        <v>20</v>
      </c>
      <c r="O23" s="1">
        <v>15</v>
      </c>
      <c r="P23" s="1">
        <v>10</v>
      </c>
      <c r="Q23" s="1">
        <v>5</v>
      </c>
      <c r="R23" s="1">
        <v>5</v>
      </c>
      <c r="S23" s="1">
        <v>2</v>
      </c>
      <c r="T23" s="1">
        <v>0</v>
      </c>
      <c r="U23" s="1">
        <v>100</v>
      </c>
      <c r="V23" s="1">
        <v>130</v>
      </c>
      <c r="W23" s="1">
        <v>95</v>
      </c>
      <c r="X23" s="1">
        <v>100</v>
      </c>
      <c r="Y23" s="1">
        <v>110</v>
      </c>
      <c r="Z23" s="1">
        <v>110</v>
      </c>
      <c r="AA23" s="1">
        <v>0</v>
      </c>
      <c r="AB23" s="1">
        <v>15</v>
      </c>
      <c r="AC23" s="1">
        <v>5</v>
      </c>
      <c r="AD23" s="1">
        <v>0</v>
      </c>
      <c r="AE23" s="1">
        <v>105</v>
      </c>
      <c r="AF23" s="1">
        <v>100</v>
      </c>
      <c r="AG23" s="1">
        <v>102102</v>
      </c>
      <c r="AH23" s="1">
        <v>0</v>
      </c>
      <c r="AI23" s="1">
        <v>300102</v>
      </c>
      <c r="AJ23" s="1" t="s">
        <v>1149</v>
      </c>
      <c r="AK23" s="1" t="s">
        <v>329</v>
      </c>
      <c r="AL23" s="1">
        <v>13</v>
      </c>
      <c r="AM23" s="1" t="s">
        <v>4850</v>
      </c>
      <c r="AN23" s="1" t="s">
        <v>4855</v>
      </c>
      <c r="AO23" s="1" t="s">
        <v>4856</v>
      </c>
      <c r="AP23" s="1">
        <v>0</v>
      </c>
      <c r="AQ23" s="1" t="s">
        <v>1157</v>
      </c>
      <c r="AR23" s="1" t="s">
        <v>1147</v>
      </c>
      <c r="AS23" s="1" t="s">
        <v>1158</v>
      </c>
      <c r="AT23" s="1" t="s">
        <v>329</v>
      </c>
      <c r="AU23" s="1">
        <v>22</v>
      </c>
      <c r="AV23" s="1">
        <v>0</v>
      </c>
      <c r="AW23" s="1" t="s">
        <v>4552</v>
      </c>
      <c r="AX23" s="1" t="s">
        <v>4857</v>
      </c>
      <c r="AY23" s="1">
        <v>3</v>
      </c>
      <c r="AZ23" s="1">
        <v>0</v>
      </c>
      <c r="BA23" s="1" t="s">
        <v>329</v>
      </c>
      <c r="BB23" s="1" t="s">
        <v>4866</v>
      </c>
      <c r="BC23" s="1" t="s">
        <v>4817</v>
      </c>
      <c r="BD23" s="1">
        <v>10302</v>
      </c>
      <c r="BE23" s="1"/>
    </row>
    <row r="24" spans="1:57" x14ac:dyDescent="0.25">
      <c r="A24" s="1">
        <v>23</v>
      </c>
      <c r="B24" s="1" t="s">
        <v>2794</v>
      </c>
      <c r="C24" s="9" t="s">
        <v>1639</v>
      </c>
      <c r="D24" s="1" t="s">
        <v>1639</v>
      </c>
      <c r="E24" s="1"/>
      <c r="F24" s="1"/>
      <c r="G24" s="1" t="s">
        <v>2795</v>
      </c>
      <c r="H24" s="1" t="s">
        <v>2796</v>
      </c>
      <c r="I24" s="1" t="s">
        <v>2797</v>
      </c>
      <c r="J24" s="1">
        <v>2</v>
      </c>
      <c r="K24" s="1">
        <v>4</v>
      </c>
      <c r="L24" s="1">
        <v>8400</v>
      </c>
      <c r="M24" s="1">
        <v>25</v>
      </c>
      <c r="N24" s="1">
        <v>20</v>
      </c>
      <c r="O24" s="1">
        <v>15</v>
      </c>
      <c r="P24" s="1">
        <v>10</v>
      </c>
      <c r="Q24" s="1">
        <v>5</v>
      </c>
      <c r="R24" s="1">
        <v>5</v>
      </c>
      <c r="S24" s="1">
        <v>2</v>
      </c>
      <c r="T24" s="1">
        <v>0</v>
      </c>
      <c r="U24" s="1">
        <v>90</v>
      </c>
      <c r="V24" s="1">
        <v>90</v>
      </c>
      <c r="W24" s="1">
        <v>120</v>
      </c>
      <c r="X24" s="1">
        <v>100</v>
      </c>
      <c r="Y24" s="1">
        <v>100</v>
      </c>
      <c r="Z24" s="1">
        <v>130</v>
      </c>
      <c r="AA24" s="1">
        <v>0</v>
      </c>
      <c r="AB24" s="1">
        <v>15</v>
      </c>
      <c r="AC24" s="1">
        <v>5</v>
      </c>
      <c r="AD24" s="1">
        <v>0</v>
      </c>
      <c r="AE24" s="1">
        <v>120</v>
      </c>
      <c r="AF24" s="1">
        <v>100</v>
      </c>
      <c r="AG24" s="1">
        <v>100207</v>
      </c>
      <c r="AH24" s="1">
        <v>0</v>
      </c>
      <c r="AI24" s="1">
        <v>300102</v>
      </c>
      <c r="AJ24" s="1" t="s">
        <v>1160</v>
      </c>
      <c r="AK24" s="1" t="s">
        <v>329</v>
      </c>
      <c r="AL24" s="1">
        <v>13</v>
      </c>
      <c r="AM24" s="1" t="s">
        <v>4850</v>
      </c>
      <c r="AN24" s="1" t="s">
        <v>389</v>
      </c>
      <c r="AO24" s="1" t="s">
        <v>4867</v>
      </c>
      <c r="AP24" s="1">
        <v>0</v>
      </c>
      <c r="AQ24" s="1" t="s">
        <v>1157</v>
      </c>
      <c r="AR24" s="1" t="s">
        <v>1147</v>
      </c>
      <c r="AS24" s="1" t="s">
        <v>1158</v>
      </c>
      <c r="AT24" s="1" t="s">
        <v>329</v>
      </c>
      <c r="AU24" s="1">
        <v>23</v>
      </c>
      <c r="AV24" s="1">
        <v>0</v>
      </c>
      <c r="AW24" s="1" t="s">
        <v>4868</v>
      </c>
      <c r="AX24" s="1" t="s">
        <v>332</v>
      </c>
      <c r="AY24" s="1">
        <v>4</v>
      </c>
      <c r="AZ24" s="1">
        <v>0</v>
      </c>
      <c r="BA24" s="1" t="s">
        <v>329</v>
      </c>
      <c r="BB24" s="1" t="s">
        <v>476</v>
      </c>
      <c r="BC24" s="1" t="s">
        <v>4817</v>
      </c>
      <c r="BD24" s="1">
        <v>10303</v>
      </c>
      <c r="BE24" s="1"/>
    </row>
    <row r="25" spans="1:57" x14ac:dyDescent="0.25">
      <c r="A25" s="1">
        <v>24</v>
      </c>
      <c r="B25" s="1" t="s">
        <v>2798</v>
      </c>
      <c r="C25" s="9" t="s">
        <v>1161</v>
      </c>
      <c r="D25" s="1" t="s">
        <v>1161</v>
      </c>
      <c r="E25" s="1"/>
      <c r="F25" s="1"/>
      <c r="G25" s="1" t="s">
        <v>2799</v>
      </c>
      <c r="H25" s="1" t="s">
        <v>2800</v>
      </c>
      <c r="I25" s="1" t="s">
        <v>2801</v>
      </c>
      <c r="J25" s="1">
        <v>2</v>
      </c>
      <c r="K25" s="1">
        <v>2</v>
      </c>
      <c r="L25" s="1">
        <v>4200</v>
      </c>
      <c r="M25" s="1">
        <v>25</v>
      </c>
      <c r="N25" s="1">
        <v>20</v>
      </c>
      <c r="O25" s="1">
        <v>15</v>
      </c>
      <c r="P25" s="1">
        <v>10</v>
      </c>
      <c r="Q25" s="1">
        <v>5</v>
      </c>
      <c r="R25" s="1">
        <v>5</v>
      </c>
      <c r="S25" s="1">
        <v>2</v>
      </c>
      <c r="T25" s="1">
        <v>0</v>
      </c>
      <c r="U25" s="1">
        <v>90</v>
      </c>
      <c r="V25" s="1">
        <v>120</v>
      </c>
      <c r="W25" s="1">
        <v>105</v>
      </c>
      <c r="X25" s="1">
        <v>100</v>
      </c>
      <c r="Y25" s="1">
        <v>100</v>
      </c>
      <c r="Z25" s="1">
        <v>130</v>
      </c>
      <c r="AA25" s="1">
        <v>0</v>
      </c>
      <c r="AB25" s="1">
        <v>15</v>
      </c>
      <c r="AC25" s="1">
        <v>5</v>
      </c>
      <c r="AD25" s="1">
        <v>0</v>
      </c>
      <c r="AE25" s="1">
        <v>100</v>
      </c>
      <c r="AF25" s="1">
        <v>100</v>
      </c>
      <c r="AG25" s="1">
        <v>102101</v>
      </c>
      <c r="AH25" s="1">
        <v>0</v>
      </c>
      <c r="AI25" s="1">
        <v>300102</v>
      </c>
      <c r="AJ25" s="1" t="s">
        <v>1149</v>
      </c>
      <c r="AK25" s="1" t="s">
        <v>329</v>
      </c>
      <c r="AL25" s="1">
        <v>13</v>
      </c>
      <c r="AM25" s="1" t="s">
        <v>4850</v>
      </c>
      <c r="AN25" s="1" t="s">
        <v>389</v>
      </c>
      <c r="AO25" s="1" t="s">
        <v>4869</v>
      </c>
      <c r="AP25" s="1">
        <v>0</v>
      </c>
      <c r="AQ25" s="1" t="s">
        <v>1157</v>
      </c>
      <c r="AR25" s="1" t="s">
        <v>1147</v>
      </c>
      <c r="AS25" s="1" t="s">
        <v>1774</v>
      </c>
      <c r="AT25" s="1" t="s">
        <v>329</v>
      </c>
      <c r="AU25" s="1">
        <v>24</v>
      </c>
      <c r="AV25" s="1">
        <v>0</v>
      </c>
      <c r="AW25" s="1" t="s">
        <v>4552</v>
      </c>
      <c r="AX25" s="1" t="s">
        <v>471</v>
      </c>
      <c r="AY25" s="1">
        <v>2</v>
      </c>
      <c r="AZ25" s="1">
        <v>0</v>
      </c>
      <c r="BA25" s="1" t="s">
        <v>329</v>
      </c>
      <c r="BB25" s="1" t="s">
        <v>4870</v>
      </c>
      <c r="BC25" s="1" t="s">
        <v>4817</v>
      </c>
      <c r="BD25" s="1">
        <v>10303</v>
      </c>
      <c r="BE25" s="1"/>
    </row>
    <row r="26" spans="1:57" x14ac:dyDescent="0.25">
      <c r="A26" s="1">
        <v>25</v>
      </c>
      <c r="B26" s="1" t="s">
        <v>2802</v>
      </c>
      <c r="C26" s="9" t="s">
        <v>80</v>
      </c>
      <c r="D26" s="1" t="s">
        <v>80</v>
      </c>
      <c r="E26" s="1"/>
      <c r="F26" s="1"/>
      <c r="G26" s="1" t="s">
        <v>2803</v>
      </c>
      <c r="H26" s="1" t="s">
        <v>2804</v>
      </c>
      <c r="I26" s="1" t="s">
        <v>2805</v>
      </c>
      <c r="J26" s="1">
        <v>2</v>
      </c>
      <c r="K26" s="1">
        <v>2</v>
      </c>
      <c r="L26" s="1">
        <v>5400</v>
      </c>
      <c r="M26" s="1">
        <v>25</v>
      </c>
      <c r="N26" s="1">
        <v>20</v>
      </c>
      <c r="O26" s="1">
        <v>15</v>
      </c>
      <c r="P26" s="1">
        <v>10</v>
      </c>
      <c r="Q26" s="1">
        <v>5</v>
      </c>
      <c r="R26" s="1">
        <v>5</v>
      </c>
      <c r="S26" s="1">
        <v>2</v>
      </c>
      <c r="T26" s="1">
        <v>0</v>
      </c>
      <c r="U26" s="1">
        <v>105</v>
      </c>
      <c r="V26" s="1">
        <v>105</v>
      </c>
      <c r="W26" s="1">
        <v>95</v>
      </c>
      <c r="X26" s="1">
        <v>100</v>
      </c>
      <c r="Y26" s="1">
        <v>100</v>
      </c>
      <c r="Z26" s="1">
        <v>90</v>
      </c>
      <c r="AA26" s="1">
        <v>0</v>
      </c>
      <c r="AB26" s="1">
        <v>15</v>
      </c>
      <c r="AC26" s="1">
        <v>5</v>
      </c>
      <c r="AD26" s="1">
        <v>0</v>
      </c>
      <c r="AE26" s="1">
        <v>115</v>
      </c>
      <c r="AF26" s="1">
        <v>120</v>
      </c>
      <c r="AG26" s="1">
        <v>102301</v>
      </c>
      <c r="AH26" s="1">
        <v>0</v>
      </c>
      <c r="AI26" s="1">
        <v>300102</v>
      </c>
      <c r="AJ26" s="1" t="s">
        <v>1149</v>
      </c>
      <c r="AK26" s="1" t="s">
        <v>329</v>
      </c>
      <c r="AL26" s="1">
        <v>13</v>
      </c>
      <c r="AM26" s="1" t="s">
        <v>4850</v>
      </c>
      <c r="AN26" s="1" t="s">
        <v>389</v>
      </c>
      <c r="AO26" s="1" t="s">
        <v>4841</v>
      </c>
      <c r="AP26" s="1">
        <v>0</v>
      </c>
      <c r="AQ26" s="1" t="s">
        <v>1157</v>
      </c>
      <c r="AR26" s="1" t="s">
        <v>1147</v>
      </c>
      <c r="AS26" s="1" t="s">
        <v>1158</v>
      </c>
      <c r="AT26" s="1" t="s">
        <v>329</v>
      </c>
      <c r="AU26" s="1">
        <v>25</v>
      </c>
      <c r="AV26" s="1">
        <v>0</v>
      </c>
      <c r="AW26" s="1" t="s">
        <v>4552</v>
      </c>
      <c r="AX26" s="1" t="s">
        <v>471</v>
      </c>
      <c r="AY26" s="1">
        <v>2</v>
      </c>
      <c r="AZ26" s="1">
        <v>0</v>
      </c>
      <c r="BA26" s="1" t="s">
        <v>329</v>
      </c>
      <c r="BB26" s="1" t="s">
        <v>4871</v>
      </c>
      <c r="BC26" s="1" t="s">
        <v>4829</v>
      </c>
      <c r="BD26" s="1">
        <v>10302</v>
      </c>
      <c r="BE26" s="1"/>
    </row>
    <row r="27" spans="1:57" x14ac:dyDescent="0.25">
      <c r="A27" s="1">
        <v>26</v>
      </c>
      <c r="B27" s="1" t="s">
        <v>2806</v>
      </c>
      <c r="C27" s="9" t="s">
        <v>730</v>
      </c>
      <c r="D27" s="1" t="s">
        <v>730</v>
      </c>
      <c r="E27" s="1"/>
      <c r="F27" s="1"/>
      <c r="G27" s="1" t="s">
        <v>2807</v>
      </c>
      <c r="H27" s="1" t="s">
        <v>2808</v>
      </c>
      <c r="I27" s="1" t="s">
        <v>2809</v>
      </c>
      <c r="J27" s="1">
        <v>2</v>
      </c>
      <c r="K27" s="1">
        <v>4</v>
      </c>
      <c r="L27" s="1">
        <v>8400</v>
      </c>
      <c r="M27" s="1">
        <v>25</v>
      </c>
      <c r="N27" s="1">
        <v>20</v>
      </c>
      <c r="O27" s="1">
        <v>15</v>
      </c>
      <c r="P27" s="1">
        <v>10</v>
      </c>
      <c r="Q27" s="1">
        <v>5</v>
      </c>
      <c r="R27" s="1">
        <v>5</v>
      </c>
      <c r="S27" s="1">
        <v>2</v>
      </c>
      <c r="T27" s="1">
        <v>0</v>
      </c>
      <c r="U27" s="1">
        <v>95</v>
      </c>
      <c r="V27" s="1">
        <v>115</v>
      </c>
      <c r="W27" s="1">
        <v>115</v>
      </c>
      <c r="X27" s="1">
        <v>100</v>
      </c>
      <c r="Y27" s="1">
        <v>115</v>
      </c>
      <c r="Z27" s="1">
        <v>115</v>
      </c>
      <c r="AA27" s="1">
        <v>0</v>
      </c>
      <c r="AB27" s="1">
        <v>15</v>
      </c>
      <c r="AC27" s="1">
        <v>5</v>
      </c>
      <c r="AD27" s="1">
        <v>0</v>
      </c>
      <c r="AE27" s="1">
        <v>105</v>
      </c>
      <c r="AF27" s="1">
        <v>120</v>
      </c>
      <c r="AG27" s="1">
        <v>103105</v>
      </c>
      <c r="AH27" s="1">
        <v>0</v>
      </c>
      <c r="AI27" s="1">
        <v>300102</v>
      </c>
      <c r="AJ27" s="1" t="s">
        <v>1162</v>
      </c>
      <c r="AK27" s="1" t="s">
        <v>329</v>
      </c>
      <c r="AL27" s="1">
        <v>13</v>
      </c>
      <c r="AM27" s="1" t="s">
        <v>4850</v>
      </c>
      <c r="AN27" s="1" t="s">
        <v>389</v>
      </c>
      <c r="AO27" s="1" t="s">
        <v>4872</v>
      </c>
      <c r="AP27" s="1">
        <v>0</v>
      </c>
      <c r="AQ27" s="1" t="s">
        <v>1773</v>
      </c>
      <c r="AR27" s="1" t="s">
        <v>1147</v>
      </c>
      <c r="AS27" s="1" t="s">
        <v>1774</v>
      </c>
      <c r="AT27" s="1" t="s">
        <v>329</v>
      </c>
      <c r="AU27" s="1">
        <v>26</v>
      </c>
      <c r="AV27" s="1">
        <v>0</v>
      </c>
      <c r="AW27" s="1" t="s">
        <v>4552</v>
      </c>
      <c r="AX27" s="1" t="s">
        <v>4857</v>
      </c>
      <c r="AY27" s="1">
        <v>4</v>
      </c>
      <c r="AZ27" s="1">
        <v>0</v>
      </c>
      <c r="BA27" s="1" t="s">
        <v>4803</v>
      </c>
      <c r="BB27" s="1" t="s">
        <v>4873</v>
      </c>
      <c r="BC27" s="1" t="s">
        <v>4829</v>
      </c>
      <c r="BD27" s="1">
        <v>10203</v>
      </c>
      <c r="BE27" s="1"/>
    </row>
    <row r="28" spans="1:57" x14ac:dyDescent="0.25">
      <c r="A28" s="1">
        <v>27</v>
      </c>
      <c r="B28" s="1" t="s">
        <v>2810</v>
      </c>
      <c r="C28" s="9" t="s">
        <v>81</v>
      </c>
      <c r="D28" s="1" t="s">
        <v>2811</v>
      </c>
      <c r="E28" s="1"/>
      <c r="F28" s="1"/>
      <c r="G28" s="1" t="s">
        <v>2812</v>
      </c>
      <c r="H28" s="1" t="s">
        <v>2813</v>
      </c>
      <c r="I28" s="1" t="s">
        <v>2814</v>
      </c>
      <c r="J28" s="1">
        <v>2</v>
      </c>
      <c r="K28" s="1">
        <v>3</v>
      </c>
      <c r="L28" s="1">
        <v>7200</v>
      </c>
      <c r="M28" s="1">
        <v>25</v>
      </c>
      <c r="N28" s="1">
        <v>20</v>
      </c>
      <c r="O28" s="1">
        <v>15</v>
      </c>
      <c r="P28" s="1">
        <v>10</v>
      </c>
      <c r="Q28" s="1">
        <v>5</v>
      </c>
      <c r="R28" s="1">
        <v>5</v>
      </c>
      <c r="S28" s="1">
        <v>2</v>
      </c>
      <c r="T28" s="1">
        <v>0</v>
      </c>
      <c r="U28" s="1">
        <v>90</v>
      </c>
      <c r="V28" s="1">
        <v>85</v>
      </c>
      <c r="W28" s="1">
        <v>120</v>
      </c>
      <c r="X28" s="1">
        <v>100</v>
      </c>
      <c r="Y28" s="1">
        <v>100</v>
      </c>
      <c r="Z28" s="1">
        <v>130</v>
      </c>
      <c r="AA28" s="1">
        <v>0</v>
      </c>
      <c r="AB28" s="1">
        <v>15</v>
      </c>
      <c r="AC28" s="1">
        <v>5</v>
      </c>
      <c r="AD28" s="1">
        <v>0</v>
      </c>
      <c r="AE28" s="1">
        <v>115</v>
      </c>
      <c r="AF28" s="1">
        <v>95</v>
      </c>
      <c r="AG28" s="1">
        <v>102302</v>
      </c>
      <c r="AH28" s="1">
        <v>0</v>
      </c>
      <c r="AI28" s="1">
        <v>300102</v>
      </c>
      <c r="AJ28" s="1" t="s">
        <v>4874</v>
      </c>
      <c r="AK28" s="1" t="s">
        <v>329</v>
      </c>
      <c r="AL28" s="1">
        <v>13</v>
      </c>
      <c r="AM28" s="1" t="s">
        <v>4850</v>
      </c>
      <c r="AN28" s="1" t="s">
        <v>4853</v>
      </c>
      <c r="AO28" s="1" t="s">
        <v>4875</v>
      </c>
      <c r="AP28" s="1">
        <v>0</v>
      </c>
      <c r="AQ28" s="1" t="s">
        <v>1157</v>
      </c>
      <c r="AR28" s="1" t="s">
        <v>1772</v>
      </c>
      <c r="AS28" s="1" t="s">
        <v>1158</v>
      </c>
      <c r="AT28" s="1" t="s">
        <v>329</v>
      </c>
      <c r="AU28" s="1">
        <v>27</v>
      </c>
      <c r="AV28" s="1">
        <v>0</v>
      </c>
      <c r="AW28" s="1" t="s">
        <v>4552</v>
      </c>
      <c r="AX28" s="1" t="s">
        <v>4857</v>
      </c>
      <c r="AY28" s="1">
        <v>3</v>
      </c>
      <c r="AZ28" s="1">
        <v>0</v>
      </c>
      <c r="BA28" s="1" t="s">
        <v>329</v>
      </c>
      <c r="BB28" s="1" t="s">
        <v>4876</v>
      </c>
      <c r="BC28" s="1" t="s">
        <v>329</v>
      </c>
      <c r="BD28" s="1">
        <v>10302</v>
      </c>
      <c r="BE28" s="1"/>
    </row>
    <row r="29" spans="1:57" x14ac:dyDescent="0.25">
      <c r="A29" s="1">
        <v>28</v>
      </c>
      <c r="B29" s="1" t="s">
        <v>2815</v>
      </c>
      <c r="C29" s="9" t="s">
        <v>82</v>
      </c>
      <c r="D29" s="1" t="s">
        <v>82</v>
      </c>
      <c r="E29" s="1"/>
      <c r="F29" s="1"/>
      <c r="G29" s="1" t="s">
        <v>2816</v>
      </c>
      <c r="H29" s="1" t="s">
        <v>2817</v>
      </c>
      <c r="I29" s="1" t="s">
        <v>2818</v>
      </c>
      <c r="J29" s="1">
        <v>2</v>
      </c>
      <c r="K29" s="1">
        <v>5</v>
      </c>
      <c r="L29" s="1">
        <v>8280</v>
      </c>
      <c r="M29" s="1">
        <v>25</v>
      </c>
      <c r="N29" s="1">
        <v>20</v>
      </c>
      <c r="O29" s="1">
        <v>15</v>
      </c>
      <c r="P29" s="1">
        <v>10</v>
      </c>
      <c r="Q29" s="1">
        <v>5</v>
      </c>
      <c r="R29" s="1">
        <v>5</v>
      </c>
      <c r="S29" s="1">
        <v>2</v>
      </c>
      <c r="T29" s="1">
        <v>0</v>
      </c>
      <c r="U29" s="1">
        <v>112</v>
      </c>
      <c r="V29" s="1">
        <v>120</v>
      </c>
      <c r="W29" s="1">
        <v>120</v>
      </c>
      <c r="X29" s="1">
        <v>100</v>
      </c>
      <c r="Y29" s="1">
        <v>122</v>
      </c>
      <c r="Z29" s="1">
        <v>122</v>
      </c>
      <c r="AA29" s="1">
        <v>0</v>
      </c>
      <c r="AB29" s="1">
        <v>15</v>
      </c>
      <c r="AC29" s="1">
        <v>5</v>
      </c>
      <c r="AD29" s="1">
        <v>0</v>
      </c>
      <c r="AE29" s="1">
        <v>100</v>
      </c>
      <c r="AF29" s="1">
        <v>100</v>
      </c>
      <c r="AG29" s="1">
        <v>108401</v>
      </c>
      <c r="AH29" s="1">
        <v>0</v>
      </c>
      <c r="AI29" s="1">
        <v>108402</v>
      </c>
      <c r="AJ29" s="1" t="s">
        <v>1163</v>
      </c>
      <c r="AK29" s="1" t="s">
        <v>329</v>
      </c>
      <c r="AL29" s="1">
        <v>13</v>
      </c>
      <c r="AM29" s="1" t="s">
        <v>4850</v>
      </c>
      <c r="AN29" s="1" t="s">
        <v>4855</v>
      </c>
      <c r="AO29" s="1" t="s">
        <v>4877</v>
      </c>
      <c r="AP29" s="1">
        <v>0</v>
      </c>
      <c r="AQ29" s="1" t="s">
        <v>1157</v>
      </c>
      <c r="AR29" s="1" t="s">
        <v>1147</v>
      </c>
      <c r="AS29" s="1" t="s">
        <v>1158</v>
      </c>
      <c r="AT29" s="1" t="s">
        <v>329</v>
      </c>
      <c r="AU29" s="1">
        <v>28</v>
      </c>
      <c r="AV29" s="1">
        <v>0</v>
      </c>
      <c r="AW29" s="1" t="s">
        <v>4878</v>
      </c>
      <c r="AX29" s="1" t="s">
        <v>4879</v>
      </c>
      <c r="AY29" s="1">
        <v>5</v>
      </c>
      <c r="AZ29" s="1">
        <v>0</v>
      </c>
      <c r="BA29" s="1" t="s">
        <v>329</v>
      </c>
      <c r="BB29" s="1" t="s">
        <v>4880</v>
      </c>
      <c r="BC29" s="1" t="s">
        <v>4829</v>
      </c>
      <c r="BD29" s="1">
        <v>10202</v>
      </c>
      <c r="BE29" s="1"/>
    </row>
    <row r="30" spans="1:57" x14ac:dyDescent="0.25">
      <c r="A30" s="1">
        <v>29</v>
      </c>
      <c r="B30" s="1" t="s">
        <v>2819</v>
      </c>
      <c r="C30" s="9" t="s">
        <v>830</v>
      </c>
      <c r="D30" s="1" t="s">
        <v>2820</v>
      </c>
      <c r="E30" s="1"/>
      <c r="F30" s="1"/>
      <c r="G30" s="1" t="s">
        <v>2821</v>
      </c>
      <c r="H30" s="1" t="s">
        <v>2822</v>
      </c>
      <c r="I30" s="1" t="s">
        <v>2823</v>
      </c>
      <c r="J30" s="1">
        <v>2</v>
      </c>
      <c r="K30" s="1">
        <v>3</v>
      </c>
      <c r="L30" s="1">
        <v>6000</v>
      </c>
      <c r="M30" s="1">
        <v>25</v>
      </c>
      <c r="N30" s="1">
        <v>20</v>
      </c>
      <c r="O30" s="1">
        <v>15</v>
      </c>
      <c r="P30" s="1">
        <v>10</v>
      </c>
      <c r="Q30" s="1">
        <v>5</v>
      </c>
      <c r="R30" s="1">
        <v>5</v>
      </c>
      <c r="S30" s="1">
        <v>2</v>
      </c>
      <c r="T30" s="1">
        <v>0</v>
      </c>
      <c r="U30" s="1">
        <v>105</v>
      </c>
      <c r="V30" s="1">
        <v>90</v>
      </c>
      <c r="W30" s="1">
        <v>95</v>
      </c>
      <c r="X30" s="1">
        <v>100</v>
      </c>
      <c r="Y30" s="1">
        <v>115</v>
      </c>
      <c r="Z30" s="1">
        <v>110</v>
      </c>
      <c r="AA30" s="1">
        <v>0</v>
      </c>
      <c r="AB30" s="1">
        <v>15</v>
      </c>
      <c r="AC30" s="1">
        <v>5</v>
      </c>
      <c r="AD30" s="1">
        <v>0</v>
      </c>
      <c r="AE30" s="1">
        <v>125</v>
      </c>
      <c r="AF30" s="1">
        <v>110</v>
      </c>
      <c r="AG30" s="1">
        <v>102102</v>
      </c>
      <c r="AH30" s="1">
        <v>0</v>
      </c>
      <c r="AI30" s="1">
        <v>300102</v>
      </c>
      <c r="AJ30" s="1" t="s">
        <v>1164</v>
      </c>
      <c r="AK30" s="1" t="s">
        <v>329</v>
      </c>
      <c r="AL30" s="1">
        <v>13</v>
      </c>
      <c r="AM30" s="1" t="s">
        <v>4850</v>
      </c>
      <c r="AN30" s="1" t="s">
        <v>4855</v>
      </c>
      <c r="AO30" s="1" t="s">
        <v>4881</v>
      </c>
      <c r="AP30" s="1">
        <v>0</v>
      </c>
      <c r="AQ30" s="1" t="s">
        <v>1157</v>
      </c>
      <c r="AR30" s="1" t="s">
        <v>1147</v>
      </c>
      <c r="AS30" s="1" t="s">
        <v>1774</v>
      </c>
      <c r="AT30" s="1" t="s">
        <v>329</v>
      </c>
      <c r="AU30" s="1">
        <v>29</v>
      </c>
      <c r="AV30" s="1">
        <v>0</v>
      </c>
      <c r="AW30" s="1" t="s">
        <v>4552</v>
      </c>
      <c r="AX30" s="1" t="s">
        <v>4857</v>
      </c>
      <c r="AY30" s="1">
        <v>3</v>
      </c>
      <c r="AZ30" s="1">
        <v>0</v>
      </c>
      <c r="BA30" s="1" t="s">
        <v>4825</v>
      </c>
      <c r="BB30" s="1" t="s">
        <v>4882</v>
      </c>
      <c r="BC30" s="1" t="s">
        <v>329</v>
      </c>
      <c r="BD30" s="1">
        <v>10704</v>
      </c>
      <c r="BE30" s="1"/>
    </row>
    <row r="31" spans="1:57" x14ac:dyDescent="0.25">
      <c r="A31" s="1">
        <v>31</v>
      </c>
      <c r="B31" s="1" t="s">
        <v>2824</v>
      </c>
      <c r="C31" s="9" t="s">
        <v>83</v>
      </c>
      <c r="D31" s="1" t="s">
        <v>2825</v>
      </c>
      <c r="E31" s="1"/>
      <c r="F31" s="1"/>
      <c r="G31" s="1" t="s">
        <v>2826</v>
      </c>
      <c r="H31" s="1" t="s">
        <v>2827</v>
      </c>
      <c r="I31" s="1" t="s">
        <v>2828</v>
      </c>
      <c r="J31" s="1">
        <v>2</v>
      </c>
      <c r="K31" s="1">
        <v>2</v>
      </c>
      <c r="L31" s="1">
        <v>5400</v>
      </c>
      <c r="M31" s="1">
        <v>25</v>
      </c>
      <c r="N31" s="1">
        <v>20</v>
      </c>
      <c r="O31" s="1">
        <v>15</v>
      </c>
      <c r="P31" s="1">
        <v>10</v>
      </c>
      <c r="Q31" s="1">
        <v>5</v>
      </c>
      <c r="R31" s="1">
        <v>5</v>
      </c>
      <c r="S31" s="1">
        <v>2</v>
      </c>
      <c r="T31" s="1">
        <v>0</v>
      </c>
      <c r="U31" s="1">
        <v>115</v>
      </c>
      <c r="V31" s="1">
        <v>125</v>
      </c>
      <c r="W31" s="1">
        <v>95</v>
      </c>
      <c r="X31" s="1">
        <v>100</v>
      </c>
      <c r="Y31" s="1">
        <v>95</v>
      </c>
      <c r="Z31" s="1">
        <v>85</v>
      </c>
      <c r="AA31" s="1">
        <v>0</v>
      </c>
      <c r="AB31" s="1">
        <v>15</v>
      </c>
      <c r="AC31" s="1">
        <v>5</v>
      </c>
      <c r="AD31" s="1">
        <v>0</v>
      </c>
      <c r="AE31" s="1">
        <v>110</v>
      </c>
      <c r="AF31" s="1">
        <v>130</v>
      </c>
      <c r="AG31" s="1">
        <v>102201</v>
      </c>
      <c r="AH31" s="1">
        <v>0</v>
      </c>
      <c r="AI31" s="1">
        <v>300102</v>
      </c>
      <c r="AJ31" s="1" t="s">
        <v>1149</v>
      </c>
      <c r="AK31" s="1" t="s">
        <v>1165</v>
      </c>
      <c r="AL31" s="1">
        <v>13</v>
      </c>
      <c r="AM31" s="1" t="s">
        <v>4850</v>
      </c>
      <c r="AN31" s="1" t="s">
        <v>389</v>
      </c>
      <c r="AO31" s="1" t="s">
        <v>4883</v>
      </c>
      <c r="AP31" s="1">
        <v>0</v>
      </c>
      <c r="AQ31" s="1" t="s">
        <v>1157</v>
      </c>
      <c r="AR31" s="1" t="s">
        <v>1147</v>
      </c>
      <c r="AS31" s="1" t="s">
        <v>1774</v>
      </c>
      <c r="AT31" s="1" t="s">
        <v>329</v>
      </c>
      <c r="AU31" s="1">
        <v>31</v>
      </c>
      <c r="AV31" s="1">
        <v>0</v>
      </c>
      <c r="AW31" s="1" t="s">
        <v>4552</v>
      </c>
      <c r="AX31" s="1" t="s">
        <v>471</v>
      </c>
      <c r="AY31" s="1">
        <v>2</v>
      </c>
      <c r="AZ31" s="1">
        <v>0</v>
      </c>
      <c r="BA31" s="1" t="s">
        <v>4805</v>
      </c>
      <c r="BB31" s="1" t="s">
        <v>329</v>
      </c>
      <c r="BC31" s="1" t="s">
        <v>4799</v>
      </c>
      <c r="BD31" s="1">
        <v>10302</v>
      </c>
      <c r="BE31" s="1"/>
    </row>
    <row r="32" spans="1:57" x14ac:dyDescent="0.25">
      <c r="A32" s="1">
        <v>32</v>
      </c>
      <c r="B32" s="1" t="s">
        <v>2829</v>
      </c>
      <c r="C32" s="9" t="s">
        <v>84</v>
      </c>
      <c r="D32" s="1" t="s">
        <v>2830</v>
      </c>
      <c r="E32" s="1"/>
      <c r="F32" s="1"/>
      <c r="G32" s="1" t="s">
        <v>2831</v>
      </c>
      <c r="H32" s="1" t="s">
        <v>2832</v>
      </c>
      <c r="I32" s="1" t="s">
        <v>2833</v>
      </c>
      <c r="J32" s="1">
        <v>2</v>
      </c>
      <c r="K32" s="1">
        <v>3</v>
      </c>
      <c r="L32" s="1">
        <v>6000</v>
      </c>
      <c r="M32" s="1">
        <v>25</v>
      </c>
      <c r="N32" s="1">
        <v>20</v>
      </c>
      <c r="O32" s="1">
        <v>15</v>
      </c>
      <c r="P32" s="1">
        <v>10</v>
      </c>
      <c r="Q32" s="1">
        <v>5</v>
      </c>
      <c r="R32" s="1">
        <v>5</v>
      </c>
      <c r="S32" s="1">
        <v>2</v>
      </c>
      <c r="T32" s="1">
        <v>0</v>
      </c>
      <c r="U32" s="1">
        <v>90</v>
      </c>
      <c r="V32" s="1">
        <v>90</v>
      </c>
      <c r="W32" s="1">
        <v>130</v>
      </c>
      <c r="X32" s="1">
        <v>100</v>
      </c>
      <c r="Y32" s="1">
        <v>85</v>
      </c>
      <c r="Z32" s="1">
        <v>125</v>
      </c>
      <c r="AA32" s="1">
        <v>0</v>
      </c>
      <c r="AB32" s="1">
        <v>15</v>
      </c>
      <c r="AC32" s="1">
        <v>5</v>
      </c>
      <c r="AD32" s="1">
        <v>0</v>
      </c>
      <c r="AE32" s="1">
        <v>115</v>
      </c>
      <c r="AF32" s="1">
        <v>110</v>
      </c>
      <c r="AG32" s="1">
        <v>802708</v>
      </c>
      <c r="AH32" s="1">
        <v>0</v>
      </c>
      <c r="AI32" s="1">
        <v>300102</v>
      </c>
      <c r="AJ32" s="1" t="s">
        <v>1149</v>
      </c>
      <c r="AK32" s="1" t="s">
        <v>1166</v>
      </c>
      <c r="AL32" s="1">
        <v>13</v>
      </c>
      <c r="AM32" s="1" t="s">
        <v>4850</v>
      </c>
      <c r="AN32" s="1" t="s">
        <v>465</v>
      </c>
      <c r="AO32" s="1" t="s">
        <v>4884</v>
      </c>
      <c r="AP32" s="1">
        <v>0</v>
      </c>
      <c r="AQ32" s="1" t="s">
        <v>1157</v>
      </c>
      <c r="AR32" s="1" t="s">
        <v>1147</v>
      </c>
      <c r="AS32" s="1" t="s">
        <v>1774</v>
      </c>
      <c r="AT32" s="1" t="s">
        <v>329</v>
      </c>
      <c r="AU32" s="1">
        <v>32</v>
      </c>
      <c r="AV32" s="1">
        <v>0</v>
      </c>
      <c r="AW32" s="1" t="s">
        <v>4552</v>
      </c>
      <c r="AX32" s="1" t="s">
        <v>4857</v>
      </c>
      <c r="AY32" s="1">
        <v>3</v>
      </c>
      <c r="AZ32" s="1">
        <v>0</v>
      </c>
      <c r="BA32" s="1" t="s">
        <v>4825</v>
      </c>
      <c r="BB32" s="1" t="s">
        <v>371</v>
      </c>
      <c r="BC32" s="1" t="s">
        <v>329</v>
      </c>
      <c r="BD32" s="1">
        <v>10202</v>
      </c>
      <c r="BE32" s="1"/>
    </row>
    <row r="33" spans="1:57" x14ac:dyDescent="0.25">
      <c r="A33" s="1">
        <v>33</v>
      </c>
      <c r="B33" s="1" t="s">
        <v>2834</v>
      </c>
      <c r="C33" s="9" t="s">
        <v>85</v>
      </c>
      <c r="D33" s="1" t="s">
        <v>85</v>
      </c>
      <c r="E33" s="1"/>
      <c r="F33" s="1"/>
      <c r="G33" s="1" t="s">
        <v>2835</v>
      </c>
      <c r="H33" s="1" t="s">
        <v>2836</v>
      </c>
      <c r="I33" s="1" t="s">
        <v>2837</v>
      </c>
      <c r="J33" s="1">
        <v>2</v>
      </c>
      <c r="K33" s="1">
        <v>2</v>
      </c>
      <c r="L33" s="1">
        <v>4800</v>
      </c>
      <c r="M33" s="1">
        <v>25</v>
      </c>
      <c r="N33" s="1">
        <v>20</v>
      </c>
      <c r="O33" s="1">
        <v>15</v>
      </c>
      <c r="P33" s="1">
        <v>10</v>
      </c>
      <c r="Q33" s="1">
        <v>5</v>
      </c>
      <c r="R33" s="1">
        <v>5</v>
      </c>
      <c r="S33" s="1">
        <v>2</v>
      </c>
      <c r="T33" s="1">
        <v>0</v>
      </c>
      <c r="U33" s="1">
        <v>105</v>
      </c>
      <c r="V33" s="1">
        <v>115</v>
      </c>
      <c r="W33" s="1">
        <v>95</v>
      </c>
      <c r="X33" s="1">
        <v>100</v>
      </c>
      <c r="Y33" s="1">
        <v>100</v>
      </c>
      <c r="Z33" s="1">
        <v>105</v>
      </c>
      <c r="AA33" s="1">
        <v>0</v>
      </c>
      <c r="AB33" s="1">
        <v>15</v>
      </c>
      <c r="AC33" s="1">
        <v>5</v>
      </c>
      <c r="AD33" s="1">
        <v>0</v>
      </c>
      <c r="AE33" s="1">
        <v>105</v>
      </c>
      <c r="AF33" s="1">
        <v>100</v>
      </c>
      <c r="AG33" s="1">
        <v>102401</v>
      </c>
      <c r="AH33" s="1">
        <v>0</v>
      </c>
      <c r="AI33" s="1">
        <v>300102</v>
      </c>
      <c r="AJ33" s="1" t="s">
        <v>1149</v>
      </c>
      <c r="AK33" s="1" t="s">
        <v>329</v>
      </c>
      <c r="AL33" s="1">
        <v>13</v>
      </c>
      <c r="AM33" s="1" t="s">
        <v>4850</v>
      </c>
      <c r="AN33" s="1" t="s">
        <v>389</v>
      </c>
      <c r="AO33" s="1" t="s">
        <v>4845</v>
      </c>
      <c r="AP33" s="1">
        <v>0</v>
      </c>
      <c r="AQ33" s="1" t="s">
        <v>1157</v>
      </c>
      <c r="AR33" s="1" t="s">
        <v>1147</v>
      </c>
      <c r="AS33" s="1" t="s">
        <v>1158</v>
      </c>
      <c r="AT33" s="1" t="s">
        <v>329</v>
      </c>
      <c r="AU33" s="1">
        <v>33</v>
      </c>
      <c r="AV33" s="1">
        <v>0</v>
      </c>
      <c r="AW33" s="1" t="s">
        <v>4552</v>
      </c>
      <c r="AX33" s="1" t="s">
        <v>471</v>
      </c>
      <c r="AY33" s="1">
        <v>2</v>
      </c>
      <c r="AZ33" s="1">
        <v>0</v>
      </c>
      <c r="BA33" s="1" t="s">
        <v>329</v>
      </c>
      <c r="BB33" s="1" t="s">
        <v>4885</v>
      </c>
      <c r="BC33" s="1" t="s">
        <v>329</v>
      </c>
      <c r="BD33" s="1">
        <v>10802</v>
      </c>
      <c r="BE33" s="1"/>
    </row>
    <row r="34" spans="1:57" x14ac:dyDescent="0.25">
      <c r="A34" s="1">
        <v>34</v>
      </c>
      <c r="B34" s="1" t="s">
        <v>2838</v>
      </c>
      <c r="C34" s="9" t="s">
        <v>86</v>
      </c>
      <c r="D34" s="1" t="s">
        <v>2839</v>
      </c>
      <c r="E34" s="1"/>
      <c r="F34" s="1"/>
      <c r="G34" s="1" t="s">
        <v>2840</v>
      </c>
      <c r="H34" s="1" t="s">
        <v>2841</v>
      </c>
      <c r="I34" s="1" t="s">
        <v>2842</v>
      </c>
      <c r="J34" s="1">
        <v>3</v>
      </c>
      <c r="K34" s="1">
        <v>3</v>
      </c>
      <c r="L34" s="1">
        <v>14400</v>
      </c>
      <c r="M34" s="1">
        <v>15</v>
      </c>
      <c r="N34" s="1">
        <v>30</v>
      </c>
      <c r="O34" s="1">
        <v>10</v>
      </c>
      <c r="P34" s="1">
        <v>15</v>
      </c>
      <c r="Q34" s="1">
        <v>5</v>
      </c>
      <c r="R34" s="1">
        <v>2</v>
      </c>
      <c r="S34" s="1">
        <v>5</v>
      </c>
      <c r="T34" s="1">
        <v>0</v>
      </c>
      <c r="U34" s="1">
        <v>100</v>
      </c>
      <c r="V34" s="1">
        <v>120</v>
      </c>
      <c r="W34" s="1">
        <v>115</v>
      </c>
      <c r="X34" s="1">
        <v>100</v>
      </c>
      <c r="Y34" s="1">
        <v>105</v>
      </c>
      <c r="Z34" s="1">
        <v>95</v>
      </c>
      <c r="AA34" s="1">
        <v>0</v>
      </c>
      <c r="AB34" s="1">
        <v>15</v>
      </c>
      <c r="AC34" s="1">
        <v>40</v>
      </c>
      <c r="AD34" s="1">
        <v>0</v>
      </c>
      <c r="AE34" s="1">
        <v>105</v>
      </c>
      <c r="AF34" s="1">
        <v>90</v>
      </c>
      <c r="AG34" s="1">
        <v>103004</v>
      </c>
      <c r="AH34" s="1">
        <v>0</v>
      </c>
      <c r="AI34" s="1">
        <v>300112</v>
      </c>
      <c r="AJ34" s="1" t="s">
        <v>1167</v>
      </c>
      <c r="AK34" s="1" t="s">
        <v>329</v>
      </c>
      <c r="AL34" s="1">
        <v>13</v>
      </c>
      <c r="AM34" s="1" t="s">
        <v>4822</v>
      </c>
      <c r="AN34" s="1" t="s">
        <v>476</v>
      </c>
      <c r="AO34" s="1" t="s">
        <v>4886</v>
      </c>
      <c r="AP34" s="1">
        <v>0</v>
      </c>
      <c r="AQ34" s="1" t="s">
        <v>1168</v>
      </c>
      <c r="AR34" s="1" t="s">
        <v>1169</v>
      </c>
      <c r="AS34" s="1" t="s">
        <v>1170</v>
      </c>
      <c r="AT34" s="1" t="s">
        <v>329</v>
      </c>
      <c r="AU34" s="1">
        <v>34</v>
      </c>
      <c r="AV34" s="1">
        <v>0</v>
      </c>
      <c r="AW34" s="1" t="s">
        <v>4552</v>
      </c>
      <c r="AX34" s="1" t="s">
        <v>4857</v>
      </c>
      <c r="AY34" s="1">
        <v>3</v>
      </c>
      <c r="AZ34" s="1">
        <v>0</v>
      </c>
      <c r="BA34" s="1" t="s">
        <v>329</v>
      </c>
      <c r="BB34" s="1" t="s">
        <v>4887</v>
      </c>
      <c r="BC34" s="1" t="s">
        <v>4780</v>
      </c>
      <c r="BD34" s="1">
        <v>10303</v>
      </c>
      <c r="BE34" s="1"/>
    </row>
    <row r="35" spans="1:57" x14ac:dyDescent="0.25">
      <c r="A35" s="1">
        <v>35</v>
      </c>
      <c r="B35" s="1" t="s">
        <v>2843</v>
      </c>
      <c r="C35" s="9" t="s">
        <v>791</v>
      </c>
      <c r="D35" s="1" t="s">
        <v>791</v>
      </c>
      <c r="E35" s="1"/>
      <c r="F35" s="1"/>
      <c r="G35" s="1" t="s">
        <v>2844</v>
      </c>
      <c r="H35" s="1" t="s">
        <v>2845</v>
      </c>
      <c r="I35" s="1" t="s">
        <v>2846</v>
      </c>
      <c r="J35" s="1">
        <v>3</v>
      </c>
      <c r="K35" s="1">
        <v>3</v>
      </c>
      <c r="L35" s="1">
        <v>13200</v>
      </c>
      <c r="M35" s="1">
        <v>15</v>
      </c>
      <c r="N35" s="1">
        <v>30</v>
      </c>
      <c r="O35" s="1">
        <v>10</v>
      </c>
      <c r="P35" s="1">
        <v>15</v>
      </c>
      <c r="Q35" s="1">
        <v>5</v>
      </c>
      <c r="R35" s="1">
        <v>2</v>
      </c>
      <c r="S35" s="1">
        <v>5</v>
      </c>
      <c r="T35" s="1">
        <v>0</v>
      </c>
      <c r="U35" s="1">
        <v>95</v>
      </c>
      <c r="V35" s="1">
        <v>90</v>
      </c>
      <c r="W35" s="1">
        <v>115</v>
      </c>
      <c r="X35" s="1">
        <v>100</v>
      </c>
      <c r="Y35" s="1">
        <v>120</v>
      </c>
      <c r="Z35" s="1">
        <v>130</v>
      </c>
      <c r="AA35" s="1">
        <v>0</v>
      </c>
      <c r="AB35" s="1">
        <v>15</v>
      </c>
      <c r="AC35" s="1">
        <v>40</v>
      </c>
      <c r="AD35" s="1">
        <v>0</v>
      </c>
      <c r="AE35" s="1">
        <v>115</v>
      </c>
      <c r="AF35" s="1">
        <v>100</v>
      </c>
      <c r="AG35" s="1">
        <v>100417</v>
      </c>
      <c r="AH35" s="1">
        <v>0</v>
      </c>
      <c r="AI35" s="1">
        <v>300104</v>
      </c>
      <c r="AJ35" s="1" t="s">
        <v>1153</v>
      </c>
      <c r="AK35" s="1" t="s">
        <v>329</v>
      </c>
      <c r="AL35" s="1">
        <v>13</v>
      </c>
      <c r="AM35" s="1" t="s">
        <v>4822</v>
      </c>
      <c r="AN35" s="1" t="s">
        <v>465</v>
      </c>
      <c r="AO35" s="1" t="s">
        <v>4886</v>
      </c>
      <c r="AP35" s="1">
        <v>0</v>
      </c>
      <c r="AQ35" s="1" t="s">
        <v>1168</v>
      </c>
      <c r="AR35" s="1" t="s">
        <v>1169</v>
      </c>
      <c r="AS35" s="1" t="s">
        <v>1170</v>
      </c>
      <c r="AT35" s="1" t="s">
        <v>329</v>
      </c>
      <c r="AU35" s="1">
        <v>35</v>
      </c>
      <c r="AV35" s="1">
        <v>0</v>
      </c>
      <c r="AW35" s="1" t="s">
        <v>4888</v>
      </c>
      <c r="AX35" s="1" t="s">
        <v>4889</v>
      </c>
      <c r="AY35" s="1">
        <v>3</v>
      </c>
      <c r="AZ35" s="1">
        <v>0</v>
      </c>
      <c r="BA35" s="1" t="s">
        <v>329</v>
      </c>
      <c r="BB35" s="1" t="s">
        <v>4890</v>
      </c>
      <c r="BC35" s="1" t="s">
        <v>4780</v>
      </c>
      <c r="BD35" s="1">
        <v>10303</v>
      </c>
      <c r="BE35" s="1"/>
    </row>
    <row r="36" spans="1:57" x14ac:dyDescent="0.25">
      <c r="A36" s="1">
        <v>36</v>
      </c>
      <c r="B36" s="1" t="s">
        <v>2847</v>
      </c>
      <c r="C36" s="9" t="s">
        <v>87</v>
      </c>
      <c r="D36" s="1" t="s">
        <v>2848</v>
      </c>
      <c r="E36" s="1"/>
      <c r="F36" s="1"/>
      <c r="G36" s="1" t="s">
        <v>2849</v>
      </c>
      <c r="H36" s="1" t="s">
        <v>2850</v>
      </c>
      <c r="I36" s="1" t="s">
        <v>2851</v>
      </c>
      <c r="J36" s="1">
        <v>3</v>
      </c>
      <c r="K36" s="1">
        <v>4</v>
      </c>
      <c r="L36" s="1">
        <v>15900</v>
      </c>
      <c r="M36" s="1">
        <v>15</v>
      </c>
      <c r="N36" s="1">
        <v>30</v>
      </c>
      <c r="O36" s="1">
        <v>10</v>
      </c>
      <c r="P36" s="1">
        <v>15</v>
      </c>
      <c r="Q36" s="1">
        <v>5</v>
      </c>
      <c r="R36" s="1">
        <v>2</v>
      </c>
      <c r="S36" s="1">
        <v>5</v>
      </c>
      <c r="T36" s="1">
        <v>0</v>
      </c>
      <c r="U36" s="1">
        <v>95</v>
      </c>
      <c r="V36" s="1">
        <v>115</v>
      </c>
      <c r="W36" s="1">
        <v>90</v>
      </c>
      <c r="X36" s="1">
        <v>100</v>
      </c>
      <c r="Y36" s="1">
        <v>105</v>
      </c>
      <c r="Z36" s="1">
        <v>115</v>
      </c>
      <c r="AA36" s="1">
        <v>0</v>
      </c>
      <c r="AB36" s="1">
        <v>15</v>
      </c>
      <c r="AC36" s="1">
        <v>40</v>
      </c>
      <c r="AD36" s="1">
        <v>0</v>
      </c>
      <c r="AE36" s="1">
        <v>125</v>
      </c>
      <c r="AF36" s="1">
        <v>105</v>
      </c>
      <c r="AG36" s="1">
        <v>102805</v>
      </c>
      <c r="AH36" s="1">
        <v>0</v>
      </c>
      <c r="AI36" s="1">
        <v>300104</v>
      </c>
      <c r="AJ36" s="1" t="s">
        <v>1171</v>
      </c>
      <c r="AK36" s="1" t="s">
        <v>329</v>
      </c>
      <c r="AL36" s="1">
        <v>13</v>
      </c>
      <c r="AM36" s="1" t="s">
        <v>4822</v>
      </c>
      <c r="AN36" s="1" t="s">
        <v>4891</v>
      </c>
      <c r="AO36" s="1" t="s">
        <v>4892</v>
      </c>
      <c r="AP36" s="1">
        <v>0</v>
      </c>
      <c r="AQ36" s="1" t="s">
        <v>1775</v>
      </c>
      <c r="AR36" s="1" t="s">
        <v>1169</v>
      </c>
      <c r="AS36" s="1" t="s">
        <v>1170</v>
      </c>
      <c r="AT36" s="1" t="s">
        <v>329</v>
      </c>
      <c r="AU36" s="1">
        <v>36</v>
      </c>
      <c r="AV36" s="1">
        <v>0</v>
      </c>
      <c r="AW36" s="1" t="s">
        <v>4552</v>
      </c>
      <c r="AX36" s="1" t="s">
        <v>4857</v>
      </c>
      <c r="AY36" s="1">
        <v>4</v>
      </c>
      <c r="AZ36" s="1">
        <v>0</v>
      </c>
      <c r="BA36" s="1" t="s">
        <v>329</v>
      </c>
      <c r="BB36" s="1" t="s">
        <v>4893</v>
      </c>
      <c r="BC36" s="1" t="s">
        <v>4780</v>
      </c>
      <c r="BD36" s="1">
        <v>107</v>
      </c>
      <c r="BE36" s="1"/>
    </row>
    <row r="37" spans="1:57" x14ac:dyDescent="0.25">
      <c r="A37" s="1">
        <v>37</v>
      </c>
      <c r="B37" s="1" t="s">
        <v>2852</v>
      </c>
      <c r="C37" s="9" t="s">
        <v>88</v>
      </c>
      <c r="D37" s="1" t="s">
        <v>88</v>
      </c>
      <c r="E37" s="1"/>
      <c r="F37" s="1"/>
      <c r="G37" s="1" t="s">
        <v>2853</v>
      </c>
      <c r="H37" s="1" t="s">
        <v>2854</v>
      </c>
      <c r="I37" s="1" t="s">
        <v>2855</v>
      </c>
      <c r="J37" s="1">
        <v>3</v>
      </c>
      <c r="K37" s="1">
        <v>3</v>
      </c>
      <c r="L37" s="1">
        <v>13200</v>
      </c>
      <c r="M37" s="1">
        <v>15</v>
      </c>
      <c r="N37" s="1">
        <v>30</v>
      </c>
      <c r="O37" s="1">
        <v>10</v>
      </c>
      <c r="P37" s="1">
        <v>15</v>
      </c>
      <c r="Q37" s="1">
        <v>5</v>
      </c>
      <c r="R37" s="1">
        <v>2</v>
      </c>
      <c r="S37" s="1">
        <v>5</v>
      </c>
      <c r="T37" s="1">
        <v>0</v>
      </c>
      <c r="U37" s="1">
        <v>95</v>
      </c>
      <c r="V37" s="1">
        <v>105</v>
      </c>
      <c r="W37" s="1">
        <v>130</v>
      </c>
      <c r="X37" s="1">
        <v>100</v>
      </c>
      <c r="Y37" s="1">
        <v>115</v>
      </c>
      <c r="Z37" s="1">
        <v>85</v>
      </c>
      <c r="AA37" s="1">
        <v>0</v>
      </c>
      <c r="AB37" s="1">
        <v>15</v>
      </c>
      <c r="AC37" s="1">
        <v>40</v>
      </c>
      <c r="AD37" s="1">
        <v>0</v>
      </c>
      <c r="AE37" s="1">
        <v>110</v>
      </c>
      <c r="AF37" s="1">
        <v>90</v>
      </c>
      <c r="AG37" s="1">
        <v>100102</v>
      </c>
      <c r="AH37" s="1">
        <v>0</v>
      </c>
      <c r="AI37" s="1">
        <v>300104</v>
      </c>
      <c r="AJ37" s="1" t="s">
        <v>1153</v>
      </c>
      <c r="AK37" s="1" t="s">
        <v>329</v>
      </c>
      <c r="AL37" s="1">
        <v>13</v>
      </c>
      <c r="AM37" s="1" t="s">
        <v>4822</v>
      </c>
      <c r="AN37" s="1" t="s">
        <v>4894</v>
      </c>
      <c r="AO37" s="1" t="s">
        <v>4886</v>
      </c>
      <c r="AP37" s="1">
        <v>0</v>
      </c>
      <c r="AQ37" s="1" t="s">
        <v>1168</v>
      </c>
      <c r="AR37" s="1" t="s">
        <v>4895</v>
      </c>
      <c r="AS37" s="1" t="s">
        <v>1170</v>
      </c>
      <c r="AT37" s="1" t="s">
        <v>329</v>
      </c>
      <c r="AU37" s="1">
        <v>37</v>
      </c>
      <c r="AV37" s="1">
        <v>0</v>
      </c>
      <c r="AW37" s="1" t="s">
        <v>4552</v>
      </c>
      <c r="AX37" s="1" t="s">
        <v>4857</v>
      </c>
      <c r="AY37" s="1">
        <v>3</v>
      </c>
      <c r="AZ37" s="1">
        <v>0</v>
      </c>
      <c r="BA37" s="1" t="s">
        <v>4825</v>
      </c>
      <c r="BB37" s="1" t="s">
        <v>4896</v>
      </c>
      <c r="BC37" s="1" t="s">
        <v>4780</v>
      </c>
      <c r="BD37" s="1">
        <v>10202</v>
      </c>
      <c r="BE37" s="1"/>
    </row>
    <row r="38" spans="1:57" x14ac:dyDescent="0.25">
      <c r="A38" s="1">
        <v>38</v>
      </c>
      <c r="B38" s="1" t="s">
        <v>2856</v>
      </c>
      <c r="C38" s="9" t="s">
        <v>89</v>
      </c>
      <c r="D38" s="1" t="s">
        <v>89</v>
      </c>
      <c r="E38" s="1"/>
      <c r="F38" s="1"/>
      <c r="G38" s="1" t="s">
        <v>2857</v>
      </c>
      <c r="H38" s="1" t="s">
        <v>2858</v>
      </c>
      <c r="I38" s="1" t="s">
        <v>2859</v>
      </c>
      <c r="J38" s="1">
        <v>3</v>
      </c>
      <c r="K38" s="1">
        <v>3</v>
      </c>
      <c r="L38" s="1">
        <v>13800</v>
      </c>
      <c r="M38" s="1">
        <v>15</v>
      </c>
      <c r="N38" s="1">
        <v>30</v>
      </c>
      <c r="O38" s="1">
        <v>10</v>
      </c>
      <c r="P38" s="1">
        <v>15</v>
      </c>
      <c r="Q38" s="1">
        <v>5</v>
      </c>
      <c r="R38" s="1">
        <v>2</v>
      </c>
      <c r="S38" s="1">
        <v>5</v>
      </c>
      <c r="T38" s="1">
        <v>0</v>
      </c>
      <c r="U38" s="1">
        <v>105</v>
      </c>
      <c r="V38" s="1">
        <v>115</v>
      </c>
      <c r="W38" s="1">
        <v>105</v>
      </c>
      <c r="X38" s="1">
        <v>100</v>
      </c>
      <c r="Y38" s="1">
        <v>120</v>
      </c>
      <c r="Z38" s="1">
        <v>85</v>
      </c>
      <c r="AA38" s="1">
        <v>0</v>
      </c>
      <c r="AB38" s="1">
        <v>15</v>
      </c>
      <c r="AC38" s="1">
        <v>40</v>
      </c>
      <c r="AD38" s="1">
        <v>0</v>
      </c>
      <c r="AE38" s="1">
        <v>110</v>
      </c>
      <c r="AF38" s="1">
        <v>100</v>
      </c>
      <c r="AG38" s="1">
        <v>102603</v>
      </c>
      <c r="AH38" s="1">
        <v>0</v>
      </c>
      <c r="AI38" s="1">
        <v>300104</v>
      </c>
      <c r="AJ38" s="1" t="s">
        <v>1172</v>
      </c>
      <c r="AK38" s="1" t="s">
        <v>329</v>
      </c>
      <c r="AL38" s="1">
        <v>13</v>
      </c>
      <c r="AM38" s="1" t="s">
        <v>4822</v>
      </c>
      <c r="AN38" s="1" t="s">
        <v>465</v>
      </c>
      <c r="AO38" s="1" t="s">
        <v>4886</v>
      </c>
      <c r="AP38" s="1">
        <v>0</v>
      </c>
      <c r="AQ38" s="1" t="s">
        <v>1168</v>
      </c>
      <c r="AR38" s="1" t="s">
        <v>4895</v>
      </c>
      <c r="AS38" s="1" t="s">
        <v>1170</v>
      </c>
      <c r="AT38" s="1" t="s">
        <v>329</v>
      </c>
      <c r="AU38" s="1">
        <v>38</v>
      </c>
      <c r="AV38" s="1">
        <v>0</v>
      </c>
      <c r="AW38" s="1" t="s">
        <v>4552</v>
      </c>
      <c r="AX38" s="1" t="s">
        <v>4897</v>
      </c>
      <c r="AY38" s="1">
        <v>3</v>
      </c>
      <c r="AZ38" s="1">
        <v>0</v>
      </c>
      <c r="BA38" s="1" t="s">
        <v>329</v>
      </c>
      <c r="BB38" s="1" t="s">
        <v>4898</v>
      </c>
      <c r="BC38" s="1" t="s">
        <v>4780</v>
      </c>
      <c r="BD38" s="1">
        <v>10202</v>
      </c>
      <c r="BE38" s="1"/>
    </row>
    <row r="39" spans="1:57" x14ac:dyDescent="0.25">
      <c r="A39" s="1">
        <v>39</v>
      </c>
      <c r="B39" s="1" t="s">
        <v>2860</v>
      </c>
      <c r="C39" s="9" t="s">
        <v>729</v>
      </c>
      <c r="D39" s="1" t="s">
        <v>2861</v>
      </c>
      <c r="E39" s="1"/>
      <c r="F39" s="1"/>
      <c r="G39" s="1" t="s">
        <v>2862</v>
      </c>
      <c r="H39" s="1" t="s">
        <v>2863</v>
      </c>
      <c r="I39" s="1" t="s">
        <v>2864</v>
      </c>
      <c r="J39" s="1">
        <v>3</v>
      </c>
      <c r="K39" s="1">
        <v>4</v>
      </c>
      <c r="L39" s="1">
        <v>15000</v>
      </c>
      <c r="M39" s="1">
        <v>15</v>
      </c>
      <c r="N39" s="1">
        <v>30</v>
      </c>
      <c r="O39" s="1">
        <v>10</v>
      </c>
      <c r="P39" s="1">
        <v>15</v>
      </c>
      <c r="Q39" s="1">
        <v>5</v>
      </c>
      <c r="R39" s="1">
        <v>2</v>
      </c>
      <c r="S39" s="1">
        <v>5</v>
      </c>
      <c r="T39" s="1">
        <v>0</v>
      </c>
      <c r="U39" s="1">
        <v>100</v>
      </c>
      <c r="V39" s="1">
        <v>115</v>
      </c>
      <c r="W39" s="1">
        <v>85</v>
      </c>
      <c r="X39" s="1">
        <v>100</v>
      </c>
      <c r="Y39" s="1">
        <v>120</v>
      </c>
      <c r="Z39" s="1">
        <v>105</v>
      </c>
      <c r="AA39" s="1">
        <v>0</v>
      </c>
      <c r="AB39" s="1">
        <v>15</v>
      </c>
      <c r="AC39" s="1">
        <v>40</v>
      </c>
      <c r="AD39" s="1">
        <v>0</v>
      </c>
      <c r="AE39" s="1">
        <v>130</v>
      </c>
      <c r="AF39" s="1">
        <v>100</v>
      </c>
      <c r="AG39" s="1">
        <v>102815</v>
      </c>
      <c r="AH39" s="1">
        <v>0</v>
      </c>
      <c r="AI39" s="1">
        <v>300104</v>
      </c>
      <c r="AJ39" s="1" t="s">
        <v>1173</v>
      </c>
      <c r="AK39" s="1" t="s">
        <v>329</v>
      </c>
      <c r="AL39" s="1">
        <v>13</v>
      </c>
      <c r="AM39" s="1" t="s">
        <v>4822</v>
      </c>
      <c r="AN39" s="1" t="s">
        <v>4870</v>
      </c>
      <c r="AO39" s="1" t="s">
        <v>4892</v>
      </c>
      <c r="AP39" s="1">
        <v>0</v>
      </c>
      <c r="AQ39" s="1" t="s">
        <v>1168</v>
      </c>
      <c r="AR39" s="1" t="s">
        <v>4895</v>
      </c>
      <c r="AS39" s="1" t="s">
        <v>4899</v>
      </c>
      <c r="AT39" s="1" t="s">
        <v>329</v>
      </c>
      <c r="AU39" s="1">
        <v>39</v>
      </c>
      <c r="AV39" s="1">
        <v>0</v>
      </c>
      <c r="AW39" s="1" t="s">
        <v>4552</v>
      </c>
      <c r="AX39" s="1" t="s">
        <v>4857</v>
      </c>
      <c r="AY39" s="1">
        <v>4</v>
      </c>
      <c r="AZ39" s="1">
        <v>0</v>
      </c>
      <c r="BA39" s="1" t="s">
        <v>4803</v>
      </c>
      <c r="BB39" s="1" t="s">
        <v>4900</v>
      </c>
      <c r="BC39" s="1" t="s">
        <v>4817</v>
      </c>
      <c r="BD39" s="1">
        <v>10302</v>
      </c>
      <c r="BE39" s="1"/>
    </row>
    <row r="40" spans="1:57" x14ac:dyDescent="0.25">
      <c r="A40" s="1">
        <v>40</v>
      </c>
      <c r="B40" s="1" t="s">
        <v>2865</v>
      </c>
      <c r="C40" s="9" t="s">
        <v>1640</v>
      </c>
      <c r="D40" s="1" t="s">
        <v>1640</v>
      </c>
      <c r="E40" s="1"/>
      <c r="F40" s="1"/>
      <c r="G40" s="1" t="s">
        <v>2866</v>
      </c>
      <c r="H40" s="1" t="s">
        <v>2867</v>
      </c>
      <c r="I40" s="1" t="s">
        <v>2868</v>
      </c>
      <c r="J40" s="1">
        <v>3</v>
      </c>
      <c r="K40" s="1">
        <v>2</v>
      </c>
      <c r="L40" s="1">
        <v>12600</v>
      </c>
      <c r="M40" s="1">
        <v>15</v>
      </c>
      <c r="N40" s="1">
        <v>30</v>
      </c>
      <c r="O40" s="1">
        <v>10</v>
      </c>
      <c r="P40" s="1">
        <v>15</v>
      </c>
      <c r="Q40" s="1">
        <v>5</v>
      </c>
      <c r="R40" s="1">
        <v>2</v>
      </c>
      <c r="S40" s="1">
        <v>5</v>
      </c>
      <c r="T40" s="1">
        <v>0</v>
      </c>
      <c r="U40" s="1">
        <v>95</v>
      </c>
      <c r="V40" s="1">
        <v>110</v>
      </c>
      <c r="W40" s="1">
        <v>105</v>
      </c>
      <c r="X40" s="1">
        <v>100</v>
      </c>
      <c r="Y40" s="1">
        <v>100</v>
      </c>
      <c r="Z40" s="1">
        <v>115</v>
      </c>
      <c r="AA40" s="1">
        <v>0</v>
      </c>
      <c r="AB40" s="1">
        <v>15</v>
      </c>
      <c r="AC40" s="1">
        <v>40</v>
      </c>
      <c r="AD40" s="1">
        <v>0</v>
      </c>
      <c r="AE40" s="1">
        <v>105</v>
      </c>
      <c r="AF40" s="1">
        <v>80</v>
      </c>
      <c r="AG40" s="1">
        <v>102604</v>
      </c>
      <c r="AH40" s="1">
        <v>0</v>
      </c>
      <c r="AI40" s="1">
        <v>300104</v>
      </c>
      <c r="AJ40" s="1" t="s">
        <v>1172</v>
      </c>
      <c r="AK40" s="1" t="s">
        <v>329</v>
      </c>
      <c r="AL40" s="1">
        <v>13</v>
      </c>
      <c r="AM40" s="1" t="s">
        <v>4822</v>
      </c>
      <c r="AN40" s="1" t="s">
        <v>476</v>
      </c>
      <c r="AO40" s="1" t="s">
        <v>339</v>
      </c>
      <c r="AP40" s="1">
        <v>0</v>
      </c>
      <c r="AQ40" s="1" t="s">
        <v>1168</v>
      </c>
      <c r="AR40" s="1" t="s">
        <v>1169</v>
      </c>
      <c r="AS40" s="1" t="s">
        <v>1170</v>
      </c>
      <c r="AT40" s="1" t="s">
        <v>329</v>
      </c>
      <c r="AU40" s="1">
        <v>40</v>
      </c>
      <c r="AV40" s="1">
        <v>0</v>
      </c>
      <c r="AW40" s="1" t="s">
        <v>4552</v>
      </c>
      <c r="AX40" s="1" t="s">
        <v>471</v>
      </c>
      <c r="AY40" s="1">
        <v>2</v>
      </c>
      <c r="AZ40" s="1">
        <v>0</v>
      </c>
      <c r="BA40" s="1" t="s">
        <v>329</v>
      </c>
      <c r="BB40" s="1" t="s">
        <v>372</v>
      </c>
      <c r="BC40" s="1" t="s">
        <v>4817</v>
      </c>
      <c r="BD40" s="1">
        <v>10303</v>
      </c>
      <c r="BE40" s="1"/>
    </row>
    <row r="41" spans="1:57" x14ac:dyDescent="0.25">
      <c r="A41" s="1">
        <v>41</v>
      </c>
      <c r="B41" s="1" t="s">
        <v>2869</v>
      </c>
      <c r="C41" s="9" t="s">
        <v>90</v>
      </c>
      <c r="D41" s="1" t="s">
        <v>90</v>
      </c>
      <c r="E41" s="1"/>
      <c r="F41" s="1"/>
      <c r="G41" s="1" t="s">
        <v>2870</v>
      </c>
      <c r="H41" s="1" t="s">
        <v>2871</v>
      </c>
      <c r="I41" s="1" t="s">
        <v>2872</v>
      </c>
      <c r="J41" s="1">
        <v>3</v>
      </c>
      <c r="K41" s="1">
        <v>2</v>
      </c>
      <c r="L41" s="1">
        <v>12600</v>
      </c>
      <c r="M41" s="1">
        <v>15</v>
      </c>
      <c r="N41" s="1">
        <v>30</v>
      </c>
      <c r="O41" s="1">
        <v>10</v>
      </c>
      <c r="P41" s="1">
        <v>15</v>
      </c>
      <c r="Q41" s="1">
        <v>5</v>
      </c>
      <c r="R41" s="1">
        <v>2</v>
      </c>
      <c r="S41" s="1">
        <v>5</v>
      </c>
      <c r="T41" s="1">
        <v>0</v>
      </c>
      <c r="U41" s="1">
        <v>105</v>
      </c>
      <c r="V41" s="1">
        <v>100</v>
      </c>
      <c r="W41" s="1">
        <v>105</v>
      </c>
      <c r="X41" s="1">
        <v>100</v>
      </c>
      <c r="Y41" s="1">
        <v>100</v>
      </c>
      <c r="Z41" s="1">
        <v>115</v>
      </c>
      <c r="AA41" s="1">
        <v>0</v>
      </c>
      <c r="AB41" s="1">
        <v>15</v>
      </c>
      <c r="AC41" s="1">
        <v>40</v>
      </c>
      <c r="AD41" s="1">
        <v>0</v>
      </c>
      <c r="AE41" s="1">
        <v>105</v>
      </c>
      <c r="AF41" s="1">
        <v>110</v>
      </c>
      <c r="AG41" s="1">
        <v>100401</v>
      </c>
      <c r="AH41" s="1">
        <v>0</v>
      </c>
      <c r="AI41" s="1">
        <v>300104</v>
      </c>
      <c r="AJ41" s="1" t="s">
        <v>1153</v>
      </c>
      <c r="AK41" s="1" t="s">
        <v>329</v>
      </c>
      <c r="AL41" s="1">
        <v>13</v>
      </c>
      <c r="AM41" s="1" t="s">
        <v>4822</v>
      </c>
      <c r="AN41" s="1" t="s">
        <v>465</v>
      </c>
      <c r="AO41" s="1" t="s">
        <v>339</v>
      </c>
      <c r="AP41" s="1">
        <v>0</v>
      </c>
      <c r="AQ41" s="1" t="s">
        <v>1168</v>
      </c>
      <c r="AR41" s="1" t="s">
        <v>1169</v>
      </c>
      <c r="AS41" s="1" t="s">
        <v>1170</v>
      </c>
      <c r="AT41" s="1" t="s">
        <v>329</v>
      </c>
      <c r="AU41" s="1">
        <v>41</v>
      </c>
      <c r="AV41" s="1">
        <v>0</v>
      </c>
      <c r="AW41" s="1" t="s">
        <v>4552</v>
      </c>
      <c r="AX41" s="1" t="s">
        <v>471</v>
      </c>
      <c r="AY41" s="1">
        <v>2</v>
      </c>
      <c r="AZ41" s="1">
        <v>0</v>
      </c>
      <c r="BA41" s="1" t="s">
        <v>329</v>
      </c>
      <c r="BB41" s="1" t="s">
        <v>4901</v>
      </c>
      <c r="BC41" s="1" t="s">
        <v>4817</v>
      </c>
      <c r="BD41" s="1">
        <v>10302</v>
      </c>
      <c r="BE41" s="1"/>
    </row>
    <row r="42" spans="1:57" x14ac:dyDescent="0.25">
      <c r="A42" s="1">
        <v>42</v>
      </c>
      <c r="B42" s="1" t="s">
        <v>2873</v>
      </c>
      <c r="C42" s="9" t="s">
        <v>91</v>
      </c>
      <c r="D42" s="1" t="s">
        <v>91</v>
      </c>
      <c r="E42" s="1"/>
      <c r="F42" s="1"/>
      <c r="G42" s="1" t="s">
        <v>2874</v>
      </c>
      <c r="H42" s="1" t="s">
        <v>2875</v>
      </c>
      <c r="I42" s="1" t="s">
        <v>2876</v>
      </c>
      <c r="J42" s="1">
        <v>3</v>
      </c>
      <c r="K42" s="1">
        <v>4</v>
      </c>
      <c r="L42" s="1">
        <v>16200</v>
      </c>
      <c r="M42" s="1">
        <v>15</v>
      </c>
      <c r="N42" s="1">
        <v>30</v>
      </c>
      <c r="O42" s="1">
        <v>10</v>
      </c>
      <c r="P42" s="1">
        <v>15</v>
      </c>
      <c r="Q42" s="1">
        <v>5</v>
      </c>
      <c r="R42" s="1">
        <v>2</v>
      </c>
      <c r="S42" s="1">
        <v>5</v>
      </c>
      <c r="T42" s="1">
        <v>0</v>
      </c>
      <c r="U42" s="1">
        <v>105</v>
      </c>
      <c r="V42" s="1">
        <v>140</v>
      </c>
      <c r="W42" s="1">
        <v>80</v>
      </c>
      <c r="X42" s="1">
        <v>100</v>
      </c>
      <c r="Y42" s="1">
        <v>105</v>
      </c>
      <c r="Z42" s="1">
        <v>80</v>
      </c>
      <c r="AA42" s="1">
        <v>0</v>
      </c>
      <c r="AB42" s="1">
        <v>15</v>
      </c>
      <c r="AC42" s="1">
        <v>40</v>
      </c>
      <c r="AD42" s="1">
        <v>0</v>
      </c>
      <c r="AE42" s="1">
        <v>130</v>
      </c>
      <c r="AF42" s="1">
        <v>160</v>
      </c>
      <c r="AG42" s="1">
        <v>102705</v>
      </c>
      <c r="AH42" s="1">
        <v>0</v>
      </c>
      <c r="AI42" s="1">
        <v>300104</v>
      </c>
      <c r="AJ42" s="1" t="s">
        <v>1174</v>
      </c>
      <c r="AK42" s="1" t="s">
        <v>329</v>
      </c>
      <c r="AL42" s="1">
        <v>13</v>
      </c>
      <c r="AM42" s="1" t="s">
        <v>4822</v>
      </c>
      <c r="AN42" s="1" t="s">
        <v>507</v>
      </c>
      <c r="AO42" s="1" t="s">
        <v>4892</v>
      </c>
      <c r="AP42" s="1">
        <v>0</v>
      </c>
      <c r="AQ42" s="1" t="s">
        <v>1168</v>
      </c>
      <c r="AR42" s="1" t="s">
        <v>1169</v>
      </c>
      <c r="AS42" s="1" t="s">
        <v>4899</v>
      </c>
      <c r="AT42" s="1" t="s">
        <v>329</v>
      </c>
      <c r="AU42" s="1">
        <v>42</v>
      </c>
      <c r="AV42" s="1">
        <v>0</v>
      </c>
      <c r="AW42" s="1" t="s">
        <v>4552</v>
      </c>
      <c r="AX42" s="1" t="s">
        <v>4857</v>
      </c>
      <c r="AY42" s="1">
        <v>4</v>
      </c>
      <c r="AZ42" s="1">
        <v>0</v>
      </c>
      <c r="BA42" s="1" t="s">
        <v>329</v>
      </c>
      <c r="BB42" s="1" t="s">
        <v>4806</v>
      </c>
      <c r="BC42" s="1" t="s">
        <v>4817</v>
      </c>
      <c r="BD42" s="1">
        <v>10302</v>
      </c>
      <c r="BE42" s="1"/>
    </row>
    <row r="43" spans="1:57" x14ac:dyDescent="0.25">
      <c r="A43" s="1">
        <v>43</v>
      </c>
      <c r="B43" s="1" t="s">
        <v>2877</v>
      </c>
      <c r="C43" s="9" t="s">
        <v>92</v>
      </c>
      <c r="D43" s="1" t="s">
        <v>92</v>
      </c>
      <c r="E43" s="1"/>
      <c r="F43" s="1"/>
      <c r="G43" s="1" t="s">
        <v>2878</v>
      </c>
      <c r="H43" s="1" t="s">
        <v>2879</v>
      </c>
      <c r="I43" s="1" t="s">
        <v>2880</v>
      </c>
      <c r="J43" s="1">
        <v>3</v>
      </c>
      <c r="K43" s="1">
        <v>4</v>
      </c>
      <c r="L43" s="1">
        <v>15300</v>
      </c>
      <c r="M43" s="1">
        <v>15</v>
      </c>
      <c r="N43" s="1">
        <v>30</v>
      </c>
      <c r="O43" s="1">
        <v>10</v>
      </c>
      <c r="P43" s="1">
        <v>15</v>
      </c>
      <c r="Q43" s="1">
        <v>5</v>
      </c>
      <c r="R43" s="1">
        <v>2</v>
      </c>
      <c r="S43" s="1">
        <v>5</v>
      </c>
      <c r="T43" s="1">
        <v>0</v>
      </c>
      <c r="U43" s="1">
        <v>90</v>
      </c>
      <c r="V43" s="1">
        <v>120</v>
      </c>
      <c r="W43" s="1">
        <v>110</v>
      </c>
      <c r="X43" s="1">
        <v>100</v>
      </c>
      <c r="Y43" s="1">
        <v>120</v>
      </c>
      <c r="Z43" s="1">
        <v>100</v>
      </c>
      <c r="AA43" s="1">
        <v>0</v>
      </c>
      <c r="AB43" s="1">
        <v>15</v>
      </c>
      <c r="AC43" s="1">
        <v>40</v>
      </c>
      <c r="AD43" s="1">
        <v>0</v>
      </c>
      <c r="AE43" s="1">
        <v>120</v>
      </c>
      <c r="AF43" s="1">
        <v>100</v>
      </c>
      <c r="AG43" s="1">
        <v>100403</v>
      </c>
      <c r="AH43" s="1">
        <v>0</v>
      </c>
      <c r="AI43" s="1">
        <v>300104</v>
      </c>
      <c r="AJ43" s="1" t="s">
        <v>329</v>
      </c>
      <c r="AK43" s="1" t="s">
        <v>329</v>
      </c>
      <c r="AL43" s="1">
        <v>13</v>
      </c>
      <c r="AM43" s="1" t="s">
        <v>4822</v>
      </c>
      <c r="AN43" s="1" t="s">
        <v>4894</v>
      </c>
      <c r="AO43" s="1" t="s">
        <v>4892</v>
      </c>
      <c r="AP43" s="1">
        <v>0</v>
      </c>
      <c r="AQ43" s="1" t="s">
        <v>1775</v>
      </c>
      <c r="AR43" s="1" t="s">
        <v>1169</v>
      </c>
      <c r="AS43" s="1" t="s">
        <v>1170</v>
      </c>
      <c r="AT43" s="1" t="s">
        <v>329</v>
      </c>
      <c r="AU43" s="1">
        <v>43</v>
      </c>
      <c r="AV43" s="1">
        <v>0</v>
      </c>
      <c r="AW43" s="1" t="s">
        <v>4902</v>
      </c>
      <c r="AX43" s="1" t="s">
        <v>332</v>
      </c>
      <c r="AY43" s="1">
        <v>4</v>
      </c>
      <c r="AZ43" s="1">
        <v>0</v>
      </c>
      <c r="BA43" s="1" t="s">
        <v>329</v>
      </c>
      <c r="BB43" s="1" t="s">
        <v>4903</v>
      </c>
      <c r="BC43" s="1" t="s">
        <v>4817</v>
      </c>
      <c r="BD43" s="1">
        <v>10402</v>
      </c>
      <c r="BE43" s="1"/>
    </row>
    <row r="44" spans="1:57" x14ac:dyDescent="0.25">
      <c r="A44" s="1">
        <v>44</v>
      </c>
      <c r="B44" s="1" t="s">
        <v>2881</v>
      </c>
      <c r="C44" s="9" t="s">
        <v>1641</v>
      </c>
      <c r="D44" s="1" t="s">
        <v>1641</v>
      </c>
      <c r="E44" s="1"/>
      <c r="F44" s="1"/>
      <c r="G44" s="1" t="s">
        <v>2882</v>
      </c>
      <c r="H44" s="1" t="s">
        <v>2883</v>
      </c>
      <c r="I44" s="1" t="s">
        <v>2884</v>
      </c>
      <c r="J44" s="1">
        <v>3</v>
      </c>
      <c r="K44" s="1">
        <v>3</v>
      </c>
      <c r="L44" s="1">
        <v>13200</v>
      </c>
      <c r="M44" s="1">
        <v>15</v>
      </c>
      <c r="N44" s="1">
        <v>30</v>
      </c>
      <c r="O44" s="1">
        <v>10</v>
      </c>
      <c r="P44" s="1">
        <v>15</v>
      </c>
      <c r="Q44" s="1">
        <v>5</v>
      </c>
      <c r="R44" s="1">
        <v>2</v>
      </c>
      <c r="S44" s="1">
        <v>5</v>
      </c>
      <c r="T44" s="1">
        <v>0</v>
      </c>
      <c r="U44" s="1">
        <v>95</v>
      </c>
      <c r="V44" s="1">
        <v>115</v>
      </c>
      <c r="W44" s="1">
        <v>110</v>
      </c>
      <c r="X44" s="1">
        <v>100</v>
      </c>
      <c r="Y44" s="1">
        <v>115</v>
      </c>
      <c r="Z44" s="1">
        <v>85</v>
      </c>
      <c r="AA44" s="1">
        <v>0</v>
      </c>
      <c r="AB44" s="1">
        <v>15</v>
      </c>
      <c r="AC44" s="1">
        <v>40</v>
      </c>
      <c r="AD44" s="1">
        <v>0</v>
      </c>
      <c r="AE44" s="1">
        <v>115</v>
      </c>
      <c r="AF44" s="1">
        <v>110</v>
      </c>
      <c r="AG44" s="1">
        <v>102706</v>
      </c>
      <c r="AH44" s="1">
        <v>0</v>
      </c>
      <c r="AI44" s="1">
        <v>300104</v>
      </c>
      <c r="AJ44" s="1" t="s">
        <v>1175</v>
      </c>
      <c r="AK44" s="1" t="s">
        <v>1176</v>
      </c>
      <c r="AL44" s="1">
        <v>13</v>
      </c>
      <c r="AM44" s="1" t="s">
        <v>4822</v>
      </c>
      <c r="AN44" s="1" t="s">
        <v>466</v>
      </c>
      <c r="AO44" s="1" t="s">
        <v>4886</v>
      </c>
      <c r="AP44" s="1">
        <v>0</v>
      </c>
      <c r="AQ44" s="1" t="s">
        <v>1168</v>
      </c>
      <c r="AR44" s="1" t="s">
        <v>1169</v>
      </c>
      <c r="AS44" s="1" t="s">
        <v>4899</v>
      </c>
      <c r="AT44" s="1" t="s">
        <v>329</v>
      </c>
      <c r="AU44" s="1">
        <v>44</v>
      </c>
      <c r="AV44" s="1">
        <v>0</v>
      </c>
      <c r="AW44" s="1" t="s">
        <v>4552</v>
      </c>
      <c r="AX44" s="1" t="s">
        <v>4857</v>
      </c>
      <c r="AY44" s="1">
        <v>3</v>
      </c>
      <c r="AZ44" s="1">
        <v>0</v>
      </c>
      <c r="BA44" s="1" t="s">
        <v>4825</v>
      </c>
      <c r="BB44" s="1" t="s">
        <v>4904</v>
      </c>
      <c r="BC44" s="1" t="s">
        <v>4817</v>
      </c>
      <c r="BD44" s="1">
        <v>10302</v>
      </c>
      <c r="BE44" s="1"/>
    </row>
    <row r="45" spans="1:57" x14ac:dyDescent="0.25">
      <c r="A45" s="1">
        <v>46</v>
      </c>
      <c r="B45" s="1" t="s">
        <v>2885</v>
      </c>
      <c r="C45" s="9" t="s">
        <v>93</v>
      </c>
      <c r="D45" s="1" t="s">
        <v>2886</v>
      </c>
      <c r="E45" s="1"/>
      <c r="F45" s="1"/>
      <c r="G45" s="1" t="s">
        <v>2887</v>
      </c>
      <c r="H45" s="1" t="s">
        <v>2888</v>
      </c>
      <c r="I45" s="1" t="s">
        <v>2889</v>
      </c>
      <c r="J45" s="1">
        <v>3</v>
      </c>
      <c r="K45" s="1">
        <v>5</v>
      </c>
      <c r="L45" s="1">
        <v>16800</v>
      </c>
      <c r="M45" s="1">
        <v>15</v>
      </c>
      <c r="N45" s="1">
        <v>30</v>
      </c>
      <c r="O45" s="1">
        <v>10</v>
      </c>
      <c r="P45" s="1">
        <v>15</v>
      </c>
      <c r="Q45" s="1">
        <v>5</v>
      </c>
      <c r="R45" s="1">
        <v>2</v>
      </c>
      <c r="S45" s="1">
        <v>5</v>
      </c>
      <c r="T45" s="1">
        <v>0</v>
      </c>
      <c r="U45" s="1">
        <v>95</v>
      </c>
      <c r="V45" s="1">
        <v>115</v>
      </c>
      <c r="W45" s="1">
        <v>95</v>
      </c>
      <c r="X45" s="1">
        <v>100</v>
      </c>
      <c r="Y45" s="1">
        <v>105</v>
      </c>
      <c r="Z45" s="1">
        <v>110</v>
      </c>
      <c r="AA45" s="1">
        <v>0</v>
      </c>
      <c r="AB45" s="1">
        <v>15</v>
      </c>
      <c r="AC45" s="1">
        <v>40</v>
      </c>
      <c r="AD45" s="1">
        <v>0</v>
      </c>
      <c r="AE45" s="1">
        <v>135</v>
      </c>
      <c r="AF45" s="1">
        <v>115</v>
      </c>
      <c r="AG45" s="1">
        <v>102905</v>
      </c>
      <c r="AH45" s="1">
        <v>0</v>
      </c>
      <c r="AI45" s="1">
        <v>300104</v>
      </c>
      <c r="AJ45" s="1" t="s">
        <v>1177</v>
      </c>
      <c r="AK45" s="1" t="s">
        <v>329</v>
      </c>
      <c r="AL45" s="1">
        <v>13</v>
      </c>
      <c r="AM45" s="1" t="s">
        <v>4822</v>
      </c>
      <c r="AN45" s="1" t="s">
        <v>4894</v>
      </c>
      <c r="AO45" s="1" t="s">
        <v>4905</v>
      </c>
      <c r="AP45" s="1">
        <v>0</v>
      </c>
      <c r="AQ45" s="1" t="s">
        <v>1168</v>
      </c>
      <c r="AR45" s="1" t="s">
        <v>4895</v>
      </c>
      <c r="AS45" s="1" t="s">
        <v>1170</v>
      </c>
      <c r="AT45" s="1" t="s">
        <v>329</v>
      </c>
      <c r="AU45" s="1">
        <v>46</v>
      </c>
      <c r="AV45" s="1">
        <v>0</v>
      </c>
      <c r="AW45" s="1" t="s">
        <v>4552</v>
      </c>
      <c r="AX45" s="1" t="s">
        <v>332</v>
      </c>
      <c r="AY45" s="1">
        <v>5</v>
      </c>
      <c r="AZ45" s="1">
        <v>0</v>
      </c>
      <c r="BA45" s="1" t="s">
        <v>329</v>
      </c>
      <c r="BB45" s="1" t="s">
        <v>4906</v>
      </c>
      <c r="BC45" s="1" t="s">
        <v>4829</v>
      </c>
      <c r="BD45" s="1">
        <v>10201</v>
      </c>
      <c r="BE45" s="1"/>
    </row>
    <row r="46" spans="1:57" x14ac:dyDescent="0.25">
      <c r="A46" s="1">
        <v>47</v>
      </c>
      <c r="B46" s="1" t="s">
        <v>2890</v>
      </c>
      <c r="C46" s="9" t="s">
        <v>94</v>
      </c>
      <c r="D46" s="1" t="s">
        <v>94</v>
      </c>
      <c r="E46" s="1"/>
      <c r="F46" s="1"/>
      <c r="G46" s="1" t="s">
        <v>2891</v>
      </c>
      <c r="H46" s="1" t="s">
        <v>2892</v>
      </c>
      <c r="I46" s="1" t="s">
        <v>2893</v>
      </c>
      <c r="J46" s="1">
        <v>3</v>
      </c>
      <c r="K46" s="1">
        <v>2</v>
      </c>
      <c r="L46" s="1">
        <v>11400</v>
      </c>
      <c r="M46" s="1">
        <v>15</v>
      </c>
      <c r="N46" s="1">
        <v>30</v>
      </c>
      <c r="O46" s="1">
        <v>10</v>
      </c>
      <c r="P46" s="1">
        <v>15</v>
      </c>
      <c r="Q46" s="1">
        <v>5</v>
      </c>
      <c r="R46" s="1">
        <v>2</v>
      </c>
      <c r="S46" s="1">
        <v>5</v>
      </c>
      <c r="T46" s="1">
        <v>0</v>
      </c>
      <c r="U46" s="1">
        <v>90</v>
      </c>
      <c r="V46" s="1">
        <v>105</v>
      </c>
      <c r="W46" s="1">
        <v>120</v>
      </c>
      <c r="X46" s="1">
        <v>100</v>
      </c>
      <c r="Y46" s="1">
        <v>90</v>
      </c>
      <c r="Z46" s="1">
        <v>85</v>
      </c>
      <c r="AA46" s="1">
        <v>0</v>
      </c>
      <c r="AB46" s="1">
        <v>15</v>
      </c>
      <c r="AC46" s="1">
        <v>40</v>
      </c>
      <c r="AD46" s="1">
        <v>0</v>
      </c>
      <c r="AE46" s="1">
        <v>115</v>
      </c>
      <c r="AF46" s="1">
        <v>85</v>
      </c>
      <c r="AG46" s="1">
        <v>100413</v>
      </c>
      <c r="AH46" s="1">
        <v>0</v>
      </c>
      <c r="AI46" s="1">
        <v>300104</v>
      </c>
      <c r="AJ46" s="1" t="s">
        <v>1153</v>
      </c>
      <c r="AK46" s="1" t="s">
        <v>329</v>
      </c>
      <c r="AL46" s="1">
        <v>13</v>
      </c>
      <c r="AM46" s="1" t="s">
        <v>4822</v>
      </c>
      <c r="AN46" s="1" t="s">
        <v>4894</v>
      </c>
      <c r="AO46" s="1" t="s">
        <v>339</v>
      </c>
      <c r="AP46" s="1">
        <v>0</v>
      </c>
      <c r="AQ46" s="1" t="s">
        <v>1168</v>
      </c>
      <c r="AR46" s="1" t="s">
        <v>1169</v>
      </c>
      <c r="AS46" s="1" t="s">
        <v>1170</v>
      </c>
      <c r="AT46" s="1" t="s">
        <v>329</v>
      </c>
      <c r="AU46" s="1">
        <v>47</v>
      </c>
      <c r="AV46" s="1">
        <v>0</v>
      </c>
      <c r="AW46" s="1" t="s">
        <v>4552</v>
      </c>
      <c r="AX46" s="1" t="s">
        <v>471</v>
      </c>
      <c r="AY46" s="1">
        <v>2</v>
      </c>
      <c r="AZ46" s="1">
        <v>0</v>
      </c>
      <c r="BA46" s="1" t="s">
        <v>329</v>
      </c>
      <c r="BB46" s="1" t="s">
        <v>4907</v>
      </c>
      <c r="BC46" s="1" t="s">
        <v>4829</v>
      </c>
      <c r="BD46" s="1">
        <v>10303</v>
      </c>
      <c r="BE46" s="1"/>
    </row>
    <row r="47" spans="1:57" x14ac:dyDescent="0.25">
      <c r="A47" s="1">
        <v>48</v>
      </c>
      <c r="B47" s="1" t="s">
        <v>2894</v>
      </c>
      <c r="C47" s="9" t="s">
        <v>95</v>
      </c>
      <c r="D47" s="1" t="s">
        <v>95</v>
      </c>
      <c r="E47" s="1"/>
      <c r="F47" s="1"/>
      <c r="G47" s="1" t="s">
        <v>2895</v>
      </c>
      <c r="H47" s="1" t="s">
        <v>2896</v>
      </c>
      <c r="I47" s="1" t="s">
        <v>2897</v>
      </c>
      <c r="J47" s="1">
        <v>3</v>
      </c>
      <c r="K47" s="1">
        <v>5</v>
      </c>
      <c r="L47" s="1">
        <v>17400</v>
      </c>
      <c r="M47" s="1">
        <v>15</v>
      </c>
      <c r="N47" s="1">
        <v>30</v>
      </c>
      <c r="O47" s="1">
        <v>10</v>
      </c>
      <c r="P47" s="1">
        <v>15</v>
      </c>
      <c r="Q47" s="1">
        <v>5</v>
      </c>
      <c r="R47" s="1">
        <v>2</v>
      </c>
      <c r="S47" s="1">
        <v>5</v>
      </c>
      <c r="T47" s="1">
        <v>0</v>
      </c>
      <c r="U47" s="1">
        <v>100</v>
      </c>
      <c r="V47" s="1">
        <v>120</v>
      </c>
      <c r="W47" s="1">
        <v>115</v>
      </c>
      <c r="X47" s="1">
        <v>100</v>
      </c>
      <c r="Y47" s="1">
        <v>125</v>
      </c>
      <c r="Z47" s="1">
        <v>90</v>
      </c>
      <c r="AA47" s="1">
        <v>0</v>
      </c>
      <c r="AB47" s="1">
        <v>15</v>
      </c>
      <c r="AC47" s="1">
        <v>40</v>
      </c>
      <c r="AD47" s="1">
        <v>0</v>
      </c>
      <c r="AE47" s="1">
        <v>120</v>
      </c>
      <c r="AF47" s="1">
        <v>130</v>
      </c>
      <c r="AG47" s="1">
        <v>100404</v>
      </c>
      <c r="AH47" s="1">
        <v>0</v>
      </c>
      <c r="AI47" s="1">
        <v>300104</v>
      </c>
      <c r="AJ47" s="1" t="s">
        <v>1178</v>
      </c>
      <c r="AK47" s="1" t="s">
        <v>329</v>
      </c>
      <c r="AL47" s="1">
        <v>13</v>
      </c>
      <c r="AM47" s="1" t="s">
        <v>4822</v>
      </c>
      <c r="AN47" s="1" t="s">
        <v>476</v>
      </c>
      <c r="AO47" s="1" t="s">
        <v>4905</v>
      </c>
      <c r="AP47" s="1">
        <v>0</v>
      </c>
      <c r="AQ47" s="1" t="s">
        <v>1168</v>
      </c>
      <c r="AR47" s="1" t="s">
        <v>4895</v>
      </c>
      <c r="AS47" s="1" t="s">
        <v>1170</v>
      </c>
      <c r="AT47" s="1" t="s">
        <v>329</v>
      </c>
      <c r="AU47" s="1">
        <v>48</v>
      </c>
      <c r="AV47" s="1">
        <v>0</v>
      </c>
      <c r="AW47" s="1" t="s">
        <v>4552</v>
      </c>
      <c r="AX47" s="1" t="s">
        <v>4857</v>
      </c>
      <c r="AY47" s="1">
        <v>5</v>
      </c>
      <c r="AZ47" s="1">
        <v>0</v>
      </c>
      <c r="BA47" s="1" t="s">
        <v>329</v>
      </c>
      <c r="BB47" s="1" t="s">
        <v>4850</v>
      </c>
      <c r="BC47" s="1" t="s">
        <v>4829</v>
      </c>
      <c r="BD47" s="1">
        <v>10201</v>
      </c>
      <c r="BE47" s="1"/>
    </row>
    <row r="48" spans="1:57" x14ac:dyDescent="0.25">
      <c r="A48" s="1">
        <v>49</v>
      </c>
      <c r="B48" s="1" t="s">
        <v>2898</v>
      </c>
      <c r="C48" s="9" t="s">
        <v>222</v>
      </c>
      <c r="D48" s="1" t="s">
        <v>2899</v>
      </c>
      <c r="E48" s="1"/>
      <c r="F48" s="1"/>
      <c r="G48" s="1" t="s">
        <v>2900</v>
      </c>
      <c r="H48" s="1" t="s">
        <v>2901</v>
      </c>
      <c r="I48" s="1" t="s">
        <v>2902</v>
      </c>
      <c r="J48" s="1">
        <v>3</v>
      </c>
      <c r="K48" s="1">
        <v>3</v>
      </c>
      <c r="L48" s="1">
        <v>13800</v>
      </c>
      <c r="M48" s="1">
        <v>15</v>
      </c>
      <c r="N48" s="1">
        <v>30</v>
      </c>
      <c r="O48" s="1">
        <v>10</v>
      </c>
      <c r="P48" s="1">
        <v>15</v>
      </c>
      <c r="Q48" s="1">
        <v>5</v>
      </c>
      <c r="R48" s="1">
        <v>2</v>
      </c>
      <c r="S48" s="1">
        <v>5</v>
      </c>
      <c r="T48" s="1">
        <v>0</v>
      </c>
      <c r="U48" s="1">
        <v>105</v>
      </c>
      <c r="V48" s="1">
        <v>100</v>
      </c>
      <c r="W48" s="1">
        <v>110</v>
      </c>
      <c r="X48" s="1">
        <v>100</v>
      </c>
      <c r="Y48" s="1">
        <v>105</v>
      </c>
      <c r="Z48" s="1">
        <v>115</v>
      </c>
      <c r="AA48" s="1">
        <v>0</v>
      </c>
      <c r="AB48" s="1">
        <v>15</v>
      </c>
      <c r="AC48" s="1">
        <v>40</v>
      </c>
      <c r="AD48" s="1">
        <v>0</v>
      </c>
      <c r="AE48" s="1">
        <v>110</v>
      </c>
      <c r="AF48" s="1">
        <v>100</v>
      </c>
      <c r="AG48" s="1">
        <v>100102</v>
      </c>
      <c r="AH48" s="1">
        <v>0</v>
      </c>
      <c r="AI48" s="1">
        <v>300104</v>
      </c>
      <c r="AJ48" s="1" t="s">
        <v>1179</v>
      </c>
      <c r="AK48" s="1" t="s">
        <v>329</v>
      </c>
      <c r="AL48" s="1">
        <v>13</v>
      </c>
      <c r="AM48" s="1" t="s">
        <v>4822</v>
      </c>
      <c r="AN48" s="1" t="s">
        <v>465</v>
      </c>
      <c r="AO48" s="1" t="s">
        <v>4886</v>
      </c>
      <c r="AP48" s="1">
        <v>0</v>
      </c>
      <c r="AQ48" s="1" t="s">
        <v>1775</v>
      </c>
      <c r="AR48" s="1" t="s">
        <v>1169</v>
      </c>
      <c r="AS48" s="1" t="s">
        <v>1170</v>
      </c>
      <c r="AT48" s="1" t="s">
        <v>329</v>
      </c>
      <c r="AU48" s="1">
        <v>49</v>
      </c>
      <c r="AV48" s="1">
        <v>0</v>
      </c>
      <c r="AW48" s="1" t="s">
        <v>4908</v>
      </c>
      <c r="AX48" s="1" t="s">
        <v>4909</v>
      </c>
      <c r="AY48" s="1">
        <v>3</v>
      </c>
      <c r="AZ48" s="1">
        <v>0</v>
      </c>
      <c r="BA48" s="1" t="s">
        <v>4825</v>
      </c>
      <c r="BB48" s="1" t="s">
        <v>4910</v>
      </c>
      <c r="BC48" s="1" t="s">
        <v>4843</v>
      </c>
      <c r="BD48" s="1">
        <v>10705</v>
      </c>
      <c r="BE48" s="1"/>
    </row>
    <row r="49" spans="1:57" x14ac:dyDescent="0.25">
      <c r="A49" s="1">
        <v>50</v>
      </c>
      <c r="B49" s="1" t="s">
        <v>2903</v>
      </c>
      <c r="C49" s="9" t="s">
        <v>96</v>
      </c>
      <c r="D49" s="1" t="s">
        <v>2904</v>
      </c>
      <c r="E49" s="1"/>
      <c r="F49" s="1"/>
      <c r="G49" s="1" t="s">
        <v>2905</v>
      </c>
      <c r="H49" s="1" t="s">
        <v>2906</v>
      </c>
      <c r="I49" s="1" t="s">
        <v>2907</v>
      </c>
      <c r="J49" s="1">
        <v>3</v>
      </c>
      <c r="K49" s="1">
        <v>5</v>
      </c>
      <c r="L49" s="1">
        <v>18000</v>
      </c>
      <c r="M49" s="1">
        <v>15</v>
      </c>
      <c r="N49" s="1">
        <v>30</v>
      </c>
      <c r="O49" s="1">
        <v>10</v>
      </c>
      <c r="P49" s="1">
        <v>15</v>
      </c>
      <c r="Q49" s="1">
        <v>5</v>
      </c>
      <c r="R49" s="1">
        <v>2</v>
      </c>
      <c r="S49" s="1">
        <v>5</v>
      </c>
      <c r="T49" s="1">
        <v>0</v>
      </c>
      <c r="U49" s="1">
        <v>90</v>
      </c>
      <c r="V49" s="1">
        <v>115</v>
      </c>
      <c r="W49" s="1">
        <v>100</v>
      </c>
      <c r="X49" s="1">
        <v>100</v>
      </c>
      <c r="Y49" s="1">
        <v>105</v>
      </c>
      <c r="Z49" s="1">
        <v>105</v>
      </c>
      <c r="AA49" s="1">
        <v>0</v>
      </c>
      <c r="AB49" s="1">
        <v>15</v>
      </c>
      <c r="AC49" s="1">
        <v>40</v>
      </c>
      <c r="AD49" s="1">
        <v>0</v>
      </c>
      <c r="AE49" s="1">
        <v>135</v>
      </c>
      <c r="AF49" s="1">
        <v>115</v>
      </c>
      <c r="AG49" s="1">
        <v>100104</v>
      </c>
      <c r="AH49" s="1">
        <v>0</v>
      </c>
      <c r="AI49" s="1">
        <v>300104</v>
      </c>
      <c r="AJ49" s="1" t="s">
        <v>329</v>
      </c>
      <c r="AK49" s="1" t="s">
        <v>329</v>
      </c>
      <c r="AL49" s="1">
        <v>13</v>
      </c>
      <c r="AM49" s="1" t="s">
        <v>4822</v>
      </c>
      <c r="AN49" s="1" t="s">
        <v>465</v>
      </c>
      <c r="AO49" s="1" t="s">
        <v>4905</v>
      </c>
      <c r="AP49" s="1">
        <v>0</v>
      </c>
      <c r="AQ49" s="1" t="s">
        <v>1168</v>
      </c>
      <c r="AR49" s="1" t="s">
        <v>4895</v>
      </c>
      <c r="AS49" s="1" t="s">
        <v>1170</v>
      </c>
      <c r="AT49" s="1" t="s">
        <v>329</v>
      </c>
      <c r="AU49" s="1">
        <v>50</v>
      </c>
      <c r="AV49" s="1">
        <v>0</v>
      </c>
      <c r="AW49" s="1" t="s">
        <v>4552</v>
      </c>
      <c r="AX49" s="1" t="s">
        <v>332</v>
      </c>
      <c r="AY49" s="1">
        <v>5</v>
      </c>
      <c r="AZ49" s="1">
        <v>0</v>
      </c>
      <c r="BA49" s="1" t="s">
        <v>329</v>
      </c>
      <c r="BB49" s="1" t="s">
        <v>4911</v>
      </c>
      <c r="BC49" s="1" t="s">
        <v>329</v>
      </c>
      <c r="BD49" s="1">
        <v>10201</v>
      </c>
      <c r="BE49" s="1"/>
    </row>
    <row r="50" spans="1:57" x14ac:dyDescent="0.25">
      <c r="A50" s="1">
        <v>51</v>
      </c>
      <c r="B50" s="1" t="s">
        <v>2908</v>
      </c>
      <c r="C50" s="9" t="s">
        <v>1180</v>
      </c>
      <c r="D50" s="1" t="s">
        <v>1180</v>
      </c>
      <c r="E50" s="1"/>
      <c r="F50" s="1"/>
      <c r="G50" s="1" t="s">
        <v>2909</v>
      </c>
      <c r="H50" s="1" t="s">
        <v>2910</v>
      </c>
      <c r="I50" s="1" t="s">
        <v>2911</v>
      </c>
      <c r="J50" s="1">
        <v>3</v>
      </c>
      <c r="K50" s="1">
        <v>2</v>
      </c>
      <c r="L50" s="1">
        <v>11400</v>
      </c>
      <c r="M50" s="1">
        <v>15</v>
      </c>
      <c r="N50" s="1">
        <v>30</v>
      </c>
      <c r="O50" s="1">
        <v>10</v>
      </c>
      <c r="P50" s="1">
        <v>15</v>
      </c>
      <c r="Q50" s="1">
        <v>5</v>
      </c>
      <c r="R50" s="1">
        <v>2</v>
      </c>
      <c r="S50" s="1">
        <v>5</v>
      </c>
      <c r="T50" s="1">
        <v>0</v>
      </c>
      <c r="U50" s="1">
        <v>105</v>
      </c>
      <c r="V50" s="1">
        <v>105</v>
      </c>
      <c r="W50" s="1">
        <v>95</v>
      </c>
      <c r="X50" s="1">
        <v>100</v>
      </c>
      <c r="Y50" s="1">
        <v>95</v>
      </c>
      <c r="Z50" s="1">
        <v>100</v>
      </c>
      <c r="AA50" s="1">
        <v>0</v>
      </c>
      <c r="AB50" s="1">
        <v>15</v>
      </c>
      <c r="AC50" s="1">
        <v>40</v>
      </c>
      <c r="AD50" s="1">
        <v>0</v>
      </c>
      <c r="AE50" s="1">
        <v>115</v>
      </c>
      <c r="AF50" s="1">
        <v>105</v>
      </c>
      <c r="AG50" s="1">
        <v>100101</v>
      </c>
      <c r="AH50" s="1">
        <v>0</v>
      </c>
      <c r="AI50" s="1">
        <v>300104</v>
      </c>
      <c r="AJ50" s="1" t="s">
        <v>1153</v>
      </c>
      <c r="AK50" s="1" t="s">
        <v>329</v>
      </c>
      <c r="AL50" s="1">
        <v>13</v>
      </c>
      <c r="AM50" s="1" t="s">
        <v>4822</v>
      </c>
      <c r="AN50" s="1" t="s">
        <v>4894</v>
      </c>
      <c r="AO50" s="1" t="s">
        <v>339</v>
      </c>
      <c r="AP50" s="1">
        <v>0</v>
      </c>
      <c r="AQ50" s="1" t="s">
        <v>1168</v>
      </c>
      <c r="AR50" s="1" t="s">
        <v>4895</v>
      </c>
      <c r="AS50" s="1" t="s">
        <v>1170</v>
      </c>
      <c r="AT50" s="1" t="s">
        <v>329</v>
      </c>
      <c r="AU50" s="1">
        <v>51</v>
      </c>
      <c r="AV50" s="1">
        <v>0</v>
      </c>
      <c r="AW50" s="1" t="s">
        <v>4552</v>
      </c>
      <c r="AX50" s="1" t="s">
        <v>471</v>
      </c>
      <c r="AY50" s="1">
        <v>2</v>
      </c>
      <c r="AZ50" s="1">
        <v>0</v>
      </c>
      <c r="BA50" s="1" t="s">
        <v>4805</v>
      </c>
      <c r="BB50" s="1" t="s">
        <v>4912</v>
      </c>
      <c r="BC50" s="1" t="s">
        <v>4913</v>
      </c>
      <c r="BD50" s="1">
        <v>10202</v>
      </c>
      <c r="BE50" s="1"/>
    </row>
    <row r="51" spans="1:57" x14ac:dyDescent="0.25">
      <c r="A51" s="1">
        <v>52</v>
      </c>
      <c r="B51" s="1" t="s">
        <v>2912</v>
      </c>
      <c r="C51" s="9" t="s">
        <v>97</v>
      </c>
      <c r="D51" s="1" t="s">
        <v>2913</v>
      </c>
      <c r="E51" s="1"/>
      <c r="F51" s="1"/>
      <c r="G51" s="1" t="s">
        <v>2914</v>
      </c>
      <c r="H51" s="1" t="s">
        <v>2915</v>
      </c>
      <c r="I51" s="1" t="s">
        <v>2916</v>
      </c>
      <c r="J51" s="1">
        <v>3</v>
      </c>
      <c r="K51" s="1">
        <v>2</v>
      </c>
      <c r="L51" s="1">
        <v>12000</v>
      </c>
      <c r="M51" s="1">
        <v>15</v>
      </c>
      <c r="N51" s="1">
        <v>30</v>
      </c>
      <c r="O51" s="1">
        <v>10</v>
      </c>
      <c r="P51" s="1">
        <v>15</v>
      </c>
      <c r="Q51" s="1">
        <v>5</v>
      </c>
      <c r="R51" s="1">
        <v>2</v>
      </c>
      <c r="S51" s="1">
        <v>5</v>
      </c>
      <c r="T51" s="1">
        <v>0</v>
      </c>
      <c r="U51" s="1">
        <v>110</v>
      </c>
      <c r="V51" s="1">
        <v>110</v>
      </c>
      <c r="W51" s="1">
        <v>120</v>
      </c>
      <c r="X51" s="1">
        <v>100</v>
      </c>
      <c r="Y51" s="1">
        <v>95</v>
      </c>
      <c r="Z51" s="1">
        <v>90</v>
      </c>
      <c r="AA51" s="1">
        <v>0</v>
      </c>
      <c r="AB51" s="1">
        <v>15</v>
      </c>
      <c r="AC51" s="1">
        <v>40</v>
      </c>
      <c r="AD51" s="1">
        <v>0</v>
      </c>
      <c r="AE51" s="1">
        <v>95</v>
      </c>
      <c r="AF51" s="1">
        <v>100</v>
      </c>
      <c r="AG51" s="1">
        <v>100401</v>
      </c>
      <c r="AH51" s="1">
        <v>0</v>
      </c>
      <c r="AI51" s="1">
        <v>300104</v>
      </c>
      <c r="AJ51" s="1" t="s">
        <v>1153</v>
      </c>
      <c r="AK51" s="1" t="s">
        <v>329</v>
      </c>
      <c r="AL51" s="1">
        <v>13</v>
      </c>
      <c r="AM51" s="1" t="s">
        <v>4822</v>
      </c>
      <c r="AN51" s="1" t="s">
        <v>476</v>
      </c>
      <c r="AO51" s="1" t="s">
        <v>339</v>
      </c>
      <c r="AP51" s="1">
        <v>0</v>
      </c>
      <c r="AQ51" s="1" t="s">
        <v>1168</v>
      </c>
      <c r="AR51" s="1" t="s">
        <v>4895</v>
      </c>
      <c r="AS51" s="1" t="s">
        <v>1170</v>
      </c>
      <c r="AT51" s="1" t="s">
        <v>329</v>
      </c>
      <c r="AU51" s="1">
        <v>52</v>
      </c>
      <c r="AV51" s="1">
        <v>0</v>
      </c>
      <c r="AW51" s="1" t="s">
        <v>4552</v>
      </c>
      <c r="AX51" s="1" t="s">
        <v>471</v>
      </c>
      <c r="AY51" s="1">
        <v>2</v>
      </c>
      <c r="AZ51" s="1">
        <v>0</v>
      </c>
      <c r="BA51" s="1" t="s">
        <v>329</v>
      </c>
      <c r="BB51" s="1" t="s">
        <v>4914</v>
      </c>
      <c r="BC51" s="1" t="s">
        <v>4799</v>
      </c>
      <c r="BD51" s="1">
        <v>10302</v>
      </c>
      <c r="BE51" s="1"/>
    </row>
    <row r="52" spans="1:57" x14ac:dyDescent="0.25">
      <c r="A52" s="1">
        <v>53</v>
      </c>
      <c r="B52" s="1" t="s">
        <v>2917</v>
      </c>
      <c r="C52" s="9" t="s">
        <v>1642</v>
      </c>
      <c r="D52" s="1" t="s">
        <v>1642</v>
      </c>
      <c r="E52" s="1"/>
      <c r="F52" s="1"/>
      <c r="G52" s="1" t="s">
        <v>2918</v>
      </c>
      <c r="H52" s="1" t="s">
        <v>2919</v>
      </c>
      <c r="I52" s="1" t="s">
        <v>2920</v>
      </c>
      <c r="J52" s="1">
        <v>3</v>
      </c>
      <c r="K52" s="1">
        <v>5</v>
      </c>
      <c r="L52" s="1">
        <v>17100</v>
      </c>
      <c r="M52" s="1">
        <v>15</v>
      </c>
      <c r="N52" s="1">
        <v>30</v>
      </c>
      <c r="O52" s="1">
        <v>10</v>
      </c>
      <c r="P52" s="1">
        <v>15</v>
      </c>
      <c r="Q52" s="1">
        <v>5</v>
      </c>
      <c r="R52" s="1">
        <v>2</v>
      </c>
      <c r="S52" s="1">
        <v>5</v>
      </c>
      <c r="T52" s="1">
        <v>0</v>
      </c>
      <c r="U52" s="1">
        <v>105</v>
      </c>
      <c r="V52" s="1">
        <v>145</v>
      </c>
      <c r="W52" s="1">
        <v>85</v>
      </c>
      <c r="X52" s="1">
        <v>100</v>
      </c>
      <c r="Y52" s="1">
        <v>105</v>
      </c>
      <c r="Z52" s="1">
        <v>80</v>
      </c>
      <c r="AA52" s="1">
        <v>0</v>
      </c>
      <c r="AB52" s="1">
        <v>15</v>
      </c>
      <c r="AC52" s="1">
        <v>40</v>
      </c>
      <c r="AD52" s="1">
        <v>0</v>
      </c>
      <c r="AE52" s="1">
        <v>130</v>
      </c>
      <c r="AF52" s="1">
        <v>160</v>
      </c>
      <c r="AG52" s="1">
        <v>102707</v>
      </c>
      <c r="AH52" s="1">
        <v>0</v>
      </c>
      <c r="AI52" s="1">
        <v>300104</v>
      </c>
      <c r="AJ52" s="1" t="s">
        <v>1174</v>
      </c>
      <c r="AK52" s="1" t="s">
        <v>329</v>
      </c>
      <c r="AL52" s="1">
        <v>13</v>
      </c>
      <c r="AM52" s="1" t="s">
        <v>4822</v>
      </c>
      <c r="AN52" s="1" t="s">
        <v>476</v>
      </c>
      <c r="AO52" s="1" t="s">
        <v>4905</v>
      </c>
      <c r="AP52" s="1">
        <v>0</v>
      </c>
      <c r="AQ52" s="1" t="s">
        <v>1775</v>
      </c>
      <c r="AR52" s="1" t="s">
        <v>1169</v>
      </c>
      <c r="AS52" s="1" t="s">
        <v>1170</v>
      </c>
      <c r="AT52" s="1" t="s">
        <v>329</v>
      </c>
      <c r="AU52" s="1">
        <v>53</v>
      </c>
      <c r="AV52" s="1">
        <v>0</v>
      </c>
      <c r="AW52" s="1" t="s">
        <v>4552</v>
      </c>
      <c r="AX52" s="1" t="s">
        <v>4551</v>
      </c>
      <c r="AY52" s="1">
        <v>5</v>
      </c>
      <c r="AZ52" s="1">
        <v>0</v>
      </c>
      <c r="BA52" s="1" t="s">
        <v>4915</v>
      </c>
      <c r="BB52" s="1" t="s">
        <v>4916</v>
      </c>
      <c r="BC52" s="1" t="s">
        <v>329</v>
      </c>
      <c r="BD52" s="1">
        <v>104</v>
      </c>
      <c r="BE52" s="1"/>
    </row>
    <row r="53" spans="1:57" x14ac:dyDescent="0.25">
      <c r="A53" s="1">
        <v>54</v>
      </c>
      <c r="B53" s="1" t="s">
        <v>2921</v>
      </c>
      <c r="C53" s="9" t="s">
        <v>98</v>
      </c>
      <c r="D53" s="1" t="s">
        <v>98</v>
      </c>
      <c r="E53" s="1"/>
      <c r="F53" s="1"/>
      <c r="G53" s="1" t="s">
        <v>2922</v>
      </c>
      <c r="H53" s="1" t="s">
        <v>2923</v>
      </c>
      <c r="I53" s="1" t="s">
        <v>2924</v>
      </c>
      <c r="J53" s="1">
        <v>4</v>
      </c>
      <c r="K53" s="1">
        <v>4</v>
      </c>
      <c r="L53" s="1">
        <v>12900</v>
      </c>
      <c r="M53" s="1">
        <v>20</v>
      </c>
      <c r="N53" s="1">
        <v>20</v>
      </c>
      <c r="O53" s="1">
        <v>10</v>
      </c>
      <c r="P53" s="1">
        <v>10</v>
      </c>
      <c r="Q53" s="1">
        <v>2</v>
      </c>
      <c r="R53" s="1">
        <v>5</v>
      </c>
      <c r="S53" s="1">
        <v>5</v>
      </c>
      <c r="T53" s="1">
        <v>0</v>
      </c>
      <c r="U53" s="1">
        <v>110</v>
      </c>
      <c r="V53" s="1">
        <v>110</v>
      </c>
      <c r="W53" s="1">
        <v>115</v>
      </c>
      <c r="X53" s="1">
        <v>100</v>
      </c>
      <c r="Y53" s="1">
        <v>120</v>
      </c>
      <c r="Z53" s="1">
        <v>115</v>
      </c>
      <c r="AA53" s="1">
        <v>0</v>
      </c>
      <c r="AB53" s="1">
        <v>15</v>
      </c>
      <c r="AC53" s="1">
        <v>20</v>
      </c>
      <c r="AD53" s="1">
        <v>0</v>
      </c>
      <c r="AE53" s="1">
        <v>110</v>
      </c>
      <c r="AF53" s="1">
        <v>125</v>
      </c>
      <c r="AG53" s="1">
        <v>102203</v>
      </c>
      <c r="AH53" s="1">
        <v>0</v>
      </c>
      <c r="AI53" s="1">
        <v>300103</v>
      </c>
      <c r="AJ53" s="1" t="s">
        <v>1181</v>
      </c>
      <c r="AK53" s="1" t="s">
        <v>329</v>
      </c>
      <c r="AL53" s="1">
        <v>13</v>
      </c>
      <c r="AM53" s="1" t="s">
        <v>4779</v>
      </c>
      <c r="AN53" s="1" t="s">
        <v>4807</v>
      </c>
      <c r="AO53" s="1" t="s">
        <v>4859</v>
      </c>
      <c r="AP53" s="1">
        <v>0</v>
      </c>
      <c r="AQ53" s="1" t="s">
        <v>1182</v>
      </c>
      <c r="AR53" s="1" t="s">
        <v>4917</v>
      </c>
      <c r="AS53" s="1" t="s">
        <v>4917</v>
      </c>
      <c r="AT53" s="1" t="s">
        <v>329</v>
      </c>
      <c r="AU53" s="1">
        <v>54</v>
      </c>
      <c r="AV53" s="1">
        <v>0</v>
      </c>
      <c r="AW53" s="1" t="s">
        <v>4552</v>
      </c>
      <c r="AX53" s="1" t="s">
        <v>4918</v>
      </c>
      <c r="AY53" s="1">
        <v>4</v>
      </c>
      <c r="AZ53" s="1">
        <v>0</v>
      </c>
      <c r="BA53" s="1" t="s">
        <v>329</v>
      </c>
      <c r="BB53" s="1" t="s">
        <v>4919</v>
      </c>
      <c r="BC53" s="1" t="s">
        <v>4920</v>
      </c>
      <c r="BD53" s="1">
        <v>106</v>
      </c>
      <c r="BE53" s="1"/>
    </row>
    <row r="54" spans="1:57" x14ac:dyDescent="0.25">
      <c r="A54" s="1">
        <v>55</v>
      </c>
      <c r="B54" s="1" t="s">
        <v>2925</v>
      </c>
      <c r="C54" s="9" t="s">
        <v>22</v>
      </c>
      <c r="D54" s="1" t="s">
        <v>22</v>
      </c>
      <c r="E54" s="1"/>
      <c r="F54" s="1"/>
      <c r="G54" s="1" t="s">
        <v>2926</v>
      </c>
      <c r="H54" s="1" t="s">
        <v>2927</v>
      </c>
      <c r="I54" s="1" t="s">
        <v>2928</v>
      </c>
      <c r="J54" s="1">
        <v>4</v>
      </c>
      <c r="K54" s="1">
        <v>4</v>
      </c>
      <c r="L54" s="1">
        <v>12900</v>
      </c>
      <c r="M54" s="1">
        <v>20</v>
      </c>
      <c r="N54" s="1">
        <v>20</v>
      </c>
      <c r="O54" s="1">
        <v>10</v>
      </c>
      <c r="P54" s="1">
        <v>10</v>
      </c>
      <c r="Q54" s="1">
        <v>2</v>
      </c>
      <c r="R54" s="1">
        <v>5</v>
      </c>
      <c r="S54" s="1">
        <v>5</v>
      </c>
      <c r="T54" s="1">
        <v>0</v>
      </c>
      <c r="U54" s="1">
        <v>100</v>
      </c>
      <c r="V54" s="1">
        <v>105</v>
      </c>
      <c r="W54" s="1">
        <v>120</v>
      </c>
      <c r="X54" s="1">
        <v>100</v>
      </c>
      <c r="Y54" s="1">
        <v>120</v>
      </c>
      <c r="Z54" s="1">
        <v>120</v>
      </c>
      <c r="AA54" s="1">
        <v>0</v>
      </c>
      <c r="AB54" s="1">
        <v>15</v>
      </c>
      <c r="AC54" s="1">
        <v>20</v>
      </c>
      <c r="AD54" s="1">
        <v>0</v>
      </c>
      <c r="AE54" s="1">
        <v>115</v>
      </c>
      <c r="AF54" s="1">
        <v>115</v>
      </c>
      <c r="AG54" s="1">
        <v>100107</v>
      </c>
      <c r="AH54" s="1">
        <v>0</v>
      </c>
      <c r="AI54" s="1">
        <v>300103</v>
      </c>
      <c r="AJ54" s="1" t="s">
        <v>1183</v>
      </c>
      <c r="AK54" s="1" t="s">
        <v>329</v>
      </c>
      <c r="AL54" s="1">
        <v>13</v>
      </c>
      <c r="AM54" s="1" t="s">
        <v>4850</v>
      </c>
      <c r="AN54" s="1" t="s">
        <v>4921</v>
      </c>
      <c r="AO54" s="1" t="s">
        <v>4922</v>
      </c>
      <c r="AP54" s="1">
        <v>0</v>
      </c>
      <c r="AQ54" s="1" t="s">
        <v>1158</v>
      </c>
      <c r="AR54" s="1" t="s">
        <v>1182</v>
      </c>
      <c r="AS54" s="1" t="s">
        <v>1773</v>
      </c>
      <c r="AT54" s="1" t="s">
        <v>329</v>
      </c>
      <c r="AU54" s="1">
        <v>55</v>
      </c>
      <c r="AV54" s="1">
        <v>0</v>
      </c>
      <c r="AW54" s="1" t="s">
        <v>4552</v>
      </c>
      <c r="AX54" s="1" t="s">
        <v>4918</v>
      </c>
      <c r="AY54" s="1">
        <v>4</v>
      </c>
      <c r="AZ54" s="1">
        <v>0</v>
      </c>
      <c r="BA54" s="1" t="s">
        <v>4803</v>
      </c>
      <c r="BB54" s="1" t="s">
        <v>4923</v>
      </c>
      <c r="BC54" s="1" t="s">
        <v>4920</v>
      </c>
      <c r="BD54" s="1">
        <v>10601</v>
      </c>
      <c r="BE54" s="1"/>
    </row>
    <row r="55" spans="1:57" x14ac:dyDescent="0.25">
      <c r="A55" s="1">
        <v>56</v>
      </c>
      <c r="B55" s="1" t="s">
        <v>2929</v>
      </c>
      <c r="C55" s="9" t="s">
        <v>99</v>
      </c>
      <c r="D55" s="1" t="s">
        <v>99</v>
      </c>
      <c r="E55" s="1"/>
      <c r="F55" s="1"/>
      <c r="G55" s="1" t="s">
        <v>2930</v>
      </c>
      <c r="H55" s="1" t="s">
        <v>2931</v>
      </c>
      <c r="I55" s="1" t="s">
        <v>2932</v>
      </c>
      <c r="J55" s="1">
        <v>4</v>
      </c>
      <c r="K55" s="1">
        <v>4</v>
      </c>
      <c r="L55" s="1">
        <v>12900</v>
      </c>
      <c r="M55" s="1">
        <v>20</v>
      </c>
      <c r="N55" s="1">
        <v>20</v>
      </c>
      <c r="O55" s="1">
        <v>10</v>
      </c>
      <c r="P55" s="1">
        <v>10</v>
      </c>
      <c r="Q55" s="1">
        <v>2</v>
      </c>
      <c r="R55" s="1">
        <v>5</v>
      </c>
      <c r="S55" s="1">
        <v>5</v>
      </c>
      <c r="T55" s="1">
        <v>0</v>
      </c>
      <c r="U55" s="1">
        <v>100</v>
      </c>
      <c r="V55" s="1">
        <v>115</v>
      </c>
      <c r="W55" s="1">
        <v>120</v>
      </c>
      <c r="X55" s="1">
        <v>100</v>
      </c>
      <c r="Y55" s="1">
        <v>125</v>
      </c>
      <c r="Z55" s="1">
        <v>115</v>
      </c>
      <c r="AA55" s="1">
        <v>0</v>
      </c>
      <c r="AB55" s="1">
        <v>15</v>
      </c>
      <c r="AC55" s="1">
        <v>20</v>
      </c>
      <c r="AD55" s="1">
        <v>0</v>
      </c>
      <c r="AE55" s="1">
        <v>110</v>
      </c>
      <c r="AF55" s="1">
        <v>115</v>
      </c>
      <c r="AG55" s="1">
        <v>102113</v>
      </c>
      <c r="AH55" s="1">
        <v>0</v>
      </c>
      <c r="AI55" s="1">
        <v>300103</v>
      </c>
      <c r="AJ55" s="1" t="s">
        <v>1184</v>
      </c>
      <c r="AK55" s="1" t="s">
        <v>329</v>
      </c>
      <c r="AL55" s="1">
        <v>13</v>
      </c>
      <c r="AM55" s="1" t="s">
        <v>4779</v>
      </c>
      <c r="AN55" s="1" t="s">
        <v>4924</v>
      </c>
      <c r="AO55" s="1" t="s">
        <v>4925</v>
      </c>
      <c r="AP55" s="1">
        <v>0</v>
      </c>
      <c r="AQ55" s="1" t="s">
        <v>4926</v>
      </c>
      <c r="AR55" s="1" t="s">
        <v>4926</v>
      </c>
      <c r="AS55" s="1" t="s">
        <v>1182</v>
      </c>
      <c r="AT55" s="1" t="s">
        <v>329</v>
      </c>
      <c r="AU55" s="1">
        <v>56</v>
      </c>
      <c r="AV55" s="1">
        <v>0</v>
      </c>
      <c r="AW55" s="1" t="s">
        <v>4552</v>
      </c>
      <c r="AX55" s="1" t="s">
        <v>4918</v>
      </c>
      <c r="AY55" s="1">
        <v>4</v>
      </c>
      <c r="AZ55" s="1">
        <v>0</v>
      </c>
      <c r="BA55" s="1" t="s">
        <v>4803</v>
      </c>
      <c r="BB55" s="1" t="s">
        <v>475</v>
      </c>
      <c r="BC55" s="1" t="s">
        <v>4920</v>
      </c>
      <c r="BD55" s="1">
        <v>10601</v>
      </c>
      <c r="BE55" s="1"/>
    </row>
    <row r="56" spans="1:57" x14ac:dyDescent="0.25">
      <c r="A56" s="1">
        <v>57</v>
      </c>
      <c r="B56" s="1" t="s">
        <v>2933</v>
      </c>
      <c r="C56" s="9" t="s">
        <v>1643</v>
      </c>
      <c r="D56" s="1" t="s">
        <v>2934</v>
      </c>
      <c r="E56" s="1"/>
      <c r="F56" s="1"/>
      <c r="G56" s="1" t="s">
        <v>2935</v>
      </c>
      <c r="H56" s="1" t="s">
        <v>2936</v>
      </c>
      <c r="I56" s="1" t="s">
        <v>2937</v>
      </c>
      <c r="J56" s="1">
        <v>4</v>
      </c>
      <c r="K56" s="1">
        <v>4</v>
      </c>
      <c r="L56" s="1">
        <v>12900</v>
      </c>
      <c r="M56" s="1">
        <v>20</v>
      </c>
      <c r="N56" s="1">
        <v>20</v>
      </c>
      <c r="O56" s="1">
        <v>10</v>
      </c>
      <c r="P56" s="1">
        <v>10</v>
      </c>
      <c r="Q56" s="1">
        <v>2</v>
      </c>
      <c r="R56" s="1">
        <v>5</v>
      </c>
      <c r="S56" s="1">
        <v>5</v>
      </c>
      <c r="T56" s="1">
        <v>0</v>
      </c>
      <c r="U56" s="1">
        <v>95</v>
      </c>
      <c r="V56" s="1">
        <v>105</v>
      </c>
      <c r="W56" s="1">
        <v>115</v>
      </c>
      <c r="X56" s="1">
        <v>100</v>
      </c>
      <c r="Y56" s="1">
        <v>120</v>
      </c>
      <c r="Z56" s="1">
        <v>120</v>
      </c>
      <c r="AA56" s="1">
        <v>0</v>
      </c>
      <c r="AB56" s="1">
        <v>15</v>
      </c>
      <c r="AC56" s="1">
        <v>20</v>
      </c>
      <c r="AD56" s="1">
        <v>0</v>
      </c>
      <c r="AE56" s="1">
        <v>120</v>
      </c>
      <c r="AF56" s="1">
        <v>125</v>
      </c>
      <c r="AG56" s="1">
        <v>100407</v>
      </c>
      <c r="AH56" s="1">
        <v>0</v>
      </c>
      <c r="AI56" s="1">
        <v>300103</v>
      </c>
      <c r="AJ56" s="1" t="s">
        <v>1185</v>
      </c>
      <c r="AK56" s="1" t="s">
        <v>329</v>
      </c>
      <c r="AL56" s="1">
        <v>13</v>
      </c>
      <c r="AM56" s="1" t="s">
        <v>4779</v>
      </c>
      <c r="AN56" s="1" t="s">
        <v>4924</v>
      </c>
      <c r="AO56" s="1" t="s">
        <v>4927</v>
      </c>
      <c r="AP56" s="1">
        <v>0</v>
      </c>
      <c r="AQ56" s="1" t="s">
        <v>4926</v>
      </c>
      <c r="AR56" s="1" t="s">
        <v>4926</v>
      </c>
      <c r="AS56" s="1" t="s">
        <v>4928</v>
      </c>
      <c r="AT56" s="1" t="s">
        <v>329</v>
      </c>
      <c r="AU56" s="1">
        <v>57</v>
      </c>
      <c r="AV56" s="1">
        <v>0</v>
      </c>
      <c r="AW56" s="1" t="s">
        <v>4552</v>
      </c>
      <c r="AX56" s="1" t="s">
        <v>4918</v>
      </c>
      <c r="AY56" s="1">
        <v>4</v>
      </c>
      <c r="AZ56" s="1">
        <v>0</v>
      </c>
      <c r="BA56" s="1" t="s">
        <v>4803</v>
      </c>
      <c r="BB56" s="1" t="s">
        <v>4929</v>
      </c>
      <c r="BC56" s="1" t="s">
        <v>4920</v>
      </c>
      <c r="BD56" s="1">
        <v>10601</v>
      </c>
      <c r="BE56" s="1"/>
    </row>
    <row r="57" spans="1:57" x14ac:dyDescent="0.25">
      <c r="A57" s="1">
        <v>58</v>
      </c>
      <c r="B57" s="1" t="s">
        <v>2938</v>
      </c>
      <c r="C57" s="9" t="s">
        <v>1644</v>
      </c>
      <c r="D57" s="1" t="s">
        <v>1644</v>
      </c>
      <c r="E57" s="1"/>
      <c r="F57" s="1"/>
      <c r="G57" s="1" t="s">
        <v>2939</v>
      </c>
      <c r="H57" s="1" t="s">
        <v>2940</v>
      </c>
      <c r="I57" s="1" t="s">
        <v>2941</v>
      </c>
      <c r="J57" s="1">
        <v>4</v>
      </c>
      <c r="K57" s="1">
        <v>3</v>
      </c>
      <c r="L57" s="1">
        <v>12000</v>
      </c>
      <c r="M57" s="1">
        <v>20</v>
      </c>
      <c r="N57" s="1">
        <v>20</v>
      </c>
      <c r="O57" s="1">
        <v>10</v>
      </c>
      <c r="P57" s="1">
        <v>10</v>
      </c>
      <c r="Q57" s="1">
        <v>2</v>
      </c>
      <c r="R57" s="1">
        <v>5</v>
      </c>
      <c r="S57" s="1">
        <v>5</v>
      </c>
      <c r="T57" s="1">
        <v>0</v>
      </c>
      <c r="U57" s="1">
        <v>120</v>
      </c>
      <c r="V57" s="1">
        <v>125</v>
      </c>
      <c r="W57" s="1">
        <v>100</v>
      </c>
      <c r="X57" s="1">
        <v>100</v>
      </c>
      <c r="Y57" s="1">
        <v>90</v>
      </c>
      <c r="Z57" s="1">
        <v>85</v>
      </c>
      <c r="AA57" s="1">
        <v>0</v>
      </c>
      <c r="AB57" s="1">
        <v>15</v>
      </c>
      <c r="AC57" s="1">
        <v>20</v>
      </c>
      <c r="AD57" s="1">
        <v>0</v>
      </c>
      <c r="AE57" s="1">
        <v>110</v>
      </c>
      <c r="AF57" s="1">
        <v>105</v>
      </c>
      <c r="AG57" s="1">
        <v>118002</v>
      </c>
      <c r="AH57" s="1">
        <v>0</v>
      </c>
      <c r="AI57" s="1">
        <v>300103</v>
      </c>
      <c r="AJ57" s="1" t="s">
        <v>4930</v>
      </c>
      <c r="AK57" s="1" t="s">
        <v>329</v>
      </c>
      <c r="AL57" s="1">
        <v>13</v>
      </c>
      <c r="AM57" s="1" t="s">
        <v>4779</v>
      </c>
      <c r="AN57" s="1" t="s">
        <v>4870</v>
      </c>
      <c r="AO57" s="1" t="s">
        <v>4931</v>
      </c>
      <c r="AP57" s="1">
        <v>0</v>
      </c>
      <c r="AQ57" s="1" t="s">
        <v>1774</v>
      </c>
      <c r="AR57" s="1" t="s">
        <v>1182</v>
      </c>
      <c r="AS57" s="1" t="s">
        <v>1157</v>
      </c>
      <c r="AT57" s="1" t="s">
        <v>329</v>
      </c>
      <c r="AU57" s="1">
        <v>58</v>
      </c>
      <c r="AV57" s="1">
        <v>0</v>
      </c>
      <c r="AW57" s="1" t="s">
        <v>4552</v>
      </c>
      <c r="AX57" s="1" t="s">
        <v>4857</v>
      </c>
      <c r="AY57" s="1">
        <v>3</v>
      </c>
      <c r="AZ57" s="1">
        <v>0</v>
      </c>
      <c r="BA57" s="1" t="s">
        <v>329</v>
      </c>
      <c r="BB57" s="1" t="s">
        <v>4932</v>
      </c>
      <c r="BC57" s="1" t="s">
        <v>4817</v>
      </c>
      <c r="BD57" s="1">
        <v>10302</v>
      </c>
      <c r="BE57" s="1"/>
    </row>
    <row r="58" spans="1:57" x14ac:dyDescent="0.25">
      <c r="A58" s="1">
        <v>59</v>
      </c>
      <c r="B58" s="1" t="s">
        <v>2942</v>
      </c>
      <c r="C58" s="9" t="s">
        <v>1645</v>
      </c>
      <c r="D58" s="1" t="s">
        <v>2943</v>
      </c>
      <c r="E58" s="1"/>
      <c r="F58" s="1"/>
      <c r="G58" s="1" t="s">
        <v>2944</v>
      </c>
      <c r="H58" s="1" t="s">
        <v>2945</v>
      </c>
      <c r="I58" s="1" t="s">
        <v>2946</v>
      </c>
      <c r="J58" s="1">
        <v>2</v>
      </c>
      <c r="K58" s="1">
        <v>5</v>
      </c>
      <c r="L58" s="1">
        <v>8280</v>
      </c>
      <c r="M58" s="1">
        <v>25</v>
      </c>
      <c r="N58" s="1">
        <v>20</v>
      </c>
      <c r="O58" s="1">
        <v>15</v>
      </c>
      <c r="P58" s="1">
        <v>10</v>
      </c>
      <c r="Q58" s="1">
        <v>5</v>
      </c>
      <c r="R58" s="1">
        <v>5</v>
      </c>
      <c r="S58" s="1">
        <v>2</v>
      </c>
      <c r="T58" s="1">
        <v>0</v>
      </c>
      <c r="U58" s="1">
        <v>110</v>
      </c>
      <c r="V58" s="1">
        <v>136</v>
      </c>
      <c r="W58" s="1">
        <v>108</v>
      </c>
      <c r="X58" s="1">
        <v>100</v>
      </c>
      <c r="Y58" s="1">
        <v>118</v>
      </c>
      <c r="Z58" s="1">
        <v>115</v>
      </c>
      <c r="AA58" s="1">
        <v>0</v>
      </c>
      <c r="AB58" s="1">
        <v>15</v>
      </c>
      <c r="AC58" s="1">
        <v>5</v>
      </c>
      <c r="AD58" s="1">
        <v>0</v>
      </c>
      <c r="AE58" s="1">
        <v>103</v>
      </c>
      <c r="AF58" s="1">
        <v>100</v>
      </c>
      <c r="AG58" s="1">
        <v>110042</v>
      </c>
      <c r="AH58" s="1">
        <v>0</v>
      </c>
      <c r="AI58" s="1">
        <v>110043</v>
      </c>
      <c r="AJ58" s="1" t="s">
        <v>4933</v>
      </c>
      <c r="AK58" s="1" t="s">
        <v>4934</v>
      </c>
      <c r="AL58" s="1">
        <v>13</v>
      </c>
      <c r="AM58" s="1" t="s">
        <v>4850</v>
      </c>
      <c r="AN58" s="1" t="s">
        <v>4855</v>
      </c>
      <c r="AO58" s="1" t="s">
        <v>4935</v>
      </c>
      <c r="AP58" s="1">
        <v>0</v>
      </c>
      <c r="AQ58" s="1" t="s">
        <v>1157</v>
      </c>
      <c r="AR58" s="1" t="s">
        <v>1147</v>
      </c>
      <c r="AS58" s="1" t="s">
        <v>1158</v>
      </c>
      <c r="AT58" s="1" t="s">
        <v>329</v>
      </c>
      <c r="AU58" s="1">
        <v>59</v>
      </c>
      <c r="AV58" s="1">
        <v>0</v>
      </c>
      <c r="AW58" s="1" t="s">
        <v>4878</v>
      </c>
      <c r="AX58" s="1" t="s">
        <v>4936</v>
      </c>
      <c r="AY58" s="1">
        <v>5</v>
      </c>
      <c r="AZ58" s="1">
        <v>0</v>
      </c>
      <c r="BA58" s="1" t="s">
        <v>329</v>
      </c>
      <c r="BB58" s="1" t="s">
        <v>329</v>
      </c>
      <c r="BC58" s="1" t="s">
        <v>4817</v>
      </c>
      <c r="BD58" s="1">
        <v>10203</v>
      </c>
      <c r="BE58" s="1"/>
    </row>
    <row r="59" spans="1:57" x14ac:dyDescent="0.25">
      <c r="A59" s="1">
        <v>60</v>
      </c>
      <c r="B59" s="1" t="s">
        <v>2947</v>
      </c>
      <c r="C59" s="9" t="s">
        <v>101</v>
      </c>
      <c r="D59" s="1" t="s">
        <v>2948</v>
      </c>
      <c r="E59" s="1"/>
      <c r="F59" s="1"/>
      <c r="G59" s="1" t="s">
        <v>2949</v>
      </c>
      <c r="H59" s="1" t="s">
        <v>2950</v>
      </c>
      <c r="I59" s="1" t="s">
        <v>2951</v>
      </c>
      <c r="J59" s="1">
        <v>4</v>
      </c>
      <c r="K59" s="1">
        <v>4</v>
      </c>
      <c r="L59" s="1">
        <v>12600</v>
      </c>
      <c r="M59" s="1">
        <v>20</v>
      </c>
      <c r="N59" s="1">
        <v>20</v>
      </c>
      <c r="O59" s="1">
        <v>10</v>
      </c>
      <c r="P59" s="1">
        <v>10</v>
      </c>
      <c r="Q59" s="1">
        <v>2</v>
      </c>
      <c r="R59" s="1">
        <v>5</v>
      </c>
      <c r="S59" s="1">
        <v>5</v>
      </c>
      <c r="T59" s="1">
        <v>0</v>
      </c>
      <c r="U59" s="1">
        <v>120</v>
      </c>
      <c r="V59" s="1">
        <v>90</v>
      </c>
      <c r="W59" s="1">
        <v>115</v>
      </c>
      <c r="X59" s="1">
        <v>100</v>
      </c>
      <c r="Y59" s="1">
        <v>120</v>
      </c>
      <c r="Z59" s="1">
        <v>125</v>
      </c>
      <c r="AA59" s="1">
        <v>0</v>
      </c>
      <c r="AB59" s="1">
        <v>15</v>
      </c>
      <c r="AC59" s="1">
        <v>20</v>
      </c>
      <c r="AD59" s="1">
        <v>0</v>
      </c>
      <c r="AE59" s="1">
        <v>110</v>
      </c>
      <c r="AF59" s="1">
        <v>85</v>
      </c>
      <c r="AG59" s="1">
        <v>100115</v>
      </c>
      <c r="AH59" s="1">
        <v>0</v>
      </c>
      <c r="AI59" s="1">
        <v>300103</v>
      </c>
      <c r="AJ59" s="1" t="s">
        <v>1186</v>
      </c>
      <c r="AK59" s="1" t="s">
        <v>329</v>
      </c>
      <c r="AL59" s="1">
        <v>13</v>
      </c>
      <c r="AM59" s="1" t="s">
        <v>4779</v>
      </c>
      <c r="AN59" s="1" t="s">
        <v>507</v>
      </c>
      <c r="AO59" s="1" t="s">
        <v>4937</v>
      </c>
      <c r="AP59" s="1">
        <v>0</v>
      </c>
      <c r="AQ59" s="1" t="s">
        <v>1158</v>
      </c>
      <c r="AR59" s="1" t="s">
        <v>4928</v>
      </c>
      <c r="AS59" s="1" t="s">
        <v>1157</v>
      </c>
      <c r="AT59" s="1" t="s">
        <v>329</v>
      </c>
      <c r="AU59" s="1">
        <v>60</v>
      </c>
      <c r="AV59" s="1">
        <v>0</v>
      </c>
      <c r="AW59" s="1" t="s">
        <v>4552</v>
      </c>
      <c r="AX59" s="1" t="s">
        <v>4857</v>
      </c>
      <c r="AY59" s="1">
        <v>4</v>
      </c>
      <c r="AZ59" s="1">
        <v>0</v>
      </c>
      <c r="BA59" s="1" t="s">
        <v>4803</v>
      </c>
      <c r="BB59" s="1" t="s">
        <v>4938</v>
      </c>
      <c r="BC59" s="1" t="s">
        <v>4817</v>
      </c>
      <c r="BD59" s="1">
        <v>10303</v>
      </c>
      <c r="BE59" s="1"/>
    </row>
    <row r="60" spans="1:57" x14ac:dyDescent="0.25">
      <c r="A60" s="1">
        <v>61</v>
      </c>
      <c r="B60" s="1" t="s">
        <v>2952</v>
      </c>
      <c r="C60" s="9" t="s">
        <v>102</v>
      </c>
      <c r="D60" s="1" t="s">
        <v>2953</v>
      </c>
      <c r="E60" s="1"/>
      <c r="F60" s="1"/>
      <c r="G60" s="1" t="s">
        <v>2954</v>
      </c>
      <c r="H60" s="1" t="s">
        <v>2955</v>
      </c>
      <c r="I60" s="1" t="s">
        <v>2956</v>
      </c>
      <c r="J60" s="1">
        <v>4</v>
      </c>
      <c r="K60" s="1">
        <v>3</v>
      </c>
      <c r="L60" s="1">
        <v>10800</v>
      </c>
      <c r="M60" s="1">
        <v>20</v>
      </c>
      <c r="N60" s="1">
        <v>20</v>
      </c>
      <c r="O60" s="1">
        <v>10</v>
      </c>
      <c r="P60" s="1">
        <v>10</v>
      </c>
      <c r="Q60" s="1">
        <v>2</v>
      </c>
      <c r="R60" s="1">
        <v>5</v>
      </c>
      <c r="S60" s="1">
        <v>5</v>
      </c>
      <c r="T60" s="1">
        <v>0</v>
      </c>
      <c r="U60" s="1">
        <v>115</v>
      </c>
      <c r="V60" s="1">
        <v>115</v>
      </c>
      <c r="W60" s="1">
        <v>90</v>
      </c>
      <c r="X60" s="1">
        <v>100</v>
      </c>
      <c r="Y60" s="1">
        <v>110</v>
      </c>
      <c r="Z60" s="1">
        <v>85</v>
      </c>
      <c r="AA60" s="1">
        <v>0</v>
      </c>
      <c r="AB60" s="1">
        <v>15</v>
      </c>
      <c r="AC60" s="1">
        <v>20</v>
      </c>
      <c r="AD60" s="1">
        <v>0</v>
      </c>
      <c r="AE60" s="1">
        <v>120</v>
      </c>
      <c r="AF60" s="1">
        <v>125</v>
      </c>
      <c r="AG60" s="1">
        <v>802506</v>
      </c>
      <c r="AH60" s="1">
        <v>0</v>
      </c>
      <c r="AI60" s="1">
        <v>300103</v>
      </c>
      <c r="AJ60" s="1" t="s">
        <v>1149</v>
      </c>
      <c r="AK60" s="1" t="s">
        <v>1187</v>
      </c>
      <c r="AL60" s="1">
        <v>13</v>
      </c>
      <c r="AM60" s="1" t="s">
        <v>4779</v>
      </c>
      <c r="AN60" s="1" t="s">
        <v>476</v>
      </c>
      <c r="AO60" s="1" t="s">
        <v>4939</v>
      </c>
      <c r="AP60" s="1">
        <v>0</v>
      </c>
      <c r="AQ60" s="1" t="s">
        <v>1158</v>
      </c>
      <c r="AR60" s="1" t="s">
        <v>4928</v>
      </c>
      <c r="AS60" s="1" t="s">
        <v>1157</v>
      </c>
      <c r="AT60" s="1" t="s">
        <v>329</v>
      </c>
      <c r="AU60" s="1">
        <v>61</v>
      </c>
      <c r="AV60" s="1">
        <v>0</v>
      </c>
      <c r="AW60" s="1" t="s">
        <v>4552</v>
      </c>
      <c r="AX60" s="1" t="s">
        <v>4857</v>
      </c>
      <c r="AY60" s="1">
        <v>3</v>
      </c>
      <c r="AZ60" s="1">
        <v>0</v>
      </c>
      <c r="BA60" s="1" t="s">
        <v>4825</v>
      </c>
      <c r="BB60" s="1" t="s">
        <v>4835</v>
      </c>
      <c r="BC60" s="1" t="s">
        <v>4829</v>
      </c>
      <c r="BD60" s="1">
        <v>10303</v>
      </c>
      <c r="BE60" s="1"/>
    </row>
    <row r="61" spans="1:57" x14ac:dyDescent="0.25">
      <c r="A61" s="1">
        <v>62</v>
      </c>
      <c r="B61" s="1" t="s">
        <v>2957</v>
      </c>
      <c r="C61" s="9" t="s">
        <v>735</v>
      </c>
      <c r="D61" s="1" t="s">
        <v>735</v>
      </c>
      <c r="E61" s="1"/>
      <c r="F61" s="1"/>
      <c r="G61" s="1" t="s">
        <v>2958</v>
      </c>
      <c r="H61" s="1" t="s">
        <v>2959</v>
      </c>
      <c r="I61" s="1" t="s">
        <v>2960</v>
      </c>
      <c r="J61" s="1">
        <v>4</v>
      </c>
      <c r="K61" s="1">
        <v>5</v>
      </c>
      <c r="L61" s="1">
        <v>14700</v>
      </c>
      <c r="M61" s="1">
        <v>20</v>
      </c>
      <c r="N61" s="1">
        <v>20</v>
      </c>
      <c r="O61" s="1">
        <v>10</v>
      </c>
      <c r="P61" s="1">
        <v>10</v>
      </c>
      <c r="Q61" s="1">
        <v>2</v>
      </c>
      <c r="R61" s="1">
        <v>5</v>
      </c>
      <c r="S61" s="1">
        <v>5</v>
      </c>
      <c r="T61" s="1">
        <v>0</v>
      </c>
      <c r="U61" s="1">
        <v>115</v>
      </c>
      <c r="V61" s="1">
        <v>110</v>
      </c>
      <c r="W61" s="1">
        <v>115</v>
      </c>
      <c r="X61" s="1">
        <v>100</v>
      </c>
      <c r="Y61" s="1">
        <v>115</v>
      </c>
      <c r="Z61" s="1">
        <v>95</v>
      </c>
      <c r="AA61" s="1">
        <v>0</v>
      </c>
      <c r="AB61" s="1">
        <v>15</v>
      </c>
      <c r="AC61" s="1">
        <v>20</v>
      </c>
      <c r="AD61" s="1">
        <v>0</v>
      </c>
      <c r="AE61" s="1">
        <v>120</v>
      </c>
      <c r="AF61" s="1">
        <v>100</v>
      </c>
      <c r="AG61" s="1">
        <v>100108</v>
      </c>
      <c r="AH61" s="1">
        <v>0</v>
      </c>
      <c r="AI61" s="1">
        <v>300103</v>
      </c>
      <c r="AJ61" s="1" t="s">
        <v>1188</v>
      </c>
      <c r="AK61" s="1" t="s">
        <v>329</v>
      </c>
      <c r="AL61" s="1">
        <v>13</v>
      </c>
      <c r="AM61" s="1" t="s">
        <v>4779</v>
      </c>
      <c r="AN61" s="1" t="s">
        <v>4894</v>
      </c>
      <c r="AO61" s="1" t="s">
        <v>4940</v>
      </c>
      <c r="AP61" s="1">
        <v>0</v>
      </c>
      <c r="AQ61" s="1" t="s">
        <v>1158</v>
      </c>
      <c r="AR61" s="1" t="s">
        <v>1182</v>
      </c>
      <c r="AS61" s="1" t="s">
        <v>1773</v>
      </c>
      <c r="AT61" s="1" t="s">
        <v>329</v>
      </c>
      <c r="AU61" s="1">
        <v>62</v>
      </c>
      <c r="AV61" s="1">
        <v>0</v>
      </c>
      <c r="AW61" s="1" t="s">
        <v>4552</v>
      </c>
      <c r="AX61" s="1" t="s">
        <v>4551</v>
      </c>
      <c r="AY61" s="1">
        <v>5</v>
      </c>
      <c r="AZ61" s="1">
        <v>0</v>
      </c>
      <c r="BA61" s="1" t="s">
        <v>329</v>
      </c>
      <c r="BB61" s="1" t="s">
        <v>4941</v>
      </c>
      <c r="BC61" s="1" t="s">
        <v>4829</v>
      </c>
      <c r="BD61" s="1">
        <v>10202</v>
      </c>
      <c r="BE61" s="1"/>
    </row>
    <row r="62" spans="1:57" x14ac:dyDescent="0.25">
      <c r="A62" s="1">
        <v>63</v>
      </c>
      <c r="B62" s="1" t="s">
        <v>2961</v>
      </c>
      <c r="C62" s="9" t="s">
        <v>1189</v>
      </c>
      <c r="D62" s="1" t="s">
        <v>1189</v>
      </c>
      <c r="E62" s="1"/>
      <c r="F62" s="1"/>
      <c r="G62" s="1" t="s">
        <v>2962</v>
      </c>
      <c r="H62" s="1" t="s">
        <v>2963</v>
      </c>
      <c r="I62" s="1" t="s">
        <v>2964</v>
      </c>
      <c r="J62" s="1">
        <v>4</v>
      </c>
      <c r="K62" s="1">
        <v>2</v>
      </c>
      <c r="L62" s="1">
        <v>10200</v>
      </c>
      <c r="M62" s="1">
        <v>20</v>
      </c>
      <c r="N62" s="1">
        <v>20</v>
      </c>
      <c r="O62" s="1">
        <v>10</v>
      </c>
      <c r="P62" s="1">
        <v>10</v>
      </c>
      <c r="Q62" s="1">
        <v>2</v>
      </c>
      <c r="R62" s="1">
        <v>5</v>
      </c>
      <c r="S62" s="1">
        <v>5</v>
      </c>
      <c r="T62" s="1">
        <v>0</v>
      </c>
      <c r="U62" s="1">
        <v>100</v>
      </c>
      <c r="V62" s="1">
        <v>120</v>
      </c>
      <c r="W62" s="1">
        <v>90</v>
      </c>
      <c r="X62" s="1">
        <v>100</v>
      </c>
      <c r="Y62" s="1">
        <v>110</v>
      </c>
      <c r="Z62" s="1">
        <v>90</v>
      </c>
      <c r="AA62" s="1">
        <v>0</v>
      </c>
      <c r="AB62" s="1">
        <v>15</v>
      </c>
      <c r="AC62" s="1">
        <v>20</v>
      </c>
      <c r="AD62" s="1">
        <v>0</v>
      </c>
      <c r="AE62" s="1">
        <v>120</v>
      </c>
      <c r="AF62" s="1">
        <v>110</v>
      </c>
      <c r="AG62" s="1">
        <v>102109</v>
      </c>
      <c r="AH62" s="1">
        <v>0</v>
      </c>
      <c r="AI62" s="1">
        <v>300103</v>
      </c>
      <c r="AJ62" s="1" t="s">
        <v>1149</v>
      </c>
      <c r="AK62" s="1" t="s">
        <v>329</v>
      </c>
      <c r="AL62" s="1">
        <v>13</v>
      </c>
      <c r="AM62" s="1" t="s">
        <v>4779</v>
      </c>
      <c r="AN62" s="1" t="s">
        <v>507</v>
      </c>
      <c r="AO62" s="1" t="s">
        <v>4942</v>
      </c>
      <c r="AP62" s="1">
        <v>0</v>
      </c>
      <c r="AQ62" s="1" t="s">
        <v>1774</v>
      </c>
      <c r="AR62" s="1" t="s">
        <v>1182</v>
      </c>
      <c r="AS62" s="1" t="s">
        <v>1157</v>
      </c>
      <c r="AT62" s="1" t="s">
        <v>329</v>
      </c>
      <c r="AU62" s="1">
        <v>63</v>
      </c>
      <c r="AV62" s="1">
        <v>0</v>
      </c>
      <c r="AW62" s="1" t="s">
        <v>4552</v>
      </c>
      <c r="AX62" s="1" t="s">
        <v>471</v>
      </c>
      <c r="AY62" s="1">
        <v>2</v>
      </c>
      <c r="AZ62" s="1">
        <v>0</v>
      </c>
      <c r="BA62" s="1" t="s">
        <v>4805</v>
      </c>
      <c r="BB62" s="1" t="s">
        <v>4943</v>
      </c>
      <c r="BC62" s="1" t="s">
        <v>4829</v>
      </c>
      <c r="BD62" s="1">
        <v>105</v>
      </c>
      <c r="BE62" s="1"/>
    </row>
    <row r="63" spans="1:57" x14ac:dyDescent="0.25">
      <c r="A63" s="1">
        <v>64</v>
      </c>
      <c r="B63" s="1" t="s">
        <v>2965</v>
      </c>
      <c r="C63" s="9" t="s">
        <v>1190</v>
      </c>
      <c r="D63" s="1" t="s">
        <v>1190</v>
      </c>
      <c r="E63" s="1"/>
      <c r="F63" s="1"/>
      <c r="G63" s="1" t="s">
        <v>2966</v>
      </c>
      <c r="H63" s="1" t="s">
        <v>2967</v>
      </c>
      <c r="I63" s="1" t="s">
        <v>2968</v>
      </c>
      <c r="J63" s="1">
        <v>4</v>
      </c>
      <c r="K63" s="1">
        <v>4</v>
      </c>
      <c r="L63" s="1">
        <v>13200</v>
      </c>
      <c r="M63" s="1">
        <v>20</v>
      </c>
      <c r="N63" s="1">
        <v>20</v>
      </c>
      <c r="O63" s="1">
        <v>10</v>
      </c>
      <c r="P63" s="1">
        <v>10</v>
      </c>
      <c r="Q63" s="1">
        <v>2</v>
      </c>
      <c r="R63" s="1">
        <v>5</v>
      </c>
      <c r="S63" s="1">
        <v>5</v>
      </c>
      <c r="T63" s="1">
        <v>0</v>
      </c>
      <c r="U63" s="1">
        <v>115</v>
      </c>
      <c r="V63" s="1">
        <v>110</v>
      </c>
      <c r="W63" s="1">
        <v>110</v>
      </c>
      <c r="X63" s="1">
        <v>100</v>
      </c>
      <c r="Y63" s="1">
        <v>115</v>
      </c>
      <c r="Z63" s="1">
        <v>105</v>
      </c>
      <c r="AA63" s="1">
        <v>0</v>
      </c>
      <c r="AB63" s="1">
        <v>15</v>
      </c>
      <c r="AC63" s="1">
        <v>20</v>
      </c>
      <c r="AD63" s="1">
        <v>0</v>
      </c>
      <c r="AE63" s="1">
        <v>110</v>
      </c>
      <c r="AF63" s="1">
        <v>100</v>
      </c>
      <c r="AG63" s="1">
        <v>100107</v>
      </c>
      <c r="AH63" s="1">
        <v>0</v>
      </c>
      <c r="AI63" s="1">
        <v>300103</v>
      </c>
      <c r="AJ63" s="1" t="s">
        <v>329</v>
      </c>
      <c r="AK63" s="1" t="s">
        <v>329</v>
      </c>
      <c r="AL63" s="1">
        <v>13</v>
      </c>
      <c r="AM63" s="1" t="s">
        <v>4779</v>
      </c>
      <c r="AN63" s="1" t="s">
        <v>4944</v>
      </c>
      <c r="AO63" s="1" t="s">
        <v>4945</v>
      </c>
      <c r="AP63" s="1">
        <v>0</v>
      </c>
      <c r="AQ63" s="1" t="s">
        <v>1774</v>
      </c>
      <c r="AR63" s="1" t="s">
        <v>1182</v>
      </c>
      <c r="AS63" s="1" t="s">
        <v>1157</v>
      </c>
      <c r="AT63" s="1" t="s">
        <v>329</v>
      </c>
      <c r="AU63" s="1">
        <v>64</v>
      </c>
      <c r="AV63" s="1">
        <v>0</v>
      </c>
      <c r="AW63" s="1" t="s">
        <v>4552</v>
      </c>
      <c r="AX63" s="1" t="s">
        <v>332</v>
      </c>
      <c r="AY63" s="1">
        <v>4</v>
      </c>
      <c r="AZ63" s="1">
        <v>0</v>
      </c>
      <c r="BA63" s="1" t="s">
        <v>4803</v>
      </c>
      <c r="BB63" s="1" t="s">
        <v>4946</v>
      </c>
      <c r="BC63" s="1" t="s">
        <v>4829</v>
      </c>
      <c r="BD63" s="1">
        <v>10705</v>
      </c>
      <c r="BE63" s="1"/>
    </row>
    <row r="64" spans="1:57" x14ac:dyDescent="0.25">
      <c r="A64" s="1">
        <v>65</v>
      </c>
      <c r="B64" s="1" t="s">
        <v>2969</v>
      </c>
      <c r="C64" s="9" t="s">
        <v>223</v>
      </c>
      <c r="D64" s="1" t="s">
        <v>223</v>
      </c>
      <c r="E64" s="1"/>
      <c r="F64" s="1"/>
      <c r="G64" s="1" t="s">
        <v>2970</v>
      </c>
      <c r="H64" s="1" t="s">
        <v>2971</v>
      </c>
      <c r="I64" s="1" t="s">
        <v>2972</v>
      </c>
      <c r="J64" s="1">
        <v>4</v>
      </c>
      <c r="K64" s="1">
        <v>5</v>
      </c>
      <c r="L64" s="1">
        <v>14100</v>
      </c>
      <c r="M64" s="1">
        <v>20</v>
      </c>
      <c r="N64" s="1">
        <v>20</v>
      </c>
      <c r="O64" s="1">
        <v>10</v>
      </c>
      <c r="P64" s="1">
        <v>10</v>
      </c>
      <c r="Q64" s="1">
        <v>2</v>
      </c>
      <c r="R64" s="1">
        <v>5</v>
      </c>
      <c r="S64" s="1">
        <v>5</v>
      </c>
      <c r="T64" s="1">
        <v>0</v>
      </c>
      <c r="U64" s="1">
        <v>110</v>
      </c>
      <c r="V64" s="1">
        <v>115</v>
      </c>
      <c r="W64" s="1">
        <v>115</v>
      </c>
      <c r="X64" s="1">
        <v>100</v>
      </c>
      <c r="Y64" s="1">
        <v>115</v>
      </c>
      <c r="Z64" s="1">
        <v>110</v>
      </c>
      <c r="AA64" s="1">
        <v>0</v>
      </c>
      <c r="AB64" s="1">
        <v>15</v>
      </c>
      <c r="AC64" s="1">
        <v>20</v>
      </c>
      <c r="AD64" s="1">
        <v>0</v>
      </c>
      <c r="AE64" s="1">
        <v>115</v>
      </c>
      <c r="AF64" s="1">
        <v>100</v>
      </c>
      <c r="AG64" s="1">
        <v>102112</v>
      </c>
      <c r="AH64" s="1">
        <v>0</v>
      </c>
      <c r="AI64" s="1">
        <v>300103</v>
      </c>
      <c r="AJ64" s="1" t="s">
        <v>1191</v>
      </c>
      <c r="AK64" s="1" t="s">
        <v>329</v>
      </c>
      <c r="AL64" s="1">
        <v>13</v>
      </c>
      <c r="AM64" s="1" t="s">
        <v>4779</v>
      </c>
      <c r="AN64" s="1" t="s">
        <v>476</v>
      </c>
      <c r="AO64" s="1" t="s">
        <v>4947</v>
      </c>
      <c r="AP64" s="1">
        <v>0</v>
      </c>
      <c r="AQ64" s="1" t="s">
        <v>1774</v>
      </c>
      <c r="AR64" s="1" t="s">
        <v>1182</v>
      </c>
      <c r="AS64" s="1" t="s">
        <v>1773</v>
      </c>
      <c r="AT64" s="1" t="s">
        <v>329</v>
      </c>
      <c r="AU64" s="1">
        <v>65</v>
      </c>
      <c r="AV64" s="1">
        <v>0</v>
      </c>
      <c r="AW64" s="1" t="s">
        <v>4552</v>
      </c>
      <c r="AX64" s="1" t="s">
        <v>4857</v>
      </c>
      <c r="AY64" s="1">
        <v>5</v>
      </c>
      <c r="AZ64" s="1">
        <v>0</v>
      </c>
      <c r="BA64" s="1" t="s">
        <v>4915</v>
      </c>
      <c r="BB64" s="1" t="s">
        <v>4948</v>
      </c>
      <c r="BC64" s="1" t="s">
        <v>4949</v>
      </c>
      <c r="BD64" s="1">
        <v>10104</v>
      </c>
      <c r="BE64" s="1"/>
    </row>
    <row r="65" spans="1:57" x14ac:dyDescent="0.25">
      <c r="A65" s="1">
        <v>66</v>
      </c>
      <c r="B65" s="1" t="s">
        <v>2973</v>
      </c>
      <c r="C65" s="9" t="s">
        <v>1646</v>
      </c>
      <c r="D65" s="1" t="s">
        <v>2974</v>
      </c>
      <c r="E65" s="1"/>
      <c r="F65" s="1"/>
      <c r="G65" s="1" t="s">
        <v>2975</v>
      </c>
      <c r="H65" s="1" t="s">
        <v>2976</v>
      </c>
      <c r="I65" s="1" t="s">
        <v>2977</v>
      </c>
      <c r="J65" s="1">
        <v>4</v>
      </c>
      <c r="K65" s="1">
        <v>4</v>
      </c>
      <c r="L65" s="1">
        <v>12300</v>
      </c>
      <c r="M65" s="1">
        <v>20</v>
      </c>
      <c r="N65" s="1">
        <v>20</v>
      </c>
      <c r="O65" s="1">
        <v>10</v>
      </c>
      <c r="P65" s="1">
        <v>10</v>
      </c>
      <c r="Q65" s="1">
        <v>2</v>
      </c>
      <c r="R65" s="1">
        <v>5</v>
      </c>
      <c r="S65" s="1">
        <v>5</v>
      </c>
      <c r="T65" s="1">
        <v>0</v>
      </c>
      <c r="U65" s="1">
        <v>125</v>
      </c>
      <c r="V65" s="1">
        <v>125</v>
      </c>
      <c r="W65" s="1">
        <v>105</v>
      </c>
      <c r="X65" s="1">
        <v>100</v>
      </c>
      <c r="Y65" s="1">
        <v>90</v>
      </c>
      <c r="Z65" s="1">
        <v>90</v>
      </c>
      <c r="AA65" s="1">
        <v>0</v>
      </c>
      <c r="AB65" s="1">
        <v>15</v>
      </c>
      <c r="AC65" s="1">
        <v>20</v>
      </c>
      <c r="AD65" s="1">
        <v>0</v>
      </c>
      <c r="AE65" s="1">
        <v>110</v>
      </c>
      <c r="AF65" s="1">
        <v>110</v>
      </c>
      <c r="AG65" s="1">
        <v>102115</v>
      </c>
      <c r="AH65" s="1">
        <v>0</v>
      </c>
      <c r="AI65" s="1">
        <v>300103</v>
      </c>
      <c r="AJ65" s="1" t="s">
        <v>1192</v>
      </c>
      <c r="AK65" s="1" t="s">
        <v>329</v>
      </c>
      <c r="AL65" s="1">
        <v>13</v>
      </c>
      <c r="AM65" s="1" t="s">
        <v>4779</v>
      </c>
      <c r="AN65" s="1" t="s">
        <v>476</v>
      </c>
      <c r="AO65" s="1" t="s">
        <v>4950</v>
      </c>
      <c r="AP65" s="1">
        <v>0</v>
      </c>
      <c r="AQ65" s="1" t="s">
        <v>1774</v>
      </c>
      <c r="AR65" s="1" t="s">
        <v>1182</v>
      </c>
      <c r="AS65" s="1" t="s">
        <v>1157</v>
      </c>
      <c r="AT65" s="1" t="s">
        <v>329</v>
      </c>
      <c r="AU65" s="1">
        <v>66</v>
      </c>
      <c r="AV65" s="1">
        <v>0</v>
      </c>
      <c r="AW65" s="1" t="s">
        <v>4552</v>
      </c>
      <c r="AX65" s="1" t="s">
        <v>4857</v>
      </c>
      <c r="AY65" s="1">
        <v>4</v>
      </c>
      <c r="AZ65" s="1">
        <v>0</v>
      </c>
      <c r="BA65" s="1" t="s">
        <v>329</v>
      </c>
      <c r="BB65" s="1" t="s">
        <v>4951</v>
      </c>
      <c r="BC65" s="1" t="s">
        <v>4843</v>
      </c>
      <c r="BD65" s="1">
        <v>10705</v>
      </c>
      <c r="BE65" s="1"/>
    </row>
    <row r="66" spans="1:57" x14ac:dyDescent="0.25">
      <c r="A66" s="1">
        <v>68</v>
      </c>
      <c r="B66" s="1" t="s">
        <v>2978</v>
      </c>
      <c r="C66" s="9" t="s">
        <v>103</v>
      </c>
      <c r="D66" s="1" t="s">
        <v>103</v>
      </c>
      <c r="E66" s="1"/>
      <c r="F66" s="1"/>
      <c r="G66" s="1" t="s">
        <v>2979</v>
      </c>
      <c r="H66" s="1" t="s">
        <v>2980</v>
      </c>
      <c r="I66" s="1" t="s">
        <v>2981</v>
      </c>
      <c r="J66" s="1">
        <v>4</v>
      </c>
      <c r="K66" s="1">
        <v>2</v>
      </c>
      <c r="L66" s="1">
        <v>10200</v>
      </c>
      <c r="M66" s="1">
        <v>20</v>
      </c>
      <c r="N66" s="1">
        <v>20</v>
      </c>
      <c r="O66" s="1">
        <v>10</v>
      </c>
      <c r="P66" s="1">
        <v>10</v>
      </c>
      <c r="Q66" s="1">
        <v>2</v>
      </c>
      <c r="R66" s="1">
        <v>5</v>
      </c>
      <c r="S66" s="1">
        <v>5</v>
      </c>
      <c r="T66" s="1">
        <v>0</v>
      </c>
      <c r="U66" s="1">
        <v>85</v>
      </c>
      <c r="V66" s="1">
        <v>100</v>
      </c>
      <c r="W66" s="1">
        <v>115</v>
      </c>
      <c r="X66" s="1">
        <v>100</v>
      </c>
      <c r="Y66" s="1">
        <v>100</v>
      </c>
      <c r="Z66" s="1">
        <v>100</v>
      </c>
      <c r="AA66" s="1">
        <v>0</v>
      </c>
      <c r="AB66" s="1">
        <v>15</v>
      </c>
      <c r="AC66" s="1">
        <v>20</v>
      </c>
      <c r="AD66" s="1">
        <v>0</v>
      </c>
      <c r="AE66" s="1">
        <v>125</v>
      </c>
      <c r="AF66" s="1">
        <v>120</v>
      </c>
      <c r="AG66" s="1">
        <v>101701</v>
      </c>
      <c r="AH66" s="1">
        <v>0</v>
      </c>
      <c r="AI66" s="1">
        <v>300103</v>
      </c>
      <c r="AJ66" s="1" t="s">
        <v>1149</v>
      </c>
      <c r="AK66" s="1" t="s">
        <v>329</v>
      </c>
      <c r="AL66" s="1">
        <v>13</v>
      </c>
      <c r="AM66" s="1" t="s">
        <v>4779</v>
      </c>
      <c r="AN66" s="1" t="s">
        <v>507</v>
      </c>
      <c r="AO66" s="1" t="s">
        <v>4952</v>
      </c>
      <c r="AP66" s="1">
        <v>0</v>
      </c>
      <c r="AQ66" s="1" t="s">
        <v>1158</v>
      </c>
      <c r="AR66" s="1" t="s">
        <v>1182</v>
      </c>
      <c r="AS66" s="1" t="s">
        <v>1157</v>
      </c>
      <c r="AT66" s="1" t="s">
        <v>329</v>
      </c>
      <c r="AU66" s="1">
        <v>68</v>
      </c>
      <c r="AV66" s="1">
        <v>0</v>
      </c>
      <c r="AW66" s="1" t="s">
        <v>4552</v>
      </c>
      <c r="AX66" s="1" t="s">
        <v>471</v>
      </c>
      <c r="AY66" s="1">
        <v>2</v>
      </c>
      <c r="AZ66" s="1">
        <v>0</v>
      </c>
      <c r="BA66" s="1" t="s">
        <v>329</v>
      </c>
      <c r="BB66" s="1" t="s">
        <v>4953</v>
      </c>
      <c r="BC66" s="1" t="s">
        <v>329</v>
      </c>
      <c r="BD66" s="1">
        <v>10302</v>
      </c>
      <c r="BE66" s="1"/>
    </row>
    <row r="67" spans="1:57" x14ac:dyDescent="0.25">
      <c r="A67" s="1">
        <v>69</v>
      </c>
      <c r="B67" s="1" t="s">
        <v>2982</v>
      </c>
      <c r="C67" s="9" t="s">
        <v>711</v>
      </c>
      <c r="D67" s="1" t="s">
        <v>711</v>
      </c>
      <c r="E67" s="1"/>
      <c r="F67" s="1"/>
      <c r="G67" s="1" t="s">
        <v>2983</v>
      </c>
      <c r="H67" s="1" t="s">
        <v>2984</v>
      </c>
      <c r="I67" s="1" t="s">
        <v>2985</v>
      </c>
      <c r="J67" s="1">
        <v>4</v>
      </c>
      <c r="K67" s="1">
        <v>4</v>
      </c>
      <c r="L67" s="1">
        <v>12600</v>
      </c>
      <c r="M67" s="1">
        <v>20</v>
      </c>
      <c r="N67" s="1">
        <v>20</v>
      </c>
      <c r="O67" s="1">
        <v>10</v>
      </c>
      <c r="P67" s="1">
        <v>10</v>
      </c>
      <c r="Q67" s="1">
        <v>2</v>
      </c>
      <c r="R67" s="1">
        <v>5</v>
      </c>
      <c r="S67" s="1">
        <v>5</v>
      </c>
      <c r="T67" s="1">
        <v>0</v>
      </c>
      <c r="U67" s="1">
        <v>110</v>
      </c>
      <c r="V67" s="1">
        <v>105</v>
      </c>
      <c r="W67" s="1">
        <v>125</v>
      </c>
      <c r="X67" s="1">
        <v>100</v>
      </c>
      <c r="Y67" s="1">
        <v>130</v>
      </c>
      <c r="Z67" s="1">
        <v>105</v>
      </c>
      <c r="AA67" s="1">
        <v>0</v>
      </c>
      <c r="AB67" s="1">
        <v>15</v>
      </c>
      <c r="AC67" s="1">
        <v>20</v>
      </c>
      <c r="AD67" s="1">
        <v>0</v>
      </c>
      <c r="AE67" s="1">
        <v>105</v>
      </c>
      <c r="AF67" s="1">
        <v>110</v>
      </c>
      <c r="AG67" s="1">
        <v>102115</v>
      </c>
      <c r="AH67" s="1">
        <v>0</v>
      </c>
      <c r="AI67" s="1">
        <v>300103</v>
      </c>
      <c r="AJ67" s="1" t="s">
        <v>1192</v>
      </c>
      <c r="AK67" s="1" t="s">
        <v>329</v>
      </c>
      <c r="AL67" s="1">
        <v>13</v>
      </c>
      <c r="AM67" s="1" t="s">
        <v>4779</v>
      </c>
      <c r="AN67" s="1" t="s">
        <v>466</v>
      </c>
      <c r="AO67" s="1" t="s">
        <v>4954</v>
      </c>
      <c r="AP67" s="1">
        <v>0</v>
      </c>
      <c r="AQ67" s="1" t="s">
        <v>1774</v>
      </c>
      <c r="AR67" s="1" t="s">
        <v>1182</v>
      </c>
      <c r="AS67" s="1" t="s">
        <v>1157</v>
      </c>
      <c r="AT67" s="1" t="s">
        <v>329</v>
      </c>
      <c r="AU67" s="1">
        <v>69</v>
      </c>
      <c r="AV67" s="1">
        <v>0</v>
      </c>
      <c r="AW67" s="1" t="s">
        <v>4552</v>
      </c>
      <c r="AX67" s="1" t="s">
        <v>4857</v>
      </c>
      <c r="AY67" s="1">
        <v>4</v>
      </c>
      <c r="AZ67" s="1">
        <v>0</v>
      </c>
      <c r="BA67" s="1" t="s">
        <v>329</v>
      </c>
      <c r="BB67" s="1" t="s">
        <v>4955</v>
      </c>
      <c r="BC67" s="1" t="s">
        <v>329</v>
      </c>
      <c r="BD67" s="1">
        <v>10403</v>
      </c>
      <c r="BE67" s="1"/>
    </row>
    <row r="68" spans="1:57" x14ac:dyDescent="0.25">
      <c r="A68" s="1">
        <v>70</v>
      </c>
      <c r="B68" s="1" t="s">
        <v>2986</v>
      </c>
      <c r="C68" s="9" t="s">
        <v>1193</v>
      </c>
      <c r="D68" s="1" t="s">
        <v>2987</v>
      </c>
      <c r="E68" s="1"/>
      <c r="F68" s="1"/>
      <c r="G68" s="1" t="s">
        <v>2988</v>
      </c>
      <c r="H68" s="1" t="s">
        <v>2989</v>
      </c>
      <c r="I68" s="1" t="s">
        <v>2990</v>
      </c>
      <c r="J68" s="1">
        <v>4</v>
      </c>
      <c r="K68" s="1">
        <v>3</v>
      </c>
      <c r="L68" s="1">
        <v>12000</v>
      </c>
      <c r="M68" s="1">
        <v>20</v>
      </c>
      <c r="N68" s="1">
        <v>20</v>
      </c>
      <c r="O68" s="1">
        <v>10</v>
      </c>
      <c r="P68" s="1">
        <v>10</v>
      </c>
      <c r="Q68" s="1">
        <v>2</v>
      </c>
      <c r="R68" s="1">
        <v>5</v>
      </c>
      <c r="S68" s="1">
        <v>5</v>
      </c>
      <c r="T68" s="1">
        <v>0</v>
      </c>
      <c r="U68" s="1">
        <v>100</v>
      </c>
      <c r="V68" s="1">
        <v>115</v>
      </c>
      <c r="W68" s="1">
        <v>110</v>
      </c>
      <c r="X68" s="1">
        <v>100</v>
      </c>
      <c r="Y68" s="1">
        <v>115</v>
      </c>
      <c r="Z68" s="1">
        <v>90</v>
      </c>
      <c r="AA68" s="1">
        <v>0</v>
      </c>
      <c r="AB68" s="1">
        <v>15</v>
      </c>
      <c r="AC68" s="1">
        <v>20</v>
      </c>
      <c r="AD68" s="1">
        <v>0</v>
      </c>
      <c r="AE68" s="1">
        <v>115</v>
      </c>
      <c r="AF68" s="1">
        <v>105</v>
      </c>
      <c r="AG68" s="1">
        <v>100102</v>
      </c>
      <c r="AH68" s="1">
        <v>0</v>
      </c>
      <c r="AI68" s="1">
        <v>300103</v>
      </c>
      <c r="AJ68" s="1" t="s">
        <v>4956</v>
      </c>
      <c r="AK68" s="1" t="s">
        <v>329</v>
      </c>
      <c r="AL68" s="1">
        <v>13</v>
      </c>
      <c r="AM68" s="1" t="s">
        <v>4779</v>
      </c>
      <c r="AN68" s="1" t="s">
        <v>4891</v>
      </c>
      <c r="AO68" s="1" t="s">
        <v>4925</v>
      </c>
      <c r="AP68" s="1">
        <v>0</v>
      </c>
      <c r="AQ68" s="1" t="s">
        <v>1158</v>
      </c>
      <c r="AR68" s="1" t="s">
        <v>1182</v>
      </c>
      <c r="AS68" s="1" t="s">
        <v>1157</v>
      </c>
      <c r="AT68" s="1" t="s">
        <v>329</v>
      </c>
      <c r="AU68" s="1">
        <v>70</v>
      </c>
      <c r="AV68" s="1">
        <v>0</v>
      </c>
      <c r="AW68" s="1" t="s">
        <v>4552</v>
      </c>
      <c r="AX68" s="1" t="s">
        <v>4857</v>
      </c>
      <c r="AY68" s="1">
        <v>3</v>
      </c>
      <c r="AZ68" s="1">
        <v>0</v>
      </c>
      <c r="BA68" s="1" t="s">
        <v>329</v>
      </c>
      <c r="BB68" s="1" t="s">
        <v>4957</v>
      </c>
      <c r="BC68" s="1" t="s">
        <v>4913</v>
      </c>
      <c r="BD68" s="1">
        <v>10202</v>
      </c>
      <c r="BE68" s="1"/>
    </row>
    <row r="69" spans="1:57" x14ac:dyDescent="0.25">
      <c r="A69" s="1">
        <v>71</v>
      </c>
      <c r="B69" s="1" t="s">
        <v>2991</v>
      </c>
      <c r="C69" s="9" t="s">
        <v>842</v>
      </c>
      <c r="D69" s="1" t="s">
        <v>2</v>
      </c>
      <c r="E69" s="1"/>
      <c r="F69" s="1"/>
      <c r="G69" s="1" t="s">
        <v>2992</v>
      </c>
      <c r="H69" s="1" t="s">
        <v>2993</v>
      </c>
      <c r="I69" s="1" t="s">
        <v>2994</v>
      </c>
      <c r="J69" s="1">
        <v>4</v>
      </c>
      <c r="K69" s="1">
        <v>2</v>
      </c>
      <c r="L69" s="1">
        <v>9600</v>
      </c>
      <c r="M69" s="1">
        <v>20</v>
      </c>
      <c r="N69" s="1">
        <v>20</v>
      </c>
      <c r="O69" s="1">
        <v>10</v>
      </c>
      <c r="P69" s="1">
        <v>10</v>
      </c>
      <c r="Q69" s="1">
        <v>2</v>
      </c>
      <c r="R69" s="1">
        <v>5</v>
      </c>
      <c r="S69" s="1">
        <v>5</v>
      </c>
      <c r="T69" s="1">
        <v>0</v>
      </c>
      <c r="U69" s="1">
        <v>95</v>
      </c>
      <c r="V69" s="1">
        <v>105</v>
      </c>
      <c r="W69" s="1">
        <v>95</v>
      </c>
      <c r="X69" s="1">
        <v>100</v>
      </c>
      <c r="Y69" s="1">
        <v>100</v>
      </c>
      <c r="Z69" s="1">
        <v>95</v>
      </c>
      <c r="AA69" s="1">
        <v>0</v>
      </c>
      <c r="AB69" s="1">
        <v>15</v>
      </c>
      <c r="AC69" s="1">
        <v>20</v>
      </c>
      <c r="AD69" s="1">
        <v>0</v>
      </c>
      <c r="AE69" s="1">
        <v>130</v>
      </c>
      <c r="AF69" s="1">
        <v>105</v>
      </c>
      <c r="AG69" s="1">
        <v>100301</v>
      </c>
      <c r="AH69" s="1">
        <v>0</v>
      </c>
      <c r="AI69" s="1">
        <v>300103</v>
      </c>
      <c r="AJ69" s="1" t="s">
        <v>1153</v>
      </c>
      <c r="AK69" s="1" t="s">
        <v>329</v>
      </c>
      <c r="AL69" s="1">
        <v>13</v>
      </c>
      <c r="AM69" s="1" t="s">
        <v>4779</v>
      </c>
      <c r="AN69" s="1" t="s">
        <v>476</v>
      </c>
      <c r="AO69" s="1" t="s">
        <v>4958</v>
      </c>
      <c r="AP69" s="1">
        <v>0</v>
      </c>
      <c r="AQ69" s="1" t="s">
        <v>1158</v>
      </c>
      <c r="AR69" s="1" t="s">
        <v>1182</v>
      </c>
      <c r="AS69" s="1" t="s">
        <v>1773</v>
      </c>
      <c r="AT69" s="1" t="s">
        <v>329</v>
      </c>
      <c r="AU69" s="1">
        <v>71</v>
      </c>
      <c r="AV69" s="1">
        <v>0</v>
      </c>
      <c r="AW69" s="1" t="s">
        <v>4552</v>
      </c>
      <c r="AX69" s="1" t="s">
        <v>471</v>
      </c>
      <c r="AY69" s="1">
        <v>2</v>
      </c>
      <c r="AZ69" s="1">
        <v>0</v>
      </c>
      <c r="BA69" s="1" t="s">
        <v>4805</v>
      </c>
      <c r="BB69" s="1" t="s">
        <v>4959</v>
      </c>
      <c r="BC69" s="1" t="s">
        <v>329</v>
      </c>
      <c r="BD69" s="1">
        <v>10202</v>
      </c>
      <c r="BE69" s="1"/>
    </row>
    <row r="70" spans="1:57" x14ac:dyDescent="0.25">
      <c r="A70" s="1">
        <v>72</v>
      </c>
      <c r="B70" s="1" t="s">
        <v>2995</v>
      </c>
      <c r="C70" s="9" t="s">
        <v>739</v>
      </c>
      <c r="D70" s="1" t="s">
        <v>739</v>
      </c>
      <c r="E70" s="1"/>
      <c r="F70" s="1"/>
      <c r="G70" s="1" t="s">
        <v>2996</v>
      </c>
      <c r="H70" s="1" t="s">
        <v>2997</v>
      </c>
      <c r="I70" s="1" t="s">
        <v>2998</v>
      </c>
      <c r="J70" s="1">
        <v>4</v>
      </c>
      <c r="K70" s="1">
        <v>4</v>
      </c>
      <c r="L70" s="1">
        <v>12600</v>
      </c>
      <c r="M70" s="1">
        <v>20</v>
      </c>
      <c r="N70" s="1">
        <v>20</v>
      </c>
      <c r="O70" s="1">
        <v>10</v>
      </c>
      <c r="P70" s="1">
        <v>10</v>
      </c>
      <c r="Q70" s="1">
        <v>2</v>
      </c>
      <c r="R70" s="1">
        <v>5</v>
      </c>
      <c r="S70" s="1">
        <v>5</v>
      </c>
      <c r="T70" s="1">
        <v>0</v>
      </c>
      <c r="U70" s="1">
        <v>95</v>
      </c>
      <c r="V70" s="1">
        <v>110</v>
      </c>
      <c r="W70" s="1">
        <v>120</v>
      </c>
      <c r="X70" s="1">
        <v>100</v>
      </c>
      <c r="Y70" s="1">
        <v>120</v>
      </c>
      <c r="Z70" s="1">
        <v>110</v>
      </c>
      <c r="AA70" s="1">
        <v>0</v>
      </c>
      <c r="AB70" s="1">
        <v>15</v>
      </c>
      <c r="AC70" s="1">
        <v>20</v>
      </c>
      <c r="AD70" s="1">
        <v>0</v>
      </c>
      <c r="AE70" s="1">
        <v>115</v>
      </c>
      <c r="AF70" s="1">
        <v>100</v>
      </c>
      <c r="AG70" s="1">
        <v>101703</v>
      </c>
      <c r="AH70" s="1">
        <v>0</v>
      </c>
      <c r="AI70" s="1">
        <v>300103</v>
      </c>
      <c r="AJ70" s="1" t="s">
        <v>329</v>
      </c>
      <c r="AK70" s="1" t="s">
        <v>329</v>
      </c>
      <c r="AL70" s="1">
        <v>13</v>
      </c>
      <c r="AM70" s="1" t="s">
        <v>4779</v>
      </c>
      <c r="AN70" s="1" t="s">
        <v>4894</v>
      </c>
      <c r="AO70" s="1" t="s">
        <v>4931</v>
      </c>
      <c r="AP70" s="1">
        <v>0</v>
      </c>
      <c r="AQ70" s="1" t="s">
        <v>1158</v>
      </c>
      <c r="AR70" s="1" t="s">
        <v>1182</v>
      </c>
      <c r="AS70" s="1" t="s">
        <v>1773</v>
      </c>
      <c r="AT70" s="1" t="s">
        <v>329</v>
      </c>
      <c r="AU70" s="1">
        <v>72</v>
      </c>
      <c r="AV70" s="1">
        <v>0</v>
      </c>
      <c r="AW70" s="1" t="s">
        <v>4552</v>
      </c>
      <c r="AX70" s="1" t="s">
        <v>4857</v>
      </c>
      <c r="AY70" s="1">
        <v>4</v>
      </c>
      <c r="AZ70" s="1">
        <v>0</v>
      </c>
      <c r="BA70" s="1" t="s">
        <v>329</v>
      </c>
      <c r="BB70" s="1" t="s">
        <v>4960</v>
      </c>
      <c r="BC70" s="1" t="s">
        <v>329</v>
      </c>
      <c r="BD70" s="1">
        <v>10202</v>
      </c>
      <c r="BE70" s="1"/>
    </row>
    <row r="71" spans="1:57" x14ac:dyDescent="0.25">
      <c r="A71" s="1">
        <v>73</v>
      </c>
      <c r="B71" s="1" t="s">
        <v>2999</v>
      </c>
      <c r="C71" s="9" t="s">
        <v>104</v>
      </c>
      <c r="D71" s="1" t="s">
        <v>104</v>
      </c>
      <c r="E71" s="1"/>
      <c r="F71" s="1"/>
      <c r="G71" s="1" t="s">
        <v>3000</v>
      </c>
      <c r="H71" s="1" t="s">
        <v>3001</v>
      </c>
      <c r="I71" s="1" t="s">
        <v>3002</v>
      </c>
      <c r="J71" s="1">
        <v>4</v>
      </c>
      <c r="K71" s="1">
        <v>5</v>
      </c>
      <c r="L71" s="1">
        <v>15120</v>
      </c>
      <c r="M71" s="1">
        <v>20</v>
      </c>
      <c r="N71" s="1">
        <v>20</v>
      </c>
      <c r="O71" s="1">
        <v>10</v>
      </c>
      <c r="P71" s="1">
        <v>10</v>
      </c>
      <c r="Q71" s="1">
        <v>2</v>
      </c>
      <c r="R71" s="1">
        <v>5</v>
      </c>
      <c r="S71" s="1">
        <v>5</v>
      </c>
      <c r="T71" s="1">
        <v>0</v>
      </c>
      <c r="U71" s="1">
        <v>110</v>
      </c>
      <c r="V71" s="1">
        <v>118</v>
      </c>
      <c r="W71" s="1">
        <v>110</v>
      </c>
      <c r="X71" s="1">
        <v>100</v>
      </c>
      <c r="Y71" s="1">
        <v>132</v>
      </c>
      <c r="Z71" s="1">
        <v>105</v>
      </c>
      <c r="AA71" s="1">
        <v>0</v>
      </c>
      <c r="AB71" s="1">
        <v>15</v>
      </c>
      <c r="AC71" s="1">
        <v>30</v>
      </c>
      <c r="AD71" s="1">
        <v>0</v>
      </c>
      <c r="AE71" s="1">
        <v>125</v>
      </c>
      <c r="AF71" s="1">
        <v>100</v>
      </c>
      <c r="AG71" s="1">
        <v>109701</v>
      </c>
      <c r="AH71" s="1">
        <v>0</v>
      </c>
      <c r="AI71" s="1">
        <v>300103</v>
      </c>
      <c r="AJ71" s="1" t="s">
        <v>4961</v>
      </c>
      <c r="AK71" s="1" t="s">
        <v>329</v>
      </c>
      <c r="AL71" s="1">
        <v>13</v>
      </c>
      <c r="AM71" s="1" t="s">
        <v>1866</v>
      </c>
      <c r="AN71" s="1" t="s">
        <v>4962</v>
      </c>
      <c r="AO71" s="1" t="s">
        <v>4963</v>
      </c>
      <c r="AP71" s="1">
        <v>0</v>
      </c>
      <c r="AQ71" s="1" t="s">
        <v>1158</v>
      </c>
      <c r="AR71" s="1" t="s">
        <v>1182</v>
      </c>
      <c r="AS71" s="1" t="s">
        <v>1157</v>
      </c>
      <c r="AT71" s="1" t="s">
        <v>329</v>
      </c>
      <c r="AU71" s="1">
        <v>73</v>
      </c>
      <c r="AV71" s="1">
        <v>0</v>
      </c>
      <c r="AW71" s="1" t="s">
        <v>4964</v>
      </c>
      <c r="AX71" s="1" t="s">
        <v>4965</v>
      </c>
      <c r="AY71" s="1">
        <v>5</v>
      </c>
      <c r="AZ71" s="1">
        <v>0</v>
      </c>
      <c r="BA71" s="1" t="s">
        <v>329</v>
      </c>
      <c r="BB71" s="1" t="s">
        <v>4966</v>
      </c>
      <c r="BC71" s="1" t="s">
        <v>329</v>
      </c>
      <c r="BD71" s="1">
        <v>10402</v>
      </c>
      <c r="BE71" s="1"/>
    </row>
    <row r="72" spans="1:57" x14ac:dyDescent="0.25">
      <c r="A72" s="1">
        <v>74</v>
      </c>
      <c r="B72" s="1" t="s">
        <v>3003</v>
      </c>
      <c r="C72" s="9" t="s">
        <v>745</v>
      </c>
      <c r="D72" s="1" t="s">
        <v>745</v>
      </c>
      <c r="E72" s="1"/>
      <c r="F72" s="1"/>
      <c r="G72" s="1" t="s">
        <v>3004</v>
      </c>
      <c r="H72" s="1" t="s">
        <v>3005</v>
      </c>
      <c r="I72" s="1" t="s">
        <v>3006</v>
      </c>
      <c r="J72" s="1">
        <v>4</v>
      </c>
      <c r="K72" s="1">
        <v>2</v>
      </c>
      <c r="L72" s="1">
        <v>9600</v>
      </c>
      <c r="M72" s="1">
        <v>20</v>
      </c>
      <c r="N72" s="1">
        <v>20</v>
      </c>
      <c r="O72" s="1">
        <v>10</v>
      </c>
      <c r="P72" s="1">
        <v>10</v>
      </c>
      <c r="Q72" s="1">
        <v>2</v>
      </c>
      <c r="R72" s="1">
        <v>5</v>
      </c>
      <c r="S72" s="1">
        <v>5</v>
      </c>
      <c r="T72" s="1">
        <v>0</v>
      </c>
      <c r="U72" s="1">
        <v>105</v>
      </c>
      <c r="V72" s="1">
        <v>120</v>
      </c>
      <c r="W72" s="1">
        <v>85</v>
      </c>
      <c r="X72" s="1">
        <v>100</v>
      </c>
      <c r="Y72" s="1">
        <v>95</v>
      </c>
      <c r="Z72" s="1">
        <v>85</v>
      </c>
      <c r="AA72" s="1">
        <v>0</v>
      </c>
      <c r="AB72" s="1">
        <v>15</v>
      </c>
      <c r="AC72" s="1">
        <v>20</v>
      </c>
      <c r="AD72" s="1">
        <v>0</v>
      </c>
      <c r="AE72" s="1">
        <v>125</v>
      </c>
      <c r="AF72" s="1">
        <v>130</v>
      </c>
      <c r="AG72" s="1">
        <v>100101</v>
      </c>
      <c r="AH72" s="1">
        <v>0</v>
      </c>
      <c r="AI72" s="1">
        <v>300103</v>
      </c>
      <c r="AJ72" s="1" t="s">
        <v>1153</v>
      </c>
      <c r="AK72" s="1" t="s">
        <v>329</v>
      </c>
      <c r="AL72" s="1">
        <v>13</v>
      </c>
      <c r="AM72" s="1" t="s">
        <v>4779</v>
      </c>
      <c r="AN72" s="1" t="s">
        <v>4894</v>
      </c>
      <c r="AO72" s="1" t="s">
        <v>4967</v>
      </c>
      <c r="AP72" s="1">
        <v>0</v>
      </c>
      <c r="AQ72" s="1" t="s">
        <v>1774</v>
      </c>
      <c r="AR72" s="1" t="s">
        <v>1182</v>
      </c>
      <c r="AS72" s="1" t="s">
        <v>1157</v>
      </c>
      <c r="AT72" s="1" t="s">
        <v>329</v>
      </c>
      <c r="AU72" s="1">
        <v>74</v>
      </c>
      <c r="AV72" s="1">
        <v>0</v>
      </c>
      <c r="AW72" s="1" t="s">
        <v>4552</v>
      </c>
      <c r="AX72" s="1" t="s">
        <v>471</v>
      </c>
      <c r="AY72" s="1">
        <v>2</v>
      </c>
      <c r="AZ72" s="1">
        <v>0</v>
      </c>
      <c r="BA72" s="1" t="s">
        <v>329</v>
      </c>
      <c r="BB72" s="1" t="s">
        <v>4968</v>
      </c>
      <c r="BC72" s="1" t="s">
        <v>329</v>
      </c>
      <c r="BD72" s="1">
        <v>10302</v>
      </c>
      <c r="BE72" s="1"/>
    </row>
    <row r="73" spans="1:57" x14ac:dyDescent="0.25">
      <c r="A73" s="1">
        <v>75</v>
      </c>
      <c r="B73" s="1" t="s">
        <v>3007</v>
      </c>
      <c r="C73" s="9" t="s">
        <v>105</v>
      </c>
      <c r="D73" s="1" t="s">
        <v>105</v>
      </c>
      <c r="E73" s="1"/>
      <c r="F73" s="1"/>
      <c r="G73" s="1" t="s">
        <v>3008</v>
      </c>
      <c r="H73" s="1" t="s">
        <v>3009</v>
      </c>
      <c r="I73" s="1" t="s">
        <v>3010</v>
      </c>
      <c r="J73" s="1">
        <v>5</v>
      </c>
      <c r="K73" s="1">
        <v>4</v>
      </c>
      <c r="L73" s="1">
        <v>23100</v>
      </c>
      <c r="M73" s="1">
        <v>40</v>
      </c>
      <c r="N73" s="1">
        <v>30</v>
      </c>
      <c r="O73" s="1">
        <v>25</v>
      </c>
      <c r="P73" s="1">
        <v>15</v>
      </c>
      <c r="Q73" s="1">
        <v>5</v>
      </c>
      <c r="R73" s="1">
        <v>5</v>
      </c>
      <c r="S73" s="1">
        <v>2</v>
      </c>
      <c r="T73" s="1">
        <v>5</v>
      </c>
      <c r="U73" s="1">
        <v>95</v>
      </c>
      <c r="V73" s="1">
        <v>115</v>
      </c>
      <c r="W73" s="1">
        <v>105</v>
      </c>
      <c r="X73" s="1">
        <v>100</v>
      </c>
      <c r="Y73" s="1">
        <v>120</v>
      </c>
      <c r="Z73" s="1">
        <v>125</v>
      </c>
      <c r="AA73" s="1">
        <v>0</v>
      </c>
      <c r="AB73" s="1">
        <v>15</v>
      </c>
      <c r="AC73" s="1">
        <v>5</v>
      </c>
      <c r="AD73" s="1">
        <v>8</v>
      </c>
      <c r="AE73" s="1">
        <v>125</v>
      </c>
      <c r="AF73" s="1">
        <v>120</v>
      </c>
      <c r="AG73" s="1">
        <v>100111</v>
      </c>
      <c r="AH73" s="1">
        <v>0</v>
      </c>
      <c r="AI73" s="1">
        <v>300105</v>
      </c>
      <c r="AJ73" s="1" t="s">
        <v>1194</v>
      </c>
      <c r="AK73" s="1" t="s">
        <v>329</v>
      </c>
      <c r="AL73" s="1">
        <v>18</v>
      </c>
      <c r="AM73" s="1" t="s">
        <v>4918</v>
      </c>
      <c r="AN73" s="1" t="s">
        <v>4969</v>
      </c>
      <c r="AO73" s="1" t="s">
        <v>4970</v>
      </c>
      <c r="AP73" s="1">
        <v>0</v>
      </c>
      <c r="AQ73" s="1" t="s">
        <v>1195</v>
      </c>
      <c r="AR73" s="1" t="s">
        <v>4971</v>
      </c>
      <c r="AS73" s="1" t="s">
        <v>4972</v>
      </c>
      <c r="AT73" s="1" t="s">
        <v>329</v>
      </c>
      <c r="AU73" s="1">
        <v>75</v>
      </c>
      <c r="AV73" s="1">
        <v>0</v>
      </c>
      <c r="AW73" s="1" t="s">
        <v>4552</v>
      </c>
      <c r="AX73" s="1" t="s">
        <v>4857</v>
      </c>
      <c r="AY73" s="1">
        <v>4</v>
      </c>
      <c r="AZ73" s="1">
        <v>0</v>
      </c>
      <c r="BA73" s="1" t="s">
        <v>4803</v>
      </c>
      <c r="BB73" s="1" t="s">
        <v>4973</v>
      </c>
      <c r="BC73" s="1" t="s">
        <v>4780</v>
      </c>
      <c r="BD73" s="1">
        <v>10303</v>
      </c>
      <c r="BE73" s="1"/>
    </row>
    <row r="74" spans="1:57" x14ac:dyDescent="0.25">
      <c r="A74" s="1">
        <v>77</v>
      </c>
      <c r="B74" s="1" t="s">
        <v>3011</v>
      </c>
      <c r="C74" s="9" t="s">
        <v>792</v>
      </c>
      <c r="D74" s="1" t="s">
        <v>792</v>
      </c>
      <c r="E74" s="1"/>
      <c r="F74" s="1"/>
      <c r="G74" s="1" t="s">
        <v>3012</v>
      </c>
      <c r="H74" s="1" t="s">
        <v>3013</v>
      </c>
      <c r="I74" s="1" t="s">
        <v>3014</v>
      </c>
      <c r="J74" s="1">
        <v>5</v>
      </c>
      <c r="K74" s="1">
        <v>3</v>
      </c>
      <c r="L74" s="1">
        <v>22200</v>
      </c>
      <c r="M74" s="1">
        <v>40</v>
      </c>
      <c r="N74" s="1">
        <v>30</v>
      </c>
      <c r="O74" s="1">
        <v>25</v>
      </c>
      <c r="P74" s="1">
        <v>15</v>
      </c>
      <c r="Q74" s="1">
        <v>5</v>
      </c>
      <c r="R74" s="1">
        <v>5</v>
      </c>
      <c r="S74" s="1">
        <v>2</v>
      </c>
      <c r="T74" s="1">
        <v>5</v>
      </c>
      <c r="U74" s="1">
        <v>130</v>
      </c>
      <c r="V74" s="1">
        <v>145</v>
      </c>
      <c r="W74" s="1">
        <v>100</v>
      </c>
      <c r="X74" s="1">
        <v>100</v>
      </c>
      <c r="Y74" s="1">
        <v>85</v>
      </c>
      <c r="Z74" s="1">
        <v>75</v>
      </c>
      <c r="AA74" s="1">
        <v>0</v>
      </c>
      <c r="AB74" s="1">
        <v>15</v>
      </c>
      <c r="AC74" s="1">
        <v>5</v>
      </c>
      <c r="AD74" s="1">
        <v>10</v>
      </c>
      <c r="AE74" s="1">
        <v>95</v>
      </c>
      <c r="AF74" s="1">
        <v>145</v>
      </c>
      <c r="AG74" s="1">
        <v>301502</v>
      </c>
      <c r="AH74" s="1">
        <v>0</v>
      </c>
      <c r="AI74" s="1">
        <v>300107</v>
      </c>
      <c r="AJ74" s="1" t="s">
        <v>1198</v>
      </c>
      <c r="AK74" s="1" t="s">
        <v>329</v>
      </c>
      <c r="AL74" s="1">
        <v>18</v>
      </c>
      <c r="AM74" s="1" t="s">
        <v>4918</v>
      </c>
      <c r="AN74" s="1" t="s">
        <v>4969</v>
      </c>
      <c r="AO74" s="1" t="s">
        <v>4974</v>
      </c>
      <c r="AP74" s="1">
        <v>0</v>
      </c>
      <c r="AQ74" s="1" t="s">
        <v>1195</v>
      </c>
      <c r="AR74" s="1" t="s">
        <v>1196</v>
      </c>
      <c r="AS74" s="1" t="s">
        <v>1197</v>
      </c>
      <c r="AT74" s="1" t="s">
        <v>329</v>
      </c>
      <c r="AU74" s="1">
        <v>77</v>
      </c>
      <c r="AV74" s="1">
        <v>0</v>
      </c>
      <c r="AW74" s="1" t="s">
        <v>4552</v>
      </c>
      <c r="AX74" s="1" t="s">
        <v>4857</v>
      </c>
      <c r="AY74" s="1">
        <v>3</v>
      </c>
      <c r="AZ74" s="1">
        <v>0</v>
      </c>
      <c r="BA74" s="1" t="s">
        <v>329</v>
      </c>
      <c r="BB74" s="1" t="s">
        <v>4975</v>
      </c>
      <c r="BC74" s="1" t="s">
        <v>4780</v>
      </c>
      <c r="BD74" s="1">
        <v>10302</v>
      </c>
      <c r="BE74" s="1"/>
    </row>
    <row r="75" spans="1:57" x14ac:dyDescent="0.25">
      <c r="A75" s="1">
        <v>78</v>
      </c>
      <c r="B75" s="1" t="s">
        <v>3015</v>
      </c>
      <c r="C75" s="9" t="s">
        <v>106</v>
      </c>
      <c r="D75" s="1" t="s">
        <v>106</v>
      </c>
      <c r="E75" s="1"/>
      <c r="F75" s="1"/>
      <c r="G75" s="1" t="s">
        <v>3016</v>
      </c>
      <c r="H75" s="1" t="s">
        <v>3017</v>
      </c>
      <c r="I75" s="1" t="s">
        <v>3018</v>
      </c>
      <c r="J75" s="1">
        <v>5</v>
      </c>
      <c r="K75" s="1">
        <v>4</v>
      </c>
      <c r="L75" s="1">
        <v>22200</v>
      </c>
      <c r="M75" s="1">
        <v>40</v>
      </c>
      <c r="N75" s="1">
        <v>30</v>
      </c>
      <c r="O75" s="1">
        <v>25</v>
      </c>
      <c r="P75" s="1">
        <v>15</v>
      </c>
      <c r="Q75" s="1">
        <v>5</v>
      </c>
      <c r="R75" s="1">
        <v>5</v>
      </c>
      <c r="S75" s="1">
        <v>2</v>
      </c>
      <c r="T75" s="1">
        <v>5</v>
      </c>
      <c r="U75" s="1">
        <v>110</v>
      </c>
      <c r="V75" s="1">
        <v>115</v>
      </c>
      <c r="W75" s="1">
        <v>105</v>
      </c>
      <c r="X75" s="1">
        <v>100</v>
      </c>
      <c r="Y75" s="1">
        <v>105</v>
      </c>
      <c r="Z75" s="1">
        <v>105</v>
      </c>
      <c r="AA75" s="1">
        <v>0</v>
      </c>
      <c r="AB75" s="1">
        <v>15</v>
      </c>
      <c r="AC75" s="1">
        <v>5</v>
      </c>
      <c r="AD75" s="1">
        <v>9</v>
      </c>
      <c r="AE75" s="1">
        <v>115</v>
      </c>
      <c r="AF75" s="1">
        <v>95</v>
      </c>
      <c r="AG75" s="1">
        <v>100117</v>
      </c>
      <c r="AH75" s="1">
        <v>0</v>
      </c>
      <c r="AI75" s="1">
        <v>300105</v>
      </c>
      <c r="AJ75" s="1" t="s">
        <v>1194</v>
      </c>
      <c r="AK75" s="1" t="s">
        <v>329</v>
      </c>
      <c r="AL75" s="1">
        <v>17</v>
      </c>
      <c r="AM75" s="1" t="s">
        <v>4918</v>
      </c>
      <c r="AN75" s="1" t="s">
        <v>4976</v>
      </c>
      <c r="AO75" s="1" t="s">
        <v>4977</v>
      </c>
      <c r="AP75" s="1">
        <v>0</v>
      </c>
      <c r="AQ75" s="1" t="s">
        <v>1195</v>
      </c>
      <c r="AR75" s="1" t="s">
        <v>1196</v>
      </c>
      <c r="AS75" s="1" t="s">
        <v>1197</v>
      </c>
      <c r="AT75" s="1" t="s">
        <v>329</v>
      </c>
      <c r="AU75" s="1">
        <v>78</v>
      </c>
      <c r="AV75" s="1">
        <v>0</v>
      </c>
      <c r="AW75" s="1" t="s">
        <v>4552</v>
      </c>
      <c r="AX75" s="1" t="s">
        <v>4857</v>
      </c>
      <c r="AY75" s="1">
        <v>4</v>
      </c>
      <c r="AZ75" s="1">
        <v>0</v>
      </c>
      <c r="BA75" s="1" t="s">
        <v>329</v>
      </c>
      <c r="BB75" s="1" t="s">
        <v>4978</v>
      </c>
      <c r="BC75" s="1" t="s">
        <v>4780</v>
      </c>
      <c r="BD75" s="1">
        <v>10704</v>
      </c>
      <c r="BE75" s="1"/>
    </row>
    <row r="76" spans="1:57" x14ac:dyDescent="0.25">
      <c r="A76" s="1">
        <v>79</v>
      </c>
      <c r="B76" s="1" t="s">
        <v>3019</v>
      </c>
      <c r="C76" s="9" t="s">
        <v>1199</v>
      </c>
      <c r="D76" s="1" t="s">
        <v>1199</v>
      </c>
      <c r="E76" s="1"/>
      <c r="F76" s="1"/>
      <c r="G76" s="1" t="s">
        <v>3020</v>
      </c>
      <c r="H76" s="1" t="s">
        <v>3021</v>
      </c>
      <c r="I76" s="1" t="s">
        <v>3022</v>
      </c>
      <c r="J76" s="1">
        <v>5</v>
      </c>
      <c r="K76" s="1">
        <v>3</v>
      </c>
      <c r="L76" s="1">
        <v>19800</v>
      </c>
      <c r="M76" s="1">
        <v>40</v>
      </c>
      <c r="N76" s="1">
        <v>30</v>
      </c>
      <c r="O76" s="1">
        <v>25</v>
      </c>
      <c r="P76" s="1">
        <v>15</v>
      </c>
      <c r="Q76" s="1">
        <v>5</v>
      </c>
      <c r="R76" s="1">
        <v>5</v>
      </c>
      <c r="S76" s="1">
        <v>2</v>
      </c>
      <c r="T76" s="1">
        <v>5</v>
      </c>
      <c r="U76" s="1">
        <v>95</v>
      </c>
      <c r="V76" s="1">
        <v>90</v>
      </c>
      <c r="W76" s="1">
        <v>125</v>
      </c>
      <c r="X76" s="1">
        <v>100</v>
      </c>
      <c r="Y76" s="1">
        <v>125</v>
      </c>
      <c r="Z76" s="1">
        <v>130</v>
      </c>
      <c r="AA76" s="1">
        <v>0</v>
      </c>
      <c r="AB76" s="1">
        <v>15</v>
      </c>
      <c r="AC76" s="1">
        <v>5</v>
      </c>
      <c r="AD76" s="1">
        <v>8</v>
      </c>
      <c r="AE76" s="1">
        <v>135</v>
      </c>
      <c r="AF76" s="1">
        <v>100</v>
      </c>
      <c r="AG76" s="1">
        <v>105101</v>
      </c>
      <c r="AH76" s="1">
        <v>0</v>
      </c>
      <c r="AI76" s="1">
        <v>300105</v>
      </c>
      <c r="AJ76" s="1" t="s">
        <v>1198</v>
      </c>
      <c r="AK76" s="1" t="s">
        <v>329</v>
      </c>
      <c r="AL76" s="1">
        <v>18</v>
      </c>
      <c r="AM76" s="1" t="s">
        <v>4918</v>
      </c>
      <c r="AN76" s="1" t="s">
        <v>4979</v>
      </c>
      <c r="AO76" s="1" t="s">
        <v>4980</v>
      </c>
      <c r="AP76" s="1">
        <v>0</v>
      </c>
      <c r="AQ76" s="1" t="s">
        <v>1195</v>
      </c>
      <c r="AR76" s="1" t="s">
        <v>1196</v>
      </c>
      <c r="AS76" s="1" t="s">
        <v>4972</v>
      </c>
      <c r="AT76" s="1" t="s">
        <v>329</v>
      </c>
      <c r="AU76" s="1">
        <v>79</v>
      </c>
      <c r="AV76" s="1">
        <v>0</v>
      </c>
      <c r="AW76" s="1" t="s">
        <v>4552</v>
      </c>
      <c r="AX76" s="1" t="s">
        <v>4981</v>
      </c>
      <c r="AY76" s="1">
        <v>3</v>
      </c>
      <c r="AZ76" s="1">
        <v>0</v>
      </c>
      <c r="BA76" s="1" t="s">
        <v>329</v>
      </c>
      <c r="BB76" s="1" t="s">
        <v>4975</v>
      </c>
      <c r="BC76" s="1" t="s">
        <v>4780</v>
      </c>
      <c r="BD76" s="1">
        <v>10302</v>
      </c>
      <c r="BE76" s="1"/>
    </row>
    <row r="77" spans="1:57" x14ac:dyDescent="0.25">
      <c r="A77" s="1">
        <v>80</v>
      </c>
      <c r="B77" s="1" t="s">
        <v>3023</v>
      </c>
      <c r="C77" s="9" t="s">
        <v>107</v>
      </c>
      <c r="D77" s="1" t="s">
        <v>107</v>
      </c>
      <c r="E77" s="1"/>
      <c r="F77" s="1"/>
      <c r="G77" s="1" t="s">
        <v>3024</v>
      </c>
      <c r="H77" s="1" t="s">
        <v>3025</v>
      </c>
      <c r="I77" s="1" t="s">
        <v>3026</v>
      </c>
      <c r="J77" s="1">
        <v>5</v>
      </c>
      <c r="K77" s="1">
        <v>3</v>
      </c>
      <c r="L77" s="1">
        <v>20400</v>
      </c>
      <c r="M77" s="1">
        <v>40</v>
      </c>
      <c r="N77" s="1">
        <v>30</v>
      </c>
      <c r="O77" s="1">
        <v>25</v>
      </c>
      <c r="P77" s="1">
        <v>15</v>
      </c>
      <c r="Q77" s="1">
        <v>5</v>
      </c>
      <c r="R77" s="1">
        <v>5</v>
      </c>
      <c r="S77" s="1">
        <v>2</v>
      </c>
      <c r="T77" s="1">
        <v>5</v>
      </c>
      <c r="U77" s="1">
        <v>110</v>
      </c>
      <c r="V77" s="1">
        <v>125</v>
      </c>
      <c r="W77" s="1">
        <v>95</v>
      </c>
      <c r="X77" s="1">
        <v>100</v>
      </c>
      <c r="Y77" s="1">
        <v>110</v>
      </c>
      <c r="Z77" s="1">
        <v>95</v>
      </c>
      <c r="AA77" s="1">
        <v>0</v>
      </c>
      <c r="AB77" s="1">
        <v>15</v>
      </c>
      <c r="AC77" s="1">
        <v>5</v>
      </c>
      <c r="AD77" s="1">
        <v>9</v>
      </c>
      <c r="AE77" s="1">
        <v>110</v>
      </c>
      <c r="AF77" s="1">
        <v>110</v>
      </c>
      <c r="AG77" s="1">
        <v>105202</v>
      </c>
      <c r="AH77" s="1">
        <v>0</v>
      </c>
      <c r="AI77" s="1">
        <v>300105</v>
      </c>
      <c r="AJ77" s="1" t="s">
        <v>4982</v>
      </c>
      <c r="AK77" s="1" t="s">
        <v>329</v>
      </c>
      <c r="AL77" s="1">
        <v>19</v>
      </c>
      <c r="AM77" s="1" t="s">
        <v>4918</v>
      </c>
      <c r="AN77" s="1" t="s">
        <v>4983</v>
      </c>
      <c r="AO77" s="1" t="s">
        <v>4984</v>
      </c>
      <c r="AP77" s="1">
        <v>0</v>
      </c>
      <c r="AQ77" s="1" t="s">
        <v>1195</v>
      </c>
      <c r="AR77" s="1" t="s">
        <v>4971</v>
      </c>
      <c r="AS77" s="1" t="s">
        <v>1197</v>
      </c>
      <c r="AT77" s="1" t="s">
        <v>329</v>
      </c>
      <c r="AU77" s="1">
        <v>80</v>
      </c>
      <c r="AV77" s="1">
        <v>0</v>
      </c>
      <c r="AW77" s="1" t="s">
        <v>4552</v>
      </c>
      <c r="AX77" s="1" t="s">
        <v>4857</v>
      </c>
      <c r="AY77" s="1">
        <v>3</v>
      </c>
      <c r="AZ77" s="1">
        <v>0</v>
      </c>
      <c r="BA77" s="1" t="s">
        <v>329</v>
      </c>
      <c r="BB77" s="1" t="s">
        <v>4985</v>
      </c>
      <c r="BC77" s="1" t="s">
        <v>4780</v>
      </c>
      <c r="BD77" s="1">
        <v>10704</v>
      </c>
      <c r="BE77" s="1"/>
    </row>
    <row r="78" spans="1:57" x14ac:dyDescent="0.25">
      <c r="A78" s="1">
        <v>81</v>
      </c>
      <c r="B78" s="1" t="s">
        <v>3027</v>
      </c>
      <c r="C78" s="9" t="s">
        <v>108</v>
      </c>
      <c r="D78" s="1" t="s">
        <v>108</v>
      </c>
      <c r="E78" s="1"/>
      <c r="F78" s="1"/>
      <c r="G78" s="1" t="s">
        <v>3028</v>
      </c>
      <c r="H78" s="1" t="s">
        <v>3029</v>
      </c>
      <c r="I78" s="1" t="s">
        <v>3030</v>
      </c>
      <c r="J78" s="1">
        <v>5</v>
      </c>
      <c r="K78" s="1">
        <v>2</v>
      </c>
      <c r="L78" s="1">
        <v>18600</v>
      </c>
      <c r="M78" s="1">
        <v>40</v>
      </c>
      <c r="N78" s="1">
        <v>30</v>
      </c>
      <c r="O78" s="1">
        <v>25</v>
      </c>
      <c r="P78" s="1">
        <v>15</v>
      </c>
      <c r="Q78" s="1">
        <v>5</v>
      </c>
      <c r="R78" s="1">
        <v>5</v>
      </c>
      <c r="S78" s="1">
        <v>2</v>
      </c>
      <c r="T78" s="1">
        <v>5</v>
      </c>
      <c r="U78" s="1">
        <v>105</v>
      </c>
      <c r="V78" s="1">
        <v>135</v>
      </c>
      <c r="W78" s="1">
        <v>90</v>
      </c>
      <c r="X78" s="1">
        <v>100</v>
      </c>
      <c r="Y78" s="1">
        <v>115</v>
      </c>
      <c r="Z78" s="1">
        <v>105</v>
      </c>
      <c r="AA78" s="1">
        <v>0</v>
      </c>
      <c r="AB78" s="1">
        <v>15</v>
      </c>
      <c r="AC78" s="1">
        <v>5</v>
      </c>
      <c r="AD78" s="1">
        <v>9</v>
      </c>
      <c r="AE78" s="1">
        <v>95</v>
      </c>
      <c r="AF78" s="1">
        <v>100</v>
      </c>
      <c r="AG78" s="1">
        <v>105201</v>
      </c>
      <c r="AH78" s="1">
        <v>0</v>
      </c>
      <c r="AI78" s="1">
        <v>802202</v>
      </c>
      <c r="AJ78" s="1" t="s">
        <v>1200</v>
      </c>
      <c r="AK78" s="1" t="s">
        <v>329</v>
      </c>
      <c r="AL78" s="1">
        <v>18</v>
      </c>
      <c r="AM78" s="1" t="s">
        <v>4918</v>
      </c>
      <c r="AN78" s="1" t="s">
        <v>4969</v>
      </c>
      <c r="AO78" s="1" t="s">
        <v>4986</v>
      </c>
      <c r="AP78" s="1">
        <v>0</v>
      </c>
      <c r="AQ78" s="1" t="s">
        <v>1195</v>
      </c>
      <c r="AR78" s="1" t="s">
        <v>4971</v>
      </c>
      <c r="AS78" s="1" t="s">
        <v>1197</v>
      </c>
      <c r="AT78" s="1" t="s">
        <v>329</v>
      </c>
      <c r="AU78" s="1">
        <v>81</v>
      </c>
      <c r="AV78" s="1">
        <v>0</v>
      </c>
      <c r="AW78" s="1" t="s">
        <v>4552</v>
      </c>
      <c r="AX78" s="1" t="s">
        <v>471</v>
      </c>
      <c r="AY78" s="1">
        <v>2</v>
      </c>
      <c r="AZ78" s="1">
        <v>0</v>
      </c>
      <c r="BA78" s="1" t="s">
        <v>4805</v>
      </c>
      <c r="BB78" s="1" t="s">
        <v>4987</v>
      </c>
      <c r="BC78" s="1" t="s">
        <v>4780</v>
      </c>
      <c r="BD78" s="1">
        <v>10302</v>
      </c>
      <c r="BE78" s="1"/>
    </row>
    <row r="79" spans="1:57" x14ac:dyDescent="0.25">
      <c r="A79" s="1">
        <v>82</v>
      </c>
      <c r="B79" s="1" t="s">
        <v>3031</v>
      </c>
      <c r="C79" s="9" t="s">
        <v>109</v>
      </c>
      <c r="D79" s="1" t="s">
        <v>109</v>
      </c>
      <c r="E79" s="1"/>
      <c r="F79" s="1"/>
      <c r="G79" s="1" t="s">
        <v>3032</v>
      </c>
      <c r="H79" s="1" t="s">
        <v>3033</v>
      </c>
      <c r="I79" s="1" t="s">
        <v>3034</v>
      </c>
      <c r="J79" s="1">
        <v>5</v>
      </c>
      <c r="K79" s="1">
        <v>2</v>
      </c>
      <c r="L79" s="1">
        <v>18000</v>
      </c>
      <c r="M79" s="1">
        <v>40</v>
      </c>
      <c r="N79" s="1">
        <v>30</v>
      </c>
      <c r="O79" s="1">
        <v>25</v>
      </c>
      <c r="P79" s="1">
        <v>15</v>
      </c>
      <c r="Q79" s="1">
        <v>5</v>
      </c>
      <c r="R79" s="1">
        <v>5</v>
      </c>
      <c r="S79" s="1">
        <v>2</v>
      </c>
      <c r="T79" s="1">
        <v>5</v>
      </c>
      <c r="U79" s="1">
        <v>85</v>
      </c>
      <c r="V79" s="1">
        <v>105</v>
      </c>
      <c r="W79" s="1">
        <v>105</v>
      </c>
      <c r="X79" s="1">
        <v>100</v>
      </c>
      <c r="Y79" s="1">
        <v>105</v>
      </c>
      <c r="Z79" s="1">
        <v>120</v>
      </c>
      <c r="AA79" s="1">
        <v>0</v>
      </c>
      <c r="AB79" s="1">
        <v>15</v>
      </c>
      <c r="AC79" s="1">
        <v>5</v>
      </c>
      <c r="AD79" s="1">
        <v>9</v>
      </c>
      <c r="AE79" s="1">
        <v>125</v>
      </c>
      <c r="AF79" s="1">
        <v>100</v>
      </c>
      <c r="AG79" s="1">
        <v>105102</v>
      </c>
      <c r="AH79" s="1">
        <v>0</v>
      </c>
      <c r="AI79" s="1">
        <v>300105</v>
      </c>
      <c r="AJ79" s="1" t="s">
        <v>1198</v>
      </c>
      <c r="AK79" s="1" t="s">
        <v>329</v>
      </c>
      <c r="AL79" s="1">
        <v>19</v>
      </c>
      <c r="AM79" s="1" t="s">
        <v>4918</v>
      </c>
      <c r="AN79" s="1" t="s">
        <v>4988</v>
      </c>
      <c r="AO79" s="1" t="s">
        <v>4989</v>
      </c>
      <c r="AP79" s="1">
        <v>0</v>
      </c>
      <c r="AQ79" s="1" t="s">
        <v>1195</v>
      </c>
      <c r="AR79" s="1" t="s">
        <v>4971</v>
      </c>
      <c r="AS79" s="1" t="s">
        <v>1197</v>
      </c>
      <c r="AT79" s="1" t="s">
        <v>329</v>
      </c>
      <c r="AU79" s="1">
        <v>82</v>
      </c>
      <c r="AV79" s="1">
        <v>0</v>
      </c>
      <c r="AW79" s="1" t="s">
        <v>4552</v>
      </c>
      <c r="AX79" s="1" t="s">
        <v>471</v>
      </c>
      <c r="AY79" s="1">
        <v>2</v>
      </c>
      <c r="AZ79" s="1">
        <v>0</v>
      </c>
      <c r="BA79" s="1" t="s">
        <v>329</v>
      </c>
      <c r="BB79" s="1" t="s">
        <v>4990</v>
      </c>
      <c r="BC79" s="1" t="s">
        <v>4817</v>
      </c>
      <c r="BD79" s="1">
        <v>10302</v>
      </c>
      <c r="BE79" s="1"/>
    </row>
    <row r="80" spans="1:57" x14ac:dyDescent="0.25">
      <c r="A80" s="1">
        <v>84</v>
      </c>
      <c r="B80" s="1" t="s">
        <v>3035</v>
      </c>
      <c r="C80" s="9" t="s">
        <v>110</v>
      </c>
      <c r="D80" s="1" t="s">
        <v>110</v>
      </c>
      <c r="E80" s="1"/>
      <c r="F80" s="1"/>
      <c r="G80" s="1" t="s">
        <v>3036</v>
      </c>
      <c r="H80" s="1" t="s">
        <v>3037</v>
      </c>
      <c r="I80" s="1" t="s">
        <v>3038</v>
      </c>
      <c r="J80" s="1">
        <v>5</v>
      </c>
      <c r="K80" s="1">
        <v>3</v>
      </c>
      <c r="L80" s="1">
        <v>19800</v>
      </c>
      <c r="M80" s="1">
        <v>40</v>
      </c>
      <c r="N80" s="1">
        <v>30</v>
      </c>
      <c r="O80" s="1">
        <v>25</v>
      </c>
      <c r="P80" s="1">
        <v>15</v>
      </c>
      <c r="Q80" s="1">
        <v>5</v>
      </c>
      <c r="R80" s="1">
        <v>5</v>
      </c>
      <c r="S80" s="1">
        <v>2</v>
      </c>
      <c r="T80" s="1">
        <v>5</v>
      </c>
      <c r="U80" s="1">
        <v>100</v>
      </c>
      <c r="V80" s="1">
        <v>95</v>
      </c>
      <c r="W80" s="1">
        <v>110</v>
      </c>
      <c r="X80" s="1">
        <v>100</v>
      </c>
      <c r="Y80" s="1">
        <v>125</v>
      </c>
      <c r="Z80" s="1">
        <v>125</v>
      </c>
      <c r="AA80" s="1">
        <v>0</v>
      </c>
      <c r="AB80" s="1">
        <v>15</v>
      </c>
      <c r="AC80" s="1">
        <v>5</v>
      </c>
      <c r="AD80" s="1">
        <v>8</v>
      </c>
      <c r="AE80" s="1">
        <v>130</v>
      </c>
      <c r="AF80" s="1">
        <v>100</v>
      </c>
      <c r="AG80" s="1">
        <v>100110</v>
      </c>
      <c r="AH80" s="1">
        <v>0</v>
      </c>
      <c r="AI80" s="1">
        <v>300105</v>
      </c>
      <c r="AJ80" s="1" t="s">
        <v>4982</v>
      </c>
      <c r="AK80" s="1" t="s">
        <v>329</v>
      </c>
      <c r="AL80" s="1">
        <v>18</v>
      </c>
      <c r="AM80" s="1" t="s">
        <v>4918</v>
      </c>
      <c r="AN80" s="1" t="s">
        <v>4991</v>
      </c>
      <c r="AO80" s="1" t="s">
        <v>4992</v>
      </c>
      <c r="AP80" s="1">
        <v>0</v>
      </c>
      <c r="AQ80" s="1" t="s">
        <v>1195</v>
      </c>
      <c r="AR80" s="1" t="s">
        <v>1196</v>
      </c>
      <c r="AS80" s="1" t="s">
        <v>4972</v>
      </c>
      <c r="AT80" s="1" t="s">
        <v>329</v>
      </c>
      <c r="AU80" s="1">
        <v>84</v>
      </c>
      <c r="AV80" s="1">
        <v>0</v>
      </c>
      <c r="AW80" s="1" t="s">
        <v>4993</v>
      </c>
      <c r="AX80" s="1" t="s">
        <v>4994</v>
      </c>
      <c r="AY80" s="1">
        <v>3</v>
      </c>
      <c r="AZ80" s="1">
        <v>0</v>
      </c>
      <c r="BA80" s="1" t="s">
        <v>329</v>
      </c>
      <c r="BB80" s="1" t="s">
        <v>329</v>
      </c>
      <c r="BC80" s="1" t="s">
        <v>4817</v>
      </c>
      <c r="BD80" s="1">
        <v>10704</v>
      </c>
      <c r="BE80" s="1"/>
    </row>
    <row r="81" spans="1:57" x14ac:dyDescent="0.25">
      <c r="A81" s="1">
        <v>85</v>
      </c>
      <c r="B81" s="1" t="s">
        <v>3039</v>
      </c>
      <c r="C81" s="9" t="s">
        <v>111</v>
      </c>
      <c r="D81" s="1" t="s">
        <v>111</v>
      </c>
      <c r="E81" s="1"/>
      <c r="F81" s="1"/>
      <c r="G81" s="1" t="s">
        <v>3040</v>
      </c>
      <c r="H81" s="1" t="s">
        <v>3041</v>
      </c>
      <c r="I81" s="1" t="s">
        <v>3042</v>
      </c>
      <c r="J81" s="1">
        <v>5</v>
      </c>
      <c r="K81" s="1">
        <v>4</v>
      </c>
      <c r="L81" s="1">
        <v>23400</v>
      </c>
      <c r="M81" s="1">
        <v>40</v>
      </c>
      <c r="N81" s="1">
        <v>30</v>
      </c>
      <c r="O81" s="1">
        <v>25</v>
      </c>
      <c r="P81" s="1">
        <v>15</v>
      </c>
      <c r="Q81" s="1">
        <v>5</v>
      </c>
      <c r="R81" s="1">
        <v>5</v>
      </c>
      <c r="S81" s="1">
        <v>2</v>
      </c>
      <c r="T81" s="1">
        <v>5</v>
      </c>
      <c r="U81" s="1">
        <v>115</v>
      </c>
      <c r="V81" s="1">
        <v>125</v>
      </c>
      <c r="W81" s="1">
        <v>80</v>
      </c>
      <c r="X81" s="1">
        <v>100</v>
      </c>
      <c r="Y81" s="1">
        <v>90</v>
      </c>
      <c r="Z81" s="1">
        <v>100</v>
      </c>
      <c r="AA81" s="1">
        <v>0</v>
      </c>
      <c r="AB81" s="1">
        <v>15</v>
      </c>
      <c r="AC81" s="1">
        <v>5</v>
      </c>
      <c r="AD81" s="1">
        <v>11</v>
      </c>
      <c r="AE81" s="1">
        <v>110</v>
      </c>
      <c r="AF81" s="1">
        <v>120</v>
      </c>
      <c r="AG81" s="1">
        <v>750196</v>
      </c>
      <c r="AH81" s="1">
        <v>0</v>
      </c>
      <c r="AI81" s="1">
        <v>300107</v>
      </c>
      <c r="AJ81" s="1" t="s">
        <v>4995</v>
      </c>
      <c r="AK81" s="1" t="s">
        <v>4996</v>
      </c>
      <c r="AL81" s="1">
        <v>18</v>
      </c>
      <c r="AM81" s="1" t="s">
        <v>4918</v>
      </c>
      <c r="AN81" s="1" t="s">
        <v>4997</v>
      </c>
      <c r="AO81" s="1" t="s">
        <v>4884</v>
      </c>
      <c r="AP81" s="1">
        <v>0</v>
      </c>
      <c r="AQ81" s="1" t="s">
        <v>1195</v>
      </c>
      <c r="AR81" s="1" t="s">
        <v>4971</v>
      </c>
      <c r="AS81" s="1" t="s">
        <v>1197</v>
      </c>
      <c r="AT81" s="1" t="s">
        <v>329</v>
      </c>
      <c r="AU81" s="1">
        <v>85</v>
      </c>
      <c r="AV81" s="1">
        <v>0</v>
      </c>
      <c r="AW81" s="1" t="s">
        <v>4552</v>
      </c>
      <c r="AX81" s="1" t="s">
        <v>4857</v>
      </c>
      <c r="AY81" s="1">
        <v>4</v>
      </c>
      <c r="AZ81" s="1">
        <v>0</v>
      </c>
      <c r="BA81" s="1" t="s">
        <v>329</v>
      </c>
      <c r="BB81" s="1" t="s">
        <v>4998</v>
      </c>
      <c r="BC81" s="1" t="s">
        <v>4817</v>
      </c>
      <c r="BD81" s="1">
        <v>10402</v>
      </c>
      <c r="BE81" s="1"/>
    </row>
    <row r="82" spans="1:57" x14ac:dyDescent="0.25">
      <c r="A82" s="1">
        <v>86</v>
      </c>
      <c r="B82" s="1" t="s">
        <v>3043</v>
      </c>
      <c r="C82" s="9" t="s">
        <v>112</v>
      </c>
      <c r="D82" s="1" t="s">
        <v>112</v>
      </c>
      <c r="E82" s="1"/>
      <c r="F82" s="1"/>
      <c r="G82" s="1" t="s">
        <v>3044</v>
      </c>
      <c r="H82" s="1" t="s">
        <v>3045</v>
      </c>
      <c r="I82" s="1" t="s">
        <v>3046</v>
      </c>
      <c r="J82" s="1">
        <v>5</v>
      </c>
      <c r="K82" s="1">
        <v>3</v>
      </c>
      <c r="L82" s="1">
        <v>21000</v>
      </c>
      <c r="M82" s="1">
        <v>40</v>
      </c>
      <c r="N82" s="1">
        <v>30</v>
      </c>
      <c r="O82" s="1">
        <v>25</v>
      </c>
      <c r="P82" s="1">
        <v>15</v>
      </c>
      <c r="Q82" s="1">
        <v>5</v>
      </c>
      <c r="R82" s="1">
        <v>5</v>
      </c>
      <c r="S82" s="1">
        <v>2</v>
      </c>
      <c r="T82" s="1">
        <v>5</v>
      </c>
      <c r="U82" s="1">
        <v>100</v>
      </c>
      <c r="V82" s="1">
        <v>115</v>
      </c>
      <c r="W82" s="1">
        <v>125</v>
      </c>
      <c r="X82" s="1">
        <v>100</v>
      </c>
      <c r="Y82" s="1">
        <v>95</v>
      </c>
      <c r="Z82" s="1">
        <v>105</v>
      </c>
      <c r="AA82" s="1">
        <v>0</v>
      </c>
      <c r="AB82" s="1">
        <v>15</v>
      </c>
      <c r="AC82" s="1">
        <v>5</v>
      </c>
      <c r="AD82" s="1">
        <v>10</v>
      </c>
      <c r="AE82" s="1">
        <v>115</v>
      </c>
      <c r="AF82" s="1">
        <v>135</v>
      </c>
      <c r="AG82" s="1">
        <v>100110</v>
      </c>
      <c r="AH82" s="1">
        <v>0</v>
      </c>
      <c r="AI82" s="1">
        <v>300105</v>
      </c>
      <c r="AJ82" s="1" t="s">
        <v>1198</v>
      </c>
      <c r="AK82" s="1" t="s">
        <v>329</v>
      </c>
      <c r="AL82" s="1">
        <v>17</v>
      </c>
      <c r="AM82" s="1" t="s">
        <v>4918</v>
      </c>
      <c r="AN82" s="1" t="s">
        <v>897</v>
      </c>
      <c r="AO82" s="1" t="s">
        <v>4974</v>
      </c>
      <c r="AP82" s="1">
        <v>0</v>
      </c>
      <c r="AQ82" s="1" t="s">
        <v>1195</v>
      </c>
      <c r="AR82" s="1" t="s">
        <v>1196</v>
      </c>
      <c r="AS82" s="1" t="s">
        <v>1197</v>
      </c>
      <c r="AT82" s="1" t="s">
        <v>329</v>
      </c>
      <c r="AU82" s="1">
        <v>86</v>
      </c>
      <c r="AV82" s="1">
        <v>0</v>
      </c>
      <c r="AW82" s="1" t="s">
        <v>4552</v>
      </c>
      <c r="AX82" s="1" t="s">
        <v>4857</v>
      </c>
      <c r="AY82" s="1">
        <v>3</v>
      </c>
      <c r="AZ82" s="1">
        <v>0</v>
      </c>
      <c r="BA82" s="1" t="s">
        <v>329</v>
      </c>
      <c r="BB82" s="1" t="s">
        <v>4999</v>
      </c>
      <c r="BC82" s="1" t="s">
        <v>4829</v>
      </c>
      <c r="BD82" s="1">
        <v>10702</v>
      </c>
      <c r="BE82" s="1"/>
    </row>
    <row r="83" spans="1:57" x14ac:dyDescent="0.25">
      <c r="A83" s="1">
        <v>87</v>
      </c>
      <c r="B83" s="1" t="s">
        <v>3047</v>
      </c>
      <c r="C83" s="9" t="s">
        <v>113</v>
      </c>
      <c r="D83" s="1" t="s">
        <v>113</v>
      </c>
      <c r="E83" s="1"/>
      <c r="F83" s="1"/>
      <c r="G83" s="1" t="s">
        <v>3048</v>
      </c>
      <c r="H83" s="1" t="s">
        <v>3049</v>
      </c>
      <c r="I83" s="1" t="s">
        <v>3050</v>
      </c>
      <c r="J83" s="1">
        <v>5</v>
      </c>
      <c r="K83" s="1">
        <v>2</v>
      </c>
      <c r="L83" s="1">
        <v>18000</v>
      </c>
      <c r="M83" s="1">
        <v>40</v>
      </c>
      <c r="N83" s="1">
        <v>30</v>
      </c>
      <c r="O83" s="1">
        <v>25</v>
      </c>
      <c r="P83" s="1">
        <v>15</v>
      </c>
      <c r="Q83" s="1">
        <v>5</v>
      </c>
      <c r="R83" s="1">
        <v>5</v>
      </c>
      <c r="S83" s="1">
        <v>2</v>
      </c>
      <c r="T83" s="1">
        <v>5</v>
      </c>
      <c r="U83" s="1">
        <v>100</v>
      </c>
      <c r="V83" s="1">
        <v>110</v>
      </c>
      <c r="W83" s="1">
        <v>115</v>
      </c>
      <c r="X83" s="1">
        <v>100</v>
      </c>
      <c r="Y83" s="1">
        <v>95</v>
      </c>
      <c r="Z83" s="1">
        <v>105</v>
      </c>
      <c r="AA83" s="1">
        <v>0</v>
      </c>
      <c r="AB83" s="1">
        <v>15</v>
      </c>
      <c r="AC83" s="1">
        <v>5</v>
      </c>
      <c r="AD83" s="1">
        <v>10</v>
      </c>
      <c r="AE83" s="1">
        <v>110</v>
      </c>
      <c r="AF83" s="1">
        <v>100</v>
      </c>
      <c r="AG83" s="1">
        <v>100109</v>
      </c>
      <c r="AH83" s="1">
        <v>0</v>
      </c>
      <c r="AI83" s="1">
        <v>300105</v>
      </c>
      <c r="AJ83" s="1" t="s">
        <v>1198</v>
      </c>
      <c r="AK83" s="1" t="s">
        <v>329</v>
      </c>
      <c r="AL83" s="1">
        <v>19</v>
      </c>
      <c r="AM83" s="1" t="s">
        <v>4918</v>
      </c>
      <c r="AN83" s="1" t="s">
        <v>4983</v>
      </c>
      <c r="AO83" s="1" t="s">
        <v>5000</v>
      </c>
      <c r="AP83" s="1">
        <v>0</v>
      </c>
      <c r="AQ83" s="1" t="s">
        <v>1195</v>
      </c>
      <c r="AR83" s="1" t="s">
        <v>1196</v>
      </c>
      <c r="AS83" s="1" t="s">
        <v>1197</v>
      </c>
      <c r="AT83" s="1" t="s">
        <v>329</v>
      </c>
      <c r="AU83" s="1">
        <v>87</v>
      </c>
      <c r="AV83" s="1">
        <v>0</v>
      </c>
      <c r="AW83" s="1" t="s">
        <v>4552</v>
      </c>
      <c r="AX83" s="1" t="s">
        <v>471</v>
      </c>
      <c r="AY83" s="1">
        <v>2</v>
      </c>
      <c r="AZ83" s="1">
        <v>0</v>
      </c>
      <c r="BA83" s="1" t="s">
        <v>329</v>
      </c>
      <c r="BB83" s="1" t="s">
        <v>5001</v>
      </c>
      <c r="BC83" s="1" t="s">
        <v>4829</v>
      </c>
      <c r="BD83" s="1">
        <v>10702</v>
      </c>
      <c r="BE83" s="1"/>
    </row>
    <row r="84" spans="1:57" x14ac:dyDescent="0.25">
      <c r="A84" s="1">
        <v>88</v>
      </c>
      <c r="B84" s="1" t="s">
        <v>3051</v>
      </c>
      <c r="C84" s="9" t="s">
        <v>114</v>
      </c>
      <c r="D84" s="1" t="s">
        <v>114</v>
      </c>
      <c r="E84" s="1"/>
      <c r="F84" s="1"/>
      <c r="G84" s="1" t="s">
        <v>3052</v>
      </c>
      <c r="H84" s="1" t="s">
        <v>3053</v>
      </c>
      <c r="I84" s="1" t="s">
        <v>3054</v>
      </c>
      <c r="J84" s="1">
        <v>5</v>
      </c>
      <c r="K84" s="1">
        <v>4</v>
      </c>
      <c r="L84" s="1">
        <v>23400</v>
      </c>
      <c r="M84" s="1">
        <v>40</v>
      </c>
      <c r="N84" s="1">
        <v>30</v>
      </c>
      <c r="O84" s="1">
        <v>25</v>
      </c>
      <c r="P84" s="1">
        <v>15</v>
      </c>
      <c r="Q84" s="1">
        <v>5</v>
      </c>
      <c r="R84" s="1">
        <v>5</v>
      </c>
      <c r="S84" s="1">
        <v>2</v>
      </c>
      <c r="T84" s="1">
        <v>5</v>
      </c>
      <c r="U84" s="1">
        <v>120</v>
      </c>
      <c r="V84" s="1">
        <v>110</v>
      </c>
      <c r="W84" s="1">
        <v>125</v>
      </c>
      <c r="X84" s="1">
        <v>100</v>
      </c>
      <c r="Y84" s="1">
        <v>110</v>
      </c>
      <c r="Z84" s="1">
        <v>90</v>
      </c>
      <c r="AA84" s="1">
        <v>0</v>
      </c>
      <c r="AB84" s="1">
        <v>15</v>
      </c>
      <c r="AC84" s="1">
        <v>5</v>
      </c>
      <c r="AD84" s="1">
        <v>10</v>
      </c>
      <c r="AE84" s="1">
        <v>110</v>
      </c>
      <c r="AF84" s="1">
        <v>100</v>
      </c>
      <c r="AG84" s="1">
        <v>105104</v>
      </c>
      <c r="AH84" s="1">
        <v>0</v>
      </c>
      <c r="AI84" s="1">
        <v>300105</v>
      </c>
      <c r="AJ84" s="1" t="s">
        <v>1194</v>
      </c>
      <c r="AK84" s="1" t="s">
        <v>329</v>
      </c>
      <c r="AL84" s="1">
        <v>18</v>
      </c>
      <c r="AM84" s="1" t="s">
        <v>4918</v>
      </c>
      <c r="AN84" s="1" t="s">
        <v>4991</v>
      </c>
      <c r="AO84" s="1" t="s">
        <v>5002</v>
      </c>
      <c r="AP84" s="1">
        <v>0</v>
      </c>
      <c r="AQ84" s="1" t="s">
        <v>1195</v>
      </c>
      <c r="AR84" s="1" t="s">
        <v>1196</v>
      </c>
      <c r="AS84" s="1" t="s">
        <v>4972</v>
      </c>
      <c r="AT84" s="1" t="s">
        <v>329</v>
      </c>
      <c r="AU84" s="1">
        <v>88</v>
      </c>
      <c r="AV84" s="1">
        <v>0</v>
      </c>
      <c r="AW84" s="1" t="s">
        <v>4552</v>
      </c>
      <c r="AX84" s="1" t="s">
        <v>4857</v>
      </c>
      <c r="AY84" s="1">
        <v>4</v>
      </c>
      <c r="AZ84" s="1">
        <v>0</v>
      </c>
      <c r="BA84" s="1" t="s">
        <v>329</v>
      </c>
      <c r="BB84" s="1" t="s">
        <v>5003</v>
      </c>
      <c r="BC84" s="1" t="s">
        <v>4829</v>
      </c>
      <c r="BD84" s="1">
        <v>10302</v>
      </c>
      <c r="BE84" s="1"/>
    </row>
    <row r="85" spans="1:57" x14ac:dyDescent="0.25">
      <c r="A85" s="1">
        <v>89</v>
      </c>
      <c r="B85" s="1" t="s">
        <v>3055</v>
      </c>
      <c r="C85" s="9" t="s">
        <v>115</v>
      </c>
      <c r="D85" s="1" t="s">
        <v>3056</v>
      </c>
      <c r="E85" s="1"/>
      <c r="F85" s="1"/>
      <c r="G85" s="1" t="s">
        <v>3057</v>
      </c>
      <c r="H85" s="1" t="s">
        <v>3058</v>
      </c>
      <c r="I85" s="1" t="s">
        <v>3059</v>
      </c>
      <c r="J85" s="1">
        <v>5</v>
      </c>
      <c r="K85" s="1">
        <v>3</v>
      </c>
      <c r="L85" s="1">
        <v>19200</v>
      </c>
      <c r="M85" s="1">
        <v>40</v>
      </c>
      <c r="N85" s="1">
        <v>30</v>
      </c>
      <c r="O85" s="1">
        <v>25</v>
      </c>
      <c r="P85" s="1">
        <v>15</v>
      </c>
      <c r="Q85" s="1">
        <v>5</v>
      </c>
      <c r="R85" s="1">
        <v>5</v>
      </c>
      <c r="S85" s="1">
        <v>2</v>
      </c>
      <c r="T85" s="1">
        <v>5</v>
      </c>
      <c r="U85" s="1">
        <v>105</v>
      </c>
      <c r="V85" s="1">
        <v>110</v>
      </c>
      <c r="W85" s="1">
        <v>95</v>
      </c>
      <c r="X85" s="1">
        <v>100</v>
      </c>
      <c r="Y85" s="1">
        <v>125</v>
      </c>
      <c r="Z85" s="1">
        <v>110</v>
      </c>
      <c r="AA85" s="1">
        <v>0</v>
      </c>
      <c r="AB85" s="1">
        <v>15</v>
      </c>
      <c r="AC85" s="1">
        <v>5</v>
      </c>
      <c r="AD85" s="1">
        <v>8</v>
      </c>
      <c r="AE85" s="1">
        <v>120</v>
      </c>
      <c r="AF85" s="1">
        <v>85</v>
      </c>
      <c r="AG85" s="1">
        <v>105103</v>
      </c>
      <c r="AH85" s="1">
        <v>0</v>
      </c>
      <c r="AI85" s="1">
        <v>300105</v>
      </c>
      <c r="AJ85" s="1" t="s">
        <v>1198</v>
      </c>
      <c r="AK85" s="1" t="s">
        <v>329</v>
      </c>
      <c r="AL85" s="1">
        <v>17</v>
      </c>
      <c r="AM85" s="1" t="s">
        <v>4918</v>
      </c>
      <c r="AN85" s="1" t="s">
        <v>4976</v>
      </c>
      <c r="AO85" s="1" t="s">
        <v>5004</v>
      </c>
      <c r="AP85" s="1">
        <v>0</v>
      </c>
      <c r="AQ85" s="1" t="s">
        <v>1195</v>
      </c>
      <c r="AR85" s="1" t="s">
        <v>4971</v>
      </c>
      <c r="AS85" s="1" t="s">
        <v>1197</v>
      </c>
      <c r="AT85" s="1" t="s">
        <v>329</v>
      </c>
      <c r="AU85" s="1">
        <v>89</v>
      </c>
      <c r="AV85" s="1">
        <v>0</v>
      </c>
      <c r="AW85" s="1" t="s">
        <v>4552</v>
      </c>
      <c r="AX85" s="1" t="s">
        <v>4857</v>
      </c>
      <c r="AY85" s="1">
        <v>3</v>
      </c>
      <c r="AZ85" s="1">
        <v>0</v>
      </c>
      <c r="BA85" s="1" t="s">
        <v>4825</v>
      </c>
      <c r="BB85" s="1" t="s">
        <v>5005</v>
      </c>
      <c r="BC85" s="1" t="s">
        <v>329</v>
      </c>
      <c r="BD85" s="1">
        <v>10302</v>
      </c>
      <c r="BE85" s="1"/>
    </row>
    <row r="86" spans="1:57" x14ac:dyDescent="0.25">
      <c r="A86" s="1">
        <v>90</v>
      </c>
      <c r="B86" s="1" t="s">
        <v>3060</v>
      </c>
      <c r="C86" s="9" t="s">
        <v>1201</v>
      </c>
      <c r="D86" s="1" t="s">
        <v>1201</v>
      </c>
      <c r="E86" s="1"/>
      <c r="F86" s="1"/>
      <c r="G86" s="1" t="s">
        <v>3061</v>
      </c>
      <c r="H86" s="1" t="s">
        <v>3062</v>
      </c>
      <c r="I86" s="1" t="s">
        <v>3063</v>
      </c>
      <c r="J86" s="1">
        <v>1</v>
      </c>
      <c r="K86" s="1">
        <v>2</v>
      </c>
      <c r="L86" s="1">
        <v>1500</v>
      </c>
      <c r="M86" s="1">
        <v>10</v>
      </c>
      <c r="N86" s="1">
        <v>10</v>
      </c>
      <c r="O86" s="1">
        <v>5</v>
      </c>
      <c r="P86" s="1">
        <v>5</v>
      </c>
      <c r="Q86" s="1">
        <v>2</v>
      </c>
      <c r="R86" s="1">
        <v>2</v>
      </c>
      <c r="S86" s="1">
        <v>2</v>
      </c>
      <c r="T86" s="1">
        <v>0</v>
      </c>
      <c r="U86" s="1">
        <v>90</v>
      </c>
      <c r="V86" s="1">
        <v>105</v>
      </c>
      <c r="W86" s="1">
        <v>115</v>
      </c>
      <c r="X86" s="1">
        <v>100</v>
      </c>
      <c r="Y86" s="1">
        <v>115</v>
      </c>
      <c r="Z86" s="1">
        <v>120</v>
      </c>
      <c r="AA86" s="1">
        <v>0</v>
      </c>
      <c r="AB86" s="1">
        <v>15</v>
      </c>
      <c r="AC86" s="1">
        <v>20</v>
      </c>
      <c r="AD86" s="1">
        <v>0</v>
      </c>
      <c r="AE86" s="1">
        <v>110</v>
      </c>
      <c r="AF86" s="1">
        <v>100</v>
      </c>
      <c r="AG86" s="1">
        <v>101401</v>
      </c>
      <c r="AH86" s="1">
        <v>0</v>
      </c>
      <c r="AI86" s="1">
        <v>300101</v>
      </c>
      <c r="AJ86" s="1" t="s">
        <v>1153</v>
      </c>
      <c r="AK86" s="1" t="s">
        <v>329</v>
      </c>
      <c r="AL86" s="1">
        <v>13</v>
      </c>
      <c r="AM86" s="1" t="s">
        <v>1866</v>
      </c>
      <c r="AN86" s="1" t="s">
        <v>4921</v>
      </c>
      <c r="AO86" s="1" t="s">
        <v>5006</v>
      </c>
      <c r="AP86" s="1">
        <v>0</v>
      </c>
      <c r="AQ86" s="1" t="s">
        <v>1146</v>
      </c>
      <c r="AR86" s="1" t="s">
        <v>1147</v>
      </c>
      <c r="AS86" s="1" t="s">
        <v>1148</v>
      </c>
      <c r="AT86" s="1" t="s">
        <v>329</v>
      </c>
      <c r="AU86" s="1">
        <v>90</v>
      </c>
      <c r="AV86" s="1">
        <v>0</v>
      </c>
      <c r="AW86" s="1" t="s">
        <v>4552</v>
      </c>
      <c r="AX86" s="1" t="s">
        <v>471</v>
      </c>
      <c r="AY86" s="1">
        <v>2</v>
      </c>
      <c r="AZ86" s="1">
        <v>0</v>
      </c>
      <c r="BA86" s="1" t="s">
        <v>329</v>
      </c>
      <c r="BB86" s="1" t="s">
        <v>4870</v>
      </c>
      <c r="BC86" s="1" t="s">
        <v>4913</v>
      </c>
      <c r="BD86" s="1">
        <v>10704</v>
      </c>
      <c r="BE86" s="1"/>
    </row>
    <row r="87" spans="1:57" x14ac:dyDescent="0.25">
      <c r="A87" s="1">
        <v>91</v>
      </c>
      <c r="B87" s="1" t="s">
        <v>3064</v>
      </c>
      <c r="C87" s="9" t="s">
        <v>1647</v>
      </c>
      <c r="D87" s="1" t="s">
        <v>1647</v>
      </c>
      <c r="E87" s="1"/>
      <c r="F87" s="1"/>
      <c r="G87" s="1" t="s">
        <v>3065</v>
      </c>
      <c r="H87" s="1" t="s">
        <v>3066</v>
      </c>
      <c r="I87" s="1" t="s">
        <v>3067</v>
      </c>
      <c r="J87" s="1">
        <v>1</v>
      </c>
      <c r="K87" s="1">
        <v>2</v>
      </c>
      <c r="L87" s="1">
        <v>1500</v>
      </c>
      <c r="M87" s="1">
        <v>10</v>
      </c>
      <c r="N87" s="1">
        <v>10</v>
      </c>
      <c r="O87" s="1">
        <v>5</v>
      </c>
      <c r="P87" s="1">
        <v>5</v>
      </c>
      <c r="Q87" s="1">
        <v>2</v>
      </c>
      <c r="R87" s="1">
        <v>2</v>
      </c>
      <c r="S87" s="1">
        <v>2</v>
      </c>
      <c r="T87" s="1">
        <v>0</v>
      </c>
      <c r="U87" s="1">
        <v>100</v>
      </c>
      <c r="V87" s="1">
        <v>105</v>
      </c>
      <c r="W87" s="1">
        <v>110</v>
      </c>
      <c r="X87" s="1">
        <v>100</v>
      </c>
      <c r="Y87" s="1">
        <v>105</v>
      </c>
      <c r="Z87" s="1">
        <v>100</v>
      </c>
      <c r="AA87" s="1">
        <v>0</v>
      </c>
      <c r="AB87" s="1">
        <v>15</v>
      </c>
      <c r="AC87" s="1">
        <v>20</v>
      </c>
      <c r="AD87" s="1">
        <v>0</v>
      </c>
      <c r="AE87" s="1">
        <v>120</v>
      </c>
      <c r="AF87" s="1">
        <v>100</v>
      </c>
      <c r="AG87" s="1">
        <v>101601</v>
      </c>
      <c r="AH87" s="1">
        <v>0</v>
      </c>
      <c r="AI87" s="1">
        <v>300101</v>
      </c>
      <c r="AJ87" s="1" t="s">
        <v>1202</v>
      </c>
      <c r="AK87" s="1" t="s">
        <v>329</v>
      </c>
      <c r="AL87" s="1">
        <v>13</v>
      </c>
      <c r="AM87" s="1" t="s">
        <v>1866</v>
      </c>
      <c r="AN87" s="1" t="s">
        <v>5007</v>
      </c>
      <c r="AO87" s="1" t="s">
        <v>5008</v>
      </c>
      <c r="AP87" s="1">
        <v>0</v>
      </c>
      <c r="AQ87" s="1" t="s">
        <v>4802</v>
      </c>
      <c r="AR87" s="1" t="s">
        <v>1147</v>
      </c>
      <c r="AS87" s="1" t="s">
        <v>1148</v>
      </c>
      <c r="AT87" s="1" t="s">
        <v>329</v>
      </c>
      <c r="AU87" s="1">
        <v>91</v>
      </c>
      <c r="AV87" s="1">
        <v>0</v>
      </c>
      <c r="AW87" s="1" t="s">
        <v>4552</v>
      </c>
      <c r="AX87" s="1" t="s">
        <v>471</v>
      </c>
      <c r="AY87" s="1">
        <v>2</v>
      </c>
      <c r="AZ87" s="1">
        <v>0</v>
      </c>
      <c r="BA87" s="1" t="s">
        <v>4805</v>
      </c>
      <c r="BB87" s="1" t="s">
        <v>414</v>
      </c>
      <c r="BC87" s="1" t="s">
        <v>4817</v>
      </c>
      <c r="BD87" s="1">
        <v>10302</v>
      </c>
      <c r="BE87" s="1"/>
    </row>
    <row r="88" spans="1:57" x14ac:dyDescent="0.25">
      <c r="A88" s="1">
        <v>92</v>
      </c>
      <c r="B88" s="1" t="s">
        <v>3068</v>
      </c>
      <c r="C88" s="9" t="s">
        <v>116</v>
      </c>
      <c r="D88" s="1" t="s">
        <v>3069</v>
      </c>
      <c r="E88" s="1"/>
      <c r="F88" s="1"/>
      <c r="G88" s="1" t="s">
        <v>3070</v>
      </c>
      <c r="H88" s="1" t="s">
        <v>3071</v>
      </c>
      <c r="I88" s="1" t="s">
        <v>3072</v>
      </c>
      <c r="J88" s="1">
        <v>2</v>
      </c>
      <c r="K88" s="1">
        <v>2</v>
      </c>
      <c r="L88" s="1">
        <v>4800</v>
      </c>
      <c r="M88" s="1">
        <v>25</v>
      </c>
      <c r="N88" s="1">
        <v>20</v>
      </c>
      <c r="O88" s="1">
        <v>15</v>
      </c>
      <c r="P88" s="1">
        <v>10</v>
      </c>
      <c r="Q88" s="1">
        <v>5</v>
      </c>
      <c r="R88" s="1">
        <v>5</v>
      </c>
      <c r="S88" s="1">
        <v>2</v>
      </c>
      <c r="T88" s="1">
        <v>0</v>
      </c>
      <c r="U88" s="1">
        <v>100</v>
      </c>
      <c r="V88" s="1">
        <v>100</v>
      </c>
      <c r="W88" s="1">
        <v>115</v>
      </c>
      <c r="X88" s="1">
        <v>100</v>
      </c>
      <c r="Y88" s="1">
        <v>105</v>
      </c>
      <c r="Z88" s="1">
        <v>115</v>
      </c>
      <c r="AA88" s="1">
        <v>0</v>
      </c>
      <c r="AB88" s="1">
        <v>15</v>
      </c>
      <c r="AC88" s="1">
        <v>5</v>
      </c>
      <c r="AD88" s="1">
        <v>0</v>
      </c>
      <c r="AE88" s="1">
        <v>100</v>
      </c>
      <c r="AF88" s="1">
        <v>100</v>
      </c>
      <c r="AG88" s="1">
        <v>100201</v>
      </c>
      <c r="AH88" s="1">
        <v>0</v>
      </c>
      <c r="AI88" s="1">
        <v>300102</v>
      </c>
      <c r="AJ88" s="1" t="s">
        <v>1153</v>
      </c>
      <c r="AK88" s="1" t="s">
        <v>329</v>
      </c>
      <c r="AL88" s="1">
        <v>13</v>
      </c>
      <c r="AM88" s="1" t="s">
        <v>4850</v>
      </c>
      <c r="AN88" s="1" t="s">
        <v>4853</v>
      </c>
      <c r="AO88" s="1" t="s">
        <v>5000</v>
      </c>
      <c r="AP88" s="1">
        <v>0</v>
      </c>
      <c r="AQ88" s="1" t="s">
        <v>1157</v>
      </c>
      <c r="AR88" s="1" t="s">
        <v>1147</v>
      </c>
      <c r="AS88" s="1" t="s">
        <v>1774</v>
      </c>
      <c r="AT88" s="1" t="s">
        <v>329</v>
      </c>
      <c r="AU88" s="1">
        <v>92</v>
      </c>
      <c r="AV88" s="1">
        <v>0</v>
      </c>
      <c r="AW88" s="1" t="s">
        <v>4552</v>
      </c>
      <c r="AX88" s="1" t="s">
        <v>471</v>
      </c>
      <c r="AY88" s="1">
        <v>2</v>
      </c>
      <c r="AZ88" s="1">
        <v>0</v>
      </c>
      <c r="BA88" s="1" t="s">
        <v>329</v>
      </c>
      <c r="BB88" s="1" t="s">
        <v>357</v>
      </c>
      <c r="BC88" s="1" t="s">
        <v>4799</v>
      </c>
      <c r="BD88" s="1">
        <v>10704</v>
      </c>
      <c r="BE88" s="1"/>
    </row>
    <row r="89" spans="1:57" x14ac:dyDescent="0.25">
      <c r="A89" s="1">
        <v>93</v>
      </c>
      <c r="B89" s="1" t="s">
        <v>3073</v>
      </c>
      <c r="C89" s="9" t="s">
        <v>117</v>
      </c>
      <c r="D89" s="1" t="s">
        <v>117</v>
      </c>
      <c r="E89" s="1"/>
      <c r="F89" s="1"/>
      <c r="G89" s="1" t="s">
        <v>3074</v>
      </c>
      <c r="H89" s="1" t="s">
        <v>3075</v>
      </c>
      <c r="I89" s="1" t="s">
        <v>3076</v>
      </c>
      <c r="J89" s="1">
        <v>2</v>
      </c>
      <c r="K89" s="1">
        <v>2</v>
      </c>
      <c r="L89" s="1">
        <v>4200</v>
      </c>
      <c r="M89" s="1">
        <v>25</v>
      </c>
      <c r="N89" s="1">
        <v>20</v>
      </c>
      <c r="O89" s="1">
        <v>15</v>
      </c>
      <c r="P89" s="1">
        <v>10</v>
      </c>
      <c r="Q89" s="1">
        <v>5</v>
      </c>
      <c r="R89" s="1">
        <v>5</v>
      </c>
      <c r="S89" s="1">
        <v>2</v>
      </c>
      <c r="T89" s="1">
        <v>0</v>
      </c>
      <c r="U89" s="1">
        <v>85</v>
      </c>
      <c r="V89" s="1">
        <v>90</v>
      </c>
      <c r="W89" s="1">
        <v>90</v>
      </c>
      <c r="X89" s="1">
        <v>100</v>
      </c>
      <c r="Y89" s="1">
        <v>110</v>
      </c>
      <c r="Z89" s="1">
        <v>120</v>
      </c>
      <c r="AA89" s="1">
        <v>0</v>
      </c>
      <c r="AB89" s="1">
        <v>15</v>
      </c>
      <c r="AC89" s="1">
        <v>5</v>
      </c>
      <c r="AD89" s="1">
        <v>0</v>
      </c>
      <c r="AE89" s="1">
        <v>130</v>
      </c>
      <c r="AF89" s="1">
        <v>100</v>
      </c>
      <c r="AG89" s="1">
        <v>100201</v>
      </c>
      <c r="AH89" s="1">
        <v>0</v>
      </c>
      <c r="AI89" s="1">
        <v>300102</v>
      </c>
      <c r="AJ89" s="1" t="s">
        <v>1203</v>
      </c>
      <c r="AK89" s="1" t="s">
        <v>329</v>
      </c>
      <c r="AL89" s="1">
        <v>13</v>
      </c>
      <c r="AM89" s="1" t="s">
        <v>4850</v>
      </c>
      <c r="AN89" s="1" t="s">
        <v>4855</v>
      </c>
      <c r="AO89" s="1" t="s">
        <v>5009</v>
      </c>
      <c r="AP89" s="1">
        <v>0</v>
      </c>
      <c r="AQ89" s="1" t="s">
        <v>1773</v>
      </c>
      <c r="AR89" s="1" t="s">
        <v>1147</v>
      </c>
      <c r="AS89" s="1" t="s">
        <v>1158</v>
      </c>
      <c r="AT89" s="1" t="s">
        <v>329</v>
      </c>
      <c r="AU89" s="1">
        <v>93</v>
      </c>
      <c r="AV89" s="1">
        <v>0</v>
      </c>
      <c r="AW89" s="1" t="s">
        <v>4552</v>
      </c>
      <c r="AX89" s="1" t="s">
        <v>471</v>
      </c>
      <c r="AY89" s="1">
        <v>2</v>
      </c>
      <c r="AZ89" s="1">
        <v>0</v>
      </c>
      <c r="BA89" s="1" t="s">
        <v>4805</v>
      </c>
      <c r="BB89" s="1" t="s">
        <v>5010</v>
      </c>
      <c r="BC89" s="1" t="s">
        <v>329</v>
      </c>
      <c r="BD89" s="1">
        <v>10302</v>
      </c>
      <c r="BE89" s="1"/>
    </row>
    <row r="90" spans="1:57" x14ac:dyDescent="0.25">
      <c r="A90" s="1">
        <v>94</v>
      </c>
      <c r="B90" s="1" t="s">
        <v>3077</v>
      </c>
      <c r="C90" s="9" t="s">
        <v>118</v>
      </c>
      <c r="D90" s="1" t="s">
        <v>3078</v>
      </c>
      <c r="E90" s="1"/>
      <c r="F90" s="1"/>
      <c r="G90" s="1" t="s">
        <v>3079</v>
      </c>
      <c r="H90" s="1" t="s">
        <v>3080</v>
      </c>
      <c r="I90" s="1" t="s">
        <v>3081</v>
      </c>
      <c r="J90" s="1">
        <v>2</v>
      </c>
      <c r="K90" s="1">
        <v>2</v>
      </c>
      <c r="L90" s="1">
        <v>5100</v>
      </c>
      <c r="M90" s="1">
        <v>25</v>
      </c>
      <c r="N90" s="1">
        <v>20</v>
      </c>
      <c r="O90" s="1">
        <v>15</v>
      </c>
      <c r="P90" s="1">
        <v>10</v>
      </c>
      <c r="Q90" s="1">
        <v>5</v>
      </c>
      <c r="R90" s="1">
        <v>5</v>
      </c>
      <c r="S90" s="1">
        <v>2</v>
      </c>
      <c r="T90" s="1">
        <v>0</v>
      </c>
      <c r="U90" s="1">
        <v>100</v>
      </c>
      <c r="V90" s="1">
        <v>105</v>
      </c>
      <c r="W90" s="1">
        <v>120</v>
      </c>
      <c r="X90" s="1">
        <v>100</v>
      </c>
      <c r="Y90" s="1">
        <v>90</v>
      </c>
      <c r="Z90" s="1">
        <v>110</v>
      </c>
      <c r="AA90" s="1">
        <v>0</v>
      </c>
      <c r="AB90" s="1">
        <v>15</v>
      </c>
      <c r="AC90" s="1">
        <v>5</v>
      </c>
      <c r="AD90" s="1">
        <v>0</v>
      </c>
      <c r="AE90" s="1">
        <v>105</v>
      </c>
      <c r="AF90" s="1">
        <v>100</v>
      </c>
      <c r="AG90" s="1">
        <v>902390</v>
      </c>
      <c r="AH90" s="1">
        <v>0</v>
      </c>
      <c r="AI90" s="1">
        <v>300102</v>
      </c>
      <c r="AJ90" s="1" t="s">
        <v>1149</v>
      </c>
      <c r="AK90" s="1" t="s">
        <v>329</v>
      </c>
      <c r="AL90" s="1">
        <v>13</v>
      </c>
      <c r="AM90" s="1" t="s">
        <v>4850</v>
      </c>
      <c r="AN90" s="1" t="s">
        <v>4853</v>
      </c>
      <c r="AO90" s="1" t="s">
        <v>5011</v>
      </c>
      <c r="AP90" s="1">
        <v>0</v>
      </c>
      <c r="AQ90" s="1" t="s">
        <v>1773</v>
      </c>
      <c r="AR90" s="1" t="s">
        <v>1147</v>
      </c>
      <c r="AS90" s="1" t="s">
        <v>1774</v>
      </c>
      <c r="AT90" s="1" t="s">
        <v>329</v>
      </c>
      <c r="AU90" s="1">
        <v>94</v>
      </c>
      <c r="AV90" s="1">
        <v>0</v>
      </c>
      <c r="AW90" s="1" t="s">
        <v>4552</v>
      </c>
      <c r="AX90" s="1" t="s">
        <v>471</v>
      </c>
      <c r="AY90" s="1">
        <v>2</v>
      </c>
      <c r="AZ90" s="1">
        <v>0</v>
      </c>
      <c r="BA90" s="1" t="s">
        <v>4805</v>
      </c>
      <c r="BB90" s="1" t="s">
        <v>5012</v>
      </c>
      <c r="BC90" s="1" t="s">
        <v>4843</v>
      </c>
      <c r="BD90" s="1">
        <v>10705</v>
      </c>
      <c r="BE90" s="1"/>
    </row>
    <row r="91" spans="1:57" x14ac:dyDescent="0.25">
      <c r="A91" s="1">
        <v>95</v>
      </c>
      <c r="B91" s="1" t="s">
        <v>3082</v>
      </c>
      <c r="C91" s="9" t="s">
        <v>119</v>
      </c>
      <c r="D91" s="1" t="s">
        <v>3083</v>
      </c>
      <c r="E91" s="1"/>
      <c r="F91" s="1"/>
      <c r="G91" s="1" t="s">
        <v>3084</v>
      </c>
      <c r="H91" s="1" t="s">
        <v>3085</v>
      </c>
      <c r="I91" s="1" t="s">
        <v>3086</v>
      </c>
      <c r="J91" s="1">
        <v>3</v>
      </c>
      <c r="K91" s="1">
        <v>3</v>
      </c>
      <c r="L91" s="1">
        <v>13800</v>
      </c>
      <c r="M91" s="1">
        <v>15</v>
      </c>
      <c r="N91" s="1">
        <v>30</v>
      </c>
      <c r="O91" s="1">
        <v>10</v>
      </c>
      <c r="P91" s="1">
        <v>15</v>
      </c>
      <c r="Q91" s="1">
        <v>5</v>
      </c>
      <c r="R91" s="1">
        <v>2</v>
      </c>
      <c r="S91" s="1">
        <v>5</v>
      </c>
      <c r="T91" s="1">
        <v>0</v>
      </c>
      <c r="U91" s="1">
        <v>115</v>
      </c>
      <c r="V91" s="1">
        <v>100</v>
      </c>
      <c r="W91" s="1">
        <v>90</v>
      </c>
      <c r="X91" s="1">
        <v>100</v>
      </c>
      <c r="Y91" s="1">
        <v>90</v>
      </c>
      <c r="Z91" s="1">
        <v>110</v>
      </c>
      <c r="AA91" s="1">
        <v>0</v>
      </c>
      <c r="AB91" s="1">
        <v>15</v>
      </c>
      <c r="AC91" s="1">
        <v>40</v>
      </c>
      <c r="AD91" s="1">
        <v>0</v>
      </c>
      <c r="AE91" s="1">
        <v>120</v>
      </c>
      <c r="AF91" s="1">
        <v>100</v>
      </c>
      <c r="AG91" s="1">
        <v>100114</v>
      </c>
      <c r="AH91" s="1">
        <v>0</v>
      </c>
      <c r="AI91" s="1">
        <v>300104</v>
      </c>
      <c r="AJ91" s="1" t="s">
        <v>1204</v>
      </c>
      <c r="AK91" s="1" t="s">
        <v>329</v>
      </c>
      <c r="AL91" s="1">
        <v>13</v>
      </c>
      <c r="AM91" s="1" t="s">
        <v>4822</v>
      </c>
      <c r="AN91" s="1" t="s">
        <v>476</v>
      </c>
      <c r="AO91" s="1" t="s">
        <v>4886</v>
      </c>
      <c r="AP91" s="1">
        <v>0</v>
      </c>
      <c r="AQ91" s="1" t="s">
        <v>1775</v>
      </c>
      <c r="AR91" s="1" t="s">
        <v>4895</v>
      </c>
      <c r="AS91" s="1" t="s">
        <v>1170</v>
      </c>
      <c r="AT91" s="1" t="s">
        <v>329</v>
      </c>
      <c r="AU91" s="1">
        <v>95</v>
      </c>
      <c r="AV91" s="1">
        <v>0</v>
      </c>
      <c r="AW91" s="1" t="s">
        <v>4552</v>
      </c>
      <c r="AX91" s="1" t="s">
        <v>332</v>
      </c>
      <c r="AY91" s="1">
        <v>3</v>
      </c>
      <c r="AZ91" s="1">
        <v>0</v>
      </c>
      <c r="BA91" s="1" t="s">
        <v>4825</v>
      </c>
      <c r="BB91" s="1" t="s">
        <v>5012</v>
      </c>
      <c r="BC91" s="1" t="s">
        <v>4843</v>
      </c>
      <c r="BD91" s="1">
        <v>10701</v>
      </c>
      <c r="BE91" s="1"/>
    </row>
    <row r="92" spans="1:57" x14ac:dyDescent="0.25">
      <c r="A92" s="1">
        <v>96</v>
      </c>
      <c r="B92" s="1" t="s">
        <v>3087</v>
      </c>
      <c r="C92" s="9" t="s">
        <v>120</v>
      </c>
      <c r="D92" s="1" t="s">
        <v>120</v>
      </c>
      <c r="E92" s="1"/>
      <c r="F92" s="1"/>
      <c r="G92" s="1" t="s">
        <v>3088</v>
      </c>
      <c r="H92" s="1" t="s">
        <v>3089</v>
      </c>
      <c r="I92" s="1" t="s">
        <v>3090</v>
      </c>
      <c r="J92" s="1">
        <v>1</v>
      </c>
      <c r="K92" s="1">
        <v>5</v>
      </c>
      <c r="L92" s="1">
        <v>4200</v>
      </c>
      <c r="M92" s="1">
        <v>10</v>
      </c>
      <c r="N92" s="1">
        <v>10</v>
      </c>
      <c r="O92" s="1">
        <v>5</v>
      </c>
      <c r="P92" s="1">
        <v>5</v>
      </c>
      <c r="Q92" s="1">
        <v>2</v>
      </c>
      <c r="R92" s="1">
        <v>2</v>
      </c>
      <c r="S92" s="1">
        <v>2</v>
      </c>
      <c r="T92" s="1">
        <v>0</v>
      </c>
      <c r="U92" s="1">
        <v>130</v>
      </c>
      <c r="V92" s="1">
        <v>135</v>
      </c>
      <c r="W92" s="1">
        <v>100</v>
      </c>
      <c r="X92" s="1">
        <v>100</v>
      </c>
      <c r="Y92" s="1">
        <v>100</v>
      </c>
      <c r="Z92" s="1">
        <v>85</v>
      </c>
      <c r="AA92" s="1">
        <v>0</v>
      </c>
      <c r="AB92" s="1">
        <v>15</v>
      </c>
      <c r="AC92" s="1">
        <v>20</v>
      </c>
      <c r="AD92" s="1">
        <v>0</v>
      </c>
      <c r="AE92" s="1">
        <v>125</v>
      </c>
      <c r="AF92" s="1">
        <v>100</v>
      </c>
      <c r="AG92" s="1">
        <v>100504</v>
      </c>
      <c r="AH92" s="1">
        <v>0</v>
      </c>
      <c r="AI92" s="1">
        <v>300101</v>
      </c>
      <c r="AJ92" s="1" t="s">
        <v>329</v>
      </c>
      <c r="AK92" s="1" t="s">
        <v>1205</v>
      </c>
      <c r="AL92" s="1">
        <v>13</v>
      </c>
      <c r="AM92" s="1" t="s">
        <v>1866</v>
      </c>
      <c r="AN92" s="1" t="s">
        <v>5013</v>
      </c>
      <c r="AO92" s="1" t="s">
        <v>5014</v>
      </c>
      <c r="AP92" s="1">
        <v>0</v>
      </c>
      <c r="AQ92" s="1" t="s">
        <v>1146</v>
      </c>
      <c r="AR92" s="1" t="s">
        <v>1147</v>
      </c>
      <c r="AS92" s="1" t="s">
        <v>4821</v>
      </c>
      <c r="AT92" s="1" t="s">
        <v>329</v>
      </c>
      <c r="AU92" s="1">
        <v>96</v>
      </c>
      <c r="AV92" s="1">
        <v>0</v>
      </c>
      <c r="AW92" s="1" t="s">
        <v>4552</v>
      </c>
      <c r="AX92" s="1" t="s">
        <v>4822</v>
      </c>
      <c r="AY92" s="1">
        <v>5</v>
      </c>
      <c r="AZ92" s="1">
        <v>0</v>
      </c>
      <c r="BA92" s="1" t="s">
        <v>329</v>
      </c>
      <c r="BB92" s="1" t="s">
        <v>5015</v>
      </c>
      <c r="BC92" s="1" t="s">
        <v>4780</v>
      </c>
      <c r="BD92" s="1">
        <v>10401</v>
      </c>
      <c r="BE92" s="1"/>
    </row>
    <row r="93" spans="1:57" x14ac:dyDescent="0.25">
      <c r="A93" s="1">
        <v>97</v>
      </c>
      <c r="B93" s="1" t="s">
        <v>3091</v>
      </c>
      <c r="C93" s="9" t="s">
        <v>121</v>
      </c>
      <c r="D93" s="1" t="s">
        <v>121</v>
      </c>
      <c r="E93" s="1"/>
      <c r="F93" s="1"/>
      <c r="G93" s="1" t="s">
        <v>3092</v>
      </c>
      <c r="H93" s="1" t="s">
        <v>3093</v>
      </c>
      <c r="I93" s="1" t="s">
        <v>3094</v>
      </c>
      <c r="J93" s="1">
        <v>1</v>
      </c>
      <c r="K93" s="1">
        <v>5</v>
      </c>
      <c r="L93" s="1">
        <v>3900</v>
      </c>
      <c r="M93" s="1">
        <v>10</v>
      </c>
      <c r="N93" s="1">
        <v>10</v>
      </c>
      <c r="O93" s="1">
        <v>5</v>
      </c>
      <c r="P93" s="1">
        <v>5</v>
      </c>
      <c r="Q93" s="1">
        <v>2</v>
      </c>
      <c r="R93" s="1">
        <v>2</v>
      </c>
      <c r="S93" s="1">
        <v>2</v>
      </c>
      <c r="T93" s="1">
        <v>0</v>
      </c>
      <c r="U93" s="1">
        <v>115</v>
      </c>
      <c r="V93" s="1">
        <v>110</v>
      </c>
      <c r="W93" s="1">
        <v>135</v>
      </c>
      <c r="X93" s="1">
        <v>100</v>
      </c>
      <c r="Y93" s="1">
        <v>115</v>
      </c>
      <c r="Z93" s="1">
        <v>95</v>
      </c>
      <c r="AA93" s="1">
        <v>0</v>
      </c>
      <c r="AB93" s="1">
        <v>15</v>
      </c>
      <c r="AC93" s="1">
        <v>20</v>
      </c>
      <c r="AD93" s="1">
        <v>0</v>
      </c>
      <c r="AE93" s="1">
        <v>115</v>
      </c>
      <c r="AF93" s="1">
        <v>100</v>
      </c>
      <c r="AG93" s="1">
        <v>100804</v>
      </c>
      <c r="AH93" s="1">
        <v>0</v>
      </c>
      <c r="AI93" s="1">
        <v>300101</v>
      </c>
      <c r="AJ93" s="1" t="s">
        <v>329</v>
      </c>
      <c r="AK93" s="1" t="s">
        <v>329</v>
      </c>
      <c r="AL93" s="1">
        <v>13</v>
      </c>
      <c r="AM93" s="1" t="s">
        <v>1866</v>
      </c>
      <c r="AN93" s="1" t="s">
        <v>4844</v>
      </c>
      <c r="AO93" s="1" t="s">
        <v>4877</v>
      </c>
      <c r="AP93" s="1">
        <v>0</v>
      </c>
      <c r="AQ93" s="1" t="s">
        <v>4802</v>
      </c>
      <c r="AR93" s="1" t="s">
        <v>1147</v>
      </c>
      <c r="AS93" s="1" t="s">
        <v>1148</v>
      </c>
      <c r="AT93" s="1" t="s">
        <v>329</v>
      </c>
      <c r="AU93" s="1">
        <v>97</v>
      </c>
      <c r="AV93" s="1">
        <v>0</v>
      </c>
      <c r="AW93" s="1" t="s">
        <v>4552</v>
      </c>
      <c r="AX93" s="1" t="s">
        <v>5016</v>
      </c>
      <c r="AY93" s="1">
        <v>5</v>
      </c>
      <c r="AZ93" s="1">
        <v>0</v>
      </c>
      <c r="BA93" s="1" t="s">
        <v>4915</v>
      </c>
      <c r="BB93" s="1" t="s">
        <v>5017</v>
      </c>
      <c r="BC93" s="1" t="s">
        <v>4780</v>
      </c>
      <c r="BD93" s="1">
        <v>10202</v>
      </c>
      <c r="BE93" s="1"/>
    </row>
    <row r="94" spans="1:57" x14ac:dyDescent="0.25">
      <c r="A94" s="1">
        <v>98</v>
      </c>
      <c r="B94" s="1" t="s">
        <v>3095</v>
      </c>
      <c r="C94" s="9" t="s">
        <v>1648</v>
      </c>
      <c r="D94" s="1" t="s">
        <v>1648</v>
      </c>
      <c r="E94" s="1"/>
      <c r="F94" s="1"/>
      <c r="G94" s="1" t="s">
        <v>3096</v>
      </c>
      <c r="H94" s="1" t="s">
        <v>3097</v>
      </c>
      <c r="I94" s="1" t="s">
        <v>3098</v>
      </c>
      <c r="J94" s="1">
        <v>1</v>
      </c>
      <c r="K94" s="1">
        <v>4</v>
      </c>
      <c r="L94" s="1">
        <v>3300</v>
      </c>
      <c r="M94" s="1">
        <v>10</v>
      </c>
      <c r="N94" s="1">
        <v>10</v>
      </c>
      <c r="O94" s="1">
        <v>5</v>
      </c>
      <c r="P94" s="1">
        <v>5</v>
      </c>
      <c r="Q94" s="1">
        <v>2</v>
      </c>
      <c r="R94" s="1">
        <v>2</v>
      </c>
      <c r="S94" s="1">
        <v>2</v>
      </c>
      <c r="T94" s="1">
        <v>0</v>
      </c>
      <c r="U94" s="1">
        <v>115</v>
      </c>
      <c r="V94" s="1">
        <v>115</v>
      </c>
      <c r="W94" s="1">
        <v>85</v>
      </c>
      <c r="X94" s="1">
        <v>100</v>
      </c>
      <c r="Y94" s="1">
        <v>110</v>
      </c>
      <c r="Z94" s="1">
        <v>90</v>
      </c>
      <c r="AA94" s="1">
        <v>0</v>
      </c>
      <c r="AB94" s="1">
        <v>15</v>
      </c>
      <c r="AC94" s="1">
        <v>20</v>
      </c>
      <c r="AD94" s="1">
        <v>0</v>
      </c>
      <c r="AE94" s="1">
        <v>135</v>
      </c>
      <c r="AF94" s="1">
        <v>100</v>
      </c>
      <c r="AG94" s="1">
        <v>101403</v>
      </c>
      <c r="AH94" s="1">
        <v>0</v>
      </c>
      <c r="AI94" s="1">
        <v>300115</v>
      </c>
      <c r="AJ94" s="1" t="s">
        <v>329</v>
      </c>
      <c r="AK94" s="1" t="s">
        <v>329</v>
      </c>
      <c r="AL94" s="1">
        <v>13</v>
      </c>
      <c r="AM94" s="1" t="s">
        <v>1866</v>
      </c>
      <c r="AN94" s="1" t="s">
        <v>5018</v>
      </c>
      <c r="AO94" s="1" t="s">
        <v>5019</v>
      </c>
      <c r="AP94" s="1">
        <v>0</v>
      </c>
      <c r="AQ94" s="1" t="s">
        <v>1146</v>
      </c>
      <c r="AR94" s="1" t="s">
        <v>1147</v>
      </c>
      <c r="AS94" s="1" t="s">
        <v>1148</v>
      </c>
      <c r="AT94" s="1" t="s">
        <v>329</v>
      </c>
      <c r="AU94" s="1">
        <v>98</v>
      </c>
      <c r="AV94" s="1">
        <v>0</v>
      </c>
      <c r="AW94" s="1" t="s">
        <v>5020</v>
      </c>
      <c r="AX94" s="1" t="s">
        <v>1866</v>
      </c>
      <c r="AY94" s="1">
        <v>4</v>
      </c>
      <c r="AZ94" s="1">
        <v>0</v>
      </c>
      <c r="BA94" s="1" t="s">
        <v>329</v>
      </c>
      <c r="BB94" s="1" t="s">
        <v>329</v>
      </c>
      <c r="BC94" s="1" t="s">
        <v>4817</v>
      </c>
      <c r="BD94" s="1">
        <v>10802</v>
      </c>
      <c r="BE94" s="1"/>
    </row>
    <row r="95" spans="1:57" x14ac:dyDescent="0.25">
      <c r="A95" s="1">
        <v>99</v>
      </c>
      <c r="B95" s="1" t="s">
        <v>3099</v>
      </c>
      <c r="C95" s="9" t="s">
        <v>1206</v>
      </c>
      <c r="D95" s="1" t="s">
        <v>1206</v>
      </c>
      <c r="E95" s="1"/>
      <c r="F95" s="1"/>
      <c r="G95" s="1" t="s">
        <v>3100</v>
      </c>
      <c r="H95" s="1" t="s">
        <v>3101</v>
      </c>
      <c r="I95" s="1" t="s">
        <v>3102</v>
      </c>
      <c r="J95" s="1">
        <v>1</v>
      </c>
      <c r="K95" s="1">
        <v>4</v>
      </c>
      <c r="L95" s="1">
        <v>3000</v>
      </c>
      <c r="M95" s="1">
        <v>10</v>
      </c>
      <c r="N95" s="1">
        <v>10</v>
      </c>
      <c r="O95" s="1">
        <v>5</v>
      </c>
      <c r="P95" s="1">
        <v>5</v>
      </c>
      <c r="Q95" s="1">
        <v>2</v>
      </c>
      <c r="R95" s="1">
        <v>2</v>
      </c>
      <c r="S95" s="1">
        <v>2</v>
      </c>
      <c r="T95" s="1">
        <v>0</v>
      </c>
      <c r="U95" s="1">
        <v>120</v>
      </c>
      <c r="V95" s="1">
        <v>110</v>
      </c>
      <c r="W95" s="1">
        <v>120</v>
      </c>
      <c r="X95" s="1">
        <v>100</v>
      </c>
      <c r="Y95" s="1">
        <v>115</v>
      </c>
      <c r="Z95" s="1">
        <v>95</v>
      </c>
      <c r="AA95" s="1">
        <v>0</v>
      </c>
      <c r="AB95" s="1">
        <v>15</v>
      </c>
      <c r="AC95" s="1">
        <v>20</v>
      </c>
      <c r="AD95" s="1">
        <v>0</v>
      </c>
      <c r="AE95" s="1">
        <v>110</v>
      </c>
      <c r="AF95" s="1">
        <v>100</v>
      </c>
      <c r="AG95" s="1">
        <v>100511</v>
      </c>
      <c r="AH95" s="1">
        <v>0</v>
      </c>
      <c r="AI95" s="1">
        <v>300101</v>
      </c>
      <c r="AJ95" s="1" t="s">
        <v>329</v>
      </c>
      <c r="AK95" s="1" t="s">
        <v>329</v>
      </c>
      <c r="AL95" s="1">
        <v>13</v>
      </c>
      <c r="AM95" s="1" t="s">
        <v>1866</v>
      </c>
      <c r="AN95" s="1" t="s">
        <v>4823</v>
      </c>
      <c r="AO95" s="1" t="s">
        <v>4884</v>
      </c>
      <c r="AP95" s="1">
        <v>0</v>
      </c>
      <c r="AQ95" s="1" t="s">
        <v>1146</v>
      </c>
      <c r="AR95" s="1" t="s">
        <v>1147</v>
      </c>
      <c r="AS95" s="1" t="s">
        <v>1148</v>
      </c>
      <c r="AT95" s="1" t="s">
        <v>329</v>
      </c>
      <c r="AU95" s="1">
        <v>99</v>
      </c>
      <c r="AV95" s="1">
        <v>0</v>
      </c>
      <c r="AW95" s="1" t="s">
        <v>4552</v>
      </c>
      <c r="AX95" s="1" t="s">
        <v>471</v>
      </c>
      <c r="AY95" s="1">
        <v>4</v>
      </c>
      <c r="AZ95" s="1">
        <v>0</v>
      </c>
      <c r="BA95" s="1" t="s">
        <v>329</v>
      </c>
      <c r="BB95" s="1" t="s">
        <v>5021</v>
      </c>
      <c r="BC95" s="1" t="s">
        <v>4829</v>
      </c>
      <c r="BD95" s="1">
        <v>10302</v>
      </c>
      <c r="BE95" s="1"/>
    </row>
    <row r="96" spans="1:57" x14ac:dyDescent="0.25">
      <c r="A96" s="1">
        <v>100</v>
      </c>
      <c r="B96" s="1" t="s">
        <v>3103</v>
      </c>
      <c r="C96" s="9" t="s">
        <v>122</v>
      </c>
      <c r="D96" s="1" t="s">
        <v>122</v>
      </c>
      <c r="E96" s="1"/>
      <c r="F96" s="1"/>
      <c r="G96" s="1" t="s">
        <v>3104</v>
      </c>
      <c r="H96" s="1" t="s">
        <v>3105</v>
      </c>
      <c r="I96" s="1" t="s">
        <v>3106</v>
      </c>
      <c r="J96" s="1">
        <v>1</v>
      </c>
      <c r="K96" s="1">
        <v>4</v>
      </c>
      <c r="L96" s="1">
        <v>3300</v>
      </c>
      <c r="M96" s="1">
        <v>10</v>
      </c>
      <c r="N96" s="1">
        <v>10</v>
      </c>
      <c r="O96" s="1">
        <v>5</v>
      </c>
      <c r="P96" s="1">
        <v>5</v>
      </c>
      <c r="Q96" s="1">
        <v>2</v>
      </c>
      <c r="R96" s="1">
        <v>2</v>
      </c>
      <c r="S96" s="1">
        <v>2</v>
      </c>
      <c r="T96" s="1">
        <v>0</v>
      </c>
      <c r="U96" s="1">
        <v>95</v>
      </c>
      <c r="V96" s="1">
        <v>115</v>
      </c>
      <c r="W96" s="1">
        <v>115</v>
      </c>
      <c r="X96" s="1">
        <v>100</v>
      </c>
      <c r="Y96" s="1">
        <v>130</v>
      </c>
      <c r="Z96" s="1">
        <v>115</v>
      </c>
      <c r="AA96" s="1">
        <v>0</v>
      </c>
      <c r="AB96" s="1">
        <v>15</v>
      </c>
      <c r="AC96" s="1">
        <v>20</v>
      </c>
      <c r="AD96" s="1">
        <v>0</v>
      </c>
      <c r="AE96" s="1">
        <v>115</v>
      </c>
      <c r="AF96" s="1">
        <v>100</v>
      </c>
      <c r="AG96" s="1">
        <v>100603</v>
      </c>
      <c r="AH96" s="1">
        <v>0</v>
      </c>
      <c r="AI96" s="1">
        <v>300101</v>
      </c>
      <c r="AJ96" s="1" t="s">
        <v>329</v>
      </c>
      <c r="AK96" s="1" t="s">
        <v>329</v>
      </c>
      <c r="AL96" s="1">
        <v>13</v>
      </c>
      <c r="AM96" s="1" t="s">
        <v>1866</v>
      </c>
      <c r="AN96" s="1" t="s">
        <v>5022</v>
      </c>
      <c r="AO96" s="1" t="s">
        <v>4927</v>
      </c>
      <c r="AP96" s="1">
        <v>0</v>
      </c>
      <c r="AQ96" s="1" t="s">
        <v>1146</v>
      </c>
      <c r="AR96" s="1" t="s">
        <v>1147</v>
      </c>
      <c r="AS96" s="1" t="s">
        <v>1148</v>
      </c>
      <c r="AT96" s="1" t="s">
        <v>329</v>
      </c>
      <c r="AU96" s="1">
        <v>100</v>
      </c>
      <c r="AV96" s="1">
        <v>0</v>
      </c>
      <c r="AW96" s="1" t="s">
        <v>4552</v>
      </c>
      <c r="AX96" s="1" t="s">
        <v>471</v>
      </c>
      <c r="AY96" s="1">
        <v>4</v>
      </c>
      <c r="AZ96" s="1">
        <v>0</v>
      </c>
      <c r="BA96" s="1" t="s">
        <v>329</v>
      </c>
      <c r="BB96" s="1" t="s">
        <v>5023</v>
      </c>
      <c r="BC96" s="1" t="s">
        <v>4829</v>
      </c>
      <c r="BD96" s="1">
        <v>10303</v>
      </c>
      <c r="BE96" s="1"/>
    </row>
    <row r="97" spans="1:57" x14ac:dyDescent="0.25">
      <c r="A97" s="1">
        <v>101</v>
      </c>
      <c r="B97" s="1" t="s">
        <v>3107</v>
      </c>
      <c r="C97" s="9" t="s">
        <v>123</v>
      </c>
      <c r="D97" s="1" t="s">
        <v>123</v>
      </c>
      <c r="E97" s="1"/>
      <c r="F97" s="1"/>
      <c r="G97" s="1" t="s">
        <v>3108</v>
      </c>
      <c r="H97" s="1" t="s">
        <v>3109</v>
      </c>
      <c r="I97" s="1" t="s">
        <v>3110</v>
      </c>
      <c r="J97" s="1">
        <v>2</v>
      </c>
      <c r="K97" s="1">
        <v>4</v>
      </c>
      <c r="L97" s="1">
        <v>8100</v>
      </c>
      <c r="M97" s="1">
        <v>25</v>
      </c>
      <c r="N97" s="1">
        <v>20</v>
      </c>
      <c r="O97" s="1">
        <v>15</v>
      </c>
      <c r="P97" s="1">
        <v>10</v>
      </c>
      <c r="Q97" s="1">
        <v>5</v>
      </c>
      <c r="R97" s="1">
        <v>5</v>
      </c>
      <c r="S97" s="1">
        <v>2</v>
      </c>
      <c r="T97" s="1">
        <v>0</v>
      </c>
      <c r="U97" s="1">
        <v>100</v>
      </c>
      <c r="V97" s="1">
        <v>95</v>
      </c>
      <c r="W97" s="1">
        <v>110</v>
      </c>
      <c r="X97" s="1">
        <v>100</v>
      </c>
      <c r="Y97" s="1">
        <v>120</v>
      </c>
      <c r="Z97" s="1">
        <v>125</v>
      </c>
      <c r="AA97" s="1">
        <v>0</v>
      </c>
      <c r="AB97" s="1">
        <v>15</v>
      </c>
      <c r="AC97" s="1">
        <v>5</v>
      </c>
      <c r="AD97" s="1">
        <v>0</v>
      </c>
      <c r="AE97" s="1">
        <v>110</v>
      </c>
      <c r="AF97" s="1">
        <v>100</v>
      </c>
      <c r="AG97" s="1">
        <v>102203</v>
      </c>
      <c r="AH97" s="1">
        <v>0</v>
      </c>
      <c r="AI97" s="1">
        <v>300102</v>
      </c>
      <c r="AJ97" s="1" t="s">
        <v>1207</v>
      </c>
      <c r="AK97" s="1" t="s">
        <v>329</v>
      </c>
      <c r="AL97" s="1">
        <v>13</v>
      </c>
      <c r="AM97" s="1" t="s">
        <v>4850</v>
      </c>
      <c r="AN97" s="1" t="s">
        <v>4855</v>
      </c>
      <c r="AO97" s="1" t="s">
        <v>5024</v>
      </c>
      <c r="AP97" s="1">
        <v>0</v>
      </c>
      <c r="AQ97" s="1" t="s">
        <v>1773</v>
      </c>
      <c r="AR97" s="1" t="s">
        <v>1147</v>
      </c>
      <c r="AS97" s="1" t="s">
        <v>1774</v>
      </c>
      <c r="AT97" s="1" t="s">
        <v>329</v>
      </c>
      <c r="AU97" s="1">
        <v>101</v>
      </c>
      <c r="AV97" s="1">
        <v>0</v>
      </c>
      <c r="AW97" s="1" t="s">
        <v>4552</v>
      </c>
      <c r="AX97" s="1" t="s">
        <v>4857</v>
      </c>
      <c r="AY97" s="1">
        <v>4</v>
      </c>
      <c r="AZ97" s="1">
        <v>0</v>
      </c>
      <c r="BA97" s="1" t="s">
        <v>4803</v>
      </c>
      <c r="BB97" s="1" t="s">
        <v>5025</v>
      </c>
      <c r="BC97" s="1" t="s">
        <v>4949</v>
      </c>
      <c r="BD97" s="1">
        <v>10104</v>
      </c>
      <c r="BE97" s="1"/>
    </row>
    <row r="98" spans="1:57" x14ac:dyDescent="0.25">
      <c r="A98" s="1">
        <v>102</v>
      </c>
      <c r="B98" s="1" t="s">
        <v>3111</v>
      </c>
      <c r="C98" s="9" t="s">
        <v>24</v>
      </c>
      <c r="D98" s="1" t="s">
        <v>24</v>
      </c>
      <c r="E98" s="1"/>
      <c r="F98" s="1"/>
      <c r="G98" s="1" t="s">
        <v>3112</v>
      </c>
      <c r="H98" s="1" t="s">
        <v>3113</v>
      </c>
      <c r="I98" s="1" t="s">
        <v>3114</v>
      </c>
      <c r="J98" s="1">
        <v>2</v>
      </c>
      <c r="K98" s="1">
        <v>4</v>
      </c>
      <c r="L98" s="1">
        <v>8100</v>
      </c>
      <c r="M98" s="1">
        <v>25</v>
      </c>
      <c r="N98" s="1">
        <v>20</v>
      </c>
      <c r="O98" s="1">
        <v>15</v>
      </c>
      <c r="P98" s="1">
        <v>10</v>
      </c>
      <c r="Q98" s="1">
        <v>5</v>
      </c>
      <c r="R98" s="1">
        <v>5</v>
      </c>
      <c r="S98" s="1">
        <v>2</v>
      </c>
      <c r="T98" s="1">
        <v>0</v>
      </c>
      <c r="U98" s="1">
        <v>102</v>
      </c>
      <c r="V98" s="1">
        <v>102</v>
      </c>
      <c r="W98" s="1">
        <v>108</v>
      </c>
      <c r="X98" s="1">
        <v>100</v>
      </c>
      <c r="Y98" s="1">
        <v>115</v>
      </c>
      <c r="Z98" s="1">
        <v>122</v>
      </c>
      <c r="AA98" s="1">
        <v>0</v>
      </c>
      <c r="AB98" s="1">
        <v>15</v>
      </c>
      <c r="AC98" s="1">
        <v>5</v>
      </c>
      <c r="AD98" s="1">
        <v>0</v>
      </c>
      <c r="AE98" s="1">
        <v>110</v>
      </c>
      <c r="AF98" s="1">
        <v>100</v>
      </c>
      <c r="AG98" s="1">
        <v>106501</v>
      </c>
      <c r="AH98" s="1">
        <v>0</v>
      </c>
      <c r="AI98" s="1">
        <v>300102</v>
      </c>
      <c r="AJ98" s="1" t="s">
        <v>1208</v>
      </c>
      <c r="AK98" s="1" t="s">
        <v>329</v>
      </c>
      <c r="AL98" s="1">
        <v>13</v>
      </c>
      <c r="AM98" s="1" t="s">
        <v>4779</v>
      </c>
      <c r="AN98" s="1" t="s">
        <v>4807</v>
      </c>
      <c r="AO98" s="1" t="s">
        <v>5026</v>
      </c>
      <c r="AP98" s="1">
        <v>0</v>
      </c>
      <c r="AQ98" s="1" t="s">
        <v>1773</v>
      </c>
      <c r="AR98" s="1" t="s">
        <v>1147</v>
      </c>
      <c r="AS98" s="1" t="s">
        <v>1158</v>
      </c>
      <c r="AT98" s="1" t="s">
        <v>329</v>
      </c>
      <c r="AU98" s="1">
        <v>102</v>
      </c>
      <c r="AV98" s="1">
        <v>0</v>
      </c>
      <c r="AW98" s="1" t="s">
        <v>5027</v>
      </c>
      <c r="AX98" s="1" t="s">
        <v>1866</v>
      </c>
      <c r="AY98" s="1">
        <v>4</v>
      </c>
      <c r="AZ98" s="1">
        <v>0</v>
      </c>
      <c r="BA98" s="1" t="s">
        <v>329</v>
      </c>
      <c r="BB98" s="1" t="s">
        <v>5028</v>
      </c>
      <c r="BC98" s="1" t="s">
        <v>4829</v>
      </c>
      <c r="BD98" s="1">
        <v>0</v>
      </c>
      <c r="BE98" s="1"/>
    </row>
    <row r="99" spans="1:57" x14ac:dyDescent="0.25">
      <c r="A99" s="1">
        <v>103</v>
      </c>
      <c r="B99" s="1" t="s">
        <v>3115</v>
      </c>
      <c r="C99" s="9" t="s">
        <v>23</v>
      </c>
      <c r="D99" s="1" t="s">
        <v>23</v>
      </c>
      <c r="E99" s="1"/>
      <c r="F99" s="1"/>
      <c r="G99" s="1" t="s">
        <v>3116</v>
      </c>
      <c r="H99" s="1" t="s">
        <v>3117</v>
      </c>
      <c r="I99" s="1" t="s">
        <v>3118</v>
      </c>
      <c r="J99" s="1">
        <v>2</v>
      </c>
      <c r="K99" s="1">
        <v>4</v>
      </c>
      <c r="L99" s="1">
        <v>8100</v>
      </c>
      <c r="M99" s="1">
        <v>25</v>
      </c>
      <c r="N99" s="1">
        <v>20</v>
      </c>
      <c r="O99" s="1">
        <v>15</v>
      </c>
      <c r="P99" s="1">
        <v>10</v>
      </c>
      <c r="Q99" s="1">
        <v>5</v>
      </c>
      <c r="R99" s="1">
        <v>5</v>
      </c>
      <c r="S99" s="1">
        <v>2</v>
      </c>
      <c r="T99" s="1">
        <v>0</v>
      </c>
      <c r="U99" s="1">
        <v>105</v>
      </c>
      <c r="V99" s="1">
        <v>105</v>
      </c>
      <c r="W99" s="1">
        <v>105</v>
      </c>
      <c r="X99" s="1">
        <v>100</v>
      </c>
      <c r="Y99" s="1">
        <v>110</v>
      </c>
      <c r="Z99" s="1">
        <v>120</v>
      </c>
      <c r="AA99" s="1">
        <v>0</v>
      </c>
      <c r="AB99" s="1">
        <v>15</v>
      </c>
      <c r="AC99" s="1">
        <v>5</v>
      </c>
      <c r="AD99" s="1">
        <v>0</v>
      </c>
      <c r="AE99" s="1">
        <v>110</v>
      </c>
      <c r="AF99" s="1">
        <v>100</v>
      </c>
      <c r="AG99" s="1">
        <v>102403</v>
      </c>
      <c r="AH99" s="1">
        <v>0</v>
      </c>
      <c r="AI99" s="1">
        <v>300102</v>
      </c>
      <c r="AJ99" s="1" t="s">
        <v>1209</v>
      </c>
      <c r="AK99" s="1" t="s">
        <v>329</v>
      </c>
      <c r="AL99" s="1">
        <v>13</v>
      </c>
      <c r="AM99" s="1" t="s">
        <v>4850</v>
      </c>
      <c r="AN99" s="1" t="s">
        <v>4855</v>
      </c>
      <c r="AO99" s="1" t="s">
        <v>4922</v>
      </c>
      <c r="AP99" s="1">
        <v>0</v>
      </c>
      <c r="AQ99" s="1" t="s">
        <v>1773</v>
      </c>
      <c r="AR99" s="1" t="s">
        <v>1147</v>
      </c>
      <c r="AS99" s="1" t="s">
        <v>1774</v>
      </c>
      <c r="AT99" s="1" t="s">
        <v>329</v>
      </c>
      <c r="AU99" s="1">
        <v>103</v>
      </c>
      <c r="AV99" s="1">
        <v>0</v>
      </c>
      <c r="AW99" s="1" t="s">
        <v>5029</v>
      </c>
      <c r="AX99" s="1" t="s">
        <v>4857</v>
      </c>
      <c r="AY99" s="1">
        <v>4</v>
      </c>
      <c r="AZ99" s="1">
        <v>0</v>
      </c>
      <c r="BA99" s="1" t="s">
        <v>4803</v>
      </c>
      <c r="BB99" s="1" t="s">
        <v>5030</v>
      </c>
      <c r="BC99" s="1" t="s">
        <v>4949</v>
      </c>
      <c r="BD99" s="1">
        <v>10104</v>
      </c>
      <c r="BE99" s="1"/>
    </row>
    <row r="100" spans="1:57" x14ac:dyDescent="0.25">
      <c r="A100" s="1">
        <v>104</v>
      </c>
      <c r="B100" s="1" t="s">
        <v>3119</v>
      </c>
      <c r="C100" s="9" t="s">
        <v>1630</v>
      </c>
      <c r="D100" s="1" t="s">
        <v>3120</v>
      </c>
      <c r="E100" s="1"/>
      <c r="F100" s="1"/>
      <c r="G100" s="1" t="s">
        <v>3121</v>
      </c>
      <c r="H100" s="1" t="s">
        <v>3122</v>
      </c>
      <c r="I100" s="1" t="s">
        <v>3123</v>
      </c>
      <c r="J100" s="1">
        <v>2</v>
      </c>
      <c r="K100" s="1">
        <v>5</v>
      </c>
      <c r="L100" s="1">
        <v>9000</v>
      </c>
      <c r="M100" s="1">
        <v>25</v>
      </c>
      <c r="N100" s="1">
        <v>20</v>
      </c>
      <c r="O100" s="1">
        <v>15</v>
      </c>
      <c r="P100" s="1">
        <v>10</v>
      </c>
      <c r="Q100" s="1">
        <v>5</v>
      </c>
      <c r="R100" s="1">
        <v>5</v>
      </c>
      <c r="S100" s="1">
        <v>2</v>
      </c>
      <c r="T100" s="1">
        <v>0</v>
      </c>
      <c r="U100" s="1">
        <v>115</v>
      </c>
      <c r="V100" s="1">
        <v>135</v>
      </c>
      <c r="W100" s="1">
        <v>110</v>
      </c>
      <c r="X100" s="1">
        <v>100</v>
      </c>
      <c r="Y100" s="1">
        <v>120</v>
      </c>
      <c r="Z100" s="1">
        <v>120</v>
      </c>
      <c r="AA100" s="1">
        <v>0</v>
      </c>
      <c r="AB100" s="1">
        <v>15</v>
      </c>
      <c r="AC100" s="1">
        <v>5</v>
      </c>
      <c r="AD100" s="1">
        <v>0</v>
      </c>
      <c r="AE100" s="1">
        <v>95</v>
      </c>
      <c r="AF100" s="1">
        <v>100</v>
      </c>
      <c r="AG100" s="1">
        <v>900225</v>
      </c>
      <c r="AH100" s="1">
        <v>0</v>
      </c>
      <c r="AI100" s="1">
        <v>300102</v>
      </c>
      <c r="AJ100" s="1" t="s">
        <v>329</v>
      </c>
      <c r="AK100" s="1" t="s">
        <v>329</v>
      </c>
      <c r="AL100" s="1">
        <v>13</v>
      </c>
      <c r="AM100" s="1" t="s">
        <v>4850</v>
      </c>
      <c r="AN100" s="1" t="s">
        <v>4855</v>
      </c>
      <c r="AO100" s="1" t="s">
        <v>4977</v>
      </c>
      <c r="AP100" s="1">
        <v>0</v>
      </c>
      <c r="AQ100" s="1" t="s">
        <v>1773</v>
      </c>
      <c r="AR100" s="1" t="s">
        <v>1147</v>
      </c>
      <c r="AS100" s="1" t="s">
        <v>1158</v>
      </c>
      <c r="AT100" s="1" t="s">
        <v>329</v>
      </c>
      <c r="AU100" s="1">
        <v>104</v>
      </c>
      <c r="AV100" s="1">
        <v>0</v>
      </c>
      <c r="AW100" s="1" t="s">
        <v>5031</v>
      </c>
      <c r="AX100" s="1" t="s">
        <v>332</v>
      </c>
      <c r="AY100" s="1">
        <v>5</v>
      </c>
      <c r="AZ100" s="1">
        <v>0</v>
      </c>
      <c r="BA100" s="1" t="s">
        <v>4915</v>
      </c>
      <c r="BB100" s="1" t="s">
        <v>5032</v>
      </c>
      <c r="BC100" s="1" t="s">
        <v>4829</v>
      </c>
      <c r="BD100" s="1">
        <v>10703</v>
      </c>
      <c r="BE100" s="1"/>
    </row>
    <row r="101" spans="1:57" x14ac:dyDescent="0.25">
      <c r="A101" s="1">
        <v>105</v>
      </c>
      <c r="B101" s="1" t="s">
        <v>3124</v>
      </c>
      <c r="C101" s="9" t="s">
        <v>727</v>
      </c>
      <c r="D101" s="1" t="s">
        <v>727</v>
      </c>
      <c r="E101" s="1"/>
      <c r="F101" s="1"/>
      <c r="G101" s="1" t="s">
        <v>3125</v>
      </c>
      <c r="H101" s="1" t="s">
        <v>3126</v>
      </c>
      <c r="I101" s="1" t="s">
        <v>3127</v>
      </c>
      <c r="J101" s="1">
        <v>4</v>
      </c>
      <c r="K101" s="1">
        <v>3</v>
      </c>
      <c r="L101" s="1">
        <v>11400</v>
      </c>
      <c r="M101" s="1">
        <v>20</v>
      </c>
      <c r="N101" s="1">
        <v>20</v>
      </c>
      <c r="O101" s="1">
        <v>10</v>
      </c>
      <c r="P101" s="1">
        <v>10</v>
      </c>
      <c r="Q101" s="1">
        <v>2</v>
      </c>
      <c r="R101" s="1">
        <v>5</v>
      </c>
      <c r="S101" s="1">
        <v>5</v>
      </c>
      <c r="T101" s="1">
        <v>0</v>
      </c>
      <c r="U101" s="1">
        <v>95</v>
      </c>
      <c r="V101" s="1">
        <v>90</v>
      </c>
      <c r="W101" s="1">
        <v>105</v>
      </c>
      <c r="X101" s="1">
        <v>100</v>
      </c>
      <c r="Y101" s="1">
        <v>125</v>
      </c>
      <c r="Z101" s="1">
        <v>125</v>
      </c>
      <c r="AA101" s="1">
        <v>0</v>
      </c>
      <c r="AB101" s="1">
        <v>15</v>
      </c>
      <c r="AC101" s="1">
        <v>20</v>
      </c>
      <c r="AD101" s="1">
        <v>0</v>
      </c>
      <c r="AE101" s="1">
        <v>125</v>
      </c>
      <c r="AF101" s="1">
        <v>100</v>
      </c>
      <c r="AG101" s="1">
        <v>100406</v>
      </c>
      <c r="AH101" s="1">
        <v>0</v>
      </c>
      <c r="AI101" s="1">
        <v>300103</v>
      </c>
      <c r="AJ101" s="1" t="s">
        <v>1153</v>
      </c>
      <c r="AK101" s="1" t="s">
        <v>329</v>
      </c>
      <c r="AL101" s="1">
        <v>13</v>
      </c>
      <c r="AM101" s="1" t="s">
        <v>4779</v>
      </c>
      <c r="AN101" s="1" t="s">
        <v>4889</v>
      </c>
      <c r="AO101" s="1" t="s">
        <v>5033</v>
      </c>
      <c r="AP101" s="1">
        <v>0</v>
      </c>
      <c r="AQ101" s="1" t="s">
        <v>1158</v>
      </c>
      <c r="AR101" s="1" t="s">
        <v>4928</v>
      </c>
      <c r="AS101" s="1" t="s">
        <v>1157</v>
      </c>
      <c r="AT101" s="1" t="s">
        <v>329</v>
      </c>
      <c r="AU101" s="1">
        <v>105</v>
      </c>
      <c r="AV101" s="1">
        <v>0</v>
      </c>
      <c r="AW101" s="1" t="s">
        <v>4552</v>
      </c>
      <c r="AX101" s="1" t="s">
        <v>4857</v>
      </c>
      <c r="AY101" s="1">
        <v>3</v>
      </c>
      <c r="AZ101" s="1">
        <v>0</v>
      </c>
      <c r="BA101" s="1" t="s">
        <v>329</v>
      </c>
      <c r="BB101" s="1" t="s">
        <v>329</v>
      </c>
      <c r="BC101" s="1" t="s">
        <v>4817</v>
      </c>
      <c r="BD101" s="1">
        <v>10704</v>
      </c>
      <c r="BE101" s="1"/>
    </row>
    <row r="102" spans="1:57" x14ac:dyDescent="0.25">
      <c r="A102" s="1">
        <v>106</v>
      </c>
      <c r="B102" s="1" t="s">
        <v>3128</v>
      </c>
      <c r="C102" s="9" t="s">
        <v>124</v>
      </c>
      <c r="D102" s="1" t="s">
        <v>3129</v>
      </c>
      <c r="E102" s="1"/>
      <c r="F102" s="1"/>
      <c r="G102" s="1" t="s">
        <v>3130</v>
      </c>
      <c r="H102" s="1" t="s">
        <v>3131</v>
      </c>
      <c r="I102" s="1" t="s">
        <v>3132</v>
      </c>
      <c r="J102" s="1">
        <v>4</v>
      </c>
      <c r="K102" s="1">
        <v>5</v>
      </c>
      <c r="L102" s="1">
        <v>13500</v>
      </c>
      <c r="M102" s="1">
        <v>20</v>
      </c>
      <c r="N102" s="1">
        <v>20</v>
      </c>
      <c r="O102" s="1">
        <v>10</v>
      </c>
      <c r="P102" s="1">
        <v>10</v>
      </c>
      <c r="Q102" s="1">
        <v>2</v>
      </c>
      <c r="R102" s="1">
        <v>5</v>
      </c>
      <c r="S102" s="1">
        <v>5</v>
      </c>
      <c r="T102" s="1">
        <v>0</v>
      </c>
      <c r="U102" s="1">
        <v>120</v>
      </c>
      <c r="V102" s="1">
        <v>130</v>
      </c>
      <c r="W102" s="1">
        <v>108</v>
      </c>
      <c r="X102" s="1">
        <v>100</v>
      </c>
      <c r="Y102" s="1">
        <v>105</v>
      </c>
      <c r="Z102" s="1">
        <v>95</v>
      </c>
      <c r="AA102" s="1">
        <v>0</v>
      </c>
      <c r="AB102" s="1">
        <v>15</v>
      </c>
      <c r="AC102" s="1">
        <v>20</v>
      </c>
      <c r="AD102" s="1">
        <v>0</v>
      </c>
      <c r="AE102" s="1">
        <v>115</v>
      </c>
      <c r="AF102" s="1">
        <v>100</v>
      </c>
      <c r="AG102" s="1">
        <v>102117</v>
      </c>
      <c r="AH102" s="1">
        <v>0</v>
      </c>
      <c r="AI102" s="1">
        <v>300103</v>
      </c>
      <c r="AJ102" s="1" t="s">
        <v>5034</v>
      </c>
      <c r="AK102" s="1" t="s">
        <v>1210</v>
      </c>
      <c r="AL102" s="1">
        <v>13</v>
      </c>
      <c r="AM102" s="1" t="s">
        <v>4779</v>
      </c>
      <c r="AN102" s="1" t="s">
        <v>4924</v>
      </c>
      <c r="AO102" s="1" t="s">
        <v>5009</v>
      </c>
      <c r="AP102" s="1">
        <v>0</v>
      </c>
      <c r="AQ102" s="1" t="s">
        <v>1158</v>
      </c>
      <c r="AR102" s="1" t="s">
        <v>1182</v>
      </c>
      <c r="AS102" s="1" t="s">
        <v>1157</v>
      </c>
      <c r="AT102" s="1" t="s">
        <v>329</v>
      </c>
      <c r="AU102" s="1">
        <v>106</v>
      </c>
      <c r="AV102" s="1">
        <v>0</v>
      </c>
      <c r="AW102" s="1" t="s">
        <v>4552</v>
      </c>
      <c r="AX102" s="1" t="s">
        <v>332</v>
      </c>
      <c r="AY102" s="1">
        <v>5</v>
      </c>
      <c r="AZ102" s="1">
        <v>0</v>
      </c>
      <c r="BA102" s="1" t="s">
        <v>329</v>
      </c>
      <c r="BB102" s="1" t="s">
        <v>5035</v>
      </c>
      <c r="BC102" s="1" t="s">
        <v>4913</v>
      </c>
      <c r="BD102" s="1">
        <v>10202</v>
      </c>
      <c r="BE102" s="1"/>
    </row>
    <row r="103" spans="1:57" x14ac:dyDescent="0.25">
      <c r="A103" s="1">
        <v>107</v>
      </c>
      <c r="B103" s="1" t="s">
        <v>3133</v>
      </c>
      <c r="C103" s="9" t="s">
        <v>1211</v>
      </c>
      <c r="D103" s="1" t="s">
        <v>1211</v>
      </c>
      <c r="E103" s="1"/>
      <c r="F103" s="1"/>
      <c r="G103" s="1" t="s">
        <v>3134</v>
      </c>
      <c r="H103" s="1" t="s">
        <v>3135</v>
      </c>
      <c r="I103" s="1" t="s">
        <v>3136</v>
      </c>
      <c r="J103" s="1">
        <v>4</v>
      </c>
      <c r="K103" s="1">
        <v>2</v>
      </c>
      <c r="L103" s="1">
        <v>9900</v>
      </c>
      <c r="M103" s="1">
        <v>20</v>
      </c>
      <c r="N103" s="1">
        <v>20</v>
      </c>
      <c r="O103" s="1">
        <v>10</v>
      </c>
      <c r="P103" s="1">
        <v>10</v>
      </c>
      <c r="Q103" s="1">
        <v>2</v>
      </c>
      <c r="R103" s="1">
        <v>5</v>
      </c>
      <c r="S103" s="1">
        <v>5</v>
      </c>
      <c r="T103" s="1">
        <v>0</v>
      </c>
      <c r="U103" s="1">
        <v>95</v>
      </c>
      <c r="V103" s="1">
        <v>100</v>
      </c>
      <c r="W103" s="1">
        <v>125</v>
      </c>
      <c r="X103" s="1">
        <v>100</v>
      </c>
      <c r="Y103" s="1">
        <v>120</v>
      </c>
      <c r="Z103" s="1">
        <v>105</v>
      </c>
      <c r="AA103" s="1">
        <v>0</v>
      </c>
      <c r="AB103" s="1">
        <v>15</v>
      </c>
      <c r="AC103" s="1">
        <v>20</v>
      </c>
      <c r="AD103" s="1">
        <v>0</v>
      </c>
      <c r="AE103" s="1">
        <v>105</v>
      </c>
      <c r="AF103" s="1">
        <v>100</v>
      </c>
      <c r="AG103" s="1">
        <v>100101</v>
      </c>
      <c r="AH103" s="1">
        <v>0</v>
      </c>
      <c r="AI103" s="1">
        <v>300116</v>
      </c>
      <c r="AJ103" s="1" t="s">
        <v>1153</v>
      </c>
      <c r="AK103" s="1" t="s">
        <v>329</v>
      </c>
      <c r="AL103" s="1">
        <v>13</v>
      </c>
      <c r="AM103" s="1" t="s">
        <v>4779</v>
      </c>
      <c r="AN103" s="1" t="s">
        <v>476</v>
      </c>
      <c r="AO103" s="1" t="s">
        <v>5036</v>
      </c>
      <c r="AP103" s="1">
        <v>0</v>
      </c>
      <c r="AQ103" s="1" t="s">
        <v>1774</v>
      </c>
      <c r="AR103" s="1" t="s">
        <v>1182</v>
      </c>
      <c r="AS103" s="1" t="s">
        <v>1157</v>
      </c>
      <c r="AT103" s="1" t="s">
        <v>329</v>
      </c>
      <c r="AU103" s="1">
        <v>107</v>
      </c>
      <c r="AV103" s="1">
        <v>0</v>
      </c>
      <c r="AW103" s="1" t="s">
        <v>4552</v>
      </c>
      <c r="AX103" s="1" t="s">
        <v>471</v>
      </c>
      <c r="AY103" s="1">
        <v>2</v>
      </c>
      <c r="AZ103" s="1">
        <v>0</v>
      </c>
      <c r="BA103" s="1" t="s">
        <v>329</v>
      </c>
      <c r="BB103" s="1" t="s">
        <v>5037</v>
      </c>
      <c r="BC103" s="1" t="s">
        <v>4913</v>
      </c>
      <c r="BD103" s="1">
        <v>10202</v>
      </c>
      <c r="BE103" s="1"/>
    </row>
    <row r="104" spans="1:57" x14ac:dyDescent="0.25">
      <c r="A104" s="1">
        <v>108</v>
      </c>
      <c r="B104" s="1" t="s">
        <v>3137</v>
      </c>
      <c r="C104" s="9" t="s">
        <v>1649</v>
      </c>
      <c r="D104" s="1" t="s">
        <v>1649</v>
      </c>
      <c r="E104" s="1"/>
      <c r="F104" s="1"/>
      <c r="G104" s="1" t="s">
        <v>3138</v>
      </c>
      <c r="H104" s="1" t="s">
        <v>3139</v>
      </c>
      <c r="I104" s="1" t="s">
        <v>3140</v>
      </c>
      <c r="J104" s="1">
        <v>4</v>
      </c>
      <c r="K104" s="1">
        <v>3</v>
      </c>
      <c r="L104" s="1">
        <v>11400</v>
      </c>
      <c r="M104" s="1">
        <v>20</v>
      </c>
      <c r="N104" s="1">
        <v>20</v>
      </c>
      <c r="O104" s="1">
        <v>10</v>
      </c>
      <c r="P104" s="1">
        <v>10</v>
      </c>
      <c r="Q104" s="1">
        <v>2</v>
      </c>
      <c r="R104" s="1">
        <v>5</v>
      </c>
      <c r="S104" s="1">
        <v>5</v>
      </c>
      <c r="T104" s="1">
        <v>0</v>
      </c>
      <c r="U104" s="1">
        <v>105</v>
      </c>
      <c r="V104" s="1">
        <v>100</v>
      </c>
      <c r="W104" s="1">
        <v>115</v>
      </c>
      <c r="X104" s="1">
        <v>100</v>
      </c>
      <c r="Y104" s="1">
        <v>125</v>
      </c>
      <c r="Z104" s="1">
        <v>105</v>
      </c>
      <c r="AA104" s="1">
        <v>0</v>
      </c>
      <c r="AB104" s="1">
        <v>15</v>
      </c>
      <c r="AC104" s="1">
        <v>20</v>
      </c>
      <c r="AD104" s="1">
        <v>0</v>
      </c>
      <c r="AE104" s="1">
        <v>110</v>
      </c>
      <c r="AF104" s="1">
        <v>100</v>
      </c>
      <c r="AG104" s="1">
        <v>102116</v>
      </c>
      <c r="AH104" s="1">
        <v>0</v>
      </c>
      <c r="AI104" s="1">
        <v>300103</v>
      </c>
      <c r="AJ104" s="1" t="s">
        <v>1149</v>
      </c>
      <c r="AK104" s="1" t="s">
        <v>329</v>
      </c>
      <c r="AL104" s="1">
        <v>13</v>
      </c>
      <c r="AM104" s="1" t="s">
        <v>4779</v>
      </c>
      <c r="AN104" s="1" t="s">
        <v>4894</v>
      </c>
      <c r="AO104" s="1" t="s">
        <v>5038</v>
      </c>
      <c r="AP104" s="1">
        <v>0</v>
      </c>
      <c r="AQ104" s="1" t="s">
        <v>1158</v>
      </c>
      <c r="AR104" s="1" t="s">
        <v>1182</v>
      </c>
      <c r="AS104" s="1" t="s">
        <v>1157</v>
      </c>
      <c r="AT104" s="1" t="s">
        <v>329</v>
      </c>
      <c r="AU104" s="1">
        <v>108</v>
      </c>
      <c r="AV104" s="1">
        <v>0</v>
      </c>
      <c r="AW104" s="1" t="s">
        <v>4552</v>
      </c>
      <c r="AX104" s="1" t="s">
        <v>5039</v>
      </c>
      <c r="AY104" s="1">
        <v>3</v>
      </c>
      <c r="AZ104" s="1">
        <v>0</v>
      </c>
      <c r="BA104" s="1" t="s">
        <v>329</v>
      </c>
      <c r="BB104" s="1" t="s">
        <v>329</v>
      </c>
      <c r="BC104" s="1" t="s">
        <v>329</v>
      </c>
      <c r="BD104" s="1">
        <v>10704</v>
      </c>
      <c r="BE104" s="1"/>
    </row>
    <row r="105" spans="1:57" x14ac:dyDescent="0.25">
      <c r="A105" s="1">
        <v>109</v>
      </c>
      <c r="B105" s="1" t="s">
        <v>3141</v>
      </c>
      <c r="C105" s="9" t="s">
        <v>301</v>
      </c>
      <c r="D105" s="1" t="s">
        <v>301</v>
      </c>
      <c r="E105" s="1"/>
      <c r="F105" s="1"/>
      <c r="G105" s="1" t="s">
        <v>3142</v>
      </c>
      <c r="H105" s="1" t="s">
        <v>3143</v>
      </c>
      <c r="I105" s="1" t="s">
        <v>3144</v>
      </c>
      <c r="J105" s="1">
        <v>5</v>
      </c>
      <c r="K105" s="1">
        <v>5</v>
      </c>
      <c r="L105" s="1">
        <v>24300</v>
      </c>
      <c r="M105" s="1">
        <v>40</v>
      </c>
      <c r="N105" s="1">
        <v>30</v>
      </c>
      <c r="O105" s="1">
        <v>25</v>
      </c>
      <c r="P105" s="1">
        <v>15</v>
      </c>
      <c r="Q105" s="1">
        <v>5</v>
      </c>
      <c r="R105" s="1">
        <v>5</v>
      </c>
      <c r="S105" s="1">
        <v>2</v>
      </c>
      <c r="T105" s="1">
        <v>5</v>
      </c>
      <c r="U105" s="1">
        <v>120</v>
      </c>
      <c r="V105" s="1">
        <v>110</v>
      </c>
      <c r="W105" s="1">
        <v>115</v>
      </c>
      <c r="X105" s="1">
        <v>100</v>
      </c>
      <c r="Y105" s="1">
        <v>115</v>
      </c>
      <c r="Z105" s="1">
        <v>115</v>
      </c>
      <c r="AA105" s="1">
        <v>0</v>
      </c>
      <c r="AB105" s="1">
        <v>15</v>
      </c>
      <c r="AC105" s="1">
        <v>5</v>
      </c>
      <c r="AD105" s="1">
        <v>11</v>
      </c>
      <c r="AE105" s="1">
        <v>110</v>
      </c>
      <c r="AF105" s="1">
        <v>100</v>
      </c>
      <c r="AG105" s="1">
        <v>301504</v>
      </c>
      <c r="AH105" s="1">
        <v>0</v>
      </c>
      <c r="AI105" s="1">
        <v>300107</v>
      </c>
      <c r="AJ105" s="1" t="s">
        <v>1194</v>
      </c>
      <c r="AK105" s="1" t="s">
        <v>329</v>
      </c>
      <c r="AL105" s="1">
        <v>18</v>
      </c>
      <c r="AM105" s="1" t="s">
        <v>4918</v>
      </c>
      <c r="AN105" s="1" t="s">
        <v>4991</v>
      </c>
      <c r="AO105" s="1" t="s">
        <v>4798</v>
      </c>
      <c r="AP105" s="1">
        <v>0</v>
      </c>
      <c r="AQ105" s="1" t="s">
        <v>1195</v>
      </c>
      <c r="AR105" s="1" t="s">
        <v>1196</v>
      </c>
      <c r="AS105" s="1" t="s">
        <v>1197</v>
      </c>
      <c r="AT105" s="1" t="s">
        <v>329</v>
      </c>
      <c r="AU105" s="1">
        <v>109</v>
      </c>
      <c r="AV105" s="1">
        <v>0</v>
      </c>
      <c r="AW105" s="1" t="s">
        <v>4552</v>
      </c>
      <c r="AX105" s="1" t="s">
        <v>5040</v>
      </c>
      <c r="AY105" s="1">
        <v>5</v>
      </c>
      <c r="AZ105" s="1">
        <v>0</v>
      </c>
      <c r="BA105" s="1" t="s">
        <v>329</v>
      </c>
      <c r="BB105" s="1" t="s">
        <v>5041</v>
      </c>
      <c r="BC105" s="1" t="s">
        <v>4829</v>
      </c>
      <c r="BD105" s="1">
        <v>10402</v>
      </c>
      <c r="BE105" s="1"/>
    </row>
    <row r="106" spans="1:57" x14ac:dyDescent="0.25">
      <c r="A106" s="1">
        <v>110</v>
      </c>
      <c r="B106" s="1" t="s">
        <v>3145</v>
      </c>
      <c r="C106" s="9" t="s">
        <v>125</v>
      </c>
      <c r="D106" s="1" t="s">
        <v>125</v>
      </c>
      <c r="E106" s="1"/>
      <c r="F106" s="1"/>
      <c r="G106" s="1" t="s">
        <v>3146</v>
      </c>
      <c r="H106" s="1" t="s">
        <v>3147</v>
      </c>
      <c r="I106" s="1" t="s">
        <v>3148</v>
      </c>
      <c r="J106" s="1">
        <v>5</v>
      </c>
      <c r="K106" s="1">
        <v>2</v>
      </c>
      <c r="L106" s="1">
        <v>17400</v>
      </c>
      <c r="M106" s="1">
        <v>40</v>
      </c>
      <c r="N106" s="1">
        <v>30</v>
      </c>
      <c r="O106" s="1">
        <v>25</v>
      </c>
      <c r="P106" s="1">
        <v>15</v>
      </c>
      <c r="Q106" s="1">
        <v>5</v>
      </c>
      <c r="R106" s="1">
        <v>5</v>
      </c>
      <c r="S106" s="1">
        <v>2</v>
      </c>
      <c r="T106" s="1">
        <v>5</v>
      </c>
      <c r="U106" s="1">
        <v>90</v>
      </c>
      <c r="V106" s="1">
        <v>110</v>
      </c>
      <c r="W106" s="1">
        <v>115</v>
      </c>
      <c r="X106" s="1">
        <v>100</v>
      </c>
      <c r="Y106" s="1">
        <v>115</v>
      </c>
      <c r="Z106" s="1">
        <v>135</v>
      </c>
      <c r="AA106" s="1">
        <v>0</v>
      </c>
      <c r="AB106" s="1">
        <v>15</v>
      </c>
      <c r="AC106" s="1">
        <v>5</v>
      </c>
      <c r="AD106" s="1">
        <v>8</v>
      </c>
      <c r="AE106" s="1">
        <v>115</v>
      </c>
      <c r="AF106" s="1">
        <v>100</v>
      </c>
      <c r="AG106" s="1">
        <v>105201</v>
      </c>
      <c r="AH106" s="1">
        <v>0</v>
      </c>
      <c r="AI106" s="1">
        <v>300105</v>
      </c>
      <c r="AJ106" s="1" t="s">
        <v>1198</v>
      </c>
      <c r="AK106" s="1" t="s">
        <v>329</v>
      </c>
      <c r="AL106" s="1">
        <v>18</v>
      </c>
      <c r="AM106" s="1" t="s">
        <v>4918</v>
      </c>
      <c r="AN106" s="1" t="s">
        <v>4991</v>
      </c>
      <c r="AO106" s="1" t="s">
        <v>5042</v>
      </c>
      <c r="AP106" s="1">
        <v>0</v>
      </c>
      <c r="AQ106" s="1" t="s">
        <v>1195</v>
      </c>
      <c r="AR106" s="1" t="s">
        <v>4971</v>
      </c>
      <c r="AS106" s="1" t="s">
        <v>1197</v>
      </c>
      <c r="AT106" s="1" t="s">
        <v>329</v>
      </c>
      <c r="AU106" s="1">
        <v>110</v>
      </c>
      <c r="AV106" s="1">
        <v>0</v>
      </c>
      <c r="AW106" s="1" t="s">
        <v>4552</v>
      </c>
      <c r="AX106" s="1" t="s">
        <v>471</v>
      </c>
      <c r="AY106" s="1">
        <v>2</v>
      </c>
      <c r="AZ106" s="1">
        <v>0</v>
      </c>
      <c r="BA106" s="1" t="s">
        <v>329</v>
      </c>
      <c r="BB106" s="1" t="s">
        <v>354</v>
      </c>
      <c r="BC106" s="1" t="s">
        <v>4829</v>
      </c>
      <c r="BD106" s="1">
        <v>10303</v>
      </c>
      <c r="BE106" s="1"/>
    </row>
    <row r="107" spans="1:57" x14ac:dyDescent="0.25">
      <c r="A107" s="1">
        <v>111</v>
      </c>
      <c r="B107" s="1" t="s">
        <v>3149</v>
      </c>
      <c r="C107" s="9" t="s">
        <v>1650</v>
      </c>
      <c r="D107" s="1" t="s">
        <v>1650</v>
      </c>
      <c r="E107" s="1"/>
      <c r="F107" s="1"/>
      <c r="G107" s="1" t="s">
        <v>3150</v>
      </c>
      <c r="H107" s="1" t="s">
        <v>3151</v>
      </c>
      <c r="I107" s="1" t="s">
        <v>3152</v>
      </c>
      <c r="J107" s="1">
        <v>5</v>
      </c>
      <c r="K107" s="1">
        <v>2</v>
      </c>
      <c r="L107" s="1">
        <v>17400</v>
      </c>
      <c r="M107" s="1">
        <v>40</v>
      </c>
      <c r="N107" s="1">
        <v>30</v>
      </c>
      <c r="O107" s="1">
        <v>25</v>
      </c>
      <c r="P107" s="1">
        <v>15</v>
      </c>
      <c r="Q107" s="1">
        <v>5</v>
      </c>
      <c r="R107" s="1">
        <v>5</v>
      </c>
      <c r="S107" s="1">
        <v>2</v>
      </c>
      <c r="T107" s="1">
        <v>5</v>
      </c>
      <c r="U107" s="1">
        <v>110</v>
      </c>
      <c r="V107" s="1">
        <v>115</v>
      </c>
      <c r="W107" s="1">
        <v>120</v>
      </c>
      <c r="X107" s="1">
        <v>100</v>
      </c>
      <c r="Y107" s="1">
        <v>120</v>
      </c>
      <c r="Z107" s="1">
        <v>110</v>
      </c>
      <c r="AA107" s="1">
        <v>0</v>
      </c>
      <c r="AB107" s="1">
        <v>15</v>
      </c>
      <c r="AC107" s="1">
        <v>5</v>
      </c>
      <c r="AD107" s="1">
        <v>10</v>
      </c>
      <c r="AE107" s="1">
        <v>90</v>
      </c>
      <c r="AF107" s="1">
        <v>100</v>
      </c>
      <c r="AG107" s="1">
        <v>100121</v>
      </c>
      <c r="AH107" s="1">
        <v>0</v>
      </c>
      <c r="AI107" s="1">
        <v>300105</v>
      </c>
      <c r="AJ107" s="1" t="s">
        <v>1198</v>
      </c>
      <c r="AK107" s="1" t="s">
        <v>329</v>
      </c>
      <c r="AL107" s="1">
        <v>17</v>
      </c>
      <c r="AM107" s="1" t="s">
        <v>4918</v>
      </c>
      <c r="AN107" s="1" t="s">
        <v>897</v>
      </c>
      <c r="AO107" s="1" t="s">
        <v>5011</v>
      </c>
      <c r="AP107" s="1">
        <v>0</v>
      </c>
      <c r="AQ107" s="1" t="s">
        <v>1195</v>
      </c>
      <c r="AR107" s="1" t="s">
        <v>1196</v>
      </c>
      <c r="AS107" s="1" t="s">
        <v>1197</v>
      </c>
      <c r="AT107" s="1" t="s">
        <v>329</v>
      </c>
      <c r="AU107" s="1">
        <v>111</v>
      </c>
      <c r="AV107" s="1">
        <v>0</v>
      </c>
      <c r="AW107" s="1" t="s">
        <v>4552</v>
      </c>
      <c r="AX107" s="1" t="s">
        <v>471</v>
      </c>
      <c r="AY107" s="1">
        <v>2</v>
      </c>
      <c r="AZ107" s="1">
        <v>0</v>
      </c>
      <c r="BA107" s="1" t="s">
        <v>329</v>
      </c>
      <c r="BB107" s="1" t="s">
        <v>5043</v>
      </c>
      <c r="BC107" s="1" t="s">
        <v>329</v>
      </c>
      <c r="BD107" s="1">
        <v>10704</v>
      </c>
      <c r="BE107" s="1"/>
    </row>
    <row r="108" spans="1:57" x14ac:dyDescent="0.25">
      <c r="A108" s="1">
        <v>112</v>
      </c>
      <c r="B108" s="1" t="s">
        <v>3153</v>
      </c>
      <c r="C108" s="9" t="s">
        <v>126</v>
      </c>
      <c r="D108" s="1" t="s">
        <v>3154</v>
      </c>
      <c r="E108" s="1"/>
      <c r="F108" s="1"/>
      <c r="G108" s="1" t="s">
        <v>3155</v>
      </c>
      <c r="H108" s="1" t="s">
        <v>3156</v>
      </c>
      <c r="I108" s="1" t="s">
        <v>3157</v>
      </c>
      <c r="J108" s="1">
        <v>5</v>
      </c>
      <c r="K108" s="1">
        <v>5</v>
      </c>
      <c r="L108" s="1">
        <v>23700</v>
      </c>
      <c r="M108" s="1">
        <v>40</v>
      </c>
      <c r="N108" s="1">
        <v>30</v>
      </c>
      <c r="O108" s="1">
        <v>25</v>
      </c>
      <c r="P108" s="1">
        <v>15</v>
      </c>
      <c r="Q108" s="1">
        <v>5</v>
      </c>
      <c r="R108" s="1">
        <v>5</v>
      </c>
      <c r="S108" s="1">
        <v>2</v>
      </c>
      <c r="T108" s="1">
        <v>5</v>
      </c>
      <c r="U108" s="1">
        <v>105</v>
      </c>
      <c r="V108" s="1">
        <v>95</v>
      </c>
      <c r="W108" s="1">
        <v>125</v>
      </c>
      <c r="X108" s="1">
        <v>100</v>
      </c>
      <c r="Y108" s="1">
        <v>125</v>
      </c>
      <c r="Z108" s="1">
        <v>130</v>
      </c>
      <c r="AA108" s="1">
        <v>0</v>
      </c>
      <c r="AB108" s="1">
        <v>15</v>
      </c>
      <c r="AC108" s="1">
        <v>5</v>
      </c>
      <c r="AD108" s="1">
        <v>9</v>
      </c>
      <c r="AE108" s="1">
        <v>135</v>
      </c>
      <c r="AF108" s="1">
        <v>100</v>
      </c>
      <c r="AG108" s="1">
        <v>200201</v>
      </c>
      <c r="AH108" s="1">
        <v>0</v>
      </c>
      <c r="AI108" s="1">
        <v>300105</v>
      </c>
      <c r="AJ108" s="1" t="s">
        <v>1212</v>
      </c>
      <c r="AK108" s="1" t="s">
        <v>329</v>
      </c>
      <c r="AL108" s="1">
        <v>18</v>
      </c>
      <c r="AM108" s="1" t="s">
        <v>4918</v>
      </c>
      <c r="AN108" s="1" t="s">
        <v>5044</v>
      </c>
      <c r="AO108" s="1" t="s">
        <v>5045</v>
      </c>
      <c r="AP108" s="1">
        <v>0</v>
      </c>
      <c r="AQ108" s="1" t="s">
        <v>1195</v>
      </c>
      <c r="AR108" s="1" t="s">
        <v>1196</v>
      </c>
      <c r="AS108" s="1" t="s">
        <v>1197</v>
      </c>
      <c r="AT108" s="1" t="s">
        <v>329</v>
      </c>
      <c r="AU108" s="1">
        <v>112</v>
      </c>
      <c r="AV108" s="1">
        <v>0</v>
      </c>
      <c r="AW108" s="1" t="s">
        <v>4552</v>
      </c>
      <c r="AX108" s="1" t="s">
        <v>332</v>
      </c>
      <c r="AY108" s="1">
        <v>5</v>
      </c>
      <c r="AZ108" s="1">
        <v>0</v>
      </c>
      <c r="BA108" s="1" t="s">
        <v>329</v>
      </c>
      <c r="BB108" s="1" t="s">
        <v>5046</v>
      </c>
      <c r="BC108" s="1" t="s">
        <v>329</v>
      </c>
      <c r="BD108" s="1">
        <v>10202</v>
      </c>
      <c r="BE108" s="1"/>
    </row>
    <row r="109" spans="1:57" x14ac:dyDescent="0.25">
      <c r="A109" s="1">
        <v>113</v>
      </c>
      <c r="B109" s="1" t="s">
        <v>3158</v>
      </c>
      <c r="C109" s="9" t="s">
        <v>750</v>
      </c>
      <c r="D109" s="1" t="s">
        <v>3159</v>
      </c>
      <c r="E109" s="1"/>
      <c r="F109" s="1"/>
      <c r="G109" s="1" t="s">
        <v>3160</v>
      </c>
      <c r="H109" s="1" t="s">
        <v>3161</v>
      </c>
      <c r="I109" s="1" t="s">
        <v>3162</v>
      </c>
      <c r="J109" s="1">
        <v>1</v>
      </c>
      <c r="K109" s="1">
        <v>3</v>
      </c>
      <c r="L109" s="1">
        <v>2100</v>
      </c>
      <c r="M109" s="1">
        <v>10</v>
      </c>
      <c r="N109" s="1">
        <v>10</v>
      </c>
      <c r="O109" s="1">
        <v>5</v>
      </c>
      <c r="P109" s="1">
        <v>5</v>
      </c>
      <c r="Q109" s="1">
        <v>2</v>
      </c>
      <c r="R109" s="1">
        <v>2</v>
      </c>
      <c r="S109" s="1">
        <v>2</v>
      </c>
      <c r="T109" s="1">
        <v>0</v>
      </c>
      <c r="U109" s="1">
        <v>105</v>
      </c>
      <c r="V109" s="1">
        <v>125</v>
      </c>
      <c r="W109" s="1">
        <v>110</v>
      </c>
      <c r="X109" s="1">
        <v>100</v>
      </c>
      <c r="Y109" s="1">
        <v>120</v>
      </c>
      <c r="Z109" s="1">
        <v>95</v>
      </c>
      <c r="AA109" s="1">
        <v>0</v>
      </c>
      <c r="AB109" s="1">
        <v>15</v>
      </c>
      <c r="AC109" s="1">
        <v>20</v>
      </c>
      <c r="AD109" s="1">
        <v>0</v>
      </c>
      <c r="AE109" s="1">
        <v>115</v>
      </c>
      <c r="AF109" s="1">
        <v>100</v>
      </c>
      <c r="AG109" s="1">
        <v>100502</v>
      </c>
      <c r="AH109" s="1">
        <v>0</v>
      </c>
      <c r="AI109" s="1">
        <v>300101</v>
      </c>
      <c r="AJ109" s="1" t="s">
        <v>5047</v>
      </c>
      <c r="AK109" s="1" t="s">
        <v>329</v>
      </c>
      <c r="AL109" s="1">
        <v>13</v>
      </c>
      <c r="AM109" s="1" t="s">
        <v>1866</v>
      </c>
      <c r="AN109" s="1" t="s">
        <v>4814</v>
      </c>
      <c r="AO109" s="1" t="s">
        <v>4963</v>
      </c>
      <c r="AP109" s="1">
        <v>0</v>
      </c>
      <c r="AQ109" s="1" t="s">
        <v>4802</v>
      </c>
      <c r="AR109" s="1" t="s">
        <v>1147</v>
      </c>
      <c r="AS109" s="1" t="s">
        <v>1148</v>
      </c>
      <c r="AT109" s="1" t="s">
        <v>329</v>
      </c>
      <c r="AU109" s="1">
        <v>113</v>
      </c>
      <c r="AV109" s="1">
        <v>0</v>
      </c>
      <c r="AW109" s="1" t="s">
        <v>5048</v>
      </c>
      <c r="AX109" s="1" t="s">
        <v>4994</v>
      </c>
      <c r="AY109" s="1">
        <v>3</v>
      </c>
      <c r="AZ109" s="1">
        <v>0</v>
      </c>
      <c r="BA109" s="1" t="s">
        <v>329</v>
      </c>
      <c r="BB109" s="1" t="s">
        <v>329</v>
      </c>
      <c r="BC109" s="1" t="s">
        <v>4817</v>
      </c>
      <c r="BD109" s="1">
        <v>10801</v>
      </c>
      <c r="BE109" s="1"/>
    </row>
    <row r="110" spans="1:57" x14ac:dyDescent="0.25">
      <c r="A110" s="1">
        <v>114</v>
      </c>
      <c r="B110" s="1" t="s">
        <v>3163</v>
      </c>
      <c r="C110" s="9" t="s">
        <v>838</v>
      </c>
      <c r="D110" s="1" t="s">
        <v>3164</v>
      </c>
      <c r="E110" s="1"/>
      <c r="F110" s="1"/>
      <c r="G110" s="1" t="s">
        <v>3165</v>
      </c>
      <c r="H110" s="1" t="s">
        <v>3166</v>
      </c>
      <c r="I110" s="1" t="s">
        <v>3167</v>
      </c>
      <c r="J110" s="1">
        <v>1</v>
      </c>
      <c r="K110" s="1">
        <v>5</v>
      </c>
      <c r="L110" s="1">
        <v>3600</v>
      </c>
      <c r="M110" s="1">
        <v>10</v>
      </c>
      <c r="N110" s="1">
        <v>10</v>
      </c>
      <c r="O110" s="1">
        <v>5</v>
      </c>
      <c r="P110" s="1">
        <v>5</v>
      </c>
      <c r="Q110" s="1">
        <v>2</v>
      </c>
      <c r="R110" s="1">
        <v>2</v>
      </c>
      <c r="S110" s="1">
        <v>2</v>
      </c>
      <c r="T110" s="1">
        <v>0</v>
      </c>
      <c r="U110" s="1">
        <v>120</v>
      </c>
      <c r="V110" s="1">
        <v>90</v>
      </c>
      <c r="W110" s="1">
        <v>90</v>
      </c>
      <c r="X110" s="1">
        <v>100</v>
      </c>
      <c r="Y110" s="1">
        <v>125</v>
      </c>
      <c r="Z110" s="1">
        <v>105</v>
      </c>
      <c r="AA110" s="1">
        <v>0</v>
      </c>
      <c r="AB110" s="1">
        <v>15</v>
      </c>
      <c r="AC110" s="1">
        <v>40</v>
      </c>
      <c r="AD110" s="1">
        <v>0</v>
      </c>
      <c r="AE110" s="1">
        <v>140</v>
      </c>
      <c r="AF110" s="1">
        <v>100</v>
      </c>
      <c r="AG110" s="1">
        <v>101504</v>
      </c>
      <c r="AH110" s="1">
        <v>0</v>
      </c>
      <c r="AI110" s="1">
        <v>300101</v>
      </c>
      <c r="AJ110" s="1" t="s">
        <v>329</v>
      </c>
      <c r="AK110" s="1" t="s">
        <v>329</v>
      </c>
      <c r="AL110" s="1">
        <v>13</v>
      </c>
      <c r="AM110" s="1" t="s">
        <v>1866</v>
      </c>
      <c r="AN110" s="1" t="s">
        <v>5007</v>
      </c>
      <c r="AO110" s="1" t="s">
        <v>4977</v>
      </c>
      <c r="AP110" s="1">
        <v>0</v>
      </c>
      <c r="AQ110" s="1" t="s">
        <v>1146</v>
      </c>
      <c r="AR110" s="1" t="s">
        <v>1147</v>
      </c>
      <c r="AS110" s="1" t="s">
        <v>4821</v>
      </c>
      <c r="AT110" s="1" t="s">
        <v>329</v>
      </c>
      <c r="AU110" s="1">
        <v>114</v>
      </c>
      <c r="AV110" s="1">
        <v>0</v>
      </c>
      <c r="AW110" s="1" t="s">
        <v>5029</v>
      </c>
      <c r="AX110" s="1" t="s">
        <v>4822</v>
      </c>
      <c r="AY110" s="1">
        <v>5</v>
      </c>
      <c r="AZ110" s="1">
        <v>0</v>
      </c>
      <c r="BA110" s="1" t="s">
        <v>4915</v>
      </c>
      <c r="BB110" s="1" t="s">
        <v>5049</v>
      </c>
      <c r="BC110" s="1" t="s">
        <v>329</v>
      </c>
      <c r="BD110" s="1">
        <v>103</v>
      </c>
      <c r="BE110" s="1"/>
    </row>
    <row r="111" spans="1:57" x14ac:dyDescent="0.25">
      <c r="A111" s="1">
        <v>115</v>
      </c>
      <c r="B111" s="1" t="s">
        <v>3168</v>
      </c>
      <c r="C111" s="9" t="s">
        <v>127</v>
      </c>
      <c r="D111" s="1" t="s">
        <v>3169</v>
      </c>
      <c r="E111" s="1"/>
      <c r="F111" s="1"/>
      <c r="G111" s="1" t="s">
        <v>3170</v>
      </c>
      <c r="H111" s="1" t="s">
        <v>3171</v>
      </c>
      <c r="I111" s="1" t="s">
        <v>3172</v>
      </c>
      <c r="J111" s="1">
        <v>2</v>
      </c>
      <c r="K111" s="1">
        <v>5</v>
      </c>
      <c r="L111" s="1">
        <v>8700</v>
      </c>
      <c r="M111" s="1">
        <v>25</v>
      </c>
      <c r="N111" s="1">
        <v>20</v>
      </c>
      <c r="O111" s="1">
        <v>15</v>
      </c>
      <c r="P111" s="1">
        <v>10</v>
      </c>
      <c r="Q111" s="1">
        <v>5</v>
      </c>
      <c r="R111" s="1">
        <v>5</v>
      </c>
      <c r="S111" s="1">
        <v>2</v>
      </c>
      <c r="T111" s="1">
        <v>0</v>
      </c>
      <c r="U111" s="1">
        <v>125</v>
      </c>
      <c r="V111" s="1">
        <v>110</v>
      </c>
      <c r="W111" s="1">
        <v>120</v>
      </c>
      <c r="X111" s="1">
        <v>100</v>
      </c>
      <c r="Y111" s="1">
        <v>130</v>
      </c>
      <c r="Z111" s="1">
        <v>95</v>
      </c>
      <c r="AA111" s="1">
        <v>0</v>
      </c>
      <c r="AB111" s="1">
        <v>15</v>
      </c>
      <c r="AC111" s="1">
        <v>5</v>
      </c>
      <c r="AD111" s="1">
        <v>0</v>
      </c>
      <c r="AE111" s="1">
        <v>105</v>
      </c>
      <c r="AF111" s="1">
        <v>100</v>
      </c>
      <c r="AG111" s="1">
        <v>100204</v>
      </c>
      <c r="AH111" s="1">
        <v>0</v>
      </c>
      <c r="AI111" s="1">
        <v>300102</v>
      </c>
      <c r="AJ111" s="1" t="s">
        <v>5050</v>
      </c>
      <c r="AK111" s="1" t="s">
        <v>329</v>
      </c>
      <c r="AL111" s="1">
        <v>13</v>
      </c>
      <c r="AM111" s="1" t="s">
        <v>4850</v>
      </c>
      <c r="AN111" s="1" t="s">
        <v>389</v>
      </c>
      <c r="AO111" s="1" t="s">
        <v>5051</v>
      </c>
      <c r="AP111" s="1">
        <v>0</v>
      </c>
      <c r="AQ111" s="1" t="s">
        <v>1773</v>
      </c>
      <c r="AR111" s="1" t="s">
        <v>1147</v>
      </c>
      <c r="AS111" s="1" t="s">
        <v>1158</v>
      </c>
      <c r="AT111" s="1" t="s">
        <v>329</v>
      </c>
      <c r="AU111" s="1">
        <v>115</v>
      </c>
      <c r="AV111" s="1">
        <v>0</v>
      </c>
      <c r="AW111" s="1" t="s">
        <v>5029</v>
      </c>
      <c r="AX111" s="1" t="s">
        <v>332</v>
      </c>
      <c r="AY111" s="1">
        <v>5</v>
      </c>
      <c r="AZ111" s="1">
        <v>0</v>
      </c>
      <c r="BA111" s="1" t="s">
        <v>329</v>
      </c>
      <c r="BB111" s="1" t="s">
        <v>5052</v>
      </c>
      <c r="BC111" s="1" t="s">
        <v>329</v>
      </c>
      <c r="BD111" s="1">
        <v>10803</v>
      </c>
      <c r="BE111" s="1"/>
    </row>
    <row r="112" spans="1:57" x14ac:dyDescent="0.25">
      <c r="A112" s="1">
        <v>116</v>
      </c>
      <c r="B112" s="1" t="s">
        <v>3173</v>
      </c>
      <c r="C112" s="9" t="s">
        <v>1651</v>
      </c>
      <c r="D112" s="1" t="s">
        <v>1651</v>
      </c>
      <c r="E112" s="1"/>
      <c r="F112" s="1"/>
      <c r="G112" s="1" t="s">
        <v>3174</v>
      </c>
      <c r="H112" s="1" t="s">
        <v>3175</v>
      </c>
      <c r="I112" s="1" t="s">
        <v>3176</v>
      </c>
      <c r="J112" s="1">
        <v>2</v>
      </c>
      <c r="K112" s="1">
        <v>3</v>
      </c>
      <c r="L112" s="1">
        <v>7500</v>
      </c>
      <c r="M112" s="1">
        <v>25</v>
      </c>
      <c r="N112" s="1">
        <v>20</v>
      </c>
      <c r="O112" s="1">
        <v>15</v>
      </c>
      <c r="P112" s="1">
        <v>10</v>
      </c>
      <c r="Q112" s="1">
        <v>5</v>
      </c>
      <c r="R112" s="1">
        <v>5</v>
      </c>
      <c r="S112" s="1">
        <v>2</v>
      </c>
      <c r="T112" s="1">
        <v>0</v>
      </c>
      <c r="U112" s="1">
        <v>95</v>
      </c>
      <c r="V112" s="1">
        <v>100</v>
      </c>
      <c r="W112" s="1">
        <v>95</v>
      </c>
      <c r="X112" s="1">
        <v>100</v>
      </c>
      <c r="Y112" s="1">
        <v>120</v>
      </c>
      <c r="Z112" s="1">
        <v>115</v>
      </c>
      <c r="AA112" s="1">
        <v>0</v>
      </c>
      <c r="AB112" s="1">
        <v>15</v>
      </c>
      <c r="AC112" s="1">
        <v>5</v>
      </c>
      <c r="AD112" s="1">
        <v>0</v>
      </c>
      <c r="AE112" s="1">
        <v>120</v>
      </c>
      <c r="AF112" s="1">
        <v>100</v>
      </c>
      <c r="AG112" s="1">
        <v>102302</v>
      </c>
      <c r="AH112" s="1">
        <v>0</v>
      </c>
      <c r="AI112" s="1">
        <v>300102</v>
      </c>
      <c r="AJ112" s="1" t="s">
        <v>1149</v>
      </c>
      <c r="AK112" s="1" t="s">
        <v>329</v>
      </c>
      <c r="AL112" s="1">
        <v>13</v>
      </c>
      <c r="AM112" s="1" t="s">
        <v>4850</v>
      </c>
      <c r="AN112" s="1" t="s">
        <v>5053</v>
      </c>
      <c r="AO112" s="1" t="s">
        <v>5054</v>
      </c>
      <c r="AP112" s="1">
        <v>0</v>
      </c>
      <c r="AQ112" s="1" t="s">
        <v>1157</v>
      </c>
      <c r="AR112" s="1" t="s">
        <v>1147</v>
      </c>
      <c r="AS112" s="1" t="s">
        <v>1158</v>
      </c>
      <c r="AT112" s="1" t="s">
        <v>329</v>
      </c>
      <c r="AU112" s="1">
        <v>116</v>
      </c>
      <c r="AV112" s="1">
        <v>0</v>
      </c>
      <c r="AW112" s="1" t="s">
        <v>5020</v>
      </c>
      <c r="AX112" s="1" t="s">
        <v>5055</v>
      </c>
      <c r="AY112" s="1">
        <v>3</v>
      </c>
      <c r="AZ112" s="1">
        <v>0</v>
      </c>
      <c r="BA112" s="1" t="s">
        <v>329</v>
      </c>
      <c r="BB112" s="1" t="s">
        <v>5056</v>
      </c>
      <c r="BC112" s="1" t="s">
        <v>329</v>
      </c>
      <c r="BD112" s="1">
        <v>10704</v>
      </c>
      <c r="BE112" s="1"/>
    </row>
    <row r="113" spans="1:57" x14ac:dyDescent="0.25">
      <c r="A113" s="1">
        <v>117</v>
      </c>
      <c r="B113" s="1" t="s">
        <v>3177</v>
      </c>
      <c r="C113" s="9" t="s">
        <v>1652</v>
      </c>
      <c r="D113" s="1" t="s">
        <v>1652</v>
      </c>
      <c r="E113" s="1"/>
      <c r="F113" s="1"/>
      <c r="G113" s="1" t="s">
        <v>3178</v>
      </c>
      <c r="H113" s="1" t="s">
        <v>3179</v>
      </c>
      <c r="I113" s="1" t="s">
        <v>3180</v>
      </c>
      <c r="J113" s="1">
        <v>3</v>
      </c>
      <c r="K113" s="1">
        <v>4</v>
      </c>
      <c r="L113" s="1">
        <v>15600</v>
      </c>
      <c r="M113" s="1">
        <v>15</v>
      </c>
      <c r="N113" s="1">
        <v>30</v>
      </c>
      <c r="O113" s="1">
        <v>10</v>
      </c>
      <c r="P113" s="1">
        <v>15</v>
      </c>
      <c r="Q113" s="1">
        <v>5</v>
      </c>
      <c r="R113" s="1">
        <v>2</v>
      </c>
      <c r="S113" s="1">
        <v>5</v>
      </c>
      <c r="T113" s="1">
        <v>0</v>
      </c>
      <c r="U113" s="1">
        <v>105</v>
      </c>
      <c r="V113" s="1">
        <v>120</v>
      </c>
      <c r="W113" s="1">
        <v>120</v>
      </c>
      <c r="X113" s="1">
        <v>100</v>
      </c>
      <c r="Y113" s="1">
        <v>125</v>
      </c>
      <c r="Z113" s="1">
        <v>85</v>
      </c>
      <c r="AA113" s="1">
        <v>0</v>
      </c>
      <c r="AB113" s="1">
        <v>15</v>
      </c>
      <c r="AC113" s="1">
        <v>40</v>
      </c>
      <c r="AD113" s="1">
        <v>0</v>
      </c>
      <c r="AE113" s="1">
        <v>105</v>
      </c>
      <c r="AF113" s="1">
        <v>100</v>
      </c>
      <c r="AG113" s="1">
        <v>102805</v>
      </c>
      <c r="AH113" s="1">
        <v>0</v>
      </c>
      <c r="AI113" s="1">
        <v>300104</v>
      </c>
      <c r="AJ113" s="1" t="s">
        <v>1171</v>
      </c>
      <c r="AK113" s="1" t="s">
        <v>329</v>
      </c>
      <c r="AL113" s="1">
        <v>13</v>
      </c>
      <c r="AM113" s="1" t="s">
        <v>4822</v>
      </c>
      <c r="AN113" s="1" t="s">
        <v>465</v>
      </c>
      <c r="AO113" s="1" t="s">
        <v>4892</v>
      </c>
      <c r="AP113" s="1">
        <v>0</v>
      </c>
      <c r="AQ113" s="1" t="s">
        <v>1168</v>
      </c>
      <c r="AR113" s="1" t="s">
        <v>1169</v>
      </c>
      <c r="AS113" s="1" t="s">
        <v>1170</v>
      </c>
      <c r="AT113" s="1" t="s">
        <v>329</v>
      </c>
      <c r="AU113" s="1">
        <v>117</v>
      </c>
      <c r="AV113" s="1">
        <v>0</v>
      </c>
      <c r="AW113" s="1" t="s">
        <v>5020</v>
      </c>
      <c r="AX113" s="1" t="s">
        <v>5055</v>
      </c>
      <c r="AY113" s="1">
        <v>4</v>
      </c>
      <c r="AZ113" s="1">
        <v>0</v>
      </c>
      <c r="BA113" s="1" t="s">
        <v>329</v>
      </c>
      <c r="BB113" s="1" t="s">
        <v>4819</v>
      </c>
      <c r="BC113" s="1" t="s">
        <v>4829</v>
      </c>
      <c r="BD113" s="1">
        <v>10302</v>
      </c>
      <c r="BE113" s="1"/>
    </row>
    <row r="114" spans="1:57" x14ac:dyDescent="0.25">
      <c r="A114" s="1">
        <v>118</v>
      </c>
      <c r="B114" s="1" t="s">
        <v>3181</v>
      </c>
      <c r="C114" s="9" t="s">
        <v>717</v>
      </c>
      <c r="D114" s="1" t="s">
        <v>717</v>
      </c>
      <c r="E114" s="1"/>
      <c r="F114" s="1"/>
      <c r="G114" s="1" t="s">
        <v>3182</v>
      </c>
      <c r="H114" s="1" t="s">
        <v>3183</v>
      </c>
      <c r="I114" s="1" t="s">
        <v>3184</v>
      </c>
      <c r="J114" s="1">
        <v>4</v>
      </c>
      <c r="K114" s="1">
        <v>4</v>
      </c>
      <c r="L114" s="1">
        <v>12900</v>
      </c>
      <c r="M114" s="1">
        <v>20</v>
      </c>
      <c r="N114" s="1">
        <v>20</v>
      </c>
      <c r="O114" s="1">
        <v>10</v>
      </c>
      <c r="P114" s="1">
        <v>10</v>
      </c>
      <c r="Q114" s="1">
        <v>2</v>
      </c>
      <c r="R114" s="1">
        <v>5</v>
      </c>
      <c r="S114" s="1">
        <v>5</v>
      </c>
      <c r="T114" s="1">
        <v>0</v>
      </c>
      <c r="U114" s="1">
        <v>105</v>
      </c>
      <c r="V114" s="1">
        <v>95</v>
      </c>
      <c r="W114" s="1">
        <v>120</v>
      </c>
      <c r="X114" s="1">
        <v>100</v>
      </c>
      <c r="Y114" s="1">
        <v>125</v>
      </c>
      <c r="Z114" s="1">
        <v>130</v>
      </c>
      <c r="AA114" s="1">
        <v>0</v>
      </c>
      <c r="AB114" s="1">
        <v>15</v>
      </c>
      <c r="AC114" s="1">
        <v>20</v>
      </c>
      <c r="AD114" s="1">
        <v>0</v>
      </c>
      <c r="AE114" s="1">
        <v>110</v>
      </c>
      <c r="AF114" s="1">
        <v>100</v>
      </c>
      <c r="AG114" s="1">
        <v>100125</v>
      </c>
      <c r="AH114" s="1">
        <v>0</v>
      </c>
      <c r="AI114" s="1">
        <v>300103</v>
      </c>
      <c r="AJ114" s="1" t="s">
        <v>1213</v>
      </c>
      <c r="AK114" s="1" t="s">
        <v>5057</v>
      </c>
      <c r="AL114" s="1">
        <v>13</v>
      </c>
      <c r="AM114" s="1" t="s">
        <v>4779</v>
      </c>
      <c r="AN114" s="1" t="s">
        <v>4894</v>
      </c>
      <c r="AO114" s="1" t="s">
        <v>5058</v>
      </c>
      <c r="AP114" s="1">
        <v>0</v>
      </c>
      <c r="AQ114" s="1" t="s">
        <v>1774</v>
      </c>
      <c r="AR114" s="1" t="s">
        <v>1182</v>
      </c>
      <c r="AS114" s="1" t="s">
        <v>1773</v>
      </c>
      <c r="AT114" s="1" t="s">
        <v>329</v>
      </c>
      <c r="AU114" s="1">
        <v>118</v>
      </c>
      <c r="AV114" s="1">
        <v>0</v>
      </c>
      <c r="AW114" s="1" t="s">
        <v>5029</v>
      </c>
      <c r="AX114" s="1" t="s">
        <v>4857</v>
      </c>
      <c r="AY114" s="1">
        <v>4</v>
      </c>
      <c r="AZ114" s="1">
        <v>0</v>
      </c>
      <c r="BA114" s="1" t="s">
        <v>329</v>
      </c>
      <c r="BB114" s="1" t="s">
        <v>5059</v>
      </c>
      <c r="BC114" s="1" t="s">
        <v>4817</v>
      </c>
      <c r="BD114" s="1">
        <v>10403</v>
      </c>
      <c r="BE114" s="1"/>
    </row>
    <row r="115" spans="1:57" x14ac:dyDescent="0.25">
      <c r="A115" s="1">
        <v>119</v>
      </c>
      <c r="B115" s="1" t="s">
        <v>3185</v>
      </c>
      <c r="C115" s="9" t="s">
        <v>1653</v>
      </c>
      <c r="D115" s="1" t="s">
        <v>1653</v>
      </c>
      <c r="E115" s="1"/>
      <c r="F115" s="1"/>
      <c r="G115" s="1" t="s">
        <v>3186</v>
      </c>
      <c r="H115" s="1" t="s">
        <v>3187</v>
      </c>
      <c r="I115" s="1" t="s">
        <v>3188</v>
      </c>
      <c r="J115" s="1">
        <v>4</v>
      </c>
      <c r="K115" s="1">
        <v>5</v>
      </c>
      <c r="L115" s="1">
        <v>14520</v>
      </c>
      <c r="M115" s="1">
        <v>20</v>
      </c>
      <c r="N115" s="1">
        <v>20</v>
      </c>
      <c r="O115" s="1">
        <v>10</v>
      </c>
      <c r="P115" s="1">
        <v>10</v>
      </c>
      <c r="Q115" s="1">
        <v>2</v>
      </c>
      <c r="R115" s="1">
        <v>5</v>
      </c>
      <c r="S115" s="1">
        <v>5</v>
      </c>
      <c r="T115" s="1">
        <v>0</v>
      </c>
      <c r="U115" s="1">
        <v>100</v>
      </c>
      <c r="V115" s="1">
        <v>105</v>
      </c>
      <c r="W115" s="1">
        <v>110</v>
      </c>
      <c r="X115" s="1">
        <v>100</v>
      </c>
      <c r="Y115" s="1">
        <v>125</v>
      </c>
      <c r="Z115" s="1">
        <v>125</v>
      </c>
      <c r="AA115" s="1">
        <v>0</v>
      </c>
      <c r="AB115" s="1">
        <v>15</v>
      </c>
      <c r="AC115" s="1">
        <v>20</v>
      </c>
      <c r="AD115" s="1">
        <v>0</v>
      </c>
      <c r="AE115" s="1">
        <v>125</v>
      </c>
      <c r="AF115" s="1">
        <v>100</v>
      </c>
      <c r="AG115" s="1">
        <v>100116</v>
      </c>
      <c r="AH115" s="1">
        <v>0</v>
      </c>
      <c r="AI115" s="1">
        <v>300103</v>
      </c>
      <c r="AJ115" s="1" t="s">
        <v>329</v>
      </c>
      <c r="AK115" s="1" t="s">
        <v>329</v>
      </c>
      <c r="AL115" s="1">
        <v>13</v>
      </c>
      <c r="AM115" s="1" t="s">
        <v>4779</v>
      </c>
      <c r="AN115" s="1" t="s">
        <v>4924</v>
      </c>
      <c r="AO115" s="1" t="s">
        <v>5060</v>
      </c>
      <c r="AP115" s="1">
        <v>0</v>
      </c>
      <c r="AQ115" s="1" t="s">
        <v>1158</v>
      </c>
      <c r="AR115" s="1" t="s">
        <v>1182</v>
      </c>
      <c r="AS115" s="1" t="s">
        <v>1157</v>
      </c>
      <c r="AT115" s="1" t="s">
        <v>329</v>
      </c>
      <c r="AU115" s="1">
        <v>119</v>
      </c>
      <c r="AV115" s="1">
        <v>0</v>
      </c>
      <c r="AW115" s="1" t="s">
        <v>5020</v>
      </c>
      <c r="AX115" s="1" t="s">
        <v>1866</v>
      </c>
      <c r="AY115" s="1">
        <v>5</v>
      </c>
      <c r="AZ115" s="1">
        <v>0</v>
      </c>
      <c r="BA115" s="1" t="s">
        <v>329</v>
      </c>
      <c r="BB115" s="1" t="s">
        <v>5061</v>
      </c>
      <c r="BC115" s="1" t="s">
        <v>4817</v>
      </c>
      <c r="BD115" s="1">
        <v>10202</v>
      </c>
      <c r="BE115" s="1"/>
    </row>
    <row r="116" spans="1:57" x14ac:dyDescent="0.25">
      <c r="A116" s="1">
        <v>120</v>
      </c>
      <c r="B116" s="1" t="s">
        <v>3189</v>
      </c>
      <c r="C116" s="9" t="s">
        <v>1654</v>
      </c>
      <c r="D116" s="1" t="s">
        <v>1654</v>
      </c>
      <c r="E116" s="1"/>
      <c r="F116" s="1"/>
      <c r="G116" s="1" t="s">
        <v>3190</v>
      </c>
      <c r="H116" s="1" t="s">
        <v>3191</v>
      </c>
      <c r="I116" s="1" t="s">
        <v>3192</v>
      </c>
      <c r="J116" s="1">
        <v>4</v>
      </c>
      <c r="K116" s="1">
        <v>3</v>
      </c>
      <c r="L116" s="1">
        <v>11700</v>
      </c>
      <c r="M116" s="1">
        <v>20</v>
      </c>
      <c r="N116" s="1">
        <v>20</v>
      </c>
      <c r="O116" s="1">
        <v>10</v>
      </c>
      <c r="P116" s="1">
        <v>10</v>
      </c>
      <c r="Q116" s="1">
        <v>2</v>
      </c>
      <c r="R116" s="1">
        <v>5</v>
      </c>
      <c r="S116" s="1">
        <v>5</v>
      </c>
      <c r="T116" s="1">
        <v>0</v>
      </c>
      <c r="U116" s="1">
        <v>90</v>
      </c>
      <c r="V116" s="1">
        <v>110</v>
      </c>
      <c r="W116" s="1">
        <v>110</v>
      </c>
      <c r="X116" s="1">
        <v>100</v>
      </c>
      <c r="Y116" s="1">
        <v>120</v>
      </c>
      <c r="Z116" s="1">
        <v>120</v>
      </c>
      <c r="AA116" s="1">
        <v>0</v>
      </c>
      <c r="AB116" s="1">
        <v>15</v>
      </c>
      <c r="AC116" s="1">
        <v>20</v>
      </c>
      <c r="AD116" s="1">
        <v>0</v>
      </c>
      <c r="AE116" s="1">
        <v>115</v>
      </c>
      <c r="AF116" s="1">
        <v>100</v>
      </c>
      <c r="AG116" s="1">
        <v>102110</v>
      </c>
      <c r="AH116" s="1">
        <v>0</v>
      </c>
      <c r="AI116" s="1">
        <v>300103</v>
      </c>
      <c r="AJ116" s="1" t="s">
        <v>1149</v>
      </c>
      <c r="AK116" s="1" t="s">
        <v>329</v>
      </c>
      <c r="AL116" s="1">
        <v>13</v>
      </c>
      <c r="AM116" s="1" t="s">
        <v>4779</v>
      </c>
      <c r="AN116" s="1" t="s">
        <v>466</v>
      </c>
      <c r="AO116" s="1" t="s">
        <v>5062</v>
      </c>
      <c r="AP116" s="1">
        <v>0</v>
      </c>
      <c r="AQ116" s="1" t="s">
        <v>1158</v>
      </c>
      <c r="AR116" s="1" t="s">
        <v>1182</v>
      </c>
      <c r="AS116" s="1" t="s">
        <v>1157</v>
      </c>
      <c r="AT116" s="1" t="s">
        <v>329</v>
      </c>
      <c r="AU116" s="1">
        <v>120</v>
      </c>
      <c r="AV116" s="1">
        <v>0</v>
      </c>
      <c r="AW116" s="1" t="s">
        <v>5020</v>
      </c>
      <c r="AX116" s="1" t="s">
        <v>5055</v>
      </c>
      <c r="AY116" s="1">
        <v>3</v>
      </c>
      <c r="AZ116" s="1">
        <v>0</v>
      </c>
      <c r="BA116" s="1" t="s">
        <v>329</v>
      </c>
      <c r="BB116" s="1" t="s">
        <v>4975</v>
      </c>
      <c r="BC116" s="1" t="s">
        <v>4799</v>
      </c>
      <c r="BD116" s="1">
        <v>10403</v>
      </c>
      <c r="BE116" s="1"/>
    </row>
    <row r="117" spans="1:57" x14ac:dyDescent="0.25">
      <c r="A117" s="1">
        <v>121</v>
      </c>
      <c r="B117" s="1" t="s">
        <v>3193</v>
      </c>
      <c r="C117" s="9" t="s">
        <v>128</v>
      </c>
      <c r="D117" s="1" t="s">
        <v>128</v>
      </c>
      <c r="E117" s="1"/>
      <c r="F117" s="1"/>
      <c r="G117" s="1" t="s">
        <v>3194</v>
      </c>
      <c r="H117" s="1" t="s">
        <v>3195</v>
      </c>
      <c r="I117" s="1" t="s">
        <v>3196</v>
      </c>
      <c r="J117" s="1">
        <v>5</v>
      </c>
      <c r="K117" s="1">
        <v>4</v>
      </c>
      <c r="L117" s="1">
        <v>22800</v>
      </c>
      <c r="M117" s="1">
        <v>40</v>
      </c>
      <c r="N117" s="1">
        <v>30</v>
      </c>
      <c r="O117" s="1">
        <v>25</v>
      </c>
      <c r="P117" s="1">
        <v>15</v>
      </c>
      <c r="Q117" s="1">
        <v>5</v>
      </c>
      <c r="R117" s="1">
        <v>5</v>
      </c>
      <c r="S117" s="1">
        <v>2</v>
      </c>
      <c r="T117" s="1">
        <v>5</v>
      </c>
      <c r="U117" s="1">
        <v>105</v>
      </c>
      <c r="V117" s="1">
        <v>125</v>
      </c>
      <c r="W117" s="1">
        <v>110</v>
      </c>
      <c r="X117" s="1">
        <v>100</v>
      </c>
      <c r="Y117" s="1">
        <v>115</v>
      </c>
      <c r="Z117" s="1">
        <v>120</v>
      </c>
      <c r="AA117" s="1">
        <v>0</v>
      </c>
      <c r="AB117" s="1">
        <v>15</v>
      </c>
      <c r="AC117" s="1">
        <v>5</v>
      </c>
      <c r="AD117" s="1">
        <v>10</v>
      </c>
      <c r="AE117" s="1">
        <v>100</v>
      </c>
      <c r="AF117" s="1">
        <v>100</v>
      </c>
      <c r="AG117" s="1">
        <v>105203</v>
      </c>
      <c r="AH117" s="1">
        <v>0</v>
      </c>
      <c r="AI117" s="1">
        <v>300105</v>
      </c>
      <c r="AJ117" s="1" t="s">
        <v>1194</v>
      </c>
      <c r="AK117" s="1" t="s">
        <v>329</v>
      </c>
      <c r="AL117" s="1">
        <v>19</v>
      </c>
      <c r="AM117" s="1" t="s">
        <v>4918</v>
      </c>
      <c r="AN117" s="1" t="s">
        <v>4988</v>
      </c>
      <c r="AO117" s="1" t="s">
        <v>5063</v>
      </c>
      <c r="AP117" s="1">
        <v>0</v>
      </c>
      <c r="AQ117" s="1" t="s">
        <v>1195</v>
      </c>
      <c r="AR117" s="1" t="s">
        <v>1196</v>
      </c>
      <c r="AS117" s="1" t="s">
        <v>1197</v>
      </c>
      <c r="AT117" s="1" t="s">
        <v>329</v>
      </c>
      <c r="AU117" s="1">
        <v>121</v>
      </c>
      <c r="AV117" s="1">
        <v>0</v>
      </c>
      <c r="AW117" s="1" t="s">
        <v>5029</v>
      </c>
      <c r="AX117" s="1" t="s">
        <v>332</v>
      </c>
      <c r="AY117" s="1">
        <v>4</v>
      </c>
      <c r="AZ117" s="1">
        <v>0</v>
      </c>
      <c r="BA117" s="1" t="s">
        <v>329</v>
      </c>
      <c r="BB117" s="1" t="s">
        <v>5064</v>
      </c>
      <c r="BC117" s="1" t="s">
        <v>4780</v>
      </c>
      <c r="BD117" s="1">
        <v>10402</v>
      </c>
      <c r="BE117" s="1"/>
    </row>
    <row r="118" spans="1:57" x14ac:dyDescent="0.25">
      <c r="A118" s="1">
        <v>122</v>
      </c>
      <c r="B118" s="1" t="s">
        <v>3197</v>
      </c>
      <c r="C118" s="9" t="s">
        <v>1214</v>
      </c>
      <c r="D118" s="1" t="s">
        <v>1214</v>
      </c>
      <c r="E118" s="1"/>
      <c r="F118" s="1"/>
      <c r="G118" s="1" t="s">
        <v>3198</v>
      </c>
      <c r="H118" s="1" t="s">
        <v>3199</v>
      </c>
      <c r="I118" s="1" t="s">
        <v>3200</v>
      </c>
      <c r="J118" s="1">
        <v>4</v>
      </c>
      <c r="K118" s="1">
        <v>5</v>
      </c>
      <c r="L118" s="1">
        <v>14640</v>
      </c>
      <c r="M118" s="1">
        <v>20</v>
      </c>
      <c r="N118" s="1">
        <v>20</v>
      </c>
      <c r="O118" s="1">
        <v>10</v>
      </c>
      <c r="P118" s="1">
        <v>10</v>
      </c>
      <c r="Q118" s="1">
        <v>2</v>
      </c>
      <c r="R118" s="1">
        <v>5</v>
      </c>
      <c r="S118" s="1">
        <v>5</v>
      </c>
      <c r="T118" s="1">
        <v>0</v>
      </c>
      <c r="U118" s="1">
        <v>110</v>
      </c>
      <c r="V118" s="1">
        <v>100</v>
      </c>
      <c r="W118" s="1">
        <v>145</v>
      </c>
      <c r="X118" s="1">
        <v>100</v>
      </c>
      <c r="Y118" s="1">
        <v>115</v>
      </c>
      <c r="Z118" s="1">
        <v>105</v>
      </c>
      <c r="AA118" s="1">
        <v>0</v>
      </c>
      <c r="AB118" s="1">
        <v>15</v>
      </c>
      <c r="AC118" s="1">
        <v>20</v>
      </c>
      <c r="AD118" s="1">
        <v>0</v>
      </c>
      <c r="AE118" s="1">
        <v>110</v>
      </c>
      <c r="AF118" s="1">
        <v>100</v>
      </c>
      <c r="AG118" s="1">
        <v>104101</v>
      </c>
      <c r="AH118" s="1">
        <v>0</v>
      </c>
      <c r="AI118" s="1">
        <v>301804</v>
      </c>
      <c r="AJ118" s="1" t="s">
        <v>1215</v>
      </c>
      <c r="AK118" s="1" t="s">
        <v>329</v>
      </c>
      <c r="AL118" s="1">
        <v>13</v>
      </c>
      <c r="AM118" s="1" t="s">
        <v>4779</v>
      </c>
      <c r="AN118" s="1" t="s">
        <v>476</v>
      </c>
      <c r="AO118" s="1" t="s">
        <v>5065</v>
      </c>
      <c r="AP118" s="1">
        <v>0</v>
      </c>
      <c r="AQ118" s="1" t="s">
        <v>1158</v>
      </c>
      <c r="AR118" s="1" t="s">
        <v>1182</v>
      </c>
      <c r="AS118" s="1" t="s">
        <v>1773</v>
      </c>
      <c r="AT118" s="1" t="s">
        <v>329</v>
      </c>
      <c r="AU118" s="1">
        <v>122</v>
      </c>
      <c r="AV118" s="1">
        <v>0</v>
      </c>
      <c r="AW118" s="1" t="s">
        <v>5020</v>
      </c>
      <c r="AX118" s="1" t="s">
        <v>332</v>
      </c>
      <c r="AY118" s="1">
        <v>5</v>
      </c>
      <c r="AZ118" s="1">
        <v>0</v>
      </c>
      <c r="BA118" s="1" t="s">
        <v>4915</v>
      </c>
      <c r="BB118" s="1" t="s">
        <v>5066</v>
      </c>
      <c r="BC118" s="1" t="s">
        <v>4949</v>
      </c>
      <c r="BD118" s="1">
        <v>10104</v>
      </c>
      <c r="BE118" s="1"/>
    </row>
    <row r="119" spans="1:57" x14ac:dyDescent="0.25">
      <c r="A119" s="1">
        <v>123</v>
      </c>
      <c r="B119" s="1" t="s">
        <v>3201</v>
      </c>
      <c r="C119" s="9" t="s">
        <v>129</v>
      </c>
      <c r="D119" s="1" t="s">
        <v>129</v>
      </c>
      <c r="E119" s="1"/>
      <c r="F119" s="1"/>
      <c r="G119" s="1" t="s">
        <v>3202</v>
      </c>
      <c r="H119" s="1" t="s">
        <v>3203</v>
      </c>
      <c r="I119" s="1" t="s">
        <v>3204</v>
      </c>
      <c r="J119" s="1">
        <v>1</v>
      </c>
      <c r="K119" s="1">
        <v>3</v>
      </c>
      <c r="L119" s="1">
        <v>2100</v>
      </c>
      <c r="M119" s="1">
        <v>10</v>
      </c>
      <c r="N119" s="1">
        <v>10</v>
      </c>
      <c r="O119" s="1">
        <v>5</v>
      </c>
      <c r="P119" s="1">
        <v>5</v>
      </c>
      <c r="Q119" s="1">
        <v>2</v>
      </c>
      <c r="R119" s="1">
        <v>2</v>
      </c>
      <c r="S119" s="1">
        <v>2</v>
      </c>
      <c r="T119" s="1">
        <v>0</v>
      </c>
      <c r="U119" s="1">
        <v>90</v>
      </c>
      <c r="V119" s="1">
        <v>115</v>
      </c>
      <c r="W119" s="1">
        <v>115</v>
      </c>
      <c r="X119" s="1">
        <v>100</v>
      </c>
      <c r="Y119" s="1">
        <v>120</v>
      </c>
      <c r="Z119" s="1">
        <v>125</v>
      </c>
      <c r="AA119" s="1">
        <v>0</v>
      </c>
      <c r="AB119" s="1">
        <v>15</v>
      </c>
      <c r="AC119" s="1">
        <v>20</v>
      </c>
      <c r="AD119" s="1">
        <v>0</v>
      </c>
      <c r="AE119" s="1">
        <v>110</v>
      </c>
      <c r="AF119" s="1">
        <v>100</v>
      </c>
      <c r="AG119" s="1">
        <v>100602</v>
      </c>
      <c r="AH119" s="1">
        <v>0</v>
      </c>
      <c r="AI119" s="1">
        <v>300101</v>
      </c>
      <c r="AJ119" s="1" t="s">
        <v>1153</v>
      </c>
      <c r="AK119" s="1" t="s">
        <v>329</v>
      </c>
      <c r="AL119" s="1">
        <v>13</v>
      </c>
      <c r="AM119" s="1" t="s">
        <v>1866</v>
      </c>
      <c r="AN119" s="1" t="s">
        <v>4833</v>
      </c>
      <c r="AO119" s="1" t="s">
        <v>5067</v>
      </c>
      <c r="AP119" s="1">
        <v>0</v>
      </c>
      <c r="AQ119" s="1" t="s">
        <v>1146</v>
      </c>
      <c r="AR119" s="1" t="s">
        <v>1147</v>
      </c>
      <c r="AS119" s="1" t="s">
        <v>1148</v>
      </c>
      <c r="AT119" s="1" t="s">
        <v>329</v>
      </c>
      <c r="AU119" s="1">
        <v>123</v>
      </c>
      <c r="AV119" s="1">
        <v>0</v>
      </c>
      <c r="AW119" s="1" t="s">
        <v>4902</v>
      </c>
      <c r="AX119" s="1" t="s">
        <v>4822</v>
      </c>
      <c r="AY119" s="1">
        <v>3</v>
      </c>
      <c r="AZ119" s="1">
        <v>0</v>
      </c>
      <c r="BA119" s="1" t="s">
        <v>329</v>
      </c>
      <c r="BB119" s="1" t="s">
        <v>5068</v>
      </c>
      <c r="BC119" s="1" t="s">
        <v>4829</v>
      </c>
      <c r="BD119" s="1">
        <v>10704</v>
      </c>
      <c r="BE119" s="1"/>
    </row>
    <row r="120" spans="1:57" x14ac:dyDescent="0.25">
      <c r="A120" s="1">
        <v>124</v>
      </c>
      <c r="B120" s="1" t="s">
        <v>3205</v>
      </c>
      <c r="C120" s="9" t="s">
        <v>130</v>
      </c>
      <c r="D120" s="1" t="s">
        <v>3206</v>
      </c>
      <c r="E120" s="1"/>
      <c r="F120" s="1"/>
      <c r="G120" s="1" t="s">
        <v>3207</v>
      </c>
      <c r="H120" s="1" t="s">
        <v>3208</v>
      </c>
      <c r="I120" s="1" t="s">
        <v>3209</v>
      </c>
      <c r="J120" s="1">
        <v>3</v>
      </c>
      <c r="K120" s="1">
        <v>3</v>
      </c>
      <c r="L120" s="1">
        <v>14400</v>
      </c>
      <c r="M120" s="1">
        <v>15</v>
      </c>
      <c r="N120" s="1">
        <v>30</v>
      </c>
      <c r="O120" s="1">
        <v>10</v>
      </c>
      <c r="P120" s="1">
        <v>15</v>
      </c>
      <c r="Q120" s="1">
        <v>5</v>
      </c>
      <c r="R120" s="1">
        <v>2</v>
      </c>
      <c r="S120" s="1">
        <v>5</v>
      </c>
      <c r="T120" s="1">
        <v>0</v>
      </c>
      <c r="U120" s="1">
        <v>100</v>
      </c>
      <c r="V120" s="1">
        <v>115</v>
      </c>
      <c r="W120" s="1">
        <v>120</v>
      </c>
      <c r="X120" s="1">
        <v>100</v>
      </c>
      <c r="Y120" s="1">
        <v>110</v>
      </c>
      <c r="Z120" s="1">
        <v>90</v>
      </c>
      <c r="AA120" s="1">
        <v>0</v>
      </c>
      <c r="AB120" s="1">
        <v>15</v>
      </c>
      <c r="AC120" s="1">
        <v>40</v>
      </c>
      <c r="AD120" s="1">
        <v>0</v>
      </c>
      <c r="AE120" s="1">
        <v>105</v>
      </c>
      <c r="AF120" s="1">
        <v>100</v>
      </c>
      <c r="AG120" s="1">
        <v>102603</v>
      </c>
      <c r="AH120" s="1">
        <v>0</v>
      </c>
      <c r="AI120" s="1">
        <v>300104</v>
      </c>
      <c r="AJ120" s="1" t="s">
        <v>1216</v>
      </c>
      <c r="AK120" s="1" t="s">
        <v>329</v>
      </c>
      <c r="AL120" s="1">
        <v>13</v>
      </c>
      <c r="AM120" s="1" t="s">
        <v>4822</v>
      </c>
      <c r="AN120" s="1" t="s">
        <v>4891</v>
      </c>
      <c r="AO120" s="1" t="s">
        <v>4886</v>
      </c>
      <c r="AP120" s="1">
        <v>0</v>
      </c>
      <c r="AQ120" s="1" t="s">
        <v>1168</v>
      </c>
      <c r="AR120" s="1" t="s">
        <v>4895</v>
      </c>
      <c r="AS120" s="1" t="s">
        <v>1170</v>
      </c>
      <c r="AT120" s="1" t="s">
        <v>329</v>
      </c>
      <c r="AU120" s="1">
        <v>124</v>
      </c>
      <c r="AV120" s="1">
        <v>0</v>
      </c>
      <c r="AW120" s="1" t="s">
        <v>5069</v>
      </c>
      <c r="AX120" s="1" t="s">
        <v>4909</v>
      </c>
      <c r="AY120" s="1">
        <v>3</v>
      </c>
      <c r="AZ120" s="1">
        <v>0</v>
      </c>
      <c r="BA120" s="1" t="s">
        <v>4825</v>
      </c>
      <c r="BB120" s="1" t="s">
        <v>5070</v>
      </c>
      <c r="BC120" s="1" t="s">
        <v>4780</v>
      </c>
      <c r="BD120" s="1">
        <v>10202</v>
      </c>
      <c r="BE120" s="1"/>
    </row>
    <row r="121" spans="1:57" x14ac:dyDescent="0.25">
      <c r="A121" s="1">
        <v>125</v>
      </c>
      <c r="B121" s="1" t="s">
        <v>3210</v>
      </c>
      <c r="C121" s="9" t="s">
        <v>300</v>
      </c>
      <c r="D121" s="1" t="s">
        <v>300</v>
      </c>
      <c r="E121" s="1"/>
      <c r="F121" s="1"/>
      <c r="G121" s="1" t="s">
        <v>3211</v>
      </c>
      <c r="H121" s="1" t="s">
        <v>3212</v>
      </c>
      <c r="I121" s="1" t="s">
        <v>3213</v>
      </c>
      <c r="J121" s="1">
        <v>5</v>
      </c>
      <c r="K121" s="1">
        <v>5</v>
      </c>
      <c r="L121" s="1">
        <v>24000</v>
      </c>
      <c r="M121" s="1">
        <v>40</v>
      </c>
      <c r="N121" s="1">
        <v>30</v>
      </c>
      <c r="O121" s="1">
        <v>25</v>
      </c>
      <c r="P121" s="1">
        <v>15</v>
      </c>
      <c r="Q121" s="1">
        <v>5</v>
      </c>
      <c r="R121" s="1">
        <v>5</v>
      </c>
      <c r="S121" s="1">
        <v>2</v>
      </c>
      <c r="T121" s="1">
        <v>5</v>
      </c>
      <c r="U121" s="1">
        <v>110</v>
      </c>
      <c r="V121" s="1">
        <v>95</v>
      </c>
      <c r="W121" s="1">
        <v>125</v>
      </c>
      <c r="X121" s="1">
        <v>100</v>
      </c>
      <c r="Y121" s="1">
        <v>120</v>
      </c>
      <c r="Z121" s="1">
        <v>120</v>
      </c>
      <c r="AA121" s="1">
        <v>0</v>
      </c>
      <c r="AB121" s="1">
        <v>15</v>
      </c>
      <c r="AC121" s="1">
        <v>5</v>
      </c>
      <c r="AD121" s="1">
        <v>9</v>
      </c>
      <c r="AE121" s="1">
        <v>135</v>
      </c>
      <c r="AF121" s="1">
        <v>100</v>
      </c>
      <c r="AG121" s="1">
        <v>105105</v>
      </c>
      <c r="AH121" s="1">
        <v>0</v>
      </c>
      <c r="AI121" s="1">
        <v>300105</v>
      </c>
      <c r="AJ121" s="1" t="s">
        <v>1217</v>
      </c>
      <c r="AK121" s="1" t="s">
        <v>329</v>
      </c>
      <c r="AL121" s="1">
        <v>18</v>
      </c>
      <c r="AM121" s="1" t="s">
        <v>4918</v>
      </c>
      <c r="AN121" s="1" t="s">
        <v>4991</v>
      </c>
      <c r="AO121" s="1" t="s">
        <v>5071</v>
      </c>
      <c r="AP121" s="1">
        <v>0</v>
      </c>
      <c r="AQ121" s="1" t="s">
        <v>5072</v>
      </c>
      <c r="AR121" s="1" t="s">
        <v>4971</v>
      </c>
      <c r="AS121" s="1" t="s">
        <v>1197</v>
      </c>
      <c r="AT121" s="1" t="s">
        <v>329</v>
      </c>
      <c r="AU121" s="1">
        <v>125</v>
      </c>
      <c r="AV121" s="1">
        <v>0</v>
      </c>
      <c r="AW121" s="1" t="s">
        <v>4902</v>
      </c>
      <c r="AX121" s="1" t="s">
        <v>332</v>
      </c>
      <c r="AY121" s="1">
        <v>5</v>
      </c>
      <c r="AZ121" s="1">
        <v>0</v>
      </c>
      <c r="BA121" s="1" t="s">
        <v>4915</v>
      </c>
      <c r="BB121" s="1" t="s">
        <v>329</v>
      </c>
      <c r="BC121" s="1" t="s">
        <v>4829</v>
      </c>
      <c r="BD121" s="1">
        <v>10402</v>
      </c>
      <c r="BE121" s="1"/>
    </row>
    <row r="122" spans="1:57" x14ac:dyDescent="0.25">
      <c r="A122" s="1">
        <v>126</v>
      </c>
      <c r="B122" s="1" t="s">
        <v>3214</v>
      </c>
      <c r="C122" s="9" t="s">
        <v>131</v>
      </c>
      <c r="D122" s="1" t="s">
        <v>131</v>
      </c>
      <c r="E122" s="1"/>
      <c r="F122" s="1"/>
      <c r="G122" s="1" t="s">
        <v>3215</v>
      </c>
      <c r="H122" s="1" t="s">
        <v>3216</v>
      </c>
      <c r="I122" s="1" t="s">
        <v>3217</v>
      </c>
      <c r="J122" s="1">
        <v>1</v>
      </c>
      <c r="K122" s="1">
        <v>5</v>
      </c>
      <c r="L122" s="1">
        <v>3900</v>
      </c>
      <c r="M122" s="1">
        <v>10</v>
      </c>
      <c r="N122" s="1">
        <v>10</v>
      </c>
      <c r="O122" s="1">
        <v>5</v>
      </c>
      <c r="P122" s="1">
        <v>5</v>
      </c>
      <c r="Q122" s="1">
        <v>2</v>
      </c>
      <c r="R122" s="1">
        <v>2</v>
      </c>
      <c r="S122" s="1">
        <v>2</v>
      </c>
      <c r="T122" s="1">
        <v>0</v>
      </c>
      <c r="U122" s="1">
        <v>110</v>
      </c>
      <c r="V122" s="1">
        <v>115</v>
      </c>
      <c r="W122" s="1">
        <v>115</v>
      </c>
      <c r="X122" s="1">
        <v>100</v>
      </c>
      <c r="Y122" s="1">
        <v>120</v>
      </c>
      <c r="Z122" s="1">
        <v>95</v>
      </c>
      <c r="AA122" s="1">
        <v>0</v>
      </c>
      <c r="AB122" s="1">
        <v>15</v>
      </c>
      <c r="AC122" s="1">
        <v>20</v>
      </c>
      <c r="AD122" s="1">
        <v>0</v>
      </c>
      <c r="AE122" s="1">
        <v>125</v>
      </c>
      <c r="AF122" s="1">
        <v>100</v>
      </c>
      <c r="AG122" s="1">
        <v>101604</v>
      </c>
      <c r="AH122" s="1">
        <v>0</v>
      </c>
      <c r="AI122" s="1">
        <v>300101</v>
      </c>
      <c r="AJ122" s="1" t="s">
        <v>329</v>
      </c>
      <c r="AK122" s="1" t="s">
        <v>329</v>
      </c>
      <c r="AL122" s="1">
        <v>13</v>
      </c>
      <c r="AM122" s="1" t="s">
        <v>1866</v>
      </c>
      <c r="AN122" s="1" t="s">
        <v>5073</v>
      </c>
      <c r="AO122" s="1" t="s">
        <v>5074</v>
      </c>
      <c r="AP122" s="1">
        <v>0</v>
      </c>
      <c r="AQ122" s="1" t="s">
        <v>4802</v>
      </c>
      <c r="AR122" s="1" t="s">
        <v>1147</v>
      </c>
      <c r="AS122" s="1" t="s">
        <v>1148</v>
      </c>
      <c r="AT122" s="1" t="s">
        <v>329</v>
      </c>
      <c r="AU122" s="1">
        <v>126</v>
      </c>
      <c r="AV122" s="1">
        <v>0</v>
      </c>
      <c r="AW122" s="1" t="s">
        <v>5075</v>
      </c>
      <c r="AX122" s="1" t="s">
        <v>4822</v>
      </c>
      <c r="AY122" s="1">
        <v>5</v>
      </c>
      <c r="AZ122" s="1">
        <v>0</v>
      </c>
      <c r="BA122" s="1" t="s">
        <v>329</v>
      </c>
      <c r="BB122" s="1" t="s">
        <v>5076</v>
      </c>
      <c r="BC122" s="1" t="s">
        <v>4843</v>
      </c>
      <c r="BD122" s="1">
        <v>10402</v>
      </c>
      <c r="BE122" s="1"/>
    </row>
    <row r="123" spans="1:57" x14ac:dyDescent="0.25">
      <c r="A123" s="1">
        <v>127</v>
      </c>
      <c r="B123" s="1" t="s">
        <v>3218</v>
      </c>
      <c r="C123" s="9" t="s">
        <v>224</v>
      </c>
      <c r="D123" s="1" t="s">
        <v>3219</v>
      </c>
      <c r="E123" s="1"/>
      <c r="F123" s="1"/>
      <c r="G123" s="1" t="s">
        <v>3220</v>
      </c>
      <c r="H123" s="1" t="s">
        <v>3221</v>
      </c>
      <c r="I123" s="1" t="s">
        <v>3222</v>
      </c>
      <c r="J123" s="1">
        <v>2</v>
      </c>
      <c r="K123" s="1">
        <v>5</v>
      </c>
      <c r="L123" s="1">
        <v>9300</v>
      </c>
      <c r="M123" s="1">
        <v>25</v>
      </c>
      <c r="N123" s="1">
        <v>20</v>
      </c>
      <c r="O123" s="1">
        <v>15</v>
      </c>
      <c r="P123" s="1">
        <v>10</v>
      </c>
      <c r="Q123" s="1">
        <v>5</v>
      </c>
      <c r="R123" s="1">
        <v>5</v>
      </c>
      <c r="S123" s="1">
        <v>2</v>
      </c>
      <c r="T123" s="1">
        <v>0</v>
      </c>
      <c r="U123" s="1">
        <v>110</v>
      </c>
      <c r="V123" s="1">
        <v>130</v>
      </c>
      <c r="W123" s="1">
        <v>115</v>
      </c>
      <c r="X123" s="1">
        <v>100</v>
      </c>
      <c r="Y123" s="1">
        <v>110</v>
      </c>
      <c r="Z123" s="1">
        <v>125</v>
      </c>
      <c r="AA123" s="1">
        <v>0</v>
      </c>
      <c r="AB123" s="1">
        <v>15</v>
      </c>
      <c r="AC123" s="1">
        <v>5</v>
      </c>
      <c r="AD123" s="1">
        <v>0</v>
      </c>
      <c r="AE123" s="1">
        <v>100</v>
      </c>
      <c r="AF123" s="1">
        <v>100</v>
      </c>
      <c r="AG123" s="1">
        <v>102204</v>
      </c>
      <c r="AH123" s="1">
        <v>0</v>
      </c>
      <c r="AI123" s="1">
        <v>300102</v>
      </c>
      <c r="AJ123" s="1" t="s">
        <v>1218</v>
      </c>
      <c r="AK123" s="1" t="s">
        <v>329</v>
      </c>
      <c r="AL123" s="1">
        <v>13</v>
      </c>
      <c r="AM123" s="1" t="s">
        <v>4850</v>
      </c>
      <c r="AN123" s="1" t="s">
        <v>389</v>
      </c>
      <c r="AO123" s="1" t="s">
        <v>5000</v>
      </c>
      <c r="AP123" s="1">
        <v>0</v>
      </c>
      <c r="AQ123" s="1" t="s">
        <v>1157</v>
      </c>
      <c r="AR123" s="1" t="s">
        <v>1772</v>
      </c>
      <c r="AS123" s="1" t="s">
        <v>1158</v>
      </c>
      <c r="AT123" s="1" t="s">
        <v>329</v>
      </c>
      <c r="AU123" s="1">
        <v>127</v>
      </c>
      <c r="AV123" s="1">
        <v>0</v>
      </c>
      <c r="AW123" s="1" t="s">
        <v>5075</v>
      </c>
      <c r="AX123" s="1" t="s">
        <v>332</v>
      </c>
      <c r="AY123" s="1">
        <v>5</v>
      </c>
      <c r="AZ123" s="1">
        <v>0</v>
      </c>
      <c r="BA123" s="1" t="s">
        <v>329</v>
      </c>
      <c r="BB123" s="1" t="s">
        <v>5012</v>
      </c>
      <c r="BC123" s="1" t="s">
        <v>4843</v>
      </c>
      <c r="BD123" s="1">
        <v>10203</v>
      </c>
      <c r="BE123" s="1"/>
    </row>
    <row r="124" spans="1:57" x14ac:dyDescent="0.25">
      <c r="A124" s="1">
        <v>128</v>
      </c>
      <c r="B124" s="1" t="s">
        <v>3223</v>
      </c>
      <c r="C124" s="9" t="s">
        <v>132</v>
      </c>
      <c r="D124" s="1" t="s">
        <v>132</v>
      </c>
      <c r="E124" s="1"/>
      <c r="F124" s="1"/>
      <c r="G124" s="1" t="s">
        <v>3224</v>
      </c>
      <c r="H124" s="1" t="s">
        <v>3225</v>
      </c>
      <c r="I124" s="1" t="s">
        <v>3226</v>
      </c>
      <c r="J124" s="1">
        <v>3</v>
      </c>
      <c r="K124" s="1">
        <v>5</v>
      </c>
      <c r="L124" s="1">
        <v>17700</v>
      </c>
      <c r="M124" s="1">
        <v>15</v>
      </c>
      <c r="N124" s="1">
        <v>30</v>
      </c>
      <c r="O124" s="1">
        <v>10</v>
      </c>
      <c r="P124" s="1">
        <v>15</v>
      </c>
      <c r="Q124" s="1">
        <v>5</v>
      </c>
      <c r="R124" s="1">
        <v>2</v>
      </c>
      <c r="S124" s="1">
        <v>5</v>
      </c>
      <c r="T124" s="1">
        <v>0</v>
      </c>
      <c r="U124" s="1">
        <v>100</v>
      </c>
      <c r="V124" s="1">
        <v>135</v>
      </c>
      <c r="W124" s="1">
        <v>90</v>
      </c>
      <c r="X124" s="1">
        <v>100</v>
      </c>
      <c r="Y124" s="1">
        <v>110</v>
      </c>
      <c r="Z124" s="1">
        <v>85</v>
      </c>
      <c r="AA124" s="1">
        <v>0</v>
      </c>
      <c r="AB124" s="1">
        <v>15</v>
      </c>
      <c r="AC124" s="1">
        <v>40</v>
      </c>
      <c r="AD124" s="1">
        <v>0</v>
      </c>
      <c r="AE124" s="1">
        <v>135</v>
      </c>
      <c r="AF124" s="1">
        <v>100</v>
      </c>
      <c r="AG124" s="1">
        <v>102808</v>
      </c>
      <c r="AH124" s="1">
        <v>0</v>
      </c>
      <c r="AI124" s="1">
        <v>300104</v>
      </c>
      <c r="AJ124" s="1" t="s">
        <v>1174</v>
      </c>
      <c r="AK124" s="1" t="s">
        <v>329</v>
      </c>
      <c r="AL124" s="1">
        <v>13</v>
      </c>
      <c r="AM124" s="1" t="s">
        <v>4822</v>
      </c>
      <c r="AN124" s="1" t="s">
        <v>476</v>
      </c>
      <c r="AO124" s="1" t="s">
        <v>4905</v>
      </c>
      <c r="AP124" s="1">
        <v>0</v>
      </c>
      <c r="AQ124" s="1" t="s">
        <v>1168</v>
      </c>
      <c r="AR124" s="1" t="s">
        <v>1169</v>
      </c>
      <c r="AS124" s="1" t="s">
        <v>1170</v>
      </c>
      <c r="AT124" s="1" t="s">
        <v>329</v>
      </c>
      <c r="AU124" s="1">
        <v>128</v>
      </c>
      <c r="AV124" s="1">
        <v>0</v>
      </c>
      <c r="AW124" s="1" t="s">
        <v>5075</v>
      </c>
      <c r="AX124" s="1" t="s">
        <v>5077</v>
      </c>
      <c r="AY124" s="1">
        <v>5</v>
      </c>
      <c r="AZ124" s="1">
        <v>0</v>
      </c>
      <c r="BA124" s="1" t="s">
        <v>329</v>
      </c>
      <c r="BB124" s="1" t="s">
        <v>5078</v>
      </c>
      <c r="BC124" s="1" t="s">
        <v>4843</v>
      </c>
      <c r="BD124" s="1">
        <v>10203</v>
      </c>
      <c r="BE124" s="1"/>
    </row>
    <row r="125" spans="1:57" x14ac:dyDescent="0.25">
      <c r="A125" s="1">
        <v>129</v>
      </c>
      <c r="B125" s="1" t="s">
        <v>3227</v>
      </c>
      <c r="C125" s="9" t="s">
        <v>133</v>
      </c>
      <c r="D125" s="1" t="s">
        <v>3228</v>
      </c>
      <c r="E125" s="1"/>
      <c r="F125" s="1"/>
      <c r="G125" s="1" t="s">
        <v>3229</v>
      </c>
      <c r="H125" s="1" t="s">
        <v>3230</v>
      </c>
      <c r="I125" s="1" t="s">
        <v>3231</v>
      </c>
      <c r="J125" s="1">
        <v>4</v>
      </c>
      <c r="K125" s="1">
        <v>5</v>
      </c>
      <c r="L125" s="1">
        <v>13800</v>
      </c>
      <c r="M125" s="1">
        <v>20</v>
      </c>
      <c r="N125" s="1">
        <v>20</v>
      </c>
      <c r="O125" s="1">
        <v>10</v>
      </c>
      <c r="P125" s="1">
        <v>10</v>
      </c>
      <c r="Q125" s="1">
        <v>2</v>
      </c>
      <c r="R125" s="1">
        <v>5</v>
      </c>
      <c r="S125" s="1">
        <v>5</v>
      </c>
      <c r="T125" s="1">
        <v>0</v>
      </c>
      <c r="U125" s="1">
        <v>105</v>
      </c>
      <c r="V125" s="1">
        <v>120</v>
      </c>
      <c r="W125" s="1">
        <v>105</v>
      </c>
      <c r="X125" s="1">
        <v>100</v>
      </c>
      <c r="Y125" s="1">
        <v>125</v>
      </c>
      <c r="Z125" s="1">
        <v>110</v>
      </c>
      <c r="AA125" s="1">
        <v>0</v>
      </c>
      <c r="AB125" s="1">
        <v>15</v>
      </c>
      <c r="AC125" s="1">
        <v>20</v>
      </c>
      <c r="AD125" s="1">
        <v>0</v>
      </c>
      <c r="AE125" s="1">
        <v>120</v>
      </c>
      <c r="AF125" s="1">
        <v>100</v>
      </c>
      <c r="AG125" s="1">
        <v>100118</v>
      </c>
      <c r="AH125" s="1">
        <v>0</v>
      </c>
      <c r="AI125" s="1">
        <v>300103</v>
      </c>
      <c r="AJ125" s="1" t="s">
        <v>1219</v>
      </c>
      <c r="AK125" s="1" t="s">
        <v>329</v>
      </c>
      <c r="AL125" s="1">
        <v>13</v>
      </c>
      <c r="AM125" s="1" t="s">
        <v>4779</v>
      </c>
      <c r="AN125" s="1" t="s">
        <v>466</v>
      </c>
      <c r="AO125" s="1" t="s">
        <v>5079</v>
      </c>
      <c r="AP125" s="1">
        <v>0</v>
      </c>
      <c r="AQ125" s="1" t="s">
        <v>1774</v>
      </c>
      <c r="AR125" s="1" t="s">
        <v>1182</v>
      </c>
      <c r="AS125" s="1" t="s">
        <v>1157</v>
      </c>
      <c r="AT125" s="1" t="s">
        <v>329</v>
      </c>
      <c r="AU125" s="1">
        <v>129</v>
      </c>
      <c r="AV125" s="1">
        <v>0</v>
      </c>
      <c r="AW125" s="1" t="s">
        <v>5075</v>
      </c>
      <c r="AX125" s="1" t="s">
        <v>332</v>
      </c>
      <c r="AY125" s="1">
        <v>5</v>
      </c>
      <c r="AZ125" s="1">
        <v>0</v>
      </c>
      <c r="BA125" s="1" t="s">
        <v>329</v>
      </c>
      <c r="BB125" s="1" t="s">
        <v>5080</v>
      </c>
      <c r="BC125" s="1" t="s">
        <v>4843</v>
      </c>
      <c r="BD125" s="1">
        <v>10203</v>
      </c>
      <c r="BE125" s="1"/>
    </row>
    <row r="126" spans="1:57" x14ac:dyDescent="0.25">
      <c r="A126" s="1">
        <v>130</v>
      </c>
      <c r="B126" s="1" t="s">
        <v>3232</v>
      </c>
      <c r="C126" s="9" t="s">
        <v>134</v>
      </c>
      <c r="D126" s="1" t="s">
        <v>3233</v>
      </c>
      <c r="E126" s="1"/>
      <c r="F126" s="1"/>
      <c r="G126" s="1" t="s">
        <v>3234</v>
      </c>
      <c r="H126" s="1" t="s">
        <v>3235</v>
      </c>
      <c r="I126" s="1" t="s">
        <v>3236</v>
      </c>
      <c r="J126" s="1">
        <v>4</v>
      </c>
      <c r="K126" s="1">
        <v>5</v>
      </c>
      <c r="L126" s="1">
        <v>13800</v>
      </c>
      <c r="M126" s="1">
        <v>20</v>
      </c>
      <c r="N126" s="1">
        <v>20</v>
      </c>
      <c r="O126" s="1">
        <v>10</v>
      </c>
      <c r="P126" s="1">
        <v>10</v>
      </c>
      <c r="Q126" s="1">
        <v>2</v>
      </c>
      <c r="R126" s="1">
        <v>5</v>
      </c>
      <c r="S126" s="1">
        <v>5</v>
      </c>
      <c r="T126" s="1">
        <v>0</v>
      </c>
      <c r="U126" s="1">
        <v>105</v>
      </c>
      <c r="V126" s="1">
        <v>115</v>
      </c>
      <c r="W126" s="1">
        <v>105</v>
      </c>
      <c r="X126" s="1">
        <v>100</v>
      </c>
      <c r="Y126" s="1">
        <v>120</v>
      </c>
      <c r="Z126" s="1">
        <v>105</v>
      </c>
      <c r="AA126" s="1">
        <v>0</v>
      </c>
      <c r="AB126" s="1">
        <v>15</v>
      </c>
      <c r="AC126" s="1">
        <v>20</v>
      </c>
      <c r="AD126" s="1">
        <v>0</v>
      </c>
      <c r="AE126" s="1">
        <v>125</v>
      </c>
      <c r="AF126" s="1">
        <v>100</v>
      </c>
      <c r="AG126" s="1">
        <v>100408</v>
      </c>
      <c r="AH126" s="1">
        <v>0</v>
      </c>
      <c r="AI126" s="1">
        <v>300103</v>
      </c>
      <c r="AJ126" s="1" t="s">
        <v>1219</v>
      </c>
      <c r="AK126" s="1" t="s">
        <v>329</v>
      </c>
      <c r="AL126" s="1">
        <v>13</v>
      </c>
      <c r="AM126" s="1" t="s">
        <v>4779</v>
      </c>
      <c r="AN126" s="1" t="s">
        <v>4891</v>
      </c>
      <c r="AO126" s="1" t="s">
        <v>5081</v>
      </c>
      <c r="AP126" s="1">
        <v>0</v>
      </c>
      <c r="AQ126" s="1" t="s">
        <v>1774</v>
      </c>
      <c r="AR126" s="1" t="s">
        <v>1182</v>
      </c>
      <c r="AS126" s="1" t="s">
        <v>1157</v>
      </c>
      <c r="AT126" s="1" t="s">
        <v>329</v>
      </c>
      <c r="AU126" s="1">
        <v>130</v>
      </c>
      <c r="AV126" s="1">
        <v>0</v>
      </c>
      <c r="AW126" s="1" t="s">
        <v>5075</v>
      </c>
      <c r="AX126" s="1" t="s">
        <v>332</v>
      </c>
      <c r="AY126" s="1">
        <v>5</v>
      </c>
      <c r="AZ126" s="1">
        <v>0</v>
      </c>
      <c r="BA126" s="1" t="s">
        <v>329</v>
      </c>
      <c r="BB126" s="1" t="s">
        <v>5082</v>
      </c>
      <c r="BC126" s="1" t="s">
        <v>4843</v>
      </c>
      <c r="BD126" s="1">
        <v>10203</v>
      </c>
      <c r="BE126" s="1"/>
    </row>
    <row r="127" spans="1:57" x14ac:dyDescent="0.25">
      <c r="A127" s="1">
        <v>131</v>
      </c>
      <c r="B127" s="1" t="s">
        <v>3237</v>
      </c>
      <c r="C127" s="9" t="s">
        <v>135</v>
      </c>
      <c r="D127" s="1" t="s">
        <v>3238</v>
      </c>
      <c r="E127" s="1"/>
      <c r="F127" s="1"/>
      <c r="G127" s="1" t="s">
        <v>3239</v>
      </c>
      <c r="H127" s="1" t="s">
        <v>3240</v>
      </c>
      <c r="I127" s="1" t="s">
        <v>3241</v>
      </c>
      <c r="J127" s="1">
        <v>2</v>
      </c>
      <c r="K127" s="1">
        <v>3</v>
      </c>
      <c r="L127" s="1">
        <v>6600</v>
      </c>
      <c r="M127" s="1">
        <v>25</v>
      </c>
      <c r="N127" s="1">
        <v>20</v>
      </c>
      <c r="O127" s="1">
        <v>15</v>
      </c>
      <c r="P127" s="1">
        <v>10</v>
      </c>
      <c r="Q127" s="1">
        <v>5</v>
      </c>
      <c r="R127" s="1">
        <v>5</v>
      </c>
      <c r="S127" s="1">
        <v>2</v>
      </c>
      <c r="T127" s="1">
        <v>0</v>
      </c>
      <c r="U127" s="1">
        <v>110</v>
      </c>
      <c r="V127" s="1">
        <v>90</v>
      </c>
      <c r="W127" s="1">
        <v>120</v>
      </c>
      <c r="X127" s="1">
        <v>100</v>
      </c>
      <c r="Y127" s="1">
        <v>115</v>
      </c>
      <c r="Z127" s="1">
        <v>115</v>
      </c>
      <c r="AA127" s="1">
        <v>0</v>
      </c>
      <c r="AB127" s="1">
        <v>15</v>
      </c>
      <c r="AC127" s="1">
        <v>5</v>
      </c>
      <c r="AD127" s="1">
        <v>0</v>
      </c>
      <c r="AE127" s="1">
        <v>105</v>
      </c>
      <c r="AF127" s="1">
        <v>100</v>
      </c>
      <c r="AG127" s="1">
        <v>102102</v>
      </c>
      <c r="AH127" s="1">
        <v>0</v>
      </c>
      <c r="AI127" s="1">
        <v>300102</v>
      </c>
      <c r="AJ127" s="1" t="s">
        <v>1149</v>
      </c>
      <c r="AK127" s="1" t="s">
        <v>329</v>
      </c>
      <c r="AL127" s="1">
        <v>13</v>
      </c>
      <c r="AM127" s="1" t="s">
        <v>4850</v>
      </c>
      <c r="AN127" s="1" t="s">
        <v>4853</v>
      </c>
      <c r="AO127" s="1" t="s">
        <v>5083</v>
      </c>
      <c r="AP127" s="1">
        <v>0</v>
      </c>
      <c r="AQ127" s="1" t="s">
        <v>1157</v>
      </c>
      <c r="AR127" s="1" t="s">
        <v>1147</v>
      </c>
      <c r="AS127" s="1" t="s">
        <v>1158</v>
      </c>
      <c r="AT127" s="1" t="s">
        <v>329</v>
      </c>
      <c r="AU127" s="1">
        <v>131</v>
      </c>
      <c r="AV127" s="1">
        <v>0</v>
      </c>
      <c r="AW127" s="1" t="s">
        <v>5084</v>
      </c>
      <c r="AX127" s="1" t="s">
        <v>4909</v>
      </c>
      <c r="AY127" s="1">
        <v>3</v>
      </c>
      <c r="AZ127" s="1">
        <v>0</v>
      </c>
      <c r="BA127" s="1" t="s">
        <v>329</v>
      </c>
      <c r="BB127" s="1" t="s">
        <v>329</v>
      </c>
      <c r="BC127" s="1" t="s">
        <v>329</v>
      </c>
      <c r="BD127" s="1">
        <v>10303</v>
      </c>
      <c r="BE127" s="1"/>
    </row>
    <row r="128" spans="1:57" x14ac:dyDescent="0.25">
      <c r="A128" s="1">
        <v>132</v>
      </c>
      <c r="B128" s="1" t="s">
        <v>3242</v>
      </c>
      <c r="C128" s="9" t="s">
        <v>225</v>
      </c>
      <c r="D128" s="1" t="s">
        <v>3243</v>
      </c>
      <c r="E128" s="1"/>
      <c r="F128" s="1"/>
      <c r="G128" s="1" t="s">
        <v>3244</v>
      </c>
      <c r="H128" s="1" t="s">
        <v>3245</v>
      </c>
      <c r="I128" s="1" t="s">
        <v>3246</v>
      </c>
      <c r="J128" s="1">
        <v>1</v>
      </c>
      <c r="K128" s="1">
        <v>3</v>
      </c>
      <c r="L128" s="1">
        <v>2700</v>
      </c>
      <c r="M128" s="1">
        <v>10</v>
      </c>
      <c r="N128" s="1">
        <v>10</v>
      </c>
      <c r="O128" s="1">
        <v>5</v>
      </c>
      <c r="P128" s="1">
        <v>5</v>
      </c>
      <c r="Q128" s="1">
        <v>2</v>
      </c>
      <c r="R128" s="1">
        <v>2</v>
      </c>
      <c r="S128" s="1">
        <v>2</v>
      </c>
      <c r="T128" s="1">
        <v>0</v>
      </c>
      <c r="U128" s="1">
        <v>90</v>
      </c>
      <c r="V128" s="1">
        <v>95</v>
      </c>
      <c r="W128" s="1">
        <v>110</v>
      </c>
      <c r="X128" s="1">
        <v>100</v>
      </c>
      <c r="Y128" s="1">
        <v>115</v>
      </c>
      <c r="Z128" s="1">
        <v>120</v>
      </c>
      <c r="AA128" s="1">
        <v>0</v>
      </c>
      <c r="AB128" s="1">
        <v>15</v>
      </c>
      <c r="AC128" s="1">
        <v>20</v>
      </c>
      <c r="AD128" s="1">
        <v>0</v>
      </c>
      <c r="AE128" s="1">
        <v>130</v>
      </c>
      <c r="AF128" s="1">
        <v>100</v>
      </c>
      <c r="AG128" s="1">
        <v>101410</v>
      </c>
      <c r="AH128" s="1">
        <v>0</v>
      </c>
      <c r="AI128" s="1">
        <v>300101</v>
      </c>
      <c r="AJ128" s="1" t="s">
        <v>1153</v>
      </c>
      <c r="AK128" s="1" t="s">
        <v>329</v>
      </c>
      <c r="AL128" s="1">
        <v>13</v>
      </c>
      <c r="AM128" s="1" t="s">
        <v>1866</v>
      </c>
      <c r="AN128" s="1" t="s">
        <v>4921</v>
      </c>
      <c r="AO128" s="1" t="s">
        <v>4869</v>
      </c>
      <c r="AP128" s="1">
        <v>0</v>
      </c>
      <c r="AQ128" s="1" t="s">
        <v>1146</v>
      </c>
      <c r="AR128" s="1" t="s">
        <v>1147</v>
      </c>
      <c r="AS128" s="1" t="s">
        <v>1148</v>
      </c>
      <c r="AT128" s="1" t="s">
        <v>329</v>
      </c>
      <c r="AU128" s="1">
        <v>132</v>
      </c>
      <c r="AV128" s="1">
        <v>0</v>
      </c>
      <c r="AW128" s="1" t="s">
        <v>5085</v>
      </c>
      <c r="AX128" s="1" t="s">
        <v>4909</v>
      </c>
      <c r="AY128" s="1">
        <v>3</v>
      </c>
      <c r="AZ128" s="1">
        <v>0</v>
      </c>
      <c r="BA128" s="1" t="s">
        <v>329</v>
      </c>
      <c r="BB128" s="1" t="s">
        <v>5086</v>
      </c>
      <c r="BC128" s="1" t="s">
        <v>4843</v>
      </c>
      <c r="BD128" s="1">
        <v>10704</v>
      </c>
      <c r="BE128" s="1"/>
    </row>
    <row r="129" spans="1:57" x14ac:dyDescent="0.25">
      <c r="A129" s="1">
        <v>133</v>
      </c>
      <c r="B129" s="1" t="s">
        <v>3247</v>
      </c>
      <c r="C129" s="9" t="s">
        <v>136</v>
      </c>
      <c r="D129" s="1" t="s">
        <v>3248</v>
      </c>
      <c r="E129" s="1"/>
      <c r="F129" s="1"/>
      <c r="G129" s="1" t="s">
        <v>3249</v>
      </c>
      <c r="H129" s="1" t="s">
        <v>3250</v>
      </c>
      <c r="I129" s="1" t="s">
        <v>3251</v>
      </c>
      <c r="J129" s="1">
        <v>4</v>
      </c>
      <c r="K129" s="1">
        <v>2</v>
      </c>
      <c r="L129" s="1">
        <v>9900</v>
      </c>
      <c r="M129" s="1">
        <v>20</v>
      </c>
      <c r="N129" s="1">
        <v>20</v>
      </c>
      <c r="O129" s="1">
        <v>10</v>
      </c>
      <c r="P129" s="1">
        <v>10</v>
      </c>
      <c r="Q129" s="1">
        <v>2</v>
      </c>
      <c r="R129" s="1">
        <v>5</v>
      </c>
      <c r="S129" s="1">
        <v>5</v>
      </c>
      <c r="T129" s="1">
        <v>0</v>
      </c>
      <c r="U129" s="1">
        <v>90</v>
      </c>
      <c r="V129" s="1">
        <v>115</v>
      </c>
      <c r="W129" s="1">
        <v>110</v>
      </c>
      <c r="X129" s="1">
        <v>100</v>
      </c>
      <c r="Y129" s="1">
        <v>100</v>
      </c>
      <c r="Z129" s="1">
        <v>100</v>
      </c>
      <c r="AA129" s="1">
        <v>0</v>
      </c>
      <c r="AB129" s="1">
        <v>15</v>
      </c>
      <c r="AC129" s="1">
        <v>20</v>
      </c>
      <c r="AD129" s="1">
        <v>0</v>
      </c>
      <c r="AE129" s="1">
        <v>115</v>
      </c>
      <c r="AF129" s="1">
        <v>100</v>
      </c>
      <c r="AG129" s="1">
        <v>100301</v>
      </c>
      <c r="AH129" s="1">
        <v>0</v>
      </c>
      <c r="AI129" s="1">
        <v>300103</v>
      </c>
      <c r="AJ129" s="1" t="s">
        <v>1153</v>
      </c>
      <c r="AK129" s="1" t="s">
        <v>329</v>
      </c>
      <c r="AL129" s="1">
        <v>13</v>
      </c>
      <c r="AM129" s="1" t="s">
        <v>4779</v>
      </c>
      <c r="AN129" s="1" t="s">
        <v>476</v>
      </c>
      <c r="AO129" s="1" t="s">
        <v>5087</v>
      </c>
      <c r="AP129" s="1">
        <v>0</v>
      </c>
      <c r="AQ129" s="1" t="s">
        <v>1774</v>
      </c>
      <c r="AR129" s="1" t="s">
        <v>1182</v>
      </c>
      <c r="AS129" s="1" t="s">
        <v>1157</v>
      </c>
      <c r="AT129" s="1" t="s">
        <v>329</v>
      </c>
      <c r="AU129" s="1">
        <v>133</v>
      </c>
      <c r="AV129" s="1">
        <v>0</v>
      </c>
      <c r="AW129" s="1" t="s">
        <v>4888</v>
      </c>
      <c r="AX129" s="1" t="s">
        <v>471</v>
      </c>
      <c r="AY129" s="1">
        <v>2</v>
      </c>
      <c r="AZ129" s="1">
        <v>0</v>
      </c>
      <c r="BA129" s="1" t="s">
        <v>329</v>
      </c>
      <c r="BB129" s="1" t="s">
        <v>5012</v>
      </c>
      <c r="BC129" s="1" t="s">
        <v>4843</v>
      </c>
      <c r="BD129" s="1">
        <v>10704</v>
      </c>
      <c r="BE129" s="1"/>
    </row>
    <row r="130" spans="1:57" x14ac:dyDescent="0.25">
      <c r="A130" s="1">
        <v>134</v>
      </c>
      <c r="B130" s="1" t="s">
        <v>3252</v>
      </c>
      <c r="C130" s="9" t="s">
        <v>137</v>
      </c>
      <c r="D130" s="1" t="s">
        <v>137</v>
      </c>
      <c r="E130" s="1"/>
      <c r="F130" s="1"/>
      <c r="G130" s="1" t="s">
        <v>3253</v>
      </c>
      <c r="H130" s="1" t="s">
        <v>3254</v>
      </c>
      <c r="I130" s="1" t="s">
        <v>3255</v>
      </c>
      <c r="J130" s="1">
        <v>4</v>
      </c>
      <c r="K130" s="1">
        <v>3</v>
      </c>
      <c r="L130" s="1">
        <v>11400</v>
      </c>
      <c r="M130" s="1">
        <v>20</v>
      </c>
      <c r="N130" s="1">
        <v>20</v>
      </c>
      <c r="O130" s="1">
        <v>10</v>
      </c>
      <c r="P130" s="1">
        <v>10</v>
      </c>
      <c r="Q130" s="1">
        <v>2</v>
      </c>
      <c r="R130" s="1">
        <v>5</v>
      </c>
      <c r="S130" s="1">
        <v>5</v>
      </c>
      <c r="T130" s="1">
        <v>0</v>
      </c>
      <c r="U130" s="1">
        <v>100</v>
      </c>
      <c r="V130" s="1">
        <v>110</v>
      </c>
      <c r="W130" s="1">
        <v>105</v>
      </c>
      <c r="X130" s="1">
        <v>100</v>
      </c>
      <c r="Y130" s="1">
        <v>105</v>
      </c>
      <c r="Z130" s="1">
        <v>100</v>
      </c>
      <c r="AA130" s="1">
        <v>0</v>
      </c>
      <c r="AB130" s="1">
        <v>15</v>
      </c>
      <c r="AC130" s="1">
        <v>20</v>
      </c>
      <c r="AD130" s="1">
        <v>0</v>
      </c>
      <c r="AE130" s="1">
        <v>120</v>
      </c>
      <c r="AF130" s="1">
        <v>100</v>
      </c>
      <c r="AG130" s="1">
        <v>102110</v>
      </c>
      <c r="AH130" s="1">
        <v>0</v>
      </c>
      <c r="AI130" s="1">
        <v>300103</v>
      </c>
      <c r="AJ130" s="1" t="s">
        <v>1149</v>
      </c>
      <c r="AK130" s="1" t="s">
        <v>329</v>
      </c>
      <c r="AL130" s="1">
        <v>13</v>
      </c>
      <c r="AM130" s="1" t="s">
        <v>4779</v>
      </c>
      <c r="AN130" s="1" t="s">
        <v>4891</v>
      </c>
      <c r="AO130" s="1" t="s">
        <v>5088</v>
      </c>
      <c r="AP130" s="1">
        <v>0</v>
      </c>
      <c r="AQ130" s="1" t="s">
        <v>1158</v>
      </c>
      <c r="AR130" s="1" t="s">
        <v>1182</v>
      </c>
      <c r="AS130" s="1" t="s">
        <v>1157</v>
      </c>
      <c r="AT130" s="1" t="s">
        <v>329</v>
      </c>
      <c r="AU130" s="1">
        <v>134</v>
      </c>
      <c r="AV130" s="1">
        <v>0</v>
      </c>
      <c r="AW130" s="1" t="s">
        <v>5089</v>
      </c>
      <c r="AX130" s="1" t="s">
        <v>4909</v>
      </c>
      <c r="AY130" s="1">
        <v>3</v>
      </c>
      <c r="AZ130" s="1">
        <v>0</v>
      </c>
      <c r="BA130" s="1" t="s">
        <v>329</v>
      </c>
      <c r="BB130" s="1" t="s">
        <v>329</v>
      </c>
      <c r="BC130" s="1" t="s">
        <v>4799</v>
      </c>
      <c r="BD130" s="1">
        <v>10302</v>
      </c>
      <c r="BE130" s="1"/>
    </row>
    <row r="131" spans="1:57" x14ac:dyDescent="0.25">
      <c r="A131" s="1">
        <v>135</v>
      </c>
      <c r="B131" s="1" t="s">
        <v>3256</v>
      </c>
      <c r="C131" s="9" t="s">
        <v>1655</v>
      </c>
      <c r="D131" s="1" t="s">
        <v>1655</v>
      </c>
      <c r="E131" s="1"/>
      <c r="F131" s="1"/>
      <c r="G131" s="1" t="s">
        <v>3257</v>
      </c>
      <c r="H131" s="1" t="s">
        <v>3258</v>
      </c>
      <c r="I131" s="1" t="s">
        <v>3259</v>
      </c>
      <c r="J131" s="1">
        <v>2</v>
      </c>
      <c r="K131" s="1">
        <v>5</v>
      </c>
      <c r="L131" s="1">
        <v>9180</v>
      </c>
      <c r="M131" s="1">
        <v>25</v>
      </c>
      <c r="N131" s="1">
        <v>20</v>
      </c>
      <c r="O131" s="1">
        <v>15</v>
      </c>
      <c r="P131" s="1">
        <v>10</v>
      </c>
      <c r="Q131" s="1">
        <v>5</v>
      </c>
      <c r="R131" s="1">
        <v>5</v>
      </c>
      <c r="S131" s="1">
        <v>2</v>
      </c>
      <c r="T131" s="1">
        <v>0</v>
      </c>
      <c r="U131" s="1">
        <v>110</v>
      </c>
      <c r="V131" s="1">
        <v>130</v>
      </c>
      <c r="W131" s="1">
        <v>120</v>
      </c>
      <c r="X131" s="1">
        <v>100</v>
      </c>
      <c r="Y131" s="1">
        <v>115</v>
      </c>
      <c r="Z131" s="1">
        <v>125</v>
      </c>
      <c r="AA131" s="1">
        <v>0</v>
      </c>
      <c r="AB131" s="1">
        <v>15</v>
      </c>
      <c r="AC131" s="1">
        <v>5</v>
      </c>
      <c r="AD131" s="1">
        <v>0</v>
      </c>
      <c r="AE131" s="1">
        <v>95</v>
      </c>
      <c r="AF131" s="1">
        <v>100</v>
      </c>
      <c r="AG131" s="1">
        <v>100120</v>
      </c>
      <c r="AH131" s="1">
        <v>0</v>
      </c>
      <c r="AI131" s="1">
        <v>300102</v>
      </c>
      <c r="AJ131" s="1" t="s">
        <v>329</v>
      </c>
      <c r="AK131" s="1" t="s">
        <v>329</v>
      </c>
      <c r="AL131" s="1">
        <v>13</v>
      </c>
      <c r="AM131" s="1" t="s">
        <v>4850</v>
      </c>
      <c r="AN131" s="1" t="s">
        <v>4855</v>
      </c>
      <c r="AO131" s="1" t="s">
        <v>5090</v>
      </c>
      <c r="AP131" s="1">
        <v>0</v>
      </c>
      <c r="AQ131" s="1" t="s">
        <v>1157</v>
      </c>
      <c r="AR131" s="1" t="s">
        <v>1147</v>
      </c>
      <c r="AS131" s="1" t="s">
        <v>1774</v>
      </c>
      <c r="AT131" s="1" t="s">
        <v>329</v>
      </c>
      <c r="AU131" s="1">
        <v>135</v>
      </c>
      <c r="AV131" s="1">
        <v>0</v>
      </c>
      <c r="AW131" s="1" t="s">
        <v>4868</v>
      </c>
      <c r="AX131" s="1" t="s">
        <v>4551</v>
      </c>
      <c r="AY131" s="1">
        <v>5</v>
      </c>
      <c r="AZ131" s="1">
        <v>0</v>
      </c>
      <c r="BA131" s="1" t="s">
        <v>329</v>
      </c>
      <c r="BB131" s="1" t="s">
        <v>5091</v>
      </c>
      <c r="BC131" s="1" t="s">
        <v>4817</v>
      </c>
      <c r="BD131" s="1">
        <v>10202</v>
      </c>
      <c r="BE131" s="1"/>
    </row>
    <row r="132" spans="1:57" x14ac:dyDescent="0.25">
      <c r="A132" s="1">
        <v>136</v>
      </c>
      <c r="B132" s="1" t="s">
        <v>3260</v>
      </c>
      <c r="C132" s="9" t="s">
        <v>1656</v>
      </c>
      <c r="D132" s="1" t="s">
        <v>1656</v>
      </c>
      <c r="E132" s="1"/>
      <c r="F132" s="1"/>
      <c r="G132" s="1" t="s">
        <v>3261</v>
      </c>
      <c r="H132" s="1" t="s">
        <v>3262</v>
      </c>
      <c r="I132" s="1" t="s">
        <v>3263</v>
      </c>
      <c r="J132" s="1">
        <v>2</v>
      </c>
      <c r="K132" s="1">
        <v>4</v>
      </c>
      <c r="L132" s="1">
        <v>8400</v>
      </c>
      <c r="M132" s="1">
        <v>25</v>
      </c>
      <c r="N132" s="1">
        <v>20</v>
      </c>
      <c r="O132" s="1">
        <v>15</v>
      </c>
      <c r="P132" s="1">
        <v>10</v>
      </c>
      <c r="Q132" s="1">
        <v>5</v>
      </c>
      <c r="R132" s="1">
        <v>5</v>
      </c>
      <c r="S132" s="1">
        <v>2</v>
      </c>
      <c r="T132" s="1">
        <v>0</v>
      </c>
      <c r="U132" s="1">
        <v>100</v>
      </c>
      <c r="V132" s="1">
        <v>95</v>
      </c>
      <c r="W132" s="1">
        <v>115</v>
      </c>
      <c r="X132" s="1">
        <v>100</v>
      </c>
      <c r="Y132" s="1">
        <v>115</v>
      </c>
      <c r="Z132" s="1">
        <v>120</v>
      </c>
      <c r="AA132" s="1">
        <v>0</v>
      </c>
      <c r="AB132" s="1">
        <v>15</v>
      </c>
      <c r="AC132" s="1">
        <v>5</v>
      </c>
      <c r="AD132" s="1">
        <v>0</v>
      </c>
      <c r="AE132" s="1">
        <v>110</v>
      </c>
      <c r="AF132" s="1">
        <v>100</v>
      </c>
      <c r="AG132" s="1">
        <v>102103</v>
      </c>
      <c r="AH132" s="1">
        <v>0</v>
      </c>
      <c r="AI132" s="1">
        <v>300102</v>
      </c>
      <c r="AJ132" s="1" t="s">
        <v>1192</v>
      </c>
      <c r="AK132" s="1" t="s">
        <v>329</v>
      </c>
      <c r="AL132" s="1">
        <v>13</v>
      </c>
      <c r="AM132" s="1" t="s">
        <v>4850</v>
      </c>
      <c r="AN132" s="1" t="s">
        <v>4853</v>
      </c>
      <c r="AO132" s="1" t="s">
        <v>5092</v>
      </c>
      <c r="AP132" s="1">
        <v>0</v>
      </c>
      <c r="AQ132" s="1" t="s">
        <v>1157</v>
      </c>
      <c r="AR132" s="1" t="s">
        <v>1147</v>
      </c>
      <c r="AS132" s="1" t="s">
        <v>1774</v>
      </c>
      <c r="AT132" s="1" t="s">
        <v>329</v>
      </c>
      <c r="AU132" s="1">
        <v>136</v>
      </c>
      <c r="AV132" s="1">
        <v>0</v>
      </c>
      <c r="AW132" s="1" t="s">
        <v>4868</v>
      </c>
      <c r="AX132" s="1" t="s">
        <v>1866</v>
      </c>
      <c r="AY132" s="1">
        <v>4</v>
      </c>
      <c r="AZ132" s="1">
        <v>0</v>
      </c>
      <c r="BA132" s="1" t="s">
        <v>4803</v>
      </c>
      <c r="BB132" s="1" t="s">
        <v>4853</v>
      </c>
      <c r="BC132" s="1" t="s">
        <v>4817</v>
      </c>
      <c r="BD132" s="1">
        <v>10203</v>
      </c>
      <c r="BE132" s="1"/>
    </row>
    <row r="133" spans="1:57" x14ac:dyDescent="0.25">
      <c r="A133" s="1">
        <v>137</v>
      </c>
      <c r="B133" s="1" t="s">
        <v>3264</v>
      </c>
      <c r="C133" s="9" t="s">
        <v>226</v>
      </c>
      <c r="D133" s="1" t="s">
        <v>226</v>
      </c>
      <c r="E133" s="1"/>
      <c r="F133" s="1"/>
      <c r="G133" s="1" t="s">
        <v>3265</v>
      </c>
      <c r="H133" s="1" t="s">
        <v>3266</v>
      </c>
      <c r="I133" s="1" t="s">
        <v>3267</v>
      </c>
      <c r="J133" s="1">
        <v>2</v>
      </c>
      <c r="K133" s="1">
        <v>4</v>
      </c>
      <c r="L133" s="1">
        <v>8280</v>
      </c>
      <c r="M133" s="1">
        <v>25</v>
      </c>
      <c r="N133" s="1">
        <v>20</v>
      </c>
      <c r="O133" s="1">
        <v>15</v>
      </c>
      <c r="P133" s="1">
        <v>10</v>
      </c>
      <c r="Q133" s="1">
        <v>5</v>
      </c>
      <c r="R133" s="1">
        <v>5</v>
      </c>
      <c r="S133" s="1">
        <v>2</v>
      </c>
      <c r="T133" s="1">
        <v>0</v>
      </c>
      <c r="U133" s="1">
        <v>110</v>
      </c>
      <c r="V133" s="1">
        <v>105</v>
      </c>
      <c r="W133" s="1">
        <v>110</v>
      </c>
      <c r="X133" s="1">
        <v>100</v>
      </c>
      <c r="Y133" s="1">
        <v>110</v>
      </c>
      <c r="Z133" s="1">
        <v>115</v>
      </c>
      <c r="AA133" s="1">
        <v>0</v>
      </c>
      <c r="AB133" s="1">
        <v>15</v>
      </c>
      <c r="AC133" s="1">
        <v>5</v>
      </c>
      <c r="AD133" s="1">
        <v>0</v>
      </c>
      <c r="AE133" s="1">
        <v>105</v>
      </c>
      <c r="AF133" s="1">
        <v>100</v>
      </c>
      <c r="AG133" s="1">
        <v>102403</v>
      </c>
      <c r="AH133" s="1">
        <v>0</v>
      </c>
      <c r="AI133" s="1">
        <v>300102</v>
      </c>
      <c r="AJ133" s="1" t="s">
        <v>329</v>
      </c>
      <c r="AK133" s="1" t="s">
        <v>329</v>
      </c>
      <c r="AL133" s="1">
        <v>13</v>
      </c>
      <c r="AM133" s="1" t="s">
        <v>4850</v>
      </c>
      <c r="AN133" s="1" t="s">
        <v>389</v>
      </c>
      <c r="AO133" s="1" t="s">
        <v>5024</v>
      </c>
      <c r="AP133" s="1">
        <v>0</v>
      </c>
      <c r="AQ133" s="1" t="s">
        <v>1157</v>
      </c>
      <c r="AR133" s="1" t="s">
        <v>1147</v>
      </c>
      <c r="AS133" s="1" t="s">
        <v>1158</v>
      </c>
      <c r="AT133" s="1" t="s">
        <v>329</v>
      </c>
      <c r="AU133" s="1">
        <v>137</v>
      </c>
      <c r="AV133" s="1">
        <v>0</v>
      </c>
      <c r="AW133" s="1" t="s">
        <v>5093</v>
      </c>
      <c r="AX133" s="1" t="s">
        <v>332</v>
      </c>
      <c r="AY133" s="1">
        <v>4</v>
      </c>
      <c r="AZ133" s="1">
        <v>0</v>
      </c>
      <c r="BA133" s="1" t="s">
        <v>329</v>
      </c>
      <c r="BB133" s="1" t="s">
        <v>507</v>
      </c>
      <c r="BC133" s="1" t="s">
        <v>4817</v>
      </c>
      <c r="BD133" s="1">
        <v>10802</v>
      </c>
      <c r="BE133" s="1"/>
    </row>
    <row r="134" spans="1:57" x14ac:dyDescent="0.25">
      <c r="A134" s="1">
        <v>138</v>
      </c>
      <c r="B134" s="1" t="s">
        <v>3268</v>
      </c>
      <c r="C134" s="9" t="s">
        <v>138</v>
      </c>
      <c r="D134" s="1" t="s">
        <v>138</v>
      </c>
      <c r="E134" s="1"/>
      <c r="F134" s="1"/>
      <c r="G134" s="1" t="s">
        <v>3269</v>
      </c>
      <c r="H134" s="1" t="s">
        <v>3270</v>
      </c>
      <c r="I134" s="1" t="s">
        <v>3271</v>
      </c>
      <c r="J134" s="1">
        <v>4</v>
      </c>
      <c r="K134" s="1">
        <v>3</v>
      </c>
      <c r="L134" s="1">
        <v>12000</v>
      </c>
      <c r="M134" s="1">
        <v>20</v>
      </c>
      <c r="N134" s="1">
        <v>20</v>
      </c>
      <c r="O134" s="1">
        <v>10</v>
      </c>
      <c r="P134" s="1">
        <v>10</v>
      </c>
      <c r="Q134" s="1">
        <v>2</v>
      </c>
      <c r="R134" s="1">
        <v>5</v>
      </c>
      <c r="S134" s="1">
        <v>5</v>
      </c>
      <c r="T134" s="1">
        <v>0</v>
      </c>
      <c r="U134" s="1">
        <v>110</v>
      </c>
      <c r="V134" s="1">
        <v>150</v>
      </c>
      <c r="W134" s="1">
        <v>80</v>
      </c>
      <c r="X134" s="1">
        <v>100</v>
      </c>
      <c r="Y134" s="1">
        <v>85</v>
      </c>
      <c r="Z134" s="1">
        <v>75</v>
      </c>
      <c r="AA134" s="1">
        <v>0</v>
      </c>
      <c r="AB134" s="1">
        <v>15</v>
      </c>
      <c r="AC134" s="1">
        <v>20</v>
      </c>
      <c r="AD134" s="1">
        <v>0</v>
      </c>
      <c r="AE134" s="1">
        <v>125</v>
      </c>
      <c r="AF134" s="1">
        <v>100</v>
      </c>
      <c r="AG134" s="1">
        <v>101802</v>
      </c>
      <c r="AH134" s="1">
        <v>0</v>
      </c>
      <c r="AI134" s="1">
        <v>300103</v>
      </c>
      <c r="AJ134" s="1" t="s">
        <v>1153</v>
      </c>
      <c r="AK134" s="1" t="s">
        <v>329</v>
      </c>
      <c r="AL134" s="1">
        <v>13</v>
      </c>
      <c r="AM134" s="1" t="s">
        <v>4779</v>
      </c>
      <c r="AN134" s="1" t="s">
        <v>476</v>
      </c>
      <c r="AO134" s="1" t="s">
        <v>5094</v>
      </c>
      <c r="AP134" s="1">
        <v>0</v>
      </c>
      <c r="AQ134" s="1" t="s">
        <v>1158</v>
      </c>
      <c r="AR134" s="1" t="s">
        <v>1220</v>
      </c>
      <c r="AS134" s="1" t="s">
        <v>1157</v>
      </c>
      <c r="AT134" s="1" t="s">
        <v>329</v>
      </c>
      <c r="AU134" s="1">
        <v>138</v>
      </c>
      <c r="AV134" s="1">
        <v>0</v>
      </c>
      <c r="AW134" s="1" t="s">
        <v>5095</v>
      </c>
      <c r="AX134" s="1" t="s">
        <v>486</v>
      </c>
      <c r="AY134" s="1">
        <v>3</v>
      </c>
      <c r="AZ134" s="1">
        <v>0</v>
      </c>
      <c r="BA134" s="1" t="s">
        <v>329</v>
      </c>
      <c r="BB134" s="1" t="s">
        <v>329</v>
      </c>
      <c r="BC134" s="1" t="s">
        <v>4817</v>
      </c>
      <c r="BD134" s="1">
        <v>10102</v>
      </c>
      <c r="BE134" s="1"/>
    </row>
    <row r="135" spans="1:57" x14ac:dyDescent="0.25">
      <c r="A135" s="1">
        <v>139</v>
      </c>
      <c r="B135" s="1" t="s">
        <v>3272</v>
      </c>
      <c r="C135" s="9" t="s">
        <v>139</v>
      </c>
      <c r="D135" s="1" t="s">
        <v>3273</v>
      </c>
      <c r="E135" s="1"/>
      <c r="F135" s="1"/>
      <c r="G135" s="1" t="s">
        <v>3274</v>
      </c>
      <c r="H135" s="1" t="s">
        <v>3275</v>
      </c>
      <c r="I135" s="1" t="s">
        <v>3276</v>
      </c>
      <c r="J135" s="1">
        <v>1</v>
      </c>
      <c r="K135" s="1">
        <v>2</v>
      </c>
      <c r="L135" s="1">
        <v>1680</v>
      </c>
      <c r="M135" s="1">
        <v>10</v>
      </c>
      <c r="N135" s="1">
        <v>10</v>
      </c>
      <c r="O135" s="1">
        <v>5</v>
      </c>
      <c r="P135" s="1">
        <v>5</v>
      </c>
      <c r="Q135" s="1">
        <v>2</v>
      </c>
      <c r="R135" s="1">
        <v>2</v>
      </c>
      <c r="S135" s="1">
        <v>2</v>
      </c>
      <c r="T135" s="1">
        <v>0</v>
      </c>
      <c r="U135" s="1">
        <v>105</v>
      </c>
      <c r="V135" s="1">
        <v>120</v>
      </c>
      <c r="W135" s="1">
        <v>110</v>
      </c>
      <c r="X135" s="1">
        <v>100</v>
      </c>
      <c r="Y135" s="1">
        <v>110</v>
      </c>
      <c r="Z135" s="1">
        <v>90</v>
      </c>
      <c r="AA135" s="1">
        <v>0</v>
      </c>
      <c r="AB135" s="1">
        <v>15</v>
      </c>
      <c r="AC135" s="1">
        <v>20</v>
      </c>
      <c r="AD135" s="1">
        <v>0</v>
      </c>
      <c r="AE135" s="1">
        <v>110</v>
      </c>
      <c r="AF135" s="1">
        <v>100</v>
      </c>
      <c r="AG135" s="1">
        <v>100501</v>
      </c>
      <c r="AH135" s="1">
        <v>0</v>
      </c>
      <c r="AI135" s="1">
        <v>300101</v>
      </c>
      <c r="AJ135" s="1" t="s">
        <v>1153</v>
      </c>
      <c r="AK135" s="1" t="s">
        <v>329</v>
      </c>
      <c r="AL135" s="1">
        <v>13</v>
      </c>
      <c r="AM135" s="1" t="s">
        <v>1866</v>
      </c>
      <c r="AN135" s="1" t="s">
        <v>4800</v>
      </c>
      <c r="AO135" s="1" t="s">
        <v>5096</v>
      </c>
      <c r="AP135" s="1">
        <v>0</v>
      </c>
      <c r="AQ135" s="1" t="s">
        <v>1146</v>
      </c>
      <c r="AR135" s="1" t="s">
        <v>1147</v>
      </c>
      <c r="AS135" s="1" t="s">
        <v>1148</v>
      </c>
      <c r="AT135" s="1" t="s">
        <v>329</v>
      </c>
      <c r="AU135" s="1">
        <v>139</v>
      </c>
      <c r="AV135" s="1">
        <v>0</v>
      </c>
      <c r="AW135" s="1" t="s">
        <v>5097</v>
      </c>
      <c r="AX135" s="1" t="s">
        <v>471</v>
      </c>
      <c r="AY135" s="1">
        <v>2</v>
      </c>
      <c r="AZ135" s="1">
        <v>0</v>
      </c>
      <c r="BA135" s="1" t="s">
        <v>329</v>
      </c>
      <c r="BB135" s="1" t="s">
        <v>329</v>
      </c>
      <c r="BC135" s="1" t="s">
        <v>4780</v>
      </c>
      <c r="BD135" s="1">
        <v>10704</v>
      </c>
      <c r="BE135" s="1"/>
    </row>
    <row r="136" spans="1:57" x14ac:dyDescent="0.25">
      <c r="A136" s="1">
        <v>140</v>
      </c>
      <c r="B136" s="1" t="s">
        <v>3277</v>
      </c>
      <c r="C136" s="9" t="s">
        <v>140</v>
      </c>
      <c r="D136" s="1" t="s">
        <v>140</v>
      </c>
      <c r="E136" s="1"/>
      <c r="F136" s="1"/>
      <c r="G136" s="1" t="s">
        <v>3278</v>
      </c>
      <c r="H136" s="1" t="s">
        <v>3279</v>
      </c>
      <c r="I136" s="1" t="s">
        <v>3280</v>
      </c>
      <c r="J136" s="1">
        <v>1</v>
      </c>
      <c r="K136" s="1">
        <v>3</v>
      </c>
      <c r="L136" s="1">
        <v>2100</v>
      </c>
      <c r="M136" s="1">
        <v>10</v>
      </c>
      <c r="N136" s="1">
        <v>10</v>
      </c>
      <c r="O136" s="1">
        <v>5</v>
      </c>
      <c r="P136" s="1">
        <v>5</v>
      </c>
      <c r="Q136" s="1">
        <v>2</v>
      </c>
      <c r="R136" s="1">
        <v>2</v>
      </c>
      <c r="S136" s="1">
        <v>2</v>
      </c>
      <c r="T136" s="1">
        <v>0</v>
      </c>
      <c r="U136" s="1">
        <v>85</v>
      </c>
      <c r="V136" s="1">
        <v>80</v>
      </c>
      <c r="W136" s="1">
        <v>115</v>
      </c>
      <c r="X136" s="1">
        <v>100</v>
      </c>
      <c r="Y136" s="1">
        <v>120</v>
      </c>
      <c r="Z136" s="1">
        <v>135</v>
      </c>
      <c r="AA136" s="1">
        <v>0</v>
      </c>
      <c r="AB136" s="1">
        <v>15</v>
      </c>
      <c r="AC136" s="1">
        <v>20</v>
      </c>
      <c r="AD136" s="1">
        <v>0</v>
      </c>
      <c r="AE136" s="1">
        <v>135</v>
      </c>
      <c r="AF136" s="1">
        <v>100</v>
      </c>
      <c r="AG136" s="1">
        <v>105502</v>
      </c>
      <c r="AH136" s="1">
        <v>0</v>
      </c>
      <c r="AI136" s="1">
        <v>300101</v>
      </c>
      <c r="AJ136" s="1" t="s">
        <v>1153</v>
      </c>
      <c r="AK136" s="1" t="s">
        <v>329</v>
      </c>
      <c r="AL136" s="1">
        <v>13</v>
      </c>
      <c r="AM136" s="1" t="s">
        <v>1866</v>
      </c>
      <c r="AN136" s="1" t="s">
        <v>5098</v>
      </c>
      <c r="AO136" s="1" t="s">
        <v>5099</v>
      </c>
      <c r="AP136" s="1">
        <v>0</v>
      </c>
      <c r="AQ136" s="1" t="s">
        <v>1146</v>
      </c>
      <c r="AR136" s="1" t="s">
        <v>1147</v>
      </c>
      <c r="AS136" s="1" t="s">
        <v>1148</v>
      </c>
      <c r="AT136" s="1" t="s">
        <v>329</v>
      </c>
      <c r="AU136" s="1">
        <v>140</v>
      </c>
      <c r="AV136" s="1">
        <v>0</v>
      </c>
      <c r="AW136" s="1" t="s">
        <v>5097</v>
      </c>
      <c r="AX136" s="1" t="s">
        <v>5100</v>
      </c>
      <c r="AY136" s="1">
        <v>3</v>
      </c>
      <c r="AZ136" s="1">
        <v>0</v>
      </c>
      <c r="BA136" s="1" t="s">
        <v>329</v>
      </c>
      <c r="BB136" s="1" t="s">
        <v>329</v>
      </c>
      <c r="BC136" s="1" t="s">
        <v>4817</v>
      </c>
      <c r="BD136" s="1">
        <v>10704</v>
      </c>
      <c r="BE136" s="1"/>
    </row>
    <row r="137" spans="1:57" x14ac:dyDescent="0.25">
      <c r="A137" s="1">
        <v>141</v>
      </c>
      <c r="B137" s="1" t="s">
        <v>3281</v>
      </c>
      <c r="C137" s="9" t="s">
        <v>1221</v>
      </c>
      <c r="D137" s="1" t="s">
        <v>1221</v>
      </c>
      <c r="E137" s="1"/>
      <c r="F137" s="1"/>
      <c r="G137" s="1" t="s">
        <v>3282</v>
      </c>
      <c r="H137" s="1" t="s">
        <v>3283</v>
      </c>
      <c r="I137" s="1" t="s">
        <v>3284</v>
      </c>
      <c r="J137" s="1">
        <v>1</v>
      </c>
      <c r="K137" s="1">
        <v>2</v>
      </c>
      <c r="L137" s="1">
        <v>1680</v>
      </c>
      <c r="M137" s="1">
        <v>10</v>
      </c>
      <c r="N137" s="1">
        <v>10</v>
      </c>
      <c r="O137" s="1">
        <v>5</v>
      </c>
      <c r="P137" s="1">
        <v>5</v>
      </c>
      <c r="Q137" s="1">
        <v>2</v>
      </c>
      <c r="R137" s="1">
        <v>2</v>
      </c>
      <c r="S137" s="1">
        <v>2</v>
      </c>
      <c r="T137" s="1">
        <v>0</v>
      </c>
      <c r="U137" s="1">
        <v>100</v>
      </c>
      <c r="V137" s="1">
        <v>90</v>
      </c>
      <c r="W137" s="1">
        <v>120</v>
      </c>
      <c r="X137" s="1">
        <v>100</v>
      </c>
      <c r="Y137" s="1">
        <v>125</v>
      </c>
      <c r="Z137" s="1">
        <v>120</v>
      </c>
      <c r="AA137" s="1">
        <v>0</v>
      </c>
      <c r="AB137" s="1">
        <v>15</v>
      </c>
      <c r="AC137" s="1">
        <v>20</v>
      </c>
      <c r="AD137" s="1">
        <v>0</v>
      </c>
      <c r="AE137" s="1">
        <v>115</v>
      </c>
      <c r="AF137" s="1">
        <v>100</v>
      </c>
      <c r="AG137" s="1">
        <v>100701</v>
      </c>
      <c r="AH137" s="1">
        <v>0</v>
      </c>
      <c r="AI137" s="1">
        <v>300101</v>
      </c>
      <c r="AJ137" s="1" t="s">
        <v>1153</v>
      </c>
      <c r="AK137" s="1" t="s">
        <v>329</v>
      </c>
      <c r="AL137" s="1">
        <v>13</v>
      </c>
      <c r="AM137" s="1" t="s">
        <v>1866</v>
      </c>
      <c r="AN137" s="1" t="s">
        <v>4836</v>
      </c>
      <c r="AO137" s="1" t="s">
        <v>5101</v>
      </c>
      <c r="AP137" s="1">
        <v>0</v>
      </c>
      <c r="AQ137" s="1" t="s">
        <v>1146</v>
      </c>
      <c r="AR137" s="1" t="s">
        <v>1147</v>
      </c>
      <c r="AS137" s="1" t="s">
        <v>1148</v>
      </c>
      <c r="AT137" s="1" t="s">
        <v>329</v>
      </c>
      <c r="AU137" s="1">
        <v>141</v>
      </c>
      <c r="AV137" s="1">
        <v>0</v>
      </c>
      <c r="AW137" s="1" t="s">
        <v>5097</v>
      </c>
      <c r="AX137" s="1" t="s">
        <v>471</v>
      </c>
      <c r="AY137" s="1">
        <v>2</v>
      </c>
      <c r="AZ137" s="1">
        <v>0</v>
      </c>
      <c r="BA137" s="1" t="s">
        <v>329</v>
      </c>
      <c r="BB137" s="1" t="s">
        <v>329</v>
      </c>
      <c r="BC137" s="1" t="s">
        <v>4829</v>
      </c>
      <c r="BD137" s="1">
        <v>10704</v>
      </c>
      <c r="BE137" s="1"/>
    </row>
    <row r="138" spans="1:57" x14ac:dyDescent="0.25">
      <c r="A138" s="1">
        <v>142</v>
      </c>
      <c r="B138" s="1" t="s">
        <v>3285</v>
      </c>
      <c r="C138" s="9" t="s">
        <v>1657</v>
      </c>
      <c r="D138" s="1" t="s">
        <v>3286</v>
      </c>
      <c r="E138" s="1"/>
      <c r="F138" s="1"/>
      <c r="G138" s="1" t="s">
        <v>3287</v>
      </c>
      <c r="H138" s="1" t="s">
        <v>3288</v>
      </c>
      <c r="I138" s="1" t="s">
        <v>3289</v>
      </c>
      <c r="J138" s="1">
        <v>1</v>
      </c>
      <c r="K138" s="1">
        <v>5</v>
      </c>
      <c r="L138" s="1">
        <v>3420</v>
      </c>
      <c r="M138" s="1">
        <v>10</v>
      </c>
      <c r="N138" s="1">
        <v>10</v>
      </c>
      <c r="O138" s="1">
        <v>5</v>
      </c>
      <c r="P138" s="1">
        <v>5</v>
      </c>
      <c r="Q138" s="1">
        <v>2</v>
      </c>
      <c r="R138" s="1">
        <v>2</v>
      </c>
      <c r="S138" s="1">
        <v>2</v>
      </c>
      <c r="T138" s="1">
        <v>0</v>
      </c>
      <c r="U138" s="1">
        <v>95</v>
      </c>
      <c r="V138" s="1">
        <v>110</v>
      </c>
      <c r="W138" s="1">
        <v>120</v>
      </c>
      <c r="X138" s="1">
        <v>100</v>
      </c>
      <c r="Y138" s="1">
        <v>110</v>
      </c>
      <c r="Z138" s="1">
        <v>125</v>
      </c>
      <c r="AA138" s="1">
        <v>0</v>
      </c>
      <c r="AB138" s="1">
        <v>15</v>
      </c>
      <c r="AC138" s="1">
        <v>20</v>
      </c>
      <c r="AD138" s="1">
        <v>0</v>
      </c>
      <c r="AE138" s="1">
        <v>125</v>
      </c>
      <c r="AF138" s="1">
        <v>100</v>
      </c>
      <c r="AG138" s="1">
        <v>102003</v>
      </c>
      <c r="AH138" s="1">
        <v>0</v>
      </c>
      <c r="AI138" s="1">
        <v>300101</v>
      </c>
      <c r="AJ138" s="1" t="s">
        <v>329</v>
      </c>
      <c r="AK138" s="1" t="s">
        <v>329</v>
      </c>
      <c r="AL138" s="1">
        <v>13</v>
      </c>
      <c r="AM138" s="1" t="s">
        <v>1866</v>
      </c>
      <c r="AN138" s="1" t="s">
        <v>4807</v>
      </c>
      <c r="AO138" s="1" t="s">
        <v>5102</v>
      </c>
      <c r="AP138" s="1">
        <v>0</v>
      </c>
      <c r="AQ138" s="1" t="s">
        <v>1146</v>
      </c>
      <c r="AR138" s="1" t="s">
        <v>1147</v>
      </c>
      <c r="AS138" s="1" t="s">
        <v>1148</v>
      </c>
      <c r="AT138" s="1" t="s">
        <v>329</v>
      </c>
      <c r="AU138" s="1">
        <v>142</v>
      </c>
      <c r="AV138" s="1">
        <v>0</v>
      </c>
      <c r="AW138" s="1" t="s">
        <v>5103</v>
      </c>
      <c r="AX138" s="1" t="s">
        <v>5104</v>
      </c>
      <c r="AY138" s="1">
        <v>5</v>
      </c>
      <c r="AZ138" s="1">
        <v>0</v>
      </c>
      <c r="BA138" s="1" t="s">
        <v>329</v>
      </c>
      <c r="BB138" s="1" t="s">
        <v>5105</v>
      </c>
      <c r="BC138" s="1" t="s">
        <v>4913</v>
      </c>
      <c r="BD138" s="1">
        <v>10202</v>
      </c>
      <c r="BE138" s="1"/>
    </row>
    <row r="139" spans="1:57" x14ac:dyDescent="0.25">
      <c r="A139" s="1">
        <v>143</v>
      </c>
      <c r="B139" s="1" t="s">
        <v>3290</v>
      </c>
      <c r="C139" s="9" t="s">
        <v>141</v>
      </c>
      <c r="D139" s="1" t="s">
        <v>141</v>
      </c>
      <c r="E139" s="1"/>
      <c r="F139" s="1"/>
      <c r="G139" s="1" t="s">
        <v>3291</v>
      </c>
      <c r="H139" s="1" t="s">
        <v>3292</v>
      </c>
      <c r="I139" s="1" t="s">
        <v>3293</v>
      </c>
      <c r="J139" s="1">
        <v>2</v>
      </c>
      <c r="K139" s="1">
        <v>5</v>
      </c>
      <c r="L139" s="1">
        <v>9300</v>
      </c>
      <c r="M139" s="1">
        <v>25</v>
      </c>
      <c r="N139" s="1">
        <v>20</v>
      </c>
      <c r="O139" s="1">
        <v>15</v>
      </c>
      <c r="P139" s="1">
        <v>10</v>
      </c>
      <c r="Q139" s="1">
        <v>5</v>
      </c>
      <c r="R139" s="1">
        <v>5</v>
      </c>
      <c r="S139" s="1">
        <v>2</v>
      </c>
      <c r="T139" s="1">
        <v>0</v>
      </c>
      <c r="U139" s="1">
        <v>110</v>
      </c>
      <c r="V139" s="1">
        <v>105</v>
      </c>
      <c r="W139" s="1">
        <v>125</v>
      </c>
      <c r="X139" s="1">
        <v>100</v>
      </c>
      <c r="Y139" s="1">
        <v>125</v>
      </c>
      <c r="Z139" s="1">
        <v>120</v>
      </c>
      <c r="AA139" s="1">
        <v>0</v>
      </c>
      <c r="AB139" s="1">
        <v>15</v>
      </c>
      <c r="AC139" s="1">
        <v>5</v>
      </c>
      <c r="AD139" s="1">
        <v>0</v>
      </c>
      <c r="AE139" s="1">
        <v>105</v>
      </c>
      <c r="AF139" s="1">
        <v>100</v>
      </c>
      <c r="AG139" s="1">
        <v>105604</v>
      </c>
      <c r="AH139" s="1">
        <v>0</v>
      </c>
      <c r="AI139" s="1">
        <v>300102</v>
      </c>
      <c r="AJ139" s="1" t="s">
        <v>1222</v>
      </c>
      <c r="AK139" s="1" t="s">
        <v>329</v>
      </c>
      <c r="AL139" s="1">
        <v>13</v>
      </c>
      <c r="AM139" s="1" t="s">
        <v>4850</v>
      </c>
      <c r="AN139" s="1" t="s">
        <v>5007</v>
      </c>
      <c r="AO139" s="1" t="s">
        <v>5106</v>
      </c>
      <c r="AP139" s="1">
        <v>0</v>
      </c>
      <c r="AQ139" s="1" t="s">
        <v>1773</v>
      </c>
      <c r="AR139" s="1" t="s">
        <v>1147</v>
      </c>
      <c r="AS139" s="1" t="s">
        <v>1158</v>
      </c>
      <c r="AT139" s="1" t="s">
        <v>329</v>
      </c>
      <c r="AU139" s="1">
        <v>143</v>
      </c>
      <c r="AV139" s="1">
        <v>0</v>
      </c>
      <c r="AW139" s="1" t="s">
        <v>5097</v>
      </c>
      <c r="AX139" s="1" t="s">
        <v>4918</v>
      </c>
      <c r="AY139" s="1">
        <v>5</v>
      </c>
      <c r="AZ139" s="1">
        <v>0</v>
      </c>
      <c r="BA139" s="1" t="s">
        <v>4915</v>
      </c>
      <c r="BB139" s="1" t="s">
        <v>5107</v>
      </c>
      <c r="BC139" s="1" t="s">
        <v>4920</v>
      </c>
      <c r="BD139" s="1">
        <v>10601</v>
      </c>
      <c r="BE139" s="1"/>
    </row>
    <row r="140" spans="1:57" x14ac:dyDescent="0.25">
      <c r="A140" s="1">
        <v>144</v>
      </c>
      <c r="B140" s="1" t="s">
        <v>3294</v>
      </c>
      <c r="C140" s="9" t="s">
        <v>1658</v>
      </c>
      <c r="D140" s="1" t="s">
        <v>1658</v>
      </c>
      <c r="E140" s="1"/>
      <c r="F140" s="1"/>
      <c r="G140" s="1" t="s">
        <v>3295</v>
      </c>
      <c r="H140" s="1" t="s">
        <v>3296</v>
      </c>
      <c r="I140" s="1" t="s">
        <v>3297</v>
      </c>
      <c r="J140" s="1">
        <v>2</v>
      </c>
      <c r="K140" s="1">
        <v>3</v>
      </c>
      <c r="L140" s="1">
        <v>7500</v>
      </c>
      <c r="M140" s="1">
        <v>25</v>
      </c>
      <c r="N140" s="1">
        <v>20</v>
      </c>
      <c r="O140" s="1">
        <v>15</v>
      </c>
      <c r="P140" s="1">
        <v>10</v>
      </c>
      <c r="Q140" s="1">
        <v>5</v>
      </c>
      <c r="R140" s="1">
        <v>5</v>
      </c>
      <c r="S140" s="1">
        <v>2</v>
      </c>
      <c r="T140" s="1">
        <v>0</v>
      </c>
      <c r="U140" s="1">
        <v>115</v>
      </c>
      <c r="V140" s="1">
        <v>100</v>
      </c>
      <c r="W140" s="1">
        <v>115</v>
      </c>
      <c r="X140" s="1">
        <v>100</v>
      </c>
      <c r="Y140" s="1">
        <v>120</v>
      </c>
      <c r="Z140" s="1">
        <v>105</v>
      </c>
      <c r="AA140" s="1">
        <v>0</v>
      </c>
      <c r="AB140" s="1">
        <v>15</v>
      </c>
      <c r="AC140" s="1">
        <v>5</v>
      </c>
      <c r="AD140" s="1">
        <v>0</v>
      </c>
      <c r="AE140" s="1">
        <v>100</v>
      </c>
      <c r="AF140" s="1">
        <v>100</v>
      </c>
      <c r="AG140" s="1">
        <v>102205</v>
      </c>
      <c r="AH140" s="1">
        <v>0</v>
      </c>
      <c r="AI140" s="1">
        <v>300102</v>
      </c>
      <c r="AJ140" s="1" t="s">
        <v>1149</v>
      </c>
      <c r="AK140" s="1" t="s">
        <v>329</v>
      </c>
      <c r="AL140" s="1">
        <v>13</v>
      </c>
      <c r="AM140" s="1" t="s">
        <v>4850</v>
      </c>
      <c r="AN140" s="1" t="s">
        <v>389</v>
      </c>
      <c r="AO140" s="1" t="s">
        <v>4859</v>
      </c>
      <c r="AP140" s="1">
        <v>0</v>
      </c>
      <c r="AQ140" s="1" t="s">
        <v>1157</v>
      </c>
      <c r="AR140" s="1" t="s">
        <v>1147</v>
      </c>
      <c r="AS140" s="1" t="s">
        <v>1158</v>
      </c>
      <c r="AT140" s="1" t="s">
        <v>329</v>
      </c>
      <c r="AU140" s="1">
        <v>144</v>
      </c>
      <c r="AV140" s="1">
        <v>0</v>
      </c>
      <c r="AW140" s="1" t="s">
        <v>5108</v>
      </c>
      <c r="AX140" s="1" t="s">
        <v>486</v>
      </c>
      <c r="AY140" s="1">
        <v>3</v>
      </c>
      <c r="AZ140" s="1">
        <v>0</v>
      </c>
      <c r="BA140" s="1" t="s">
        <v>329</v>
      </c>
      <c r="BB140" s="1" t="s">
        <v>371</v>
      </c>
      <c r="BC140" s="1" t="s">
        <v>329</v>
      </c>
      <c r="BD140" s="1">
        <v>10303</v>
      </c>
      <c r="BE140" s="1"/>
    </row>
    <row r="141" spans="1:57" x14ac:dyDescent="0.25">
      <c r="A141" s="1">
        <v>145</v>
      </c>
      <c r="B141" s="1" t="s">
        <v>3298</v>
      </c>
      <c r="C141" s="9" t="s">
        <v>1659</v>
      </c>
      <c r="D141" s="1" t="s">
        <v>3299</v>
      </c>
      <c r="E141" s="1"/>
      <c r="F141" s="1"/>
      <c r="G141" s="1" t="s">
        <v>3300</v>
      </c>
      <c r="H141" s="1" t="s">
        <v>3301</v>
      </c>
      <c r="I141" s="1" t="s">
        <v>3302</v>
      </c>
      <c r="J141" s="1">
        <v>3</v>
      </c>
      <c r="K141" s="1">
        <v>3</v>
      </c>
      <c r="L141" s="1">
        <v>13800</v>
      </c>
      <c r="M141" s="1">
        <v>15</v>
      </c>
      <c r="N141" s="1">
        <v>30</v>
      </c>
      <c r="O141" s="1">
        <v>10</v>
      </c>
      <c r="P141" s="1">
        <v>15</v>
      </c>
      <c r="Q141" s="1">
        <v>5</v>
      </c>
      <c r="R141" s="1">
        <v>2</v>
      </c>
      <c r="S141" s="1">
        <v>5</v>
      </c>
      <c r="T141" s="1">
        <v>0</v>
      </c>
      <c r="U141" s="1">
        <v>90</v>
      </c>
      <c r="V141" s="1">
        <v>135</v>
      </c>
      <c r="W141" s="1">
        <v>90</v>
      </c>
      <c r="X141" s="1">
        <v>100</v>
      </c>
      <c r="Y141" s="1">
        <v>90</v>
      </c>
      <c r="Z141" s="1">
        <v>85</v>
      </c>
      <c r="AA141" s="1">
        <v>0</v>
      </c>
      <c r="AB141" s="1">
        <v>15</v>
      </c>
      <c r="AC141" s="1">
        <v>40</v>
      </c>
      <c r="AD141" s="1">
        <v>0</v>
      </c>
      <c r="AE141" s="1">
        <v>135</v>
      </c>
      <c r="AF141" s="1">
        <v>100</v>
      </c>
      <c r="AG141" s="1">
        <v>103005</v>
      </c>
      <c r="AH141" s="1">
        <v>0</v>
      </c>
      <c r="AI141" s="1">
        <v>300104</v>
      </c>
      <c r="AJ141" s="1" t="s">
        <v>1223</v>
      </c>
      <c r="AK141" s="1" t="s">
        <v>329</v>
      </c>
      <c r="AL141" s="1">
        <v>13</v>
      </c>
      <c r="AM141" s="1" t="s">
        <v>4822</v>
      </c>
      <c r="AN141" s="1" t="s">
        <v>4894</v>
      </c>
      <c r="AO141" s="1" t="s">
        <v>4886</v>
      </c>
      <c r="AP141" s="1">
        <v>0</v>
      </c>
      <c r="AQ141" s="1" t="s">
        <v>1168</v>
      </c>
      <c r="AR141" s="1" t="s">
        <v>4895</v>
      </c>
      <c r="AS141" s="1" t="s">
        <v>1170</v>
      </c>
      <c r="AT141" s="1" t="s">
        <v>329</v>
      </c>
      <c r="AU141" s="1">
        <v>145</v>
      </c>
      <c r="AV141" s="1">
        <v>0</v>
      </c>
      <c r="AW141" s="1" t="s">
        <v>5103</v>
      </c>
      <c r="AX141" s="1" t="s">
        <v>5109</v>
      </c>
      <c r="AY141" s="1">
        <v>3</v>
      </c>
      <c r="AZ141" s="1">
        <v>0</v>
      </c>
      <c r="BA141" s="1" t="s">
        <v>329</v>
      </c>
      <c r="BB141" s="1" t="s">
        <v>329</v>
      </c>
      <c r="BC141" s="1" t="s">
        <v>4817</v>
      </c>
      <c r="BD141" s="1">
        <v>10703</v>
      </c>
      <c r="BE141" s="1"/>
    </row>
    <row r="142" spans="1:57" x14ac:dyDescent="0.25">
      <c r="A142" s="1">
        <v>146</v>
      </c>
      <c r="B142" s="1" t="s">
        <v>3303</v>
      </c>
      <c r="C142" s="9" t="s">
        <v>227</v>
      </c>
      <c r="D142" s="1" t="s">
        <v>227</v>
      </c>
      <c r="E142" s="1"/>
      <c r="F142" s="1"/>
      <c r="G142" s="1" t="s">
        <v>3304</v>
      </c>
      <c r="H142" s="1" t="s">
        <v>3305</v>
      </c>
      <c r="I142" s="1" t="s">
        <v>3306</v>
      </c>
      <c r="J142" s="1">
        <v>3</v>
      </c>
      <c r="K142" s="1">
        <v>4</v>
      </c>
      <c r="L142" s="1">
        <v>15600</v>
      </c>
      <c r="M142" s="1">
        <v>15</v>
      </c>
      <c r="N142" s="1">
        <v>30</v>
      </c>
      <c r="O142" s="1">
        <v>10</v>
      </c>
      <c r="P142" s="1">
        <v>15</v>
      </c>
      <c r="Q142" s="1">
        <v>5</v>
      </c>
      <c r="R142" s="1">
        <v>2</v>
      </c>
      <c r="S142" s="1">
        <v>5</v>
      </c>
      <c r="T142" s="1">
        <v>0</v>
      </c>
      <c r="U142" s="1">
        <v>100</v>
      </c>
      <c r="V142" s="1">
        <v>110</v>
      </c>
      <c r="W142" s="1">
        <v>115</v>
      </c>
      <c r="X142" s="1">
        <v>100</v>
      </c>
      <c r="Y142" s="1">
        <v>120</v>
      </c>
      <c r="Z142" s="1">
        <v>85</v>
      </c>
      <c r="AA142" s="1">
        <v>0</v>
      </c>
      <c r="AB142" s="1">
        <v>15</v>
      </c>
      <c r="AC142" s="1">
        <v>40</v>
      </c>
      <c r="AD142" s="1">
        <v>0</v>
      </c>
      <c r="AE142" s="1">
        <v>120</v>
      </c>
      <c r="AF142" s="1">
        <v>100</v>
      </c>
      <c r="AG142" s="1">
        <v>100124</v>
      </c>
      <c r="AH142" s="1">
        <v>0</v>
      </c>
      <c r="AI142" s="1">
        <v>300104</v>
      </c>
      <c r="AJ142" s="1" t="s">
        <v>1224</v>
      </c>
      <c r="AK142" s="1" t="s">
        <v>329</v>
      </c>
      <c r="AL142" s="1">
        <v>13</v>
      </c>
      <c r="AM142" s="1" t="s">
        <v>4822</v>
      </c>
      <c r="AN142" s="1" t="s">
        <v>465</v>
      </c>
      <c r="AO142" s="1" t="s">
        <v>4892</v>
      </c>
      <c r="AP142" s="1">
        <v>0</v>
      </c>
      <c r="AQ142" s="1" t="s">
        <v>1168</v>
      </c>
      <c r="AR142" s="1" t="s">
        <v>1169</v>
      </c>
      <c r="AS142" s="1" t="s">
        <v>1170</v>
      </c>
      <c r="AT142" s="1" t="s">
        <v>329</v>
      </c>
      <c r="AU142" s="1">
        <v>146</v>
      </c>
      <c r="AV142" s="1">
        <v>0</v>
      </c>
      <c r="AW142" s="1" t="s">
        <v>5103</v>
      </c>
      <c r="AX142" s="1" t="s">
        <v>5109</v>
      </c>
      <c r="AY142" s="1">
        <v>4</v>
      </c>
      <c r="AZ142" s="1">
        <v>0</v>
      </c>
      <c r="BA142" s="1" t="s">
        <v>329</v>
      </c>
      <c r="BB142" s="1" t="s">
        <v>5110</v>
      </c>
      <c r="BC142" s="1" t="s">
        <v>4829</v>
      </c>
      <c r="BD142" s="1">
        <v>10701</v>
      </c>
      <c r="BE142" s="1"/>
    </row>
    <row r="143" spans="1:57" x14ac:dyDescent="0.25">
      <c r="A143" s="1">
        <v>147</v>
      </c>
      <c r="B143" s="1" t="s">
        <v>3307</v>
      </c>
      <c r="C143" s="9" t="s">
        <v>142</v>
      </c>
      <c r="D143" s="1" t="s">
        <v>3308</v>
      </c>
      <c r="E143" s="1"/>
      <c r="F143" s="1"/>
      <c r="G143" s="1" t="s">
        <v>3309</v>
      </c>
      <c r="H143" s="1" t="s">
        <v>3310</v>
      </c>
      <c r="I143" s="1" t="s">
        <v>3311</v>
      </c>
      <c r="J143" s="1">
        <v>3</v>
      </c>
      <c r="K143" s="1">
        <v>3</v>
      </c>
      <c r="L143" s="1">
        <v>13800</v>
      </c>
      <c r="M143" s="1">
        <v>15</v>
      </c>
      <c r="N143" s="1">
        <v>30</v>
      </c>
      <c r="O143" s="1">
        <v>10</v>
      </c>
      <c r="P143" s="1">
        <v>15</v>
      </c>
      <c r="Q143" s="1">
        <v>5</v>
      </c>
      <c r="R143" s="1">
        <v>2</v>
      </c>
      <c r="S143" s="1">
        <v>5</v>
      </c>
      <c r="T143" s="1">
        <v>0</v>
      </c>
      <c r="U143" s="1">
        <v>90</v>
      </c>
      <c r="V143" s="1">
        <v>120</v>
      </c>
      <c r="W143" s="1">
        <v>85</v>
      </c>
      <c r="X143" s="1">
        <v>100</v>
      </c>
      <c r="Y143" s="1">
        <v>125</v>
      </c>
      <c r="Z143" s="1">
        <v>115</v>
      </c>
      <c r="AA143" s="1">
        <v>0</v>
      </c>
      <c r="AB143" s="1">
        <v>15</v>
      </c>
      <c r="AC143" s="1">
        <v>40</v>
      </c>
      <c r="AD143" s="1">
        <v>0</v>
      </c>
      <c r="AE143" s="1">
        <v>120</v>
      </c>
      <c r="AF143" s="1">
        <v>100</v>
      </c>
      <c r="AG143" s="1">
        <v>100102</v>
      </c>
      <c r="AH143" s="1">
        <v>0</v>
      </c>
      <c r="AI143" s="1">
        <v>300104</v>
      </c>
      <c r="AJ143" s="1" t="s">
        <v>1153</v>
      </c>
      <c r="AK143" s="1" t="s">
        <v>329</v>
      </c>
      <c r="AL143" s="1">
        <v>13</v>
      </c>
      <c r="AM143" s="1" t="s">
        <v>4822</v>
      </c>
      <c r="AN143" s="1" t="s">
        <v>476</v>
      </c>
      <c r="AO143" s="1" t="s">
        <v>4886</v>
      </c>
      <c r="AP143" s="1">
        <v>0</v>
      </c>
      <c r="AQ143" s="1" t="s">
        <v>1168</v>
      </c>
      <c r="AR143" s="1" t="s">
        <v>1169</v>
      </c>
      <c r="AS143" s="1" t="s">
        <v>1170</v>
      </c>
      <c r="AT143" s="1" t="s">
        <v>329</v>
      </c>
      <c r="AU143" s="1">
        <v>147</v>
      </c>
      <c r="AV143" s="1">
        <v>0</v>
      </c>
      <c r="AW143" s="1" t="s">
        <v>5111</v>
      </c>
      <c r="AX143" s="1" t="s">
        <v>486</v>
      </c>
      <c r="AY143" s="1">
        <v>3</v>
      </c>
      <c r="AZ143" s="1">
        <v>0</v>
      </c>
      <c r="BA143" s="1" t="s">
        <v>329</v>
      </c>
      <c r="BB143" s="1" t="s">
        <v>368</v>
      </c>
      <c r="BC143" s="1" t="s">
        <v>329</v>
      </c>
      <c r="BD143" s="1">
        <v>10803</v>
      </c>
      <c r="BE143" s="1"/>
    </row>
    <row r="144" spans="1:57" x14ac:dyDescent="0.25">
      <c r="A144" s="1">
        <v>148</v>
      </c>
      <c r="B144" s="1" t="s">
        <v>3312</v>
      </c>
      <c r="C144" s="9" t="s">
        <v>143</v>
      </c>
      <c r="D144" s="1" t="s">
        <v>3313</v>
      </c>
      <c r="E144" s="1"/>
      <c r="F144" s="1"/>
      <c r="G144" s="1" t="s">
        <v>3314</v>
      </c>
      <c r="H144" s="1" t="s">
        <v>3315</v>
      </c>
      <c r="I144" s="1" t="s">
        <v>3316</v>
      </c>
      <c r="J144" s="1">
        <v>3</v>
      </c>
      <c r="K144" s="1">
        <v>5</v>
      </c>
      <c r="L144" s="1">
        <v>17520</v>
      </c>
      <c r="M144" s="1">
        <v>15</v>
      </c>
      <c r="N144" s="1">
        <v>30</v>
      </c>
      <c r="O144" s="1">
        <v>10</v>
      </c>
      <c r="P144" s="1">
        <v>15</v>
      </c>
      <c r="Q144" s="1">
        <v>5</v>
      </c>
      <c r="R144" s="1">
        <v>2</v>
      </c>
      <c r="S144" s="1">
        <v>5</v>
      </c>
      <c r="T144" s="1">
        <v>0</v>
      </c>
      <c r="U144" s="1">
        <v>100</v>
      </c>
      <c r="V144" s="1">
        <v>142</v>
      </c>
      <c r="W144" s="1">
        <v>90</v>
      </c>
      <c r="X144" s="1">
        <v>100</v>
      </c>
      <c r="Y144" s="1">
        <v>110</v>
      </c>
      <c r="Z144" s="1">
        <v>80</v>
      </c>
      <c r="AA144" s="1">
        <v>0</v>
      </c>
      <c r="AB144" s="1">
        <v>15</v>
      </c>
      <c r="AC144" s="1">
        <v>40</v>
      </c>
      <c r="AD144" s="1">
        <v>0</v>
      </c>
      <c r="AE144" s="1">
        <v>130</v>
      </c>
      <c r="AF144" s="1">
        <v>100</v>
      </c>
      <c r="AG144" s="1">
        <v>105705</v>
      </c>
      <c r="AH144" s="1">
        <v>0</v>
      </c>
      <c r="AI144" s="1">
        <v>301704</v>
      </c>
      <c r="AJ144" s="1" t="s">
        <v>1225</v>
      </c>
      <c r="AK144" s="1" t="s">
        <v>329</v>
      </c>
      <c r="AL144" s="1">
        <v>13</v>
      </c>
      <c r="AM144" s="1" t="s">
        <v>4822</v>
      </c>
      <c r="AN144" s="1" t="s">
        <v>465</v>
      </c>
      <c r="AO144" s="1" t="s">
        <v>4905</v>
      </c>
      <c r="AP144" s="1">
        <v>0</v>
      </c>
      <c r="AQ144" s="1" t="s">
        <v>1168</v>
      </c>
      <c r="AR144" s="1" t="s">
        <v>1169</v>
      </c>
      <c r="AS144" s="1" t="s">
        <v>1170</v>
      </c>
      <c r="AT144" s="1" t="s">
        <v>329</v>
      </c>
      <c r="AU144" s="1">
        <v>148</v>
      </c>
      <c r="AV144" s="1">
        <v>0</v>
      </c>
      <c r="AW144" s="1" t="s">
        <v>5112</v>
      </c>
      <c r="AX144" s="1" t="s">
        <v>332</v>
      </c>
      <c r="AY144" s="1">
        <v>5</v>
      </c>
      <c r="AZ144" s="1">
        <v>0</v>
      </c>
      <c r="BA144" s="1" t="s">
        <v>329</v>
      </c>
      <c r="BB144" s="1" t="s">
        <v>5113</v>
      </c>
      <c r="BC144" s="1" t="s">
        <v>329</v>
      </c>
      <c r="BD144" s="1">
        <v>10203</v>
      </c>
      <c r="BE144" s="1"/>
    </row>
    <row r="145" spans="1:57" x14ac:dyDescent="0.25">
      <c r="A145" s="1">
        <v>149</v>
      </c>
      <c r="B145" s="1" t="s">
        <v>3317</v>
      </c>
      <c r="C145" s="9" t="s">
        <v>1660</v>
      </c>
      <c r="D145" s="1" t="s">
        <v>1660</v>
      </c>
      <c r="E145" s="1"/>
      <c r="F145" s="1"/>
      <c r="G145" s="1" t="s">
        <v>3318</v>
      </c>
      <c r="H145" s="1" t="s">
        <v>3319</v>
      </c>
      <c r="I145" s="1" t="s">
        <v>3320</v>
      </c>
      <c r="J145" s="1">
        <v>5</v>
      </c>
      <c r="K145" s="1">
        <v>4</v>
      </c>
      <c r="L145" s="1">
        <v>22800</v>
      </c>
      <c r="M145" s="1">
        <v>40</v>
      </c>
      <c r="N145" s="1">
        <v>30</v>
      </c>
      <c r="O145" s="1">
        <v>25</v>
      </c>
      <c r="P145" s="1">
        <v>15</v>
      </c>
      <c r="Q145" s="1">
        <v>5</v>
      </c>
      <c r="R145" s="1">
        <v>5</v>
      </c>
      <c r="S145" s="1">
        <v>2</v>
      </c>
      <c r="T145" s="1">
        <v>5</v>
      </c>
      <c r="U145" s="1">
        <v>100</v>
      </c>
      <c r="V145" s="1">
        <v>115</v>
      </c>
      <c r="W145" s="1">
        <v>115</v>
      </c>
      <c r="X145" s="1">
        <v>100</v>
      </c>
      <c r="Y145" s="1">
        <v>125</v>
      </c>
      <c r="Z145" s="1">
        <v>120</v>
      </c>
      <c r="AA145" s="1">
        <v>0</v>
      </c>
      <c r="AB145" s="1">
        <v>15</v>
      </c>
      <c r="AC145" s="1">
        <v>5</v>
      </c>
      <c r="AD145" s="1">
        <v>10</v>
      </c>
      <c r="AE145" s="1">
        <v>110</v>
      </c>
      <c r="AF145" s="1">
        <v>100</v>
      </c>
      <c r="AG145" s="1">
        <v>105204</v>
      </c>
      <c r="AH145" s="1">
        <v>0</v>
      </c>
      <c r="AI145" s="1">
        <v>300105</v>
      </c>
      <c r="AJ145" s="1" t="s">
        <v>1194</v>
      </c>
      <c r="AK145" s="1" t="s">
        <v>329</v>
      </c>
      <c r="AL145" s="1">
        <v>18</v>
      </c>
      <c r="AM145" s="1" t="s">
        <v>4918</v>
      </c>
      <c r="AN145" s="1" t="s">
        <v>4991</v>
      </c>
      <c r="AO145" s="1" t="s">
        <v>5114</v>
      </c>
      <c r="AP145" s="1">
        <v>0</v>
      </c>
      <c r="AQ145" s="1" t="s">
        <v>1195</v>
      </c>
      <c r="AR145" s="1" t="s">
        <v>1196</v>
      </c>
      <c r="AS145" s="1" t="s">
        <v>1197</v>
      </c>
      <c r="AT145" s="1" t="s">
        <v>329</v>
      </c>
      <c r="AU145" s="1">
        <v>149</v>
      </c>
      <c r="AV145" s="1">
        <v>0</v>
      </c>
      <c r="AW145" s="1" t="s">
        <v>5112</v>
      </c>
      <c r="AX145" s="1" t="s">
        <v>332</v>
      </c>
      <c r="AY145" s="1">
        <v>4</v>
      </c>
      <c r="AZ145" s="1">
        <v>0</v>
      </c>
      <c r="BA145" s="1" t="s">
        <v>329</v>
      </c>
      <c r="BB145" s="1" t="s">
        <v>5115</v>
      </c>
      <c r="BC145" s="1" t="s">
        <v>4817</v>
      </c>
      <c r="BD145" s="1">
        <v>10202</v>
      </c>
      <c r="BE145" s="1"/>
    </row>
    <row r="146" spans="1:57" x14ac:dyDescent="0.25">
      <c r="A146" s="1">
        <v>150</v>
      </c>
      <c r="B146" s="1" t="s">
        <v>3321</v>
      </c>
      <c r="C146" s="9" t="s">
        <v>144</v>
      </c>
      <c r="D146" s="1" t="s">
        <v>144</v>
      </c>
      <c r="E146" s="1"/>
      <c r="F146" s="1"/>
      <c r="G146" s="1" t="s">
        <v>3322</v>
      </c>
      <c r="H146" s="1" t="s">
        <v>3323</v>
      </c>
      <c r="I146" s="1" t="s">
        <v>3324</v>
      </c>
      <c r="J146" s="1">
        <v>2</v>
      </c>
      <c r="K146" s="1">
        <v>4</v>
      </c>
      <c r="L146" s="1">
        <v>8280</v>
      </c>
      <c r="M146" s="1">
        <v>25</v>
      </c>
      <c r="N146" s="1">
        <v>20</v>
      </c>
      <c r="O146" s="1">
        <v>15</v>
      </c>
      <c r="P146" s="1">
        <v>10</v>
      </c>
      <c r="Q146" s="1">
        <v>5</v>
      </c>
      <c r="R146" s="1">
        <v>5</v>
      </c>
      <c r="S146" s="1">
        <v>2</v>
      </c>
      <c r="T146" s="1">
        <v>0</v>
      </c>
      <c r="U146" s="1">
        <v>95</v>
      </c>
      <c r="V146" s="1">
        <v>90</v>
      </c>
      <c r="W146" s="1">
        <v>120</v>
      </c>
      <c r="X146" s="1">
        <v>100</v>
      </c>
      <c r="Y146" s="1">
        <v>115</v>
      </c>
      <c r="Z146" s="1">
        <v>125</v>
      </c>
      <c r="AA146" s="1">
        <v>0</v>
      </c>
      <c r="AB146" s="1">
        <v>15</v>
      </c>
      <c r="AC146" s="1">
        <v>5</v>
      </c>
      <c r="AD146" s="1">
        <v>0</v>
      </c>
      <c r="AE146" s="1">
        <v>115</v>
      </c>
      <c r="AF146" s="1">
        <v>100</v>
      </c>
      <c r="AG146" s="1">
        <v>100203</v>
      </c>
      <c r="AH146" s="1">
        <v>0</v>
      </c>
      <c r="AI146" s="1">
        <v>300102</v>
      </c>
      <c r="AJ146" s="1" t="s">
        <v>1226</v>
      </c>
      <c r="AK146" s="1" t="s">
        <v>329</v>
      </c>
      <c r="AL146" s="1">
        <v>13</v>
      </c>
      <c r="AM146" s="1" t="s">
        <v>4850</v>
      </c>
      <c r="AN146" s="1" t="s">
        <v>389</v>
      </c>
      <c r="AO146" s="1" t="s">
        <v>5116</v>
      </c>
      <c r="AP146" s="1">
        <v>0</v>
      </c>
      <c r="AQ146" s="1" t="s">
        <v>1157</v>
      </c>
      <c r="AR146" s="1" t="s">
        <v>1147</v>
      </c>
      <c r="AS146" s="1" t="s">
        <v>1158</v>
      </c>
      <c r="AT146" s="1" t="s">
        <v>329</v>
      </c>
      <c r="AU146" s="1">
        <v>150</v>
      </c>
      <c r="AV146" s="1">
        <v>0</v>
      </c>
      <c r="AW146" s="1" t="s">
        <v>5112</v>
      </c>
      <c r="AX146" s="1" t="s">
        <v>332</v>
      </c>
      <c r="AY146" s="1">
        <v>4</v>
      </c>
      <c r="AZ146" s="1">
        <v>0</v>
      </c>
      <c r="BA146" s="1" t="s">
        <v>329</v>
      </c>
      <c r="BB146" s="1" t="s">
        <v>329</v>
      </c>
      <c r="BC146" s="1" t="s">
        <v>329</v>
      </c>
      <c r="BD146" s="1">
        <v>10302</v>
      </c>
      <c r="BE146" s="1"/>
    </row>
    <row r="147" spans="1:57" x14ac:dyDescent="0.25">
      <c r="A147" s="1">
        <v>151</v>
      </c>
      <c r="B147" s="1" t="s">
        <v>3325</v>
      </c>
      <c r="C147" s="9" t="s">
        <v>145</v>
      </c>
      <c r="D147" s="1" t="s">
        <v>145</v>
      </c>
      <c r="E147" s="1"/>
      <c r="F147" s="1"/>
      <c r="G147" s="1" t="s">
        <v>3326</v>
      </c>
      <c r="H147" s="1" t="s">
        <v>3327</v>
      </c>
      <c r="I147" s="1" t="s">
        <v>3328</v>
      </c>
      <c r="J147" s="1">
        <v>6</v>
      </c>
      <c r="K147" s="1">
        <v>5</v>
      </c>
      <c r="L147" s="1">
        <v>29100</v>
      </c>
      <c r="M147" s="1">
        <v>30</v>
      </c>
      <c r="N147" s="1">
        <v>40</v>
      </c>
      <c r="O147" s="1">
        <v>15</v>
      </c>
      <c r="P147" s="1">
        <v>25</v>
      </c>
      <c r="Q147" s="1">
        <v>5</v>
      </c>
      <c r="R147" s="1">
        <v>2</v>
      </c>
      <c r="S147" s="1">
        <v>5</v>
      </c>
      <c r="T147" s="1">
        <v>5</v>
      </c>
      <c r="U147" s="1">
        <v>125</v>
      </c>
      <c r="V147" s="1">
        <v>125</v>
      </c>
      <c r="W147" s="1">
        <v>80</v>
      </c>
      <c r="X147" s="1">
        <v>100</v>
      </c>
      <c r="Y147" s="1">
        <v>95</v>
      </c>
      <c r="Z147" s="1">
        <v>95</v>
      </c>
      <c r="AA147" s="1">
        <v>120</v>
      </c>
      <c r="AB147" s="1">
        <v>15</v>
      </c>
      <c r="AC147" s="1">
        <v>40</v>
      </c>
      <c r="AD147" s="1">
        <v>4</v>
      </c>
      <c r="AE147" s="1">
        <v>115</v>
      </c>
      <c r="AF147" s="1">
        <v>100</v>
      </c>
      <c r="AG147" s="1">
        <v>103201</v>
      </c>
      <c r="AH147" s="1">
        <v>0</v>
      </c>
      <c r="AI147" s="1">
        <v>300106</v>
      </c>
      <c r="AJ147" s="1" t="s">
        <v>1227</v>
      </c>
      <c r="AK147" s="1" t="s">
        <v>329</v>
      </c>
      <c r="AL147" s="1">
        <v>8</v>
      </c>
      <c r="AM147" s="1" t="s">
        <v>4776</v>
      </c>
      <c r="AN147" s="1" t="s">
        <v>477</v>
      </c>
      <c r="AO147" s="1" t="s">
        <v>5117</v>
      </c>
      <c r="AP147" s="1">
        <v>0</v>
      </c>
      <c r="AQ147" s="1" t="s">
        <v>1228</v>
      </c>
      <c r="AR147" s="1" t="s">
        <v>1229</v>
      </c>
      <c r="AS147" s="1" t="s">
        <v>1230</v>
      </c>
      <c r="AT147" s="1" t="s">
        <v>329</v>
      </c>
      <c r="AU147" s="1">
        <v>151</v>
      </c>
      <c r="AV147" s="1">
        <v>0</v>
      </c>
      <c r="AW147" s="1" t="s">
        <v>5103</v>
      </c>
      <c r="AX147" s="1" t="s">
        <v>5118</v>
      </c>
      <c r="AY147" s="1">
        <v>5</v>
      </c>
      <c r="AZ147" s="1">
        <v>0</v>
      </c>
      <c r="BA147" s="1" t="s">
        <v>329</v>
      </c>
      <c r="BB147" s="1" t="s">
        <v>329</v>
      </c>
      <c r="BC147" s="1" t="s">
        <v>4780</v>
      </c>
      <c r="BD147" s="1">
        <v>10202</v>
      </c>
      <c r="BE147" s="1"/>
    </row>
    <row r="148" spans="1:57" x14ac:dyDescent="0.25">
      <c r="A148" s="1">
        <v>152</v>
      </c>
      <c r="B148" s="1" t="s">
        <v>3329</v>
      </c>
      <c r="C148" s="9" t="s">
        <v>146</v>
      </c>
      <c r="D148" s="1" t="s">
        <v>146</v>
      </c>
      <c r="E148" s="1"/>
      <c r="F148" s="1"/>
      <c r="G148" s="1" t="s">
        <v>3330</v>
      </c>
      <c r="H148" s="1" t="s">
        <v>3331</v>
      </c>
      <c r="I148" s="1" t="s">
        <v>3332</v>
      </c>
      <c r="J148" s="1">
        <v>6</v>
      </c>
      <c r="K148" s="1">
        <v>3</v>
      </c>
      <c r="L148" s="1">
        <v>27000</v>
      </c>
      <c r="M148" s="1">
        <v>30</v>
      </c>
      <c r="N148" s="1">
        <v>40</v>
      </c>
      <c r="O148" s="1">
        <v>15</v>
      </c>
      <c r="P148" s="1">
        <v>25</v>
      </c>
      <c r="Q148" s="1">
        <v>5</v>
      </c>
      <c r="R148" s="1">
        <v>2</v>
      </c>
      <c r="S148" s="1">
        <v>5</v>
      </c>
      <c r="T148" s="1">
        <v>5</v>
      </c>
      <c r="U148" s="1">
        <v>115</v>
      </c>
      <c r="V148" s="1">
        <v>120</v>
      </c>
      <c r="W148" s="1">
        <v>100</v>
      </c>
      <c r="X148" s="1">
        <v>100</v>
      </c>
      <c r="Y148" s="1">
        <v>100</v>
      </c>
      <c r="Z148" s="1">
        <v>95</v>
      </c>
      <c r="AA148" s="1">
        <v>115</v>
      </c>
      <c r="AB148" s="1">
        <v>15</v>
      </c>
      <c r="AC148" s="1">
        <v>40</v>
      </c>
      <c r="AD148" s="1">
        <v>4</v>
      </c>
      <c r="AE148" s="1">
        <v>100</v>
      </c>
      <c r="AF148" s="1">
        <v>100</v>
      </c>
      <c r="AG148" s="1">
        <v>103202</v>
      </c>
      <c r="AH148" s="1">
        <v>0</v>
      </c>
      <c r="AI148" s="1">
        <v>300106</v>
      </c>
      <c r="AJ148" s="1" t="s">
        <v>1231</v>
      </c>
      <c r="AK148" s="1" t="s">
        <v>329</v>
      </c>
      <c r="AL148" s="1">
        <v>8</v>
      </c>
      <c r="AM148" s="1" t="s">
        <v>4776</v>
      </c>
      <c r="AN148" s="1" t="s">
        <v>335</v>
      </c>
      <c r="AO148" s="1" t="s">
        <v>5119</v>
      </c>
      <c r="AP148" s="1">
        <v>0</v>
      </c>
      <c r="AQ148" s="1" t="s">
        <v>1228</v>
      </c>
      <c r="AR148" s="1" t="s">
        <v>5120</v>
      </c>
      <c r="AS148" s="1" t="s">
        <v>1230</v>
      </c>
      <c r="AT148" s="1" t="s">
        <v>329</v>
      </c>
      <c r="AU148" s="1">
        <v>152</v>
      </c>
      <c r="AV148" s="1">
        <v>0</v>
      </c>
      <c r="AW148" s="1" t="s">
        <v>5121</v>
      </c>
      <c r="AX148" s="1" t="s">
        <v>4779</v>
      </c>
      <c r="AY148" s="1">
        <v>3</v>
      </c>
      <c r="AZ148" s="1">
        <v>0</v>
      </c>
      <c r="BA148" s="1" t="s">
        <v>4825</v>
      </c>
      <c r="BB148" s="1" t="s">
        <v>329</v>
      </c>
      <c r="BC148" s="1" t="s">
        <v>4780</v>
      </c>
      <c r="BD148" s="1">
        <v>10303</v>
      </c>
      <c r="BE148" s="1"/>
    </row>
    <row r="149" spans="1:57" x14ac:dyDescent="0.25">
      <c r="A149" s="1">
        <v>153</v>
      </c>
      <c r="B149" s="1" t="s">
        <v>3333</v>
      </c>
      <c r="C149" s="9" t="s">
        <v>147</v>
      </c>
      <c r="D149" s="1" t="s">
        <v>3334</v>
      </c>
      <c r="E149" s="1"/>
      <c r="F149" s="1"/>
      <c r="G149" s="1" t="s">
        <v>3335</v>
      </c>
      <c r="H149" s="1" t="s">
        <v>3336</v>
      </c>
      <c r="I149" s="1" t="s">
        <v>3337</v>
      </c>
      <c r="J149" s="1">
        <v>6</v>
      </c>
      <c r="K149" s="1">
        <v>4</v>
      </c>
      <c r="L149" s="1">
        <v>27900</v>
      </c>
      <c r="M149" s="1">
        <v>30</v>
      </c>
      <c r="N149" s="1">
        <v>40</v>
      </c>
      <c r="O149" s="1">
        <v>15</v>
      </c>
      <c r="P149" s="1">
        <v>25</v>
      </c>
      <c r="Q149" s="1">
        <v>5</v>
      </c>
      <c r="R149" s="1">
        <v>2</v>
      </c>
      <c r="S149" s="1">
        <v>5</v>
      </c>
      <c r="T149" s="1">
        <v>5</v>
      </c>
      <c r="U149" s="1">
        <v>115</v>
      </c>
      <c r="V149" s="1">
        <v>125</v>
      </c>
      <c r="W149" s="1">
        <v>105</v>
      </c>
      <c r="X149" s="1">
        <v>100</v>
      </c>
      <c r="Y149" s="1">
        <v>120</v>
      </c>
      <c r="Z149" s="1">
        <v>115</v>
      </c>
      <c r="AA149" s="1">
        <v>120</v>
      </c>
      <c r="AB149" s="1">
        <v>15</v>
      </c>
      <c r="AC149" s="1">
        <v>40</v>
      </c>
      <c r="AD149" s="1">
        <v>4</v>
      </c>
      <c r="AE149" s="1">
        <v>90</v>
      </c>
      <c r="AF149" s="1">
        <v>100</v>
      </c>
      <c r="AG149" s="1">
        <v>103203</v>
      </c>
      <c r="AH149" s="1">
        <v>0</v>
      </c>
      <c r="AI149" s="1">
        <v>300106</v>
      </c>
      <c r="AJ149" s="1" t="s">
        <v>1227</v>
      </c>
      <c r="AK149" s="1" t="s">
        <v>329</v>
      </c>
      <c r="AL149" s="1">
        <v>8</v>
      </c>
      <c r="AM149" s="1" t="s">
        <v>4776</v>
      </c>
      <c r="AN149" s="1" t="s">
        <v>399</v>
      </c>
      <c r="AO149" s="1" t="s">
        <v>4884</v>
      </c>
      <c r="AP149" s="1">
        <v>0</v>
      </c>
      <c r="AQ149" s="1" t="s">
        <v>1228</v>
      </c>
      <c r="AR149" s="1" t="s">
        <v>1229</v>
      </c>
      <c r="AS149" s="1" t="s">
        <v>1230</v>
      </c>
      <c r="AT149" s="1" t="s">
        <v>329</v>
      </c>
      <c r="AU149" s="1">
        <v>153</v>
      </c>
      <c r="AV149" s="1">
        <v>0</v>
      </c>
      <c r="AW149" s="1" t="s">
        <v>5097</v>
      </c>
      <c r="AX149" s="1" t="s">
        <v>4779</v>
      </c>
      <c r="AY149" s="1">
        <v>4</v>
      </c>
      <c r="AZ149" s="1">
        <v>0</v>
      </c>
      <c r="BA149" s="1" t="s">
        <v>329</v>
      </c>
      <c r="BB149" s="1" t="s">
        <v>329</v>
      </c>
      <c r="BC149" s="1" t="s">
        <v>4780</v>
      </c>
      <c r="BD149" s="1">
        <v>10702</v>
      </c>
      <c r="BE149" s="1"/>
    </row>
    <row r="150" spans="1:57" x14ac:dyDescent="0.25">
      <c r="A150" s="1">
        <v>154</v>
      </c>
      <c r="B150" s="1" t="s">
        <v>3338</v>
      </c>
      <c r="C150" s="9" t="s">
        <v>148</v>
      </c>
      <c r="D150" s="1" t="s">
        <v>148</v>
      </c>
      <c r="E150" s="1"/>
      <c r="F150" s="1"/>
      <c r="G150" s="1" t="s">
        <v>3339</v>
      </c>
      <c r="H150" s="1" t="s">
        <v>3340</v>
      </c>
      <c r="I150" s="1" t="s">
        <v>3341</v>
      </c>
      <c r="J150" s="1">
        <v>6</v>
      </c>
      <c r="K150" s="1">
        <v>3</v>
      </c>
      <c r="L150" s="1">
        <v>26400</v>
      </c>
      <c r="M150" s="1">
        <v>30</v>
      </c>
      <c r="N150" s="1">
        <v>40</v>
      </c>
      <c r="O150" s="1">
        <v>15</v>
      </c>
      <c r="P150" s="1">
        <v>25</v>
      </c>
      <c r="Q150" s="1">
        <v>5</v>
      </c>
      <c r="R150" s="1">
        <v>2</v>
      </c>
      <c r="S150" s="1">
        <v>5</v>
      </c>
      <c r="T150" s="1">
        <v>5</v>
      </c>
      <c r="U150" s="1">
        <v>120</v>
      </c>
      <c r="V150" s="1">
        <v>110</v>
      </c>
      <c r="W150" s="1">
        <v>115</v>
      </c>
      <c r="X150" s="1">
        <v>100</v>
      </c>
      <c r="Y150" s="1">
        <v>105</v>
      </c>
      <c r="Z150" s="1">
        <v>90</v>
      </c>
      <c r="AA150" s="1">
        <v>115</v>
      </c>
      <c r="AB150" s="1">
        <v>15</v>
      </c>
      <c r="AC150" s="1">
        <v>40</v>
      </c>
      <c r="AD150" s="1">
        <v>4</v>
      </c>
      <c r="AE150" s="1">
        <v>95</v>
      </c>
      <c r="AF150" s="1">
        <v>100</v>
      </c>
      <c r="AG150" s="1">
        <v>105302</v>
      </c>
      <c r="AH150" s="1">
        <v>0</v>
      </c>
      <c r="AI150" s="1">
        <v>300106</v>
      </c>
      <c r="AJ150" s="1" t="s">
        <v>1231</v>
      </c>
      <c r="AK150" s="1" t="s">
        <v>329</v>
      </c>
      <c r="AL150" s="1">
        <v>7</v>
      </c>
      <c r="AM150" s="1" t="s">
        <v>4776</v>
      </c>
      <c r="AN150" s="1" t="s">
        <v>471</v>
      </c>
      <c r="AO150" s="1" t="s">
        <v>4884</v>
      </c>
      <c r="AP150" s="1">
        <v>0</v>
      </c>
      <c r="AQ150" s="1" t="s">
        <v>1228</v>
      </c>
      <c r="AR150" s="1" t="s">
        <v>1229</v>
      </c>
      <c r="AS150" s="1" t="s">
        <v>5122</v>
      </c>
      <c r="AT150" s="1" t="s">
        <v>329</v>
      </c>
      <c r="AU150" s="1">
        <v>154</v>
      </c>
      <c r="AV150" s="1">
        <v>0</v>
      </c>
      <c r="AW150" s="1" t="s">
        <v>5097</v>
      </c>
      <c r="AX150" s="1" t="s">
        <v>4779</v>
      </c>
      <c r="AY150" s="1">
        <v>3</v>
      </c>
      <c r="AZ150" s="1">
        <v>0</v>
      </c>
      <c r="BA150" s="1" t="s">
        <v>4825</v>
      </c>
      <c r="BB150" s="1" t="s">
        <v>329</v>
      </c>
      <c r="BC150" s="1" t="s">
        <v>4780</v>
      </c>
      <c r="BD150" s="1">
        <v>10802</v>
      </c>
      <c r="BE150" s="1"/>
    </row>
    <row r="151" spans="1:57" x14ac:dyDescent="0.25">
      <c r="A151" s="1">
        <v>155</v>
      </c>
      <c r="B151" s="1" t="s">
        <v>3342</v>
      </c>
      <c r="C151" s="9" t="s">
        <v>149</v>
      </c>
      <c r="D151" s="1" t="s">
        <v>149</v>
      </c>
      <c r="E151" s="1"/>
      <c r="F151" s="1"/>
      <c r="G151" s="1" t="s">
        <v>3343</v>
      </c>
      <c r="H151" s="1" t="s">
        <v>3344</v>
      </c>
      <c r="I151" s="1" t="s">
        <v>3345</v>
      </c>
      <c r="J151" s="1">
        <v>6</v>
      </c>
      <c r="K151" s="1">
        <v>4</v>
      </c>
      <c r="L151" s="1">
        <v>27600</v>
      </c>
      <c r="M151" s="1">
        <v>30</v>
      </c>
      <c r="N151" s="1">
        <v>40</v>
      </c>
      <c r="O151" s="1">
        <v>15</v>
      </c>
      <c r="P151" s="1">
        <v>25</v>
      </c>
      <c r="Q151" s="1">
        <v>5</v>
      </c>
      <c r="R151" s="1">
        <v>2</v>
      </c>
      <c r="S151" s="1">
        <v>5</v>
      </c>
      <c r="T151" s="1">
        <v>5</v>
      </c>
      <c r="U151" s="1">
        <v>120</v>
      </c>
      <c r="V151" s="1">
        <v>115</v>
      </c>
      <c r="W151" s="1">
        <v>120</v>
      </c>
      <c r="X151" s="1">
        <v>100</v>
      </c>
      <c r="Y151" s="1">
        <v>105</v>
      </c>
      <c r="Z151" s="1">
        <v>90</v>
      </c>
      <c r="AA151" s="1">
        <v>120</v>
      </c>
      <c r="AB151" s="1">
        <v>15</v>
      </c>
      <c r="AC151" s="1">
        <v>40</v>
      </c>
      <c r="AD151" s="1">
        <v>4</v>
      </c>
      <c r="AE151" s="1">
        <v>95</v>
      </c>
      <c r="AF151" s="1">
        <v>100</v>
      </c>
      <c r="AG151" s="1">
        <v>105303</v>
      </c>
      <c r="AH151" s="1">
        <v>0</v>
      </c>
      <c r="AI151" s="1">
        <v>300106</v>
      </c>
      <c r="AJ151" s="1" t="s">
        <v>1227</v>
      </c>
      <c r="AK151" s="1" t="s">
        <v>329</v>
      </c>
      <c r="AL151" s="1">
        <v>9</v>
      </c>
      <c r="AM151" s="1" t="s">
        <v>4776</v>
      </c>
      <c r="AN151" s="1" t="s">
        <v>336</v>
      </c>
      <c r="AO151" s="1" t="s">
        <v>5083</v>
      </c>
      <c r="AP151" s="1">
        <v>0</v>
      </c>
      <c r="AQ151" s="1" t="s">
        <v>1228</v>
      </c>
      <c r="AR151" s="1" t="s">
        <v>1229</v>
      </c>
      <c r="AS151" s="1" t="s">
        <v>1230</v>
      </c>
      <c r="AT151" s="1" t="s">
        <v>329</v>
      </c>
      <c r="AU151" s="1">
        <v>155</v>
      </c>
      <c r="AV151" s="1">
        <v>0</v>
      </c>
      <c r="AW151" s="1" t="s">
        <v>5097</v>
      </c>
      <c r="AX151" s="1" t="s">
        <v>4779</v>
      </c>
      <c r="AY151" s="1">
        <v>4</v>
      </c>
      <c r="AZ151" s="1">
        <v>0</v>
      </c>
      <c r="BA151" s="1" t="s">
        <v>329</v>
      </c>
      <c r="BB151" s="1" t="s">
        <v>4819</v>
      </c>
      <c r="BC151" s="1" t="s">
        <v>4780</v>
      </c>
      <c r="BD151" s="1">
        <v>10402</v>
      </c>
      <c r="BE151" s="1"/>
    </row>
    <row r="152" spans="1:57" x14ac:dyDescent="0.25">
      <c r="A152" s="1">
        <v>156</v>
      </c>
      <c r="B152" s="1" t="s">
        <v>3346</v>
      </c>
      <c r="C152" s="9" t="s">
        <v>1661</v>
      </c>
      <c r="D152" s="1" t="s">
        <v>1661</v>
      </c>
      <c r="E152" s="1"/>
      <c r="F152" s="1"/>
      <c r="G152" s="1" t="s">
        <v>3347</v>
      </c>
      <c r="H152" s="1" t="s">
        <v>3348</v>
      </c>
      <c r="I152" s="1" t="s">
        <v>3349</v>
      </c>
      <c r="J152" s="1">
        <v>6</v>
      </c>
      <c r="K152" s="1">
        <v>4</v>
      </c>
      <c r="L152" s="1">
        <v>28200</v>
      </c>
      <c r="M152" s="1">
        <v>30</v>
      </c>
      <c r="N152" s="1">
        <v>40</v>
      </c>
      <c r="O152" s="1">
        <v>15</v>
      </c>
      <c r="P152" s="1">
        <v>25</v>
      </c>
      <c r="Q152" s="1">
        <v>5</v>
      </c>
      <c r="R152" s="1">
        <v>2</v>
      </c>
      <c r="S152" s="1">
        <v>5</v>
      </c>
      <c r="T152" s="1">
        <v>5</v>
      </c>
      <c r="U152" s="1">
        <v>110</v>
      </c>
      <c r="V152" s="1">
        <v>85</v>
      </c>
      <c r="W152" s="1">
        <v>110</v>
      </c>
      <c r="X152" s="1">
        <v>100</v>
      </c>
      <c r="Y152" s="1">
        <v>105</v>
      </c>
      <c r="Z152" s="1">
        <v>135</v>
      </c>
      <c r="AA152" s="1">
        <v>110</v>
      </c>
      <c r="AB152" s="1">
        <v>15</v>
      </c>
      <c r="AC152" s="1">
        <v>40</v>
      </c>
      <c r="AD152" s="1">
        <v>3</v>
      </c>
      <c r="AE152" s="1">
        <v>125</v>
      </c>
      <c r="AF152" s="1">
        <v>100</v>
      </c>
      <c r="AG152" s="1">
        <v>105403</v>
      </c>
      <c r="AH152" s="1">
        <v>0</v>
      </c>
      <c r="AI152" s="1">
        <v>300106</v>
      </c>
      <c r="AJ152" s="1" t="s">
        <v>1232</v>
      </c>
      <c r="AK152" s="1" t="s">
        <v>329</v>
      </c>
      <c r="AL152" s="1">
        <v>8</v>
      </c>
      <c r="AM152" s="1" t="s">
        <v>4776</v>
      </c>
      <c r="AN152" s="1" t="s">
        <v>477</v>
      </c>
      <c r="AO152" s="1" t="s">
        <v>5123</v>
      </c>
      <c r="AP152" s="1">
        <v>0</v>
      </c>
      <c r="AQ152" s="1" t="s">
        <v>1228</v>
      </c>
      <c r="AR152" s="1" t="s">
        <v>1229</v>
      </c>
      <c r="AS152" s="1" t="s">
        <v>1230</v>
      </c>
      <c r="AT152" s="1" t="s">
        <v>329</v>
      </c>
      <c r="AU152" s="1">
        <v>156</v>
      </c>
      <c r="AV152" s="1">
        <v>0</v>
      </c>
      <c r="AW152" s="1" t="s">
        <v>5121</v>
      </c>
      <c r="AX152" s="1" t="s">
        <v>4779</v>
      </c>
      <c r="AY152" s="1">
        <v>4</v>
      </c>
      <c r="AZ152" s="1">
        <v>0</v>
      </c>
      <c r="BA152" s="1" t="s">
        <v>329</v>
      </c>
      <c r="BB152" s="1" t="s">
        <v>5124</v>
      </c>
      <c r="BC152" s="1" t="s">
        <v>4780</v>
      </c>
      <c r="BD152" s="1">
        <v>10203</v>
      </c>
      <c r="BE152" s="1"/>
    </row>
    <row r="153" spans="1:57" x14ac:dyDescent="0.25">
      <c r="A153" s="1">
        <v>157</v>
      </c>
      <c r="B153" s="1" t="s">
        <v>3350</v>
      </c>
      <c r="C153" s="9" t="s">
        <v>1233</v>
      </c>
      <c r="D153" s="1" t="s">
        <v>1233</v>
      </c>
      <c r="E153" s="1"/>
      <c r="F153" s="1"/>
      <c r="G153" s="1" t="s">
        <v>3351</v>
      </c>
      <c r="H153" s="1" t="s">
        <v>3352</v>
      </c>
      <c r="I153" s="1" t="s">
        <v>3353</v>
      </c>
      <c r="J153" s="1">
        <v>6</v>
      </c>
      <c r="K153" s="1">
        <v>5</v>
      </c>
      <c r="L153" s="1">
        <v>28800</v>
      </c>
      <c r="M153" s="1">
        <v>30</v>
      </c>
      <c r="N153" s="1">
        <v>40</v>
      </c>
      <c r="O153" s="1">
        <v>15</v>
      </c>
      <c r="P153" s="1">
        <v>25</v>
      </c>
      <c r="Q153" s="1">
        <v>5</v>
      </c>
      <c r="R153" s="1">
        <v>2</v>
      </c>
      <c r="S153" s="1">
        <v>5</v>
      </c>
      <c r="T153" s="1">
        <v>5</v>
      </c>
      <c r="U153" s="1">
        <v>115</v>
      </c>
      <c r="V153" s="1">
        <v>100</v>
      </c>
      <c r="W153" s="1">
        <v>115</v>
      </c>
      <c r="X153" s="1">
        <v>100</v>
      </c>
      <c r="Y153" s="1">
        <v>115</v>
      </c>
      <c r="Z153" s="1">
        <v>110</v>
      </c>
      <c r="AA153" s="1">
        <v>130</v>
      </c>
      <c r="AB153" s="1">
        <v>15</v>
      </c>
      <c r="AC153" s="1">
        <v>40</v>
      </c>
      <c r="AD153" s="1">
        <v>5</v>
      </c>
      <c r="AE153" s="1">
        <v>100</v>
      </c>
      <c r="AF153" s="1">
        <v>100</v>
      </c>
      <c r="AG153" s="1">
        <v>105404</v>
      </c>
      <c r="AH153" s="1">
        <v>0</v>
      </c>
      <c r="AI153" s="1">
        <v>300106</v>
      </c>
      <c r="AJ153" s="1" t="s">
        <v>5125</v>
      </c>
      <c r="AK153" s="1" t="s">
        <v>329</v>
      </c>
      <c r="AL153" s="1">
        <v>8</v>
      </c>
      <c r="AM153" s="1" t="s">
        <v>4776</v>
      </c>
      <c r="AN153" s="1" t="s">
        <v>399</v>
      </c>
      <c r="AO153" s="1" t="s">
        <v>5000</v>
      </c>
      <c r="AP153" s="1">
        <v>0</v>
      </c>
      <c r="AQ153" s="1" t="s">
        <v>1228</v>
      </c>
      <c r="AR153" s="1" t="s">
        <v>1229</v>
      </c>
      <c r="AS153" s="1" t="s">
        <v>1230</v>
      </c>
      <c r="AT153" s="1" t="s">
        <v>329</v>
      </c>
      <c r="AU153" s="1">
        <v>157</v>
      </c>
      <c r="AV153" s="1">
        <v>0</v>
      </c>
      <c r="AW153" s="1" t="s">
        <v>5097</v>
      </c>
      <c r="AX153" s="1" t="s">
        <v>4779</v>
      </c>
      <c r="AY153" s="1">
        <v>5</v>
      </c>
      <c r="AZ153" s="1">
        <v>0</v>
      </c>
      <c r="BA153" s="1" t="s">
        <v>329</v>
      </c>
      <c r="BB153" s="1" t="s">
        <v>329</v>
      </c>
      <c r="BC153" s="1" t="s">
        <v>4780</v>
      </c>
      <c r="BD153" s="1">
        <v>10202</v>
      </c>
      <c r="BE153" s="1"/>
    </row>
    <row r="154" spans="1:57" x14ac:dyDescent="0.25">
      <c r="A154" s="1">
        <v>158</v>
      </c>
      <c r="B154" s="1" t="s">
        <v>3354</v>
      </c>
      <c r="C154" s="9" t="s">
        <v>723</v>
      </c>
      <c r="D154" s="1" t="s">
        <v>723</v>
      </c>
      <c r="E154" s="1"/>
      <c r="F154" s="1"/>
      <c r="G154" s="1" t="s">
        <v>3355</v>
      </c>
      <c r="H154" s="1" t="s">
        <v>3356</v>
      </c>
      <c r="I154" s="1" t="s">
        <v>3357</v>
      </c>
      <c r="J154" s="1">
        <v>6</v>
      </c>
      <c r="K154" s="1">
        <v>3</v>
      </c>
      <c r="L154" s="1">
        <v>26700</v>
      </c>
      <c r="M154" s="1">
        <v>30</v>
      </c>
      <c r="N154" s="1">
        <v>40</v>
      </c>
      <c r="O154" s="1">
        <v>15</v>
      </c>
      <c r="P154" s="1">
        <v>25</v>
      </c>
      <c r="Q154" s="1">
        <v>5</v>
      </c>
      <c r="R154" s="1">
        <v>2</v>
      </c>
      <c r="S154" s="1">
        <v>5</v>
      </c>
      <c r="T154" s="1">
        <v>5</v>
      </c>
      <c r="U154" s="1">
        <v>125</v>
      </c>
      <c r="V154" s="1">
        <v>150</v>
      </c>
      <c r="W154" s="1">
        <v>95</v>
      </c>
      <c r="X154" s="1">
        <v>100</v>
      </c>
      <c r="Y154" s="1">
        <v>85</v>
      </c>
      <c r="Z154" s="1">
        <v>90</v>
      </c>
      <c r="AA154" s="1">
        <v>115</v>
      </c>
      <c r="AB154" s="1">
        <v>15</v>
      </c>
      <c r="AC154" s="1">
        <v>40</v>
      </c>
      <c r="AD154" s="1">
        <v>3</v>
      </c>
      <c r="AE154" s="1">
        <v>90</v>
      </c>
      <c r="AF154" s="1">
        <v>100</v>
      </c>
      <c r="AG154" s="1">
        <v>100122</v>
      </c>
      <c r="AH154" s="1">
        <v>0</v>
      </c>
      <c r="AI154" s="1">
        <v>300106</v>
      </c>
      <c r="AJ154" s="1" t="s">
        <v>1234</v>
      </c>
      <c r="AK154" s="1" t="s">
        <v>329</v>
      </c>
      <c r="AL154" s="1">
        <v>7</v>
      </c>
      <c r="AM154" s="1" t="s">
        <v>4776</v>
      </c>
      <c r="AN154" s="1" t="s">
        <v>4822</v>
      </c>
      <c r="AO154" s="1" t="s">
        <v>5126</v>
      </c>
      <c r="AP154" s="1">
        <v>0</v>
      </c>
      <c r="AQ154" s="1" t="s">
        <v>1228</v>
      </c>
      <c r="AR154" s="1" t="s">
        <v>5120</v>
      </c>
      <c r="AS154" s="1" t="s">
        <v>1230</v>
      </c>
      <c r="AT154" s="1" t="s">
        <v>329</v>
      </c>
      <c r="AU154" s="1">
        <v>158</v>
      </c>
      <c r="AV154" s="1">
        <v>0</v>
      </c>
      <c r="AW154" s="1" t="s">
        <v>5097</v>
      </c>
      <c r="AX154" s="1" t="s">
        <v>4779</v>
      </c>
      <c r="AY154" s="1">
        <v>3</v>
      </c>
      <c r="AZ154" s="1">
        <v>0</v>
      </c>
      <c r="BA154" s="1" t="s">
        <v>329</v>
      </c>
      <c r="BB154" s="1" t="s">
        <v>329</v>
      </c>
      <c r="BC154" s="1" t="s">
        <v>4817</v>
      </c>
      <c r="BD154" s="1">
        <v>10402</v>
      </c>
      <c r="BE154" s="1"/>
    </row>
    <row r="155" spans="1:57" x14ac:dyDescent="0.25">
      <c r="A155" s="1">
        <v>159</v>
      </c>
      <c r="B155" s="1" t="s">
        <v>3358</v>
      </c>
      <c r="C155" s="9" t="s">
        <v>1662</v>
      </c>
      <c r="D155" s="1" t="s">
        <v>1662</v>
      </c>
      <c r="E155" s="1"/>
      <c r="F155" s="1"/>
      <c r="G155" s="1" t="s">
        <v>3359</v>
      </c>
      <c r="H155" s="1" t="s">
        <v>3360</v>
      </c>
      <c r="I155" s="1" t="s">
        <v>3361</v>
      </c>
      <c r="J155" s="1">
        <v>6</v>
      </c>
      <c r="K155" s="1">
        <v>3</v>
      </c>
      <c r="L155" s="1">
        <v>27000</v>
      </c>
      <c r="M155" s="1">
        <v>30</v>
      </c>
      <c r="N155" s="1">
        <v>40</v>
      </c>
      <c r="O155" s="1">
        <v>15</v>
      </c>
      <c r="P155" s="1">
        <v>25</v>
      </c>
      <c r="Q155" s="1">
        <v>5</v>
      </c>
      <c r="R155" s="1">
        <v>2</v>
      </c>
      <c r="S155" s="1">
        <v>5</v>
      </c>
      <c r="T155" s="1">
        <v>5</v>
      </c>
      <c r="U155" s="1">
        <v>110</v>
      </c>
      <c r="V155" s="1">
        <v>105</v>
      </c>
      <c r="W155" s="1">
        <v>110</v>
      </c>
      <c r="X155" s="1">
        <v>100</v>
      </c>
      <c r="Y155" s="1">
        <v>95</v>
      </c>
      <c r="Z155" s="1">
        <v>120</v>
      </c>
      <c r="AA155" s="1">
        <v>120</v>
      </c>
      <c r="AB155" s="1">
        <v>15</v>
      </c>
      <c r="AC155" s="1">
        <v>40</v>
      </c>
      <c r="AD155" s="1">
        <v>4</v>
      </c>
      <c r="AE155" s="1">
        <v>100</v>
      </c>
      <c r="AF155" s="1">
        <v>100</v>
      </c>
      <c r="AG155" s="1">
        <v>103202</v>
      </c>
      <c r="AH155" s="1">
        <v>0</v>
      </c>
      <c r="AI155" s="1">
        <v>300106</v>
      </c>
      <c r="AJ155" s="1" t="s">
        <v>1231</v>
      </c>
      <c r="AK155" s="1" t="s">
        <v>329</v>
      </c>
      <c r="AL155" s="1">
        <v>9</v>
      </c>
      <c r="AM155" s="1" t="s">
        <v>4776</v>
      </c>
      <c r="AN155" s="1" t="s">
        <v>4776</v>
      </c>
      <c r="AO155" s="1" t="s">
        <v>5126</v>
      </c>
      <c r="AP155" s="1">
        <v>0</v>
      </c>
      <c r="AQ155" s="1" t="s">
        <v>5127</v>
      </c>
      <c r="AR155" s="1" t="s">
        <v>1229</v>
      </c>
      <c r="AS155" s="1" t="s">
        <v>1230</v>
      </c>
      <c r="AT155" s="1" t="s">
        <v>329</v>
      </c>
      <c r="AU155" s="1">
        <v>159</v>
      </c>
      <c r="AV155" s="1">
        <v>0</v>
      </c>
      <c r="AW155" s="1" t="s">
        <v>5097</v>
      </c>
      <c r="AX155" s="1" t="s">
        <v>4779</v>
      </c>
      <c r="AY155" s="1">
        <v>3</v>
      </c>
      <c r="AZ155" s="1">
        <v>0</v>
      </c>
      <c r="BA155" s="1" t="s">
        <v>4825</v>
      </c>
      <c r="BB155" s="1" t="s">
        <v>329</v>
      </c>
      <c r="BC155" s="1" t="s">
        <v>4817</v>
      </c>
      <c r="BD155" s="1">
        <v>10704</v>
      </c>
      <c r="BE155" s="1"/>
    </row>
    <row r="156" spans="1:57" x14ac:dyDescent="0.25">
      <c r="A156" s="1">
        <v>160</v>
      </c>
      <c r="B156" s="1" t="s">
        <v>3362</v>
      </c>
      <c r="C156" s="9" t="s">
        <v>1663</v>
      </c>
      <c r="D156" s="1" t="s">
        <v>1663</v>
      </c>
      <c r="E156" s="1"/>
      <c r="F156" s="1"/>
      <c r="G156" s="1" t="s">
        <v>3363</v>
      </c>
      <c r="H156" s="1" t="s">
        <v>3364</v>
      </c>
      <c r="I156" s="1" t="s">
        <v>3365</v>
      </c>
      <c r="J156" s="1">
        <v>6</v>
      </c>
      <c r="K156" s="1">
        <v>5</v>
      </c>
      <c r="L156" s="1">
        <v>29100</v>
      </c>
      <c r="M156" s="1">
        <v>30</v>
      </c>
      <c r="N156" s="1">
        <v>40</v>
      </c>
      <c r="O156" s="1">
        <v>15</v>
      </c>
      <c r="P156" s="1">
        <v>25</v>
      </c>
      <c r="Q156" s="1">
        <v>5</v>
      </c>
      <c r="R156" s="1">
        <v>2</v>
      </c>
      <c r="S156" s="1">
        <v>5</v>
      </c>
      <c r="T156" s="1">
        <v>5</v>
      </c>
      <c r="U156" s="1">
        <v>120</v>
      </c>
      <c r="V156" s="1">
        <v>100</v>
      </c>
      <c r="W156" s="1">
        <v>135</v>
      </c>
      <c r="X156" s="1">
        <v>100</v>
      </c>
      <c r="Y156" s="1">
        <v>110</v>
      </c>
      <c r="Z156" s="1">
        <v>95</v>
      </c>
      <c r="AA156" s="1">
        <v>125</v>
      </c>
      <c r="AB156" s="1">
        <v>15</v>
      </c>
      <c r="AC156" s="1">
        <v>40</v>
      </c>
      <c r="AD156" s="1">
        <v>5</v>
      </c>
      <c r="AE156" s="1">
        <v>100</v>
      </c>
      <c r="AF156" s="1">
        <v>100</v>
      </c>
      <c r="AG156" s="1">
        <v>106004</v>
      </c>
      <c r="AH156" s="1">
        <v>0</v>
      </c>
      <c r="AI156" s="1">
        <v>300106</v>
      </c>
      <c r="AJ156" s="1" t="s">
        <v>1227</v>
      </c>
      <c r="AK156" s="1" t="s">
        <v>329</v>
      </c>
      <c r="AL156" s="1">
        <v>8</v>
      </c>
      <c r="AM156" s="1" t="s">
        <v>4776</v>
      </c>
      <c r="AN156" s="1" t="s">
        <v>4788</v>
      </c>
      <c r="AO156" s="1" t="s">
        <v>5128</v>
      </c>
      <c r="AP156" s="1">
        <v>0</v>
      </c>
      <c r="AQ156" s="1" t="s">
        <v>1228</v>
      </c>
      <c r="AR156" s="1" t="s">
        <v>1229</v>
      </c>
      <c r="AS156" s="1" t="s">
        <v>1230</v>
      </c>
      <c r="AT156" s="1" t="s">
        <v>329</v>
      </c>
      <c r="AU156" s="1">
        <v>160</v>
      </c>
      <c r="AV156" s="1">
        <v>0</v>
      </c>
      <c r="AW156" s="1" t="s">
        <v>5121</v>
      </c>
      <c r="AX156" s="1" t="s">
        <v>4779</v>
      </c>
      <c r="AY156" s="1">
        <v>5</v>
      </c>
      <c r="AZ156" s="1">
        <v>0</v>
      </c>
      <c r="BA156" s="1" t="s">
        <v>329</v>
      </c>
      <c r="BB156" s="1" t="s">
        <v>473</v>
      </c>
      <c r="BC156" s="1" t="s">
        <v>4817</v>
      </c>
      <c r="BD156" s="1">
        <v>10802</v>
      </c>
      <c r="BE156" s="1"/>
    </row>
    <row r="157" spans="1:57" x14ac:dyDescent="0.25">
      <c r="A157" s="1">
        <v>161</v>
      </c>
      <c r="B157" s="1" t="s">
        <v>3366</v>
      </c>
      <c r="C157" s="9" t="s">
        <v>150</v>
      </c>
      <c r="D157" s="1" t="s">
        <v>3367</v>
      </c>
      <c r="E157" s="1"/>
      <c r="F157" s="1"/>
      <c r="G157" s="1" t="s">
        <v>3368</v>
      </c>
      <c r="H157" s="1" t="s">
        <v>3369</v>
      </c>
      <c r="I157" s="1" t="s">
        <v>3370</v>
      </c>
      <c r="J157" s="1">
        <v>6</v>
      </c>
      <c r="K157" s="1">
        <v>4</v>
      </c>
      <c r="L157" s="1">
        <v>27000</v>
      </c>
      <c r="M157" s="1">
        <v>30</v>
      </c>
      <c r="N157" s="1">
        <v>40</v>
      </c>
      <c r="O157" s="1">
        <v>15</v>
      </c>
      <c r="P157" s="1">
        <v>25</v>
      </c>
      <c r="Q157" s="1">
        <v>5</v>
      </c>
      <c r="R157" s="1">
        <v>2</v>
      </c>
      <c r="S157" s="1">
        <v>5</v>
      </c>
      <c r="T157" s="1">
        <v>5</v>
      </c>
      <c r="U157" s="1">
        <v>120</v>
      </c>
      <c r="V157" s="1">
        <v>110</v>
      </c>
      <c r="W157" s="1">
        <v>105</v>
      </c>
      <c r="X157" s="1">
        <v>100</v>
      </c>
      <c r="Y157" s="1">
        <v>100</v>
      </c>
      <c r="Z157" s="1">
        <v>115</v>
      </c>
      <c r="AA157" s="1">
        <v>110</v>
      </c>
      <c r="AB157" s="1">
        <v>15</v>
      </c>
      <c r="AC157" s="1">
        <v>40</v>
      </c>
      <c r="AD157" s="1">
        <v>3</v>
      </c>
      <c r="AE157" s="1">
        <v>105</v>
      </c>
      <c r="AF157" s="1">
        <v>100</v>
      </c>
      <c r="AG157" s="1">
        <v>100122</v>
      </c>
      <c r="AH157" s="1">
        <v>0</v>
      </c>
      <c r="AI157" s="1">
        <v>300106</v>
      </c>
      <c r="AJ157" s="1" t="s">
        <v>1235</v>
      </c>
      <c r="AK157" s="1" t="s">
        <v>329</v>
      </c>
      <c r="AL157" s="1">
        <v>8</v>
      </c>
      <c r="AM157" s="1" t="s">
        <v>4776</v>
      </c>
      <c r="AN157" s="1" t="s">
        <v>4788</v>
      </c>
      <c r="AO157" s="1" t="s">
        <v>4856</v>
      </c>
      <c r="AP157" s="1">
        <v>0</v>
      </c>
      <c r="AQ157" s="1" t="s">
        <v>5127</v>
      </c>
      <c r="AR157" s="1" t="s">
        <v>1229</v>
      </c>
      <c r="AS157" s="1" t="s">
        <v>1230</v>
      </c>
      <c r="AT157" s="1" t="s">
        <v>329</v>
      </c>
      <c r="AU157" s="1">
        <v>161</v>
      </c>
      <c r="AV157" s="1">
        <v>0</v>
      </c>
      <c r="AW157" s="1" t="s">
        <v>5097</v>
      </c>
      <c r="AX157" s="1" t="s">
        <v>5129</v>
      </c>
      <c r="AY157" s="1">
        <v>4</v>
      </c>
      <c r="AZ157" s="1">
        <v>0</v>
      </c>
      <c r="BA157" s="1" t="s">
        <v>4803</v>
      </c>
      <c r="BB157" s="1" t="s">
        <v>5012</v>
      </c>
      <c r="BC157" s="1" t="s">
        <v>4843</v>
      </c>
      <c r="BD157" s="1">
        <v>10302</v>
      </c>
      <c r="BE157" s="1"/>
    </row>
    <row r="158" spans="1:57" x14ac:dyDescent="0.25">
      <c r="A158" s="1">
        <v>162</v>
      </c>
      <c r="B158" s="1" t="s">
        <v>3371</v>
      </c>
      <c r="C158" s="9" t="s">
        <v>1664</v>
      </c>
      <c r="D158" s="1" t="s">
        <v>1664</v>
      </c>
      <c r="E158" s="1"/>
      <c r="F158" s="1"/>
      <c r="G158" s="1" t="s">
        <v>3372</v>
      </c>
      <c r="H158" s="1" t="s">
        <v>3373</v>
      </c>
      <c r="I158" s="1" t="s">
        <v>3374</v>
      </c>
      <c r="J158" s="1">
        <v>6</v>
      </c>
      <c r="K158" s="1">
        <v>4</v>
      </c>
      <c r="L158" s="1">
        <v>27600</v>
      </c>
      <c r="M158" s="1">
        <v>30</v>
      </c>
      <c r="N158" s="1">
        <v>40</v>
      </c>
      <c r="O158" s="1">
        <v>15</v>
      </c>
      <c r="P158" s="1">
        <v>25</v>
      </c>
      <c r="Q158" s="1">
        <v>5</v>
      </c>
      <c r="R158" s="1">
        <v>2</v>
      </c>
      <c r="S158" s="1">
        <v>5</v>
      </c>
      <c r="T158" s="1">
        <v>5</v>
      </c>
      <c r="U158" s="1">
        <v>125</v>
      </c>
      <c r="V158" s="1">
        <v>120</v>
      </c>
      <c r="W158" s="1">
        <v>125</v>
      </c>
      <c r="X158" s="1">
        <v>100</v>
      </c>
      <c r="Y158" s="1">
        <v>110</v>
      </c>
      <c r="Z158" s="1">
        <v>85</v>
      </c>
      <c r="AA158" s="1">
        <v>115</v>
      </c>
      <c r="AB158" s="1">
        <v>15</v>
      </c>
      <c r="AC158" s="1">
        <v>40</v>
      </c>
      <c r="AD158" s="1">
        <v>4</v>
      </c>
      <c r="AE158" s="1">
        <v>90</v>
      </c>
      <c r="AF158" s="1">
        <v>100</v>
      </c>
      <c r="AG158" s="1">
        <v>100122</v>
      </c>
      <c r="AH158" s="1">
        <v>0</v>
      </c>
      <c r="AI158" s="1">
        <v>300106</v>
      </c>
      <c r="AJ158" s="1" t="s">
        <v>5130</v>
      </c>
      <c r="AK158" s="1" t="s">
        <v>329</v>
      </c>
      <c r="AL158" s="1">
        <v>8</v>
      </c>
      <c r="AM158" s="1" t="s">
        <v>4776</v>
      </c>
      <c r="AN158" s="1" t="s">
        <v>355</v>
      </c>
      <c r="AO158" s="1" t="s">
        <v>5000</v>
      </c>
      <c r="AP158" s="1">
        <v>0</v>
      </c>
      <c r="AQ158" s="1" t="s">
        <v>1228</v>
      </c>
      <c r="AR158" s="1" t="s">
        <v>1229</v>
      </c>
      <c r="AS158" s="1" t="s">
        <v>1230</v>
      </c>
      <c r="AT158" s="1" t="s">
        <v>329</v>
      </c>
      <c r="AU158" s="1">
        <v>162</v>
      </c>
      <c r="AV158" s="1">
        <v>0</v>
      </c>
      <c r="AW158" s="1" t="s">
        <v>5121</v>
      </c>
      <c r="AX158" s="1" t="s">
        <v>4779</v>
      </c>
      <c r="AY158" s="1">
        <v>4</v>
      </c>
      <c r="AZ158" s="1">
        <v>0</v>
      </c>
      <c r="BA158" s="1" t="s">
        <v>329</v>
      </c>
      <c r="BB158" s="1" t="s">
        <v>4776</v>
      </c>
      <c r="BC158" s="1" t="s">
        <v>4799</v>
      </c>
      <c r="BD158" s="1">
        <v>10402</v>
      </c>
      <c r="BE158" s="1"/>
    </row>
    <row r="159" spans="1:57" x14ac:dyDescent="0.25">
      <c r="A159" s="1">
        <v>163</v>
      </c>
      <c r="B159" s="1" t="s">
        <v>3375</v>
      </c>
      <c r="C159" s="9" t="s">
        <v>724</v>
      </c>
      <c r="D159" s="1" t="s">
        <v>724</v>
      </c>
      <c r="E159" s="1"/>
      <c r="F159" s="1"/>
      <c r="G159" s="1" t="s">
        <v>3376</v>
      </c>
      <c r="H159" s="1" t="s">
        <v>3377</v>
      </c>
      <c r="I159" s="1" t="s">
        <v>3378</v>
      </c>
      <c r="J159" s="1">
        <v>6</v>
      </c>
      <c r="K159" s="1">
        <v>5</v>
      </c>
      <c r="L159" s="1">
        <v>29520</v>
      </c>
      <c r="M159" s="1">
        <v>30</v>
      </c>
      <c r="N159" s="1">
        <v>40</v>
      </c>
      <c r="O159" s="1">
        <v>15</v>
      </c>
      <c r="P159" s="1">
        <v>25</v>
      </c>
      <c r="Q159" s="1">
        <v>5</v>
      </c>
      <c r="R159" s="1">
        <v>2</v>
      </c>
      <c r="S159" s="1">
        <v>5</v>
      </c>
      <c r="T159" s="1">
        <v>5</v>
      </c>
      <c r="U159" s="1">
        <v>122</v>
      </c>
      <c r="V159" s="1">
        <v>100</v>
      </c>
      <c r="W159" s="1">
        <v>150</v>
      </c>
      <c r="X159" s="1">
        <v>100</v>
      </c>
      <c r="Y159" s="1">
        <v>102</v>
      </c>
      <c r="Z159" s="1">
        <v>88</v>
      </c>
      <c r="AA159" s="1">
        <v>122</v>
      </c>
      <c r="AB159" s="1">
        <v>15</v>
      </c>
      <c r="AC159" s="1">
        <v>40</v>
      </c>
      <c r="AD159" s="1">
        <v>5</v>
      </c>
      <c r="AE159" s="1">
        <v>106</v>
      </c>
      <c r="AF159" s="1">
        <v>100</v>
      </c>
      <c r="AG159" s="1">
        <v>110018</v>
      </c>
      <c r="AH159" s="1">
        <v>0</v>
      </c>
      <c r="AI159" s="1">
        <v>110020</v>
      </c>
      <c r="AJ159" s="1" t="s">
        <v>1236</v>
      </c>
      <c r="AK159" s="1" t="s">
        <v>1237</v>
      </c>
      <c r="AL159" s="1">
        <v>8</v>
      </c>
      <c r="AM159" s="1" t="s">
        <v>4776</v>
      </c>
      <c r="AN159" s="1" t="s">
        <v>355</v>
      </c>
      <c r="AO159" s="1" t="s">
        <v>4974</v>
      </c>
      <c r="AP159" s="1">
        <v>0</v>
      </c>
      <c r="AQ159" s="1" t="s">
        <v>1228</v>
      </c>
      <c r="AR159" s="1" t="s">
        <v>5120</v>
      </c>
      <c r="AS159" s="1" t="s">
        <v>1230</v>
      </c>
      <c r="AT159" s="1" t="s">
        <v>329</v>
      </c>
      <c r="AU159" s="1">
        <v>163</v>
      </c>
      <c r="AV159" s="1">
        <v>0</v>
      </c>
      <c r="AW159" s="1" t="s">
        <v>5131</v>
      </c>
      <c r="AX159" s="1" t="s">
        <v>4779</v>
      </c>
      <c r="AY159" s="1">
        <v>5</v>
      </c>
      <c r="AZ159" s="1">
        <v>0</v>
      </c>
      <c r="BA159" s="1" t="s">
        <v>329</v>
      </c>
      <c r="BB159" s="1" t="s">
        <v>5128</v>
      </c>
      <c r="BC159" s="1" t="s">
        <v>4780</v>
      </c>
      <c r="BD159" s="1">
        <v>10402</v>
      </c>
      <c r="BE159" s="1"/>
    </row>
    <row r="160" spans="1:57" x14ac:dyDescent="0.25">
      <c r="A160" s="1">
        <v>164</v>
      </c>
      <c r="B160" s="1" t="s">
        <v>3379</v>
      </c>
      <c r="C160" s="9" t="s">
        <v>1665</v>
      </c>
      <c r="D160" s="1" t="s">
        <v>1665</v>
      </c>
      <c r="E160" s="1"/>
      <c r="F160" s="1"/>
      <c r="G160" s="1" t="s">
        <v>3380</v>
      </c>
      <c r="H160" s="1" t="s">
        <v>3381</v>
      </c>
      <c r="I160" s="1" t="s">
        <v>3382</v>
      </c>
      <c r="J160" s="1">
        <v>6</v>
      </c>
      <c r="K160" s="1">
        <v>5</v>
      </c>
      <c r="L160" s="1">
        <v>29160</v>
      </c>
      <c r="M160" s="1">
        <v>30</v>
      </c>
      <c r="N160" s="1">
        <v>40</v>
      </c>
      <c r="O160" s="1">
        <v>15</v>
      </c>
      <c r="P160" s="1">
        <v>25</v>
      </c>
      <c r="Q160" s="1">
        <v>5</v>
      </c>
      <c r="R160" s="1">
        <v>2</v>
      </c>
      <c r="S160" s="1">
        <v>5</v>
      </c>
      <c r="T160" s="1">
        <v>5</v>
      </c>
      <c r="U160" s="1">
        <v>118</v>
      </c>
      <c r="V160" s="1">
        <v>109</v>
      </c>
      <c r="W160" s="1">
        <v>110</v>
      </c>
      <c r="X160" s="1">
        <v>100</v>
      </c>
      <c r="Y160" s="1">
        <v>118</v>
      </c>
      <c r="Z160" s="1">
        <v>108</v>
      </c>
      <c r="AA160" s="1">
        <v>130</v>
      </c>
      <c r="AB160" s="1">
        <v>15</v>
      </c>
      <c r="AC160" s="1">
        <v>40</v>
      </c>
      <c r="AD160" s="1">
        <v>4</v>
      </c>
      <c r="AE160" s="1">
        <v>96</v>
      </c>
      <c r="AF160" s="1">
        <v>100</v>
      </c>
      <c r="AG160" s="1">
        <v>110022</v>
      </c>
      <c r="AH160" s="1">
        <v>0</v>
      </c>
      <c r="AI160" s="1">
        <v>300106</v>
      </c>
      <c r="AJ160" s="1" t="s">
        <v>5132</v>
      </c>
      <c r="AK160" s="1" t="s">
        <v>1238</v>
      </c>
      <c r="AL160" s="1">
        <v>7</v>
      </c>
      <c r="AM160" s="1" t="s">
        <v>4776</v>
      </c>
      <c r="AN160" s="1" t="s">
        <v>5133</v>
      </c>
      <c r="AO160" s="1" t="s">
        <v>5134</v>
      </c>
      <c r="AP160" s="1">
        <v>0</v>
      </c>
      <c r="AQ160" s="1" t="s">
        <v>1228</v>
      </c>
      <c r="AR160" s="1" t="s">
        <v>1229</v>
      </c>
      <c r="AS160" s="1" t="s">
        <v>1230</v>
      </c>
      <c r="AT160" s="1" t="s">
        <v>329</v>
      </c>
      <c r="AU160" s="1">
        <v>164</v>
      </c>
      <c r="AV160" s="1">
        <v>0</v>
      </c>
      <c r="AW160" s="1" t="s">
        <v>5131</v>
      </c>
      <c r="AX160" s="1" t="s">
        <v>4779</v>
      </c>
      <c r="AY160" s="1">
        <v>5</v>
      </c>
      <c r="AZ160" s="1">
        <v>0</v>
      </c>
      <c r="BA160" s="1" t="s">
        <v>329</v>
      </c>
      <c r="BB160" s="1" t="s">
        <v>5135</v>
      </c>
      <c r="BC160" s="1" t="s">
        <v>4799</v>
      </c>
      <c r="BD160" s="1">
        <v>10202</v>
      </c>
      <c r="BE160" s="1"/>
    </row>
    <row r="161" spans="1:57" x14ac:dyDescent="0.25">
      <c r="A161" s="1">
        <v>165</v>
      </c>
      <c r="B161" s="1" t="s">
        <v>3383</v>
      </c>
      <c r="C161" s="9" t="s">
        <v>151</v>
      </c>
      <c r="D161" s="1" t="s">
        <v>151</v>
      </c>
      <c r="E161" s="1"/>
      <c r="F161" s="1"/>
      <c r="G161" s="1" t="s">
        <v>3384</v>
      </c>
      <c r="H161" s="1" t="s">
        <v>3385</v>
      </c>
      <c r="I161" s="1" t="s">
        <v>3386</v>
      </c>
      <c r="J161" s="1">
        <v>6</v>
      </c>
      <c r="K161" s="1">
        <v>4</v>
      </c>
      <c r="L161" s="1">
        <v>26040</v>
      </c>
      <c r="M161" s="1">
        <v>30</v>
      </c>
      <c r="N161" s="1">
        <v>40</v>
      </c>
      <c r="O161" s="1">
        <v>15</v>
      </c>
      <c r="P161" s="1">
        <v>25</v>
      </c>
      <c r="Q161" s="1">
        <v>5</v>
      </c>
      <c r="R161" s="1">
        <v>2</v>
      </c>
      <c r="S161" s="1">
        <v>5</v>
      </c>
      <c r="T161" s="1">
        <v>5</v>
      </c>
      <c r="U161" s="1">
        <v>125</v>
      </c>
      <c r="V161" s="1">
        <v>105</v>
      </c>
      <c r="W161" s="1">
        <v>120</v>
      </c>
      <c r="X161" s="1">
        <v>100</v>
      </c>
      <c r="Y161" s="1">
        <v>105</v>
      </c>
      <c r="Z161" s="1">
        <v>95</v>
      </c>
      <c r="AA161" s="1">
        <v>115</v>
      </c>
      <c r="AB161" s="1">
        <v>15</v>
      </c>
      <c r="AC161" s="1">
        <v>40</v>
      </c>
      <c r="AD161" s="1">
        <v>4</v>
      </c>
      <c r="AE161" s="1">
        <v>105</v>
      </c>
      <c r="AF161" s="1">
        <v>100</v>
      </c>
      <c r="AG161" s="1">
        <v>110021</v>
      </c>
      <c r="AH161" s="1">
        <v>0</v>
      </c>
      <c r="AI161" s="1">
        <v>300106</v>
      </c>
      <c r="AJ161" s="1" t="s">
        <v>1227</v>
      </c>
      <c r="AK161" s="1" t="s">
        <v>329</v>
      </c>
      <c r="AL161" s="1">
        <v>9</v>
      </c>
      <c r="AM161" s="1" t="s">
        <v>4776</v>
      </c>
      <c r="AN161" s="1" t="s">
        <v>336</v>
      </c>
      <c r="AO161" s="1" t="s">
        <v>5000</v>
      </c>
      <c r="AP161" s="1">
        <v>0</v>
      </c>
      <c r="AQ161" s="1" t="s">
        <v>1228</v>
      </c>
      <c r="AR161" s="1" t="s">
        <v>1229</v>
      </c>
      <c r="AS161" s="1" t="s">
        <v>1230</v>
      </c>
      <c r="AT161" s="1" t="s">
        <v>329</v>
      </c>
      <c r="AU161" s="1">
        <v>165</v>
      </c>
      <c r="AV161" s="1">
        <v>0</v>
      </c>
      <c r="AW161" s="1" t="s">
        <v>5131</v>
      </c>
      <c r="AX161" s="1" t="s">
        <v>4779</v>
      </c>
      <c r="AY161" s="1">
        <v>4</v>
      </c>
      <c r="AZ161" s="1">
        <v>0</v>
      </c>
      <c r="BA161" s="1" t="s">
        <v>329</v>
      </c>
      <c r="BB161" s="1" t="s">
        <v>5136</v>
      </c>
      <c r="BC161" s="1" t="s">
        <v>4799</v>
      </c>
      <c r="BD161" s="1">
        <v>10704</v>
      </c>
      <c r="BE161" s="1"/>
    </row>
    <row r="162" spans="1:57" x14ac:dyDescent="0.25">
      <c r="A162" s="1">
        <v>166</v>
      </c>
      <c r="B162" s="1" t="s">
        <v>3387</v>
      </c>
      <c r="C162" s="9" t="s">
        <v>152</v>
      </c>
      <c r="D162" s="1" t="s">
        <v>152</v>
      </c>
      <c r="E162" s="1"/>
      <c r="F162" s="1"/>
      <c r="G162" s="1" t="s">
        <v>3388</v>
      </c>
      <c r="H162" s="1" t="s">
        <v>3389</v>
      </c>
      <c r="I162" s="1" t="s">
        <v>3390</v>
      </c>
      <c r="J162" s="1">
        <v>1</v>
      </c>
      <c r="K162" s="1">
        <v>5</v>
      </c>
      <c r="L162" s="1">
        <v>3900</v>
      </c>
      <c r="M162" s="1">
        <v>10</v>
      </c>
      <c r="N162" s="1">
        <v>10</v>
      </c>
      <c r="O162" s="1">
        <v>5</v>
      </c>
      <c r="P162" s="1">
        <v>5</v>
      </c>
      <c r="Q162" s="1">
        <v>2</v>
      </c>
      <c r="R162" s="1">
        <v>2</v>
      </c>
      <c r="S162" s="1">
        <v>2</v>
      </c>
      <c r="T162" s="1">
        <v>0</v>
      </c>
      <c r="U162" s="1">
        <v>100</v>
      </c>
      <c r="V162" s="1">
        <v>120</v>
      </c>
      <c r="W162" s="1">
        <v>120</v>
      </c>
      <c r="X162" s="1">
        <v>100</v>
      </c>
      <c r="Y162" s="1">
        <v>120</v>
      </c>
      <c r="Z162" s="1">
        <v>95</v>
      </c>
      <c r="AA162" s="1">
        <v>0</v>
      </c>
      <c r="AB162" s="1">
        <v>15</v>
      </c>
      <c r="AC162" s="1">
        <v>20</v>
      </c>
      <c r="AD162" s="1">
        <v>0</v>
      </c>
      <c r="AE162" s="1">
        <v>125</v>
      </c>
      <c r="AF162" s="1">
        <v>100</v>
      </c>
      <c r="AG162" s="1">
        <v>105805</v>
      </c>
      <c r="AH162" s="1">
        <v>0</v>
      </c>
      <c r="AI162" s="1">
        <v>300101</v>
      </c>
      <c r="AJ162" s="1" t="s">
        <v>329</v>
      </c>
      <c r="AK162" s="1" t="s">
        <v>329</v>
      </c>
      <c r="AL162" s="1">
        <v>13</v>
      </c>
      <c r="AM162" s="1" t="s">
        <v>1866</v>
      </c>
      <c r="AN162" s="1" t="s">
        <v>5018</v>
      </c>
      <c r="AO162" s="1" t="s">
        <v>5137</v>
      </c>
      <c r="AP162" s="1">
        <v>0</v>
      </c>
      <c r="AQ162" s="1" t="s">
        <v>1146</v>
      </c>
      <c r="AR162" s="1" t="s">
        <v>1147</v>
      </c>
      <c r="AS162" s="1" t="s">
        <v>1148</v>
      </c>
      <c r="AT162" s="1" t="s">
        <v>329</v>
      </c>
      <c r="AU162" s="1">
        <v>166</v>
      </c>
      <c r="AV162" s="1">
        <v>0</v>
      </c>
      <c r="AW162" s="1" t="s">
        <v>5138</v>
      </c>
      <c r="AX162" s="1" t="s">
        <v>5118</v>
      </c>
      <c r="AY162" s="1">
        <v>5</v>
      </c>
      <c r="AZ162" s="1">
        <v>0</v>
      </c>
      <c r="BA162" s="1" t="s">
        <v>329</v>
      </c>
      <c r="BB162" s="1" t="s">
        <v>5139</v>
      </c>
      <c r="BC162" s="1" t="s">
        <v>329</v>
      </c>
      <c r="BD162" s="1">
        <v>10401</v>
      </c>
      <c r="BE162" s="1"/>
    </row>
    <row r="163" spans="1:57" x14ac:dyDescent="0.25">
      <c r="A163" s="1">
        <v>167</v>
      </c>
      <c r="B163" s="1" t="s">
        <v>3391</v>
      </c>
      <c r="C163" s="9" t="s">
        <v>228</v>
      </c>
      <c r="D163" s="1" t="s">
        <v>228</v>
      </c>
      <c r="E163" s="1"/>
      <c r="F163" s="1"/>
      <c r="G163" s="1" t="s">
        <v>3392</v>
      </c>
      <c r="H163" s="1" t="s">
        <v>3393</v>
      </c>
      <c r="I163" s="1" t="s">
        <v>3394</v>
      </c>
      <c r="J163" s="1">
        <v>1</v>
      </c>
      <c r="K163" s="1">
        <v>3</v>
      </c>
      <c r="L163" s="1">
        <v>2400</v>
      </c>
      <c r="M163" s="1">
        <v>10</v>
      </c>
      <c r="N163" s="1">
        <v>10</v>
      </c>
      <c r="O163" s="1">
        <v>5</v>
      </c>
      <c r="P163" s="1">
        <v>5</v>
      </c>
      <c r="Q163" s="1">
        <v>2</v>
      </c>
      <c r="R163" s="1">
        <v>2</v>
      </c>
      <c r="S163" s="1">
        <v>2</v>
      </c>
      <c r="T163" s="1">
        <v>0</v>
      </c>
      <c r="U163" s="1">
        <v>100</v>
      </c>
      <c r="V163" s="1">
        <v>130</v>
      </c>
      <c r="W163" s="1">
        <v>105</v>
      </c>
      <c r="X163" s="1">
        <v>100</v>
      </c>
      <c r="Y163" s="1">
        <v>125</v>
      </c>
      <c r="Z163" s="1">
        <v>115</v>
      </c>
      <c r="AA163" s="1">
        <v>0</v>
      </c>
      <c r="AB163" s="1">
        <v>15</v>
      </c>
      <c r="AC163" s="1">
        <v>20</v>
      </c>
      <c r="AD163" s="1">
        <v>0</v>
      </c>
      <c r="AE163" s="1">
        <v>110</v>
      </c>
      <c r="AF163" s="1">
        <v>100</v>
      </c>
      <c r="AG163" s="1">
        <v>106101</v>
      </c>
      <c r="AH163" s="1">
        <v>0</v>
      </c>
      <c r="AI163" s="1">
        <v>300101</v>
      </c>
      <c r="AJ163" s="1" t="s">
        <v>1153</v>
      </c>
      <c r="AK163" s="1" t="s">
        <v>329</v>
      </c>
      <c r="AL163" s="1">
        <v>13</v>
      </c>
      <c r="AM163" s="1" t="s">
        <v>1866</v>
      </c>
      <c r="AN163" s="1" t="s">
        <v>4844</v>
      </c>
      <c r="AO163" s="1" t="s">
        <v>5140</v>
      </c>
      <c r="AP163" s="1">
        <v>0</v>
      </c>
      <c r="AQ163" s="1" t="s">
        <v>1146</v>
      </c>
      <c r="AR163" s="1" t="s">
        <v>1147</v>
      </c>
      <c r="AS163" s="1" t="s">
        <v>1148</v>
      </c>
      <c r="AT163" s="1" t="s">
        <v>329</v>
      </c>
      <c r="AU163" s="1">
        <v>167</v>
      </c>
      <c r="AV163" s="1">
        <v>0</v>
      </c>
      <c r="AW163" s="1" t="s">
        <v>5141</v>
      </c>
      <c r="AX163" s="1" t="s">
        <v>486</v>
      </c>
      <c r="AY163" s="1">
        <v>3</v>
      </c>
      <c r="AZ163" s="1">
        <v>0</v>
      </c>
      <c r="BA163" s="1" t="s">
        <v>329</v>
      </c>
      <c r="BB163" s="1" t="s">
        <v>329</v>
      </c>
      <c r="BC163" s="1" t="s">
        <v>4829</v>
      </c>
      <c r="BD163" s="1">
        <v>10803</v>
      </c>
      <c r="BE163" s="1"/>
    </row>
    <row r="164" spans="1:57" x14ac:dyDescent="0.25">
      <c r="A164" s="1">
        <v>168</v>
      </c>
      <c r="B164" s="1" t="s">
        <v>3395</v>
      </c>
      <c r="C164" s="9" t="s">
        <v>153</v>
      </c>
      <c r="D164" s="1" t="s">
        <v>153</v>
      </c>
      <c r="E164" s="1"/>
      <c r="F164" s="1"/>
      <c r="G164" s="1" t="s">
        <v>3396</v>
      </c>
      <c r="H164" s="1" t="s">
        <v>3397</v>
      </c>
      <c r="I164" s="1" t="s">
        <v>3398</v>
      </c>
      <c r="J164" s="1">
        <v>1</v>
      </c>
      <c r="K164" s="1">
        <v>4</v>
      </c>
      <c r="L164" s="1">
        <v>3120</v>
      </c>
      <c r="M164" s="1">
        <v>10</v>
      </c>
      <c r="N164" s="1">
        <v>10</v>
      </c>
      <c r="O164" s="1">
        <v>5</v>
      </c>
      <c r="P164" s="1">
        <v>5</v>
      </c>
      <c r="Q164" s="1">
        <v>2</v>
      </c>
      <c r="R164" s="1">
        <v>2</v>
      </c>
      <c r="S164" s="1">
        <v>2</v>
      </c>
      <c r="T164" s="1">
        <v>0</v>
      </c>
      <c r="U164" s="1">
        <v>105</v>
      </c>
      <c r="V164" s="1">
        <v>120</v>
      </c>
      <c r="W164" s="1">
        <v>110</v>
      </c>
      <c r="X164" s="1">
        <v>100</v>
      </c>
      <c r="Y164" s="1">
        <v>120</v>
      </c>
      <c r="Z164" s="1">
        <v>95</v>
      </c>
      <c r="AA164" s="1">
        <v>0</v>
      </c>
      <c r="AB164" s="1">
        <v>15</v>
      </c>
      <c r="AC164" s="1">
        <v>20</v>
      </c>
      <c r="AD164" s="1">
        <v>0</v>
      </c>
      <c r="AE164" s="1">
        <v>120</v>
      </c>
      <c r="AF164" s="1">
        <v>100</v>
      </c>
      <c r="AG164" s="1">
        <v>101602</v>
      </c>
      <c r="AH164" s="1">
        <v>0</v>
      </c>
      <c r="AI164" s="1">
        <v>300101</v>
      </c>
      <c r="AJ164" s="1" t="s">
        <v>5142</v>
      </c>
      <c r="AK164" s="1" t="s">
        <v>329</v>
      </c>
      <c r="AL164" s="1">
        <v>18</v>
      </c>
      <c r="AM164" s="1" t="s">
        <v>1866</v>
      </c>
      <c r="AN164" s="1" t="s">
        <v>5143</v>
      </c>
      <c r="AO164" s="1" t="s">
        <v>5123</v>
      </c>
      <c r="AP164" s="1">
        <v>0</v>
      </c>
      <c r="AQ164" s="1" t="s">
        <v>1146</v>
      </c>
      <c r="AR164" s="1" t="s">
        <v>1147</v>
      </c>
      <c r="AS164" s="1" t="s">
        <v>1148</v>
      </c>
      <c r="AT164" s="1" t="s">
        <v>329</v>
      </c>
      <c r="AU164" s="1">
        <v>168</v>
      </c>
      <c r="AV164" s="1">
        <v>0</v>
      </c>
      <c r="AW164" s="1" t="s">
        <v>5144</v>
      </c>
      <c r="AX164" s="1" t="s">
        <v>4822</v>
      </c>
      <c r="AY164" s="1">
        <v>4</v>
      </c>
      <c r="AZ164" s="1">
        <v>0</v>
      </c>
      <c r="BA164" s="1" t="s">
        <v>329</v>
      </c>
      <c r="BB164" s="1" t="s">
        <v>5145</v>
      </c>
      <c r="BC164" s="1" t="s">
        <v>329</v>
      </c>
      <c r="BD164" s="1">
        <v>10401</v>
      </c>
      <c r="BE164" s="1"/>
    </row>
    <row r="165" spans="1:57" x14ac:dyDescent="0.25">
      <c r="A165" s="1">
        <v>169</v>
      </c>
      <c r="B165" s="1" t="s">
        <v>3399</v>
      </c>
      <c r="C165" s="9" t="s">
        <v>751</v>
      </c>
      <c r="D165" s="1" t="s">
        <v>3400</v>
      </c>
      <c r="E165" s="1"/>
      <c r="F165" s="1"/>
      <c r="G165" s="1" t="s">
        <v>3401</v>
      </c>
      <c r="H165" s="1" t="s">
        <v>3402</v>
      </c>
      <c r="I165" s="1" t="s">
        <v>3403</v>
      </c>
      <c r="J165" s="1">
        <v>2</v>
      </c>
      <c r="K165" s="1">
        <v>3</v>
      </c>
      <c r="L165" s="1">
        <v>7200</v>
      </c>
      <c r="M165" s="1">
        <v>25</v>
      </c>
      <c r="N165" s="1">
        <v>20</v>
      </c>
      <c r="O165" s="1">
        <v>15</v>
      </c>
      <c r="P165" s="1">
        <v>10</v>
      </c>
      <c r="Q165" s="1">
        <v>5</v>
      </c>
      <c r="R165" s="1">
        <v>5</v>
      </c>
      <c r="S165" s="1">
        <v>2</v>
      </c>
      <c r="T165" s="1">
        <v>0</v>
      </c>
      <c r="U165" s="1">
        <v>95</v>
      </c>
      <c r="V165" s="1">
        <v>125</v>
      </c>
      <c r="W165" s="1">
        <v>120</v>
      </c>
      <c r="X165" s="1">
        <v>100</v>
      </c>
      <c r="Y165" s="1">
        <v>110</v>
      </c>
      <c r="Z165" s="1">
        <v>120</v>
      </c>
      <c r="AA165" s="1">
        <v>0</v>
      </c>
      <c r="AB165" s="1">
        <v>15</v>
      </c>
      <c r="AC165" s="1">
        <v>5</v>
      </c>
      <c r="AD165" s="1">
        <v>0</v>
      </c>
      <c r="AE165" s="1">
        <v>100</v>
      </c>
      <c r="AF165" s="1">
        <v>100</v>
      </c>
      <c r="AG165" s="1">
        <v>101903</v>
      </c>
      <c r="AH165" s="1">
        <v>0</v>
      </c>
      <c r="AI165" s="1">
        <v>300102</v>
      </c>
      <c r="AJ165" s="1" t="s">
        <v>1153</v>
      </c>
      <c r="AK165" s="1" t="s">
        <v>329</v>
      </c>
      <c r="AL165" s="1">
        <v>13</v>
      </c>
      <c r="AM165" s="1" t="s">
        <v>4850</v>
      </c>
      <c r="AN165" s="1" t="s">
        <v>4853</v>
      </c>
      <c r="AO165" s="1" t="s">
        <v>5146</v>
      </c>
      <c r="AP165" s="1">
        <v>0</v>
      </c>
      <c r="AQ165" s="1" t="s">
        <v>1157</v>
      </c>
      <c r="AR165" s="1" t="s">
        <v>1147</v>
      </c>
      <c r="AS165" s="1" t="s">
        <v>1774</v>
      </c>
      <c r="AT165" s="1" t="s">
        <v>329</v>
      </c>
      <c r="AU165" s="1">
        <v>169</v>
      </c>
      <c r="AV165" s="1">
        <v>0</v>
      </c>
      <c r="AW165" s="1" t="s">
        <v>5144</v>
      </c>
      <c r="AX165" s="1" t="s">
        <v>4979</v>
      </c>
      <c r="AY165" s="1">
        <v>3</v>
      </c>
      <c r="AZ165" s="1">
        <v>0</v>
      </c>
      <c r="BA165" s="1" t="s">
        <v>329</v>
      </c>
      <c r="BB165" s="1" t="s">
        <v>358</v>
      </c>
      <c r="BC165" s="1" t="s">
        <v>4780</v>
      </c>
      <c r="BD165" s="1">
        <v>10703</v>
      </c>
      <c r="BE165" s="1"/>
    </row>
    <row r="166" spans="1:57" x14ac:dyDescent="0.25">
      <c r="A166" s="1">
        <v>170</v>
      </c>
      <c r="B166" s="1" t="s">
        <v>3404</v>
      </c>
      <c r="C166" s="9" t="s">
        <v>5550</v>
      </c>
      <c r="D166" s="1" t="s">
        <v>3405</v>
      </c>
      <c r="E166" s="1"/>
      <c r="F166" s="1"/>
      <c r="G166" s="1" t="s">
        <v>3406</v>
      </c>
      <c r="H166" s="1" t="s">
        <v>3407</v>
      </c>
      <c r="I166" s="1" t="s">
        <v>3408</v>
      </c>
      <c r="J166" s="1">
        <v>4</v>
      </c>
      <c r="K166" s="1">
        <v>3</v>
      </c>
      <c r="L166" s="1">
        <v>12000</v>
      </c>
      <c r="M166" s="1">
        <v>20</v>
      </c>
      <c r="N166" s="1">
        <v>20</v>
      </c>
      <c r="O166" s="1">
        <v>10</v>
      </c>
      <c r="P166" s="1">
        <v>10</v>
      </c>
      <c r="Q166" s="1">
        <v>2</v>
      </c>
      <c r="R166" s="1">
        <v>5</v>
      </c>
      <c r="S166" s="1">
        <v>5</v>
      </c>
      <c r="T166" s="1">
        <v>0</v>
      </c>
      <c r="U166" s="1">
        <v>100</v>
      </c>
      <c r="V166" s="1">
        <v>135</v>
      </c>
      <c r="W166" s="1">
        <v>85</v>
      </c>
      <c r="X166" s="1">
        <v>100</v>
      </c>
      <c r="Y166" s="1">
        <v>90</v>
      </c>
      <c r="Z166" s="1">
        <v>80</v>
      </c>
      <c r="AA166" s="1">
        <v>0</v>
      </c>
      <c r="AB166" s="1">
        <v>15</v>
      </c>
      <c r="AC166" s="1">
        <v>20</v>
      </c>
      <c r="AD166" s="1">
        <v>0</v>
      </c>
      <c r="AE166" s="1">
        <v>130</v>
      </c>
      <c r="AF166" s="1">
        <v>100</v>
      </c>
      <c r="AG166" s="1">
        <v>105903</v>
      </c>
      <c r="AH166" s="1">
        <v>0</v>
      </c>
      <c r="AI166" s="1">
        <v>300103</v>
      </c>
      <c r="AJ166" s="1" t="s">
        <v>1153</v>
      </c>
      <c r="AK166" s="1" t="s">
        <v>329</v>
      </c>
      <c r="AL166" s="1">
        <v>13</v>
      </c>
      <c r="AM166" s="1" t="s">
        <v>4779</v>
      </c>
      <c r="AN166" s="1" t="s">
        <v>4894</v>
      </c>
      <c r="AO166" s="1" t="s">
        <v>5147</v>
      </c>
      <c r="AP166" s="1">
        <v>0</v>
      </c>
      <c r="AQ166" s="1" t="s">
        <v>1158</v>
      </c>
      <c r="AR166" s="1" t="s">
        <v>1182</v>
      </c>
      <c r="AS166" s="1" t="s">
        <v>1157</v>
      </c>
      <c r="AT166" s="1" t="s">
        <v>329</v>
      </c>
      <c r="AU166" s="1">
        <v>170</v>
      </c>
      <c r="AV166" s="1">
        <v>0</v>
      </c>
      <c r="AW166" s="1" t="s">
        <v>5148</v>
      </c>
      <c r="AX166" s="1" t="s">
        <v>486</v>
      </c>
      <c r="AY166" s="1">
        <v>3</v>
      </c>
      <c r="AZ166" s="1">
        <v>0</v>
      </c>
      <c r="BA166" s="1" t="s">
        <v>329</v>
      </c>
      <c r="BB166" s="1" t="s">
        <v>329</v>
      </c>
      <c r="BC166" s="1" t="s">
        <v>4817</v>
      </c>
      <c r="BD166" s="1">
        <v>10402</v>
      </c>
      <c r="BE166" s="1"/>
    </row>
    <row r="167" spans="1:57" x14ac:dyDescent="0.25">
      <c r="A167" s="1">
        <v>171</v>
      </c>
      <c r="B167" s="1" t="s">
        <v>3409</v>
      </c>
      <c r="C167" s="9" t="s">
        <v>229</v>
      </c>
      <c r="D167" s="1" t="s">
        <v>3410</v>
      </c>
      <c r="E167" s="1"/>
      <c r="F167" s="1"/>
      <c r="G167" s="1" t="s">
        <v>3411</v>
      </c>
      <c r="H167" s="1" t="s">
        <v>3412</v>
      </c>
      <c r="I167" s="1" t="s">
        <v>3413</v>
      </c>
      <c r="J167" s="1">
        <v>4</v>
      </c>
      <c r="K167" s="1">
        <v>4</v>
      </c>
      <c r="L167" s="1">
        <v>13200</v>
      </c>
      <c r="M167" s="1">
        <v>20</v>
      </c>
      <c r="N167" s="1">
        <v>20</v>
      </c>
      <c r="O167" s="1">
        <v>10</v>
      </c>
      <c r="P167" s="1">
        <v>10</v>
      </c>
      <c r="Q167" s="1">
        <v>2</v>
      </c>
      <c r="R167" s="1">
        <v>5</v>
      </c>
      <c r="S167" s="1">
        <v>5</v>
      </c>
      <c r="T167" s="1">
        <v>0</v>
      </c>
      <c r="U167" s="1">
        <v>100</v>
      </c>
      <c r="V167" s="1">
        <v>130</v>
      </c>
      <c r="W167" s="1">
        <v>90</v>
      </c>
      <c r="X167" s="1">
        <v>100</v>
      </c>
      <c r="Y167" s="1">
        <v>95</v>
      </c>
      <c r="Z167" s="1">
        <v>85</v>
      </c>
      <c r="AA167" s="1">
        <v>0</v>
      </c>
      <c r="AB167" s="1">
        <v>15</v>
      </c>
      <c r="AC167" s="1">
        <v>20</v>
      </c>
      <c r="AD167" s="1">
        <v>0</v>
      </c>
      <c r="AE167" s="1">
        <v>135</v>
      </c>
      <c r="AF167" s="1">
        <v>100</v>
      </c>
      <c r="AG167" s="1">
        <v>106203</v>
      </c>
      <c r="AH167" s="1">
        <v>0</v>
      </c>
      <c r="AI167" s="1">
        <v>300103</v>
      </c>
      <c r="AJ167" s="1" t="s">
        <v>1776</v>
      </c>
      <c r="AK167" s="1" t="s">
        <v>329</v>
      </c>
      <c r="AL167" s="1">
        <v>13</v>
      </c>
      <c r="AM167" s="1" t="s">
        <v>4850</v>
      </c>
      <c r="AN167" s="1" t="s">
        <v>465</v>
      </c>
      <c r="AO167" s="1" t="s">
        <v>5000</v>
      </c>
      <c r="AP167" s="1">
        <v>0</v>
      </c>
      <c r="AQ167" s="1" t="s">
        <v>1774</v>
      </c>
      <c r="AR167" s="1" t="s">
        <v>1182</v>
      </c>
      <c r="AS167" s="1" t="s">
        <v>1157</v>
      </c>
      <c r="AT167" s="1" t="s">
        <v>329</v>
      </c>
      <c r="AU167" s="1">
        <v>171</v>
      </c>
      <c r="AV167" s="1">
        <v>0</v>
      </c>
      <c r="AW167" s="1" t="s">
        <v>5144</v>
      </c>
      <c r="AX167" s="1" t="s">
        <v>332</v>
      </c>
      <c r="AY167" s="1">
        <v>4</v>
      </c>
      <c r="AZ167" s="1">
        <v>0</v>
      </c>
      <c r="BA167" s="1" t="s">
        <v>4803</v>
      </c>
      <c r="BB167" s="1" t="s">
        <v>5149</v>
      </c>
      <c r="BC167" s="1" t="s">
        <v>329</v>
      </c>
      <c r="BD167" s="1">
        <v>10702</v>
      </c>
      <c r="BE167" s="1"/>
    </row>
    <row r="168" spans="1:57" x14ac:dyDescent="0.25">
      <c r="A168" s="1">
        <v>172</v>
      </c>
      <c r="B168" s="1" t="s">
        <v>3414</v>
      </c>
      <c r="C168" s="9" t="s">
        <v>230</v>
      </c>
      <c r="D168" s="1" t="s">
        <v>230</v>
      </c>
      <c r="E168" s="1"/>
      <c r="F168" s="1"/>
      <c r="G168" s="1" t="s">
        <v>3415</v>
      </c>
      <c r="H168" s="1" t="s">
        <v>3416</v>
      </c>
      <c r="I168" s="1" t="s">
        <v>3417</v>
      </c>
      <c r="J168" s="1">
        <v>4</v>
      </c>
      <c r="K168" s="1">
        <v>5</v>
      </c>
      <c r="L168" s="1">
        <v>14280</v>
      </c>
      <c r="M168" s="1">
        <v>20</v>
      </c>
      <c r="N168" s="1">
        <v>20</v>
      </c>
      <c r="O168" s="1">
        <v>10</v>
      </c>
      <c r="P168" s="1">
        <v>10</v>
      </c>
      <c r="Q168" s="1">
        <v>2</v>
      </c>
      <c r="R168" s="1">
        <v>5</v>
      </c>
      <c r="S168" s="1">
        <v>5</v>
      </c>
      <c r="T168" s="1">
        <v>0</v>
      </c>
      <c r="U168" s="1">
        <v>95</v>
      </c>
      <c r="V168" s="1">
        <v>135</v>
      </c>
      <c r="W168" s="1">
        <v>75</v>
      </c>
      <c r="X168" s="1">
        <v>100</v>
      </c>
      <c r="Y168" s="1">
        <v>140</v>
      </c>
      <c r="Z168" s="1">
        <v>100</v>
      </c>
      <c r="AA168" s="1">
        <v>0</v>
      </c>
      <c r="AB168" s="1">
        <v>15</v>
      </c>
      <c r="AC168" s="1">
        <v>30</v>
      </c>
      <c r="AD168" s="1">
        <v>0</v>
      </c>
      <c r="AE168" s="1">
        <v>145</v>
      </c>
      <c r="AF168" s="1">
        <v>100</v>
      </c>
      <c r="AG168" s="1">
        <v>106404</v>
      </c>
      <c r="AH168" s="1">
        <v>0</v>
      </c>
      <c r="AI168" s="1">
        <v>300802</v>
      </c>
      <c r="AJ168" s="1" t="s">
        <v>1239</v>
      </c>
      <c r="AK168" s="1" t="s">
        <v>329</v>
      </c>
      <c r="AL168" s="1">
        <v>13</v>
      </c>
      <c r="AM168" s="1" t="s">
        <v>4779</v>
      </c>
      <c r="AN168" s="1" t="s">
        <v>4924</v>
      </c>
      <c r="AO168" s="1" t="s">
        <v>5150</v>
      </c>
      <c r="AP168" s="1">
        <v>0</v>
      </c>
      <c r="AQ168" s="1" t="s">
        <v>1774</v>
      </c>
      <c r="AR168" s="1" t="s">
        <v>1182</v>
      </c>
      <c r="AS168" s="1" t="s">
        <v>1157</v>
      </c>
      <c r="AT168" s="1" t="s">
        <v>329</v>
      </c>
      <c r="AU168" s="1">
        <v>172</v>
      </c>
      <c r="AV168" s="1">
        <v>0</v>
      </c>
      <c r="AW168" s="1" t="s">
        <v>5144</v>
      </c>
      <c r="AX168" s="1" t="s">
        <v>332</v>
      </c>
      <c r="AY168" s="1">
        <v>5</v>
      </c>
      <c r="AZ168" s="1">
        <v>0</v>
      </c>
      <c r="BA168" s="1" t="s">
        <v>329</v>
      </c>
      <c r="BB168" s="1" t="s">
        <v>5151</v>
      </c>
      <c r="BC168" s="1" t="s">
        <v>4780</v>
      </c>
      <c r="BD168" s="1">
        <v>10802</v>
      </c>
      <c r="BE168" s="1"/>
    </row>
    <row r="169" spans="1:57" x14ac:dyDescent="0.25">
      <c r="A169" s="1">
        <v>173</v>
      </c>
      <c r="B169" s="1" t="s">
        <v>3418</v>
      </c>
      <c r="C169" s="9" t="s">
        <v>154</v>
      </c>
      <c r="D169" s="1" t="s">
        <v>154</v>
      </c>
      <c r="E169" s="1"/>
      <c r="F169" s="1"/>
      <c r="G169" s="1" t="s">
        <v>3419</v>
      </c>
      <c r="H169" s="1" t="s">
        <v>3420</v>
      </c>
      <c r="I169" s="1" t="s">
        <v>3421</v>
      </c>
      <c r="J169" s="1">
        <v>5</v>
      </c>
      <c r="K169" s="1">
        <v>5</v>
      </c>
      <c r="L169" s="1">
        <v>24600</v>
      </c>
      <c r="M169" s="1">
        <v>40</v>
      </c>
      <c r="N169" s="1">
        <v>30</v>
      </c>
      <c r="O169" s="1">
        <v>25</v>
      </c>
      <c r="P169" s="1">
        <v>15</v>
      </c>
      <c r="Q169" s="1">
        <v>5</v>
      </c>
      <c r="R169" s="1">
        <v>5</v>
      </c>
      <c r="S169" s="1">
        <v>2</v>
      </c>
      <c r="T169" s="1">
        <v>5</v>
      </c>
      <c r="U169" s="1">
        <v>100</v>
      </c>
      <c r="V169" s="1">
        <v>120</v>
      </c>
      <c r="W169" s="1">
        <v>120</v>
      </c>
      <c r="X169" s="1">
        <v>100</v>
      </c>
      <c r="Y169" s="1">
        <v>130</v>
      </c>
      <c r="Z169" s="1">
        <v>120</v>
      </c>
      <c r="AA169" s="1">
        <v>0</v>
      </c>
      <c r="AB169" s="1">
        <v>15</v>
      </c>
      <c r="AC169" s="1">
        <v>5</v>
      </c>
      <c r="AD169" s="1">
        <v>10</v>
      </c>
      <c r="AE169" s="1">
        <v>115</v>
      </c>
      <c r="AF169" s="1">
        <v>100</v>
      </c>
      <c r="AG169" s="1">
        <v>106304</v>
      </c>
      <c r="AH169" s="1">
        <v>0</v>
      </c>
      <c r="AI169" s="1">
        <v>106304</v>
      </c>
      <c r="AJ169" s="1" t="s">
        <v>5152</v>
      </c>
      <c r="AK169" s="1" t="s">
        <v>329</v>
      </c>
      <c r="AL169" s="1">
        <v>17</v>
      </c>
      <c r="AM169" s="1" t="s">
        <v>4918</v>
      </c>
      <c r="AN169" s="1" t="s">
        <v>5153</v>
      </c>
      <c r="AO169" s="1" t="s">
        <v>5154</v>
      </c>
      <c r="AP169" s="1">
        <v>0</v>
      </c>
      <c r="AQ169" s="1" t="s">
        <v>1195</v>
      </c>
      <c r="AR169" s="1" t="s">
        <v>1196</v>
      </c>
      <c r="AS169" s="1" t="s">
        <v>1197</v>
      </c>
      <c r="AT169" s="1" t="s">
        <v>329</v>
      </c>
      <c r="AU169" s="1">
        <v>173</v>
      </c>
      <c r="AV169" s="1">
        <v>0</v>
      </c>
      <c r="AW169" s="1" t="s">
        <v>5144</v>
      </c>
      <c r="AX169" s="1" t="s">
        <v>332</v>
      </c>
      <c r="AY169" s="1">
        <v>5</v>
      </c>
      <c r="AZ169" s="1">
        <v>0</v>
      </c>
      <c r="BA169" s="1" t="s">
        <v>329</v>
      </c>
      <c r="BB169" s="1" t="s">
        <v>5155</v>
      </c>
      <c r="BC169" s="1" t="s">
        <v>4817</v>
      </c>
      <c r="BD169" s="1">
        <v>10402</v>
      </c>
      <c r="BE169" s="1"/>
    </row>
    <row r="170" spans="1:57" x14ac:dyDescent="0.25">
      <c r="A170" s="1">
        <v>174</v>
      </c>
      <c r="B170" s="1" t="s">
        <v>3422</v>
      </c>
      <c r="C170" s="9" t="s">
        <v>1631</v>
      </c>
      <c r="D170" s="1" t="s">
        <v>3423</v>
      </c>
      <c r="E170" s="1"/>
      <c r="F170" s="1"/>
      <c r="G170" s="1" t="s">
        <v>3424</v>
      </c>
      <c r="H170" s="1" t="s">
        <v>3425</v>
      </c>
      <c r="I170" s="1" t="s">
        <v>3426</v>
      </c>
      <c r="J170" s="1">
        <v>3</v>
      </c>
      <c r="K170" s="1">
        <v>3</v>
      </c>
      <c r="L170" s="1">
        <v>13800</v>
      </c>
      <c r="M170" s="1">
        <v>15</v>
      </c>
      <c r="N170" s="1">
        <v>30</v>
      </c>
      <c r="O170" s="1">
        <v>10</v>
      </c>
      <c r="P170" s="1">
        <v>15</v>
      </c>
      <c r="Q170" s="1">
        <v>5</v>
      </c>
      <c r="R170" s="1">
        <v>2</v>
      </c>
      <c r="S170" s="1">
        <v>5</v>
      </c>
      <c r="T170" s="1">
        <v>0</v>
      </c>
      <c r="U170" s="1">
        <v>85</v>
      </c>
      <c r="V170" s="1">
        <v>110</v>
      </c>
      <c r="W170" s="1">
        <v>90</v>
      </c>
      <c r="X170" s="1">
        <v>100</v>
      </c>
      <c r="Y170" s="1">
        <v>115</v>
      </c>
      <c r="Z170" s="1">
        <v>120</v>
      </c>
      <c r="AA170" s="1">
        <v>0</v>
      </c>
      <c r="AB170" s="1">
        <v>15</v>
      </c>
      <c r="AC170" s="1">
        <v>40</v>
      </c>
      <c r="AD170" s="1">
        <v>0</v>
      </c>
      <c r="AE170" s="1">
        <v>125</v>
      </c>
      <c r="AF170" s="1">
        <v>100</v>
      </c>
      <c r="AG170" s="1">
        <v>100412</v>
      </c>
      <c r="AH170" s="1">
        <v>0</v>
      </c>
      <c r="AI170" s="1">
        <v>300104</v>
      </c>
      <c r="AJ170" s="1" t="s">
        <v>1153</v>
      </c>
      <c r="AK170" s="1" t="s">
        <v>329</v>
      </c>
      <c r="AL170" s="1">
        <v>13</v>
      </c>
      <c r="AM170" s="1" t="s">
        <v>4822</v>
      </c>
      <c r="AN170" s="1" t="s">
        <v>4891</v>
      </c>
      <c r="AO170" s="1" t="s">
        <v>4886</v>
      </c>
      <c r="AP170" s="1">
        <v>0</v>
      </c>
      <c r="AQ170" s="1" t="s">
        <v>1168</v>
      </c>
      <c r="AR170" s="1" t="s">
        <v>1169</v>
      </c>
      <c r="AS170" s="1" t="s">
        <v>1170</v>
      </c>
      <c r="AT170" s="1" t="s">
        <v>329</v>
      </c>
      <c r="AU170" s="1">
        <v>174</v>
      </c>
      <c r="AV170" s="1">
        <v>0</v>
      </c>
      <c r="AW170" s="1" t="s">
        <v>5156</v>
      </c>
      <c r="AX170" s="1" t="s">
        <v>486</v>
      </c>
      <c r="AY170" s="1">
        <v>3</v>
      </c>
      <c r="AZ170" s="1">
        <v>0</v>
      </c>
      <c r="BA170" s="1" t="s">
        <v>329</v>
      </c>
      <c r="BB170" s="1" t="s">
        <v>5012</v>
      </c>
      <c r="BC170" s="1" t="s">
        <v>4843</v>
      </c>
      <c r="BD170" s="1">
        <v>10701</v>
      </c>
      <c r="BE170" s="1"/>
    </row>
    <row r="171" spans="1:57" x14ac:dyDescent="0.25">
      <c r="A171" s="1">
        <v>175</v>
      </c>
      <c r="B171" s="1" t="s">
        <v>3427</v>
      </c>
      <c r="C171" s="9" t="s">
        <v>155</v>
      </c>
      <c r="D171" s="1" t="s">
        <v>155</v>
      </c>
      <c r="E171" s="1"/>
      <c r="F171" s="1"/>
      <c r="G171" s="1" t="s">
        <v>3428</v>
      </c>
      <c r="H171" s="1" t="s">
        <v>3429</v>
      </c>
      <c r="I171" s="1" t="s">
        <v>3430</v>
      </c>
      <c r="J171" s="1">
        <v>4</v>
      </c>
      <c r="K171" s="1">
        <v>5</v>
      </c>
      <c r="L171" s="1">
        <v>14100</v>
      </c>
      <c r="M171" s="1">
        <v>20</v>
      </c>
      <c r="N171" s="1">
        <v>20</v>
      </c>
      <c r="O171" s="1">
        <v>10</v>
      </c>
      <c r="P171" s="1">
        <v>10</v>
      </c>
      <c r="Q171" s="1">
        <v>2</v>
      </c>
      <c r="R171" s="1">
        <v>5</v>
      </c>
      <c r="S171" s="1">
        <v>5</v>
      </c>
      <c r="T171" s="1">
        <v>0</v>
      </c>
      <c r="U171" s="1">
        <v>105</v>
      </c>
      <c r="V171" s="1">
        <v>110</v>
      </c>
      <c r="W171" s="1">
        <v>100</v>
      </c>
      <c r="X171" s="1">
        <v>100</v>
      </c>
      <c r="Y171" s="1">
        <v>120</v>
      </c>
      <c r="Z171" s="1">
        <v>110</v>
      </c>
      <c r="AA171" s="1">
        <v>0</v>
      </c>
      <c r="AB171" s="1">
        <v>15</v>
      </c>
      <c r="AC171" s="1">
        <v>20</v>
      </c>
      <c r="AD171" s="1">
        <v>0</v>
      </c>
      <c r="AE171" s="1">
        <v>130</v>
      </c>
      <c r="AF171" s="1">
        <v>100</v>
      </c>
      <c r="AG171" s="1">
        <v>101704</v>
      </c>
      <c r="AH171" s="1">
        <v>0</v>
      </c>
      <c r="AI171" s="1">
        <v>300103</v>
      </c>
      <c r="AJ171" s="1" t="s">
        <v>329</v>
      </c>
      <c r="AK171" s="1" t="s">
        <v>329</v>
      </c>
      <c r="AL171" s="1">
        <v>13</v>
      </c>
      <c r="AM171" s="1" t="s">
        <v>4779</v>
      </c>
      <c r="AN171" s="1" t="s">
        <v>4894</v>
      </c>
      <c r="AO171" s="1" t="s">
        <v>4940</v>
      </c>
      <c r="AP171" s="1">
        <v>0</v>
      </c>
      <c r="AQ171" s="1" t="s">
        <v>1158</v>
      </c>
      <c r="AR171" s="1" t="s">
        <v>1182</v>
      </c>
      <c r="AS171" s="1" t="s">
        <v>1157</v>
      </c>
      <c r="AT171" s="1" t="s">
        <v>329</v>
      </c>
      <c r="AU171" s="1">
        <v>175</v>
      </c>
      <c r="AV171" s="1">
        <v>0</v>
      </c>
      <c r="AW171" s="1" t="s">
        <v>5157</v>
      </c>
      <c r="AX171" s="1" t="s">
        <v>5104</v>
      </c>
      <c r="AY171" s="1">
        <v>5</v>
      </c>
      <c r="AZ171" s="1">
        <v>0</v>
      </c>
      <c r="BA171" s="1" t="s">
        <v>329</v>
      </c>
      <c r="BB171" s="1" t="s">
        <v>5158</v>
      </c>
      <c r="BC171" s="1" t="s">
        <v>329</v>
      </c>
      <c r="BD171" s="1">
        <v>10203</v>
      </c>
      <c r="BE171" s="1"/>
    </row>
    <row r="172" spans="1:57" x14ac:dyDescent="0.25">
      <c r="A172" s="1">
        <v>176</v>
      </c>
      <c r="B172" s="1" t="s">
        <v>3431</v>
      </c>
      <c r="C172" s="9" t="s">
        <v>156</v>
      </c>
      <c r="D172" s="1" t="s">
        <v>156</v>
      </c>
      <c r="E172" s="1"/>
      <c r="F172" s="1"/>
      <c r="G172" s="1" t="s">
        <v>3432</v>
      </c>
      <c r="H172" s="1" t="s">
        <v>3433</v>
      </c>
      <c r="I172" s="1" t="s">
        <v>3434</v>
      </c>
      <c r="J172" s="1">
        <v>2</v>
      </c>
      <c r="K172" s="1">
        <v>3</v>
      </c>
      <c r="L172" s="1">
        <v>7800</v>
      </c>
      <c r="M172" s="1">
        <v>25</v>
      </c>
      <c r="N172" s="1">
        <v>20</v>
      </c>
      <c r="O172" s="1">
        <v>15</v>
      </c>
      <c r="P172" s="1">
        <v>10</v>
      </c>
      <c r="Q172" s="1">
        <v>5</v>
      </c>
      <c r="R172" s="1">
        <v>5</v>
      </c>
      <c r="S172" s="1">
        <v>2</v>
      </c>
      <c r="T172" s="1">
        <v>0</v>
      </c>
      <c r="U172" s="1">
        <v>85</v>
      </c>
      <c r="V172" s="1">
        <v>110</v>
      </c>
      <c r="W172" s="1">
        <v>120</v>
      </c>
      <c r="X172" s="1">
        <v>100</v>
      </c>
      <c r="Y172" s="1">
        <v>125</v>
      </c>
      <c r="Z172" s="1">
        <v>130</v>
      </c>
      <c r="AA172" s="1">
        <v>0</v>
      </c>
      <c r="AB172" s="1">
        <v>15</v>
      </c>
      <c r="AC172" s="1">
        <v>5</v>
      </c>
      <c r="AD172" s="1">
        <v>0</v>
      </c>
      <c r="AE172" s="1">
        <v>105</v>
      </c>
      <c r="AF172" s="1">
        <v>100</v>
      </c>
      <c r="AG172" s="1">
        <v>100202</v>
      </c>
      <c r="AH172" s="1">
        <v>0</v>
      </c>
      <c r="AI172" s="1">
        <v>300102</v>
      </c>
      <c r="AJ172" s="1" t="s">
        <v>5159</v>
      </c>
      <c r="AK172" s="1" t="s">
        <v>329</v>
      </c>
      <c r="AL172" s="1">
        <v>12</v>
      </c>
      <c r="AM172" s="1" t="s">
        <v>4850</v>
      </c>
      <c r="AN172" s="1" t="s">
        <v>359</v>
      </c>
      <c r="AO172" s="1" t="s">
        <v>5123</v>
      </c>
      <c r="AP172" s="1">
        <v>0</v>
      </c>
      <c r="AQ172" s="1" t="s">
        <v>1157</v>
      </c>
      <c r="AR172" s="1" t="s">
        <v>1147</v>
      </c>
      <c r="AS172" s="1" t="s">
        <v>1158</v>
      </c>
      <c r="AT172" s="1" t="s">
        <v>329</v>
      </c>
      <c r="AU172" s="1">
        <v>176</v>
      </c>
      <c r="AV172" s="1">
        <v>0</v>
      </c>
      <c r="AW172" s="1" t="s">
        <v>5160</v>
      </c>
      <c r="AX172" s="1" t="s">
        <v>5161</v>
      </c>
      <c r="AY172" s="1">
        <v>3</v>
      </c>
      <c r="AZ172" s="1">
        <v>0</v>
      </c>
      <c r="BA172" s="1" t="s">
        <v>329</v>
      </c>
      <c r="BB172" s="1" t="s">
        <v>329</v>
      </c>
      <c r="BC172" s="1" t="s">
        <v>329</v>
      </c>
      <c r="BD172" s="1">
        <v>10202</v>
      </c>
      <c r="BE172" s="1"/>
    </row>
    <row r="173" spans="1:57" x14ac:dyDescent="0.25">
      <c r="A173" s="1">
        <v>177</v>
      </c>
      <c r="B173" s="1" t="s">
        <v>3435</v>
      </c>
      <c r="C173" s="9" t="s">
        <v>157</v>
      </c>
      <c r="D173" s="1" t="s">
        <v>157</v>
      </c>
      <c r="E173" s="1"/>
      <c r="F173" s="1"/>
      <c r="G173" s="1" t="s">
        <v>3436</v>
      </c>
      <c r="H173" s="1" t="s">
        <v>3437</v>
      </c>
      <c r="I173" s="1" t="s">
        <v>3438</v>
      </c>
      <c r="J173" s="1">
        <v>2</v>
      </c>
      <c r="K173" s="1">
        <v>4</v>
      </c>
      <c r="L173" s="1">
        <v>8400</v>
      </c>
      <c r="M173" s="1">
        <v>25</v>
      </c>
      <c r="N173" s="1">
        <v>20</v>
      </c>
      <c r="O173" s="1">
        <v>15</v>
      </c>
      <c r="P173" s="1">
        <v>10</v>
      </c>
      <c r="Q173" s="1">
        <v>5</v>
      </c>
      <c r="R173" s="1">
        <v>5</v>
      </c>
      <c r="S173" s="1">
        <v>2</v>
      </c>
      <c r="T173" s="1">
        <v>0</v>
      </c>
      <c r="U173" s="1">
        <v>108</v>
      </c>
      <c r="V173" s="1">
        <v>100</v>
      </c>
      <c r="W173" s="1">
        <v>125</v>
      </c>
      <c r="X173" s="1">
        <v>100</v>
      </c>
      <c r="Y173" s="1">
        <v>95</v>
      </c>
      <c r="Z173" s="1">
        <v>130</v>
      </c>
      <c r="AA173" s="1">
        <v>0</v>
      </c>
      <c r="AB173" s="1">
        <v>15</v>
      </c>
      <c r="AC173" s="1">
        <v>5</v>
      </c>
      <c r="AD173" s="1">
        <v>0</v>
      </c>
      <c r="AE173" s="1">
        <v>100</v>
      </c>
      <c r="AF173" s="1">
        <v>100</v>
      </c>
      <c r="AG173" s="1">
        <v>102303</v>
      </c>
      <c r="AH173" s="1">
        <v>0</v>
      </c>
      <c r="AI173" s="1">
        <v>300102</v>
      </c>
      <c r="AJ173" s="1" t="s">
        <v>1192</v>
      </c>
      <c r="AK173" s="1" t="s">
        <v>329</v>
      </c>
      <c r="AL173" s="1">
        <v>13</v>
      </c>
      <c r="AM173" s="1" t="s">
        <v>4850</v>
      </c>
      <c r="AN173" s="1" t="s">
        <v>4853</v>
      </c>
      <c r="AO173" s="1" t="s">
        <v>4862</v>
      </c>
      <c r="AP173" s="1">
        <v>0</v>
      </c>
      <c r="AQ173" s="1" t="s">
        <v>1157</v>
      </c>
      <c r="AR173" s="1" t="s">
        <v>1147</v>
      </c>
      <c r="AS173" s="1" t="s">
        <v>1158</v>
      </c>
      <c r="AT173" s="1" t="s">
        <v>329</v>
      </c>
      <c r="AU173" s="1">
        <v>177</v>
      </c>
      <c r="AV173" s="1">
        <v>0</v>
      </c>
      <c r="AW173" s="1" t="s">
        <v>5027</v>
      </c>
      <c r="AX173" s="1" t="s">
        <v>1866</v>
      </c>
      <c r="AY173" s="1">
        <v>4</v>
      </c>
      <c r="AZ173" s="1">
        <v>0</v>
      </c>
      <c r="BA173" s="1" t="s">
        <v>329</v>
      </c>
      <c r="BB173" s="1" t="s">
        <v>473</v>
      </c>
      <c r="BC173" s="1" t="s">
        <v>4817</v>
      </c>
      <c r="BD173" s="1">
        <v>10704</v>
      </c>
      <c r="BE173" s="1"/>
    </row>
    <row r="174" spans="1:57" x14ac:dyDescent="0.25">
      <c r="A174" s="1">
        <v>178</v>
      </c>
      <c r="B174" s="1" t="s">
        <v>3439</v>
      </c>
      <c r="C174" s="9" t="s">
        <v>158</v>
      </c>
      <c r="D174" s="1" t="s">
        <v>158</v>
      </c>
      <c r="E174" s="1"/>
      <c r="F174" s="1"/>
      <c r="G174" s="1" t="s">
        <v>3440</v>
      </c>
      <c r="H174" s="1" t="s">
        <v>3441</v>
      </c>
      <c r="I174" s="1" t="s">
        <v>3442</v>
      </c>
      <c r="J174" s="1">
        <v>2</v>
      </c>
      <c r="K174" s="1">
        <v>3</v>
      </c>
      <c r="L174" s="1">
        <v>6600</v>
      </c>
      <c r="M174" s="1">
        <v>25</v>
      </c>
      <c r="N174" s="1">
        <v>20</v>
      </c>
      <c r="O174" s="1">
        <v>15</v>
      </c>
      <c r="P174" s="1">
        <v>10</v>
      </c>
      <c r="Q174" s="1">
        <v>5</v>
      </c>
      <c r="R174" s="1">
        <v>5</v>
      </c>
      <c r="S174" s="1">
        <v>2</v>
      </c>
      <c r="T174" s="1">
        <v>0</v>
      </c>
      <c r="U174" s="1">
        <v>120</v>
      </c>
      <c r="V174" s="1">
        <v>95</v>
      </c>
      <c r="W174" s="1">
        <v>100</v>
      </c>
      <c r="X174" s="1">
        <v>100</v>
      </c>
      <c r="Y174" s="1">
        <v>110</v>
      </c>
      <c r="Z174" s="1">
        <v>95</v>
      </c>
      <c r="AA174" s="1">
        <v>0</v>
      </c>
      <c r="AB174" s="1">
        <v>15</v>
      </c>
      <c r="AC174" s="1">
        <v>5</v>
      </c>
      <c r="AD174" s="1">
        <v>0</v>
      </c>
      <c r="AE174" s="1">
        <v>112</v>
      </c>
      <c r="AF174" s="1">
        <v>100</v>
      </c>
      <c r="AG174" s="1">
        <v>102402</v>
      </c>
      <c r="AH174" s="1">
        <v>0</v>
      </c>
      <c r="AI174" s="1">
        <v>300102</v>
      </c>
      <c r="AJ174" s="1" t="s">
        <v>1153</v>
      </c>
      <c r="AK174" s="1" t="s">
        <v>329</v>
      </c>
      <c r="AL174" s="1">
        <v>13</v>
      </c>
      <c r="AM174" s="1" t="s">
        <v>4850</v>
      </c>
      <c r="AN174" s="1" t="s">
        <v>389</v>
      </c>
      <c r="AO174" s="1" t="s">
        <v>5162</v>
      </c>
      <c r="AP174" s="1">
        <v>0</v>
      </c>
      <c r="AQ174" s="1" t="s">
        <v>1773</v>
      </c>
      <c r="AR174" s="1" t="s">
        <v>1147</v>
      </c>
      <c r="AS174" s="1" t="s">
        <v>1158</v>
      </c>
      <c r="AT174" s="1" t="s">
        <v>329</v>
      </c>
      <c r="AU174" s="1">
        <v>178</v>
      </c>
      <c r="AV174" s="1">
        <v>0</v>
      </c>
      <c r="AW174" s="1" t="s">
        <v>5027</v>
      </c>
      <c r="AX174" s="1" t="s">
        <v>5163</v>
      </c>
      <c r="AY174" s="1">
        <v>3</v>
      </c>
      <c r="AZ174" s="1">
        <v>0</v>
      </c>
      <c r="BA174" s="1" t="s">
        <v>4825</v>
      </c>
      <c r="BB174" s="1" t="s">
        <v>5164</v>
      </c>
      <c r="BC174" s="1" t="s">
        <v>329</v>
      </c>
      <c r="BD174" s="1">
        <v>10802</v>
      </c>
      <c r="BE174" s="1"/>
    </row>
    <row r="175" spans="1:57" x14ac:dyDescent="0.25">
      <c r="A175" s="1">
        <v>179</v>
      </c>
      <c r="B175" s="1" t="s">
        <v>3443</v>
      </c>
      <c r="C175" s="9" t="s">
        <v>1666</v>
      </c>
      <c r="D175" s="1" t="s">
        <v>1666</v>
      </c>
      <c r="E175" s="1"/>
      <c r="F175" s="1"/>
      <c r="G175" s="1" t="s">
        <v>3444</v>
      </c>
      <c r="H175" s="1" t="s">
        <v>3445</v>
      </c>
      <c r="I175" s="1" t="s">
        <v>3446</v>
      </c>
      <c r="J175" s="1">
        <v>3</v>
      </c>
      <c r="K175" s="1">
        <v>5</v>
      </c>
      <c r="L175" s="1">
        <v>17100</v>
      </c>
      <c r="M175" s="1">
        <v>15</v>
      </c>
      <c r="N175" s="1">
        <v>30</v>
      </c>
      <c r="O175" s="1">
        <v>10</v>
      </c>
      <c r="P175" s="1">
        <v>15</v>
      </c>
      <c r="Q175" s="1">
        <v>5</v>
      </c>
      <c r="R175" s="1">
        <v>2</v>
      </c>
      <c r="S175" s="1">
        <v>5</v>
      </c>
      <c r="T175" s="1">
        <v>0</v>
      </c>
      <c r="U175" s="1">
        <v>93</v>
      </c>
      <c r="V175" s="1">
        <v>138</v>
      </c>
      <c r="W175" s="1">
        <v>85</v>
      </c>
      <c r="X175" s="1">
        <v>100</v>
      </c>
      <c r="Y175" s="1">
        <v>115</v>
      </c>
      <c r="Z175" s="1">
        <v>85</v>
      </c>
      <c r="AA175" s="1">
        <v>0</v>
      </c>
      <c r="AB175" s="1">
        <v>15</v>
      </c>
      <c r="AC175" s="1">
        <v>40</v>
      </c>
      <c r="AD175" s="1">
        <v>0</v>
      </c>
      <c r="AE175" s="1">
        <v>138</v>
      </c>
      <c r="AF175" s="1">
        <v>100</v>
      </c>
      <c r="AG175" s="1">
        <v>105709</v>
      </c>
      <c r="AH175" s="1">
        <v>0</v>
      </c>
      <c r="AI175" s="1">
        <v>300104</v>
      </c>
      <c r="AJ175" s="1" t="s">
        <v>1174</v>
      </c>
      <c r="AK175" s="1" t="s">
        <v>329</v>
      </c>
      <c r="AL175" s="1">
        <v>18</v>
      </c>
      <c r="AM175" s="1" t="s">
        <v>4822</v>
      </c>
      <c r="AN175" s="1" t="s">
        <v>5165</v>
      </c>
      <c r="AO175" s="1" t="s">
        <v>4905</v>
      </c>
      <c r="AP175" s="1">
        <v>0</v>
      </c>
      <c r="AQ175" s="1" t="s">
        <v>1168</v>
      </c>
      <c r="AR175" s="1" t="s">
        <v>1169</v>
      </c>
      <c r="AS175" s="1" t="s">
        <v>1170</v>
      </c>
      <c r="AT175" s="1" t="s">
        <v>329</v>
      </c>
      <c r="AU175" s="1">
        <v>179</v>
      </c>
      <c r="AV175" s="1">
        <v>0</v>
      </c>
      <c r="AW175" s="1" t="s">
        <v>5027</v>
      </c>
      <c r="AX175" s="1" t="s">
        <v>1866</v>
      </c>
      <c r="AY175" s="1">
        <v>5</v>
      </c>
      <c r="AZ175" s="1">
        <v>0</v>
      </c>
      <c r="BA175" s="1" t="s">
        <v>329</v>
      </c>
      <c r="BB175" s="1" t="s">
        <v>5166</v>
      </c>
      <c r="BC175" s="1" t="s">
        <v>4829</v>
      </c>
      <c r="BD175" s="1">
        <v>10701</v>
      </c>
      <c r="BE175" s="1"/>
    </row>
    <row r="176" spans="1:57" x14ac:dyDescent="0.25">
      <c r="A176" s="1">
        <v>180</v>
      </c>
      <c r="B176" s="1" t="s">
        <v>3447</v>
      </c>
      <c r="C176" s="9" t="s">
        <v>159</v>
      </c>
      <c r="D176" s="1" t="s">
        <v>159</v>
      </c>
      <c r="E176" s="1"/>
      <c r="F176" s="1"/>
      <c r="G176" s="1" t="s">
        <v>3448</v>
      </c>
      <c r="H176" s="1" t="s">
        <v>3449</v>
      </c>
      <c r="I176" s="1" t="s">
        <v>3450</v>
      </c>
      <c r="J176" s="1">
        <v>3</v>
      </c>
      <c r="K176" s="1">
        <v>4</v>
      </c>
      <c r="L176" s="1">
        <v>16200</v>
      </c>
      <c r="M176" s="1">
        <v>15</v>
      </c>
      <c r="N176" s="1">
        <v>30</v>
      </c>
      <c r="O176" s="1">
        <v>10</v>
      </c>
      <c r="P176" s="1">
        <v>15</v>
      </c>
      <c r="Q176" s="1">
        <v>5</v>
      </c>
      <c r="R176" s="1">
        <v>2</v>
      </c>
      <c r="S176" s="1">
        <v>5</v>
      </c>
      <c r="T176" s="1">
        <v>0</v>
      </c>
      <c r="U176" s="1">
        <v>95</v>
      </c>
      <c r="V176" s="1">
        <v>130</v>
      </c>
      <c r="W176" s="1">
        <v>90</v>
      </c>
      <c r="X176" s="1">
        <v>100</v>
      </c>
      <c r="Y176" s="1">
        <v>100</v>
      </c>
      <c r="Z176" s="1">
        <v>85</v>
      </c>
      <c r="AA176" s="1">
        <v>0</v>
      </c>
      <c r="AB176" s="1">
        <v>15</v>
      </c>
      <c r="AC176" s="1">
        <v>40</v>
      </c>
      <c r="AD176" s="1">
        <v>0</v>
      </c>
      <c r="AE176" s="1">
        <v>130</v>
      </c>
      <c r="AF176" s="1">
        <v>100</v>
      </c>
      <c r="AG176" s="1">
        <v>900216</v>
      </c>
      <c r="AH176" s="1">
        <v>0</v>
      </c>
      <c r="AI176" s="1">
        <v>300104</v>
      </c>
      <c r="AJ176" s="1" t="s">
        <v>1240</v>
      </c>
      <c r="AK176" s="1" t="s">
        <v>329</v>
      </c>
      <c r="AL176" s="1">
        <v>13</v>
      </c>
      <c r="AM176" s="1" t="s">
        <v>4822</v>
      </c>
      <c r="AN176" s="1" t="s">
        <v>465</v>
      </c>
      <c r="AO176" s="1" t="s">
        <v>4892</v>
      </c>
      <c r="AP176" s="1">
        <v>0</v>
      </c>
      <c r="AQ176" s="1" t="s">
        <v>1775</v>
      </c>
      <c r="AR176" s="1" t="s">
        <v>1169</v>
      </c>
      <c r="AS176" s="1" t="s">
        <v>1170</v>
      </c>
      <c r="AT176" s="1" t="s">
        <v>329</v>
      </c>
      <c r="AU176" s="1">
        <v>180</v>
      </c>
      <c r="AV176" s="1">
        <v>0</v>
      </c>
      <c r="AW176" s="1" t="s">
        <v>5027</v>
      </c>
      <c r="AX176" s="1" t="s">
        <v>5163</v>
      </c>
      <c r="AY176" s="1">
        <v>4</v>
      </c>
      <c r="AZ176" s="1">
        <v>0</v>
      </c>
      <c r="BA176" s="1" t="s">
        <v>329</v>
      </c>
      <c r="BB176" s="1" t="s">
        <v>5167</v>
      </c>
      <c r="BC176" s="1" t="s">
        <v>4829</v>
      </c>
      <c r="BD176" s="1">
        <v>10402</v>
      </c>
      <c r="BE176" s="1"/>
    </row>
    <row r="177" spans="1:57" x14ac:dyDescent="0.25">
      <c r="A177" s="1">
        <v>181</v>
      </c>
      <c r="B177" s="1" t="s">
        <v>3451</v>
      </c>
      <c r="C177" s="9" t="s">
        <v>160</v>
      </c>
      <c r="D177" s="1" t="s">
        <v>160</v>
      </c>
      <c r="E177" s="1"/>
      <c r="F177" s="1"/>
      <c r="G177" s="1" t="s">
        <v>3452</v>
      </c>
      <c r="H177" s="1" t="s">
        <v>3453</v>
      </c>
      <c r="I177" s="1" t="s">
        <v>3454</v>
      </c>
      <c r="J177" s="1">
        <v>4</v>
      </c>
      <c r="K177" s="1">
        <v>5</v>
      </c>
      <c r="L177" s="1">
        <v>13680</v>
      </c>
      <c r="M177" s="1">
        <v>20</v>
      </c>
      <c r="N177" s="1">
        <v>20</v>
      </c>
      <c r="O177" s="1">
        <v>10</v>
      </c>
      <c r="P177" s="1">
        <v>10</v>
      </c>
      <c r="Q177" s="1">
        <v>2</v>
      </c>
      <c r="R177" s="1">
        <v>5</v>
      </c>
      <c r="S177" s="1">
        <v>5</v>
      </c>
      <c r="T177" s="1">
        <v>0</v>
      </c>
      <c r="U177" s="1">
        <v>112</v>
      </c>
      <c r="V177" s="1">
        <v>115</v>
      </c>
      <c r="W177" s="1">
        <v>115</v>
      </c>
      <c r="X177" s="1">
        <v>100</v>
      </c>
      <c r="Y177" s="1">
        <v>110</v>
      </c>
      <c r="Z177" s="1">
        <v>115</v>
      </c>
      <c r="AA177" s="1">
        <v>0</v>
      </c>
      <c r="AB177" s="1">
        <v>15</v>
      </c>
      <c r="AC177" s="1">
        <v>20</v>
      </c>
      <c r="AD177" s="1">
        <v>0</v>
      </c>
      <c r="AE177" s="1">
        <v>115</v>
      </c>
      <c r="AF177" s="1">
        <v>100</v>
      </c>
      <c r="AG177" s="1">
        <v>105904</v>
      </c>
      <c r="AH177" s="1">
        <v>0</v>
      </c>
      <c r="AI177" s="1">
        <v>300103</v>
      </c>
      <c r="AJ177" s="1" t="s">
        <v>329</v>
      </c>
      <c r="AK177" s="1" t="s">
        <v>329</v>
      </c>
      <c r="AL177" s="1">
        <v>12</v>
      </c>
      <c r="AM177" s="1" t="s">
        <v>4779</v>
      </c>
      <c r="AN177" s="1" t="s">
        <v>5168</v>
      </c>
      <c r="AO177" s="1" t="s">
        <v>5169</v>
      </c>
      <c r="AP177" s="1">
        <v>0</v>
      </c>
      <c r="AQ177" s="1" t="s">
        <v>1158</v>
      </c>
      <c r="AR177" s="1" t="s">
        <v>1182</v>
      </c>
      <c r="AS177" s="1" t="s">
        <v>1157</v>
      </c>
      <c r="AT177" s="1" t="s">
        <v>329</v>
      </c>
      <c r="AU177" s="1">
        <v>181</v>
      </c>
      <c r="AV177" s="1">
        <v>0</v>
      </c>
      <c r="AW177" s="1" t="s">
        <v>5170</v>
      </c>
      <c r="AX177" s="1" t="s">
        <v>332</v>
      </c>
      <c r="AY177" s="1">
        <v>5</v>
      </c>
      <c r="AZ177" s="1">
        <v>0</v>
      </c>
      <c r="BA177" s="1" t="s">
        <v>329</v>
      </c>
      <c r="BB177" s="1" t="s">
        <v>5171</v>
      </c>
      <c r="BC177" s="1" t="s">
        <v>4843</v>
      </c>
      <c r="BD177" s="1">
        <v>10203</v>
      </c>
      <c r="BE177" s="1"/>
    </row>
    <row r="178" spans="1:57" x14ac:dyDescent="0.25">
      <c r="A178" s="1">
        <v>182</v>
      </c>
      <c r="B178" s="1" t="s">
        <v>3455</v>
      </c>
      <c r="C178" s="9" t="s">
        <v>3456</v>
      </c>
      <c r="D178" s="1" t="s">
        <v>3456</v>
      </c>
      <c r="E178" s="1"/>
      <c r="F178" s="1"/>
      <c r="G178" s="1" t="s">
        <v>3457</v>
      </c>
      <c r="H178" s="1" t="s">
        <v>3458</v>
      </c>
      <c r="I178" s="1" t="s">
        <v>3459</v>
      </c>
      <c r="J178" s="1">
        <v>3</v>
      </c>
      <c r="K178" s="1">
        <v>3</v>
      </c>
      <c r="L178" s="1">
        <v>13800</v>
      </c>
      <c r="M178" s="1">
        <v>15</v>
      </c>
      <c r="N178" s="1">
        <v>30</v>
      </c>
      <c r="O178" s="1">
        <v>10</v>
      </c>
      <c r="P178" s="1">
        <v>15</v>
      </c>
      <c r="Q178" s="1">
        <v>5</v>
      </c>
      <c r="R178" s="1">
        <v>2</v>
      </c>
      <c r="S178" s="1">
        <v>5</v>
      </c>
      <c r="T178" s="1">
        <v>0</v>
      </c>
      <c r="U178" s="1">
        <v>110</v>
      </c>
      <c r="V178" s="1">
        <v>110</v>
      </c>
      <c r="W178" s="1">
        <v>95</v>
      </c>
      <c r="X178" s="1">
        <v>100</v>
      </c>
      <c r="Y178" s="1">
        <v>105</v>
      </c>
      <c r="Z178" s="1">
        <v>105</v>
      </c>
      <c r="AA178" s="1">
        <v>0</v>
      </c>
      <c r="AB178" s="1">
        <v>15</v>
      </c>
      <c r="AC178" s="1">
        <v>40</v>
      </c>
      <c r="AD178" s="1">
        <v>0</v>
      </c>
      <c r="AE178" s="1">
        <v>110</v>
      </c>
      <c r="AF178" s="1">
        <v>100</v>
      </c>
      <c r="AG178" s="1">
        <v>100402</v>
      </c>
      <c r="AH178" s="1">
        <v>0</v>
      </c>
      <c r="AI178" s="1">
        <v>300104</v>
      </c>
      <c r="AJ178" s="1" t="s">
        <v>1153</v>
      </c>
      <c r="AK178" s="1" t="s">
        <v>329</v>
      </c>
      <c r="AL178" s="1">
        <v>13</v>
      </c>
      <c r="AM178" s="1" t="s">
        <v>4822</v>
      </c>
      <c r="AN178" s="1" t="s">
        <v>466</v>
      </c>
      <c r="AO178" s="1" t="s">
        <v>4886</v>
      </c>
      <c r="AP178" s="1">
        <v>0</v>
      </c>
      <c r="AQ178" s="1" t="s">
        <v>1168</v>
      </c>
      <c r="AR178" s="1" t="s">
        <v>1169</v>
      </c>
      <c r="AS178" s="1" t="s">
        <v>1170</v>
      </c>
      <c r="AT178" s="1" t="s">
        <v>329</v>
      </c>
      <c r="AU178" s="1">
        <v>182</v>
      </c>
      <c r="AV178" s="1">
        <v>0</v>
      </c>
      <c r="AW178" s="1" t="s">
        <v>5172</v>
      </c>
      <c r="AX178" s="1" t="s">
        <v>5161</v>
      </c>
      <c r="AY178" s="1">
        <v>3</v>
      </c>
      <c r="AZ178" s="1">
        <v>0</v>
      </c>
      <c r="BA178" s="1" t="s">
        <v>329</v>
      </c>
      <c r="BB178" s="1" t="s">
        <v>476</v>
      </c>
      <c r="BC178" s="1" t="s">
        <v>329</v>
      </c>
      <c r="BD178" s="1">
        <v>10704</v>
      </c>
      <c r="BE178" s="1"/>
    </row>
    <row r="179" spans="1:57" x14ac:dyDescent="0.25">
      <c r="A179" s="1">
        <v>183</v>
      </c>
      <c r="B179" s="1" t="s">
        <v>3460</v>
      </c>
      <c r="C179" s="9" t="s">
        <v>161</v>
      </c>
      <c r="D179" s="1" t="s">
        <v>161</v>
      </c>
      <c r="E179" s="1"/>
      <c r="F179" s="1"/>
      <c r="G179" s="1" t="s">
        <v>3461</v>
      </c>
      <c r="H179" s="1" t="s">
        <v>3462</v>
      </c>
      <c r="I179" s="1" t="s">
        <v>3463</v>
      </c>
      <c r="J179" s="1">
        <v>1</v>
      </c>
      <c r="K179" s="1">
        <v>5</v>
      </c>
      <c r="L179" s="1">
        <v>3720</v>
      </c>
      <c r="M179" s="1">
        <v>10</v>
      </c>
      <c r="N179" s="1">
        <v>10</v>
      </c>
      <c r="O179" s="1">
        <v>5</v>
      </c>
      <c r="P179" s="1">
        <v>5</v>
      </c>
      <c r="Q179" s="1">
        <v>2</v>
      </c>
      <c r="R179" s="1">
        <v>2</v>
      </c>
      <c r="S179" s="1">
        <v>2</v>
      </c>
      <c r="T179" s="1">
        <v>0</v>
      </c>
      <c r="U179" s="1">
        <v>100</v>
      </c>
      <c r="V179" s="1">
        <v>145</v>
      </c>
      <c r="W179" s="1">
        <v>75</v>
      </c>
      <c r="X179" s="1">
        <v>100</v>
      </c>
      <c r="Y179" s="1">
        <v>140</v>
      </c>
      <c r="Z179" s="1">
        <v>90</v>
      </c>
      <c r="AA179" s="1">
        <v>0</v>
      </c>
      <c r="AB179" s="1">
        <v>15</v>
      </c>
      <c r="AC179" s="1">
        <v>40</v>
      </c>
      <c r="AD179" s="1">
        <v>0</v>
      </c>
      <c r="AE179" s="1">
        <v>150</v>
      </c>
      <c r="AF179" s="1">
        <v>100</v>
      </c>
      <c r="AG179" s="1">
        <v>106701</v>
      </c>
      <c r="AH179" s="1">
        <v>0</v>
      </c>
      <c r="AI179" s="1">
        <v>300114</v>
      </c>
      <c r="AJ179" s="1" t="s">
        <v>1241</v>
      </c>
      <c r="AK179" s="1" t="s">
        <v>1242</v>
      </c>
      <c r="AL179" s="1">
        <v>13</v>
      </c>
      <c r="AM179" s="1" t="s">
        <v>1866</v>
      </c>
      <c r="AN179" s="1" t="s">
        <v>4840</v>
      </c>
      <c r="AO179" s="1" t="s">
        <v>4811</v>
      </c>
      <c r="AP179" s="1">
        <v>0</v>
      </c>
      <c r="AQ179" s="1" t="s">
        <v>1146</v>
      </c>
      <c r="AR179" s="1" t="s">
        <v>1243</v>
      </c>
      <c r="AS179" s="1" t="s">
        <v>1148</v>
      </c>
      <c r="AT179" s="1" t="s">
        <v>329</v>
      </c>
      <c r="AU179" s="1">
        <v>183</v>
      </c>
      <c r="AV179" s="1">
        <v>0</v>
      </c>
      <c r="AW179" s="1" t="s">
        <v>5170</v>
      </c>
      <c r="AX179" s="1" t="s">
        <v>4822</v>
      </c>
      <c r="AY179" s="1">
        <v>5</v>
      </c>
      <c r="AZ179" s="1">
        <v>0</v>
      </c>
      <c r="BA179" s="1" t="s">
        <v>329</v>
      </c>
      <c r="BB179" s="1" t="s">
        <v>329</v>
      </c>
      <c r="BC179" s="1" t="s">
        <v>4780</v>
      </c>
      <c r="BD179" s="1">
        <v>10203</v>
      </c>
      <c r="BE179" s="1"/>
    </row>
    <row r="180" spans="1:57" x14ac:dyDescent="0.25">
      <c r="A180" s="1">
        <v>184</v>
      </c>
      <c r="B180" s="1" t="s">
        <v>3464</v>
      </c>
      <c r="C180" s="9" t="s">
        <v>1667</v>
      </c>
      <c r="D180" s="1" t="s">
        <v>1667</v>
      </c>
      <c r="E180" s="1"/>
      <c r="F180" s="1"/>
      <c r="G180" s="1" t="s">
        <v>3465</v>
      </c>
      <c r="H180" s="1" t="s">
        <v>3466</v>
      </c>
      <c r="I180" s="1" t="s">
        <v>3467</v>
      </c>
      <c r="J180" s="1">
        <v>3</v>
      </c>
      <c r="K180" s="1">
        <v>4</v>
      </c>
      <c r="L180" s="1">
        <v>15000</v>
      </c>
      <c r="M180" s="1">
        <v>15</v>
      </c>
      <c r="N180" s="1">
        <v>30</v>
      </c>
      <c r="O180" s="1">
        <v>10</v>
      </c>
      <c r="P180" s="1">
        <v>15</v>
      </c>
      <c r="Q180" s="1">
        <v>5</v>
      </c>
      <c r="R180" s="1">
        <v>2</v>
      </c>
      <c r="S180" s="1">
        <v>5</v>
      </c>
      <c r="T180" s="1">
        <v>0</v>
      </c>
      <c r="U180" s="1">
        <v>102</v>
      </c>
      <c r="V180" s="1">
        <v>118</v>
      </c>
      <c r="W180" s="1">
        <v>105</v>
      </c>
      <c r="X180" s="1">
        <v>100</v>
      </c>
      <c r="Y180" s="1">
        <v>130</v>
      </c>
      <c r="Z180" s="1">
        <v>85</v>
      </c>
      <c r="AA180" s="1">
        <v>0</v>
      </c>
      <c r="AB180" s="1">
        <v>15</v>
      </c>
      <c r="AC180" s="1">
        <v>40</v>
      </c>
      <c r="AD180" s="1">
        <v>0</v>
      </c>
      <c r="AE180" s="1">
        <v>117</v>
      </c>
      <c r="AF180" s="1">
        <v>100</v>
      </c>
      <c r="AG180" s="1">
        <v>106601</v>
      </c>
      <c r="AH180" s="1">
        <v>0</v>
      </c>
      <c r="AI180" s="1">
        <v>300104</v>
      </c>
      <c r="AJ180" s="1" t="s">
        <v>329</v>
      </c>
      <c r="AK180" s="1" t="s">
        <v>329</v>
      </c>
      <c r="AL180" s="1">
        <v>13</v>
      </c>
      <c r="AM180" s="1" t="s">
        <v>4822</v>
      </c>
      <c r="AN180" s="1" t="s">
        <v>5173</v>
      </c>
      <c r="AO180" s="1" t="s">
        <v>4892</v>
      </c>
      <c r="AP180" s="1">
        <v>0</v>
      </c>
      <c r="AQ180" s="1" t="s">
        <v>1168</v>
      </c>
      <c r="AR180" s="1" t="s">
        <v>1169</v>
      </c>
      <c r="AS180" s="1" t="s">
        <v>1170</v>
      </c>
      <c r="AT180" s="1" t="s">
        <v>329</v>
      </c>
      <c r="AU180" s="1">
        <v>184</v>
      </c>
      <c r="AV180" s="1">
        <v>0</v>
      </c>
      <c r="AW180" s="1" t="s">
        <v>5170</v>
      </c>
      <c r="AX180" s="1" t="s">
        <v>332</v>
      </c>
      <c r="AY180" s="1">
        <v>4</v>
      </c>
      <c r="AZ180" s="1">
        <v>0</v>
      </c>
      <c r="BA180" s="1" t="s">
        <v>329</v>
      </c>
      <c r="BB180" s="1" t="s">
        <v>1754</v>
      </c>
      <c r="BC180" s="1" t="s">
        <v>4817</v>
      </c>
      <c r="BD180" s="1">
        <v>10302</v>
      </c>
      <c r="BE180" s="1"/>
    </row>
    <row r="181" spans="1:57" x14ac:dyDescent="0.25">
      <c r="A181" s="1">
        <v>185</v>
      </c>
      <c r="B181" s="1" t="s">
        <v>3468</v>
      </c>
      <c r="C181" s="9" t="s">
        <v>162</v>
      </c>
      <c r="D181" s="1" t="s">
        <v>162</v>
      </c>
      <c r="E181" s="1"/>
      <c r="F181" s="1"/>
      <c r="G181" s="1" t="s">
        <v>3469</v>
      </c>
      <c r="H181" s="1" t="s">
        <v>3470</v>
      </c>
      <c r="I181" s="1" t="s">
        <v>3471</v>
      </c>
      <c r="J181" s="1">
        <v>5</v>
      </c>
      <c r="K181" s="1">
        <v>4</v>
      </c>
      <c r="L181" s="1">
        <v>23100</v>
      </c>
      <c r="M181" s="1">
        <v>40</v>
      </c>
      <c r="N181" s="1">
        <v>30</v>
      </c>
      <c r="O181" s="1">
        <v>25</v>
      </c>
      <c r="P181" s="1">
        <v>15</v>
      </c>
      <c r="Q181" s="1">
        <v>5</v>
      </c>
      <c r="R181" s="1">
        <v>5</v>
      </c>
      <c r="S181" s="1">
        <v>2</v>
      </c>
      <c r="T181" s="1">
        <v>5</v>
      </c>
      <c r="U181" s="1">
        <v>85</v>
      </c>
      <c r="V181" s="1">
        <v>90</v>
      </c>
      <c r="W181" s="1">
        <v>130</v>
      </c>
      <c r="X181" s="1">
        <v>100</v>
      </c>
      <c r="Y181" s="1">
        <v>130</v>
      </c>
      <c r="Z181" s="1">
        <v>140</v>
      </c>
      <c r="AA181" s="1">
        <v>0</v>
      </c>
      <c r="AB181" s="1">
        <v>15</v>
      </c>
      <c r="AC181" s="1">
        <v>5</v>
      </c>
      <c r="AD181" s="1">
        <v>8</v>
      </c>
      <c r="AE181" s="1">
        <v>145</v>
      </c>
      <c r="AF181" s="1">
        <v>100</v>
      </c>
      <c r="AG181" s="1">
        <v>105106</v>
      </c>
      <c r="AH181" s="1">
        <v>0</v>
      </c>
      <c r="AI181" s="1">
        <v>300105</v>
      </c>
      <c r="AJ181" s="1" t="s">
        <v>1244</v>
      </c>
      <c r="AK181" s="1" t="s">
        <v>329</v>
      </c>
      <c r="AL181" s="1">
        <v>18</v>
      </c>
      <c r="AM181" s="1" t="s">
        <v>4918</v>
      </c>
      <c r="AN181" s="1" t="s">
        <v>5044</v>
      </c>
      <c r="AO181" s="1" t="s">
        <v>5174</v>
      </c>
      <c r="AP181" s="1">
        <v>0</v>
      </c>
      <c r="AQ181" s="1" t="s">
        <v>1195</v>
      </c>
      <c r="AR181" s="1" t="s">
        <v>1196</v>
      </c>
      <c r="AS181" s="1" t="s">
        <v>4972</v>
      </c>
      <c r="AT181" s="1" t="s">
        <v>329</v>
      </c>
      <c r="AU181" s="1">
        <v>185</v>
      </c>
      <c r="AV181" s="1">
        <v>0</v>
      </c>
      <c r="AW181" s="1" t="s">
        <v>5170</v>
      </c>
      <c r="AX181" s="1" t="s">
        <v>332</v>
      </c>
      <c r="AY181" s="1">
        <v>4</v>
      </c>
      <c r="AZ181" s="1">
        <v>0</v>
      </c>
      <c r="BA181" s="1" t="s">
        <v>329</v>
      </c>
      <c r="BB181" s="1" t="s">
        <v>4983</v>
      </c>
      <c r="BC181" s="1" t="s">
        <v>329</v>
      </c>
      <c r="BD181" s="1">
        <v>10704</v>
      </c>
      <c r="BE181" s="1"/>
    </row>
    <row r="182" spans="1:57" x14ac:dyDescent="0.25">
      <c r="A182" s="1">
        <v>186</v>
      </c>
      <c r="B182" s="1" t="s">
        <v>3472</v>
      </c>
      <c r="C182" s="9" t="s">
        <v>163</v>
      </c>
      <c r="D182" s="1" t="s">
        <v>163</v>
      </c>
      <c r="E182" s="1"/>
      <c r="F182" s="1"/>
      <c r="G182" s="1" t="s">
        <v>3473</v>
      </c>
      <c r="H182" s="1" t="s">
        <v>3474</v>
      </c>
      <c r="I182" s="1" t="s">
        <v>3475</v>
      </c>
      <c r="J182" s="1">
        <v>1</v>
      </c>
      <c r="K182" s="1">
        <v>3</v>
      </c>
      <c r="L182" s="1">
        <v>2100</v>
      </c>
      <c r="M182" s="1">
        <v>10</v>
      </c>
      <c r="N182" s="1">
        <v>10</v>
      </c>
      <c r="O182" s="1">
        <v>5</v>
      </c>
      <c r="P182" s="1">
        <v>5</v>
      </c>
      <c r="Q182" s="1">
        <v>2</v>
      </c>
      <c r="R182" s="1">
        <v>2</v>
      </c>
      <c r="S182" s="1">
        <v>2</v>
      </c>
      <c r="T182" s="1">
        <v>0</v>
      </c>
      <c r="U182" s="1">
        <v>110</v>
      </c>
      <c r="V182" s="1">
        <v>110</v>
      </c>
      <c r="W182" s="1">
        <v>115</v>
      </c>
      <c r="X182" s="1">
        <v>100</v>
      </c>
      <c r="Y182" s="1">
        <v>125</v>
      </c>
      <c r="Z182" s="1">
        <v>90</v>
      </c>
      <c r="AA182" s="1">
        <v>0</v>
      </c>
      <c r="AB182" s="1">
        <v>15</v>
      </c>
      <c r="AC182" s="1">
        <v>20</v>
      </c>
      <c r="AD182" s="1">
        <v>0</v>
      </c>
      <c r="AE182" s="1">
        <v>110</v>
      </c>
      <c r="AF182" s="1">
        <v>100</v>
      </c>
      <c r="AG182" s="1">
        <v>101603</v>
      </c>
      <c r="AH182" s="1">
        <v>0</v>
      </c>
      <c r="AI182" s="1">
        <v>300101</v>
      </c>
      <c r="AJ182" s="1" t="s">
        <v>1153</v>
      </c>
      <c r="AK182" s="1" t="s">
        <v>329</v>
      </c>
      <c r="AL182" s="1">
        <v>13</v>
      </c>
      <c r="AM182" s="1" t="s">
        <v>1866</v>
      </c>
      <c r="AN182" s="1" t="s">
        <v>4833</v>
      </c>
      <c r="AO182" s="1" t="s">
        <v>4869</v>
      </c>
      <c r="AP182" s="1">
        <v>0</v>
      </c>
      <c r="AQ182" s="1" t="s">
        <v>1146</v>
      </c>
      <c r="AR182" s="1" t="s">
        <v>1147</v>
      </c>
      <c r="AS182" s="1" t="s">
        <v>1148</v>
      </c>
      <c r="AT182" s="1" t="s">
        <v>329</v>
      </c>
      <c r="AU182" s="1">
        <v>186</v>
      </c>
      <c r="AV182" s="1">
        <v>0</v>
      </c>
      <c r="AW182" s="1" t="s">
        <v>5175</v>
      </c>
      <c r="AX182" s="1" t="s">
        <v>5176</v>
      </c>
      <c r="AY182" s="1">
        <v>3</v>
      </c>
      <c r="AZ182" s="1">
        <v>0</v>
      </c>
      <c r="BA182" s="1" t="s">
        <v>329</v>
      </c>
      <c r="BB182" s="1" t="s">
        <v>329</v>
      </c>
      <c r="BC182" s="1" t="s">
        <v>4829</v>
      </c>
      <c r="BD182" s="1">
        <v>10703</v>
      </c>
      <c r="BE182" s="1"/>
    </row>
    <row r="183" spans="1:57" x14ac:dyDescent="0.25">
      <c r="A183" s="1">
        <v>187</v>
      </c>
      <c r="B183" s="1" t="s">
        <v>3476</v>
      </c>
      <c r="C183" s="9" t="s">
        <v>231</v>
      </c>
      <c r="D183" s="1" t="s">
        <v>231</v>
      </c>
      <c r="E183" s="1"/>
      <c r="F183" s="1"/>
      <c r="G183" s="1" t="s">
        <v>3477</v>
      </c>
      <c r="H183" s="1" t="s">
        <v>3478</v>
      </c>
      <c r="I183" s="1" t="s">
        <v>3479</v>
      </c>
      <c r="J183" s="1">
        <v>4</v>
      </c>
      <c r="K183" s="1">
        <v>4</v>
      </c>
      <c r="L183" s="1">
        <v>13200</v>
      </c>
      <c r="M183" s="1">
        <v>20</v>
      </c>
      <c r="N183" s="1">
        <v>20</v>
      </c>
      <c r="O183" s="1">
        <v>10</v>
      </c>
      <c r="P183" s="1">
        <v>10</v>
      </c>
      <c r="Q183" s="1">
        <v>2</v>
      </c>
      <c r="R183" s="1">
        <v>5</v>
      </c>
      <c r="S183" s="1">
        <v>5</v>
      </c>
      <c r="T183" s="1">
        <v>0</v>
      </c>
      <c r="U183" s="1">
        <v>105</v>
      </c>
      <c r="V183" s="1">
        <v>115</v>
      </c>
      <c r="W183" s="1">
        <v>112</v>
      </c>
      <c r="X183" s="1">
        <v>100</v>
      </c>
      <c r="Y183" s="1">
        <v>120</v>
      </c>
      <c r="Z183" s="1">
        <v>95</v>
      </c>
      <c r="AA183" s="1">
        <v>0</v>
      </c>
      <c r="AB183" s="1">
        <v>15</v>
      </c>
      <c r="AC183" s="1">
        <v>20</v>
      </c>
      <c r="AD183" s="1">
        <v>0</v>
      </c>
      <c r="AE183" s="1">
        <v>115</v>
      </c>
      <c r="AF183" s="1">
        <v>100</v>
      </c>
      <c r="AG183" s="1">
        <v>100103</v>
      </c>
      <c r="AH183" s="1">
        <v>0</v>
      </c>
      <c r="AI183" s="1">
        <v>300103</v>
      </c>
      <c r="AJ183" s="1" t="s">
        <v>5177</v>
      </c>
      <c r="AK183" s="1" t="s">
        <v>329</v>
      </c>
      <c r="AL183" s="1">
        <v>13</v>
      </c>
      <c r="AM183" s="1" t="s">
        <v>4779</v>
      </c>
      <c r="AN183" s="1" t="s">
        <v>4894</v>
      </c>
      <c r="AO183" s="1" t="s">
        <v>5178</v>
      </c>
      <c r="AP183" s="1">
        <v>0</v>
      </c>
      <c r="AQ183" s="1" t="s">
        <v>1158</v>
      </c>
      <c r="AR183" s="1" t="s">
        <v>1182</v>
      </c>
      <c r="AS183" s="1" t="s">
        <v>1157</v>
      </c>
      <c r="AT183" s="1" t="s">
        <v>329</v>
      </c>
      <c r="AU183" s="1">
        <v>187</v>
      </c>
      <c r="AV183" s="1">
        <v>0</v>
      </c>
      <c r="AW183" s="1" t="s">
        <v>5175</v>
      </c>
      <c r="AX183" s="1" t="s">
        <v>5179</v>
      </c>
      <c r="AY183" s="1">
        <v>4</v>
      </c>
      <c r="AZ183" s="1">
        <v>0</v>
      </c>
      <c r="BA183" s="1" t="s">
        <v>329</v>
      </c>
      <c r="BB183" s="1" t="s">
        <v>329</v>
      </c>
      <c r="BC183" s="1" t="s">
        <v>329</v>
      </c>
      <c r="BD183" s="1">
        <v>10303</v>
      </c>
      <c r="BE183" s="1"/>
    </row>
    <row r="184" spans="1:57" x14ac:dyDescent="0.25">
      <c r="A184" s="1">
        <v>188</v>
      </c>
      <c r="B184" s="1" t="s">
        <v>3480</v>
      </c>
      <c r="C184" s="9" t="s">
        <v>3481</v>
      </c>
      <c r="D184" s="1" t="s">
        <v>3481</v>
      </c>
      <c r="E184" s="1"/>
      <c r="F184" s="1"/>
      <c r="G184" s="1" t="s">
        <v>3482</v>
      </c>
      <c r="H184" s="1" t="s">
        <v>3483</v>
      </c>
      <c r="I184" s="1" t="s">
        <v>3484</v>
      </c>
      <c r="J184" s="1">
        <v>6</v>
      </c>
      <c r="K184" s="1">
        <v>5</v>
      </c>
      <c r="L184" s="1">
        <v>29400</v>
      </c>
      <c r="M184" s="1">
        <v>30</v>
      </c>
      <c r="N184" s="1">
        <v>40</v>
      </c>
      <c r="O184" s="1">
        <v>15</v>
      </c>
      <c r="P184" s="1">
        <v>25</v>
      </c>
      <c r="Q184" s="1">
        <v>5</v>
      </c>
      <c r="R184" s="1">
        <v>2</v>
      </c>
      <c r="S184" s="1">
        <v>5</v>
      </c>
      <c r="T184" s="1">
        <v>5</v>
      </c>
      <c r="U184" s="1">
        <v>128</v>
      </c>
      <c r="V184" s="1">
        <v>105</v>
      </c>
      <c r="W184" s="1">
        <v>130</v>
      </c>
      <c r="X184" s="1">
        <v>100</v>
      </c>
      <c r="Y184" s="1">
        <v>120</v>
      </c>
      <c r="Z184" s="1">
        <v>110</v>
      </c>
      <c r="AA184" s="1">
        <v>120</v>
      </c>
      <c r="AB184" s="1">
        <v>15</v>
      </c>
      <c r="AC184" s="1">
        <v>40</v>
      </c>
      <c r="AD184" s="1">
        <v>4</v>
      </c>
      <c r="AE184" s="1">
        <v>95</v>
      </c>
      <c r="AF184" s="1">
        <v>100</v>
      </c>
      <c r="AG184" s="1">
        <v>106801</v>
      </c>
      <c r="AH184" s="1">
        <v>0</v>
      </c>
      <c r="AI184" s="1">
        <v>300106</v>
      </c>
      <c r="AJ184" s="1" t="s">
        <v>1227</v>
      </c>
      <c r="AK184" s="1" t="s">
        <v>329</v>
      </c>
      <c r="AL184" s="1">
        <v>8</v>
      </c>
      <c r="AM184" s="1" t="s">
        <v>4776</v>
      </c>
      <c r="AN184" s="1" t="s">
        <v>4788</v>
      </c>
      <c r="AO184" s="1" t="s">
        <v>5002</v>
      </c>
      <c r="AP184" s="1">
        <v>0</v>
      </c>
      <c r="AQ184" s="1" t="s">
        <v>1228</v>
      </c>
      <c r="AR184" s="1" t="s">
        <v>1229</v>
      </c>
      <c r="AS184" s="1" t="s">
        <v>1230</v>
      </c>
      <c r="AT184" s="1" t="s">
        <v>329</v>
      </c>
      <c r="AU184" s="1">
        <v>188</v>
      </c>
      <c r="AV184" s="1">
        <v>0</v>
      </c>
      <c r="AW184" s="1" t="s">
        <v>5175</v>
      </c>
      <c r="AX184" s="1" t="s">
        <v>4779</v>
      </c>
      <c r="AY184" s="1">
        <v>5</v>
      </c>
      <c r="AZ184" s="1">
        <v>0</v>
      </c>
      <c r="BA184" s="1" t="s">
        <v>329</v>
      </c>
      <c r="BB184" s="1" t="s">
        <v>5180</v>
      </c>
      <c r="BC184" s="1" t="s">
        <v>4799</v>
      </c>
      <c r="BD184" s="1">
        <v>10705</v>
      </c>
      <c r="BE184" s="1"/>
    </row>
    <row r="185" spans="1:57" x14ac:dyDescent="0.25">
      <c r="A185" s="1">
        <v>189</v>
      </c>
      <c r="B185" s="1" t="s">
        <v>3485</v>
      </c>
      <c r="C185" s="9" t="s">
        <v>1668</v>
      </c>
      <c r="D185" s="1" t="s">
        <v>1668</v>
      </c>
      <c r="E185" s="1"/>
      <c r="F185" s="1"/>
      <c r="G185" s="1" t="s">
        <v>3486</v>
      </c>
      <c r="H185" s="1" t="s">
        <v>3487</v>
      </c>
      <c r="I185" s="1" t="s">
        <v>3488</v>
      </c>
      <c r="J185" s="1">
        <v>6</v>
      </c>
      <c r="K185" s="1">
        <v>4</v>
      </c>
      <c r="L185" s="1">
        <v>28500</v>
      </c>
      <c r="M185" s="1">
        <v>30</v>
      </c>
      <c r="N185" s="1">
        <v>40</v>
      </c>
      <c r="O185" s="1">
        <v>15</v>
      </c>
      <c r="P185" s="1">
        <v>25</v>
      </c>
      <c r="Q185" s="1">
        <v>5</v>
      </c>
      <c r="R185" s="1">
        <v>2</v>
      </c>
      <c r="S185" s="1">
        <v>5</v>
      </c>
      <c r="T185" s="1">
        <v>5</v>
      </c>
      <c r="U185" s="1">
        <v>118</v>
      </c>
      <c r="V185" s="1">
        <v>100</v>
      </c>
      <c r="W185" s="1">
        <v>140</v>
      </c>
      <c r="X185" s="1">
        <v>100</v>
      </c>
      <c r="Y185" s="1">
        <v>95</v>
      </c>
      <c r="Z185" s="1">
        <v>80</v>
      </c>
      <c r="AA185" s="1">
        <v>120</v>
      </c>
      <c r="AB185" s="1">
        <v>15</v>
      </c>
      <c r="AC185" s="1">
        <v>40</v>
      </c>
      <c r="AD185" s="1">
        <v>5</v>
      </c>
      <c r="AE185" s="1">
        <v>100</v>
      </c>
      <c r="AF185" s="1">
        <v>100</v>
      </c>
      <c r="AG185" s="1">
        <v>106901</v>
      </c>
      <c r="AH185" s="1">
        <v>0</v>
      </c>
      <c r="AI185" s="1">
        <v>300106</v>
      </c>
      <c r="AJ185" s="1" t="s">
        <v>1245</v>
      </c>
      <c r="AK185" s="1" t="s">
        <v>329</v>
      </c>
      <c r="AL185" s="1">
        <v>8</v>
      </c>
      <c r="AM185" s="1" t="s">
        <v>4776</v>
      </c>
      <c r="AN185" s="1" t="s">
        <v>4850</v>
      </c>
      <c r="AO185" s="1" t="s">
        <v>5123</v>
      </c>
      <c r="AP185" s="1">
        <v>0</v>
      </c>
      <c r="AQ185" s="1" t="s">
        <v>1228</v>
      </c>
      <c r="AR185" s="1" t="s">
        <v>1229</v>
      </c>
      <c r="AS185" s="1" t="s">
        <v>1230</v>
      </c>
      <c r="AT185" s="1" t="s">
        <v>329</v>
      </c>
      <c r="AU185" s="1">
        <v>189</v>
      </c>
      <c r="AV185" s="1">
        <v>0</v>
      </c>
      <c r="AW185" s="1" t="s">
        <v>5175</v>
      </c>
      <c r="AX185" s="1" t="s">
        <v>4779</v>
      </c>
      <c r="AY185" s="1">
        <v>4</v>
      </c>
      <c r="AZ185" s="1">
        <v>0</v>
      </c>
      <c r="BA185" s="1" t="s">
        <v>329</v>
      </c>
      <c r="BB185" s="1" t="s">
        <v>329</v>
      </c>
      <c r="BC185" s="1" t="s">
        <v>329</v>
      </c>
      <c r="BD185" s="1">
        <v>10704</v>
      </c>
      <c r="BE185" s="1"/>
    </row>
    <row r="186" spans="1:57" x14ac:dyDescent="0.25">
      <c r="A186" s="1">
        <v>190</v>
      </c>
      <c r="B186" s="1" t="s">
        <v>3489</v>
      </c>
      <c r="C186" s="9" t="s">
        <v>164</v>
      </c>
      <c r="D186" s="1" t="s">
        <v>164</v>
      </c>
      <c r="E186" s="1"/>
      <c r="F186" s="1"/>
      <c r="G186" s="1" t="s">
        <v>3490</v>
      </c>
      <c r="H186" s="1" t="s">
        <v>3491</v>
      </c>
      <c r="I186" s="1" t="s">
        <v>3492</v>
      </c>
      <c r="J186" s="1">
        <v>6</v>
      </c>
      <c r="K186" s="1">
        <v>3</v>
      </c>
      <c r="L186" s="1">
        <v>26100</v>
      </c>
      <c r="M186" s="1">
        <v>30</v>
      </c>
      <c r="N186" s="1">
        <v>40</v>
      </c>
      <c r="O186" s="1">
        <v>15</v>
      </c>
      <c r="P186" s="1">
        <v>25</v>
      </c>
      <c r="Q186" s="1">
        <v>5</v>
      </c>
      <c r="R186" s="1">
        <v>2</v>
      </c>
      <c r="S186" s="1">
        <v>5</v>
      </c>
      <c r="T186" s="1">
        <v>5</v>
      </c>
      <c r="U186" s="1">
        <v>115</v>
      </c>
      <c r="V186" s="1">
        <v>115</v>
      </c>
      <c r="W186" s="1">
        <v>105</v>
      </c>
      <c r="X186" s="1">
        <v>100</v>
      </c>
      <c r="Y186" s="1">
        <v>110</v>
      </c>
      <c r="Z186" s="1">
        <v>95</v>
      </c>
      <c r="AA186" s="1">
        <v>110</v>
      </c>
      <c r="AB186" s="1">
        <v>15</v>
      </c>
      <c r="AC186" s="1">
        <v>40</v>
      </c>
      <c r="AD186" s="1">
        <v>5</v>
      </c>
      <c r="AE186" s="1">
        <v>100</v>
      </c>
      <c r="AF186" s="1">
        <v>100</v>
      </c>
      <c r="AG186" s="1">
        <v>103202</v>
      </c>
      <c r="AH186" s="1">
        <v>0</v>
      </c>
      <c r="AI186" s="1">
        <v>300106</v>
      </c>
      <c r="AJ186" s="1" t="s">
        <v>5181</v>
      </c>
      <c r="AK186" s="1" t="s">
        <v>329</v>
      </c>
      <c r="AL186" s="1">
        <v>7</v>
      </c>
      <c r="AM186" s="1" t="s">
        <v>4776</v>
      </c>
      <c r="AN186" s="1" t="s">
        <v>471</v>
      </c>
      <c r="AO186" s="1" t="s">
        <v>5128</v>
      </c>
      <c r="AP186" s="1">
        <v>0</v>
      </c>
      <c r="AQ186" s="1" t="s">
        <v>1228</v>
      </c>
      <c r="AR186" s="1" t="s">
        <v>1229</v>
      </c>
      <c r="AS186" s="1" t="s">
        <v>1230</v>
      </c>
      <c r="AT186" s="1" t="s">
        <v>329</v>
      </c>
      <c r="AU186" s="1">
        <v>190</v>
      </c>
      <c r="AV186" s="1">
        <v>0</v>
      </c>
      <c r="AW186" s="1" t="s">
        <v>5175</v>
      </c>
      <c r="AX186" s="1" t="s">
        <v>4779</v>
      </c>
      <c r="AY186" s="1">
        <v>3</v>
      </c>
      <c r="AZ186" s="1">
        <v>0</v>
      </c>
      <c r="BA186" s="1" t="s">
        <v>329</v>
      </c>
      <c r="BB186" s="1" t="s">
        <v>329</v>
      </c>
      <c r="BC186" s="1" t="s">
        <v>329</v>
      </c>
      <c r="BD186" s="1">
        <v>10704</v>
      </c>
      <c r="BE186" s="1"/>
    </row>
    <row r="187" spans="1:57" x14ac:dyDescent="0.25">
      <c r="A187" s="1">
        <v>191</v>
      </c>
      <c r="B187" s="1" t="s">
        <v>3493</v>
      </c>
      <c r="C187" s="9" t="s">
        <v>165</v>
      </c>
      <c r="D187" s="1" t="s">
        <v>165</v>
      </c>
      <c r="E187" s="1"/>
      <c r="F187" s="1"/>
      <c r="G187" s="1" t="s">
        <v>3494</v>
      </c>
      <c r="H187" s="1" t="s">
        <v>3495</v>
      </c>
      <c r="I187" s="1" t="s">
        <v>3496</v>
      </c>
      <c r="J187" s="1">
        <v>2</v>
      </c>
      <c r="K187" s="1">
        <v>3</v>
      </c>
      <c r="L187" s="1">
        <v>6900</v>
      </c>
      <c r="M187" s="1">
        <v>25</v>
      </c>
      <c r="N187" s="1">
        <v>20</v>
      </c>
      <c r="O187" s="1">
        <v>15</v>
      </c>
      <c r="P187" s="1">
        <v>10</v>
      </c>
      <c r="Q187" s="1">
        <v>5</v>
      </c>
      <c r="R187" s="1">
        <v>5</v>
      </c>
      <c r="S187" s="1">
        <v>2</v>
      </c>
      <c r="T187" s="1">
        <v>0</v>
      </c>
      <c r="U187" s="1">
        <v>115</v>
      </c>
      <c r="V187" s="1">
        <v>95</v>
      </c>
      <c r="W187" s="1">
        <v>95</v>
      </c>
      <c r="X187" s="1">
        <v>100</v>
      </c>
      <c r="Y187" s="1">
        <v>120</v>
      </c>
      <c r="Z187" s="1">
        <v>100</v>
      </c>
      <c r="AA187" s="1">
        <v>0</v>
      </c>
      <c r="AB187" s="1">
        <v>15</v>
      </c>
      <c r="AC187" s="1">
        <v>5</v>
      </c>
      <c r="AD187" s="1">
        <v>0</v>
      </c>
      <c r="AE187" s="1">
        <v>115</v>
      </c>
      <c r="AF187" s="1">
        <v>100</v>
      </c>
      <c r="AG187" s="1">
        <v>102302</v>
      </c>
      <c r="AH187" s="1">
        <v>0</v>
      </c>
      <c r="AI187" s="1">
        <v>300102</v>
      </c>
      <c r="AJ187" s="1" t="s">
        <v>1149</v>
      </c>
      <c r="AK187" s="1" t="s">
        <v>329</v>
      </c>
      <c r="AL187" s="1">
        <v>13</v>
      </c>
      <c r="AM187" s="1" t="s">
        <v>4850</v>
      </c>
      <c r="AN187" s="1" t="s">
        <v>4855</v>
      </c>
      <c r="AO187" s="1" t="s">
        <v>5182</v>
      </c>
      <c r="AP187" s="1">
        <v>0</v>
      </c>
      <c r="AQ187" s="1" t="s">
        <v>1157</v>
      </c>
      <c r="AR187" s="1" t="s">
        <v>1147</v>
      </c>
      <c r="AS187" s="1" t="s">
        <v>1158</v>
      </c>
      <c r="AT187" s="1" t="s">
        <v>329</v>
      </c>
      <c r="AU187" s="1">
        <v>191</v>
      </c>
      <c r="AV187" s="1">
        <v>0</v>
      </c>
      <c r="AW187" s="1" t="s">
        <v>5183</v>
      </c>
      <c r="AX187" s="1" t="s">
        <v>5184</v>
      </c>
      <c r="AY187" s="1">
        <v>3</v>
      </c>
      <c r="AZ187" s="1">
        <v>0</v>
      </c>
      <c r="BA187" s="1" t="s">
        <v>329</v>
      </c>
      <c r="BB187" s="1" t="s">
        <v>371</v>
      </c>
      <c r="BC187" s="1" t="s">
        <v>4799</v>
      </c>
      <c r="BD187" s="1">
        <v>10704</v>
      </c>
      <c r="BE187" s="1"/>
    </row>
    <row r="188" spans="1:57" x14ac:dyDescent="0.25">
      <c r="A188" s="1">
        <v>192</v>
      </c>
      <c r="B188" s="1" t="s">
        <v>3497</v>
      </c>
      <c r="C188" s="9" t="s">
        <v>166</v>
      </c>
      <c r="D188" s="1" t="s">
        <v>3498</v>
      </c>
      <c r="E188" s="1"/>
      <c r="F188" s="1"/>
      <c r="G188" s="1" t="s">
        <v>3499</v>
      </c>
      <c r="H188" s="1" t="s">
        <v>3500</v>
      </c>
      <c r="I188" s="1" t="s">
        <v>3501</v>
      </c>
      <c r="J188" s="1">
        <v>3</v>
      </c>
      <c r="K188" s="1">
        <v>5</v>
      </c>
      <c r="L188" s="1">
        <v>17340</v>
      </c>
      <c r="M188" s="1">
        <v>15</v>
      </c>
      <c r="N188" s="1">
        <v>30</v>
      </c>
      <c r="O188" s="1">
        <v>10</v>
      </c>
      <c r="P188" s="1">
        <v>15</v>
      </c>
      <c r="Q188" s="1">
        <v>5</v>
      </c>
      <c r="R188" s="1">
        <v>2</v>
      </c>
      <c r="S188" s="1">
        <v>5</v>
      </c>
      <c r="T188" s="1">
        <v>0</v>
      </c>
      <c r="U188" s="1">
        <v>102</v>
      </c>
      <c r="V188" s="1">
        <v>135</v>
      </c>
      <c r="W188" s="1">
        <v>85</v>
      </c>
      <c r="X188" s="1">
        <v>100</v>
      </c>
      <c r="Y188" s="1">
        <v>118</v>
      </c>
      <c r="Z188" s="1">
        <v>85</v>
      </c>
      <c r="AA188" s="1">
        <v>0</v>
      </c>
      <c r="AB188" s="1">
        <v>15</v>
      </c>
      <c r="AC188" s="1">
        <v>40</v>
      </c>
      <c r="AD188" s="1">
        <v>0</v>
      </c>
      <c r="AE188" s="1">
        <v>136</v>
      </c>
      <c r="AF188" s="1">
        <v>100</v>
      </c>
      <c r="AG188" s="1">
        <v>900217</v>
      </c>
      <c r="AH188" s="1">
        <v>0</v>
      </c>
      <c r="AI188" s="1">
        <v>300104</v>
      </c>
      <c r="AJ188" s="1" t="s">
        <v>1240</v>
      </c>
      <c r="AK188" s="1" t="s">
        <v>329</v>
      </c>
      <c r="AL188" s="1">
        <v>13</v>
      </c>
      <c r="AM188" s="1" t="s">
        <v>4822</v>
      </c>
      <c r="AN188" s="1" t="s">
        <v>4894</v>
      </c>
      <c r="AO188" s="1" t="s">
        <v>4905</v>
      </c>
      <c r="AP188" s="1">
        <v>0</v>
      </c>
      <c r="AQ188" s="1" t="s">
        <v>1168</v>
      </c>
      <c r="AR188" s="1" t="s">
        <v>1169</v>
      </c>
      <c r="AS188" s="1" t="s">
        <v>1170</v>
      </c>
      <c r="AT188" s="1" t="s">
        <v>329</v>
      </c>
      <c r="AU188" s="1">
        <v>192</v>
      </c>
      <c r="AV188" s="1">
        <v>0</v>
      </c>
      <c r="AW188" s="1" t="s">
        <v>5183</v>
      </c>
      <c r="AX188" s="1" t="s">
        <v>5185</v>
      </c>
      <c r="AY188" s="1">
        <v>5</v>
      </c>
      <c r="AZ188" s="1">
        <v>0</v>
      </c>
      <c r="BA188" s="1" t="s">
        <v>329</v>
      </c>
      <c r="BB188" s="1" t="s">
        <v>5186</v>
      </c>
      <c r="BC188" s="1" t="s">
        <v>4843</v>
      </c>
      <c r="BD188" s="1">
        <v>10403</v>
      </c>
      <c r="BE188" s="1"/>
    </row>
    <row r="189" spans="1:57" x14ac:dyDescent="0.25">
      <c r="A189" s="1">
        <v>193</v>
      </c>
      <c r="B189" s="1" t="s">
        <v>3502</v>
      </c>
      <c r="C189" s="9" t="s">
        <v>167</v>
      </c>
      <c r="D189" s="1" t="s">
        <v>167</v>
      </c>
      <c r="E189" s="1"/>
      <c r="F189" s="1"/>
      <c r="G189" s="1" t="s">
        <v>3503</v>
      </c>
      <c r="H189" s="1" t="s">
        <v>3504</v>
      </c>
      <c r="I189" s="1" t="s">
        <v>3505</v>
      </c>
      <c r="J189" s="1">
        <v>4</v>
      </c>
      <c r="K189" s="1">
        <v>3</v>
      </c>
      <c r="L189" s="1">
        <v>11100</v>
      </c>
      <c r="M189" s="1">
        <v>20</v>
      </c>
      <c r="N189" s="1">
        <v>20</v>
      </c>
      <c r="O189" s="1">
        <v>10</v>
      </c>
      <c r="P189" s="1">
        <v>10</v>
      </c>
      <c r="Q189" s="1">
        <v>2</v>
      </c>
      <c r="R189" s="1">
        <v>5</v>
      </c>
      <c r="S189" s="1">
        <v>5</v>
      </c>
      <c r="T189" s="1">
        <v>0</v>
      </c>
      <c r="U189" s="1">
        <v>112</v>
      </c>
      <c r="V189" s="1">
        <v>120</v>
      </c>
      <c r="W189" s="1">
        <v>115</v>
      </c>
      <c r="X189" s="1">
        <v>100</v>
      </c>
      <c r="Y189" s="1">
        <v>110</v>
      </c>
      <c r="Z189" s="1">
        <v>100</v>
      </c>
      <c r="AA189" s="1">
        <v>0</v>
      </c>
      <c r="AB189" s="1">
        <v>15</v>
      </c>
      <c r="AC189" s="1">
        <v>20</v>
      </c>
      <c r="AD189" s="1">
        <v>0</v>
      </c>
      <c r="AE189" s="1">
        <v>115</v>
      </c>
      <c r="AF189" s="1">
        <v>100</v>
      </c>
      <c r="AG189" s="1">
        <v>105902</v>
      </c>
      <c r="AH189" s="1">
        <v>0</v>
      </c>
      <c r="AI189" s="1">
        <v>300103</v>
      </c>
      <c r="AJ189" s="1" t="s">
        <v>1153</v>
      </c>
      <c r="AK189" s="1" t="s">
        <v>329</v>
      </c>
      <c r="AL189" s="1">
        <v>13</v>
      </c>
      <c r="AM189" s="1" t="s">
        <v>4779</v>
      </c>
      <c r="AN189" s="1" t="s">
        <v>4889</v>
      </c>
      <c r="AO189" s="1" t="s">
        <v>4935</v>
      </c>
      <c r="AP189" s="1">
        <v>0</v>
      </c>
      <c r="AQ189" s="1" t="s">
        <v>1158</v>
      </c>
      <c r="AR189" s="1" t="s">
        <v>1182</v>
      </c>
      <c r="AS189" s="1" t="s">
        <v>1157</v>
      </c>
      <c r="AT189" s="1" t="s">
        <v>329</v>
      </c>
      <c r="AU189" s="1">
        <v>193</v>
      </c>
      <c r="AV189" s="1">
        <v>0</v>
      </c>
      <c r="AW189" s="1" t="s">
        <v>5187</v>
      </c>
      <c r="AX189" s="1" t="s">
        <v>5188</v>
      </c>
      <c r="AY189" s="1">
        <v>3</v>
      </c>
      <c r="AZ189" s="1">
        <v>0</v>
      </c>
      <c r="BA189" s="1" t="s">
        <v>329</v>
      </c>
      <c r="BB189" s="1" t="s">
        <v>5012</v>
      </c>
      <c r="BC189" s="1" t="s">
        <v>4843</v>
      </c>
      <c r="BD189" s="1">
        <v>10704</v>
      </c>
      <c r="BE189" s="1"/>
    </row>
    <row r="190" spans="1:57" x14ac:dyDescent="0.25">
      <c r="A190" s="1">
        <v>194</v>
      </c>
      <c r="B190" s="1" t="s">
        <v>3506</v>
      </c>
      <c r="C190" s="9" t="s">
        <v>168</v>
      </c>
      <c r="D190" s="1" t="s">
        <v>168</v>
      </c>
      <c r="E190" s="1"/>
      <c r="F190" s="1"/>
      <c r="G190" s="1" t="s">
        <v>3507</v>
      </c>
      <c r="H190" s="1" t="s">
        <v>3508</v>
      </c>
      <c r="I190" s="1" t="s">
        <v>3509</v>
      </c>
      <c r="J190" s="1">
        <v>4</v>
      </c>
      <c r="K190" s="1">
        <v>5</v>
      </c>
      <c r="L190" s="1">
        <v>13920</v>
      </c>
      <c r="M190" s="1">
        <v>20</v>
      </c>
      <c r="N190" s="1">
        <v>20</v>
      </c>
      <c r="O190" s="1">
        <v>10</v>
      </c>
      <c r="P190" s="1">
        <v>10</v>
      </c>
      <c r="Q190" s="1">
        <v>2</v>
      </c>
      <c r="R190" s="1">
        <v>5</v>
      </c>
      <c r="S190" s="1">
        <v>5</v>
      </c>
      <c r="T190" s="1">
        <v>0</v>
      </c>
      <c r="U190" s="1">
        <v>115</v>
      </c>
      <c r="V190" s="1">
        <v>115</v>
      </c>
      <c r="W190" s="1">
        <v>120</v>
      </c>
      <c r="X190" s="1">
        <v>100</v>
      </c>
      <c r="Y190" s="1">
        <v>130</v>
      </c>
      <c r="Z190" s="1">
        <v>108</v>
      </c>
      <c r="AA190" s="1">
        <v>0</v>
      </c>
      <c r="AB190" s="1">
        <v>15</v>
      </c>
      <c r="AC190" s="1">
        <v>20</v>
      </c>
      <c r="AD190" s="1">
        <v>0</v>
      </c>
      <c r="AE190" s="1">
        <v>111</v>
      </c>
      <c r="AF190" s="1">
        <v>100</v>
      </c>
      <c r="AG190" s="1">
        <v>107701</v>
      </c>
      <c r="AH190" s="1">
        <v>0</v>
      </c>
      <c r="AI190" s="1">
        <v>300118</v>
      </c>
      <c r="AJ190" s="1" t="s">
        <v>1246</v>
      </c>
      <c r="AK190" s="1" t="s">
        <v>1247</v>
      </c>
      <c r="AL190" s="1">
        <v>13</v>
      </c>
      <c r="AM190" s="1" t="s">
        <v>4779</v>
      </c>
      <c r="AN190" s="1" t="s">
        <v>4894</v>
      </c>
      <c r="AO190" s="1" t="s">
        <v>5062</v>
      </c>
      <c r="AP190" s="1">
        <v>0</v>
      </c>
      <c r="AQ190" s="1" t="s">
        <v>1158</v>
      </c>
      <c r="AR190" s="1" t="s">
        <v>1182</v>
      </c>
      <c r="AS190" s="1" t="s">
        <v>1157</v>
      </c>
      <c r="AT190" s="1" t="s">
        <v>329</v>
      </c>
      <c r="AU190" s="1">
        <v>194</v>
      </c>
      <c r="AV190" s="1">
        <v>0</v>
      </c>
      <c r="AW190" s="1" t="s">
        <v>5189</v>
      </c>
      <c r="AX190" s="1" t="s">
        <v>332</v>
      </c>
      <c r="AY190" s="1">
        <v>5</v>
      </c>
      <c r="AZ190" s="1">
        <v>0</v>
      </c>
      <c r="BA190" s="1" t="s">
        <v>329</v>
      </c>
      <c r="BB190" s="1" t="s">
        <v>329</v>
      </c>
      <c r="BC190" s="1" t="s">
        <v>329</v>
      </c>
      <c r="BD190" s="1">
        <v>10202</v>
      </c>
      <c r="BE190" s="1"/>
    </row>
    <row r="191" spans="1:57" x14ac:dyDescent="0.25">
      <c r="A191" s="1">
        <v>195</v>
      </c>
      <c r="B191" s="1" t="s">
        <v>3510</v>
      </c>
      <c r="C191" s="9" t="s">
        <v>232</v>
      </c>
      <c r="D191" s="1" t="s">
        <v>232</v>
      </c>
      <c r="E191" s="1"/>
      <c r="F191" s="1"/>
      <c r="G191" s="1" t="s">
        <v>3511</v>
      </c>
      <c r="H191" s="1" t="s">
        <v>3512</v>
      </c>
      <c r="I191" s="1" t="s">
        <v>3513</v>
      </c>
      <c r="J191" s="1">
        <v>5</v>
      </c>
      <c r="K191" s="1">
        <v>3</v>
      </c>
      <c r="L191" s="1">
        <v>19500</v>
      </c>
      <c r="M191" s="1">
        <v>40</v>
      </c>
      <c r="N191" s="1">
        <v>30</v>
      </c>
      <c r="O191" s="1">
        <v>25</v>
      </c>
      <c r="P191" s="1">
        <v>15</v>
      </c>
      <c r="Q191" s="1">
        <v>5</v>
      </c>
      <c r="R191" s="1">
        <v>5</v>
      </c>
      <c r="S191" s="1">
        <v>2</v>
      </c>
      <c r="T191" s="1">
        <v>5</v>
      </c>
      <c r="U191" s="1">
        <v>90</v>
      </c>
      <c r="V191" s="1">
        <v>95</v>
      </c>
      <c r="W191" s="1">
        <v>125</v>
      </c>
      <c r="X191" s="1">
        <v>100</v>
      </c>
      <c r="Y191" s="1">
        <v>130</v>
      </c>
      <c r="Z191" s="1">
        <v>132</v>
      </c>
      <c r="AA191" s="1">
        <v>0</v>
      </c>
      <c r="AB191" s="1">
        <v>15</v>
      </c>
      <c r="AC191" s="1">
        <v>5</v>
      </c>
      <c r="AD191" s="1">
        <v>9</v>
      </c>
      <c r="AE191" s="1">
        <v>125</v>
      </c>
      <c r="AF191" s="1">
        <v>100</v>
      </c>
      <c r="AG191" s="1">
        <v>105103</v>
      </c>
      <c r="AH191" s="1">
        <v>0</v>
      </c>
      <c r="AI191" s="1">
        <v>300105</v>
      </c>
      <c r="AJ191" s="1" t="s">
        <v>1198</v>
      </c>
      <c r="AK191" s="1" t="s">
        <v>329</v>
      </c>
      <c r="AL191" s="1">
        <v>18</v>
      </c>
      <c r="AM191" s="1" t="s">
        <v>4918</v>
      </c>
      <c r="AN191" s="1" t="s">
        <v>4997</v>
      </c>
      <c r="AO191" s="1" t="s">
        <v>5190</v>
      </c>
      <c r="AP191" s="1">
        <v>0</v>
      </c>
      <c r="AQ191" s="1" t="s">
        <v>1195</v>
      </c>
      <c r="AR191" s="1" t="s">
        <v>1196</v>
      </c>
      <c r="AS191" s="1" t="s">
        <v>1197</v>
      </c>
      <c r="AT191" s="1" t="s">
        <v>329</v>
      </c>
      <c r="AU191" s="1">
        <v>195</v>
      </c>
      <c r="AV191" s="1">
        <v>0</v>
      </c>
      <c r="AW191" s="1" t="s">
        <v>5191</v>
      </c>
      <c r="AX191" s="1" t="s">
        <v>5192</v>
      </c>
      <c r="AY191" s="1">
        <v>3</v>
      </c>
      <c r="AZ191" s="1">
        <v>0</v>
      </c>
      <c r="BA191" s="1" t="s">
        <v>329</v>
      </c>
      <c r="BB191" s="1" t="s">
        <v>4853</v>
      </c>
      <c r="BC191" s="1" t="s">
        <v>4829</v>
      </c>
      <c r="BD191" s="1">
        <v>10704</v>
      </c>
      <c r="BE191" s="1"/>
    </row>
    <row r="192" spans="1:57" x14ac:dyDescent="0.25">
      <c r="A192" s="1">
        <v>196</v>
      </c>
      <c r="B192" s="1" t="s">
        <v>3514</v>
      </c>
      <c r="C192" s="9" t="s">
        <v>169</v>
      </c>
      <c r="D192" s="1" t="s">
        <v>3515</v>
      </c>
      <c r="E192" s="1"/>
      <c r="F192" s="1"/>
      <c r="G192" s="1" t="s">
        <v>3516</v>
      </c>
      <c r="H192" s="1" t="s">
        <v>3517</v>
      </c>
      <c r="I192" s="1" t="s">
        <v>3518</v>
      </c>
      <c r="J192" s="1">
        <v>4</v>
      </c>
      <c r="K192" s="1">
        <v>5</v>
      </c>
      <c r="L192" s="1">
        <v>14700</v>
      </c>
      <c r="M192" s="1">
        <v>20</v>
      </c>
      <c r="N192" s="1">
        <v>20</v>
      </c>
      <c r="O192" s="1">
        <v>10</v>
      </c>
      <c r="P192" s="1">
        <v>10</v>
      </c>
      <c r="Q192" s="1">
        <v>2</v>
      </c>
      <c r="R192" s="1">
        <v>5</v>
      </c>
      <c r="S192" s="1">
        <v>5</v>
      </c>
      <c r="T192" s="1">
        <v>0</v>
      </c>
      <c r="U192" s="1">
        <v>110</v>
      </c>
      <c r="V192" s="1">
        <v>118</v>
      </c>
      <c r="W192" s="1">
        <v>108</v>
      </c>
      <c r="X192" s="1">
        <v>100</v>
      </c>
      <c r="Y192" s="1">
        <v>112</v>
      </c>
      <c r="Z192" s="1">
        <v>95</v>
      </c>
      <c r="AA192" s="1">
        <v>0</v>
      </c>
      <c r="AB192" s="1">
        <v>15</v>
      </c>
      <c r="AC192" s="1">
        <v>20</v>
      </c>
      <c r="AD192" s="1">
        <v>0</v>
      </c>
      <c r="AE192" s="1">
        <v>125</v>
      </c>
      <c r="AF192" s="1">
        <v>100</v>
      </c>
      <c r="AG192" s="1">
        <v>108001</v>
      </c>
      <c r="AH192" s="1">
        <v>0</v>
      </c>
      <c r="AI192" s="1">
        <v>300103</v>
      </c>
      <c r="AJ192" s="1" t="s">
        <v>1248</v>
      </c>
      <c r="AK192" s="1" t="s">
        <v>1249</v>
      </c>
      <c r="AL192" s="1">
        <v>13</v>
      </c>
      <c r="AM192" s="1" t="s">
        <v>4779</v>
      </c>
      <c r="AN192" s="1" t="s">
        <v>4894</v>
      </c>
      <c r="AO192" s="1" t="s">
        <v>5193</v>
      </c>
      <c r="AP192" s="1">
        <v>0</v>
      </c>
      <c r="AQ192" s="1" t="s">
        <v>1158</v>
      </c>
      <c r="AR192" s="1" t="s">
        <v>1182</v>
      </c>
      <c r="AS192" s="1" t="s">
        <v>1157</v>
      </c>
      <c r="AT192" s="1" t="s">
        <v>329</v>
      </c>
      <c r="AU192" s="1">
        <v>196</v>
      </c>
      <c r="AV192" s="1">
        <v>0</v>
      </c>
      <c r="AW192" s="1" t="s">
        <v>5093</v>
      </c>
      <c r="AX192" s="1" t="s">
        <v>332</v>
      </c>
      <c r="AY192" s="1">
        <v>5</v>
      </c>
      <c r="AZ192" s="1">
        <v>0</v>
      </c>
      <c r="BA192" s="1" t="s">
        <v>329</v>
      </c>
      <c r="BB192" s="1" t="s">
        <v>4941</v>
      </c>
      <c r="BC192" s="1" t="s">
        <v>329</v>
      </c>
      <c r="BD192" s="1">
        <v>10802</v>
      </c>
      <c r="BE192" s="1"/>
    </row>
    <row r="193" spans="1:57" x14ac:dyDescent="0.25">
      <c r="A193" s="1">
        <v>197</v>
      </c>
      <c r="B193" s="1" t="s">
        <v>3519</v>
      </c>
      <c r="C193" s="9" t="s">
        <v>170</v>
      </c>
      <c r="D193" s="1" t="s">
        <v>3520</v>
      </c>
      <c r="E193" s="1"/>
      <c r="F193" s="1"/>
      <c r="G193" s="1" t="s">
        <v>3521</v>
      </c>
      <c r="H193" s="1" t="s">
        <v>3522</v>
      </c>
      <c r="I193" s="1" t="s">
        <v>3523</v>
      </c>
      <c r="J193" s="1">
        <v>3</v>
      </c>
      <c r="K193" s="1">
        <v>5</v>
      </c>
      <c r="L193" s="1">
        <v>16680</v>
      </c>
      <c r="M193" s="1">
        <v>15</v>
      </c>
      <c r="N193" s="1">
        <v>30</v>
      </c>
      <c r="O193" s="1">
        <v>10</v>
      </c>
      <c r="P193" s="1">
        <v>15</v>
      </c>
      <c r="Q193" s="1">
        <v>5</v>
      </c>
      <c r="R193" s="1">
        <v>2</v>
      </c>
      <c r="S193" s="1">
        <v>5</v>
      </c>
      <c r="T193" s="1">
        <v>0</v>
      </c>
      <c r="U193" s="1">
        <v>90</v>
      </c>
      <c r="V193" s="1">
        <v>115</v>
      </c>
      <c r="W193" s="1">
        <v>95</v>
      </c>
      <c r="X193" s="1">
        <v>100</v>
      </c>
      <c r="Y193" s="1">
        <v>112</v>
      </c>
      <c r="Z193" s="1">
        <v>108</v>
      </c>
      <c r="AA193" s="1">
        <v>0</v>
      </c>
      <c r="AB193" s="1">
        <v>15</v>
      </c>
      <c r="AC193" s="1">
        <v>40</v>
      </c>
      <c r="AD193" s="1">
        <v>0</v>
      </c>
      <c r="AE193" s="1">
        <v>140</v>
      </c>
      <c r="AF193" s="1">
        <v>100</v>
      </c>
      <c r="AG193" s="1">
        <v>107801</v>
      </c>
      <c r="AH193" s="1">
        <v>0</v>
      </c>
      <c r="AI193" s="1">
        <v>107805</v>
      </c>
      <c r="AJ193" s="1" t="s">
        <v>1250</v>
      </c>
      <c r="AK193" s="1" t="s">
        <v>1251</v>
      </c>
      <c r="AL193" s="1">
        <v>17</v>
      </c>
      <c r="AM193" s="1" t="s">
        <v>477</v>
      </c>
      <c r="AN193" s="1" t="s">
        <v>5194</v>
      </c>
      <c r="AO193" s="1" t="s">
        <v>339</v>
      </c>
      <c r="AP193" s="1">
        <v>0</v>
      </c>
      <c r="AQ193" s="1" t="s">
        <v>1168</v>
      </c>
      <c r="AR193" s="1" t="s">
        <v>1169</v>
      </c>
      <c r="AS193" s="1" t="s">
        <v>1170</v>
      </c>
      <c r="AT193" s="1" t="s">
        <v>329</v>
      </c>
      <c r="AU193" s="1">
        <v>197</v>
      </c>
      <c r="AV193" s="1">
        <v>0</v>
      </c>
      <c r="AW193" s="1" t="s">
        <v>5093</v>
      </c>
      <c r="AX193" s="1" t="s">
        <v>332</v>
      </c>
      <c r="AY193" s="1">
        <v>5</v>
      </c>
      <c r="AZ193" s="1">
        <v>0</v>
      </c>
      <c r="BA193" s="1" t="s">
        <v>329</v>
      </c>
      <c r="BB193" s="1" t="s">
        <v>329</v>
      </c>
      <c r="BC193" s="1" t="s">
        <v>4799</v>
      </c>
      <c r="BD193" s="1">
        <v>10203</v>
      </c>
      <c r="BE193" s="1"/>
    </row>
    <row r="194" spans="1:57" x14ac:dyDescent="0.25">
      <c r="A194" s="1">
        <v>198</v>
      </c>
      <c r="B194" s="1" t="s">
        <v>3524</v>
      </c>
      <c r="C194" s="9" t="s">
        <v>171</v>
      </c>
      <c r="D194" s="1" t="s">
        <v>3525</v>
      </c>
      <c r="E194" s="1"/>
      <c r="F194" s="1"/>
      <c r="G194" s="1" t="s">
        <v>3526</v>
      </c>
      <c r="H194" s="1" t="s">
        <v>3527</v>
      </c>
      <c r="I194" s="1" t="s">
        <v>3528</v>
      </c>
      <c r="J194" s="1">
        <v>3</v>
      </c>
      <c r="K194" s="1">
        <v>5</v>
      </c>
      <c r="L194" s="1">
        <v>16920</v>
      </c>
      <c r="M194" s="1">
        <v>15</v>
      </c>
      <c r="N194" s="1">
        <v>30</v>
      </c>
      <c r="O194" s="1">
        <v>10</v>
      </c>
      <c r="P194" s="1">
        <v>15</v>
      </c>
      <c r="Q194" s="1">
        <v>5</v>
      </c>
      <c r="R194" s="1">
        <v>2</v>
      </c>
      <c r="S194" s="1">
        <v>5</v>
      </c>
      <c r="T194" s="1">
        <v>0</v>
      </c>
      <c r="U194" s="1">
        <v>82</v>
      </c>
      <c r="V194" s="1">
        <v>122</v>
      </c>
      <c r="W194" s="1">
        <v>95</v>
      </c>
      <c r="X194" s="1">
        <v>100</v>
      </c>
      <c r="Y194" s="1">
        <v>118</v>
      </c>
      <c r="Z194" s="1">
        <v>115</v>
      </c>
      <c r="AA194" s="1">
        <v>0</v>
      </c>
      <c r="AB194" s="1">
        <v>15</v>
      </c>
      <c r="AC194" s="1">
        <v>40</v>
      </c>
      <c r="AD194" s="1">
        <v>0</v>
      </c>
      <c r="AE194" s="1">
        <v>140</v>
      </c>
      <c r="AF194" s="1">
        <v>100</v>
      </c>
      <c r="AG194" s="1">
        <v>107907</v>
      </c>
      <c r="AH194" s="1">
        <v>0</v>
      </c>
      <c r="AI194" s="1">
        <v>107901</v>
      </c>
      <c r="AJ194" s="1" t="s">
        <v>1252</v>
      </c>
      <c r="AK194" s="1" t="s">
        <v>1253</v>
      </c>
      <c r="AL194" s="1">
        <v>19</v>
      </c>
      <c r="AM194" s="1" t="s">
        <v>477</v>
      </c>
      <c r="AN194" s="1" t="s">
        <v>4897</v>
      </c>
      <c r="AO194" s="1" t="s">
        <v>339</v>
      </c>
      <c r="AP194" s="1">
        <v>0</v>
      </c>
      <c r="AQ194" s="1" t="s">
        <v>1168</v>
      </c>
      <c r="AR194" s="1" t="s">
        <v>1169</v>
      </c>
      <c r="AS194" s="1" t="s">
        <v>1170</v>
      </c>
      <c r="AT194" s="1" t="s">
        <v>329</v>
      </c>
      <c r="AU194" s="1">
        <v>198</v>
      </c>
      <c r="AV194" s="1">
        <v>0</v>
      </c>
      <c r="AW194" s="1" t="s">
        <v>5093</v>
      </c>
      <c r="AX194" s="1" t="s">
        <v>332</v>
      </c>
      <c r="AY194" s="1">
        <v>5</v>
      </c>
      <c r="AZ194" s="1">
        <v>0</v>
      </c>
      <c r="BA194" s="1" t="s">
        <v>329</v>
      </c>
      <c r="BB194" s="1" t="s">
        <v>5195</v>
      </c>
      <c r="BC194" s="1" t="s">
        <v>4799</v>
      </c>
      <c r="BD194" s="1">
        <v>10203</v>
      </c>
      <c r="BE194" s="1"/>
    </row>
    <row r="195" spans="1:57" x14ac:dyDescent="0.25">
      <c r="A195" s="1">
        <v>199</v>
      </c>
      <c r="B195" s="1" t="s">
        <v>3529</v>
      </c>
      <c r="C195" s="9" t="s">
        <v>789</v>
      </c>
      <c r="D195" s="1" t="s">
        <v>3530</v>
      </c>
      <c r="E195" s="1"/>
      <c r="F195" s="1"/>
      <c r="G195" s="1" t="s">
        <v>3531</v>
      </c>
      <c r="H195" s="1" t="s">
        <v>3532</v>
      </c>
      <c r="I195" s="1" t="s">
        <v>3533</v>
      </c>
      <c r="J195" s="1">
        <v>5</v>
      </c>
      <c r="K195" s="1">
        <v>4</v>
      </c>
      <c r="L195" s="1">
        <v>22500</v>
      </c>
      <c r="M195" s="1">
        <v>40</v>
      </c>
      <c r="N195" s="1">
        <v>30</v>
      </c>
      <c r="O195" s="1">
        <v>25</v>
      </c>
      <c r="P195" s="1">
        <v>15</v>
      </c>
      <c r="Q195" s="1">
        <v>5</v>
      </c>
      <c r="R195" s="1">
        <v>5</v>
      </c>
      <c r="S195" s="1">
        <v>2</v>
      </c>
      <c r="T195" s="1">
        <v>5</v>
      </c>
      <c r="U195" s="1">
        <v>105</v>
      </c>
      <c r="V195" s="1">
        <v>125</v>
      </c>
      <c r="W195" s="1">
        <v>115</v>
      </c>
      <c r="X195" s="1">
        <v>100</v>
      </c>
      <c r="Y195" s="1">
        <v>115</v>
      </c>
      <c r="Z195" s="1">
        <v>105</v>
      </c>
      <c r="AA195" s="1">
        <v>0</v>
      </c>
      <c r="AB195" s="1">
        <v>15</v>
      </c>
      <c r="AC195" s="1">
        <v>5</v>
      </c>
      <c r="AD195" s="1">
        <v>10</v>
      </c>
      <c r="AE195" s="1">
        <v>105</v>
      </c>
      <c r="AF195" s="1">
        <v>100</v>
      </c>
      <c r="AG195" s="1">
        <v>100111</v>
      </c>
      <c r="AH195" s="1">
        <v>0</v>
      </c>
      <c r="AI195" s="1">
        <v>300105</v>
      </c>
      <c r="AJ195" s="1" t="s">
        <v>1194</v>
      </c>
      <c r="AK195" s="1" t="s">
        <v>1254</v>
      </c>
      <c r="AL195" s="1">
        <v>19</v>
      </c>
      <c r="AM195" s="1" t="s">
        <v>4918</v>
      </c>
      <c r="AN195" s="1" t="s">
        <v>5196</v>
      </c>
      <c r="AO195" s="1" t="s">
        <v>5002</v>
      </c>
      <c r="AP195" s="1">
        <v>0</v>
      </c>
      <c r="AQ195" s="1" t="s">
        <v>5072</v>
      </c>
      <c r="AR195" s="1" t="s">
        <v>1196</v>
      </c>
      <c r="AS195" s="1" t="s">
        <v>1197</v>
      </c>
      <c r="AT195" s="1" t="s">
        <v>329</v>
      </c>
      <c r="AU195" s="1">
        <v>199</v>
      </c>
      <c r="AV195" s="1">
        <v>0</v>
      </c>
      <c r="AW195" s="1" t="s">
        <v>5093</v>
      </c>
      <c r="AX195" s="1" t="s">
        <v>332</v>
      </c>
      <c r="AY195" s="1">
        <v>4</v>
      </c>
      <c r="AZ195" s="1">
        <v>0</v>
      </c>
      <c r="BA195" s="1" t="s">
        <v>4803</v>
      </c>
      <c r="BB195" s="1" t="s">
        <v>5197</v>
      </c>
      <c r="BC195" s="1" t="s">
        <v>4843</v>
      </c>
      <c r="BD195" s="1">
        <v>10704</v>
      </c>
      <c r="BE195" s="1"/>
    </row>
    <row r="196" spans="1:57" x14ac:dyDescent="0.25">
      <c r="A196" s="1">
        <v>200</v>
      </c>
      <c r="B196" s="1" t="s">
        <v>3534</v>
      </c>
      <c r="C196" s="9" t="s">
        <v>172</v>
      </c>
      <c r="D196" s="1" t="s">
        <v>3535</v>
      </c>
      <c r="E196" s="1"/>
      <c r="F196" s="1"/>
      <c r="G196" s="1" t="s">
        <v>3536</v>
      </c>
      <c r="H196" s="1" t="s">
        <v>3537</v>
      </c>
      <c r="I196" s="1" t="s">
        <v>3538</v>
      </c>
      <c r="J196" s="1">
        <v>3</v>
      </c>
      <c r="K196" s="1">
        <v>4</v>
      </c>
      <c r="L196" s="1">
        <v>15600</v>
      </c>
      <c r="M196" s="1">
        <v>15</v>
      </c>
      <c r="N196" s="1">
        <v>30</v>
      </c>
      <c r="O196" s="1">
        <v>10</v>
      </c>
      <c r="P196" s="1">
        <v>15</v>
      </c>
      <c r="Q196" s="1">
        <v>5</v>
      </c>
      <c r="R196" s="1">
        <v>2</v>
      </c>
      <c r="S196" s="1">
        <v>5</v>
      </c>
      <c r="T196" s="1">
        <v>0</v>
      </c>
      <c r="U196" s="1">
        <v>93</v>
      </c>
      <c r="V196" s="1">
        <v>115</v>
      </c>
      <c r="W196" s="1">
        <v>100</v>
      </c>
      <c r="X196" s="1">
        <v>100</v>
      </c>
      <c r="Y196" s="1">
        <v>128</v>
      </c>
      <c r="Z196" s="1">
        <v>88</v>
      </c>
      <c r="AA196" s="1">
        <v>0</v>
      </c>
      <c r="AB196" s="1">
        <v>15</v>
      </c>
      <c r="AC196" s="1">
        <v>40</v>
      </c>
      <c r="AD196" s="1">
        <v>0</v>
      </c>
      <c r="AE196" s="1">
        <v>128</v>
      </c>
      <c r="AF196" s="1">
        <v>100</v>
      </c>
      <c r="AG196" s="1">
        <v>100414</v>
      </c>
      <c r="AH196" s="1">
        <v>0</v>
      </c>
      <c r="AI196" s="1">
        <v>300104</v>
      </c>
      <c r="AJ196" s="1" t="s">
        <v>1255</v>
      </c>
      <c r="AK196" s="1" t="s">
        <v>329</v>
      </c>
      <c r="AL196" s="1">
        <v>13</v>
      </c>
      <c r="AM196" s="1" t="s">
        <v>4822</v>
      </c>
      <c r="AN196" s="1" t="s">
        <v>4889</v>
      </c>
      <c r="AO196" s="1" t="s">
        <v>4892</v>
      </c>
      <c r="AP196" s="1">
        <v>0</v>
      </c>
      <c r="AQ196" s="1" t="s">
        <v>1775</v>
      </c>
      <c r="AR196" s="1" t="s">
        <v>1169</v>
      </c>
      <c r="AS196" s="1" t="s">
        <v>1170</v>
      </c>
      <c r="AT196" s="1" t="s">
        <v>329</v>
      </c>
      <c r="AU196" s="1">
        <v>200</v>
      </c>
      <c r="AV196" s="1">
        <v>0</v>
      </c>
      <c r="AW196" s="1" t="s">
        <v>5191</v>
      </c>
      <c r="AX196" s="1" t="s">
        <v>5198</v>
      </c>
      <c r="AY196" s="1">
        <v>4</v>
      </c>
      <c r="AZ196" s="1">
        <v>0</v>
      </c>
      <c r="BA196" s="1" t="s">
        <v>4803</v>
      </c>
      <c r="BB196" s="1" t="s">
        <v>329</v>
      </c>
      <c r="BC196" s="1" t="s">
        <v>4780</v>
      </c>
      <c r="BD196" s="1">
        <v>10302</v>
      </c>
      <c r="BE196" s="1"/>
    </row>
    <row r="197" spans="1:57" x14ac:dyDescent="0.25">
      <c r="A197" s="1">
        <v>201</v>
      </c>
      <c r="B197" s="1" t="s">
        <v>3539</v>
      </c>
      <c r="C197" s="9" t="s">
        <v>173</v>
      </c>
      <c r="D197" s="1" t="s">
        <v>3540</v>
      </c>
      <c r="E197" s="1"/>
      <c r="F197" s="1"/>
      <c r="G197" s="1" t="s">
        <v>3541</v>
      </c>
      <c r="H197" s="1" t="s">
        <v>3542</v>
      </c>
      <c r="I197" s="1" t="s">
        <v>3543</v>
      </c>
      <c r="J197" s="1">
        <v>3</v>
      </c>
      <c r="K197" s="1">
        <v>3</v>
      </c>
      <c r="L197" s="1">
        <v>15600</v>
      </c>
      <c r="M197" s="1">
        <v>15</v>
      </c>
      <c r="N197" s="1">
        <v>30</v>
      </c>
      <c r="O197" s="1">
        <v>10</v>
      </c>
      <c r="P197" s="1">
        <v>15</v>
      </c>
      <c r="Q197" s="1">
        <v>5</v>
      </c>
      <c r="R197" s="1">
        <v>2</v>
      </c>
      <c r="S197" s="1">
        <v>5</v>
      </c>
      <c r="T197" s="1">
        <v>0</v>
      </c>
      <c r="U197" s="1">
        <v>100</v>
      </c>
      <c r="V197" s="1">
        <v>132</v>
      </c>
      <c r="W197" s="1">
        <v>85</v>
      </c>
      <c r="X197" s="1">
        <v>100</v>
      </c>
      <c r="Y197" s="1">
        <v>115</v>
      </c>
      <c r="Z197" s="1">
        <v>82</v>
      </c>
      <c r="AA197" s="1">
        <v>0</v>
      </c>
      <c r="AB197" s="1">
        <v>15</v>
      </c>
      <c r="AC197" s="1">
        <v>40</v>
      </c>
      <c r="AD197" s="1">
        <v>0</v>
      </c>
      <c r="AE197" s="1">
        <v>120</v>
      </c>
      <c r="AF197" s="1">
        <v>100</v>
      </c>
      <c r="AG197" s="1">
        <v>102708</v>
      </c>
      <c r="AH197" s="1">
        <v>0</v>
      </c>
      <c r="AI197" s="1">
        <v>300104</v>
      </c>
      <c r="AJ197" s="1" t="s">
        <v>1223</v>
      </c>
      <c r="AK197" s="1" t="s">
        <v>329</v>
      </c>
      <c r="AL197" s="1">
        <v>13</v>
      </c>
      <c r="AM197" s="1" t="s">
        <v>4822</v>
      </c>
      <c r="AN197" s="1" t="s">
        <v>4944</v>
      </c>
      <c r="AO197" s="1" t="s">
        <v>4886</v>
      </c>
      <c r="AP197" s="1">
        <v>0</v>
      </c>
      <c r="AQ197" s="1" t="s">
        <v>1775</v>
      </c>
      <c r="AR197" s="1" t="s">
        <v>1169</v>
      </c>
      <c r="AS197" s="1" t="s">
        <v>1170</v>
      </c>
      <c r="AT197" s="1" t="s">
        <v>329</v>
      </c>
      <c r="AU197" s="1">
        <v>201</v>
      </c>
      <c r="AV197" s="1">
        <v>0</v>
      </c>
      <c r="AW197" s="1" t="s">
        <v>5199</v>
      </c>
      <c r="AX197" s="1" t="s">
        <v>4813</v>
      </c>
      <c r="AY197" s="1">
        <v>3</v>
      </c>
      <c r="AZ197" s="1">
        <v>0</v>
      </c>
      <c r="BA197" s="1" t="s">
        <v>4825</v>
      </c>
      <c r="BB197" s="1" t="s">
        <v>354</v>
      </c>
      <c r="BC197" s="1" t="s">
        <v>329</v>
      </c>
      <c r="BD197" s="1">
        <v>10701</v>
      </c>
      <c r="BE197" s="1"/>
    </row>
    <row r="198" spans="1:57" x14ac:dyDescent="0.25">
      <c r="A198" s="1">
        <v>202</v>
      </c>
      <c r="B198" s="1" t="s">
        <v>3544</v>
      </c>
      <c r="C198" s="9" t="s">
        <v>5552</v>
      </c>
      <c r="D198" s="1" t="s">
        <v>3545</v>
      </c>
      <c r="E198" s="1"/>
      <c r="F198" s="1"/>
      <c r="G198" s="1" t="s">
        <v>3546</v>
      </c>
      <c r="H198" s="1" t="s">
        <v>3547</v>
      </c>
      <c r="I198" s="1" t="s">
        <v>3548</v>
      </c>
      <c r="J198" s="1">
        <v>1</v>
      </c>
      <c r="K198" s="1">
        <v>4</v>
      </c>
      <c r="L198" s="1">
        <v>3600</v>
      </c>
      <c r="M198" s="1">
        <v>10</v>
      </c>
      <c r="N198" s="1">
        <v>10</v>
      </c>
      <c r="O198" s="1">
        <v>5</v>
      </c>
      <c r="P198" s="1">
        <v>5</v>
      </c>
      <c r="Q198" s="1">
        <v>2</v>
      </c>
      <c r="R198" s="1">
        <v>2</v>
      </c>
      <c r="S198" s="1">
        <v>2</v>
      </c>
      <c r="T198" s="1">
        <v>0</v>
      </c>
      <c r="U198" s="1">
        <v>130</v>
      </c>
      <c r="V198" s="1">
        <v>160</v>
      </c>
      <c r="W198" s="1">
        <v>65</v>
      </c>
      <c r="X198" s="1">
        <v>100</v>
      </c>
      <c r="Y198" s="1">
        <v>105</v>
      </c>
      <c r="Z198" s="1">
        <v>75</v>
      </c>
      <c r="AA198" s="1">
        <v>0</v>
      </c>
      <c r="AB198" s="1">
        <v>15</v>
      </c>
      <c r="AC198" s="1">
        <v>40</v>
      </c>
      <c r="AD198" s="1">
        <v>0</v>
      </c>
      <c r="AE198" s="1">
        <v>130</v>
      </c>
      <c r="AF198" s="1">
        <v>100</v>
      </c>
      <c r="AG198" s="1">
        <v>108101</v>
      </c>
      <c r="AH198" s="1">
        <v>0</v>
      </c>
      <c r="AI198" s="1">
        <v>300101</v>
      </c>
      <c r="AJ198" s="1" t="s">
        <v>5200</v>
      </c>
      <c r="AK198" s="1" t="s">
        <v>329</v>
      </c>
      <c r="AL198" s="1">
        <v>13</v>
      </c>
      <c r="AM198" s="1" t="s">
        <v>1866</v>
      </c>
      <c r="AN198" s="1" t="s">
        <v>4836</v>
      </c>
      <c r="AO198" s="1" t="s">
        <v>4884</v>
      </c>
      <c r="AP198" s="1">
        <v>0</v>
      </c>
      <c r="AQ198" s="1" t="s">
        <v>1146</v>
      </c>
      <c r="AR198" s="1" t="s">
        <v>1147</v>
      </c>
      <c r="AS198" s="1" t="s">
        <v>1148</v>
      </c>
      <c r="AT198" s="1" t="s">
        <v>329</v>
      </c>
      <c r="AU198" s="1">
        <v>202</v>
      </c>
      <c r="AV198" s="1">
        <v>0</v>
      </c>
      <c r="AW198" s="1" t="s">
        <v>4878</v>
      </c>
      <c r="AX198" s="1" t="s">
        <v>5161</v>
      </c>
      <c r="AY198" s="1">
        <v>4</v>
      </c>
      <c r="AZ198" s="1">
        <v>0</v>
      </c>
      <c r="BA198" s="1" t="s">
        <v>329</v>
      </c>
      <c r="BB198" s="1" t="s">
        <v>5201</v>
      </c>
      <c r="BC198" s="1" t="s">
        <v>4780</v>
      </c>
      <c r="BD198" s="1">
        <v>10202</v>
      </c>
      <c r="BE198" s="1"/>
    </row>
    <row r="199" spans="1:57" x14ac:dyDescent="0.25">
      <c r="A199" s="1">
        <v>203</v>
      </c>
      <c r="B199" s="1" t="s">
        <v>3549</v>
      </c>
      <c r="C199" s="9" t="s">
        <v>1748</v>
      </c>
      <c r="D199" s="1" t="s">
        <v>3550</v>
      </c>
      <c r="E199" s="1"/>
      <c r="F199" s="1"/>
      <c r="G199" s="1" t="s">
        <v>3551</v>
      </c>
      <c r="H199" s="1" t="s">
        <v>3552</v>
      </c>
      <c r="I199" s="1" t="s">
        <v>3553</v>
      </c>
      <c r="J199" s="1">
        <v>2</v>
      </c>
      <c r="K199" s="1">
        <v>4</v>
      </c>
      <c r="L199" s="1">
        <v>8280</v>
      </c>
      <c r="M199" s="1">
        <v>25</v>
      </c>
      <c r="N199" s="1">
        <v>20</v>
      </c>
      <c r="O199" s="1">
        <v>15</v>
      </c>
      <c r="P199" s="1">
        <v>10</v>
      </c>
      <c r="Q199" s="1">
        <v>5</v>
      </c>
      <c r="R199" s="1">
        <v>5</v>
      </c>
      <c r="S199" s="1">
        <v>2</v>
      </c>
      <c r="T199" s="1">
        <v>0</v>
      </c>
      <c r="U199" s="1">
        <v>112</v>
      </c>
      <c r="V199" s="1">
        <v>140</v>
      </c>
      <c r="W199" s="1">
        <v>110</v>
      </c>
      <c r="X199" s="1">
        <v>100</v>
      </c>
      <c r="Y199" s="1">
        <v>125</v>
      </c>
      <c r="Z199" s="1">
        <v>115</v>
      </c>
      <c r="AA199" s="1">
        <v>0</v>
      </c>
      <c r="AB199" s="1">
        <v>15</v>
      </c>
      <c r="AC199" s="1">
        <v>5</v>
      </c>
      <c r="AD199" s="1">
        <v>0</v>
      </c>
      <c r="AE199" s="1">
        <v>90</v>
      </c>
      <c r="AF199" s="1">
        <v>100</v>
      </c>
      <c r="AG199" s="1">
        <v>101904</v>
      </c>
      <c r="AH199" s="1">
        <v>0</v>
      </c>
      <c r="AI199" s="1">
        <v>300102</v>
      </c>
      <c r="AJ199" s="1" t="s">
        <v>5202</v>
      </c>
      <c r="AK199" s="1" t="s">
        <v>5203</v>
      </c>
      <c r="AL199" s="1">
        <v>12</v>
      </c>
      <c r="AM199" s="1" t="s">
        <v>4850</v>
      </c>
      <c r="AN199" s="1" t="s">
        <v>359</v>
      </c>
      <c r="AO199" s="1" t="s">
        <v>5204</v>
      </c>
      <c r="AP199" s="1">
        <v>0</v>
      </c>
      <c r="AQ199" s="1" t="s">
        <v>1773</v>
      </c>
      <c r="AR199" s="1" t="s">
        <v>1147</v>
      </c>
      <c r="AS199" s="1" t="s">
        <v>1158</v>
      </c>
      <c r="AT199" s="1" t="s">
        <v>329</v>
      </c>
      <c r="AU199" s="1">
        <v>203</v>
      </c>
      <c r="AV199" s="1">
        <v>0</v>
      </c>
      <c r="AW199" s="1" t="s">
        <v>4878</v>
      </c>
      <c r="AX199" s="1" t="s">
        <v>5205</v>
      </c>
      <c r="AY199" s="1">
        <v>4</v>
      </c>
      <c r="AZ199" s="1">
        <v>0</v>
      </c>
      <c r="BA199" s="1" t="s">
        <v>329</v>
      </c>
      <c r="BB199" s="1" t="s">
        <v>329</v>
      </c>
      <c r="BC199" s="1" t="s">
        <v>4780</v>
      </c>
      <c r="BD199" s="1">
        <v>10703</v>
      </c>
      <c r="BE199" s="1"/>
    </row>
    <row r="200" spans="1:57" x14ac:dyDescent="0.25">
      <c r="A200" s="1">
        <v>204</v>
      </c>
      <c r="B200" s="1" t="s">
        <v>3554</v>
      </c>
      <c r="C200" s="9" t="s">
        <v>174</v>
      </c>
      <c r="D200" s="1" t="s">
        <v>174</v>
      </c>
      <c r="E200" s="1"/>
      <c r="F200" s="1"/>
      <c r="G200" s="1" t="s">
        <v>3555</v>
      </c>
      <c r="H200" s="1" t="s">
        <v>3556</v>
      </c>
      <c r="I200" s="1" t="s">
        <v>3557</v>
      </c>
      <c r="J200" s="1">
        <v>3</v>
      </c>
      <c r="K200" s="1">
        <v>5</v>
      </c>
      <c r="L200" s="1">
        <v>15600</v>
      </c>
      <c r="M200" s="1">
        <v>15</v>
      </c>
      <c r="N200" s="1">
        <v>30</v>
      </c>
      <c r="O200" s="1">
        <v>10</v>
      </c>
      <c r="P200" s="1">
        <v>15</v>
      </c>
      <c r="Q200" s="1">
        <v>5</v>
      </c>
      <c r="R200" s="1">
        <v>2</v>
      </c>
      <c r="S200" s="1">
        <v>5</v>
      </c>
      <c r="T200" s="1">
        <v>0</v>
      </c>
      <c r="U200" s="1">
        <v>93</v>
      </c>
      <c r="V200" s="1">
        <v>115</v>
      </c>
      <c r="W200" s="1">
        <v>100</v>
      </c>
      <c r="X200" s="1">
        <v>100</v>
      </c>
      <c r="Y200" s="1">
        <v>120</v>
      </c>
      <c r="Z200" s="1">
        <v>90</v>
      </c>
      <c r="AA200" s="1">
        <v>0</v>
      </c>
      <c r="AB200" s="1">
        <v>15</v>
      </c>
      <c r="AC200" s="1">
        <v>40</v>
      </c>
      <c r="AD200" s="1">
        <v>0</v>
      </c>
      <c r="AE200" s="1">
        <v>142</v>
      </c>
      <c r="AF200" s="1">
        <v>100</v>
      </c>
      <c r="AG200" s="1">
        <v>108803</v>
      </c>
      <c r="AH200" s="1">
        <v>0</v>
      </c>
      <c r="AI200" s="1">
        <v>108802</v>
      </c>
      <c r="AJ200" s="1" t="s">
        <v>1256</v>
      </c>
      <c r="AK200" s="1" t="s">
        <v>1257</v>
      </c>
      <c r="AL200" s="1">
        <v>13</v>
      </c>
      <c r="AM200" s="1" t="s">
        <v>4822</v>
      </c>
      <c r="AN200" s="1" t="s">
        <v>4894</v>
      </c>
      <c r="AO200" s="1" t="s">
        <v>4905</v>
      </c>
      <c r="AP200" s="1">
        <v>0</v>
      </c>
      <c r="AQ200" s="1" t="s">
        <v>1168</v>
      </c>
      <c r="AR200" s="1" t="s">
        <v>1169</v>
      </c>
      <c r="AS200" s="1" t="s">
        <v>1170</v>
      </c>
      <c r="AT200" s="1" t="s">
        <v>329</v>
      </c>
      <c r="AU200" s="1">
        <v>204</v>
      </c>
      <c r="AV200" s="1">
        <v>0</v>
      </c>
      <c r="AW200" s="1" t="s">
        <v>4878</v>
      </c>
      <c r="AX200" s="1" t="s">
        <v>5206</v>
      </c>
      <c r="AY200" s="1">
        <v>5</v>
      </c>
      <c r="AZ200" s="1">
        <v>0</v>
      </c>
      <c r="BA200" s="1" t="s">
        <v>329</v>
      </c>
      <c r="BB200" s="1" t="s">
        <v>329</v>
      </c>
      <c r="BC200" s="1" t="s">
        <v>4913</v>
      </c>
      <c r="BD200" s="1">
        <v>10202</v>
      </c>
      <c r="BE200" s="1"/>
    </row>
    <row r="201" spans="1:57" x14ac:dyDescent="0.25">
      <c r="A201" s="1">
        <v>205</v>
      </c>
      <c r="B201" s="1" t="s">
        <v>3558</v>
      </c>
      <c r="C201" s="9" t="s">
        <v>233</v>
      </c>
      <c r="D201" s="1" t="s">
        <v>233</v>
      </c>
      <c r="E201" s="1"/>
      <c r="F201" s="1"/>
      <c r="G201" s="1" t="s">
        <v>3559</v>
      </c>
      <c r="H201" s="1" t="s">
        <v>3560</v>
      </c>
      <c r="I201" s="1" t="s">
        <v>3561</v>
      </c>
      <c r="J201" s="1">
        <v>4</v>
      </c>
      <c r="K201" s="1">
        <v>5</v>
      </c>
      <c r="L201" s="1">
        <v>14940</v>
      </c>
      <c r="M201" s="1">
        <v>20</v>
      </c>
      <c r="N201" s="1">
        <v>20</v>
      </c>
      <c r="O201" s="1">
        <v>10</v>
      </c>
      <c r="P201" s="1">
        <v>10</v>
      </c>
      <c r="Q201" s="1">
        <v>2</v>
      </c>
      <c r="R201" s="1">
        <v>5</v>
      </c>
      <c r="S201" s="1">
        <v>5</v>
      </c>
      <c r="T201" s="1">
        <v>0</v>
      </c>
      <c r="U201" s="1">
        <v>105</v>
      </c>
      <c r="V201" s="1">
        <v>105</v>
      </c>
      <c r="W201" s="1">
        <v>105</v>
      </c>
      <c r="X201" s="1">
        <v>100</v>
      </c>
      <c r="Y201" s="1">
        <v>135</v>
      </c>
      <c r="Z201" s="1">
        <v>95</v>
      </c>
      <c r="AA201" s="1">
        <v>0</v>
      </c>
      <c r="AB201" s="1">
        <v>15</v>
      </c>
      <c r="AC201" s="1">
        <v>20</v>
      </c>
      <c r="AD201" s="1">
        <v>0</v>
      </c>
      <c r="AE201" s="1">
        <v>148</v>
      </c>
      <c r="AF201" s="1">
        <v>100</v>
      </c>
      <c r="AG201" s="1">
        <v>108607</v>
      </c>
      <c r="AH201" s="1">
        <v>0</v>
      </c>
      <c r="AI201" s="1">
        <v>108612</v>
      </c>
      <c r="AJ201" s="1" t="s">
        <v>1258</v>
      </c>
      <c r="AK201" s="1" t="s">
        <v>329</v>
      </c>
      <c r="AL201" s="1">
        <v>12</v>
      </c>
      <c r="AM201" s="1" t="s">
        <v>4779</v>
      </c>
      <c r="AN201" s="1" t="s">
        <v>5207</v>
      </c>
      <c r="AO201" s="1" t="s">
        <v>5208</v>
      </c>
      <c r="AP201" s="1">
        <v>0</v>
      </c>
      <c r="AQ201" s="1" t="s">
        <v>1158</v>
      </c>
      <c r="AR201" s="1" t="s">
        <v>1182</v>
      </c>
      <c r="AS201" s="1" t="s">
        <v>1157</v>
      </c>
      <c r="AT201" s="1" t="s">
        <v>329</v>
      </c>
      <c r="AU201" s="1">
        <v>205</v>
      </c>
      <c r="AV201" s="1">
        <v>0</v>
      </c>
      <c r="AW201" s="1" t="s">
        <v>4878</v>
      </c>
      <c r="AX201" s="1" t="s">
        <v>332</v>
      </c>
      <c r="AY201" s="1">
        <v>5</v>
      </c>
      <c r="AZ201" s="1">
        <v>0</v>
      </c>
      <c r="BA201" s="1" t="s">
        <v>329</v>
      </c>
      <c r="BB201" s="1" t="s">
        <v>354</v>
      </c>
      <c r="BC201" s="1" t="s">
        <v>5209</v>
      </c>
      <c r="BD201" s="1">
        <v>10104</v>
      </c>
      <c r="BE201" s="1"/>
    </row>
    <row r="202" spans="1:57" x14ac:dyDescent="0.25">
      <c r="A202" s="1">
        <v>206</v>
      </c>
      <c r="B202" s="1" t="s">
        <v>3562</v>
      </c>
      <c r="C202" s="9" t="s">
        <v>234</v>
      </c>
      <c r="D202" s="1" t="s">
        <v>234</v>
      </c>
      <c r="E202" s="1"/>
      <c r="F202" s="1"/>
      <c r="G202" s="1" t="s">
        <v>3563</v>
      </c>
      <c r="H202" s="1" t="s">
        <v>3564</v>
      </c>
      <c r="I202" s="1" t="s">
        <v>3565</v>
      </c>
      <c r="J202" s="1">
        <v>4</v>
      </c>
      <c r="K202" s="1">
        <v>5</v>
      </c>
      <c r="L202" s="1">
        <v>15120</v>
      </c>
      <c r="M202" s="1">
        <v>20</v>
      </c>
      <c r="N202" s="1">
        <v>20</v>
      </c>
      <c r="O202" s="1">
        <v>10</v>
      </c>
      <c r="P202" s="1">
        <v>10</v>
      </c>
      <c r="Q202" s="1">
        <v>2</v>
      </c>
      <c r="R202" s="1">
        <v>5</v>
      </c>
      <c r="S202" s="1">
        <v>5</v>
      </c>
      <c r="T202" s="1">
        <v>0</v>
      </c>
      <c r="U202" s="1">
        <v>100</v>
      </c>
      <c r="V202" s="1">
        <v>112</v>
      </c>
      <c r="W202" s="1">
        <v>110</v>
      </c>
      <c r="X202" s="1">
        <v>100</v>
      </c>
      <c r="Y202" s="1">
        <v>130</v>
      </c>
      <c r="Z202" s="1">
        <v>110</v>
      </c>
      <c r="AA202" s="1">
        <v>0</v>
      </c>
      <c r="AB202" s="1">
        <v>15</v>
      </c>
      <c r="AC202" s="1">
        <v>20</v>
      </c>
      <c r="AD202" s="1">
        <v>0</v>
      </c>
      <c r="AE202" s="1">
        <v>139</v>
      </c>
      <c r="AF202" s="1">
        <v>100</v>
      </c>
      <c r="AG202" s="1">
        <v>118003</v>
      </c>
      <c r="AH202" s="1">
        <v>0</v>
      </c>
      <c r="AI202" s="1">
        <v>108502</v>
      </c>
      <c r="AJ202" s="1" t="s">
        <v>5210</v>
      </c>
      <c r="AK202" s="1" t="s">
        <v>329</v>
      </c>
      <c r="AL202" s="1">
        <v>14</v>
      </c>
      <c r="AM202" s="1" t="s">
        <v>4779</v>
      </c>
      <c r="AN202" s="1" t="s">
        <v>5211</v>
      </c>
      <c r="AO202" s="1" t="s">
        <v>5212</v>
      </c>
      <c r="AP202" s="1">
        <v>0</v>
      </c>
      <c r="AQ202" s="1" t="s">
        <v>1158</v>
      </c>
      <c r="AR202" s="1" t="s">
        <v>1182</v>
      </c>
      <c r="AS202" s="1" t="s">
        <v>1157</v>
      </c>
      <c r="AT202" s="1" t="s">
        <v>329</v>
      </c>
      <c r="AU202" s="1">
        <v>206</v>
      </c>
      <c r="AV202" s="1">
        <v>0</v>
      </c>
      <c r="AW202" s="1" t="s">
        <v>4878</v>
      </c>
      <c r="AX202" s="1" t="s">
        <v>332</v>
      </c>
      <c r="AY202" s="1">
        <v>5</v>
      </c>
      <c r="AZ202" s="1">
        <v>0</v>
      </c>
      <c r="BA202" s="1" t="s">
        <v>329</v>
      </c>
      <c r="BB202" s="1" t="s">
        <v>5213</v>
      </c>
      <c r="BC202" s="1" t="s">
        <v>5209</v>
      </c>
      <c r="BD202" s="1">
        <v>10104</v>
      </c>
      <c r="BE202" s="1"/>
    </row>
    <row r="203" spans="1:57" x14ac:dyDescent="0.25">
      <c r="A203" s="1">
        <v>207</v>
      </c>
      <c r="B203" s="1" t="s">
        <v>3566</v>
      </c>
      <c r="C203" s="9" t="s">
        <v>175</v>
      </c>
      <c r="D203" s="1" t="s">
        <v>175</v>
      </c>
      <c r="E203" s="1"/>
      <c r="F203" s="1"/>
      <c r="G203" s="1" t="s">
        <v>3567</v>
      </c>
      <c r="H203" s="1" t="s">
        <v>3568</v>
      </c>
      <c r="I203" s="1" t="s">
        <v>3569</v>
      </c>
      <c r="J203" s="1">
        <v>4</v>
      </c>
      <c r="K203" s="1">
        <v>4</v>
      </c>
      <c r="L203" s="1">
        <v>14100</v>
      </c>
      <c r="M203" s="1">
        <v>20</v>
      </c>
      <c r="N203" s="1">
        <v>20</v>
      </c>
      <c r="O203" s="1">
        <v>10</v>
      </c>
      <c r="P203" s="1">
        <v>10</v>
      </c>
      <c r="Q203" s="1">
        <v>2</v>
      </c>
      <c r="R203" s="1">
        <v>5</v>
      </c>
      <c r="S203" s="1">
        <v>5</v>
      </c>
      <c r="T203" s="1">
        <v>0</v>
      </c>
      <c r="U203" s="1">
        <v>100</v>
      </c>
      <c r="V203" s="1">
        <v>112</v>
      </c>
      <c r="W203" s="1">
        <v>118</v>
      </c>
      <c r="X203" s="1">
        <v>100</v>
      </c>
      <c r="Y203" s="1">
        <v>115</v>
      </c>
      <c r="Z203" s="1">
        <v>120</v>
      </c>
      <c r="AA203" s="1">
        <v>0</v>
      </c>
      <c r="AB203" s="1">
        <v>15</v>
      </c>
      <c r="AC203" s="1">
        <v>20</v>
      </c>
      <c r="AD203" s="1">
        <v>0</v>
      </c>
      <c r="AE203" s="1">
        <v>110</v>
      </c>
      <c r="AF203" s="1">
        <v>100</v>
      </c>
      <c r="AG203" s="1">
        <v>108201</v>
      </c>
      <c r="AH203" s="1">
        <v>0</v>
      </c>
      <c r="AI203" s="1">
        <v>300103</v>
      </c>
      <c r="AJ203" s="1" t="s">
        <v>329</v>
      </c>
      <c r="AK203" s="1" t="s">
        <v>329</v>
      </c>
      <c r="AL203" s="1">
        <v>13</v>
      </c>
      <c r="AM203" s="1" t="s">
        <v>4779</v>
      </c>
      <c r="AN203" s="1" t="s">
        <v>476</v>
      </c>
      <c r="AO203" s="1" t="s">
        <v>5058</v>
      </c>
      <c r="AP203" s="1">
        <v>0</v>
      </c>
      <c r="AQ203" s="1" t="s">
        <v>1158</v>
      </c>
      <c r="AR203" s="1" t="s">
        <v>1182</v>
      </c>
      <c r="AS203" s="1" t="s">
        <v>1157</v>
      </c>
      <c r="AT203" s="1" t="s">
        <v>329</v>
      </c>
      <c r="AU203" s="1">
        <v>207</v>
      </c>
      <c r="AV203" s="1">
        <v>0</v>
      </c>
      <c r="AW203" s="1" t="s">
        <v>4878</v>
      </c>
      <c r="AX203" s="1" t="s">
        <v>5214</v>
      </c>
      <c r="AY203" s="1">
        <v>4</v>
      </c>
      <c r="AZ203" s="1">
        <v>0</v>
      </c>
      <c r="BA203" s="1" t="s">
        <v>329</v>
      </c>
      <c r="BB203" s="1" t="s">
        <v>329</v>
      </c>
      <c r="BC203" s="1" t="s">
        <v>329</v>
      </c>
      <c r="BD203" s="1">
        <v>10703</v>
      </c>
      <c r="BE203" s="1"/>
    </row>
    <row r="204" spans="1:57" x14ac:dyDescent="0.25">
      <c r="A204" s="1">
        <v>208</v>
      </c>
      <c r="B204" s="1" t="s">
        <v>3570</v>
      </c>
      <c r="C204" s="9" t="s">
        <v>176</v>
      </c>
      <c r="D204" s="1" t="s">
        <v>176</v>
      </c>
      <c r="E204" s="1"/>
      <c r="F204" s="1"/>
      <c r="G204" s="1" t="s">
        <v>3571</v>
      </c>
      <c r="H204" s="1" t="s">
        <v>3572</v>
      </c>
      <c r="I204" s="1" t="s">
        <v>3573</v>
      </c>
      <c r="J204" s="1">
        <v>5</v>
      </c>
      <c r="K204" s="1">
        <v>5</v>
      </c>
      <c r="L204" s="1">
        <v>22500</v>
      </c>
      <c r="M204" s="1">
        <v>40</v>
      </c>
      <c r="N204" s="1">
        <v>30</v>
      </c>
      <c r="O204" s="1">
        <v>25</v>
      </c>
      <c r="P204" s="1">
        <v>15</v>
      </c>
      <c r="Q204" s="1">
        <v>5</v>
      </c>
      <c r="R204" s="1">
        <v>5</v>
      </c>
      <c r="S204" s="1">
        <v>2</v>
      </c>
      <c r="T204" s="1">
        <v>5</v>
      </c>
      <c r="U204" s="1">
        <v>102</v>
      </c>
      <c r="V204" s="1">
        <v>110</v>
      </c>
      <c r="W204" s="1">
        <v>125</v>
      </c>
      <c r="X204" s="1">
        <v>100</v>
      </c>
      <c r="Y204" s="1">
        <v>110</v>
      </c>
      <c r="Z204" s="1">
        <v>125</v>
      </c>
      <c r="AA204" s="1">
        <v>0</v>
      </c>
      <c r="AB204" s="1">
        <v>15</v>
      </c>
      <c r="AC204" s="1">
        <v>5</v>
      </c>
      <c r="AD204" s="1">
        <v>10</v>
      </c>
      <c r="AE204" s="1">
        <v>125</v>
      </c>
      <c r="AF204" s="1">
        <v>100</v>
      </c>
      <c r="AG204" s="1">
        <v>108701</v>
      </c>
      <c r="AH204" s="1">
        <v>0</v>
      </c>
      <c r="AI204" s="1">
        <v>108702</v>
      </c>
      <c r="AJ204" s="1" t="s">
        <v>1259</v>
      </c>
      <c r="AK204" s="1" t="s">
        <v>329</v>
      </c>
      <c r="AL204" s="1">
        <v>18</v>
      </c>
      <c r="AM204" s="1" t="s">
        <v>4918</v>
      </c>
      <c r="AN204" s="1" t="s">
        <v>4979</v>
      </c>
      <c r="AO204" s="1" t="s">
        <v>5215</v>
      </c>
      <c r="AP204" s="1">
        <v>0</v>
      </c>
      <c r="AQ204" s="1" t="s">
        <v>1195</v>
      </c>
      <c r="AR204" s="1" t="s">
        <v>1196</v>
      </c>
      <c r="AS204" s="1" t="s">
        <v>1197</v>
      </c>
      <c r="AT204" s="1" t="s">
        <v>329</v>
      </c>
      <c r="AU204" s="1">
        <v>208</v>
      </c>
      <c r="AV204" s="1">
        <v>0</v>
      </c>
      <c r="AW204" s="1" t="s">
        <v>4878</v>
      </c>
      <c r="AX204" s="1" t="s">
        <v>5214</v>
      </c>
      <c r="AY204" s="1">
        <v>5</v>
      </c>
      <c r="AZ204" s="1">
        <v>0</v>
      </c>
      <c r="BA204" s="1" t="s">
        <v>329</v>
      </c>
      <c r="BB204" s="1" t="s">
        <v>329</v>
      </c>
      <c r="BC204" s="1" t="s">
        <v>4829</v>
      </c>
      <c r="BD204" s="1">
        <v>10501</v>
      </c>
      <c r="BE204" s="1"/>
    </row>
    <row r="205" spans="1:57" x14ac:dyDescent="0.25">
      <c r="A205" s="1">
        <v>209</v>
      </c>
      <c r="B205" s="1" t="s">
        <v>3574</v>
      </c>
      <c r="C205" s="9" t="s">
        <v>1669</v>
      </c>
      <c r="D205" s="1" t="s">
        <v>1669</v>
      </c>
      <c r="E205" s="1"/>
      <c r="F205" s="1"/>
      <c r="G205" s="1" t="s">
        <v>3575</v>
      </c>
      <c r="H205" s="1" t="s">
        <v>3576</v>
      </c>
      <c r="I205" s="1" t="s">
        <v>3577</v>
      </c>
      <c r="J205" s="1">
        <v>2</v>
      </c>
      <c r="K205" s="1">
        <v>3</v>
      </c>
      <c r="L205" s="1">
        <v>6600</v>
      </c>
      <c r="M205" s="1">
        <v>25</v>
      </c>
      <c r="N205" s="1">
        <v>20</v>
      </c>
      <c r="O205" s="1">
        <v>15</v>
      </c>
      <c r="P205" s="1">
        <v>10</v>
      </c>
      <c r="Q205" s="1">
        <v>5</v>
      </c>
      <c r="R205" s="1">
        <v>5</v>
      </c>
      <c r="S205" s="1">
        <v>2</v>
      </c>
      <c r="T205" s="1">
        <v>0</v>
      </c>
      <c r="U205" s="1">
        <v>108</v>
      </c>
      <c r="V205" s="1">
        <v>105</v>
      </c>
      <c r="W205" s="1">
        <v>95</v>
      </c>
      <c r="X205" s="1">
        <v>100</v>
      </c>
      <c r="Y205" s="1">
        <v>118</v>
      </c>
      <c r="Z205" s="1">
        <v>122</v>
      </c>
      <c r="AA205" s="1">
        <v>0</v>
      </c>
      <c r="AB205" s="1">
        <v>15</v>
      </c>
      <c r="AC205" s="1">
        <v>5</v>
      </c>
      <c r="AD205" s="1">
        <v>0</v>
      </c>
      <c r="AE205" s="1">
        <v>105</v>
      </c>
      <c r="AF205" s="1">
        <v>100</v>
      </c>
      <c r="AG205" s="1">
        <v>102205</v>
      </c>
      <c r="AH205" s="1">
        <v>0</v>
      </c>
      <c r="AI205" s="1">
        <v>300102</v>
      </c>
      <c r="AJ205" s="1" t="s">
        <v>5216</v>
      </c>
      <c r="AK205" s="1" t="s">
        <v>329</v>
      </c>
      <c r="AL205" s="1">
        <v>13</v>
      </c>
      <c r="AM205" s="1" t="s">
        <v>4850</v>
      </c>
      <c r="AN205" s="1" t="s">
        <v>4848</v>
      </c>
      <c r="AO205" s="1" t="s">
        <v>5140</v>
      </c>
      <c r="AP205" s="1">
        <v>0</v>
      </c>
      <c r="AQ205" s="1" t="s">
        <v>1157</v>
      </c>
      <c r="AR205" s="1" t="s">
        <v>1147</v>
      </c>
      <c r="AS205" s="1" t="s">
        <v>1158</v>
      </c>
      <c r="AT205" s="1" t="s">
        <v>329</v>
      </c>
      <c r="AU205" s="1">
        <v>209</v>
      </c>
      <c r="AV205" s="1">
        <v>0</v>
      </c>
      <c r="AW205" s="1" t="s">
        <v>5217</v>
      </c>
      <c r="AX205" s="1" t="s">
        <v>4813</v>
      </c>
      <c r="AY205" s="1">
        <v>3</v>
      </c>
      <c r="AZ205" s="1">
        <v>0</v>
      </c>
      <c r="BA205" s="1" t="s">
        <v>329</v>
      </c>
      <c r="BB205" s="1" t="s">
        <v>329</v>
      </c>
      <c r="BC205" s="1" t="s">
        <v>4817</v>
      </c>
      <c r="BD205" s="1">
        <v>10704</v>
      </c>
      <c r="BE205" s="1"/>
    </row>
    <row r="206" spans="1:57" x14ac:dyDescent="0.25">
      <c r="A206" s="1">
        <v>210</v>
      </c>
      <c r="B206" s="1" t="s">
        <v>3578</v>
      </c>
      <c r="C206" s="9" t="s">
        <v>177</v>
      </c>
      <c r="D206" s="1" t="s">
        <v>177</v>
      </c>
      <c r="E206" s="1"/>
      <c r="F206" s="1"/>
      <c r="G206" s="1" t="s">
        <v>3579</v>
      </c>
      <c r="H206" s="1" t="s">
        <v>3580</v>
      </c>
      <c r="I206" s="1" t="s">
        <v>3581</v>
      </c>
      <c r="J206" s="1">
        <v>1</v>
      </c>
      <c r="K206" s="1">
        <v>3</v>
      </c>
      <c r="L206" s="1">
        <v>2700</v>
      </c>
      <c r="M206" s="1">
        <v>10</v>
      </c>
      <c r="N206" s="1">
        <v>10</v>
      </c>
      <c r="O206" s="1">
        <v>5</v>
      </c>
      <c r="P206" s="1">
        <v>5</v>
      </c>
      <c r="Q206" s="1">
        <v>2</v>
      </c>
      <c r="R206" s="1">
        <v>2</v>
      </c>
      <c r="S206" s="1">
        <v>2</v>
      </c>
      <c r="T206" s="1">
        <v>0</v>
      </c>
      <c r="U206" s="1">
        <v>115</v>
      </c>
      <c r="V206" s="1">
        <v>125</v>
      </c>
      <c r="W206" s="1">
        <v>100</v>
      </c>
      <c r="X206" s="1">
        <v>100</v>
      </c>
      <c r="Y206" s="1">
        <v>102</v>
      </c>
      <c r="Z206" s="1">
        <v>95</v>
      </c>
      <c r="AA206" s="1">
        <v>0</v>
      </c>
      <c r="AB206" s="1">
        <v>15</v>
      </c>
      <c r="AC206" s="1">
        <v>20</v>
      </c>
      <c r="AD206" s="1">
        <v>0</v>
      </c>
      <c r="AE206" s="1">
        <v>115</v>
      </c>
      <c r="AF206" s="1">
        <v>100</v>
      </c>
      <c r="AG206" s="1">
        <v>100502</v>
      </c>
      <c r="AH206" s="1">
        <v>0</v>
      </c>
      <c r="AI206" s="1">
        <v>300101</v>
      </c>
      <c r="AJ206" s="1" t="s">
        <v>1153</v>
      </c>
      <c r="AK206" s="1" t="s">
        <v>329</v>
      </c>
      <c r="AL206" s="1">
        <v>13</v>
      </c>
      <c r="AM206" s="1" t="s">
        <v>1866</v>
      </c>
      <c r="AN206" s="1" t="s">
        <v>4807</v>
      </c>
      <c r="AO206" s="1" t="s">
        <v>4808</v>
      </c>
      <c r="AP206" s="1">
        <v>0</v>
      </c>
      <c r="AQ206" s="1" t="s">
        <v>1146</v>
      </c>
      <c r="AR206" s="1" t="s">
        <v>1147</v>
      </c>
      <c r="AS206" s="1" t="s">
        <v>1148</v>
      </c>
      <c r="AT206" s="1" t="s">
        <v>329</v>
      </c>
      <c r="AU206" s="1">
        <v>210</v>
      </c>
      <c r="AV206" s="1">
        <v>0</v>
      </c>
      <c r="AW206" s="1" t="s">
        <v>5218</v>
      </c>
      <c r="AX206" s="1" t="s">
        <v>4813</v>
      </c>
      <c r="AY206" s="1">
        <v>3</v>
      </c>
      <c r="AZ206" s="1">
        <v>0</v>
      </c>
      <c r="BA206" s="1" t="s">
        <v>329</v>
      </c>
      <c r="BB206" s="1" t="s">
        <v>476</v>
      </c>
      <c r="BC206" s="1" t="s">
        <v>329</v>
      </c>
      <c r="BD206" s="1">
        <v>10402</v>
      </c>
      <c r="BE206" s="1"/>
    </row>
    <row r="207" spans="1:57" x14ac:dyDescent="0.25">
      <c r="A207" s="1">
        <v>211</v>
      </c>
      <c r="B207" s="1" t="s">
        <v>3582</v>
      </c>
      <c r="C207" s="9" t="s">
        <v>235</v>
      </c>
      <c r="D207" s="1" t="s">
        <v>235</v>
      </c>
      <c r="E207" s="1"/>
      <c r="F207" s="1"/>
      <c r="G207" s="1" t="s">
        <v>3583</v>
      </c>
      <c r="H207" s="1" t="s">
        <v>3584</v>
      </c>
      <c r="I207" s="1" t="s">
        <v>3585</v>
      </c>
      <c r="J207" s="1">
        <v>3</v>
      </c>
      <c r="K207" s="1">
        <v>5</v>
      </c>
      <c r="L207" s="1">
        <v>15600</v>
      </c>
      <c r="M207" s="1">
        <v>15</v>
      </c>
      <c r="N207" s="1">
        <v>30</v>
      </c>
      <c r="O207" s="1">
        <v>10</v>
      </c>
      <c r="P207" s="1">
        <v>15</v>
      </c>
      <c r="Q207" s="1">
        <v>5</v>
      </c>
      <c r="R207" s="1">
        <v>2</v>
      </c>
      <c r="S207" s="1">
        <v>5</v>
      </c>
      <c r="T207" s="1">
        <v>0</v>
      </c>
      <c r="U207" s="1">
        <v>98</v>
      </c>
      <c r="V207" s="1">
        <v>118</v>
      </c>
      <c r="W207" s="1">
        <v>98</v>
      </c>
      <c r="X207" s="1">
        <v>100</v>
      </c>
      <c r="Y207" s="1">
        <v>115</v>
      </c>
      <c r="Z207" s="1">
        <v>98</v>
      </c>
      <c r="AA207" s="1">
        <v>0</v>
      </c>
      <c r="AB207" s="1">
        <v>15</v>
      </c>
      <c r="AC207" s="1">
        <v>40</v>
      </c>
      <c r="AD207" s="1">
        <v>0</v>
      </c>
      <c r="AE207" s="1">
        <v>130</v>
      </c>
      <c r="AF207" s="1">
        <v>100</v>
      </c>
      <c r="AG207" s="1">
        <v>101803</v>
      </c>
      <c r="AH207" s="1">
        <v>0</v>
      </c>
      <c r="AI207" s="1">
        <v>300104</v>
      </c>
      <c r="AJ207" s="1" t="s">
        <v>329</v>
      </c>
      <c r="AK207" s="1" t="s">
        <v>329</v>
      </c>
      <c r="AL207" s="1">
        <v>13</v>
      </c>
      <c r="AM207" s="1" t="s">
        <v>4822</v>
      </c>
      <c r="AN207" s="1" t="s">
        <v>4944</v>
      </c>
      <c r="AO207" s="1" t="s">
        <v>4905</v>
      </c>
      <c r="AP207" s="1">
        <v>0</v>
      </c>
      <c r="AQ207" s="1" t="s">
        <v>1168</v>
      </c>
      <c r="AR207" s="1" t="s">
        <v>1169</v>
      </c>
      <c r="AS207" s="1" t="s">
        <v>1170</v>
      </c>
      <c r="AT207" s="1" t="s">
        <v>329</v>
      </c>
      <c r="AU207" s="1">
        <v>211</v>
      </c>
      <c r="AV207" s="1">
        <v>0</v>
      </c>
      <c r="AW207" s="1" t="s">
        <v>5219</v>
      </c>
      <c r="AX207" s="1" t="s">
        <v>5220</v>
      </c>
      <c r="AY207" s="1">
        <v>5</v>
      </c>
      <c r="AZ207" s="1">
        <v>0</v>
      </c>
      <c r="BA207" s="1" t="s">
        <v>329</v>
      </c>
      <c r="BB207" s="1" t="s">
        <v>4904</v>
      </c>
      <c r="BC207" s="1" t="s">
        <v>4780</v>
      </c>
      <c r="BD207" s="1">
        <v>10303</v>
      </c>
      <c r="BE207" s="1"/>
    </row>
    <row r="208" spans="1:57" x14ac:dyDescent="0.25">
      <c r="A208" s="1">
        <v>212</v>
      </c>
      <c r="B208" s="1" t="s">
        <v>3586</v>
      </c>
      <c r="C208" s="9" t="s">
        <v>178</v>
      </c>
      <c r="D208" s="1" t="s">
        <v>178</v>
      </c>
      <c r="E208" s="1"/>
      <c r="F208" s="1"/>
      <c r="G208" s="1" t="s">
        <v>3587</v>
      </c>
      <c r="H208" s="1" t="s">
        <v>3588</v>
      </c>
      <c r="I208" s="1" t="s">
        <v>3589</v>
      </c>
      <c r="J208" s="1">
        <v>1</v>
      </c>
      <c r="K208" s="1">
        <v>4</v>
      </c>
      <c r="L208" s="1">
        <v>3180</v>
      </c>
      <c r="M208" s="1">
        <v>10</v>
      </c>
      <c r="N208" s="1">
        <v>10</v>
      </c>
      <c r="O208" s="1">
        <v>5</v>
      </c>
      <c r="P208" s="1">
        <v>5</v>
      </c>
      <c r="Q208" s="1">
        <v>2</v>
      </c>
      <c r="R208" s="1">
        <v>2</v>
      </c>
      <c r="S208" s="1">
        <v>2</v>
      </c>
      <c r="T208" s="1">
        <v>0</v>
      </c>
      <c r="U208" s="1">
        <v>100</v>
      </c>
      <c r="V208" s="1">
        <v>112</v>
      </c>
      <c r="W208" s="1">
        <v>118</v>
      </c>
      <c r="X208" s="1">
        <v>100</v>
      </c>
      <c r="Y208" s="1">
        <v>115</v>
      </c>
      <c r="Z208" s="1">
        <v>120</v>
      </c>
      <c r="AA208" s="1">
        <v>0</v>
      </c>
      <c r="AB208" s="1">
        <v>15</v>
      </c>
      <c r="AC208" s="1">
        <v>40</v>
      </c>
      <c r="AD208" s="1">
        <v>0</v>
      </c>
      <c r="AE208" s="1">
        <v>108</v>
      </c>
      <c r="AF208" s="1">
        <v>100</v>
      </c>
      <c r="AG208" s="1">
        <v>108901</v>
      </c>
      <c r="AH208" s="1">
        <v>0</v>
      </c>
      <c r="AI208" s="1">
        <v>300101</v>
      </c>
      <c r="AJ208" s="1" t="s">
        <v>329</v>
      </c>
      <c r="AK208" s="1" t="s">
        <v>329</v>
      </c>
      <c r="AL208" s="1">
        <v>13</v>
      </c>
      <c r="AM208" s="1" t="s">
        <v>1866</v>
      </c>
      <c r="AN208" s="1" t="s">
        <v>5221</v>
      </c>
      <c r="AO208" s="1" t="s">
        <v>5123</v>
      </c>
      <c r="AP208" s="1">
        <v>0</v>
      </c>
      <c r="AQ208" s="1" t="s">
        <v>1146</v>
      </c>
      <c r="AR208" s="1" t="s">
        <v>1147</v>
      </c>
      <c r="AS208" s="1" t="s">
        <v>1148</v>
      </c>
      <c r="AT208" s="1" t="s">
        <v>329</v>
      </c>
      <c r="AU208" s="1">
        <v>212</v>
      </c>
      <c r="AV208" s="1">
        <v>0</v>
      </c>
      <c r="AW208" s="1" t="s">
        <v>5222</v>
      </c>
      <c r="AX208" s="1" t="s">
        <v>4822</v>
      </c>
      <c r="AY208" s="1">
        <v>4</v>
      </c>
      <c r="AZ208" s="1">
        <v>0</v>
      </c>
      <c r="BA208" s="1" t="s">
        <v>329</v>
      </c>
      <c r="BB208" s="1" t="s">
        <v>5223</v>
      </c>
      <c r="BC208" s="1" t="s">
        <v>329</v>
      </c>
      <c r="BD208" s="1">
        <v>10802</v>
      </c>
      <c r="BE208" s="1"/>
    </row>
    <row r="209" spans="1:57" x14ac:dyDescent="0.25">
      <c r="A209" s="1">
        <v>213</v>
      </c>
      <c r="B209" s="1" t="s">
        <v>3590</v>
      </c>
      <c r="C209" s="9" t="s">
        <v>1670</v>
      </c>
      <c r="D209" s="1" t="s">
        <v>3591</v>
      </c>
      <c r="E209" s="1"/>
      <c r="F209" s="1"/>
      <c r="G209" s="1" t="s">
        <v>3592</v>
      </c>
      <c r="H209" s="1" t="s">
        <v>3593</v>
      </c>
      <c r="I209" s="1" t="s">
        <v>3594</v>
      </c>
      <c r="J209" s="1">
        <v>2</v>
      </c>
      <c r="K209" s="1">
        <v>5</v>
      </c>
      <c r="L209" s="1">
        <v>8880</v>
      </c>
      <c r="M209" s="1">
        <v>25</v>
      </c>
      <c r="N209" s="1">
        <v>20</v>
      </c>
      <c r="O209" s="1">
        <v>15</v>
      </c>
      <c r="P209" s="1">
        <v>10</v>
      </c>
      <c r="Q209" s="1">
        <v>5</v>
      </c>
      <c r="R209" s="1">
        <v>5</v>
      </c>
      <c r="S209" s="1">
        <v>2</v>
      </c>
      <c r="T209" s="1">
        <v>0</v>
      </c>
      <c r="U209" s="1">
        <v>105</v>
      </c>
      <c r="V209" s="1">
        <v>125</v>
      </c>
      <c r="W209" s="1">
        <v>110</v>
      </c>
      <c r="X209" s="1">
        <v>100</v>
      </c>
      <c r="Y209" s="1">
        <v>130</v>
      </c>
      <c r="Z209" s="1">
        <v>122</v>
      </c>
      <c r="AA209" s="1">
        <v>0</v>
      </c>
      <c r="AB209" s="1">
        <v>15</v>
      </c>
      <c r="AC209" s="1">
        <v>5</v>
      </c>
      <c r="AD209" s="1">
        <v>0</v>
      </c>
      <c r="AE209" s="1">
        <v>110</v>
      </c>
      <c r="AF209" s="1">
        <v>100</v>
      </c>
      <c r="AG209" s="1">
        <v>109001</v>
      </c>
      <c r="AH209" s="1">
        <v>0</v>
      </c>
      <c r="AI209" s="1">
        <v>300102</v>
      </c>
      <c r="AJ209" s="1" t="s">
        <v>329</v>
      </c>
      <c r="AK209" s="1" t="s">
        <v>1260</v>
      </c>
      <c r="AL209" s="1">
        <v>13</v>
      </c>
      <c r="AM209" s="1" t="s">
        <v>4850</v>
      </c>
      <c r="AN209" s="1" t="s">
        <v>4855</v>
      </c>
      <c r="AO209" s="1" t="s">
        <v>5224</v>
      </c>
      <c r="AP209" s="1">
        <v>0</v>
      </c>
      <c r="AQ209" s="1" t="s">
        <v>1157</v>
      </c>
      <c r="AR209" s="1" t="s">
        <v>1243</v>
      </c>
      <c r="AS209" s="1" t="s">
        <v>1158</v>
      </c>
      <c r="AT209" s="1" t="s">
        <v>329</v>
      </c>
      <c r="AU209" s="1">
        <v>213</v>
      </c>
      <c r="AV209" s="1">
        <v>0</v>
      </c>
      <c r="AW209" s="1" t="s">
        <v>5222</v>
      </c>
      <c r="AX209" s="1" t="s">
        <v>5225</v>
      </c>
      <c r="AY209" s="1">
        <v>5</v>
      </c>
      <c r="AZ209" s="1">
        <v>0</v>
      </c>
      <c r="BA209" s="1" t="s">
        <v>329</v>
      </c>
      <c r="BB209" s="1" t="s">
        <v>5226</v>
      </c>
      <c r="BC209" s="1" t="s">
        <v>329</v>
      </c>
      <c r="BD209" s="1">
        <v>10203</v>
      </c>
      <c r="BE209" s="1"/>
    </row>
    <row r="210" spans="1:57" x14ac:dyDescent="0.25">
      <c r="A210" s="1">
        <v>214</v>
      </c>
      <c r="B210" s="1" t="s">
        <v>3595</v>
      </c>
      <c r="C210" s="9" t="s">
        <v>210</v>
      </c>
      <c r="D210" s="1" t="s">
        <v>210</v>
      </c>
      <c r="E210" s="1"/>
      <c r="F210" s="1"/>
      <c r="G210" s="1" t="s">
        <v>3596</v>
      </c>
      <c r="H210" s="1" t="s">
        <v>3597</v>
      </c>
      <c r="I210" s="1" t="s">
        <v>3598</v>
      </c>
      <c r="J210" s="1">
        <v>4</v>
      </c>
      <c r="K210" s="1">
        <v>5</v>
      </c>
      <c r="L210" s="1">
        <v>14100</v>
      </c>
      <c r="M210" s="1">
        <v>20</v>
      </c>
      <c r="N210" s="1">
        <v>20</v>
      </c>
      <c r="O210" s="1">
        <v>10</v>
      </c>
      <c r="P210" s="1">
        <v>10</v>
      </c>
      <c r="Q210" s="1">
        <v>2</v>
      </c>
      <c r="R210" s="1">
        <v>5</v>
      </c>
      <c r="S210" s="1">
        <v>5</v>
      </c>
      <c r="T210" s="1">
        <v>0</v>
      </c>
      <c r="U210" s="1">
        <v>110</v>
      </c>
      <c r="V210" s="1">
        <v>100</v>
      </c>
      <c r="W210" s="1">
        <v>110</v>
      </c>
      <c r="X210" s="1">
        <v>100</v>
      </c>
      <c r="Y210" s="1">
        <v>115</v>
      </c>
      <c r="Z210" s="1">
        <v>95</v>
      </c>
      <c r="AA210" s="1">
        <v>0</v>
      </c>
      <c r="AB210" s="1">
        <v>15</v>
      </c>
      <c r="AC210" s="1">
        <v>20</v>
      </c>
      <c r="AD210" s="1">
        <v>0</v>
      </c>
      <c r="AE210" s="1">
        <v>138</v>
      </c>
      <c r="AF210" s="1">
        <v>100</v>
      </c>
      <c r="AG210" s="1">
        <v>112601</v>
      </c>
      <c r="AH210" s="1">
        <v>0</v>
      </c>
      <c r="AI210" s="1">
        <v>112609</v>
      </c>
      <c r="AJ210" s="1" t="s">
        <v>1261</v>
      </c>
      <c r="AK210" s="1" t="s">
        <v>1262</v>
      </c>
      <c r="AL210" s="1">
        <v>13</v>
      </c>
      <c r="AM210" s="1" t="s">
        <v>4779</v>
      </c>
      <c r="AN210" s="1" t="s">
        <v>4924</v>
      </c>
      <c r="AO210" s="1" t="s">
        <v>5150</v>
      </c>
      <c r="AP210" s="1">
        <v>0</v>
      </c>
      <c r="AQ210" s="1" t="s">
        <v>1158</v>
      </c>
      <c r="AR210" s="1" t="s">
        <v>1182</v>
      </c>
      <c r="AS210" s="1" t="s">
        <v>1157</v>
      </c>
      <c r="AT210" s="1" t="s">
        <v>329</v>
      </c>
      <c r="AU210" s="1">
        <v>215</v>
      </c>
      <c r="AV210" s="1">
        <v>0</v>
      </c>
      <c r="AW210" s="1" t="s">
        <v>5227</v>
      </c>
      <c r="AX210" s="1" t="s">
        <v>332</v>
      </c>
      <c r="AY210" s="1">
        <v>5</v>
      </c>
      <c r="AZ210" s="1">
        <v>0</v>
      </c>
      <c r="BA210" s="1" t="s">
        <v>329</v>
      </c>
      <c r="BB210" s="1" t="s">
        <v>329</v>
      </c>
      <c r="BC210" s="1" t="s">
        <v>4817</v>
      </c>
      <c r="BD210" s="1">
        <v>10802</v>
      </c>
      <c r="BE210" s="1"/>
    </row>
    <row r="211" spans="1:57" x14ac:dyDescent="0.25">
      <c r="A211" s="1">
        <v>215</v>
      </c>
      <c r="B211" s="1" t="s">
        <v>3599</v>
      </c>
      <c r="C211" s="9" t="s">
        <v>179</v>
      </c>
      <c r="D211" s="1" t="s">
        <v>179</v>
      </c>
      <c r="E211" s="1"/>
      <c r="F211" s="1"/>
      <c r="G211" s="1" t="s">
        <v>3600</v>
      </c>
      <c r="H211" s="1" t="s">
        <v>3601</v>
      </c>
      <c r="I211" s="1" t="s">
        <v>3602</v>
      </c>
      <c r="J211" s="1">
        <v>4</v>
      </c>
      <c r="K211" s="1">
        <v>5</v>
      </c>
      <c r="L211" s="1">
        <v>13980</v>
      </c>
      <c r="M211" s="1">
        <v>20</v>
      </c>
      <c r="N211" s="1">
        <v>20</v>
      </c>
      <c r="O211" s="1">
        <v>10</v>
      </c>
      <c r="P211" s="1">
        <v>10</v>
      </c>
      <c r="Q211" s="1">
        <v>2</v>
      </c>
      <c r="R211" s="1">
        <v>5</v>
      </c>
      <c r="S211" s="1">
        <v>5</v>
      </c>
      <c r="T211" s="1">
        <v>0</v>
      </c>
      <c r="U211" s="1">
        <v>108</v>
      </c>
      <c r="V211" s="1">
        <v>120</v>
      </c>
      <c r="W211" s="1">
        <v>112</v>
      </c>
      <c r="X211" s="1">
        <v>100</v>
      </c>
      <c r="Y211" s="1">
        <v>120</v>
      </c>
      <c r="Z211" s="1">
        <v>98</v>
      </c>
      <c r="AA211" s="1">
        <v>0</v>
      </c>
      <c r="AB211" s="1">
        <v>15</v>
      </c>
      <c r="AC211" s="1">
        <v>20</v>
      </c>
      <c r="AD211" s="1">
        <v>0</v>
      </c>
      <c r="AE211" s="1">
        <v>122</v>
      </c>
      <c r="AF211" s="1">
        <v>100</v>
      </c>
      <c r="AG211" s="1">
        <v>109101</v>
      </c>
      <c r="AH211" s="1">
        <v>0</v>
      </c>
      <c r="AI211" s="1">
        <v>300103</v>
      </c>
      <c r="AJ211" s="1" t="s">
        <v>329</v>
      </c>
      <c r="AK211" s="1" t="s">
        <v>1263</v>
      </c>
      <c r="AL211" s="1">
        <v>13</v>
      </c>
      <c r="AM211" s="1" t="s">
        <v>4779</v>
      </c>
      <c r="AN211" s="1" t="s">
        <v>4944</v>
      </c>
      <c r="AO211" s="1" t="s">
        <v>5228</v>
      </c>
      <c r="AP211" s="1">
        <v>0</v>
      </c>
      <c r="AQ211" s="1" t="s">
        <v>1774</v>
      </c>
      <c r="AR211" s="1" t="s">
        <v>1182</v>
      </c>
      <c r="AS211" s="1" t="s">
        <v>1157</v>
      </c>
      <c r="AT211" s="1" t="s">
        <v>329</v>
      </c>
      <c r="AU211" s="1">
        <v>215</v>
      </c>
      <c r="AV211" s="1">
        <v>0</v>
      </c>
      <c r="AW211" s="1" t="s">
        <v>5222</v>
      </c>
      <c r="AX211" s="1" t="s">
        <v>332</v>
      </c>
      <c r="AY211" s="1">
        <v>5</v>
      </c>
      <c r="AZ211" s="1">
        <v>0</v>
      </c>
      <c r="BA211" s="1" t="s">
        <v>329</v>
      </c>
      <c r="BB211" s="1" t="s">
        <v>4975</v>
      </c>
      <c r="BC211" s="1" t="s">
        <v>4780</v>
      </c>
      <c r="BD211" s="1">
        <v>10802</v>
      </c>
      <c r="BE211" s="1"/>
    </row>
    <row r="212" spans="1:57" x14ac:dyDescent="0.25">
      <c r="A212" s="1">
        <v>216</v>
      </c>
      <c r="B212" s="1" t="s">
        <v>3603</v>
      </c>
      <c r="C212" s="9" t="s">
        <v>180</v>
      </c>
      <c r="D212" s="1" t="s">
        <v>180</v>
      </c>
      <c r="E212" s="1"/>
      <c r="F212" s="1"/>
      <c r="G212" s="1" t="s">
        <v>3604</v>
      </c>
      <c r="H212" s="1" t="s">
        <v>3605</v>
      </c>
      <c r="I212" s="1" t="s">
        <v>3606</v>
      </c>
      <c r="J212" s="1">
        <v>4</v>
      </c>
      <c r="K212" s="1">
        <v>4</v>
      </c>
      <c r="L212" s="1">
        <v>12300</v>
      </c>
      <c r="M212" s="1">
        <v>20</v>
      </c>
      <c r="N212" s="1">
        <v>20</v>
      </c>
      <c r="O212" s="1">
        <v>10</v>
      </c>
      <c r="P212" s="1">
        <v>10</v>
      </c>
      <c r="Q212" s="1">
        <v>2</v>
      </c>
      <c r="R212" s="1">
        <v>5</v>
      </c>
      <c r="S212" s="1">
        <v>5</v>
      </c>
      <c r="T212" s="1">
        <v>0</v>
      </c>
      <c r="U212" s="1">
        <v>98</v>
      </c>
      <c r="V212" s="1">
        <v>110</v>
      </c>
      <c r="W212" s="1">
        <v>120</v>
      </c>
      <c r="X212" s="1">
        <v>100</v>
      </c>
      <c r="Y212" s="1">
        <v>118</v>
      </c>
      <c r="Z212" s="1">
        <v>105</v>
      </c>
      <c r="AA212" s="1">
        <v>0</v>
      </c>
      <c r="AB212" s="1">
        <v>15</v>
      </c>
      <c r="AC212" s="1">
        <v>20</v>
      </c>
      <c r="AD212" s="1">
        <v>0</v>
      </c>
      <c r="AE212" s="1">
        <v>112</v>
      </c>
      <c r="AF212" s="1">
        <v>100</v>
      </c>
      <c r="AG212" s="1">
        <v>102113</v>
      </c>
      <c r="AH212" s="1">
        <v>0</v>
      </c>
      <c r="AI212" s="1">
        <v>300103</v>
      </c>
      <c r="AJ212" s="1" t="s">
        <v>1192</v>
      </c>
      <c r="AK212" s="1" t="s">
        <v>329</v>
      </c>
      <c r="AL212" s="1">
        <v>13</v>
      </c>
      <c r="AM212" s="1" t="s">
        <v>4779</v>
      </c>
      <c r="AN212" s="1" t="s">
        <v>4891</v>
      </c>
      <c r="AO212" s="1" t="s">
        <v>5229</v>
      </c>
      <c r="AP212" s="1">
        <v>0</v>
      </c>
      <c r="AQ212" s="1" t="s">
        <v>1158</v>
      </c>
      <c r="AR212" s="1" t="s">
        <v>1182</v>
      </c>
      <c r="AS212" s="1" t="s">
        <v>1157</v>
      </c>
      <c r="AT212" s="1" t="s">
        <v>329</v>
      </c>
      <c r="AU212" s="1">
        <v>216</v>
      </c>
      <c r="AV212" s="1">
        <v>0</v>
      </c>
      <c r="AW212" s="1" t="s">
        <v>5222</v>
      </c>
      <c r="AX212" s="1" t="s">
        <v>332</v>
      </c>
      <c r="AY212" s="1">
        <v>4</v>
      </c>
      <c r="AZ212" s="1">
        <v>0</v>
      </c>
      <c r="BA212" s="1" t="s">
        <v>329</v>
      </c>
      <c r="BB212" s="1" t="s">
        <v>5230</v>
      </c>
      <c r="BC212" s="1" t="s">
        <v>4829</v>
      </c>
      <c r="BD212" s="1">
        <v>10802</v>
      </c>
      <c r="BE212" s="1"/>
    </row>
    <row r="213" spans="1:57" x14ac:dyDescent="0.25">
      <c r="A213" s="1">
        <v>217</v>
      </c>
      <c r="B213" s="1" t="s">
        <v>3607</v>
      </c>
      <c r="C213" s="9" t="s">
        <v>1671</v>
      </c>
      <c r="D213" s="1" t="s">
        <v>3608</v>
      </c>
      <c r="E213" s="1"/>
      <c r="F213" s="1"/>
      <c r="G213" s="1" t="s">
        <v>3609</v>
      </c>
      <c r="H213" s="1" t="s">
        <v>3610</v>
      </c>
      <c r="I213" s="1" t="s">
        <v>3611</v>
      </c>
      <c r="J213" s="1">
        <v>3</v>
      </c>
      <c r="K213" s="1">
        <v>3</v>
      </c>
      <c r="L213" s="1">
        <v>15600</v>
      </c>
      <c r="M213" s="1">
        <v>15</v>
      </c>
      <c r="N213" s="1">
        <v>30</v>
      </c>
      <c r="O213" s="1">
        <v>10</v>
      </c>
      <c r="P213" s="1">
        <v>15</v>
      </c>
      <c r="Q213" s="1">
        <v>5</v>
      </c>
      <c r="R213" s="1">
        <v>2</v>
      </c>
      <c r="S213" s="1">
        <v>5</v>
      </c>
      <c r="T213" s="1">
        <v>0</v>
      </c>
      <c r="U213" s="1">
        <v>92</v>
      </c>
      <c r="V213" s="1">
        <v>90</v>
      </c>
      <c r="W213" s="1">
        <v>120</v>
      </c>
      <c r="X213" s="1">
        <v>100</v>
      </c>
      <c r="Y213" s="1">
        <v>125</v>
      </c>
      <c r="Z213" s="1">
        <v>125</v>
      </c>
      <c r="AA213" s="1">
        <v>0</v>
      </c>
      <c r="AB213" s="1">
        <v>15</v>
      </c>
      <c r="AC213" s="1">
        <v>40</v>
      </c>
      <c r="AD213" s="1">
        <v>0</v>
      </c>
      <c r="AE213" s="1">
        <v>115</v>
      </c>
      <c r="AF213" s="1">
        <v>100</v>
      </c>
      <c r="AG213" s="1">
        <v>100417</v>
      </c>
      <c r="AH213" s="1">
        <v>0</v>
      </c>
      <c r="AI213" s="1">
        <v>300104</v>
      </c>
      <c r="AJ213" s="1" t="s">
        <v>1153</v>
      </c>
      <c r="AK213" s="1" t="s">
        <v>329</v>
      </c>
      <c r="AL213" s="1">
        <v>13</v>
      </c>
      <c r="AM213" s="1" t="s">
        <v>4822</v>
      </c>
      <c r="AN213" s="1" t="s">
        <v>465</v>
      </c>
      <c r="AO213" s="1" t="s">
        <v>4886</v>
      </c>
      <c r="AP213" s="1">
        <v>0</v>
      </c>
      <c r="AQ213" s="1" t="s">
        <v>1168</v>
      </c>
      <c r="AR213" s="1" t="s">
        <v>1169</v>
      </c>
      <c r="AS213" s="1" t="s">
        <v>1170</v>
      </c>
      <c r="AT213" s="1" t="s">
        <v>329</v>
      </c>
      <c r="AU213" s="1">
        <v>217</v>
      </c>
      <c r="AV213" s="1">
        <v>0</v>
      </c>
      <c r="AW213" s="1" t="s">
        <v>5222</v>
      </c>
      <c r="AX213" s="1" t="s">
        <v>4813</v>
      </c>
      <c r="AY213" s="1">
        <v>3</v>
      </c>
      <c r="AZ213" s="1">
        <v>0</v>
      </c>
      <c r="BA213" s="1" t="s">
        <v>329</v>
      </c>
      <c r="BB213" s="1" t="s">
        <v>329</v>
      </c>
      <c r="BC213" s="1" t="s">
        <v>329</v>
      </c>
      <c r="BD213" s="1">
        <v>10303</v>
      </c>
      <c r="BE213" s="1"/>
    </row>
    <row r="214" spans="1:57" x14ac:dyDescent="0.25">
      <c r="A214" s="1">
        <v>218</v>
      </c>
      <c r="B214" s="1" t="s">
        <v>3612</v>
      </c>
      <c r="C214" s="9" t="s">
        <v>181</v>
      </c>
      <c r="D214" s="1" t="s">
        <v>181</v>
      </c>
      <c r="E214" s="1"/>
      <c r="F214" s="1"/>
      <c r="G214" s="1" t="s">
        <v>3613</v>
      </c>
      <c r="H214" s="1" t="s">
        <v>3614</v>
      </c>
      <c r="I214" s="1" t="s">
        <v>3615</v>
      </c>
      <c r="J214" s="1">
        <v>2</v>
      </c>
      <c r="K214" s="1">
        <v>3</v>
      </c>
      <c r="L214" s="1">
        <v>6600</v>
      </c>
      <c r="M214" s="1">
        <v>25</v>
      </c>
      <c r="N214" s="1">
        <v>20</v>
      </c>
      <c r="O214" s="1">
        <v>15</v>
      </c>
      <c r="P214" s="1">
        <v>10</v>
      </c>
      <c r="Q214" s="1">
        <v>5</v>
      </c>
      <c r="R214" s="1">
        <v>5</v>
      </c>
      <c r="S214" s="1">
        <v>2</v>
      </c>
      <c r="T214" s="1">
        <v>0</v>
      </c>
      <c r="U214" s="1">
        <v>105</v>
      </c>
      <c r="V214" s="1">
        <v>98</v>
      </c>
      <c r="W214" s="1">
        <v>122</v>
      </c>
      <c r="X214" s="1">
        <v>100</v>
      </c>
      <c r="Y214" s="1">
        <v>102</v>
      </c>
      <c r="Z214" s="1">
        <v>125</v>
      </c>
      <c r="AA214" s="1">
        <v>0</v>
      </c>
      <c r="AB214" s="1">
        <v>15</v>
      </c>
      <c r="AC214" s="1">
        <v>5</v>
      </c>
      <c r="AD214" s="1">
        <v>0</v>
      </c>
      <c r="AE214" s="1">
        <v>98</v>
      </c>
      <c r="AF214" s="1">
        <v>100</v>
      </c>
      <c r="AG214" s="1">
        <v>100206</v>
      </c>
      <c r="AH214" s="1">
        <v>0</v>
      </c>
      <c r="AI214" s="1">
        <v>300102</v>
      </c>
      <c r="AJ214" s="1" t="s">
        <v>1153</v>
      </c>
      <c r="AK214" s="1" t="s">
        <v>329</v>
      </c>
      <c r="AL214" s="1">
        <v>13</v>
      </c>
      <c r="AM214" s="1" t="s">
        <v>4850</v>
      </c>
      <c r="AN214" s="1" t="s">
        <v>4855</v>
      </c>
      <c r="AO214" s="1" t="s">
        <v>5231</v>
      </c>
      <c r="AP214" s="1">
        <v>0</v>
      </c>
      <c r="AQ214" s="1" t="s">
        <v>1157</v>
      </c>
      <c r="AR214" s="1" t="s">
        <v>1147</v>
      </c>
      <c r="AS214" s="1" t="s">
        <v>1158</v>
      </c>
      <c r="AT214" s="1" t="s">
        <v>329</v>
      </c>
      <c r="AU214" s="1">
        <v>218</v>
      </c>
      <c r="AV214" s="1">
        <v>0</v>
      </c>
      <c r="AW214" s="1" t="s">
        <v>5232</v>
      </c>
      <c r="AX214" s="1" t="s">
        <v>4813</v>
      </c>
      <c r="AY214" s="1">
        <v>3</v>
      </c>
      <c r="AZ214" s="1">
        <v>0</v>
      </c>
      <c r="BA214" s="1" t="s">
        <v>329</v>
      </c>
      <c r="BB214" s="1" t="s">
        <v>5233</v>
      </c>
      <c r="BC214" s="1" t="s">
        <v>4843</v>
      </c>
      <c r="BD214" s="1">
        <v>10703</v>
      </c>
      <c r="BE214" s="1"/>
    </row>
    <row r="215" spans="1:57" x14ac:dyDescent="0.25">
      <c r="A215" s="1">
        <v>220</v>
      </c>
      <c r="B215" s="1" t="s">
        <v>3616</v>
      </c>
      <c r="C215" s="9" t="s">
        <v>1672</v>
      </c>
      <c r="D215" s="1" t="s">
        <v>1672</v>
      </c>
      <c r="E215" s="1"/>
      <c r="F215" s="1"/>
      <c r="G215" s="1" t="s">
        <v>3617</v>
      </c>
      <c r="H215" s="1" t="s">
        <v>3618</v>
      </c>
      <c r="I215" s="1" t="s">
        <v>3619</v>
      </c>
      <c r="J215" s="1">
        <v>1</v>
      </c>
      <c r="K215" s="1">
        <v>3</v>
      </c>
      <c r="L215" s="1">
        <v>2700</v>
      </c>
      <c r="M215" s="1">
        <v>10</v>
      </c>
      <c r="N215" s="1">
        <v>10</v>
      </c>
      <c r="O215" s="1">
        <v>5</v>
      </c>
      <c r="P215" s="1">
        <v>5</v>
      </c>
      <c r="Q215" s="1">
        <v>2</v>
      </c>
      <c r="R215" s="1">
        <v>2</v>
      </c>
      <c r="S215" s="1">
        <v>2</v>
      </c>
      <c r="T215" s="1">
        <v>0</v>
      </c>
      <c r="U215" s="1">
        <v>105</v>
      </c>
      <c r="V215" s="1">
        <v>120</v>
      </c>
      <c r="W215" s="1">
        <v>110</v>
      </c>
      <c r="X215" s="1">
        <v>100</v>
      </c>
      <c r="Y215" s="1">
        <v>105</v>
      </c>
      <c r="Z215" s="1">
        <v>95</v>
      </c>
      <c r="AA215" s="1">
        <v>0</v>
      </c>
      <c r="AB215" s="1">
        <v>15</v>
      </c>
      <c r="AC215" s="1">
        <v>20</v>
      </c>
      <c r="AD215" s="1">
        <v>0</v>
      </c>
      <c r="AE215" s="1">
        <v>120</v>
      </c>
      <c r="AF215" s="1">
        <v>100</v>
      </c>
      <c r="AG215" s="1">
        <v>101302</v>
      </c>
      <c r="AH215" s="1">
        <v>0</v>
      </c>
      <c r="AI215" s="1">
        <v>300101</v>
      </c>
      <c r="AJ215" s="1" t="s">
        <v>1153</v>
      </c>
      <c r="AK215" s="1" t="s">
        <v>329</v>
      </c>
      <c r="AL215" s="1">
        <v>13</v>
      </c>
      <c r="AM215" s="1" t="s">
        <v>1866</v>
      </c>
      <c r="AN215" s="1" t="s">
        <v>4921</v>
      </c>
      <c r="AO215" s="1" t="s">
        <v>4808</v>
      </c>
      <c r="AP215" s="1">
        <v>0</v>
      </c>
      <c r="AQ215" s="1" t="s">
        <v>1146</v>
      </c>
      <c r="AR215" s="1" t="s">
        <v>1772</v>
      </c>
      <c r="AS215" s="1" t="s">
        <v>1148</v>
      </c>
      <c r="AT215" s="1" t="s">
        <v>329</v>
      </c>
      <c r="AU215" s="1">
        <v>220</v>
      </c>
      <c r="AV215" s="1">
        <v>0</v>
      </c>
      <c r="AW215" s="1" t="s">
        <v>5234</v>
      </c>
      <c r="AX215" s="1" t="s">
        <v>4813</v>
      </c>
      <c r="AY215" s="1">
        <v>3</v>
      </c>
      <c r="AZ215" s="1">
        <v>0</v>
      </c>
      <c r="BA215" s="1" t="s">
        <v>4825</v>
      </c>
      <c r="BB215" s="1" t="s">
        <v>468</v>
      </c>
      <c r="BC215" s="1" t="s">
        <v>4817</v>
      </c>
      <c r="BD215" s="1">
        <v>10802</v>
      </c>
      <c r="BE215" s="1"/>
    </row>
    <row r="216" spans="1:57" x14ac:dyDescent="0.25">
      <c r="A216" s="1">
        <v>221</v>
      </c>
      <c r="B216" s="1" t="s">
        <v>3620</v>
      </c>
      <c r="C216" s="9" t="s">
        <v>1673</v>
      </c>
      <c r="D216" s="1" t="s">
        <v>3621</v>
      </c>
      <c r="E216" s="1"/>
      <c r="F216" s="1"/>
      <c r="G216" s="1" t="s">
        <v>3622</v>
      </c>
      <c r="H216" s="1" t="s">
        <v>3623</v>
      </c>
      <c r="I216" s="1" t="s">
        <v>3624</v>
      </c>
      <c r="J216" s="1">
        <v>1</v>
      </c>
      <c r="K216" s="1">
        <v>3</v>
      </c>
      <c r="L216" s="1">
        <v>2700</v>
      </c>
      <c r="M216" s="1">
        <v>10</v>
      </c>
      <c r="N216" s="1">
        <v>10</v>
      </c>
      <c r="O216" s="1">
        <v>5</v>
      </c>
      <c r="P216" s="1">
        <v>5</v>
      </c>
      <c r="Q216" s="1">
        <v>2</v>
      </c>
      <c r="R216" s="1">
        <v>2</v>
      </c>
      <c r="S216" s="1">
        <v>2</v>
      </c>
      <c r="T216" s="1">
        <v>0</v>
      </c>
      <c r="U216" s="1">
        <v>105</v>
      </c>
      <c r="V216" s="1">
        <v>130</v>
      </c>
      <c r="W216" s="1">
        <v>100</v>
      </c>
      <c r="X216" s="1">
        <v>100</v>
      </c>
      <c r="Y216" s="1">
        <v>108</v>
      </c>
      <c r="Z216" s="1">
        <v>130</v>
      </c>
      <c r="AA216" s="1">
        <v>0</v>
      </c>
      <c r="AB216" s="1">
        <v>15</v>
      </c>
      <c r="AC216" s="1">
        <v>20</v>
      </c>
      <c r="AD216" s="1">
        <v>0</v>
      </c>
      <c r="AE216" s="1">
        <v>105</v>
      </c>
      <c r="AF216" s="1">
        <v>100</v>
      </c>
      <c r="AG216" s="1">
        <v>110001</v>
      </c>
      <c r="AH216" s="1">
        <v>0</v>
      </c>
      <c r="AI216" s="1">
        <v>110002</v>
      </c>
      <c r="AJ216" s="1" t="s">
        <v>1264</v>
      </c>
      <c r="AK216" s="1" t="s">
        <v>329</v>
      </c>
      <c r="AL216" s="1">
        <v>13</v>
      </c>
      <c r="AM216" s="1" t="s">
        <v>1866</v>
      </c>
      <c r="AN216" s="1" t="s">
        <v>5235</v>
      </c>
      <c r="AO216" s="1" t="s">
        <v>4963</v>
      </c>
      <c r="AP216" s="1">
        <v>0</v>
      </c>
      <c r="AQ216" s="1" t="s">
        <v>1146</v>
      </c>
      <c r="AR216" s="1" t="s">
        <v>1772</v>
      </c>
      <c r="AS216" s="1" t="s">
        <v>1148</v>
      </c>
      <c r="AT216" s="1" t="s">
        <v>329</v>
      </c>
      <c r="AU216" s="1">
        <v>221</v>
      </c>
      <c r="AV216" s="1">
        <v>0</v>
      </c>
      <c r="AW216" s="1" t="s">
        <v>5236</v>
      </c>
      <c r="AX216" s="1" t="s">
        <v>2297</v>
      </c>
      <c r="AY216" s="1">
        <v>3</v>
      </c>
      <c r="AZ216" s="1">
        <v>0</v>
      </c>
      <c r="BA216" s="1" t="s">
        <v>4825</v>
      </c>
      <c r="BB216" s="1" t="s">
        <v>5237</v>
      </c>
      <c r="BC216" s="1" t="s">
        <v>4817</v>
      </c>
      <c r="BD216" s="1">
        <v>10802</v>
      </c>
      <c r="BE216" s="1"/>
    </row>
    <row r="217" spans="1:57" x14ac:dyDescent="0.25">
      <c r="A217" s="1">
        <v>222</v>
      </c>
      <c r="B217" s="1" t="s">
        <v>3625</v>
      </c>
      <c r="C217" s="9" t="s">
        <v>1265</v>
      </c>
      <c r="D217" s="1" t="s">
        <v>1265</v>
      </c>
      <c r="E217" s="1"/>
      <c r="F217" s="1"/>
      <c r="G217" s="1" t="s">
        <v>3626</v>
      </c>
      <c r="H217" s="1" t="s">
        <v>3627</v>
      </c>
      <c r="I217" s="1" t="s">
        <v>3628</v>
      </c>
      <c r="J217" s="1">
        <v>3</v>
      </c>
      <c r="K217" s="1">
        <v>5</v>
      </c>
      <c r="L217" s="1">
        <v>15600</v>
      </c>
      <c r="M217" s="1">
        <v>15</v>
      </c>
      <c r="N217" s="1">
        <v>30</v>
      </c>
      <c r="O217" s="1">
        <v>10</v>
      </c>
      <c r="P217" s="1">
        <v>15</v>
      </c>
      <c r="Q217" s="1">
        <v>5</v>
      </c>
      <c r="R217" s="1">
        <v>2</v>
      </c>
      <c r="S217" s="1">
        <v>5</v>
      </c>
      <c r="T217" s="1">
        <v>0</v>
      </c>
      <c r="U217" s="1">
        <v>98</v>
      </c>
      <c r="V217" s="1">
        <v>135</v>
      </c>
      <c r="W217" s="1">
        <v>90</v>
      </c>
      <c r="X217" s="1">
        <v>100</v>
      </c>
      <c r="Y217" s="1">
        <v>115</v>
      </c>
      <c r="Z217" s="1">
        <v>85</v>
      </c>
      <c r="AA217" s="1">
        <v>0</v>
      </c>
      <c r="AB217" s="1">
        <v>15</v>
      </c>
      <c r="AC217" s="1">
        <v>40</v>
      </c>
      <c r="AD217" s="1">
        <v>0</v>
      </c>
      <c r="AE217" s="1">
        <v>132</v>
      </c>
      <c r="AF217" s="1">
        <v>100</v>
      </c>
      <c r="AG217" s="1">
        <v>900218</v>
      </c>
      <c r="AH217" s="1">
        <v>0</v>
      </c>
      <c r="AI217" s="1">
        <v>301704</v>
      </c>
      <c r="AJ217" s="1" t="s">
        <v>1266</v>
      </c>
      <c r="AK217" s="1" t="s">
        <v>329</v>
      </c>
      <c r="AL217" s="1">
        <v>13</v>
      </c>
      <c r="AM217" s="1" t="s">
        <v>4822</v>
      </c>
      <c r="AN217" s="1" t="s">
        <v>4944</v>
      </c>
      <c r="AO217" s="1" t="s">
        <v>4905</v>
      </c>
      <c r="AP217" s="1">
        <v>0</v>
      </c>
      <c r="AQ217" s="1" t="s">
        <v>1168</v>
      </c>
      <c r="AR217" s="1" t="s">
        <v>4895</v>
      </c>
      <c r="AS217" s="1" t="s">
        <v>1170</v>
      </c>
      <c r="AT217" s="1" t="s">
        <v>329</v>
      </c>
      <c r="AU217" s="1">
        <v>222</v>
      </c>
      <c r="AV217" s="1">
        <v>0</v>
      </c>
      <c r="AW217" s="1" t="s">
        <v>5238</v>
      </c>
      <c r="AX217" s="1" t="s">
        <v>5239</v>
      </c>
      <c r="AY217" s="1">
        <v>5</v>
      </c>
      <c r="AZ217" s="1">
        <v>0</v>
      </c>
      <c r="BA217" s="1" t="s">
        <v>329</v>
      </c>
      <c r="BB217" s="1" t="s">
        <v>5240</v>
      </c>
      <c r="BC217" s="1" t="s">
        <v>4780</v>
      </c>
      <c r="BD217" s="1">
        <v>10802</v>
      </c>
      <c r="BE217" s="1"/>
    </row>
    <row r="218" spans="1:57" x14ac:dyDescent="0.25">
      <c r="A218" s="1">
        <v>223</v>
      </c>
      <c r="B218" s="1" t="s">
        <v>3629</v>
      </c>
      <c r="C218" s="9" t="s">
        <v>182</v>
      </c>
      <c r="D218" s="1" t="s">
        <v>3630</v>
      </c>
      <c r="E218" s="1"/>
      <c r="F218" s="1"/>
      <c r="G218" s="1" t="s">
        <v>3631</v>
      </c>
      <c r="H218" s="1" t="s">
        <v>3632</v>
      </c>
      <c r="I218" s="1" t="s">
        <v>3633</v>
      </c>
      <c r="J218" s="1">
        <v>4</v>
      </c>
      <c r="K218" s="1">
        <v>3</v>
      </c>
      <c r="L218" s="1">
        <v>12000</v>
      </c>
      <c r="M218" s="1">
        <v>20</v>
      </c>
      <c r="N218" s="1">
        <v>20</v>
      </c>
      <c r="O218" s="1">
        <v>10</v>
      </c>
      <c r="P218" s="1">
        <v>10</v>
      </c>
      <c r="Q218" s="1">
        <v>2</v>
      </c>
      <c r="R218" s="1">
        <v>5</v>
      </c>
      <c r="S218" s="1">
        <v>5</v>
      </c>
      <c r="T218" s="1">
        <v>0</v>
      </c>
      <c r="U218" s="1">
        <v>100</v>
      </c>
      <c r="V218" s="1">
        <v>115</v>
      </c>
      <c r="W218" s="1">
        <v>110</v>
      </c>
      <c r="X218" s="1">
        <v>100</v>
      </c>
      <c r="Y218" s="1">
        <v>115</v>
      </c>
      <c r="Z218" s="1">
        <v>102</v>
      </c>
      <c r="AA218" s="1">
        <v>0</v>
      </c>
      <c r="AB218" s="1">
        <v>15</v>
      </c>
      <c r="AC218" s="1">
        <v>20</v>
      </c>
      <c r="AD218" s="1">
        <v>0</v>
      </c>
      <c r="AE218" s="1">
        <v>112</v>
      </c>
      <c r="AF218" s="1">
        <v>100</v>
      </c>
      <c r="AG218" s="1">
        <v>110028</v>
      </c>
      <c r="AH218" s="1">
        <v>0</v>
      </c>
      <c r="AI218" s="1">
        <v>300103</v>
      </c>
      <c r="AJ218" s="1" t="s">
        <v>5241</v>
      </c>
      <c r="AK218" s="1" t="s">
        <v>329</v>
      </c>
      <c r="AL218" s="1">
        <v>13</v>
      </c>
      <c r="AM218" s="1" t="s">
        <v>4779</v>
      </c>
      <c r="AN218" s="1" t="s">
        <v>4944</v>
      </c>
      <c r="AO218" s="1" t="s">
        <v>4935</v>
      </c>
      <c r="AP218" s="1">
        <v>0</v>
      </c>
      <c r="AQ218" s="1" t="s">
        <v>1158</v>
      </c>
      <c r="AR218" s="1" t="s">
        <v>1182</v>
      </c>
      <c r="AS218" s="1" t="s">
        <v>1157</v>
      </c>
      <c r="AT218" s="1" t="s">
        <v>329</v>
      </c>
      <c r="AU218" s="1">
        <v>223</v>
      </c>
      <c r="AV218" s="1">
        <v>0</v>
      </c>
      <c r="AW218" s="1" t="s">
        <v>5242</v>
      </c>
      <c r="AX218" s="1" t="s">
        <v>5243</v>
      </c>
      <c r="AY218" s="1">
        <v>3</v>
      </c>
      <c r="AZ218" s="1">
        <v>0</v>
      </c>
      <c r="BA218" s="1" t="s">
        <v>329</v>
      </c>
      <c r="BB218" s="1" t="s">
        <v>329</v>
      </c>
      <c r="BC218" s="1" t="s">
        <v>329</v>
      </c>
      <c r="BD218" s="1">
        <v>10301</v>
      </c>
      <c r="BE218" s="1"/>
    </row>
    <row r="219" spans="1:57" x14ac:dyDescent="0.25">
      <c r="A219" s="1">
        <v>224</v>
      </c>
      <c r="B219" s="1" t="s">
        <v>3634</v>
      </c>
      <c r="C219" s="9" t="s">
        <v>1674</v>
      </c>
      <c r="D219" s="1" t="s">
        <v>1674</v>
      </c>
      <c r="E219" s="1"/>
      <c r="F219" s="1"/>
      <c r="G219" s="1" t="s">
        <v>3635</v>
      </c>
      <c r="H219" s="1" t="s">
        <v>3636</v>
      </c>
      <c r="I219" s="1" t="s">
        <v>3637</v>
      </c>
      <c r="J219" s="1">
        <v>2</v>
      </c>
      <c r="K219" s="1">
        <v>5</v>
      </c>
      <c r="L219" s="1">
        <v>8880</v>
      </c>
      <c r="M219" s="1">
        <v>25</v>
      </c>
      <c r="N219" s="1">
        <v>20</v>
      </c>
      <c r="O219" s="1">
        <v>15</v>
      </c>
      <c r="P219" s="1">
        <v>10</v>
      </c>
      <c r="Q219" s="1">
        <v>5</v>
      </c>
      <c r="R219" s="1">
        <v>5</v>
      </c>
      <c r="S219" s="1">
        <v>2</v>
      </c>
      <c r="T219" s="1">
        <v>0</v>
      </c>
      <c r="U219" s="1">
        <v>108</v>
      </c>
      <c r="V219" s="1">
        <v>108</v>
      </c>
      <c r="W219" s="1">
        <v>105</v>
      </c>
      <c r="X219" s="1">
        <v>100</v>
      </c>
      <c r="Y219" s="1">
        <v>120</v>
      </c>
      <c r="Z219" s="1">
        <v>118</v>
      </c>
      <c r="AA219" s="1">
        <v>0</v>
      </c>
      <c r="AB219" s="1">
        <v>15</v>
      </c>
      <c r="AC219" s="1">
        <v>5</v>
      </c>
      <c r="AD219" s="1">
        <v>0</v>
      </c>
      <c r="AE219" s="1">
        <v>114</v>
      </c>
      <c r="AF219" s="1">
        <v>100</v>
      </c>
      <c r="AG219" s="1">
        <v>110045</v>
      </c>
      <c r="AH219" s="1">
        <v>0</v>
      </c>
      <c r="AI219" s="1">
        <v>300102</v>
      </c>
      <c r="AJ219" s="1" t="s">
        <v>329</v>
      </c>
      <c r="AK219" s="1" t="s">
        <v>329</v>
      </c>
      <c r="AL219" s="1">
        <v>13</v>
      </c>
      <c r="AM219" s="1" t="s">
        <v>4850</v>
      </c>
      <c r="AN219" s="1" t="s">
        <v>389</v>
      </c>
      <c r="AO219" s="1" t="s">
        <v>5244</v>
      </c>
      <c r="AP219" s="1">
        <v>0</v>
      </c>
      <c r="AQ219" s="1" t="s">
        <v>1157</v>
      </c>
      <c r="AR219" s="1" t="s">
        <v>1147</v>
      </c>
      <c r="AS219" s="1" t="s">
        <v>1158</v>
      </c>
      <c r="AT219" s="1" t="s">
        <v>329</v>
      </c>
      <c r="AU219" s="1">
        <v>224</v>
      </c>
      <c r="AV219" s="1">
        <v>0</v>
      </c>
      <c r="AW219" s="1" t="s">
        <v>5245</v>
      </c>
      <c r="AX219" s="1" t="s">
        <v>5246</v>
      </c>
      <c r="AY219" s="1">
        <v>5</v>
      </c>
      <c r="AZ219" s="1">
        <v>0</v>
      </c>
      <c r="BA219" s="1" t="s">
        <v>329</v>
      </c>
      <c r="BB219" s="1" t="s">
        <v>371</v>
      </c>
      <c r="BC219" s="1" t="s">
        <v>329</v>
      </c>
      <c r="BD219" s="1">
        <v>10403</v>
      </c>
      <c r="BE219" s="1"/>
    </row>
    <row r="220" spans="1:57" x14ac:dyDescent="0.25">
      <c r="A220" s="1">
        <v>225</v>
      </c>
      <c r="B220" s="1" t="s">
        <v>3638</v>
      </c>
      <c r="C220" s="9" t="s">
        <v>183</v>
      </c>
      <c r="D220" s="1" t="s">
        <v>3639</v>
      </c>
      <c r="E220" s="1"/>
      <c r="F220" s="1"/>
      <c r="G220" s="1" t="s">
        <v>3640</v>
      </c>
      <c r="H220" s="1" t="s">
        <v>3641</v>
      </c>
      <c r="I220" s="1" t="s">
        <v>3642</v>
      </c>
      <c r="J220" s="1">
        <v>2</v>
      </c>
      <c r="K220" s="1">
        <v>4</v>
      </c>
      <c r="L220" s="1">
        <v>8280</v>
      </c>
      <c r="M220" s="1">
        <v>25</v>
      </c>
      <c r="N220" s="1">
        <v>20</v>
      </c>
      <c r="O220" s="1">
        <v>15</v>
      </c>
      <c r="P220" s="1">
        <v>10</v>
      </c>
      <c r="Q220" s="1">
        <v>5</v>
      </c>
      <c r="R220" s="1">
        <v>5</v>
      </c>
      <c r="S220" s="1">
        <v>2</v>
      </c>
      <c r="T220" s="1">
        <v>0</v>
      </c>
      <c r="U220" s="1">
        <v>102</v>
      </c>
      <c r="V220" s="1">
        <v>128</v>
      </c>
      <c r="W220" s="1">
        <v>80</v>
      </c>
      <c r="X220" s="1">
        <v>100</v>
      </c>
      <c r="Y220" s="1">
        <v>132</v>
      </c>
      <c r="Z220" s="1">
        <v>118</v>
      </c>
      <c r="AA220" s="1">
        <v>0</v>
      </c>
      <c r="AB220" s="1">
        <v>15</v>
      </c>
      <c r="AC220" s="1">
        <v>5</v>
      </c>
      <c r="AD220" s="1">
        <v>0</v>
      </c>
      <c r="AE220" s="1">
        <v>112</v>
      </c>
      <c r="AF220" s="1">
        <v>100</v>
      </c>
      <c r="AG220" s="1">
        <v>110047</v>
      </c>
      <c r="AH220" s="1">
        <v>0</v>
      </c>
      <c r="AI220" s="1">
        <v>300102</v>
      </c>
      <c r="AJ220" s="1" t="s">
        <v>1267</v>
      </c>
      <c r="AK220" s="1" t="s">
        <v>329</v>
      </c>
      <c r="AL220" s="1">
        <v>13</v>
      </c>
      <c r="AM220" s="1" t="s">
        <v>4850</v>
      </c>
      <c r="AN220" s="1" t="s">
        <v>389</v>
      </c>
      <c r="AO220" s="1" t="s">
        <v>5116</v>
      </c>
      <c r="AP220" s="1">
        <v>0</v>
      </c>
      <c r="AQ220" s="1" t="s">
        <v>1157</v>
      </c>
      <c r="AR220" s="1" t="s">
        <v>1147</v>
      </c>
      <c r="AS220" s="1" t="s">
        <v>1158</v>
      </c>
      <c r="AT220" s="1" t="s">
        <v>329</v>
      </c>
      <c r="AU220" s="1">
        <v>225</v>
      </c>
      <c r="AV220" s="1">
        <v>0</v>
      </c>
      <c r="AW220" s="1" t="s">
        <v>5093</v>
      </c>
      <c r="AX220" s="1" t="s">
        <v>5247</v>
      </c>
      <c r="AY220" s="1">
        <v>4</v>
      </c>
      <c r="AZ220" s="1">
        <v>0</v>
      </c>
      <c r="BA220" s="1" t="s">
        <v>329</v>
      </c>
      <c r="BB220" s="1" t="s">
        <v>329</v>
      </c>
      <c r="BC220" s="1" t="s">
        <v>4799</v>
      </c>
      <c r="BD220" s="1">
        <v>10301</v>
      </c>
      <c r="BE220" s="1"/>
    </row>
    <row r="221" spans="1:57" x14ac:dyDescent="0.25">
      <c r="A221" s="1">
        <v>226</v>
      </c>
      <c r="B221" s="1" t="s">
        <v>3643</v>
      </c>
      <c r="C221" s="9" t="s">
        <v>790</v>
      </c>
      <c r="D221" s="1" t="s">
        <v>790</v>
      </c>
      <c r="E221" s="1"/>
      <c r="F221" s="1"/>
      <c r="G221" s="1" t="s">
        <v>3644</v>
      </c>
      <c r="H221" s="1" t="s">
        <v>3645</v>
      </c>
      <c r="I221" s="1" t="s">
        <v>3646</v>
      </c>
      <c r="J221" s="1">
        <v>3</v>
      </c>
      <c r="K221" s="1">
        <v>4</v>
      </c>
      <c r="L221" s="1">
        <v>15600</v>
      </c>
      <c r="M221" s="1">
        <v>15</v>
      </c>
      <c r="N221" s="1">
        <v>30</v>
      </c>
      <c r="O221" s="1">
        <v>10</v>
      </c>
      <c r="P221" s="1">
        <v>15</v>
      </c>
      <c r="Q221" s="1">
        <v>5</v>
      </c>
      <c r="R221" s="1">
        <v>2</v>
      </c>
      <c r="S221" s="1">
        <v>5</v>
      </c>
      <c r="T221" s="1">
        <v>0</v>
      </c>
      <c r="U221" s="1">
        <v>92</v>
      </c>
      <c r="V221" s="1">
        <v>92</v>
      </c>
      <c r="W221" s="1">
        <v>135</v>
      </c>
      <c r="X221" s="1">
        <v>100</v>
      </c>
      <c r="Y221" s="1">
        <v>122</v>
      </c>
      <c r="Z221" s="1">
        <v>95</v>
      </c>
      <c r="AA221" s="1">
        <v>0</v>
      </c>
      <c r="AB221" s="1">
        <v>15</v>
      </c>
      <c r="AC221" s="1">
        <v>40</v>
      </c>
      <c r="AD221" s="1">
        <v>0</v>
      </c>
      <c r="AE221" s="1">
        <v>122</v>
      </c>
      <c r="AF221" s="1">
        <v>100</v>
      </c>
      <c r="AG221" s="1">
        <v>110048</v>
      </c>
      <c r="AH221" s="1">
        <v>0</v>
      </c>
      <c r="AI221" s="1">
        <v>300104</v>
      </c>
      <c r="AJ221" s="1" t="s">
        <v>1268</v>
      </c>
      <c r="AK221" s="1" t="s">
        <v>329</v>
      </c>
      <c r="AL221" s="1">
        <v>13</v>
      </c>
      <c r="AM221" s="1" t="s">
        <v>4822</v>
      </c>
      <c r="AN221" s="1" t="s">
        <v>4944</v>
      </c>
      <c r="AO221" s="1" t="s">
        <v>4892</v>
      </c>
      <c r="AP221" s="1">
        <v>0</v>
      </c>
      <c r="AQ221" s="1" t="s">
        <v>1168</v>
      </c>
      <c r="AR221" s="1" t="s">
        <v>1169</v>
      </c>
      <c r="AS221" s="1" t="s">
        <v>1170</v>
      </c>
      <c r="AT221" s="1" t="s">
        <v>329</v>
      </c>
      <c r="AU221" s="1">
        <v>226</v>
      </c>
      <c r="AV221" s="1">
        <v>0</v>
      </c>
      <c r="AW221" s="1" t="s">
        <v>5191</v>
      </c>
      <c r="AX221" s="1" t="s">
        <v>4813</v>
      </c>
      <c r="AY221" s="1">
        <v>4</v>
      </c>
      <c r="AZ221" s="1">
        <v>0</v>
      </c>
      <c r="BA221" s="1" t="s">
        <v>329</v>
      </c>
      <c r="BB221" s="1" t="s">
        <v>329</v>
      </c>
      <c r="BC221" s="1" t="s">
        <v>4780</v>
      </c>
      <c r="BD221" s="1">
        <v>10301</v>
      </c>
      <c r="BE221" s="1"/>
    </row>
    <row r="222" spans="1:57" x14ac:dyDescent="0.25">
      <c r="A222" s="1">
        <v>227</v>
      </c>
      <c r="B222" s="1" t="s">
        <v>3647</v>
      </c>
      <c r="C222" s="9" t="s">
        <v>1675</v>
      </c>
      <c r="D222" s="1" t="s">
        <v>1675</v>
      </c>
      <c r="E222" s="1"/>
      <c r="F222" s="1"/>
      <c r="G222" s="1" t="s">
        <v>3648</v>
      </c>
      <c r="H222" s="1" t="s">
        <v>3649</v>
      </c>
      <c r="I222" s="1" t="s">
        <v>3650</v>
      </c>
      <c r="J222" s="1">
        <v>4</v>
      </c>
      <c r="K222" s="1">
        <v>4</v>
      </c>
      <c r="L222" s="1">
        <v>12300</v>
      </c>
      <c r="M222" s="1">
        <v>20</v>
      </c>
      <c r="N222" s="1">
        <v>20</v>
      </c>
      <c r="O222" s="1">
        <v>10</v>
      </c>
      <c r="P222" s="1">
        <v>10</v>
      </c>
      <c r="Q222" s="1">
        <v>2</v>
      </c>
      <c r="R222" s="1">
        <v>5</v>
      </c>
      <c r="S222" s="1">
        <v>5</v>
      </c>
      <c r="T222" s="1">
        <v>0</v>
      </c>
      <c r="U222" s="1">
        <v>102</v>
      </c>
      <c r="V222" s="1">
        <v>118</v>
      </c>
      <c r="W222" s="1">
        <v>112</v>
      </c>
      <c r="X222" s="1">
        <v>100</v>
      </c>
      <c r="Y222" s="1">
        <v>122</v>
      </c>
      <c r="Z222" s="1">
        <v>92</v>
      </c>
      <c r="AA222" s="1">
        <v>0</v>
      </c>
      <c r="AB222" s="1">
        <v>15</v>
      </c>
      <c r="AC222" s="1">
        <v>20</v>
      </c>
      <c r="AD222" s="1">
        <v>0</v>
      </c>
      <c r="AE222" s="1">
        <v>115</v>
      </c>
      <c r="AF222" s="1">
        <v>100</v>
      </c>
      <c r="AG222" s="1">
        <v>110046</v>
      </c>
      <c r="AH222" s="1">
        <v>0</v>
      </c>
      <c r="AI222" s="1">
        <v>300103</v>
      </c>
      <c r="AJ222" s="1" t="s">
        <v>1268</v>
      </c>
      <c r="AK222" s="1" t="s">
        <v>329</v>
      </c>
      <c r="AL222" s="1">
        <v>12</v>
      </c>
      <c r="AM222" s="1" t="s">
        <v>4779</v>
      </c>
      <c r="AN222" s="1" t="s">
        <v>5248</v>
      </c>
      <c r="AO222" s="1" t="s">
        <v>5074</v>
      </c>
      <c r="AP222" s="1">
        <v>0</v>
      </c>
      <c r="AQ222" s="1" t="s">
        <v>1158</v>
      </c>
      <c r="AR222" s="1" t="s">
        <v>1182</v>
      </c>
      <c r="AS222" s="1" t="s">
        <v>1157</v>
      </c>
      <c r="AT222" s="1" t="s">
        <v>329</v>
      </c>
      <c r="AU222" s="1">
        <v>227</v>
      </c>
      <c r="AV222" s="1">
        <v>0</v>
      </c>
      <c r="AW222" s="1" t="s">
        <v>5222</v>
      </c>
      <c r="AX222" s="1" t="s">
        <v>4813</v>
      </c>
      <c r="AY222" s="1">
        <v>4</v>
      </c>
      <c r="AZ222" s="1">
        <v>0</v>
      </c>
      <c r="BA222" s="1" t="s">
        <v>329</v>
      </c>
      <c r="BB222" s="1" t="s">
        <v>473</v>
      </c>
      <c r="BC222" s="1" t="s">
        <v>4817</v>
      </c>
      <c r="BD222" s="1">
        <v>10802</v>
      </c>
      <c r="BE222" s="1"/>
    </row>
    <row r="223" spans="1:57" x14ac:dyDescent="0.25">
      <c r="A223" s="1">
        <v>228</v>
      </c>
      <c r="B223" s="1" t="s">
        <v>3651</v>
      </c>
      <c r="C223" s="9" t="s">
        <v>752</v>
      </c>
      <c r="D223" s="1" t="s">
        <v>3652</v>
      </c>
      <c r="E223" s="1"/>
      <c r="F223" s="1"/>
      <c r="G223" s="1" t="s">
        <v>3653</v>
      </c>
      <c r="H223" s="1" t="s">
        <v>3654</v>
      </c>
      <c r="I223" s="1" t="s">
        <v>3655</v>
      </c>
      <c r="J223" s="1">
        <v>2</v>
      </c>
      <c r="K223" s="1">
        <v>5</v>
      </c>
      <c r="L223" s="1">
        <v>8340</v>
      </c>
      <c r="M223" s="1">
        <v>25</v>
      </c>
      <c r="N223" s="1">
        <v>20</v>
      </c>
      <c r="O223" s="1">
        <v>15</v>
      </c>
      <c r="P223" s="1">
        <v>10</v>
      </c>
      <c r="Q223" s="1">
        <v>5</v>
      </c>
      <c r="R223" s="1">
        <v>5</v>
      </c>
      <c r="S223" s="1">
        <v>2</v>
      </c>
      <c r="T223" s="1">
        <v>0</v>
      </c>
      <c r="U223" s="1">
        <v>120</v>
      </c>
      <c r="V223" s="1">
        <v>105</v>
      </c>
      <c r="W223" s="1">
        <v>95</v>
      </c>
      <c r="X223" s="1">
        <v>100</v>
      </c>
      <c r="Y223" s="1">
        <v>115</v>
      </c>
      <c r="Z223" s="1">
        <v>105</v>
      </c>
      <c r="AA223" s="1">
        <v>0</v>
      </c>
      <c r="AB223" s="1">
        <v>15</v>
      </c>
      <c r="AC223" s="1">
        <v>5</v>
      </c>
      <c r="AD223" s="1">
        <v>0</v>
      </c>
      <c r="AE223" s="1">
        <v>115</v>
      </c>
      <c r="AF223" s="1">
        <v>100</v>
      </c>
      <c r="AG223" s="1">
        <v>110029</v>
      </c>
      <c r="AH223" s="1">
        <v>0</v>
      </c>
      <c r="AI223" s="1">
        <v>300102</v>
      </c>
      <c r="AJ223" s="1" t="s">
        <v>1269</v>
      </c>
      <c r="AK223" s="1" t="s">
        <v>1270</v>
      </c>
      <c r="AL223" s="1">
        <v>13</v>
      </c>
      <c r="AM223" s="1" t="s">
        <v>4850</v>
      </c>
      <c r="AN223" s="1" t="s">
        <v>389</v>
      </c>
      <c r="AO223" s="1" t="s">
        <v>5244</v>
      </c>
      <c r="AP223" s="1">
        <v>0</v>
      </c>
      <c r="AQ223" s="1" t="s">
        <v>1157</v>
      </c>
      <c r="AR223" s="1" t="s">
        <v>1147</v>
      </c>
      <c r="AS223" s="1" t="s">
        <v>1774</v>
      </c>
      <c r="AT223" s="1" t="s">
        <v>329</v>
      </c>
      <c r="AU223" s="1">
        <v>228</v>
      </c>
      <c r="AV223" s="1">
        <v>0</v>
      </c>
      <c r="AW223" s="1" t="s">
        <v>5249</v>
      </c>
      <c r="AX223" s="1" t="s">
        <v>332</v>
      </c>
      <c r="AY223" s="1">
        <v>5</v>
      </c>
      <c r="AZ223" s="1">
        <v>0</v>
      </c>
      <c r="BA223" s="1" t="s">
        <v>329</v>
      </c>
      <c r="BB223" s="1" t="s">
        <v>329</v>
      </c>
      <c r="BC223" s="1" t="s">
        <v>329</v>
      </c>
      <c r="BD223" s="1">
        <v>10203</v>
      </c>
      <c r="BE223" s="1"/>
    </row>
    <row r="224" spans="1:57" x14ac:dyDescent="0.25">
      <c r="A224" s="1">
        <v>229</v>
      </c>
      <c r="B224" s="1" t="s">
        <v>3656</v>
      </c>
      <c r="C224" s="9" t="s">
        <v>5692</v>
      </c>
      <c r="D224" s="1" t="s">
        <v>237</v>
      </c>
      <c r="E224" s="1"/>
      <c r="F224" s="1"/>
      <c r="G224" s="1" t="s">
        <v>3657</v>
      </c>
      <c r="H224" s="1" t="s">
        <v>3658</v>
      </c>
      <c r="I224" s="1" t="s">
        <v>3659</v>
      </c>
      <c r="J224" s="1">
        <v>6</v>
      </c>
      <c r="K224" s="1">
        <v>5</v>
      </c>
      <c r="L224" s="1">
        <v>29160</v>
      </c>
      <c r="M224" s="1">
        <v>30</v>
      </c>
      <c r="N224" s="1">
        <v>40</v>
      </c>
      <c r="O224" s="1">
        <v>15</v>
      </c>
      <c r="P224" s="1">
        <v>25</v>
      </c>
      <c r="Q224" s="1">
        <v>5</v>
      </c>
      <c r="R224" s="1">
        <v>2</v>
      </c>
      <c r="S224" s="1">
        <v>5</v>
      </c>
      <c r="T224" s="1">
        <v>5</v>
      </c>
      <c r="U224" s="1">
        <v>120</v>
      </c>
      <c r="V224" s="1">
        <v>112</v>
      </c>
      <c r="W224" s="1">
        <v>110</v>
      </c>
      <c r="X224" s="1">
        <v>100</v>
      </c>
      <c r="Y224" s="1">
        <v>115</v>
      </c>
      <c r="Z224" s="1">
        <v>105</v>
      </c>
      <c r="AA224" s="1">
        <v>125</v>
      </c>
      <c r="AB224" s="1">
        <v>15</v>
      </c>
      <c r="AC224" s="1">
        <v>40</v>
      </c>
      <c r="AD224" s="1">
        <v>4</v>
      </c>
      <c r="AE224" s="1">
        <v>105</v>
      </c>
      <c r="AF224" s="1">
        <v>100</v>
      </c>
      <c r="AG224" s="1">
        <v>110041</v>
      </c>
      <c r="AH224" s="1">
        <v>0</v>
      </c>
      <c r="AI224" s="1">
        <v>300106</v>
      </c>
      <c r="AJ224" s="1" t="s">
        <v>1271</v>
      </c>
      <c r="AK224" s="1" t="s">
        <v>1272</v>
      </c>
      <c r="AL224" s="1">
        <v>9</v>
      </c>
      <c r="AM224" s="1" t="s">
        <v>4776</v>
      </c>
      <c r="AN224" s="1" t="s">
        <v>355</v>
      </c>
      <c r="AO224" s="1" t="s">
        <v>5250</v>
      </c>
      <c r="AP224" s="1">
        <v>0</v>
      </c>
      <c r="AQ224" s="1" t="s">
        <v>1228</v>
      </c>
      <c r="AR224" s="1" t="s">
        <v>1229</v>
      </c>
      <c r="AS224" s="1" t="s">
        <v>1230</v>
      </c>
      <c r="AT224" s="1" t="s">
        <v>329</v>
      </c>
      <c r="AU224" s="1">
        <v>229</v>
      </c>
      <c r="AV224" s="1">
        <v>0</v>
      </c>
      <c r="AW224" s="1" t="s">
        <v>5131</v>
      </c>
      <c r="AX224" s="1" t="s">
        <v>4813</v>
      </c>
      <c r="AY224" s="1">
        <v>5</v>
      </c>
      <c r="AZ224" s="1">
        <v>0</v>
      </c>
      <c r="BA224" s="1" t="s">
        <v>329</v>
      </c>
      <c r="BB224" s="1" t="s">
        <v>329</v>
      </c>
      <c r="BC224" s="1" t="s">
        <v>4780</v>
      </c>
      <c r="BD224" s="1">
        <v>10402</v>
      </c>
      <c r="BE224" s="1"/>
    </row>
    <row r="225" spans="1:57" x14ac:dyDescent="0.25">
      <c r="A225" s="1">
        <v>230</v>
      </c>
      <c r="B225" s="1" t="s">
        <v>3660</v>
      </c>
      <c r="C225" s="9" t="s">
        <v>184</v>
      </c>
      <c r="D225" s="1" t="s">
        <v>184</v>
      </c>
      <c r="E225" s="1"/>
      <c r="F225" s="1"/>
      <c r="G225" s="1" t="s">
        <v>3661</v>
      </c>
      <c r="H225" s="1" t="s">
        <v>3662</v>
      </c>
      <c r="I225" s="1" t="s">
        <v>3663</v>
      </c>
      <c r="J225" s="1">
        <v>3</v>
      </c>
      <c r="K225" s="1">
        <v>3</v>
      </c>
      <c r="L225" s="1">
        <v>15600</v>
      </c>
      <c r="M225" s="1">
        <v>15</v>
      </c>
      <c r="N225" s="1">
        <v>30</v>
      </c>
      <c r="O225" s="1">
        <v>10</v>
      </c>
      <c r="P225" s="1">
        <v>15</v>
      </c>
      <c r="Q225" s="1">
        <v>5</v>
      </c>
      <c r="R225" s="1">
        <v>2</v>
      </c>
      <c r="S225" s="1">
        <v>5</v>
      </c>
      <c r="T225" s="1">
        <v>0</v>
      </c>
      <c r="U225" s="1">
        <v>92</v>
      </c>
      <c r="V225" s="1">
        <v>108</v>
      </c>
      <c r="W225" s="1">
        <v>110</v>
      </c>
      <c r="X225" s="1">
        <v>100</v>
      </c>
      <c r="Y225" s="1">
        <v>120</v>
      </c>
      <c r="Z225" s="1">
        <v>95</v>
      </c>
      <c r="AA225" s="1">
        <v>0</v>
      </c>
      <c r="AB225" s="1">
        <v>15</v>
      </c>
      <c r="AC225" s="1">
        <v>40</v>
      </c>
      <c r="AD225" s="1">
        <v>0</v>
      </c>
      <c r="AE225" s="1">
        <v>120</v>
      </c>
      <c r="AF225" s="1">
        <v>100</v>
      </c>
      <c r="AG225" s="1">
        <v>110049</v>
      </c>
      <c r="AH225" s="1">
        <v>0</v>
      </c>
      <c r="AI225" s="1">
        <v>300104</v>
      </c>
      <c r="AJ225" s="1" t="s">
        <v>1153</v>
      </c>
      <c r="AK225" s="1" t="s">
        <v>329</v>
      </c>
      <c r="AL225" s="1">
        <v>13</v>
      </c>
      <c r="AM225" s="1" t="s">
        <v>4822</v>
      </c>
      <c r="AN225" s="1" t="s">
        <v>4894</v>
      </c>
      <c r="AO225" s="1" t="s">
        <v>4886</v>
      </c>
      <c r="AP225" s="1">
        <v>0</v>
      </c>
      <c r="AQ225" s="1" t="s">
        <v>1168</v>
      </c>
      <c r="AR225" s="1" t="s">
        <v>1169</v>
      </c>
      <c r="AS225" s="1" t="s">
        <v>1170</v>
      </c>
      <c r="AT225" s="1" t="s">
        <v>329</v>
      </c>
      <c r="AU225" s="1">
        <v>230</v>
      </c>
      <c r="AV225" s="1">
        <v>0</v>
      </c>
      <c r="AW225" s="1" t="s">
        <v>5251</v>
      </c>
      <c r="AX225" s="1" t="s">
        <v>5243</v>
      </c>
      <c r="AY225" s="1">
        <v>3</v>
      </c>
      <c r="AZ225" s="1">
        <v>0</v>
      </c>
      <c r="BA225" s="1" t="s">
        <v>329</v>
      </c>
      <c r="BB225" s="1" t="s">
        <v>5252</v>
      </c>
      <c r="BC225" s="1" t="s">
        <v>4780</v>
      </c>
      <c r="BD225" s="1">
        <v>10704</v>
      </c>
      <c r="BE225" s="1"/>
    </row>
    <row r="226" spans="1:57" x14ac:dyDescent="0.25">
      <c r="A226" s="1">
        <v>231</v>
      </c>
      <c r="B226" s="1" t="s">
        <v>3664</v>
      </c>
      <c r="C226" s="9" t="s">
        <v>185</v>
      </c>
      <c r="D226" s="1" t="s">
        <v>185</v>
      </c>
      <c r="E226" s="1"/>
      <c r="F226" s="1"/>
      <c r="G226" s="1" t="s">
        <v>3665</v>
      </c>
      <c r="H226" s="1" t="s">
        <v>3666</v>
      </c>
      <c r="I226" s="1" t="s">
        <v>3667</v>
      </c>
      <c r="J226" s="1">
        <v>3</v>
      </c>
      <c r="K226" s="1">
        <v>5</v>
      </c>
      <c r="L226" s="1">
        <v>15600</v>
      </c>
      <c r="M226" s="1">
        <v>15</v>
      </c>
      <c r="N226" s="1">
        <v>30</v>
      </c>
      <c r="O226" s="1">
        <v>10</v>
      </c>
      <c r="P226" s="1">
        <v>15</v>
      </c>
      <c r="Q226" s="1">
        <v>5</v>
      </c>
      <c r="R226" s="1">
        <v>2</v>
      </c>
      <c r="S226" s="1">
        <v>5</v>
      </c>
      <c r="T226" s="1">
        <v>0</v>
      </c>
      <c r="U226" s="1">
        <v>100</v>
      </c>
      <c r="V226" s="1">
        <v>140</v>
      </c>
      <c r="W226" s="1">
        <v>96</v>
      </c>
      <c r="X226" s="1">
        <v>100</v>
      </c>
      <c r="Y226" s="1">
        <v>110</v>
      </c>
      <c r="Z226" s="1">
        <v>82</v>
      </c>
      <c r="AA226" s="1">
        <v>0</v>
      </c>
      <c r="AB226" s="1">
        <v>15</v>
      </c>
      <c r="AC226" s="1">
        <v>40</v>
      </c>
      <c r="AD226" s="1">
        <v>0</v>
      </c>
      <c r="AE226" s="1">
        <v>128</v>
      </c>
      <c r="AF226" s="1">
        <v>100</v>
      </c>
      <c r="AG226" s="1">
        <v>120106</v>
      </c>
      <c r="AH226" s="1">
        <v>0</v>
      </c>
      <c r="AI226" s="1">
        <v>301704</v>
      </c>
      <c r="AJ226" s="1" t="s">
        <v>1273</v>
      </c>
      <c r="AK226" s="1" t="s">
        <v>1274</v>
      </c>
      <c r="AL226" s="1">
        <v>13</v>
      </c>
      <c r="AM226" s="1" t="s">
        <v>4822</v>
      </c>
      <c r="AN226" s="1" t="s">
        <v>4944</v>
      </c>
      <c r="AO226" s="1" t="s">
        <v>4905</v>
      </c>
      <c r="AP226" s="1">
        <v>0</v>
      </c>
      <c r="AQ226" s="1" t="s">
        <v>1168</v>
      </c>
      <c r="AR226" s="1" t="s">
        <v>1169</v>
      </c>
      <c r="AS226" s="1" t="s">
        <v>1170</v>
      </c>
      <c r="AT226" s="1" t="s">
        <v>329</v>
      </c>
      <c r="AU226" s="1">
        <v>231</v>
      </c>
      <c r="AV226" s="1">
        <v>0</v>
      </c>
      <c r="AW226" s="1" t="s">
        <v>5238</v>
      </c>
      <c r="AX226" s="1" t="s">
        <v>5253</v>
      </c>
      <c r="AY226" s="1">
        <v>5</v>
      </c>
      <c r="AZ226" s="1">
        <v>0</v>
      </c>
      <c r="BA226" s="1" t="s">
        <v>329</v>
      </c>
      <c r="BB226" s="1" t="s">
        <v>329</v>
      </c>
      <c r="BC226" s="1" t="s">
        <v>4780</v>
      </c>
      <c r="BD226" s="1">
        <v>10402</v>
      </c>
      <c r="BE226" s="1"/>
    </row>
    <row r="227" spans="1:57" x14ac:dyDescent="0.25">
      <c r="A227" s="1">
        <v>232</v>
      </c>
      <c r="B227" s="1" t="s">
        <v>3668</v>
      </c>
      <c r="C227" s="9" t="s">
        <v>1676</v>
      </c>
      <c r="D227" s="1" t="s">
        <v>1676</v>
      </c>
      <c r="E227" s="1"/>
      <c r="F227" s="1"/>
      <c r="G227" s="1" t="s">
        <v>3669</v>
      </c>
      <c r="H227" s="1" t="s">
        <v>3670</v>
      </c>
      <c r="I227" s="1" t="s">
        <v>3671</v>
      </c>
      <c r="J227" s="1">
        <v>1</v>
      </c>
      <c r="K227" s="1">
        <v>3</v>
      </c>
      <c r="L227" s="1">
        <v>2700</v>
      </c>
      <c r="M227" s="1">
        <v>10</v>
      </c>
      <c r="N227" s="1">
        <v>10</v>
      </c>
      <c r="O227" s="1">
        <v>5</v>
      </c>
      <c r="P227" s="1">
        <v>5</v>
      </c>
      <c r="Q227" s="1">
        <v>2</v>
      </c>
      <c r="R227" s="1">
        <v>2</v>
      </c>
      <c r="S227" s="1">
        <v>2</v>
      </c>
      <c r="T227" s="1">
        <v>0</v>
      </c>
      <c r="U227" s="1">
        <v>96</v>
      </c>
      <c r="V227" s="1">
        <v>90</v>
      </c>
      <c r="W227" s="1">
        <v>110</v>
      </c>
      <c r="X227" s="1">
        <v>100</v>
      </c>
      <c r="Y227" s="1">
        <v>118</v>
      </c>
      <c r="Z227" s="1">
        <v>128</v>
      </c>
      <c r="AA227" s="1">
        <v>0</v>
      </c>
      <c r="AB227" s="1">
        <v>15</v>
      </c>
      <c r="AC227" s="1">
        <v>20</v>
      </c>
      <c r="AD227" s="1">
        <v>0</v>
      </c>
      <c r="AE227" s="1">
        <v>125</v>
      </c>
      <c r="AF227" s="1">
        <v>100</v>
      </c>
      <c r="AG227" s="1">
        <v>110051</v>
      </c>
      <c r="AH227" s="1">
        <v>0</v>
      </c>
      <c r="AI227" s="1">
        <v>300101</v>
      </c>
      <c r="AJ227" s="1" t="s">
        <v>5254</v>
      </c>
      <c r="AK227" s="1" t="s">
        <v>329</v>
      </c>
      <c r="AL227" s="1">
        <v>13</v>
      </c>
      <c r="AM227" s="1" t="s">
        <v>1866</v>
      </c>
      <c r="AN227" s="1" t="s">
        <v>5235</v>
      </c>
      <c r="AO227" s="1" t="s">
        <v>5146</v>
      </c>
      <c r="AP227" s="1">
        <v>0</v>
      </c>
      <c r="AQ227" s="1" t="s">
        <v>1146</v>
      </c>
      <c r="AR227" s="1" t="s">
        <v>1147</v>
      </c>
      <c r="AS227" s="1" t="s">
        <v>1148</v>
      </c>
      <c r="AT227" s="1" t="s">
        <v>329</v>
      </c>
      <c r="AU227" s="1">
        <v>232</v>
      </c>
      <c r="AV227" s="1">
        <v>0</v>
      </c>
      <c r="AW227" s="1" t="s">
        <v>5255</v>
      </c>
      <c r="AX227" s="1" t="s">
        <v>5243</v>
      </c>
      <c r="AY227" s="1">
        <v>3</v>
      </c>
      <c r="AZ227" s="1">
        <v>0</v>
      </c>
      <c r="BA227" s="1" t="s">
        <v>329</v>
      </c>
      <c r="BB227" s="1" t="s">
        <v>4904</v>
      </c>
      <c r="BC227" s="1" t="s">
        <v>4817</v>
      </c>
      <c r="BD227" s="1">
        <v>10301</v>
      </c>
      <c r="BE227" s="1"/>
    </row>
    <row r="228" spans="1:57" x14ac:dyDescent="0.25">
      <c r="A228" s="1">
        <v>233</v>
      </c>
      <c r="B228" s="1" t="s">
        <v>3672</v>
      </c>
      <c r="C228" s="9" t="s">
        <v>186</v>
      </c>
      <c r="D228" s="1" t="s">
        <v>3673</v>
      </c>
      <c r="E228" s="1"/>
      <c r="F228" s="1"/>
      <c r="G228" s="1" t="s">
        <v>3674</v>
      </c>
      <c r="H228" s="1" t="s">
        <v>3675</v>
      </c>
      <c r="I228" s="1" t="s">
        <v>3676</v>
      </c>
      <c r="J228" s="1">
        <v>1</v>
      </c>
      <c r="K228" s="1">
        <v>5</v>
      </c>
      <c r="L228" s="1">
        <v>3840</v>
      </c>
      <c r="M228" s="1">
        <v>10</v>
      </c>
      <c r="N228" s="1">
        <v>10</v>
      </c>
      <c r="O228" s="1">
        <v>5</v>
      </c>
      <c r="P228" s="1">
        <v>5</v>
      </c>
      <c r="Q228" s="1">
        <v>2</v>
      </c>
      <c r="R228" s="1">
        <v>2</v>
      </c>
      <c r="S228" s="1">
        <v>2</v>
      </c>
      <c r="T228" s="1">
        <v>0</v>
      </c>
      <c r="U228" s="1">
        <v>102</v>
      </c>
      <c r="V228" s="1">
        <v>118</v>
      </c>
      <c r="W228" s="1">
        <v>102</v>
      </c>
      <c r="X228" s="1">
        <v>100</v>
      </c>
      <c r="Y228" s="1">
        <v>128</v>
      </c>
      <c r="Z228" s="1">
        <v>115</v>
      </c>
      <c r="AA228" s="1">
        <v>0</v>
      </c>
      <c r="AB228" s="1">
        <v>15</v>
      </c>
      <c r="AC228" s="1">
        <v>20</v>
      </c>
      <c r="AD228" s="1">
        <v>0</v>
      </c>
      <c r="AE228" s="1">
        <v>132</v>
      </c>
      <c r="AF228" s="1">
        <v>100</v>
      </c>
      <c r="AG228" s="1">
        <v>110066</v>
      </c>
      <c r="AH228" s="1">
        <v>0</v>
      </c>
      <c r="AI228" s="1">
        <v>300101</v>
      </c>
      <c r="AJ228" s="1" t="s">
        <v>329</v>
      </c>
      <c r="AK228" s="1" t="s">
        <v>329</v>
      </c>
      <c r="AL228" s="1">
        <v>12</v>
      </c>
      <c r="AM228" s="1" t="s">
        <v>1866</v>
      </c>
      <c r="AN228" s="1" t="s">
        <v>5256</v>
      </c>
      <c r="AO228" s="1" t="s">
        <v>5126</v>
      </c>
      <c r="AP228" s="1">
        <v>0</v>
      </c>
      <c r="AQ228" s="1" t="s">
        <v>1146</v>
      </c>
      <c r="AR228" s="1" t="s">
        <v>1147</v>
      </c>
      <c r="AS228" s="1" t="s">
        <v>1148</v>
      </c>
      <c r="AT228" s="1" t="s">
        <v>329</v>
      </c>
      <c r="AU228" s="1">
        <v>233</v>
      </c>
      <c r="AV228" s="1">
        <v>0</v>
      </c>
      <c r="AW228" s="1" t="s">
        <v>5257</v>
      </c>
      <c r="AX228" s="1" t="s">
        <v>4822</v>
      </c>
      <c r="AY228" s="1">
        <v>5</v>
      </c>
      <c r="AZ228" s="1">
        <v>0</v>
      </c>
      <c r="BA228" s="1" t="s">
        <v>329</v>
      </c>
      <c r="BB228" s="1" t="s">
        <v>329</v>
      </c>
      <c r="BC228" s="1" t="s">
        <v>4799</v>
      </c>
      <c r="BD228" s="1">
        <v>10203</v>
      </c>
      <c r="BE228" s="1"/>
    </row>
    <row r="229" spans="1:57" x14ac:dyDescent="0.25">
      <c r="A229" s="1">
        <v>234</v>
      </c>
      <c r="B229" s="1" t="s">
        <v>3677</v>
      </c>
      <c r="C229" s="9" t="s">
        <v>238</v>
      </c>
      <c r="D229" s="1" t="s">
        <v>3678</v>
      </c>
      <c r="E229" s="1"/>
      <c r="F229" s="1"/>
      <c r="G229" s="1" t="s">
        <v>3679</v>
      </c>
      <c r="H229" s="1" t="s">
        <v>3680</v>
      </c>
      <c r="I229" s="1" t="s">
        <v>3681</v>
      </c>
      <c r="J229" s="1">
        <v>2</v>
      </c>
      <c r="K229" s="1">
        <v>5</v>
      </c>
      <c r="L229" s="1">
        <v>8280</v>
      </c>
      <c r="M229" s="1">
        <v>25</v>
      </c>
      <c r="N229" s="1">
        <v>20</v>
      </c>
      <c r="O229" s="1">
        <v>15</v>
      </c>
      <c r="P229" s="1">
        <v>10</v>
      </c>
      <c r="Q229" s="1">
        <v>5</v>
      </c>
      <c r="R229" s="1">
        <v>5</v>
      </c>
      <c r="S229" s="1">
        <v>2</v>
      </c>
      <c r="T229" s="1">
        <v>0</v>
      </c>
      <c r="U229" s="1">
        <v>102</v>
      </c>
      <c r="V229" s="1">
        <v>95</v>
      </c>
      <c r="W229" s="1">
        <v>110</v>
      </c>
      <c r="X229" s="1">
        <v>100</v>
      </c>
      <c r="Y229" s="1">
        <v>112</v>
      </c>
      <c r="Z229" s="1">
        <v>128</v>
      </c>
      <c r="AA229" s="1">
        <v>0</v>
      </c>
      <c r="AB229" s="1">
        <v>15</v>
      </c>
      <c r="AC229" s="1">
        <v>5</v>
      </c>
      <c r="AD229" s="1">
        <v>0</v>
      </c>
      <c r="AE229" s="1">
        <v>122</v>
      </c>
      <c r="AF229" s="1">
        <v>100</v>
      </c>
      <c r="AG229" s="1">
        <v>110054</v>
      </c>
      <c r="AH229" s="1">
        <v>0</v>
      </c>
      <c r="AI229" s="1">
        <v>300102</v>
      </c>
      <c r="AJ229" s="1" t="s">
        <v>1275</v>
      </c>
      <c r="AK229" s="1" t="s">
        <v>1276</v>
      </c>
      <c r="AL229" s="1">
        <v>12</v>
      </c>
      <c r="AM229" s="1" t="s">
        <v>4850</v>
      </c>
      <c r="AN229" s="1" t="s">
        <v>5258</v>
      </c>
      <c r="AO229" s="1" t="s">
        <v>5090</v>
      </c>
      <c r="AP229" s="1">
        <v>0</v>
      </c>
      <c r="AQ229" s="1" t="s">
        <v>1157</v>
      </c>
      <c r="AR229" s="1" t="s">
        <v>1147</v>
      </c>
      <c r="AS229" s="1" t="s">
        <v>1158</v>
      </c>
      <c r="AT229" s="1" t="s">
        <v>329</v>
      </c>
      <c r="AU229" s="1">
        <v>234</v>
      </c>
      <c r="AV229" s="1">
        <v>0</v>
      </c>
      <c r="AW229" s="1" t="s">
        <v>5259</v>
      </c>
      <c r="AX229" s="1" t="s">
        <v>5260</v>
      </c>
      <c r="AY229" s="1">
        <v>5</v>
      </c>
      <c r="AZ229" s="1">
        <v>0</v>
      </c>
      <c r="BA229" s="1" t="s">
        <v>329</v>
      </c>
      <c r="BB229" s="1" t="s">
        <v>5261</v>
      </c>
      <c r="BC229" s="1" t="s">
        <v>4843</v>
      </c>
      <c r="BD229" s="1">
        <v>10203</v>
      </c>
      <c r="BE229" s="1"/>
    </row>
    <row r="230" spans="1:57" x14ac:dyDescent="0.25">
      <c r="A230" s="1">
        <v>235</v>
      </c>
      <c r="B230" s="1" t="s">
        <v>3682</v>
      </c>
      <c r="C230" s="9" t="s">
        <v>187</v>
      </c>
      <c r="D230" s="1" t="s">
        <v>3683</v>
      </c>
      <c r="E230" s="1"/>
      <c r="F230" s="1"/>
      <c r="G230" s="1" t="s">
        <v>3684</v>
      </c>
      <c r="H230" s="1" t="s">
        <v>3685</v>
      </c>
      <c r="I230" s="1" t="s">
        <v>3686</v>
      </c>
      <c r="J230" s="1">
        <v>3</v>
      </c>
      <c r="K230" s="1">
        <v>4</v>
      </c>
      <c r="L230" s="1">
        <v>15300</v>
      </c>
      <c r="M230" s="1">
        <v>15</v>
      </c>
      <c r="N230" s="1">
        <v>30</v>
      </c>
      <c r="O230" s="1">
        <v>10</v>
      </c>
      <c r="P230" s="1">
        <v>15</v>
      </c>
      <c r="Q230" s="1">
        <v>5</v>
      </c>
      <c r="R230" s="1">
        <v>2</v>
      </c>
      <c r="S230" s="1">
        <v>5</v>
      </c>
      <c r="T230" s="1">
        <v>0</v>
      </c>
      <c r="U230" s="1">
        <v>98</v>
      </c>
      <c r="V230" s="1">
        <v>115</v>
      </c>
      <c r="W230" s="1">
        <v>98</v>
      </c>
      <c r="X230" s="1">
        <v>100</v>
      </c>
      <c r="Y230" s="1">
        <v>118</v>
      </c>
      <c r="Z230" s="1">
        <v>85</v>
      </c>
      <c r="AA230" s="1">
        <v>0</v>
      </c>
      <c r="AB230" s="1">
        <v>15</v>
      </c>
      <c r="AC230" s="1">
        <v>40</v>
      </c>
      <c r="AD230" s="1">
        <v>0</v>
      </c>
      <c r="AE230" s="1">
        <v>128</v>
      </c>
      <c r="AF230" s="1">
        <v>100</v>
      </c>
      <c r="AG230" s="1">
        <v>110062</v>
      </c>
      <c r="AH230" s="1">
        <v>0</v>
      </c>
      <c r="AI230" s="1">
        <v>110065</v>
      </c>
      <c r="AJ230" s="1" t="s">
        <v>1277</v>
      </c>
      <c r="AK230" s="1" t="s">
        <v>1278</v>
      </c>
      <c r="AL230" s="1">
        <v>13</v>
      </c>
      <c r="AM230" s="1" t="s">
        <v>4822</v>
      </c>
      <c r="AN230" s="1" t="s">
        <v>4894</v>
      </c>
      <c r="AO230" s="1" t="s">
        <v>4892</v>
      </c>
      <c r="AP230" s="1">
        <v>0</v>
      </c>
      <c r="AQ230" s="1" t="s">
        <v>1168</v>
      </c>
      <c r="AR230" s="1" t="s">
        <v>1169</v>
      </c>
      <c r="AS230" s="1" t="s">
        <v>1170</v>
      </c>
      <c r="AT230" s="1" t="s">
        <v>329</v>
      </c>
      <c r="AU230" s="1">
        <v>235</v>
      </c>
      <c r="AV230" s="1">
        <v>0</v>
      </c>
      <c r="AW230" s="1" t="s">
        <v>5257</v>
      </c>
      <c r="AX230" s="1" t="s">
        <v>332</v>
      </c>
      <c r="AY230" s="1">
        <v>4</v>
      </c>
      <c r="AZ230" s="1">
        <v>0</v>
      </c>
      <c r="BA230" s="1" t="s">
        <v>329</v>
      </c>
      <c r="BB230" s="1" t="s">
        <v>329</v>
      </c>
      <c r="BC230" s="1" t="s">
        <v>4913</v>
      </c>
      <c r="BD230" s="1">
        <v>10704</v>
      </c>
      <c r="BE230" s="1"/>
    </row>
    <row r="231" spans="1:57" x14ac:dyDescent="0.25">
      <c r="A231" s="1">
        <v>236</v>
      </c>
      <c r="B231" s="1" t="s">
        <v>3687</v>
      </c>
      <c r="C231" s="9" t="s">
        <v>188</v>
      </c>
      <c r="D231" s="1" t="s">
        <v>188</v>
      </c>
      <c r="E231" s="1"/>
      <c r="F231" s="1"/>
      <c r="G231" s="1" t="s">
        <v>3688</v>
      </c>
      <c r="H231" s="1" t="s">
        <v>3689</v>
      </c>
      <c r="I231" s="1" t="s">
        <v>3690</v>
      </c>
      <c r="J231" s="1">
        <v>4</v>
      </c>
      <c r="K231" s="1">
        <v>5</v>
      </c>
      <c r="L231" s="1">
        <v>15060</v>
      </c>
      <c r="M231" s="1">
        <v>20</v>
      </c>
      <c r="N231" s="1">
        <v>20</v>
      </c>
      <c r="O231" s="1">
        <v>10</v>
      </c>
      <c r="P231" s="1">
        <v>10</v>
      </c>
      <c r="Q231" s="1">
        <v>2</v>
      </c>
      <c r="R231" s="1">
        <v>5</v>
      </c>
      <c r="S231" s="1">
        <v>5</v>
      </c>
      <c r="T231" s="1">
        <v>0</v>
      </c>
      <c r="U231" s="1">
        <v>122</v>
      </c>
      <c r="V231" s="1">
        <v>112</v>
      </c>
      <c r="W231" s="1">
        <v>110</v>
      </c>
      <c r="X231" s="1">
        <v>100</v>
      </c>
      <c r="Y231" s="1">
        <v>122</v>
      </c>
      <c r="Z231" s="1">
        <v>82</v>
      </c>
      <c r="AA231" s="1">
        <v>0</v>
      </c>
      <c r="AB231" s="1">
        <v>15</v>
      </c>
      <c r="AC231" s="1">
        <v>20</v>
      </c>
      <c r="AD231" s="1">
        <v>0</v>
      </c>
      <c r="AE231" s="1">
        <v>128</v>
      </c>
      <c r="AF231" s="1">
        <v>100</v>
      </c>
      <c r="AG231" s="1">
        <v>110067</v>
      </c>
      <c r="AH231" s="1">
        <v>0</v>
      </c>
      <c r="AI231" s="1">
        <v>300103</v>
      </c>
      <c r="AJ231" s="1" t="s">
        <v>1279</v>
      </c>
      <c r="AK231" s="1" t="s">
        <v>1280</v>
      </c>
      <c r="AL231" s="1">
        <v>13</v>
      </c>
      <c r="AM231" s="1" t="s">
        <v>4779</v>
      </c>
      <c r="AN231" s="1" t="s">
        <v>4924</v>
      </c>
      <c r="AO231" s="1" t="s">
        <v>5229</v>
      </c>
      <c r="AP231" s="1">
        <v>0</v>
      </c>
      <c r="AQ231" s="1" t="s">
        <v>1158</v>
      </c>
      <c r="AR231" s="1" t="s">
        <v>1182</v>
      </c>
      <c r="AS231" s="1" t="s">
        <v>1157</v>
      </c>
      <c r="AT231" s="1" t="s">
        <v>329</v>
      </c>
      <c r="AU231" s="1">
        <v>236</v>
      </c>
      <c r="AV231" s="1">
        <v>0</v>
      </c>
      <c r="AW231" s="1" t="s">
        <v>5257</v>
      </c>
      <c r="AX231" s="1" t="s">
        <v>332</v>
      </c>
      <c r="AY231" s="1">
        <v>5</v>
      </c>
      <c r="AZ231" s="1">
        <v>0</v>
      </c>
      <c r="BA231" s="1" t="s">
        <v>329</v>
      </c>
      <c r="BB231" s="1" t="s">
        <v>329</v>
      </c>
      <c r="BC231" s="1" t="s">
        <v>329</v>
      </c>
      <c r="BD231" s="1">
        <v>10402</v>
      </c>
      <c r="BE231" s="1"/>
    </row>
    <row r="232" spans="1:57" x14ac:dyDescent="0.25">
      <c r="A232" s="1">
        <v>237</v>
      </c>
      <c r="B232" s="1" t="s">
        <v>3691</v>
      </c>
      <c r="C232" s="9" t="s">
        <v>1677</v>
      </c>
      <c r="D232" s="1" t="s">
        <v>1677</v>
      </c>
      <c r="E232" s="1"/>
      <c r="F232" s="1"/>
      <c r="G232" s="1" t="s">
        <v>3692</v>
      </c>
      <c r="H232" s="1" t="s">
        <v>3693</v>
      </c>
      <c r="I232" s="1" t="s">
        <v>3694</v>
      </c>
      <c r="J232" s="1">
        <v>4</v>
      </c>
      <c r="K232" s="1">
        <v>4</v>
      </c>
      <c r="L232" s="1">
        <v>12300</v>
      </c>
      <c r="M232" s="1">
        <v>20</v>
      </c>
      <c r="N232" s="1">
        <v>20</v>
      </c>
      <c r="O232" s="1">
        <v>10</v>
      </c>
      <c r="P232" s="1">
        <v>10</v>
      </c>
      <c r="Q232" s="1">
        <v>2</v>
      </c>
      <c r="R232" s="1">
        <v>5</v>
      </c>
      <c r="S232" s="1">
        <v>5</v>
      </c>
      <c r="T232" s="1">
        <v>0</v>
      </c>
      <c r="U232" s="1">
        <v>105</v>
      </c>
      <c r="V232" s="1">
        <v>108</v>
      </c>
      <c r="W232" s="1">
        <v>125</v>
      </c>
      <c r="X232" s="1">
        <v>100</v>
      </c>
      <c r="Y232" s="1">
        <v>130</v>
      </c>
      <c r="Z232" s="1">
        <v>105</v>
      </c>
      <c r="AA232" s="1">
        <v>0</v>
      </c>
      <c r="AB232" s="1">
        <v>15</v>
      </c>
      <c r="AC232" s="1">
        <v>20</v>
      </c>
      <c r="AD232" s="1">
        <v>0</v>
      </c>
      <c r="AE232" s="1">
        <v>100</v>
      </c>
      <c r="AF232" s="1">
        <v>100</v>
      </c>
      <c r="AG232" s="1">
        <v>110052</v>
      </c>
      <c r="AH232" s="1">
        <v>0</v>
      </c>
      <c r="AI232" s="1">
        <v>300103</v>
      </c>
      <c r="AJ232" s="1" t="s">
        <v>1281</v>
      </c>
      <c r="AK232" s="1" t="s">
        <v>329</v>
      </c>
      <c r="AL232" s="1">
        <v>13</v>
      </c>
      <c r="AM232" s="1" t="s">
        <v>4779</v>
      </c>
      <c r="AN232" s="1" t="s">
        <v>4924</v>
      </c>
      <c r="AO232" s="1" t="s">
        <v>5262</v>
      </c>
      <c r="AP232" s="1">
        <v>0</v>
      </c>
      <c r="AQ232" s="1" t="s">
        <v>1158</v>
      </c>
      <c r="AR232" s="1" t="s">
        <v>1182</v>
      </c>
      <c r="AS232" s="1" t="s">
        <v>1157</v>
      </c>
      <c r="AT232" s="1" t="s">
        <v>329</v>
      </c>
      <c r="AU232" s="1">
        <v>237</v>
      </c>
      <c r="AV232" s="1">
        <v>0</v>
      </c>
      <c r="AW232" s="1" t="s">
        <v>5257</v>
      </c>
      <c r="AX232" s="1" t="s">
        <v>332</v>
      </c>
      <c r="AY232" s="1">
        <v>4</v>
      </c>
      <c r="AZ232" s="1">
        <v>0</v>
      </c>
      <c r="BA232" s="1" t="s">
        <v>329</v>
      </c>
      <c r="BB232" s="1" t="s">
        <v>329</v>
      </c>
      <c r="BC232" s="1" t="s">
        <v>329</v>
      </c>
      <c r="BD232" s="1">
        <v>10802</v>
      </c>
      <c r="BE232" s="1"/>
    </row>
    <row r="233" spans="1:57" x14ac:dyDescent="0.25">
      <c r="A233" s="1">
        <v>238</v>
      </c>
      <c r="B233" s="1" t="s">
        <v>3695</v>
      </c>
      <c r="C233" s="9" t="s">
        <v>788</v>
      </c>
      <c r="D233" s="1" t="s">
        <v>119</v>
      </c>
      <c r="E233" s="1"/>
      <c r="F233" s="1"/>
      <c r="G233" s="1" t="s">
        <v>3696</v>
      </c>
      <c r="H233" s="1" t="s">
        <v>3697</v>
      </c>
      <c r="I233" s="1" t="s">
        <v>3698</v>
      </c>
      <c r="J233" s="1">
        <v>5</v>
      </c>
      <c r="K233" s="1">
        <v>5</v>
      </c>
      <c r="L233" s="1">
        <v>23280</v>
      </c>
      <c r="M233" s="1">
        <v>40</v>
      </c>
      <c r="N233" s="1">
        <v>30</v>
      </c>
      <c r="O233" s="1">
        <v>25</v>
      </c>
      <c r="P233" s="1">
        <v>15</v>
      </c>
      <c r="Q233" s="1">
        <v>5</v>
      </c>
      <c r="R233" s="1">
        <v>5</v>
      </c>
      <c r="S233" s="1">
        <v>2</v>
      </c>
      <c r="T233" s="1">
        <v>5</v>
      </c>
      <c r="U233" s="1">
        <v>100</v>
      </c>
      <c r="V233" s="1">
        <v>100</v>
      </c>
      <c r="W233" s="1">
        <v>115</v>
      </c>
      <c r="X233" s="1">
        <v>100</v>
      </c>
      <c r="Y233" s="1">
        <v>122</v>
      </c>
      <c r="Z233" s="1">
        <v>130</v>
      </c>
      <c r="AA233" s="1">
        <v>0</v>
      </c>
      <c r="AB233" s="1">
        <v>15</v>
      </c>
      <c r="AC233" s="1">
        <v>5</v>
      </c>
      <c r="AD233" s="1">
        <v>10</v>
      </c>
      <c r="AE233" s="1">
        <v>130</v>
      </c>
      <c r="AF233" s="1">
        <v>100</v>
      </c>
      <c r="AG233" s="1">
        <v>110059</v>
      </c>
      <c r="AH233" s="1">
        <v>0</v>
      </c>
      <c r="AI233" s="1">
        <v>110078</v>
      </c>
      <c r="AJ233" s="1" t="s">
        <v>5263</v>
      </c>
      <c r="AK233" s="1" t="s">
        <v>1282</v>
      </c>
      <c r="AL233" s="1">
        <v>19</v>
      </c>
      <c r="AM233" s="1" t="s">
        <v>4918</v>
      </c>
      <c r="AN233" s="1" t="s">
        <v>5264</v>
      </c>
      <c r="AO233" s="1" t="s">
        <v>5265</v>
      </c>
      <c r="AP233" s="1">
        <v>0</v>
      </c>
      <c r="AQ233" s="1" t="s">
        <v>1195</v>
      </c>
      <c r="AR233" s="1" t="s">
        <v>1196</v>
      </c>
      <c r="AS233" s="1" t="s">
        <v>1197</v>
      </c>
      <c r="AT233" s="1" t="s">
        <v>329</v>
      </c>
      <c r="AU233" s="1">
        <v>238</v>
      </c>
      <c r="AV233" s="1">
        <v>0</v>
      </c>
      <c r="AW233" s="1" t="s">
        <v>5257</v>
      </c>
      <c r="AX233" s="1" t="s">
        <v>332</v>
      </c>
      <c r="AY233" s="1">
        <v>5</v>
      </c>
      <c r="AZ233" s="1">
        <v>0</v>
      </c>
      <c r="BA233" s="1" t="s">
        <v>329</v>
      </c>
      <c r="BB233" s="1" t="s">
        <v>5266</v>
      </c>
      <c r="BC233" s="1" t="s">
        <v>4843</v>
      </c>
      <c r="BD233" s="1">
        <v>10802</v>
      </c>
      <c r="BE233" s="1"/>
    </row>
    <row r="234" spans="1:57" x14ac:dyDescent="0.25">
      <c r="A234" s="1">
        <v>239</v>
      </c>
      <c r="B234" s="1" t="s">
        <v>3699</v>
      </c>
      <c r="C234" s="9" t="s">
        <v>239</v>
      </c>
      <c r="D234" s="1" t="s">
        <v>239</v>
      </c>
      <c r="E234" s="1"/>
      <c r="F234" s="1"/>
      <c r="G234" s="1" t="s">
        <v>3700</v>
      </c>
      <c r="H234" s="1" t="s">
        <v>3701</v>
      </c>
      <c r="I234" s="1" t="s">
        <v>3702</v>
      </c>
      <c r="J234" s="1">
        <v>4</v>
      </c>
      <c r="K234" s="1">
        <v>3</v>
      </c>
      <c r="L234" s="1">
        <v>12000</v>
      </c>
      <c r="M234" s="1">
        <v>20</v>
      </c>
      <c r="N234" s="1">
        <v>20</v>
      </c>
      <c r="O234" s="1">
        <v>10</v>
      </c>
      <c r="P234" s="1">
        <v>10</v>
      </c>
      <c r="Q234" s="1">
        <v>2</v>
      </c>
      <c r="R234" s="1">
        <v>5</v>
      </c>
      <c r="S234" s="1">
        <v>5</v>
      </c>
      <c r="T234" s="1">
        <v>0</v>
      </c>
      <c r="U234" s="1">
        <v>105</v>
      </c>
      <c r="V234" s="1">
        <v>120</v>
      </c>
      <c r="W234" s="1">
        <v>110</v>
      </c>
      <c r="X234" s="1">
        <v>100</v>
      </c>
      <c r="Y234" s="1">
        <v>125</v>
      </c>
      <c r="Z234" s="1">
        <v>102</v>
      </c>
      <c r="AA234" s="1">
        <v>0</v>
      </c>
      <c r="AB234" s="1">
        <v>15</v>
      </c>
      <c r="AC234" s="1">
        <v>20</v>
      </c>
      <c r="AD234" s="1">
        <v>0</v>
      </c>
      <c r="AE234" s="1">
        <v>105</v>
      </c>
      <c r="AF234" s="1">
        <v>100</v>
      </c>
      <c r="AG234" s="1">
        <v>105903</v>
      </c>
      <c r="AH234" s="1">
        <v>0</v>
      </c>
      <c r="AI234" s="1">
        <v>300103</v>
      </c>
      <c r="AJ234" s="1" t="s">
        <v>1153</v>
      </c>
      <c r="AK234" s="1" t="s">
        <v>329</v>
      </c>
      <c r="AL234" s="1">
        <v>13</v>
      </c>
      <c r="AM234" s="1" t="s">
        <v>4779</v>
      </c>
      <c r="AN234" s="1" t="s">
        <v>476</v>
      </c>
      <c r="AO234" s="1" t="s">
        <v>5267</v>
      </c>
      <c r="AP234" s="1">
        <v>0</v>
      </c>
      <c r="AQ234" s="1" t="s">
        <v>1158</v>
      </c>
      <c r="AR234" s="1" t="s">
        <v>1182</v>
      </c>
      <c r="AS234" s="1" t="s">
        <v>1157</v>
      </c>
      <c r="AT234" s="1" t="s">
        <v>329</v>
      </c>
      <c r="AU234" s="1">
        <v>239</v>
      </c>
      <c r="AV234" s="1">
        <v>0</v>
      </c>
      <c r="AW234" s="1" t="s">
        <v>5268</v>
      </c>
      <c r="AX234" s="1" t="s">
        <v>5243</v>
      </c>
      <c r="AY234" s="1">
        <v>3</v>
      </c>
      <c r="AZ234" s="1">
        <v>0</v>
      </c>
      <c r="BA234" s="1" t="s">
        <v>329</v>
      </c>
      <c r="BB234" s="1" t="s">
        <v>5012</v>
      </c>
      <c r="BC234" s="1" t="s">
        <v>4843</v>
      </c>
      <c r="BD234" s="1">
        <v>10704</v>
      </c>
      <c r="BE234" s="1"/>
    </row>
    <row r="235" spans="1:57" x14ac:dyDescent="0.25">
      <c r="A235" s="1">
        <v>240</v>
      </c>
      <c r="B235" s="1" t="s">
        <v>3703</v>
      </c>
      <c r="C235" s="9" t="s">
        <v>189</v>
      </c>
      <c r="D235" s="1" t="s">
        <v>189</v>
      </c>
      <c r="E235" s="1"/>
      <c r="F235" s="1"/>
      <c r="G235" s="1" t="s">
        <v>3704</v>
      </c>
      <c r="H235" s="1" t="s">
        <v>3705</v>
      </c>
      <c r="I235" s="1" t="s">
        <v>3706</v>
      </c>
      <c r="J235" s="1">
        <v>5</v>
      </c>
      <c r="K235" s="1">
        <v>4</v>
      </c>
      <c r="L235" s="1">
        <v>22800</v>
      </c>
      <c r="M235" s="1">
        <v>40</v>
      </c>
      <c r="N235" s="1">
        <v>30</v>
      </c>
      <c r="O235" s="1">
        <v>25</v>
      </c>
      <c r="P235" s="1">
        <v>15</v>
      </c>
      <c r="Q235" s="1">
        <v>5</v>
      </c>
      <c r="R235" s="1">
        <v>5</v>
      </c>
      <c r="S235" s="1">
        <v>2</v>
      </c>
      <c r="T235" s="1">
        <v>5</v>
      </c>
      <c r="U235" s="1">
        <v>98</v>
      </c>
      <c r="V235" s="1">
        <v>90</v>
      </c>
      <c r="W235" s="1">
        <v>128</v>
      </c>
      <c r="X235" s="1">
        <v>100</v>
      </c>
      <c r="Y235" s="1">
        <v>125</v>
      </c>
      <c r="Z235" s="1">
        <v>132</v>
      </c>
      <c r="AA235" s="1">
        <v>0</v>
      </c>
      <c r="AB235" s="1">
        <v>15</v>
      </c>
      <c r="AC235" s="1">
        <v>5</v>
      </c>
      <c r="AD235" s="1">
        <v>9</v>
      </c>
      <c r="AE235" s="1">
        <v>132</v>
      </c>
      <c r="AF235" s="1">
        <v>100</v>
      </c>
      <c r="AG235" s="1">
        <v>110094</v>
      </c>
      <c r="AH235" s="1">
        <v>0</v>
      </c>
      <c r="AI235" s="1">
        <v>300105</v>
      </c>
      <c r="AJ235" s="1" t="s">
        <v>1194</v>
      </c>
      <c r="AK235" s="1" t="s">
        <v>329</v>
      </c>
      <c r="AL235" s="1">
        <v>17</v>
      </c>
      <c r="AM235" s="1" t="s">
        <v>4918</v>
      </c>
      <c r="AN235" s="1" t="s">
        <v>4976</v>
      </c>
      <c r="AO235" s="1" t="s">
        <v>5269</v>
      </c>
      <c r="AP235" s="1">
        <v>0</v>
      </c>
      <c r="AQ235" s="1" t="s">
        <v>1195</v>
      </c>
      <c r="AR235" s="1" t="s">
        <v>1196</v>
      </c>
      <c r="AS235" s="1" t="s">
        <v>1197</v>
      </c>
      <c r="AT235" s="1" t="s">
        <v>329</v>
      </c>
      <c r="AU235" s="1">
        <v>240</v>
      </c>
      <c r="AV235" s="1">
        <v>0</v>
      </c>
      <c r="AW235" s="1" t="s">
        <v>5029</v>
      </c>
      <c r="AX235" s="1" t="s">
        <v>5270</v>
      </c>
      <c r="AY235" s="1">
        <v>4</v>
      </c>
      <c r="AZ235" s="1">
        <v>0</v>
      </c>
      <c r="BA235" s="1" t="s">
        <v>329</v>
      </c>
      <c r="BB235" s="1" t="s">
        <v>329</v>
      </c>
      <c r="BC235" s="1" t="s">
        <v>4780</v>
      </c>
      <c r="BD235" s="1">
        <v>10402</v>
      </c>
      <c r="BE235" s="1"/>
    </row>
    <row r="236" spans="1:57" x14ac:dyDescent="0.25">
      <c r="A236" s="1">
        <v>241</v>
      </c>
      <c r="B236" s="1" t="s">
        <v>3707</v>
      </c>
      <c r="C236" s="9" t="s">
        <v>1678</v>
      </c>
      <c r="D236" s="1" t="s">
        <v>1678</v>
      </c>
      <c r="E236" s="1"/>
      <c r="F236" s="1"/>
      <c r="G236" s="1" t="s">
        <v>3708</v>
      </c>
      <c r="H236" s="1" t="s">
        <v>3709</v>
      </c>
      <c r="I236" s="1" t="s">
        <v>3710</v>
      </c>
      <c r="J236" s="1">
        <v>3</v>
      </c>
      <c r="K236" s="1">
        <v>3</v>
      </c>
      <c r="L236" s="1">
        <v>15600</v>
      </c>
      <c r="M236" s="1">
        <v>15</v>
      </c>
      <c r="N236" s="1">
        <v>30</v>
      </c>
      <c r="O236" s="1">
        <v>10</v>
      </c>
      <c r="P236" s="1">
        <v>15</v>
      </c>
      <c r="Q236" s="1">
        <v>5</v>
      </c>
      <c r="R236" s="1">
        <v>2</v>
      </c>
      <c r="S236" s="1">
        <v>5</v>
      </c>
      <c r="T236" s="1">
        <v>0</v>
      </c>
      <c r="U236" s="1">
        <v>102</v>
      </c>
      <c r="V236" s="1">
        <v>145</v>
      </c>
      <c r="W236" s="1">
        <v>80</v>
      </c>
      <c r="X236" s="1">
        <v>100</v>
      </c>
      <c r="Y236" s="1">
        <v>115</v>
      </c>
      <c r="Z236" s="1">
        <v>80</v>
      </c>
      <c r="AA236" s="1">
        <v>0</v>
      </c>
      <c r="AB236" s="1">
        <v>15</v>
      </c>
      <c r="AC236" s="1">
        <v>40</v>
      </c>
      <c r="AD236" s="1">
        <v>0</v>
      </c>
      <c r="AE236" s="1">
        <v>122</v>
      </c>
      <c r="AF236" s="1">
        <v>100</v>
      </c>
      <c r="AG236" s="1">
        <v>102708</v>
      </c>
      <c r="AH236" s="1">
        <v>0</v>
      </c>
      <c r="AI236" s="1">
        <v>300104</v>
      </c>
      <c r="AJ236" s="1" t="s">
        <v>1223</v>
      </c>
      <c r="AK236" s="1" t="s">
        <v>329</v>
      </c>
      <c r="AL236" s="1">
        <v>13</v>
      </c>
      <c r="AM236" s="1" t="s">
        <v>4822</v>
      </c>
      <c r="AN236" s="1" t="s">
        <v>4889</v>
      </c>
      <c r="AO236" s="1" t="s">
        <v>4886</v>
      </c>
      <c r="AP236" s="1">
        <v>0</v>
      </c>
      <c r="AQ236" s="1" t="s">
        <v>1168</v>
      </c>
      <c r="AR236" s="1" t="s">
        <v>1169</v>
      </c>
      <c r="AS236" s="1" t="s">
        <v>1170</v>
      </c>
      <c r="AT236" s="1" t="s">
        <v>329</v>
      </c>
      <c r="AU236" s="1">
        <v>241</v>
      </c>
      <c r="AV236" s="1">
        <v>0</v>
      </c>
      <c r="AW236" s="1" t="s">
        <v>5271</v>
      </c>
      <c r="AX236" s="1" t="s">
        <v>5243</v>
      </c>
      <c r="AY236" s="1">
        <v>3</v>
      </c>
      <c r="AZ236" s="1">
        <v>0</v>
      </c>
      <c r="BA236" s="1" t="s">
        <v>329</v>
      </c>
      <c r="BB236" s="1" t="s">
        <v>329</v>
      </c>
      <c r="BC236" s="1" t="s">
        <v>329</v>
      </c>
      <c r="BD236" s="1">
        <v>10802</v>
      </c>
      <c r="BE236" s="1"/>
    </row>
    <row r="237" spans="1:57" x14ac:dyDescent="0.25">
      <c r="A237" s="1">
        <v>242</v>
      </c>
      <c r="B237" s="1" t="s">
        <v>3711</v>
      </c>
      <c r="C237" s="9" t="s">
        <v>197</v>
      </c>
      <c r="D237" s="1" t="s">
        <v>197</v>
      </c>
      <c r="E237" s="1"/>
      <c r="F237" s="1"/>
      <c r="G237" s="1" t="s">
        <v>3712</v>
      </c>
      <c r="H237" s="1" t="s">
        <v>3713</v>
      </c>
      <c r="I237" s="1" t="s">
        <v>3714</v>
      </c>
      <c r="J237" s="1">
        <v>1</v>
      </c>
      <c r="K237" s="1">
        <v>5</v>
      </c>
      <c r="L237" s="1">
        <v>4200</v>
      </c>
      <c r="M237" s="1">
        <v>10</v>
      </c>
      <c r="N237" s="1">
        <v>10</v>
      </c>
      <c r="O237" s="1">
        <v>5</v>
      </c>
      <c r="P237" s="1">
        <v>5</v>
      </c>
      <c r="Q237" s="1">
        <v>2</v>
      </c>
      <c r="R237" s="1">
        <v>2</v>
      </c>
      <c r="S237" s="1">
        <v>2</v>
      </c>
      <c r="T237" s="1">
        <v>0</v>
      </c>
      <c r="U237" s="1">
        <v>105</v>
      </c>
      <c r="V237" s="1">
        <v>95</v>
      </c>
      <c r="W237" s="1">
        <v>112</v>
      </c>
      <c r="X237" s="1">
        <v>100</v>
      </c>
      <c r="Y237" s="1">
        <v>122</v>
      </c>
      <c r="Z237" s="1">
        <v>138</v>
      </c>
      <c r="AA237" s="1">
        <v>0</v>
      </c>
      <c r="AB237" s="1">
        <v>15</v>
      </c>
      <c r="AC237" s="1">
        <v>20</v>
      </c>
      <c r="AD237" s="1">
        <v>0</v>
      </c>
      <c r="AE237" s="1">
        <v>130</v>
      </c>
      <c r="AF237" s="1">
        <v>100</v>
      </c>
      <c r="AG237" s="1">
        <v>111001</v>
      </c>
      <c r="AH237" s="1">
        <v>0</v>
      </c>
      <c r="AI237" s="1">
        <v>300101</v>
      </c>
      <c r="AJ237" s="1" t="s">
        <v>329</v>
      </c>
      <c r="AK237" s="1" t="s">
        <v>329</v>
      </c>
      <c r="AL237" s="1">
        <v>14</v>
      </c>
      <c r="AM237" s="1" t="s">
        <v>1866</v>
      </c>
      <c r="AN237" s="1" t="s">
        <v>5272</v>
      </c>
      <c r="AO237" s="1" t="s">
        <v>4935</v>
      </c>
      <c r="AP237" s="1">
        <v>0</v>
      </c>
      <c r="AQ237" s="1" t="s">
        <v>1146</v>
      </c>
      <c r="AR237" s="1" t="s">
        <v>1147</v>
      </c>
      <c r="AS237" s="1" t="s">
        <v>1148</v>
      </c>
      <c r="AT237" s="1" t="s">
        <v>329</v>
      </c>
      <c r="AU237" s="1">
        <v>96</v>
      </c>
      <c r="AV237" s="1">
        <v>0</v>
      </c>
      <c r="AW237" s="1" t="s">
        <v>5249</v>
      </c>
      <c r="AX237" s="1" t="s">
        <v>5243</v>
      </c>
      <c r="AY237" s="1">
        <v>5</v>
      </c>
      <c r="AZ237" s="1">
        <v>0</v>
      </c>
      <c r="BA237" s="1" t="s">
        <v>329</v>
      </c>
      <c r="BB237" s="1" t="s">
        <v>329</v>
      </c>
      <c r="BC237" s="1" t="s">
        <v>4829</v>
      </c>
      <c r="BD237" s="1">
        <v>10203</v>
      </c>
      <c r="BE237" s="1"/>
    </row>
    <row r="238" spans="1:57" x14ac:dyDescent="0.25">
      <c r="A238" s="1">
        <v>243</v>
      </c>
      <c r="B238" s="1" t="s">
        <v>3715</v>
      </c>
      <c r="C238" s="9" t="s">
        <v>840</v>
      </c>
      <c r="D238" s="1" t="s">
        <v>3716</v>
      </c>
      <c r="E238" s="1"/>
      <c r="F238" s="1"/>
      <c r="G238" s="1" t="s">
        <v>3717</v>
      </c>
      <c r="H238" s="1" t="s">
        <v>3718</v>
      </c>
      <c r="I238" s="1" t="s">
        <v>3719</v>
      </c>
      <c r="J238" s="1">
        <v>4</v>
      </c>
      <c r="K238" s="1">
        <v>5</v>
      </c>
      <c r="L238" s="1">
        <v>14760</v>
      </c>
      <c r="M238" s="1">
        <v>20</v>
      </c>
      <c r="N238" s="1">
        <v>20</v>
      </c>
      <c r="O238" s="1">
        <v>10</v>
      </c>
      <c r="P238" s="1">
        <v>10</v>
      </c>
      <c r="Q238" s="1">
        <v>2</v>
      </c>
      <c r="R238" s="1">
        <v>5</v>
      </c>
      <c r="S238" s="1">
        <v>5</v>
      </c>
      <c r="T238" s="1">
        <v>0</v>
      </c>
      <c r="U238" s="1">
        <v>113</v>
      </c>
      <c r="V238" s="1">
        <v>132</v>
      </c>
      <c r="W238" s="1">
        <v>88</v>
      </c>
      <c r="X238" s="1">
        <v>100</v>
      </c>
      <c r="Y238" s="1">
        <v>130</v>
      </c>
      <c r="Z238" s="1">
        <v>90</v>
      </c>
      <c r="AA238" s="1">
        <v>0</v>
      </c>
      <c r="AB238" s="1">
        <v>15</v>
      </c>
      <c r="AC238" s="1">
        <v>20</v>
      </c>
      <c r="AD238" s="1">
        <v>0</v>
      </c>
      <c r="AE238" s="1">
        <v>140</v>
      </c>
      <c r="AF238" s="1">
        <v>100</v>
      </c>
      <c r="AG238" s="1">
        <v>110501</v>
      </c>
      <c r="AH238" s="1">
        <v>0</v>
      </c>
      <c r="AI238" s="1">
        <v>300103</v>
      </c>
      <c r="AJ238" s="1" t="s">
        <v>1283</v>
      </c>
      <c r="AK238" s="1" t="s">
        <v>1284</v>
      </c>
      <c r="AL238" s="1">
        <v>13</v>
      </c>
      <c r="AM238" s="1" t="s">
        <v>4779</v>
      </c>
      <c r="AN238" s="1" t="s">
        <v>4944</v>
      </c>
      <c r="AO238" s="1" t="s">
        <v>5273</v>
      </c>
      <c r="AP238" s="1">
        <v>0</v>
      </c>
      <c r="AQ238" s="1" t="s">
        <v>1158</v>
      </c>
      <c r="AR238" s="1" t="s">
        <v>1182</v>
      </c>
      <c r="AS238" s="1" t="s">
        <v>1157</v>
      </c>
      <c r="AT238" s="1" t="s">
        <v>329</v>
      </c>
      <c r="AU238" s="1">
        <v>215</v>
      </c>
      <c r="AV238" s="1">
        <v>0</v>
      </c>
      <c r="AW238" s="1" t="s">
        <v>5249</v>
      </c>
      <c r="AX238" s="1" t="s">
        <v>332</v>
      </c>
      <c r="AY238" s="1">
        <v>5</v>
      </c>
      <c r="AZ238" s="1">
        <v>0</v>
      </c>
      <c r="BA238" s="1" t="s">
        <v>329</v>
      </c>
      <c r="BB238" s="1" t="s">
        <v>329</v>
      </c>
      <c r="BC238" s="1" t="s">
        <v>329</v>
      </c>
      <c r="BD238" s="1">
        <v>10403</v>
      </c>
      <c r="BE238" s="1"/>
    </row>
    <row r="239" spans="1:57" x14ac:dyDescent="0.25">
      <c r="A239" s="1">
        <v>244</v>
      </c>
      <c r="B239" s="1" t="s">
        <v>3720</v>
      </c>
      <c r="C239" s="9" t="s">
        <v>1679</v>
      </c>
      <c r="D239" s="1" t="s">
        <v>1679</v>
      </c>
      <c r="E239" s="1"/>
      <c r="F239" s="1"/>
      <c r="G239" s="1" t="s">
        <v>3721</v>
      </c>
      <c r="H239" s="1" t="s">
        <v>3722</v>
      </c>
      <c r="I239" s="1" t="s">
        <v>3723</v>
      </c>
      <c r="J239" s="1">
        <v>1</v>
      </c>
      <c r="K239" s="1">
        <v>3</v>
      </c>
      <c r="L239" s="1">
        <v>2700</v>
      </c>
      <c r="M239" s="1">
        <v>10</v>
      </c>
      <c r="N239" s="1">
        <v>10</v>
      </c>
      <c r="O239" s="1">
        <v>5</v>
      </c>
      <c r="P239" s="1">
        <v>5</v>
      </c>
      <c r="Q239" s="1">
        <v>2</v>
      </c>
      <c r="R239" s="1">
        <v>2</v>
      </c>
      <c r="S239" s="1">
        <v>2</v>
      </c>
      <c r="T239" s="1">
        <v>0</v>
      </c>
      <c r="U239" s="1">
        <v>125</v>
      </c>
      <c r="V239" s="1">
        <v>112</v>
      </c>
      <c r="W239" s="1">
        <v>120</v>
      </c>
      <c r="X239" s="1">
        <v>100</v>
      </c>
      <c r="Y239" s="1">
        <v>102</v>
      </c>
      <c r="Z239" s="1">
        <v>95</v>
      </c>
      <c r="AA239" s="1">
        <v>0</v>
      </c>
      <c r="AB239" s="1">
        <v>15</v>
      </c>
      <c r="AC239" s="1">
        <v>20</v>
      </c>
      <c r="AD239" s="1">
        <v>0</v>
      </c>
      <c r="AE239" s="1">
        <v>105</v>
      </c>
      <c r="AF239" s="1">
        <v>100</v>
      </c>
      <c r="AG239" s="1">
        <v>111301</v>
      </c>
      <c r="AH239" s="1">
        <v>0</v>
      </c>
      <c r="AI239" s="1">
        <v>300101</v>
      </c>
      <c r="AJ239" s="1" t="s">
        <v>1153</v>
      </c>
      <c r="AK239" s="1" t="s">
        <v>329</v>
      </c>
      <c r="AL239" s="1">
        <v>13</v>
      </c>
      <c r="AM239" s="1" t="s">
        <v>1866</v>
      </c>
      <c r="AN239" s="1" t="s">
        <v>5274</v>
      </c>
      <c r="AO239" s="1" t="s">
        <v>4992</v>
      </c>
      <c r="AP239" s="1">
        <v>0</v>
      </c>
      <c r="AQ239" s="1" t="s">
        <v>1146</v>
      </c>
      <c r="AR239" s="1" t="s">
        <v>1147</v>
      </c>
      <c r="AS239" s="1" t="s">
        <v>1148</v>
      </c>
      <c r="AT239" s="1" t="s">
        <v>329</v>
      </c>
      <c r="AU239" s="1">
        <v>220</v>
      </c>
      <c r="AV239" s="1">
        <v>0</v>
      </c>
      <c r="AW239" s="1" t="s">
        <v>5275</v>
      </c>
      <c r="AX239" s="1" t="s">
        <v>5276</v>
      </c>
      <c r="AY239" s="1">
        <v>3</v>
      </c>
      <c r="AZ239" s="1">
        <v>0</v>
      </c>
      <c r="BA239" s="1" t="s">
        <v>329</v>
      </c>
      <c r="BB239" s="1" t="s">
        <v>329</v>
      </c>
      <c r="BC239" s="1" t="s">
        <v>4780</v>
      </c>
      <c r="BD239" s="1">
        <v>10704</v>
      </c>
      <c r="BE239" s="1"/>
    </row>
    <row r="240" spans="1:57" x14ac:dyDescent="0.25">
      <c r="A240" s="1">
        <v>245</v>
      </c>
      <c r="B240" s="1" t="s">
        <v>3724</v>
      </c>
      <c r="C240" s="9" t="s">
        <v>190</v>
      </c>
      <c r="D240" s="1" t="s">
        <v>190</v>
      </c>
      <c r="E240" s="1"/>
      <c r="F240" s="1"/>
      <c r="G240" s="1" t="s">
        <v>3725</v>
      </c>
      <c r="H240" s="1" t="s">
        <v>3726</v>
      </c>
      <c r="I240" s="1" t="s">
        <v>3727</v>
      </c>
      <c r="J240" s="1">
        <v>2</v>
      </c>
      <c r="K240" s="1">
        <v>5</v>
      </c>
      <c r="L240" s="1">
        <v>8940</v>
      </c>
      <c r="M240" s="1">
        <v>25</v>
      </c>
      <c r="N240" s="1">
        <v>20</v>
      </c>
      <c r="O240" s="1">
        <v>15</v>
      </c>
      <c r="P240" s="1">
        <v>10</v>
      </c>
      <c r="Q240" s="1">
        <v>5</v>
      </c>
      <c r="R240" s="1">
        <v>5</v>
      </c>
      <c r="S240" s="1">
        <v>2</v>
      </c>
      <c r="T240" s="1">
        <v>0</v>
      </c>
      <c r="U240" s="1">
        <v>108</v>
      </c>
      <c r="V240" s="1">
        <v>112</v>
      </c>
      <c r="W240" s="1">
        <v>115</v>
      </c>
      <c r="X240" s="1">
        <v>100</v>
      </c>
      <c r="Y240" s="1">
        <v>120</v>
      </c>
      <c r="Z240" s="1">
        <v>126</v>
      </c>
      <c r="AA240" s="1">
        <v>0</v>
      </c>
      <c r="AB240" s="1">
        <v>15</v>
      </c>
      <c r="AC240" s="1">
        <v>5</v>
      </c>
      <c r="AD240" s="1">
        <v>0</v>
      </c>
      <c r="AE240" s="1">
        <v>118</v>
      </c>
      <c r="AF240" s="1">
        <v>100</v>
      </c>
      <c r="AG240" s="1">
        <v>110301</v>
      </c>
      <c r="AH240" s="1">
        <v>0</v>
      </c>
      <c r="AI240" s="1">
        <v>110306</v>
      </c>
      <c r="AJ240" s="1" t="s">
        <v>1285</v>
      </c>
      <c r="AK240" s="1" t="s">
        <v>1286</v>
      </c>
      <c r="AL240" s="1">
        <v>13</v>
      </c>
      <c r="AM240" s="1" t="s">
        <v>4850</v>
      </c>
      <c r="AN240" s="1" t="s">
        <v>4855</v>
      </c>
      <c r="AO240" s="1" t="s">
        <v>5126</v>
      </c>
      <c r="AP240" s="1">
        <v>0</v>
      </c>
      <c r="AQ240" s="1" t="s">
        <v>1157</v>
      </c>
      <c r="AR240" s="1" t="s">
        <v>1147</v>
      </c>
      <c r="AS240" s="1" t="s">
        <v>1158</v>
      </c>
      <c r="AT240" s="1" t="s">
        <v>329</v>
      </c>
      <c r="AU240" s="1">
        <v>28</v>
      </c>
      <c r="AV240" s="1">
        <v>0</v>
      </c>
      <c r="AW240" s="1" t="s">
        <v>5249</v>
      </c>
      <c r="AX240" s="1" t="s">
        <v>332</v>
      </c>
      <c r="AY240" s="1">
        <v>5</v>
      </c>
      <c r="AZ240" s="1">
        <v>0</v>
      </c>
      <c r="BA240" s="1" t="s">
        <v>329</v>
      </c>
      <c r="BB240" s="1" t="s">
        <v>5277</v>
      </c>
      <c r="BC240" s="1" t="s">
        <v>4913</v>
      </c>
      <c r="BD240" s="1">
        <v>10802</v>
      </c>
      <c r="BE240" s="1"/>
    </row>
    <row r="241" spans="1:57" x14ac:dyDescent="0.25">
      <c r="A241" s="1">
        <v>247</v>
      </c>
      <c r="B241" s="1" t="s">
        <v>3728</v>
      </c>
      <c r="C241" s="9" t="s">
        <v>191</v>
      </c>
      <c r="D241" s="1" t="s">
        <v>191</v>
      </c>
      <c r="E241" s="1"/>
      <c r="F241" s="1"/>
      <c r="G241" s="1" t="s">
        <v>3729</v>
      </c>
      <c r="H241" s="1" t="s">
        <v>3730</v>
      </c>
      <c r="I241" s="1" t="s">
        <v>3731</v>
      </c>
      <c r="J241" s="1">
        <v>3</v>
      </c>
      <c r="K241" s="1">
        <v>4</v>
      </c>
      <c r="L241" s="1">
        <v>15300</v>
      </c>
      <c r="M241" s="1">
        <v>15</v>
      </c>
      <c r="N241" s="1">
        <v>30</v>
      </c>
      <c r="O241" s="1">
        <v>10</v>
      </c>
      <c r="P241" s="1">
        <v>15</v>
      </c>
      <c r="Q241" s="1">
        <v>5</v>
      </c>
      <c r="R241" s="1">
        <v>2</v>
      </c>
      <c r="S241" s="1">
        <v>5</v>
      </c>
      <c r="T241" s="1">
        <v>0</v>
      </c>
      <c r="U241" s="1">
        <v>88</v>
      </c>
      <c r="V241" s="1">
        <v>115</v>
      </c>
      <c r="W241" s="1">
        <v>112</v>
      </c>
      <c r="X241" s="1">
        <v>100</v>
      </c>
      <c r="Y241" s="1">
        <v>115</v>
      </c>
      <c r="Z241" s="1">
        <v>108</v>
      </c>
      <c r="AA241" s="1">
        <v>0</v>
      </c>
      <c r="AB241" s="1">
        <v>15</v>
      </c>
      <c r="AC241" s="1">
        <v>40</v>
      </c>
      <c r="AD241" s="1">
        <v>0</v>
      </c>
      <c r="AE241" s="1">
        <v>122</v>
      </c>
      <c r="AF241" s="1">
        <v>100</v>
      </c>
      <c r="AG241" s="1">
        <v>110201</v>
      </c>
      <c r="AH241" s="1">
        <v>0</v>
      </c>
      <c r="AI241" s="1">
        <v>300104</v>
      </c>
      <c r="AJ241" s="1" t="s">
        <v>1287</v>
      </c>
      <c r="AK241" s="1" t="s">
        <v>329</v>
      </c>
      <c r="AL241" s="1">
        <v>13</v>
      </c>
      <c r="AM241" s="1" t="s">
        <v>4822</v>
      </c>
      <c r="AN241" s="1" t="s">
        <v>4889</v>
      </c>
      <c r="AO241" s="1" t="s">
        <v>4892</v>
      </c>
      <c r="AP241" s="1">
        <v>0</v>
      </c>
      <c r="AQ241" s="1" t="s">
        <v>1168</v>
      </c>
      <c r="AR241" s="1" t="s">
        <v>1169</v>
      </c>
      <c r="AS241" s="1" t="s">
        <v>1170</v>
      </c>
      <c r="AT241" s="1" t="s">
        <v>329</v>
      </c>
      <c r="AU241" s="1">
        <v>200</v>
      </c>
      <c r="AV241" s="1">
        <v>0</v>
      </c>
      <c r="AW241" s="1" t="s">
        <v>5249</v>
      </c>
      <c r="AX241" s="1" t="s">
        <v>332</v>
      </c>
      <c r="AY241" s="1">
        <v>4</v>
      </c>
      <c r="AZ241" s="1">
        <v>0</v>
      </c>
      <c r="BA241" s="1" t="s">
        <v>329</v>
      </c>
      <c r="BB241" s="1" t="s">
        <v>329</v>
      </c>
      <c r="BC241" s="1" t="s">
        <v>329</v>
      </c>
      <c r="BD241" s="1">
        <v>10303</v>
      </c>
      <c r="BE241" s="1"/>
    </row>
    <row r="242" spans="1:57" x14ac:dyDescent="0.25">
      <c r="A242" s="1">
        <v>248</v>
      </c>
      <c r="B242" s="1" t="s">
        <v>3732</v>
      </c>
      <c r="C242" s="9" t="s">
        <v>192</v>
      </c>
      <c r="D242" s="1" t="s">
        <v>192</v>
      </c>
      <c r="E242" s="1"/>
      <c r="F242" s="1"/>
      <c r="G242" s="1" t="s">
        <v>3733</v>
      </c>
      <c r="H242" s="1" t="s">
        <v>3734</v>
      </c>
      <c r="I242" s="1" t="s">
        <v>3735</v>
      </c>
      <c r="J242" s="1">
        <v>1</v>
      </c>
      <c r="K242" s="1">
        <v>4</v>
      </c>
      <c r="L242" s="1">
        <v>2940</v>
      </c>
      <c r="M242" s="1">
        <v>10</v>
      </c>
      <c r="N242" s="1">
        <v>10</v>
      </c>
      <c r="O242" s="1">
        <v>5</v>
      </c>
      <c r="P242" s="1">
        <v>5</v>
      </c>
      <c r="Q242" s="1">
        <v>2</v>
      </c>
      <c r="R242" s="1">
        <v>2</v>
      </c>
      <c r="S242" s="1">
        <v>2</v>
      </c>
      <c r="T242" s="1">
        <v>0</v>
      </c>
      <c r="U242" s="1">
        <v>115</v>
      </c>
      <c r="V242" s="1">
        <v>122</v>
      </c>
      <c r="W242" s="1">
        <v>115</v>
      </c>
      <c r="X242" s="1">
        <v>100</v>
      </c>
      <c r="Y242" s="1">
        <v>112</v>
      </c>
      <c r="Z242" s="1">
        <v>95</v>
      </c>
      <c r="AA242" s="1">
        <v>0</v>
      </c>
      <c r="AB242" s="1">
        <v>15</v>
      </c>
      <c r="AC242" s="1">
        <v>20</v>
      </c>
      <c r="AD242" s="1">
        <v>0</v>
      </c>
      <c r="AE242" s="1">
        <v>106</v>
      </c>
      <c r="AF242" s="1">
        <v>100</v>
      </c>
      <c r="AG242" s="1">
        <v>110401</v>
      </c>
      <c r="AH242" s="1">
        <v>0</v>
      </c>
      <c r="AI242" s="1">
        <v>300101</v>
      </c>
      <c r="AJ242" s="1" t="s">
        <v>1288</v>
      </c>
      <c r="AK242" s="1" t="s">
        <v>329</v>
      </c>
      <c r="AL242" s="1">
        <v>13</v>
      </c>
      <c r="AM242" s="1" t="s">
        <v>1866</v>
      </c>
      <c r="AN242" s="1" t="s">
        <v>5278</v>
      </c>
      <c r="AO242" s="1" t="s">
        <v>4801</v>
      </c>
      <c r="AP242" s="1">
        <v>0</v>
      </c>
      <c r="AQ242" s="1" t="s">
        <v>4802</v>
      </c>
      <c r="AR242" s="1" t="s">
        <v>1147</v>
      </c>
      <c r="AS242" s="1" t="s">
        <v>1148</v>
      </c>
      <c r="AT242" s="1" t="s">
        <v>329</v>
      </c>
      <c r="AU242" s="1">
        <v>212</v>
      </c>
      <c r="AV242" s="1">
        <v>0</v>
      </c>
      <c r="AW242" s="1" t="s">
        <v>5249</v>
      </c>
      <c r="AX242" s="1" t="s">
        <v>4822</v>
      </c>
      <c r="AY242" s="1">
        <v>4</v>
      </c>
      <c r="AZ242" s="1">
        <v>0</v>
      </c>
      <c r="BA242" s="1" t="s">
        <v>329</v>
      </c>
      <c r="BB242" s="1" t="s">
        <v>5046</v>
      </c>
      <c r="BC242" s="1" t="s">
        <v>329</v>
      </c>
      <c r="BD242" s="1">
        <v>10202</v>
      </c>
      <c r="BE242" s="1"/>
    </row>
    <row r="243" spans="1:57" x14ac:dyDescent="0.25">
      <c r="A243" s="1">
        <v>249</v>
      </c>
      <c r="B243" s="1" t="s">
        <v>3736</v>
      </c>
      <c r="C243" s="9" t="s">
        <v>240</v>
      </c>
      <c r="D243" s="1" t="s">
        <v>240</v>
      </c>
      <c r="E243" s="1"/>
      <c r="F243" s="1"/>
      <c r="G243" s="1" t="s">
        <v>3737</v>
      </c>
      <c r="H243" s="1" t="s">
        <v>3738</v>
      </c>
      <c r="I243" s="1" t="s">
        <v>3739</v>
      </c>
      <c r="J243" s="1">
        <v>5</v>
      </c>
      <c r="K243" s="1">
        <v>3</v>
      </c>
      <c r="L243" s="1">
        <v>19500</v>
      </c>
      <c r="M243" s="1">
        <v>40</v>
      </c>
      <c r="N243" s="1">
        <v>30</v>
      </c>
      <c r="O243" s="1">
        <v>25</v>
      </c>
      <c r="P243" s="1">
        <v>15</v>
      </c>
      <c r="Q243" s="1">
        <v>5</v>
      </c>
      <c r="R243" s="1">
        <v>5</v>
      </c>
      <c r="S243" s="1">
        <v>2</v>
      </c>
      <c r="T243" s="1">
        <v>5</v>
      </c>
      <c r="U243" s="1">
        <v>102</v>
      </c>
      <c r="V243" s="1">
        <v>108</v>
      </c>
      <c r="W243" s="1">
        <v>115</v>
      </c>
      <c r="X243" s="1">
        <v>100</v>
      </c>
      <c r="Y243" s="1">
        <v>125</v>
      </c>
      <c r="Z243" s="1">
        <v>110</v>
      </c>
      <c r="AA243" s="1">
        <v>0</v>
      </c>
      <c r="AB243" s="1">
        <v>15</v>
      </c>
      <c r="AC243" s="1">
        <v>5</v>
      </c>
      <c r="AD243" s="1">
        <v>9</v>
      </c>
      <c r="AE243" s="1">
        <v>118</v>
      </c>
      <c r="AF243" s="1">
        <v>100</v>
      </c>
      <c r="AG243" s="1">
        <v>110104</v>
      </c>
      <c r="AH243" s="1">
        <v>0</v>
      </c>
      <c r="AI243" s="1">
        <v>300105</v>
      </c>
      <c r="AJ243" s="1" t="s">
        <v>1198</v>
      </c>
      <c r="AK243" s="1" t="s">
        <v>329</v>
      </c>
      <c r="AL243" s="1">
        <v>19</v>
      </c>
      <c r="AM243" s="1" t="s">
        <v>4918</v>
      </c>
      <c r="AN243" s="1" t="s">
        <v>5196</v>
      </c>
      <c r="AO243" s="1" t="s">
        <v>5279</v>
      </c>
      <c r="AP243" s="1">
        <v>0</v>
      </c>
      <c r="AQ243" s="1" t="s">
        <v>1195</v>
      </c>
      <c r="AR243" s="1" t="s">
        <v>1196</v>
      </c>
      <c r="AS243" s="1" t="s">
        <v>1197</v>
      </c>
      <c r="AT243" s="1" t="s">
        <v>329</v>
      </c>
      <c r="AU243" s="1">
        <v>195</v>
      </c>
      <c r="AV243" s="1">
        <v>0</v>
      </c>
      <c r="AW243" s="1" t="s">
        <v>5280</v>
      </c>
      <c r="AX243" s="1" t="s">
        <v>5243</v>
      </c>
      <c r="AY243" s="1">
        <v>3</v>
      </c>
      <c r="AZ243" s="1">
        <v>0</v>
      </c>
      <c r="BA243" s="1" t="s">
        <v>329</v>
      </c>
      <c r="BB243" s="1" t="s">
        <v>329</v>
      </c>
      <c r="BC243" s="1" t="s">
        <v>329</v>
      </c>
      <c r="BD243" s="1">
        <v>10802</v>
      </c>
      <c r="BE243" s="1"/>
    </row>
    <row r="244" spans="1:57" x14ac:dyDescent="0.25">
      <c r="A244" s="1">
        <v>250</v>
      </c>
      <c r="B244" s="1" t="s">
        <v>3740</v>
      </c>
      <c r="C244" s="9" t="s">
        <v>200</v>
      </c>
      <c r="D244" s="1" t="s">
        <v>200</v>
      </c>
      <c r="E244" s="1"/>
      <c r="F244" s="1"/>
      <c r="G244" s="1" t="s">
        <v>3741</v>
      </c>
      <c r="H244" s="1" t="s">
        <v>3742</v>
      </c>
      <c r="I244" s="1" t="s">
        <v>3743</v>
      </c>
      <c r="J244" s="1">
        <v>1</v>
      </c>
      <c r="K244" s="1">
        <v>5</v>
      </c>
      <c r="L244" s="1">
        <v>4200</v>
      </c>
      <c r="M244" s="1">
        <v>10</v>
      </c>
      <c r="N244" s="1">
        <v>10</v>
      </c>
      <c r="O244" s="1">
        <v>5</v>
      </c>
      <c r="P244" s="1">
        <v>5</v>
      </c>
      <c r="Q244" s="1">
        <v>2</v>
      </c>
      <c r="R244" s="1">
        <v>2</v>
      </c>
      <c r="S244" s="1">
        <v>2</v>
      </c>
      <c r="T244" s="1">
        <v>0</v>
      </c>
      <c r="U244" s="1">
        <v>108</v>
      </c>
      <c r="V244" s="1">
        <v>125</v>
      </c>
      <c r="W244" s="1">
        <v>115</v>
      </c>
      <c r="X244" s="1">
        <v>100</v>
      </c>
      <c r="Y244" s="1">
        <v>125</v>
      </c>
      <c r="Z244" s="1">
        <v>120</v>
      </c>
      <c r="AA244" s="1">
        <v>0</v>
      </c>
      <c r="AB244" s="1">
        <v>15</v>
      </c>
      <c r="AC244" s="1">
        <v>20</v>
      </c>
      <c r="AD244" s="1">
        <v>0</v>
      </c>
      <c r="AE244" s="1">
        <v>116</v>
      </c>
      <c r="AF244" s="1">
        <v>100</v>
      </c>
      <c r="AG244" s="1">
        <v>110701</v>
      </c>
      <c r="AH244" s="1">
        <v>0</v>
      </c>
      <c r="AI244" s="1">
        <v>300101</v>
      </c>
      <c r="AJ244" s="1" t="s">
        <v>329</v>
      </c>
      <c r="AK244" s="1" t="s">
        <v>329</v>
      </c>
      <c r="AL244" s="1">
        <v>14</v>
      </c>
      <c r="AM244" s="1" t="s">
        <v>1866</v>
      </c>
      <c r="AN244" s="1" t="s">
        <v>5281</v>
      </c>
      <c r="AO244" s="1" t="s">
        <v>5116</v>
      </c>
      <c r="AP244" s="1">
        <v>0</v>
      </c>
      <c r="AQ244" s="1" t="s">
        <v>1146</v>
      </c>
      <c r="AR244" s="1" t="s">
        <v>1147</v>
      </c>
      <c r="AS244" s="1" t="s">
        <v>1148</v>
      </c>
      <c r="AT244" s="1" t="s">
        <v>329</v>
      </c>
      <c r="AU244" s="1">
        <v>96</v>
      </c>
      <c r="AV244" s="1">
        <v>0</v>
      </c>
      <c r="AW244" s="1" t="s">
        <v>5249</v>
      </c>
      <c r="AX244" s="1" t="s">
        <v>5282</v>
      </c>
      <c r="AY244" s="1">
        <v>5</v>
      </c>
      <c r="AZ244" s="1">
        <v>0</v>
      </c>
      <c r="BA244" s="1" t="s">
        <v>329</v>
      </c>
      <c r="BB244" s="1" t="s">
        <v>329</v>
      </c>
      <c r="BC244" s="1" t="s">
        <v>329</v>
      </c>
      <c r="BD244" s="1">
        <v>10203</v>
      </c>
      <c r="BE244" s="1"/>
    </row>
    <row r="245" spans="1:57" x14ac:dyDescent="0.25">
      <c r="A245" s="1">
        <v>251</v>
      </c>
      <c r="B245" s="1" t="s">
        <v>3744</v>
      </c>
      <c r="C245" s="9" t="s">
        <v>198</v>
      </c>
      <c r="D245" s="1" t="s">
        <v>198</v>
      </c>
      <c r="E245" s="1"/>
      <c r="F245" s="1"/>
      <c r="G245" s="1" t="s">
        <v>3745</v>
      </c>
      <c r="H245" s="1" t="s">
        <v>3746</v>
      </c>
      <c r="I245" s="1" t="s">
        <v>3747</v>
      </c>
      <c r="J245" s="1">
        <v>2</v>
      </c>
      <c r="K245" s="1">
        <v>5</v>
      </c>
      <c r="L245" s="1">
        <v>14760</v>
      </c>
      <c r="M245" s="1">
        <v>25</v>
      </c>
      <c r="N245" s="1">
        <v>20</v>
      </c>
      <c r="O245" s="1">
        <v>15</v>
      </c>
      <c r="P245" s="1">
        <v>10</v>
      </c>
      <c r="Q245" s="1">
        <v>5</v>
      </c>
      <c r="R245" s="1">
        <v>5</v>
      </c>
      <c r="S245" s="1">
        <v>2</v>
      </c>
      <c r="T245" s="1">
        <v>0</v>
      </c>
      <c r="U245" s="1">
        <v>110</v>
      </c>
      <c r="V245" s="1">
        <v>138</v>
      </c>
      <c r="W245" s="1">
        <v>118</v>
      </c>
      <c r="X245" s="1">
        <v>100</v>
      </c>
      <c r="Y245" s="1">
        <v>116</v>
      </c>
      <c r="Z245" s="1">
        <v>118</v>
      </c>
      <c r="AA245" s="1">
        <v>0</v>
      </c>
      <c r="AB245" s="1">
        <v>15</v>
      </c>
      <c r="AC245" s="1">
        <v>5</v>
      </c>
      <c r="AD245" s="1">
        <v>0</v>
      </c>
      <c r="AE245" s="1">
        <v>100</v>
      </c>
      <c r="AF245" s="1">
        <v>100</v>
      </c>
      <c r="AG245" s="1">
        <v>110801</v>
      </c>
      <c r="AH245" s="1">
        <v>0</v>
      </c>
      <c r="AI245" s="1">
        <v>110802</v>
      </c>
      <c r="AJ245" s="1" t="s">
        <v>329</v>
      </c>
      <c r="AK245" s="1" t="s">
        <v>1289</v>
      </c>
      <c r="AL245" s="1">
        <v>12</v>
      </c>
      <c r="AM245" s="1" t="s">
        <v>4850</v>
      </c>
      <c r="AN245" s="1" t="s">
        <v>5258</v>
      </c>
      <c r="AO245" s="1" t="s">
        <v>4877</v>
      </c>
      <c r="AP245" s="1">
        <v>0</v>
      </c>
      <c r="AQ245" s="1" t="s">
        <v>1157</v>
      </c>
      <c r="AR245" s="1" t="s">
        <v>1147</v>
      </c>
      <c r="AS245" s="1" t="s">
        <v>1158</v>
      </c>
      <c r="AT245" s="1" t="s">
        <v>329</v>
      </c>
      <c r="AU245" s="1">
        <v>28</v>
      </c>
      <c r="AV245" s="1">
        <v>0</v>
      </c>
      <c r="AW245" s="1" t="s">
        <v>5249</v>
      </c>
      <c r="AX245" s="1" t="s">
        <v>5243</v>
      </c>
      <c r="AY245" s="1">
        <v>5</v>
      </c>
      <c r="AZ245" s="1">
        <v>0</v>
      </c>
      <c r="BA245" s="1" t="s">
        <v>329</v>
      </c>
      <c r="BB245" s="1" t="s">
        <v>329</v>
      </c>
      <c r="BC245" s="1" t="s">
        <v>329</v>
      </c>
      <c r="BD245" s="1">
        <v>10203</v>
      </c>
      <c r="BE245" s="1"/>
    </row>
    <row r="246" spans="1:57" x14ac:dyDescent="0.25">
      <c r="A246" s="1">
        <v>252</v>
      </c>
      <c r="B246" s="1" t="s">
        <v>3748</v>
      </c>
      <c r="C246" s="9" t="s">
        <v>199</v>
      </c>
      <c r="D246" s="1" t="s">
        <v>199</v>
      </c>
      <c r="E246" s="1"/>
      <c r="F246" s="1"/>
      <c r="G246" s="1" t="s">
        <v>3749</v>
      </c>
      <c r="H246" s="1" t="s">
        <v>3750</v>
      </c>
      <c r="I246" s="1" t="s">
        <v>3751</v>
      </c>
      <c r="J246" s="1">
        <v>3</v>
      </c>
      <c r="K246" s="1">
        <v>4</v>
      </c>
      <c r="L246" s="1">
        <v>15000</v>
      </c>
      <c r="M246" s="1">
        <v>15</v>
      </c>
      <c r="N246" s="1">
        <v>30</v>
      </c>
      <c r="O246" s="1">
        <v>10</v>
      </c>
      <c r="P246" s="1">
        <v>15</v>
      </c>
      <c r="Q246" s="1">
        <v>5</v>
      </c>
      <c r="R246" s="1">
        <v>2</v>
      </c>
      <c r="S246" s="1">
        <v>5</v>
      </c>
      <c r="T246" s="1">
        <v>0</v>
      </c>
      <c r="U246" s="1">
        <v>100</v>
      </c>
      <c r="V246" s="1">
        <v>140</v>
      </c>
      <c r="W246" s="1">
        <v>88</v>
      </c>
      <c r="X246" s="1">
        <v>100</v>
      </c>
      <c r="Y246" s="1">
        <v>112</v>
      </c>
      <c r="Z246" s="1">
        <v>82</v>
      </c>
      <c r="AA246" s="1">
        <v>0</v>
      </c>
      <c r="AB246" s="1">
        <v>15</v>
      </c>
      <c r="AC246" s="1">
        <v>40</v>
      </c>
      <c r="AD246" s="1">
        <v>0</v>
      </c>
      <c r="AE246" s="1">
        <v>128</v>
      </c>
      <c r="AF246" s="1">
        <v>100</v>
      </c>
      <c r="AG246" s="1">
        <v>900214</v>
      </c>
      <c r="AH246" s="1">
        <v>0</v>
      </c>
      <c r="AI246" s="1">
        <v>900621</v>
      </c>
      <c r="AJ246" s="1" t="s">
        <v>1290</v>
      </c>
      <c r="AK246" s="1" t="s">
        <v>329</v>
      </c>
      <c r="AL246" s="1">
        <v>13</v>
      </c>
      <c r="AM246" s="1" t="s">
        <v>4822</v>
      </c>
      <c r="AN246" s="1" t="s">
        <v>4944</v>
      </c>
      <c r="AO246" s="1" t="s">
        <v>4892</v>
      </c>
      <c r="AP246" s="1">
        <v>0</v>
      </c>
      <c r="AQ246" s="1" t="s">
        <v>1775</v>
      </c>
      <c r="AR246" s="1" t="s">
        <v>1169</v>
      </c>
      <c r="AS246" s="1" t="s">
        <v>1170</v>
      </c>
      <c r="AT246" s="1" t="s">
        <v>329</v>
      </c>
      <c r="AU246" s="1">
        <v>184</v>
      </c>
      <c r="AV246" s="1">
        <v>0</v>
      </c>
      <c r="AW246" s="1" t="s">
        <v>5249</v>
      </c>
      <c r="AX246" s="1" t="s">
        <v>5283</v>
      </c>
      <c r="AY246" s="1">
        <v>4</v>
      </c>
      <c r="AZ246" s="1">
        <v>0</v>
      </c>
      <c r="BA246" s="1" t="s">
        <v>4803</v>
      </c>
      <c r="BB246" s="1" t="s">
        <v>329</v>
      </c>
      <c r="BC246" s="1" t="s">
        <v>4817</v>
      </c>
      <c r="BD246" s="1">
        <v>10802</v>
      </c>
      <c r="BE246" s="1"/>
    </row>
    <row r="247" spans="1:57" x14ac:dyDescent="0.25">
      <c r="A247" s="1">
        <v>253</v>
      </c>
      <c r="B247" s="1" t="s">
        <v>3752</v>
      </c>
      <c r="C247" s="9" t="s">
        <v>241</v>
      </c>
      <c r="D247" s="1" t="s">
        <v>241</v>
      </c>
      <c r="E247" s="1"/>
      <c r="F247" s="1"/>
      <c r="G247" s="1" t="s">
        <v>3753</v>
      </c>
      <c r="H247" s="1" t="s">
        <v>3754</v>
      </c>
      <c r="I247" s="1" t="s">
        <v>3755</v>
      </c>
      <c r="J247" s="1">
        <v>5</v>
      </c>
      <c r="K247" s="1">
        <v>5</v>
      </c>
      <c r="L247" s="1">
        <v>23280</v>
      </c>
      <c r="M247" s="1">
        <v>40</v>
      </c>
      <c r="N247" s="1">
        <v>30</v>
      </c>
      <c r="O247" s="1">
        <v>25</v>
      </c>
      <c r="P247" s="1">
        <v>15</v>
      </c>
      <c r="Q247" s="1">
        <v>5</v>
      </c>
      <c r="R247" s="1">
        <v>5</v>
      </c>
      <c r="S247" s="1">
        <v>2</v>
      </c>
      <c r="T247" s="1">
        <v>5</v>
      </c>
      <c r="U247" s="1">
        <v>115</v>
      </c>
      <c r="V247" s="1">
        <v>118</v>
      </c>
      <c r="W247" s="1">
        <v>105</v>
      </c>
      <c r="X247" s="1">
        <v>100</v>
      </c>
      <c r="Y247" s="1">
        <v>110</v>
      </c>
      <c r="Z247" s="1">
        <v>110</v>
      </c>
      <c r="AA247" s="1">
        <v>0</v>
      </c>
      <c r="AB247" s="1">
        <v>15</v>
      </c>
      <c r="AC247" s="1">
        <v>5</v>
      </c>
      <c r="AD247" s="1">
        <v>10</v>
      </c>
      <c r="AE247" s="1">
        <v>132</v>
      </c>
      <c r="AF247" s="1">
        <v>100</v>
      </c>
      <c r="AG247" s="1">
        <v>111201</v>
      </c>
      <c r="AH247" s="1">
        <v>0</v>
      </c>
      <c r="AI247" s="1">
        <v>300105</v>
      </c>
      <c r="AJ247" s="1" t="s">
        <v>1291</v>
      </c>
      <c r="AK247" s="1" t="s">
        <v>329</v>
      </c>
      <c r="AL247" s="1">
        <v>18</v>
      </c>
      <c r="AM247" s="1" t="s">
        <v>4918</v>
      </c>
      <c r="AN247" s="1" t="s">
        <v>5044</v>
      </c>
      <c r="AO247" s="1" t="s">
        <v>5265</v>
      </c>
      <c r="AP247" s="1">
        <v>0</v>
      </c>
      <c r="AQ247" s="1" t="s">
        <v>1195</v>
      </c>
      <c r="AR247" s="1" t="s">
        <v>1196</v>
      </c>
      <c r="AS247" s="1" t="s">
        <v>1197</v>
      </c>
      <c r="AT247" s="1" t="s">
        <v>329</v>
      </c>
      <c r="AU247" s="1">
        <v>238</v>
      </c>
      <c r="AV247" s="1">
        <v>0</v>
      </c>
      <c r="AW247" s="1" t="s">
        <v>5249</v>
      </c>
      <c r="AX247" s="1" t="s">
        <v>5283</v>
      </c>
      <c r="AY247" s="1">
        <v>5</v>
      </c>
      <c r="AZ247" s="1">
        <v>0</v>
      </c>
      <c r="BA247" s="1" t="s">
        <v>329</v>
      </c>
      <c r="BB247" s="1" t="s">
        <v>4941</v>
      </c>
      <c r="BC247" s="1" t="s">
        <v>4780</v>
      </c>
      <c r="BD247" s="1">
        <v>10801</v>
      </c>
      <c r="BE247" s="1"/>
    </row>
    <row r="248" spans="1:57" x14ac:dyDescent="0.25">
      <c r="A248" s="1">
        <v>254</v>
      </c>
      <c r="B248" s="1" t="s">
        <v>3756</v>
      </c>
      <c r="C248" s="9" t="s">
        <v>1680</v>
      </c>
      <c r="D248" s="1" t="s">
        <v>1680</v>
      </c>
      <c r="E248" s="1"/>
      <c r="F248" s="1"/>
      <c r="G248" s="1" t="s">
        <v>3757</v>
      </c>
      <c r="H248" s="1" t="s">
        <v>3758</v>
      </c>
      <c r="I248" s="1" t="s">
        <v>3759</v>
      </c>
      <c r="J248" s="1">
        <v>5</v>
      </c>
      <c r="K248" s="1">
        <v>4</v>
      </c>
      <c r="L248" s="1">
        <v>22500</v>
      </c>
      <c r="M248" s="1">
        <v>40</v>
      </c>
      <c r="N248" s="1">
        <v>30</v>
      </c>
      <c r="O248" s="1">
        <v>25</v>
      </c>
      <c r="P248" s="1">
        <v>15</v>
      </c>
      <c r="Q248" s="1">
        <v>5</v>
      </c>
      <c r="R248" s="1">
        <v>5</v>
      </c>
      <c r="S248" s="1">
        <v>2</v>
      </c>
      <c r="T248" s="1">
        <v>5</v>
      </c>
      <c r="U248" s="1">
        <v>102</v>
      </c>
      <c r="V248" s="1">
        <v>120</v>
      </c>
      <c r="W248" s="1">
        <v>112</v>
      </c>
      <c r="X248" s="1">
        <v>100</v>
      </c>
      <c r="Y248" s="1">
        <v>112</v>
      </c>
      <c r="Z248" s="1">
        <v>115</v>
      </c>
      <c r="AA248" s="1">
        <v>0</v>
      </c>
      <c r="AB248" s="1">
        <v>15</v>
      </c>
      <c r="AC248" s="1">
        <v>5</v>
      </c>
      <c r="AD248" s="1">
        <v>11</v>
      </c>
      <c r="AE248" s="1">
        <v>105</v>
      </c>
      <c r="AF248" s="1">
        <v>100</v>
      </c>
      <c r="AG248" s="1">
        <v>110901</v>
      </c>
      <c r="AH248" s="1">
        <v>0</v>
      </c>
      <c r="AI248" s="1">
        <v>300105</v>
      </c>
      <c r="AJ248" s="1" t="s">
        <v>1292</v>
      </c>
      <c r="AK248" s="1" t="s">
        <v>1293</v>
      </c>
      <c r="AL248" s="1">
        <v>17</v>
      </c>
      <c r="AM248" s="1" t="s">
        <v>4918</v>
      </c>
      <c r="AN248" s="1" t="s">
        <v>4976</v>
      </c>
      <c r="AO248" s="1" t="s">
        <v>5002</v>
      </c>
      <c r="AP248" s="1">
        <v>0</v>
      </c>
      <c r="AQ248" s="1" t="s">
        <v>1195</v>
      </c>
      <c r="AR248" s="1" t="s">
        <v>1196</v>
      </c>
      <c r="AS248" s="1" t="s">
        <v>1197</v>
      </c>
      <c r="AT248" s="1" t="s">
        <v>329</v>
      </c>
      <c r="AU248" s="1">
        <v>199</v>
      </c>
      <c r="AV248" s="1">
        <v>0</v>
      </c>
      <c r="AW248" s="1" t="s">
        <v>5249</v>
      </c>
      <c r="AX248" s="1" t="s">
        <v>5243</v>
      </c>
      <c r="AY248" s="1">
        <v>4</v>
      </c>
      <c r="AZ248" s="1">
        <v>0</v>
      </c>
      <c r="BA248" s="1" t="s">
        <v>329</v>
      </c>
      <c r="BB248" s="1" t="s">
        <v>329</v>
      </c>
      <c r="BC248" s="1" t="s">
        <v>329</v>
      </c>
      <c r="BD248" s="1">
        <v>10802</v>
      </c>
      <c r="BE248" s="1"/>
    </row>
    <row r="249" spans="1:57" x14ac:dyDescent="0.25">
      <c r="A249" s="1">
        <v>255</v>
      </c>
      <c r="B249" s="1" t="s">
        <v>3760</v>
      </c>
      <c r="C249" s="9" t="s">
        <v>242</v>
      </c>
      <c r="D249" s="1" t="s">
        <v>3761</v>
      </c>
      <c r="E249" s="1"/>
      <c r="F249" s="1"/>
      <c r="G249" s="1" t="s">
        <v>3762</v>
      </c>
      <c r="H249" s="1" t="s">
        <v>3763</v>
      </c>
      <c r="I249" s="1" t="s">
        <v>3764</v>
      </c>
      <c r="J249" s="1">
        <v>3</v>
      </c>
      <c r="K249" s="1">
        <v>3</v>
      </c>
      <c r="L249" s="1">
        <v>15600</v>
      </c>
      <c r="M249" s="1">
        <v>15</v>
      </c>
      <c r="N249" s="1">
        <v>30</v>
      </c>
      <c r="O249" s="1">
        <v>10</v>
      </c>
      <c r="P249" s="1">
        <v>15</v>
      </c>
      <c r="Q249" s="1">
        <v>5</v>
      </c>
      <c r="R249" s="1">
        <v>2</v>
      </c>
      <c r="S249" s="1">
        <v>5</v>
      </c>
      <c r="T249" s="1">
        <v>0</v>
      </c>
      <c r="U249" s="1">
        <v>102</v>
      </c>
      <c r="V249" s="1">
        <v>110</v>
      </c>
      <c r="W249" s="1">
        <v>105</v>
      </c>
      <c r="X249" s="1">
        <v>100</v>
      </c>
      <c r="Y249" s="1">
        <v>125</v>
      </c>
      <c r="Z249" s="1">
        <v>110</v>
      </c>
      <c r="AA249" s="1">
        <v>0</v>
      </c>
      <c r="AB249" s="1">
        <v>15</v>
      </c>
      <c r="AC249" s="1">
        <v>40</v>
      </c>
      <c r="AD249" s="1">
        <v>0</v>
      </c>
      <c r="AE249" s="1">
        <v>112</v>
      </c>
      <c r="AF249" s="1">
        <v>100</v>
      </c>
      <c r="AG249" s="1">
        <v>100102</v>
      </c>
      <c r="AH249" s="1">
        <v>0</v>
      </c>
      <c r="AI249" s="1">
        <v>300104</v>
      </c>
      <c r="AJ249" s="1" t="s">
        <v>1153</v>
      </c>
      <c r="AK249" s="1" t="s">
        <v>329</v>
      </c>
      <c r="AL249" s="1">
        <v>13</v>
      </c>
      <c r="AM249" s="1" t="s">
        <v>4822</v>
      </c>
      <c r="AN249" s="1" t="s">
        <v>4889</v>
      </c>
      <c r="AO249" s="1" t="s">
        <v>4886</v>
      </c>
      <c r="AP249" s="1">
        <v>0</v>
      </c>
      <c r="AQ249" s="1" t="s">
        <v>1168</v>
      </c>
      <c r="AR249" s="1" t="s">
        <v>1169</v>
      </c>
      <c r="AS249" s="1" t="s">
        <v>1170</v>
      </c>
      <c r="AT249" s="1" t="s">
        <v>329</v>
      </c>
      <c r="AU249" s="1">
        <v>241</v>
      </c>
      <c r="AV249" s="1">
        <v>0</v>
      </c>
      <c r="AW249" s="1" t="s">
        <v>5284</v>
      </c>
      <c r="AX249" s="1" t="s">
        <v>5276</v>
      </c>
      <c r="AY249" s="1">
        <v>3</v>
      </c>
      <c r="AZ249" s="1">
        <v>0</v>
      </c>
      <c r="BA249" s="1" t="s">
        <v>329</v>
      </c>
      <c r="BB249" s="1" t="s">
        <v>329</v>
      </c>
      <c r="BC249" s="1" t="s">
        <v>329</v>
      </c>
      <c r="BD249" s="1">
        <v>10703</v>
      </c>
      <c r="BE249" s="1"/>
    </row>
    <row r="250" spans="1:57" x14ac:dyDescent="0.25">
      <c r="A250" s="1">
        <v>256</v>
      </c>
      <c r="B250" s="1" t="s">
        <v>3765</v>
      </c>
      <c r="C250" s="9" t="s">
        <v>202</v>
      </c>
      <c r="D250" s="1" t="s">
        <v>202</v>
      </c>
      <c r="E250" s="1"/>
      <c r="F250" s="1"/>
      <c r="G250" s="1" t="s">
        <v>3766</v>
      </c>
      <c r="H250" s="1" t="s">
        <v>3767</v>
      </c>
      <c r="I250" s="1" t="s">
        <v>3768</v>
      </c>
      <c r="J250" s="1">
        <v>3</v>
      </c>
      <c r="K250" s="1">
        <v>3</v>
      </c>
      <c r="L250" s="1">
        <v>15600</v>
      </c>
      <c r="M250" s="1">
        <v>15</v>
      </c>
      <c r="N250" s="1">
        <v>30</v>
      </c>
      <c r="O250" s="1">
        <v>10</v>
      </c>
      <c r="P250" s="1">
        <v>15</v>
      </c>
      <c r="Q250" s="1">
        <v>5</v>
      </c>
      <c r="R250" s="1">
        <v>2</v>
      </c>
      <c r="S250" s="1">
        <v>5</v>
      </c>
      <c r="T250" s="1">
        <v>0</v>
      </c>
      <c r="U250" s="1">
        <v>100</v>
      </c>
      <c r="V250" s="1">
        <v>132</v>
      </c>
      <c r="W250" s="1">
        <v>95</v>
      </c>
      <c r="X250" s="1">
        <v>100</v>
      </c>
      <c r="Y250" s="1">
        <v>110</v>
      </c>
      <c r="Z250" s="1">
        <v>85</v>
      </c>
      <c r="AA250" s="1">
        <v>0</v>
      </c>
      <c r="AB250" s="1">
        <v>15</v>
      </c>
      <c r="AC250" s="1">
        <v>40</v>
      </c>
      <c r="AD250" s="1">
        <v>0</v>
      </c>
      <c r="AE250" s="1">
        <v>116</v>
      </c>
      <c r="AF250" s="1">
        <v>100</v>
      </c>
      <c r="AG250" s="1">
        <v>111506</v>
      </c>
      <c r="AH250" s="1">
        <v>0</v>
      </c>
      <c r="AI250" s="1">
        <v>111501</v>
      </c>
      <c r="AJ250" s="1" t="s">
        <v>1294</v>
      </c>
      <c r="AK250" s="1" t="s">
        <v>1295</v>
      </c>
      <c r="AL250" s="1">
        <v>13</v>
      </c>
      <c r="AM250" s="1" t="s">
        <v>4822</v>
      </c>
      <c r="AN250" s="1" t="s">
        <v>4944</v>
      </c>
      <c r="AO250" s="1" t="s">
        <v>4886</v>
      </c>
      <c r="AP250" s="1">
        <v>0</v>
      </c>
      <c r="AQ250" s="1" t="s">
        <v>1168</v>
      </c>
      <c r="AR250" s="1" t="s">
        <v>1169</v>
      </c>
      <c r="AS250" s="1" t="s">
        <v>1170</v>
      </c>
      <c r="AT250" s="1" t="s">
        <v>329</v>
      </c>
      <c r="AU250" s="1">
        <v>241</v>
      </c>
      <c r="AV250" s="1">
        <v>0</v>
      </c>
      <c r="AW250" s="1" t="s">
        <v>5285</v>
      </c>
      <c r="AX250" s="1" t="s">
        <v>5276</v>
      </c>
      <c r="AY250" s="1">
        <v>3</v>
      </c>
      <c r="AZ250" s="1">
        <v>0</v>
      </c>
      <c r="BA250" s="1" t="s">
        <v>329</v>
      </c>
      <c r="BB250" s="1" t="s">
        <v>329</v>
      </c>
      <c r="BC250" s="1" t="s">
        <v>329</v>
      </c>
      <c r="BD250" s="1">
        <v>10703</v>
      </c>
      <c r="BE250" s="1"/>
    </row>
    <row r="251" spans="1:57" x14ac:dyDescent="0.25">
      <c r="A251" s="1">
        <v>257</v>
      </c>
      <c r="B251" s="1" t="s">
        <v>3769</v>
      </c>
      <c r="C251" s="9" t="s">
        <v>201</v>
      </c>
      <c r="D251" s="1" t="s">
        <v>201</v>
      </c>
      <c r="E251" s="1"/>
      <c r="F251" s="1"/>
      <c r="G251" s="1" t="s">
        <v>3770</v>
      </c>
      <c r="H251" s="1" t="s">
        <v>3771</v>
      </c>
      <c r="I251" s="1" t="s">
        <v>3772</v>
      </c>
      <c r="J251" s="1">
        <v>3</v>
      </c>
      <c r="K251" s="1">
        <v>5</v>
      </c>
      <c r="L251" s="1">
        <v>16320</v>
      </c>
      <c r="M251" s="1">
        <v>15</v>
      </c>
      <c r="N251" s="1">
        <v>30</v>
      </c>
      <c r="O251" s="1">
        <v>10</v>
      </c>
      <c r="P251" s="1">
        <v>15</v>
      </c>
      <c r="Q251" s="1">
        <v>5</v>
      </c>
      <c r="R251" s="1">
        <v>2</v>
      </c>
      <c r="S251" s="1">
        <v>5</v>
      </c>
      <c r="T251" s="1">
        <v>0</v>
      </c>
      <c r="U251" s="1">
        <v>100</v>
      </c>
      <c r="V251" s="1">
        <v>127</v>
      </c>
      <c r="W251" s="1">
        <v>95</v>
      </c>
      <c r="X251" s="1">
        <v>100</v>
      </c>
      <c r="Y251" s="1">
        <v>135</v>
      </c>
      <c r="Z251" s="1">
        <v>85</v>
      </c>
      <c r="AA251" s="1">
        <v>0</v>
      </c>
      <c r="AB251" s="1">
        <v>15</v>
      </c>
      <c r="AC251" s="1">
        <v>40</v>
      </c>
      <c r="AD251" s="1">
        <v>0</v>
      </c>
      <c r="AE251" s="1">
        <v>131</v>
      </c>
      <c r="AF251" s="1">
        <v>100</v>
      </c>
      <c r="AG251" s="1">
        <v>111401</v>
      </c>
      <c r="AH251" s="1">
        <v>0</v>
      </c>
      <c r="AI251" s="1">
        <v>111403</v>
      </c>
      <c r="AJ251" s="1" t="s">
        <v>1296</v>
      </c>
      <c r="AK251" s="1" t="s">
        <v>1297</v>
      </c>
      <c r="AL251" s="1">
        <v>13</v>
      </c>
      <c r="AM251" s="1" t="s">
        <v>4822</v>
      </c>
      <c r="AN251" s="1" t="s">
        <v>4944</v>
      </c>
      <c r="AO251" s="1" t="s">
        <v>4905</v>
      </c>
      <c r="AP251" s="1">
        <v>0</v>
      </c>
      <c r="AQ251" s="1" t="s">
        <v>1168</v>
      </c>
      <c r="AR251" s="1" t="s">
        <v>1169</v>
      </c>
      <c r="AS251" s="1" t="s">
        <v>1170</v>
      </c>
      <c r="AT251" s="1" t="s">
        <v>329</v>
      </c>
      <c r="AU251" s="1">
        <v>222</v>
      </c>
      <c r="AV251" s="1">
        <v>0</v>
      </c>
      <c r="AW251" s="1" t="s">
        <v>5286</v>
      </c>
      <c r="AX251" s="1" t="s">
        <v>332</v>
      </c>
      <c r="AY251" s="1">
        <v>5</v>
      </c>
      <c r="AZ251" s="1">
        <v>0</v>
      </c>
      <c r="BA251" s="1" t="s">
        <v>329</v>
      </c>
      <c r="BB251" s="1" t="s">
        <v>329</v>
      </c>
      <c r="BC251" s="1" t="s">
        <v>4780</v>
      </c>
      <c r="BD251" s="1">
        <v>10203</v>
      </c>
      <c r="BE251" s="1"/>
    </row>
    <row r="252" spans="1:57" x14ac:dyDescent="0.25">
      <c r="A252" s="1">
        <v>258</v>
      </c>
      <c r="B252" s="1" t="s">
        <v>3773</v>
      </c>
      <c r="C252" s="9" t="s">
        <v>203</v>
      </c>
      <c r="D252" s="1" t="s">
        <v>203</v>
      </c>
      <c r="E252" s="1"/>
      <c r="F252" s="1"/>
      <c r="G252" s="1" t="s">
        <v>3774</v>
      </c>
      <c r="H252" s="1" t="s">
        <v>3775</v>
      </c>
      <c r="I252" s="1" t="s">
        <v>3776</v>
      </c>
      <c r="J252" s="1">
        <v>4</v>
      </c>
      <c r="K252" s="1">
        <v>3</v>
      </c>
      <c r="L252" s="1">
        <v>12000</v>
      </c>
      <c r="M252" s="1">
        <v>20</v>
      </c>
      <c r="N252" s="1">
        <v>20</v>
      </c>
      <c r="O252" s="1">
        <v>10</v>
      </c>
      <c r="P252" s="1">
        <v>10</v>
      </c>
      <c r="Q252" s="1">
        <v>2</v>
      </c>
      <c r="R252" s="1">
        <v>5</v>
      </c>
      <c r="S252" s="1">
        <v>5</v>
      </c>
      <c r="T252" s="1">
        <v>0</v>
      </c>
      <c r="U252" s="1">
        <v>105</v>
      </c>
      <c r="V252" s="1">
        <v>98</v>
      </c>
      <c r="W252" s="1">
        <v>102</v>
      </c>
      <c r="X252" s="1">
        <v>100</v>
      </c>
      <c r="Y252" s="1">
        <v>105</v>
      </c>
      <c r="Z252" s="1">
        <v>98</v>
      </c>
      <c r="AA252" s="1">
        <v>0</v>
      </c>
      <c r="AB252" s="1">
        <v>15</v>
      </c>
      <c r="AC252" s="1">
        <v>20</v>
      </c>
      <c r="AD252" s="1">
        <v>0</v>
      </c>
      <c r="AE252" s="1">
        <v>128</v>
      </c>
      <c r="AF252" s="1">
        <v>100</v>
      </c>
      <c r="AG252" s="1">
        <v>101705</v>
      </c>
      <c r="AH252" s="1">
        <v>0</v>
      </c>
      <c r="AI252" s="1">
        <v>300103</v>
      </c>
      <c r="AJ252" s="1" t="s">
        <v>1153</v>
      </c>
      <c r="AK252" s="1" t="s">
        <v>329</v>
      </c>
      <c r="AL252" s="1">
        <v>13</v>
      </c>
      <c r="AM252" s="1" t="s">
        <v>4779</v>
      </c>
      <c r="AN252" s="1" t="s">
        <v>466</v>
      </c>
      <c r="AO252" s="1" t="s">
        <v>4925</v>
      </c>
      <c r="AP252" s="1">
        <v>0</v>
      </c>
      <c r="AQ252" s="1" t="s">
        <v>1158</v>
      </c>
      <c r="AR252" s="1" t="s">
        <v>1182</v>
      </c>
      <c r="AS252" s="1" t="s">
        <v>1157</v>
      </c>
      <c r="AT252" s="1" t="s">
        <v>329</v>
      </c>
      <c r="AU252" s="1">
        <v>239</v>
      </c>
      <c r="AV252" s="1">
        <v>0</v>
      </c>
      <c r="AW252" s="1" t="s">
        <v>5287</v>
      </c>
      <c r="AX252" s="1" t="s">
        <v>5276</v>
      </c>
      <c r="AY252" s="1">
        <v>3</v>
      </c>
      <c r="AZ252" s="1">
        <v>0</v>
      </c>
      <c r="BA252" s="1" t="s">
        <v>329</v>
      </c>
      <c r="BB252" s="1" t="s">
        <v>329</v>
      </c>
      <c r="BC252" s="1" t="s">
        <v>329</v>
      </c>
      <c r="BD252" s="1">
        <v>10402</v>
      </c>
      <c r="BE252" s="1"/>
    </row>
    <row r="253" spans="1:57" x14ac:dyDescent="0.25">
      <c r="A253" s="1">
        <v>259</v>
      </c>
      <c r="B253" s="1" t="s">
        <v>3777</v>
      </c>
      <c r="C253" s="9" t="s">
        <v>1681</v>
      </c>
      <c r="D253" s="1" t="s">
        <v>1681</v>
      </c>
      <c r="E253" s="1"/>
      <c r="F253" s="1"/>
      <c r="G253" s="1" t="s">
        <v>3778</v>
      </c>
      <c r="H253" s="1" t="s">
        <v>3779</v>
      </c>
      <c r="I253" s="1" t="s">
        <v>3780</v>
      </c>
      <c r="J253" s="1">
        <v>2</v>
      </c>
      <c r="K253" s="1">
        <v>5</v>
      </c>
      <c r="L253" s="1">
        <v>8880</v>
      </c>
      <c r="M253" s="1">
        <v>25</v>
      </c>
      <c r="N253" s="1">
        <v>20</v>
      </c>
      <c r="O253" s="1">
        <v>15</v>
      </c>
      <c r="P253" s="1">
        <v>10</v>
      </c>
      <c r="Q253" s="1">
        <v>5</v>
      </c>
      <c r="R253" s="1">
        <v>5</v>
      </c>
      <c r="S253" s="1">
        <v>2</v>
      </c>
      <c r="T253" s="1">
        <v>0</v>
      </c>
      <c r="U253" s="1">
        <v>100</v>
      </c>
      <c r="V253" s="1">
        <v>95</v>
      </c>
      <c r="W253" s="1">
        <v>125</v>
      </c>
      <c r="X253" s="1">
        <v>100</v>
      </c>
      <c r="Y253" s="1">
        <v>95</v>
      </c>
      <c r="Z253" s="1">
        <v>125</v>
      </c>
      <c r="AA253" s="1">
        <v>0</v>
      </c>
      <c r="AB253" s="1">
        <v>15</v>
      </c>
      <c r="AC253" s="1">
        <v>5</v>
      </c>
      <c r="AD253" s="1">
        <v>0</v>
      </c>
      <c r="AE253" s="1">
        <v>125</v>
      </c>
      <c r="AF253" s="1">
        <v>100</v>
      </c>
      <c r="AG253" s="1">
        <v>111601</v>
      </c>
      <c r="AH253" s="1">
        <v>0</v>
      </c>
      <c r="AI253" s="1">
        <v>111602</v>
      </c>
      <c r="AJ253" s="1" t="s">
        <v>1298</v>
      </c>
      <c r="AK253" s="1" t="s">
        <v>329</v>
      </c>
      <c r="AL253" s="1">
        <v>12</v>
      </c>
      <c r="AM253" s="1" t="s">
        <v>4850</v>
      </c>
      <c r="AN253" s="1" t="s">
        <v>359</v>
      </c>
      <c r="AO253" s="1" t="s">
        <v>5051</v>
      </c>
      <c r="AP253" s="1">
        <v>0</v>
      </c>
      <c r="AQ253" s="1" t="s">
        <v>1157</v>
      </c>
      <c r="AR253" s="1" t="s">
        <v>1147</v>
      </c>
      <c r="AS253" s="1" t="s">
        <v>1158</v>
      </c>
      <c r="AT253" s="1" t="s">
        <v>329</v>
      </c>
      <c r="AU253" s="1">
        <v>224</v>
      </c>
      <c r="AV253" s="1">
        <v>0</v>
      </c>
      <c r="AW253" s="1" t="s">
        <v>5288</v>
      </c>
      <c r="AX253" s="1" t="s">
        <v>5289</v>
      </c>
      <c r="AY253" s="1">
        <v>5</v>
      </c>
      <c r="AZ253" s="1">
        <v>0</v>
      </c>
      <c r="BA253" s="1" t="s">
        <v>329</v>
      </c>
      <c r="BB253" s="1" t="s">
        <v>329</v>
      </c>
      <c r="BC253" s="1" t="s">
        <v>329</v>
      </c>
      <c r="BD253" s="1">
        <v>10203</v>
      </c>
      <c r="BE253" s="1"/>
    </row>
    <row r="254" spans="1:57" x14ac:dyDescent="0.25">
      <c r="A254" s="1">
        <v>260</v>
      </c>
      <c r="B254" s="1" t="s">
        <v>3781</v>
      </c>
      <c r="C254" s="9" t="s">
        <v>1682</v>
      </c>
      <c r="D254" s="1" t="s">
        <v>1682</v>
      </c>
      <c r="E254" s="1"/>
      <c r="F254" s="1"/>
      <c r="G254" s="1" t="s">
        <v>3782</v>
      </c>
      <c r="H254" s="1" t="s">
        <v>3783</v>
      </c>
      <c r="I254" s="1" t="s">
        <v>3784</v>
      </c>
      <c r="J254" s="1">
        <v>1</v>
      </c>
      <c r="K254" s="1">
        <v>5</v>
      </c>
      <c r="L254" s="1">
        <v>4500</v>
      </c>
      <c r="M254" s="1">
        <v>10</v>
      </c>
      <c r="N254" s="1">
        <v>10</v>
      </c>
      <c r="O254" s="1">
        <v>5</v>
      </c>
      <c r="P254" s="1">
        <v>5</v>
      </c>
      <c r="Q254" s="1">
        <v>2</v>
      </c>
      <c r="R254" s="1">
        <v>2</v>
      </c>
      <c r="S254" s="1">
        <v>2</v>
      </c>
      <c r="T254" s="1">
        <v>0</v>
      </c>
      <c r="U254" s="1">
        <v>105</v>
      </c>
      <c r="V254" s="1">
        <v>120</v>
      </c>
      <c r="W254" s="1">
        <v>115</v>
      </c>
      <c r="X254" s="1">
        <v>100</v>
      </c>
      <c r="Y254" s="1">
        <v>120</v>
      </c>
      <c r="Z254" s="1">
        <v>95</v>
      </c>
      <c r="AA254" s="1">
        <v>0</v>
      </c>
      <c r="AB254" s="1">
        <v>15</v>
      </c>
      <c r="AC254" s="1">
        <v>20</v>
      </c>
      <c r="AD254" s="1">
        <v>0</v>
      </c>
      <c r="AE254" s="1">
        <v>130</v>
      </c>
      <c r="AF254" s="1">
        <v>100</v>
      </c>
      <c r="AG254" s="1">
        <v>112001</v>
      </c>
      <c r="AH254" s="1">
        <v>0</v>
      </c>
      <c r="AI254" s="1">
        <v>300101</v>
      </c>
      <c r="AJ254" s="1" t="s">
        <v>5290</v>
      </c>
      <c r="AK254" s="1" t="s">
        <v>329</v>
      </c>
      <c r="AL254" s="1">
        <v>12</v>
      </c>
      <c r="AM254" s="1" t="s">
        <v>1866</v>
      </c>
      <c r="AN254" s="1" t="s">
        <v>5291</v>
      </c>
      <c r="AO254" s="1" t="s">
        <v>4877</v>
      </c>
      <c r="AP254" s="1">
        <v>0</v>
      </c>
      <c r="AQ254" s="1" t="s">
        <v>1146</v>
      </c>
      <c r="AR254" s="1" t="s">
        <v>1147</v>
      </c>
      <c r="AS254" s="1" t="s">
        <v>1148</v>
      </c>
      <c r="AT254" s="1" t="s">
        <v>329</v>
      </c>
      <c r="AU254" s="1">
        <v>96</v>
      </c>
      <c r="AV254" s="1">
        <v>0</v>
      </c>
      <c r="AW254" s="1" t="s">
        <v>5286</v>
      </c>
      <c r="AX254" s="1" t="s">
        <v>4822</v>
      </c>
      <c r="AY254" s="1">
        <v>5</v>
      </c>
      <c r="AZ254" s="1">
        <v>0</v>
      </c>
      <c r="BA254" s="1" t="s">
        <v>329</v>
      </c>
      <c r="BB254" s="1" t="s">
        <v>329</v>
      </c>
      <c r="BC254" s="1" t="s">
        <v>329</v>
      </c>
      <c r="BD254" s="1">
        <v>10402</v>
      </c>
      <c r="BE254" s="1"/>
    </row>
    <row r="255" spans="1:57" x14ac:dyDescent="0.25">
      <c r="A255" s="1">
        <v>261</v>
      </c>
      <c r="B255" s="1" t="s">
        <v>3785</v>
      </c>
      <c r="C255" s="9" t="s">
        <v>1683</v>
      </c>
      <c r="D255" s="1" t="s">
        <v>1683</v>
      </c>
      <c r="E255" s="1"/>
      <c r="F255" s="1"/>
      <c r="G255" s="1" t="s">
        <v>3786</v>
      </c>
      <c r="H255" s="1" t="s">
        <v>3787</v>
      </c>
      <c r="I255" s="1" t="s">
        <v>3788</v>
      </c>
      <c r="J255" s="1">
        <v>3</v>
      </c>
      <c r="K255" s="1">
        <v>5</v>
      </c>
      <c r="L255" s="1">
        <v>17280</v>
      </c>
      <c r="M255" s="1">
        <v>15</v>
      </c>
      <c r="N255" s="1">
        <v>30</v>
      </c>
      <c r="O255" s="1">
        <v>10</v>
      </c>
      <c r="P255" s="1">
        <v>15</v>
      </c>
      <c r="Q255" s="1">
        <v>5</v>
      </c>
      <c r="R255" s="1">
        <v>2</v>
      </c>
      <c r="S255" s="1">
        <v>5</v>
      </c>
      <c r="T255" s="1">
        <v>0</v>
      </c>
      <c r="U255" s="1">
        <v>95</v>
      </c>
      <c r="V255" s="1">
        <v>108</v>
      </c>
      <c r="W255" s="1">
        <v>118</v>
      </c>
      <c r="X255" s="1">
        <v>100</v>
      </c>
      <c r="Y255" s="1">
        <v>118</v>
      </c>
      <c r="Z255" s="1">
        <v>110</v>
      </c>
      <c r="AA255" s="1">
        <v>0</v>
      </c>
      <c r="AB255" s="1">
        <v>15</v>
      </c>
      <c r="AC255" s="1">
        <v>40</v>
      </c>
      <c r="AD255" s="1">
        <v>0</v>
      </c>
      <c r="AE255" s="1">
        <v>135</v>
      </c>
      <c r="AF255" s="1">
        <v>100</v>
      </c>
      <c r="AG255" s="1">
        <v>900215</v>
      </c>
      <c r="AH255" s="1">
        <v>0</v>
      </c>
      <c r="AI255" s="1">
        <v>111802</v>
      </c>
      <c r="AJ255" s="1" t="s">
        <v>1299</v>
      </c>
      <c r="AK255" s="1" t="s">
        <v>1300</v>
      </c>
      <c r="AL255" s="1">
        <v>19</v>
      </c>
      <c r="AM255" s="1" t="s">
        <v>4822</v>
      </c>
      <c r="AN255" s="1" t="s">
        <v>5292</v>
      </c>
      <c r="AO255" s="1" t="s">
        <v>4905</v>
      </c>
      <c r="AP255" s="1">
        <v>0</v>
      </c>
      <c r="AQ255" s="1" t="s">
        <v>1168</v>
      </c>
      <c r="AR255" s="1" t="s">
        <v>1169</v>
      </c>
      <c r="AS255" s="1" t="s">
        <v>1170</v>
      </c>
      <c r="AT255" s="1" t="s">
        <v>329</v>
      </c>
      <c r="AU255" s="1">
        <v>222</v>
      </c>
      <c r="AV255" s="1">
        <v>0</v>
      </c>
      <c r="AW255" s="1" t="s">
        <v>5286</v>
      </c>
      <c r="AX255" s="1" t="s">
        <v>5225</v>
      </c>
      <c r="AY255" s="1">
        <v>5</v>
      </c>
      <c r="AZ255" s="1">
        <v>0</v>
      </c>
      <c r="BA255" s="1" t="s">
        <v>329</v>
      </c>
      <c r="BB255" s="1" t="s">
        <v>329</v>
      </c>
      <c r="BC255" s="1" t="s">
        <v>4843</v>
      </c>
      <c r="BD255" s="1">
        <v>10203</v>
      </c>
      <c r="BE255" s="1"/>
    </row>
    <row r="256" spans="1:57" x14ac:dyDescent="0.25">
      <c r="A256" s="1">
        <v>262</v>
      </c>
      <c r="B256" s="1" t="s">
        <v>3789</v>
      </c>
      <c r="C256" s="9" t="s">
        <v>1684</v>
      </c>
      <c r="D256" s="1" t="s">
        <v>1684</v>
      </c>
      <c r="E256" s="1"/>
      <c r="F256" s="1"/>
      <c r="G256" s="1" t="s">
        <v>3790</v>
      </c>
      <c r="H256" s="1" t="s">
        <v>3791</v>
      </c>
      <c r="I256" s="1" t="s">
        <v>3792</v>
      </c>
      <c r="J256" s="1">
        <v>4</v>
      </c>
      <c r="K256" s="1">
        <v>4</v>
      </c>
      <c r="L256" s="1">
        <v>12900</v>
      </c>
      <c r="M256" s="1">
        <v>20</v>
      </c>
      <c r="N256" s="1">
        <v>20</v>
      </c>
      <c r="O256" s="1">
        <v>10</v>
      </c>
      <c r="P256" s="1">
        <v>10</v>
      </c>
      <c r="Q256" s="1">
        <v>2</v>
      </c>
      <c r="R256" s="1">
        <v>5</v>
      </c>
      <c r="S256" s="1">
        <v>5</v>
      </c>
      <c r="T256" s="1">
        <v>0</v>
      </c>
      <c r="U256" s="1">
        <v>108</v>
      </c>
      <c r="V256" s="1">
        <v>128</v>
      </c>
      <c r="W256" s="1">
        <v>92</v>
      </c>
      <c r="X256" s="1">
        <v>100</v>
      </c>
      <c r="Y256" s="1">
        <v>120</v>
      </c>
      <c r="Z256" s="1">
        <v>120</v>
      </c>
      <c r="AA256" s="1">
        <v>0</v>
      </c>
      <c r="AB256" s="1">
        <v>15</v>
      </c>
      <c r="AC256" s="1">
        <v>20</v>
      </c>
      <c r="AD256" s="1">
        <v>0</v>
      </c>
      <c r="AE256" s="1">
        <v>115</v>
      </c>
      <c r="AF256" s="1">
        <v>100</v>
      </c>
      <c r="AG256" s="1">
        <v>112101</v>
      </c>
      <c r="AH256" s="1">
        <v>0</v>
      </c>
      <c r="AI256" s="1">
        <v>300103</v>
      </c>
      <c r="AJ256" s="1" t="s">
        <v>329</v>
      </c>
      <c r="AK256" s="1" t="s">
        <v>1301</v>
      </c>
      <c r="AL256" s="1">
        <v>13</v>
      </c>
      <c r="AM256" s="1" t="s">
        <v>4779</v>
      </c>
      <c r="AN256" s="1" t="s">
        <v>4894</v>
      </c>
      <c r="AO256" s="1" t="s">
        <v>5262</v>
      </c>
      <c r="AP256" s="1">
        <v>0</v>
      </c>
      <c r="AQ256" s="1" t="s">
        <v>1158</v>
      </c>
      <c r="AR256" s="1" t="s">
        <v>1182</v>
      </c>
      <c r="AS256" s="1" t="s">
        <v>1157</v>
      </c>
      <c r="AT256" s="1" t="s">
        <v>329</v>
      </c>
      <c r="AU256" s="1">
        <v>216</v>
      </c>
      <c r="AV256" s="1">
        <v>0</v>
      </c>
      <c r="AW256" s="1" t="s">
        <v>5286</v>
      </c>
      <c r="AX256" s="1" t="s">
        <v>332</v>
      </c>
      <c r="AY256" s="1">
        <v>4</v>
      </c>
      <c r="AZ256" s="1">
        <v>0</v>
      </c>
      <c r="BA256" s="1" t="s">
        <v>329</v>
      </c>
      <c r="BB256" s="1" t="s">
        <v>329</v>
      </c>
      <c r="BC256" s="1" t="s">
        <v>329</v>
      </c>
      <c r="BD256" s="1">
        <v>10303</v>
      </c>
      <c r="BE256" s="1"/>
    </row>
    <row r="257" spans="1:57" x14ac:dyDescent="0.25">
      <c r="A257" s="1">
        <v>263</v>
      </c>
      <c r="B257" s="1" t="s">
        <v>3793</v>
      </c>
      <c r="C257" s="9" t="s">
        <v>205</v>
      </c>
      <c r="D257" s="1" t="s">
        <v>205</v>
      </c>
      <c r="E257" s="1"/>
      <c r="F257" s="1"/>
      <c r="G257" s="1" t="s">
        <v>3794</v>
      </c>
      <c r="H257" s="1" t="s">
        <v>3795</v>
      </c>
      <c r="I257" s="1" t="s">
        <v>3796</v>
      </c>
      <c r="J257" s="1">
        <v>5</v>
      </c>
      <c r="K257" s="1">
        <v>5</v>
      </c>
      <c r="L257" s="1">
        <v>23760</v>
      </c>
      <c r="M257" s="1">
        <v>40</v>
      </c>
      <c r="N257" s="1">
        <v>30</v>
      </c>
      <c r="O257" s="1">
        <v>25</v>
      </c>
      <c r="P257" s="1">
        <v>15</v>
      </c>
      <c r="Q257" s="1">
        <v>5</v>
      </c>
      <c r="R257" s="1">
        <v>5</v>
      </c>
      <c r="S257" s="1">
        <v>2</v>
      </c>
      <c r="T257" s="1">
        <v>5</v>
      </c>
      <c r="U257" s="1">
        <v>110</v>
      </c>
      <c r="V257" s="1">
        <v>95</v>
      </c>
      <c r="W257" s="1">
        <v>115</v>
      </c>
      <c r="X257" s="1">
        <v>100</v>
      </c>
      <c r="Y257" s="1">
        <v>120</v>
      </c>
      <c r="Z257" s="1">
        <v>128</v>
      </c>
      <c r="AA257" s="1">
        <v>0</v>
      </c>
      <c r="AB257" s="1">
        <v>15</v>
      </c>
      <c r="AC257" s="1">
        <v>5</v>
      </c>
      <c r="AD257" s="1">
        <v>10</v>
      </c>
      <c r="AE257" s="1">
        <v>138</v>
      </c>
      <c r="AF257" s="1">
        <v>100</v>
      </c>
      <c r="AG257" s="1">
        <v>111901</v>
      </c>
      <c r="AH257" s="1">
        <v>0</v>
      </c>
      <c r="AI257" s="1">
        <v>300105</v>
      </c>
      <c r="AJ257" s="1" t="s">
        <v>5293</v>
      </c>
      <c r="AK257" s="1" t="s">
        <v>1302</v>
      </c>
      <c r="AL257" s="1">
        <v>18</v>
      </c>
      <c r="AM257" s="1" t="s">
        <v>988</v>
      </c>
      <c r="AN257" s="1" t="s">
        <v>5294</v>
      </c>
      <c r="AO257" s="1" t="s">
        <v>5002</v>
      </c>
      <c r="AP257" s="1">
        <v>0</v>
      </c>
      <c r="AQ257" s="1" t="s">
        <v>1195</v>
      </c>
      <c r="AR257" s="1" t="s">
        <v>1196</v>
      </c>
      <c r="AS257" s="1" t="s">
        <v>1197</v>
      </c>
      <c r="AT257" s="1" t="s">
        <v>329</v>
      </c>
      <c r="AU257" s="1">
        <v>238</v>
      </c>
      <c r="AV257" s="1">
        <v>0</v>
      </c>
      <c r="AW257" s="1" t="s">
        <v>5286</v>
      </c>
      <c r="AX257" s="1" t="s">
        <v>332</v>
      </c>
      <c r="AY257" s="1">
        <v>5</v>
      </c>
      <c r="AZ257" s="1">
        <v>0</v>
      </c>
      <c r="BA257" s="1" t="s">
        <v>329</v>
      </c>
      <c r="BB257" s="1" t="s">
        <v>5032</v>
      </c>
      <c r="BC257" s="1" t="s">
        <v>4829</v>
      </c>
      <c r="BD257" s="1">
        <v>10802</v>
      </c>
      <c r="BE257" s="1"/>
    </row>
    <row r="258" spans="1:57" x14ac:dyDescent="0.25">
      <c r="A258" s="1">
        <v>264</v>
      </c>
      <c r="B258" s="1" t="s">
        <v>3797</v>
      </c>
      <c r="C258" s="9" t="s">
        <v>204</v>
      </c>
      <c r="D258" s="1" t="s">
        <v>3798</v>
      </c>
      <c r="E258" s="1"/>
      <c r="F258" s="1"/>
      <c r="G258" s="1" t="s">
        <v>3799</v>
      </c>
      <c r="H258" s="1" t="s">
        <v>3800</v>
      </c>
      <c r="I258" s="1" t="s">
        <v>3801</v>
      </c>
      <c r="J258" s="1">
        <v>5</v>
      </c>
      <c r="K258" s="1">
        <v>4</v>
      </c>
      <c r="L258" s="1">
        <v>23100</v>
      </c>
      <c r="M258" s="1">
        <v>40</v>
      </c>
      <c r="N258" s="1">
        <v>30</v>
      </c>
      <c r="O258" s="1">
        <v>25</v>
      </c>
      <c r="P258" s="1">
        <v>15</v>
      </c>
      <c r="Q258" s="1">
        <v>5</v>
      </c>
      <c r="R258" s="1">
        <v>5</v>
      </c>
      <c r="S258" s="1">
        <v>2</v>
      </c>
      <c r="T258" s="1">
        <v>5</v>
      </c>
      <c r="U258" s="1">
        <v>105</v>
      </c>
      <c r="V258" s="1">
        <v>122</v>
      </c>
      <c r="W258" s="1">
        <v>75</v>
      </c>
      <c r="X258" s="1">
        <v>100</v>
      </c>
      <c r="Y258" s="1">
        <v>132</v>
      </c>
      <c r="Z258" s="1">
        <v>112</v>
      </c>
      <c r="AA258" s="1">
        <v>0</v>
      </c>
      <c r="AB258" s="1">
        <v>15</v>
      </c>
      <c r="AC258" s="1">
        <v>5</v>
      </c>
      <c r="AD258" s="1">
        <v>9</v>
      </c>
      <c r="AE258" s="1">
        <v>125</v>
      </c>
      <c r="AF258" s="1">
        <v>100</v>
      </c>
      <c r="AG258" s="1">
        <v>111701</v>
      </c>
      <c r="AH258" s="1">
        <v>0</v>
      </c>
      <c r="AI258" s="1">
        <v>300105</v>
      </c>
      <c r="AJ258" s="1" t="s">
        <v>5295</v>
      </c>
      <c r="AK258" s="1" t="s">
        <v>1303</v>
      </c>
      <c r="AL258" s="1">
        <v>17</v>
      </c>
      <c r="AM258" s="1" t="s">
        <v>4918</v>
      </c>
      <c r="AN258" s="1" t="s">
        <v>4979</v>
      </c>
      <c r="AO258" s="1" t="s">
        <v>5296</v>
      </c>
      <c r="AP258" s="1">
        <v>0</v>
      </c>
      <c r="AQ258" s="1" t="s">
        <v>1195</v>
      </c>
      <c r="AR258" s="1" t="s">
        <v>1196</v>
      </c>
      <c r="AS258" s="1" t="s">
        <v>1197</v>
      </c>
      <c r="AT258" s="1" t="s">
        <v>329</v>
      </c>
      <c r="AU258" s="1">
        <v>199</v>
      </c>
      <c r="AV258" s="1">
        <v>0</v>
      </c>
      <c r="AW258" s="1" t="s">
        <v>5286</v>
      </c>
      <c r="AX258" s="1" t="s">
        <v>332</v>
      </c>
      <c r="AY258" s="1">
        <v>4</v>
      </c>
      <c r="AZ258" s="1">
        <v>0</v>
      </c>
      <c r="BA258" s="1" t="s">
        <v>329</v>
      </c>
      <c r="BB258" s="1" t="s">
        <v>5149</v>
      </c>
      <c r="BC258" s="1" t="s">
        <v>329</v>
      </c>
      <c r="BD258" s="1">
        <v>10403</v>
      </c>
      <c r="BE258" s="1"/>
    </row>
    <row r="259" spans="1:57" x14ac:dyDescent="0.25">
      <c r="A259" s="1">
        <v>265</v>
      </c>
      <c r="B259" s="1" t="s">
        <v>3802</v>
      </c>
      <c r="C259" s="9" t="s">
        <v>206</v>
      </c>
      <c r="D259" s="1" t="s">
        <v>206</v>
      </c>
      <c r="E259" s="1"/>
      <c r="F259" s="1"/>
      <c r="G259" s="1" t="s">
        <v>3803</v>
      </c>
      <c r="H259" s="1" t="s">
        <v>3804</v>
      </c>
      <c r="I259" s="1" t="s">
        <v>3805</v>
      </c>
      <c r="J259" s="1">
        <v>4</v>
      </c>
      <c r="K259" s="1">
        <v>3</v>
      </c>
      <c r="L259" s="1">
        <v>11400</v>
      </c>
      <c r="M259" s="1">
        <v>20</v>
      </c>
      <c r="N259" s="1">
        <v>20</v>
      </c>
      <c r="O259" s="1">
        <v>10</v>
      </c>
      <c r="P259" s="1">
        <v>10</v>
      </c>
      <c r="Q259" s="1">
        <v>2</v>
      </c>
      <c r="R259" s="1">
        <v>5</v>
      </c>
      <c r="S259" s="1">
        <v>5</v>
      </c>
      <c r="T259" s="1">
        <v>0</v>
      </c>
      <c r="U259" s="1">
        <v>95</v>
      </c>
      <c r="V259" s="1">
        <v>110</v>
      </c>
      <c r="W259" s="1">
        <v>110</v>
      </c>
      <c r="X259" s="1">
        <v>100</v>
      </c>
      <c r="Y259" s="1">
        <v>125</v>
      </c>
      <c r="Z259" s="1">
        <v>115</v>
      </c>
      <c r="AA259" s="1">
        <v>0</v>
      </c>
      <c r="AB259" s="1">
        <v>15</v>
      </c>
      <c r="AC259" s="1">
        <v>20</v>
      </c>
      <c r="AD259" s="1">
        <v>0</v>
      </c>
      <c r="AE259" s="1">
        <v>115</v>
      </c>
      <c r="AF259" s="1">
        <v>100</v>
      </c>
      <c r="AG259" s="1">
        <v>100406</v>
      </c>
      <c r="AH259" s="1">
        <v>0</v>
      </c>
      <c r="AI259" s="1">
        <v>300103</v>
      </c>
      <c r="AJ259" s="1" t="s">
        <v>1153</v>
      </c>
      <c r="AK259" s="1" t="s">
        <v>329</v>
      </c>
      <c r="AL259" s="1">
        <v>13</v>
      </c>
      <c r="AM259" s="1" t="s">
        <v>4779</v>
      </c>
      <c r="AN259" s="1" t="s">
        <v>4894</v>
      </c>
      <c r="AO259" s="1" t="s">
        <v>4808</v>
      </c>
      <c r="AP259" s="1">
        <v>0</v>
      </c>
      <c r="AQ259" s="1" t="s">
        <v>1158</v>
      </c>
      <c r="AR259" s="1" t="s">
        <v>1182</v>
      </c>
      <c r="AS259" s="1" t="s">
        <v>1157</v>
      </c>
      <c r="AT259" s="1" t="s">
        <v>329</v>
      </c>
      <c r="AU259" s="1">
        <v>105</v>
      </c>
      <c r="AV259" s="1">
        <v>0</v>
      </c>
      <c r="AW259" s="1" t="s">
        <v>5297</v>
      </c>
      <c r="AX259" s="1" t="s">
        <v>5276</v>
      </c>
      <c r="AY259" s="1">
        <v>3</v>
      </c>
      <c r="AZ259" s="1">
        <v>0</v>
      </c>
      <c r="BA259" s="1" t="s">
        <v>329</v>
      </c>
      <c r="BB259" s="1" t="s">
        <v>329</v>
      </c>
      <c r="BC259" s="1" t="s">
        <v>4829</v>
      </c>
      <c r="BD259" s="1">
        <v>10403</v>
      </c>
      <c r="BE259" s="1"/>
    </row>
    <row r="260" spans="1:57" x14ac:dyDescent="0.25">
      <c r="A260" s="1">
        <v>266</v>
      </c>
      <c r="B260" s="1" t="s">
        <v>3806</v>
      </c>
      <c r="C260" s="9" t="s">
        <v>207</v>
      </c>
      <c r="D260" s="1" t="s">
        <v>207</v>
      </c>
      <c r="E260" s="1"/>
      <c r="F260" s="1"/>
      <c r="G260" s="1" t="s">
        <v>3807</v>
      </c>
      <c r="H260" s="1" t="s">
        <v>3808</v>
      </c>
      <c r="I260" s="1" t="s">
        <v>3809</v>
      </c>
      <c r="J260" s="1">
        <v>3</v>
      </c>
      <c r="K260" s="1">
        <v>5</v>
      </c>
      <c r="L260" s="1">
        <v>17400</v>
      </c>
      <c r="M260" s="1">
        <v>15</v>
      </c>
      <c r="N260" s="1">
        <v>30</v>
      </c>
      <c r="O260" s="1">
        <v>10</v>
      </c>
      <c r="P260" s="1">
        <v>15</v>
      </c>
      <c r="Q260" s="1">
        <v>5</v>
      </c>
      <c r="R260" s="1">
        <v>2</v>
      </c>
      <c r="S260" s="1">
        <v>5</v>
      </c>
      <c r="T260" s="1">
        <v>0</v>
      </c>
      <c r="U260" s="1">
        <v>92</v>
      </c>
      <c r="V260" s="1">
        <v>114</v>
      </c>
      <c r="W260" s="1">
        <v>110</v>
      </c>
      <c r="X260" s="1">
        <v>100</v>
      </c>
      <c r="Y260" s="1">
        <v>132</v>
      </c>
      <c r="Z260" s="1">
        <v>92</v>
      </c>
      <c r="AA260" s="1">
        <v>0</v>
      </c>
      <c r="AB260" s="1">
        <v>15</v>
      </c>
      <c r="AC260" s="1">
        <v>40</v>
      </c>
      <c r="AD260" s="1">
        <v>0</v>
      </c>
      <c r="AE260" s="1">
        <v>135</v>
      </c>
      <c r="AF260" s="1">
        <v>130</v>
      </c>
      <c r="AG260" s="1">
        <v>112201</v>
      </c>
      <c r="AH260" s="1">
        <v>0</v>
      </c>
      <c r="AI260" s="1">
        <v>112204</v>
      </c>
      <c r="AJ260" s="1" t="s">
        <v>1304</v>
      </c>
      <c r="AK260" s="1" t="s">
        <v>1305</v>
      </c>
      <c r="AL260" s="1">
        <v>13</v>
      </c>
      <c r="AM260" s="1" t="s">
        <v>4822</v>
      </c>
      <c r="AN260" s="1" t="s">
        <v>4924</v>
      </c>
      <c r="AO260" s="1" t="s">
        <v>4905</v>
      </c>
      <c r="AP260" s="1">
        <v>0</v>
      </c>
      <c r="AQ260" s="1" t="s">
        <v>1168</v>
      </c>
      <c r="AR260" s="1" t="s">
        <v>1169</v>
      </c>
      <c r="AS260" s="1" t="s">
        <v>1170</v>
      </c>
      <c r="AT260" s="1" t="s">
        <v>329</v>
      </c>
      <c r="AU260" s="1">
        <v>48</v>
      </c>
      <c r="AV260" s="1">
        <v>0</v>
      </c>
      <c r="AW260" s="1" t="s">
        <v>5298</v>
      </c>
      <c r="AX260" s="1" t="s">
        <v>5299</v>
      </c>
      <c r="AY260" s="1">
        <v>5</v>
      </c>
      <c r="AZ260" s="1">
        <v>0</v>
      </c>
      <c r="BA260" s="1" t="s">
        <v>329</v>
      </c>
      <c r="BB260" s="1" t="s">
        <v>329</v>
      </c>
      <c r="BC260" s="1" t="s">
        <v>4829</v>
      </c>
      <c r="BD260" s="1">
        <v>10201</v>
      </c>
      <c r="BE260" s="1"/>
    </row>
    <row r="261" spans="1:57" x14ac:dyDescent="0.25">
      <c r="A261" s="1">
        <v>267</v>
      </c>
      <c r="B261" s="1" t="s">
        <v>3810</v>
      </c>
      <c r="C261" s="9" t="s">
        <v>208</v>
      </c>
      <c r="D261" s="1" t="s">
        <v>208</v>
      </c>
      <c r="E261" s="1"/>
      <c r="F261" s="1"/>
      <c r="G261" s="1" t="s">
        <v>3811</v>
      </c>
      <c r="H261" s="1" t="s">
        <v>3812</v>
      </c>
      <c r="I261" s="1" t="s">
        <v>3813</v>
      </c>
      <c r="J261" s="1">
        <v>2</v>
      </c>
      <c r="K261" s="1">
        <v>3</v>
      </c>
      <c r="L261" s="1">
        <v>7500</v>
      </c>
      <c r="M261" s="1">
        <v>25</v>
      </c>
      <c r="N261" s="1">
        <v>20</v>
      </c>
      <c r="O261" s="1">
        <v>15</v>
      </c>
      <c r="P261" s="1">
        <v>10</v>
      </c>
      <c r="Q261" s="1">
        <v>5</v>
      </c>
      <c r="R261" s="1">
        <v>5</v>
      </c>
      <c r="S261" s="1">
        <v>2</v>
      </c>
      <c r="T261" s="1">
        <v>0</v>
      </c>
      <c r="U261" s="1">
        <v>110</v>
      </c>
      <c r="V261" s="1">
        <v>105</v>
      </c>
      <c r="W261" s="1">
        <v>95</v>
      </c>
      <c r="X261" s="1">
        <v>100</v>
      </c>
      <c r="Y261" s="1">
        <v>100</v>
      </c>
      <c r="Z261" s="1">
        <v>90</v>
      </c>
      <c r="AA261" s="1">
        <v>0</v>
      </c>
      <c r="AB261" s="1">
        <v>15</v>
      </c>
      <c r="AC261" s="1">
        <v>5</v>
      </c>
      <c r="AD261" s="1">
        <v>0</v>
      </c>
      <c r="AE261" s="1">
        <v>120</v>
      </c>
      <c r="AF261" s="1">
        <v>100</v>
      </c>
      <c r="AG261" s="1">
        <v>102402</v>
      </c>
      <c r="AH261" s="1">
        <v>0</v>
      </c>
      <c r="AI261" s="1">
        <v>300102</v>
      </c>
      <c r="AJ261" s="1" t="s">
        <v>1153</v>
      </c>
      <c r="AK261" s="1" t="s">
        <v>329</v>
      </c>
      <c r="AL261" s="1">
        <v>13</v>
      </c>
      <c r="AM261" s="1" t="s">
        <v>4850</v>
      </c>
      <c r="AN261" s="1" t="s">
        <v>5053</v>
      </c>
      <c r="AO261" s="1" t="s">
        <v>5054</v>
      </c>
      <c r="AP261" s="1">
        <v>0</v>
      </c>
      <c r="AQ261" s="1" t="s">
        <v>1157</v>
      </c>
      <c r="AR261" s="1" t="s">
        <v>1147</v>
      </c>
      <c r="AS261" s="1" t="s">
        <v>1158</v>
      </c>
      <c r="AT261" s="1" t="s">
        <v>329</v>
      </c>
      <c r="AU261" s="1">
        <v>116</v>
      </c>
      <c r="AV261" s="1">
        <v>0</v>
      </c>
      <c r="AW261" s="1" t="s">
        <v>5300</v>
      </c>
      <c r="AX261" s="1" t="s">
        <v>5276</v>
      </c>
      <c r="AY261" s="1">
        <v>3</v>
      </c>
      <c r="AZ261" s="1">
        <v>0</v>
      </c>
      <c r="BA261" s="1" t="s">
        <v>329</v>
      </c>
      <c r="BB261" s="1" t="s">
        <v>329</v>
      </c>
      <c r="BC261" s="1" t="s">
        <v>4829</v>
      </c>
      <c r="BD261" s="1">
        <v>10704</v>
      </c>
      <c r="BE261" s="1"/>
    </row>
    <row r="262" spans="1:57" x14ac:dyDescent="0.25">
      <c r="A262" s="1">
        <v>268</v>
      </c>
      <c r="B262" s="1" t="s">
        <v>3814</v>
      </c>
      <c r="C262" s="9" t="s">
        <v>1685</v>
      </c>
      <c r="D262" s="1" t="s">
        <v>1685</v>
      </c>
      <c r="E262" s="1"/>
      <c r="F262" s="1"/>
      <c r="G262" s="1" t="s">
        <v>3815</v>
      </c>
      <c r="H262" s="1" t="s">
        <v>3816</v>
      </c>
      <c r="I262" s="1" t="s">
        <v>3817</v>
      </c>
      <c r="J262" s="1">
        <v>3</v>
      </c>
      <c r="K262" s="1">
        <v>3</v>
      </c>
      <c r="L262" s="1">
        <v>15600</v>
      </c>
      <c r="M262" s="1">
        <v>15</v>
      </c>
      <c r="N262" s="1">
        <v>30</v>
      </c>
      <c r="O262" s="1">
        <v>10</v>
      </c>
      <c r="P262" s="1">
        <v>15</v>
      </c>
      <c r="Q262" s="1">
        <v>5</v>
      </c>
      <c r="R262" s="1">
        <v>2</v>
      </c>
      <c r="S262" s="1">
        <v>5</v>
      </c>
      <c r="T262" s="1">
        <v>0</v>
      </c>
      <c r="U262" s="1">
        <v>100</v>
      </c>
      <c r="V262" s="1">
        <v>115</v>
      </c>
      <c r="W262" s="1">
        <v>110</v>
      </c>
      <c r="X262" s="1">
        <v>100</v>
      </c>
      <c r="Y262" s="1">
        <v>120</v>
      </c>
      <c r="Z262" s="1">
        <v>85</v>
      </c>
      <c r="AA262" s="1">
        <v>0</v>
      </c>
      <c r="AB262" s="1">
        <v>15</v>
      </c>
      <c r="AC262" s="1">
        <v>40</v>
      </c>
      <c r="AD262" s="1">
        <v>0</v>
      </c>
      <c r="AE262" s="1">
        <v>112</v>
      </c>
      <c r="AF262" s="1">
        <v>100</v>
      </c>
      <c r="AG262" s="1">
        <v>100102</v>
      </c>
      <c r="AH262" s="1">
        <v>0</v>
      </c>
      <c r="AI262" s="1">
        <v>300104</v>
      </c>
      <c r="AJ262" s="1" t="s">
        <v>1153</v>
      </c>
      <c r="AK262" s="1" t="s">
        <v>329</v>
      </c>
      <c r="AL262" s="1">
        <v>13</v>
      </c>
      <c r="AM262" s="1" t="s">
        <v>4822</v>
      </c>
      <c r="AN262" s="1" t="s">
        <v>4894</v>
      </c>
      <c r="AO262" s="1" t="s">
        <v>4886</v>
      </c>
      <c r="AP262" s="1">
        <v>0</v>
      </c>
      <c r="AQ262" s="1" t="s">
        <v>1168</v>
      </c>
      <c r="AR262" s="1" t="s">
        <v>1169</v>
      </c>
      <c r="AS262" s="1" t="s">
        <v>1170</v>
      </c>
      <c r="AT262" s="1" t="s">
        <v>329</v>
      </c>
      <c r="AU262" s="1">
        <v>241</v>
      </c>
      <c r="AV262" s="1">
        <v>0</v>
      </c>
      <c r="AW262" s="1" t="s">
        <v>5301</v>
      </c>
      <c r="AX262" s="1" t="s">
        <v>5302</v>
      </c>
      <c r="AY262" s="1">
        <v>3</v>
      </c>
      <c r="AZ262" s="1">
        <v>0</v>
      </c>
      <c r="BA262" s="1" t="s">
        <v>329</v>
      </c>
      <c r="BB262" s="1" t="s">
        <v>329</v>
      </c>
      <c r="BC262" s="1" t="s">
        <v>329</v>
      </c>
      <c r="BD262" s="1">
        <v>10802</v>
      </c>
      <c r="BE262" s="1"/>
    </row>
    <row r="263" spans="1:57" x14ac:dyDescent="0.25">
      <c r="A263" s="1">
        <v>269</v>
      </c>
      <c r="B263" s="1" t="s">
        <v>3818</v>
      </c>
      <c r="C263" s="9" t="s">
        <v>209</v>
      </c>
      <c r="D263" s="1" t="s">
        <v>209</v>
      </c>
      <c r="E263" s="1"/>
      <c r="F263" s="1"/>
      <c r="G263" s="1" t="s">
        <v>3819</v>
      </c>
      <c r="H263" s="1" t="s">
        <v>3820</v>
      </c>
      <c r="I263" s="1" t="s">
        <v>3821</v>
      </c>
      <c r="J263" s="1">
        <v>1</v>
      </c>
      <c r="K263" s="1">
        <v>4</v>
      </c>
      <c r="L263" s="1">
        <v>3000</v>
      </c>
      <c r="M263" s="1">
        <v>10</v>
      </c>
      <c r="N263" s="1">
        <v>10</v>
      </c>
      <c r="O263" s="1">
        <v>5</v>
      </c>
      <c r="P263" s="1">
        <v>5</v>
      </c>
      <c r="Q263" s="1">
        <v>2</v>
      </c>
      <c r="R263" s="1">
        <v>2</v>
      </c>
      <c r="S263" s="1">
        <v>2</v>
      </c>
      <c r="T263" s="1">
        <v>0</v>
      </c>
      <c r="U263" s="1">
        <v>105</v>
      </c>
      <c r="V263" s="1">
        <v>115</v>
      </c>
      <c r="W263" s="1">
        <v>102</v>
      </c>
      <c r="X263" s="1">
        <v>100</v>
      </c>
      <c r="Y263" s="1">
        <v>125</v>
      </c>
      <c r="Z263" s="1">
        <v>115</v>
      </c>
      <c r="AA263" s="1">
        <v>0</v>
      </c>
      <c r="AB263" s="1">
        <v>15</v>
      </c>
      <c r="AC263" s="1">
        <v>20</v>
      </c>
      <c r="AD263" s="1">
        <v>0</v>
      </c>
      <c r="AE263" s="1">
        <v>118</v>
      </c>
      <c r="AF263" s="1">
        <v>100</v>
      </c>
      <c r="AG263" s="1">
        <v>112401</v>
      </c>
      <c r="AH263" s="1">
        <v>0</v>
      </c>
      <c r="AI263" s="1">
        <v>300101</v>
      </c>
      <c r="AJ263" s="1" t="s">
        <v>1306</v>
      </c>
      <c r="AK263" s="1" t="s">
        <v>1307</v>
      </c>
      <c r="AL263" s="1">
        <v>12</v>
      </c>
      <c r="AM263" s="1" t="s">
        <v>1866</v>
      </c>
      <c r="AN263" s="1" t="s">
        <v>5303</v>
      </c>
      <c r="AO263" s="1" t="s">
        <v>5304</v>
      </c>
      <c r="AP263" s="1">
        <v>0</v>
      </c>
      <c r="AQ263" s="1" t="s">
        <v>1146</v>
      </c>
      <c r="AR263" s="1" t="s">
        <v>1147</v>
      </c>
      <c r="AS263" s="1" t="s">
        <v>1148</v>
      </c>
      <c r="AT263" s="1" t="s">
        <v>329</v>
      </c>
      <c r="AU263" s="1">
        <v>212</v>
      </c>
      <c r="AV263" s="1">
        <v>0</v>
      </c>
      <c r="AW263" s="1" t="s">
        <v>5227</v>
      </c>
      <c r="AX263" s="1" t="s">
        <v>4822</v>
      </c>
      <c r="AY263" s="1">
        <v>4</v>
      </c>
      <c r="AZ263" s="1">
        <v>0</v>
      </c>
      <c r="BA263" s="1" t="s">
        <v>329</v>
      </c>
      <c r="BB263" s="1" t="s">
        <v>329</v>
      </c>
      <c r="BC263" s="1" t="s">
        <v>4829</v>
      </c>
      <c r="BD263" s="1">
        <v>10403</v>
      </c>
      <c r="BE263" s="1"/>
    </row>
    <row r="264" spans="1:57" x14ac:dyDescent="0.25">
      <c r="A264" s="1">
        <v>270</v>
      </c>
      <c r="B264" s="1" t="s">
        <v>3822</v>
      </c>
      <c r="C264" s="9" t="s">
        <v>243</v>
      </c>
      <c r="D264" s="1" t="s">
        <v>3823</v>
      </c>
      <c r="E264" s="1"/>
      <c r="F264" s="1"/>
      <c r="G264" s="1" t="s">
        <v>3824</v>
      </c>
      <c r="H264" s="1" t="s">
        <v>3825</v>
      </c>
      <c r="I264" s="1" t="s">
        <v>3826</v>
      </c>
      <c r="J264" s="1">
        <v>3</v>
      </c>
      <c r="K264" s="1">
        <v>4</v>
      </c>
      <c r="L264" s="1">
        <v>14640</v>
      </c>
      <c r="M264" s="1">
        <v>15</v>
      </c>
      <c r="N264" s="1">
        <v>30</v>
      </c>
      <c r="O264" s="1">
        <v>10</v>
      </c>
      <c r="P264" s="1">
        <v>15</v>
      </c>
      <c r="Q264" s="1">
        <v>5</v>
      </c>
      <c r="R264" s="1">
        <v>2</v>
      </c>
      <c r="S264" s="1">
        <v>5</v>
      </c>
      <c r="T264" s="1">
        <v>0</v>
      </c>
      <c r="U264" s="1">
        <v>95</v>
      </c>
      <c r="V264" s="1">
        <v>102</v>
      </c>
      <c r="W264" s="1">
        <v>112</v>
      </c>
      <c r="X264" s="1">
        <v>100</v>
      </c>
      <c r="Y264" s="1">
        <v>110</v>
      </c>
      <c r="Z264" s="1">
        <v>106</v>
      </c>
      <c r="AA264" s="1">
        <v>0</v>
      </c>
      <c r="AB264" s="1">
        <v>15</v>
      </c>
      <c r="AC264" s="1">
        <v>40</v>
      </c>
      <c r="AD264" s="1">
        <v>0</v>
      </c>
      <c r="AE264" s="1">
        <v>122</v>
      </c>
      <c r="AF264" s="1">
        <v>100</v>
      </c>
      <c r="AG264" s="1">
        <v>112501</v>
      </c>
      <c r="AH264" s="1">
        <v>0</v>
      </c>
      <c r="AI264" s="1">
        <v>112502</v>
      </c>
      <c r="AJ264" s="1" t="s">
        <v>1308</v>
      </c>
      <c r="AK264" s="1" t="s">
        <v>1309</v>
      </c>
      <c r="AL264" s="1">
        <v>13</v>
      </c>
      <c r="AM264" s="1" t="s">
        <v>4822</v>
      </c>
      <c r="AN264" s="1" t="s">
        <v>5305</v>
      </c>
      <c r="AO264" s="1" t="s">
        <v>4892</v>
      </c>
      <c r="AP264" s="1">
        <v>0</v>
      </c>
      <c r="AQ264" s="1" t="s">
        <v>1775</v>
      </c>
      <c r="AR264" s="1" t="s">
        <v>1169</v>
      </c>
      <c r="AS264" s="1" t="s">
        <v>1170</v>
      </c>
      <c r="AT264" s="1" t="s">
        <v>329</v>
      </c>
      <c r="AU264" s="1">
        <v>200</v>
      </c>
      <c r="AV264" s="1">
        <v>0</v>
      </c>
      <c r="AW264" s="1" t="s">
        <v>5227</v>
      </c>
      <c r="AX264" s="1" t="s">
        <v>332</v>
      </c>
      <c r="AY264" s="1">
        <v>4</v>
      </c>
      <c r="AZ264" s="1">
        <v>0</v>
      </c>
      <c r="BA264" s="1" t="s">
        <v>329</v>
      </c>
      <c r="BB264" s="1" t="s">
        <v>329</v>
      </c>
      <c r="BC264" s="1" t="s">
        <v>329</v>
      </c>
      <c r="BD264" s="1">
        <v>10802</v>
      </c>
      <c r="BE264" s="1"/>
    </row>
    <row r="265" spans="1:57" x14ac:dyDescent="0.25">
      <c r="A265" s="1">
        <v>271</v>
      </c>
      <c r="B265" s="1" t="s">
        <v>3827</v>
      </c>
      <c r="C265" s="9" t="s">
        <v>211</v>
      </c>
      <c r="D265" s="1" t="s">
        <v>211</v>
      </c>
      <c r="E265" s="1"/>
      <c r="F265" s="1"/>
      <c r="G265" s="1" t="s">
        <v>3828</v>
      </c>
      <c r="H265" s="1" t="s">
        <v>3829</v>
      </c>
      <c r="I265" s="1" t="s">
        <v>3830</v>
      </c>
      <c r="J265" s="1">
        <v>5</v>
      </c>
      <c r="K265" s="1">
        <v>3</v>
      </c>
      <c r="L265" s="1">
        <v>22500</v>
      </c>
      <c r="M265" s="1">
        <v>40</v>
      </c>
      <c r="N265" s="1">
        <v>30</v>
      </c>
      <c r="O265" s="1">
        <v>25</v>
      </c>
      <c r="P265" s="1">
        <v>15</v>
      </c>
      <c r="Q265" s="1">
        <v>5</v>
      </c>
      <c r="R265" s="1">
        <v>5</v>
      </c>
      <c r="S265" s="1">
        <v>2</v>
      </c>
      <c r="T265" s="1">
        <v>5</v>
      </c>
      <c r="U265" s="1">
        <v>100</v>
      </c>
      <c r="V265" s="1">
        <v>95</v>
      </c>
      <c r="W265" s="1">
        <v>125</v>
      </c>
      <c r="X265" s="1">
        <v>100</v>
      </c>
      <c r="Y265" s="1">
        <v>115</v>
      </c>
      <c r="Z265" s="1">
        <v>135</v>
      </c>
      <c r="AA265" s="1">
        <v>0</v>
      </c>
      <c r="AB265" s="1">
        <v>15</v>
      </c>
      <c r="AC265" s="1">
        <v>5</v>
      </c>
      <c r="AD265" s="1">
        <v>9</v>
      </c>
      <c r="AE265" s="1">
        <v>122</v>
      </c>
      <c r="AF265" s="1">
        <v>100</v>
      </c>
      <c r="AG265" s="1">
        <v>105103</v>
      </c>
      <c r="AH265" s="1">
        <v>0</v>
      </c>
      <c r="AI265" s="1">
        <v>300105</v>
      </c>
      <c r="AJ265" s="1" t="s">
        <v>1198</v>
      </c>
      <c r="AK265" s="1" t="s">
        <v>329</v>
      </c>
      <c r="AL265" s="1">
        <v>18</v>
      </c>
      <c r="AM265" s="1" t="s">
        <v>4918</v>
      </c>
      <c r="AN265" s="1" t="s">
        <v>4979</v>
      </c>
      <c r="AO265" s="1" t="s">
        <v>5306</v>
      </c>
      <c r="AP265" s="1">
        <v>0</v>
      </c>
      <c r="AQ265" s="1" t="s">
        <v>1195</v>
      </c>
      <c r="AR265" s="1" t="s">
        <v>1196</v>
      </c>
      <c r="AS265" s="1" t="s">
        <v>1197</v>
      </c>
      <c r="AT265" s="1" t="s">
        <v>329</v>
      </c>
      <c r="AU265" s="1">
        <v>208</v>
      </c>
      <c r="AV265" s="1">
        <v>0</v>
      </c>
      <c r="AW265" s="1" t="s">
        <v>5307</v>
      </c>
      <c r="AX265" s="1" t="s">
        <v>5308</v>
      </c>
      <c r="AY265" s="1">
        <v>3</v>
      </c>
      <c r="AZ265" s="1">
        <v>0</v>
      </c>
      <c r="BA265" s="1" t="s">
        <v>329</v>
      </c>
      <c r="BB265" s="1" t="s">
        <v>329</v>
      </c>
      <c r="BC265" s="1" t="s">
        <v>329</v>
      </c>
      <c r="BD265" s="1">
        <v>10802</v>
      </c>
      <c r="BE265" s="1"/>
    </row>
    <row r="266" spans="1:57" x14ac:dyDescent="0.25">
      <c r="A266" s="1">
        <v>272</v>
      </c>
      <c r="B266" s="1" t="s">
        <v>3831</v>
      </c>
      <c r="C266" s="9" t="s">
        <v>1715</v>
      </c>
      <c r="D266" s="1" t="s">
        <v>3832</v>
      </c>
      <c r="E266" s="1"/>
      <c r="F266" s="1"/>
      <c r="G266" s="1" t="s">
        <v>3833</v>
      </c>
      <c r="H266" s="1" t="s">
        <v>3834</v>
      </c>
      <c r="I266" s="1" t="s">
        <v>3835</v>
      </c>
      <c r="J266" s="1">
        <v>1</v>
      </c>
      <c r="K266" s="1">
        <v>5</v>
      </c>
      <c r="L266" s="1">
        <v>3180</v>
      </c>
      <c r="M266" s="1">
        <v>10</v>
      </c>
      <c r="N266" s="1">
        <v>10</v>
      </c>
      <c r="O266" s="1">
        <v>5</v>
      </c>
      <c r="P266" s="1">
        <v>5</v>
      </c>
      <c r="Q266" s="1">
        <v>2</v>
      </c>
      <c r="R266" s="1">
        <v>2</v>
      </c>
      <c r="S266" s="1">
        <v>2</v>
      </c>
      <c r="T266" s="1">
        <v>0</v>
      </c>
      <c r="U266" s="1">
        <v>110</v>
      </c>
      <c r="V266" s="1">
        <v>138</v>
      </c>
      <c r="W266" s="1">
        <v>100</v>
      </c>
      <c r="X266" s="1">
        <v>100</v>
      </c>
      <c r="Y266" s="1">
        <v>105</v>
      </c>
      <c r="Z266" s="1">
        <v>80</v>
      </c>
      <c r="AA266" s="1">
        <v>0</v>
      </c>
      <c r="AB266" s="1">
        <v>15</v>
      </c>
      <c r="AC266" s="1">
        <v>40</v>
      </c>
      <c r="AD266" s="1">
        <v>0</v>
      </c>
      <c r="AE266" s="1">
        <v>132</v>
      </c>
      <c r="AF266" s="1">
        <v>100</v>
      </c>
      <c r="AG266" s="1">
        <v>113101</v>
      </c>
      <c r="AH266" s="1">
        <v>0</v>
      </c>
      <c r="AI266" s="1">
        <v>113103</v>
      </c>
      <c r="AJ266" s="1" t="s">
        <v>1310</v>
      </c>
      <c r="AK266" s="1" t="s">
        <v>1311</v>
      </c>
      <c r="AL266" s="1">
        <v>17</v>
      </c>
      <c r="AM266" s="1" t="s">
        <v>1866</v>
      </c>
      <c r="AN266" s="1" t="s">
        <v>5309</v>
      </c>
      <c r="AO266" s="1" t="s">
        <v>4811</v>
      </c>
      <c r="AP266" s="1">
        <v>0</v>
      </c>
      <c r="AQ266" s="1" t="s">
        <v>1146</v>
      </c>
      <c r="AR266" s="1" t="s">
        <v>1147</v>
      </c>
      <c r="AS266" s="1" t="s">
        <v>1148</v>
      </c>
      <c r="AT266" s="1" t="s">
        <v>329</v>
      </c>
      <c r="AU266" s="1">
        <v>4</v>
      </c>
      <c r="AV266" s="1">
        <v>0</v>
      </c>
      <c r="AW266" s="1" t="s">
        <v>5310</v>
      </c>
      <c r="AX266" s="1" t="s">
        <v>5311</v>
      </c>
      <c r="AY266" s="1">
        <v>5</v>
      </c>
      <c r="AZ266" s="1">
        <v>0</v>
      </c>
      <c r="BA266" s="1" t="s">
        <v>329</v>
      </c>
      <c r="BB266" s="1" t="s">
        <v>329</v>
      </c>
      <c r="BC266" s="1" t="s">
        <v>329</v>
      </c>
      <c r="BD266" s="1">
        <v>10803</v>
      </c>
      <c r="BE266" s="1"/>
    </row>
    <row r="267" spans="1:57" x14ac:dyDescent="0.25">
      <c r="A267" s="1">
        <v>273</v>
      </c>
      <c r="B267" s="1" t="s">
        <v>3836</v>
      </c>
      <c r="C267" s="9" t="s">
        <v>244</v>
      </c>
      <c r="D267" s="1" t="s">
        <v>244</v>
      </c>
      <c r="E267" s="1"/>
      <c r="F267" s="1"/>
      <c r="G267" s="1" t="s">
        <v>3837</v>
      </c>
      <c r="H267" s="1" t="s">
        <v>3838</v>
      </c>
      <c r="I267" s="1" t="s">
        <v>3839</v>
      </c>
      <c r="J267" s="1">
        <v>3</v>
      </c>
      <c r="K267" s="1">
        <v>4</v>
      </c>
      <c r="L267" s="1">
        <v>17400</v>
      </c>
      <c r="M267" s="1">
        <v>15</v>
      </c>
      <c r="N267" s="1">
        <v>30</v>
      </c>
      <c r="O267" s="1">
        <v>10</v>
      </c>
      <c r="P267" s="1">
        <v>15</v>
      </c>
      <c r="Q267" s="1">
        <v>5</v>
      </c>
      <c r="R267" s="1">
        <v>2</v>
      </c>
      <c r="S267" s="1">
        <v>5</v>
      </c>
      <c r="T267" s="1">
        <v>0</v>
      </c>
      <c r="U267" s="1">
        <v>100</v>
      </c>
      <c r="V267" s="1">
        <v>116</v>
      </c>
      <c r="W267" s="1">
        <v>110</v>
      </c>
      <c r="X267" s="1">
        <v>100</v>
      </c>
      <c r="Y267" s="1">
        <v>115</v>
      </c>
      <c r="Z267" s="1">
        <v>90</v>
      </c>
      <c r="AA267" s="1">
        <v>0</v>
      </c>
      <c r="AB267" s="1">
        <v>15</v>
      </c>
      <c r="AC267" s="1">
        <v>40</v>
      </c>
      <c r="AD267" s="1">
        <v>0</v>
      </c>
      <c r="AE267" s="1">
        <v>120</v>
      </c>
      <c r="AF267" s="1">
        <v>130</v>
      </c>
      <c r="AG267" s="1">
        <v>112701</v>
      </c>
      <c r="AH267" s="1">
        <v>0</v>
      </c>
      <c r="AI267" s="1">
        <v>112703</v>
      </c>
      <c r="AJ267" s="1" t="s">
        <v>1312</v>
      </c>
      <c r="AK267" s="1" t="s">
        <v>1313</v>
      </c>
      <c r="AL267" s="1">
        <v>13</v>
      </c>
      <c r="AM267" s="1" t="s">
        <v>4822</v>
      </c>
      <c r="AN267" s="1" t="s">
        <v>4889</v>
      </c>
      <c r="AO267" s="1" t="s">
        <v>4892</v>
      </c>
      <c r="AP267" s="1">
        <v>0</v>
      </c>
      <c r="AQ267" s="1" t="s">
        <v>1168</v>
      </c>
      <c r="AR267" s="1" t="s">
        <v>1169</v>
      </c>
      <c r="AS267" s="1" t="s">
        <v>1170</v>
      </c>
      <c r="AT267" s="1" t="s">
        <v>329</v>
      </c>
      <c r="AU267" s="1">
        <v>48</v>
      </c>
      <c r="AV267" s="1">
        <v>0</v>
      </c>
      <c r="AW267" s="1" t="s">
        <v>5310</v>
      </c>
      <c r="AX267" s="1" t="s">
        <v>5276</v>
      </c>
      <c r="AY267" s="1">
        <v>4</v>
      </c>
      <c r="AZ267" s="1">
        <v>0</v>
      </c>
      <c r="BA267" s="1" t="s">
        <v>329</v>
      </c>
      <c r="BB267" s="1" t="s">
        <v>329</v>
      </c>
      <c r="BC267" s="1" t="s">
        <v>4829</v>
      </c>
      <c r="BD267" s="1">
        <v>10402</v>
      </c>
      <c r="BE267" s="1"/>
    </row>
    <row r="268" spans="1:57" x14ac:dyDescent="0.25">
      <c r="A268" s="1">
        <v>274</v>
      </c>
      <c r="B268" s="1" t="s">
        <v>3840</v>
      </c>
      <c r="C268" s="9" t="s">
        <v>213</v>
      </c>
      <c r="D268" s="1" t="s">
        <v>213</v>
      </c>
      <c r="E268" s="1"/>
      <c r="F268" s="1"/>
      <c r="G268" s="1" t="s">
        <v>3841</v>
      </c>
      <c r="H268" s="1" t="s">
        <v>3842</v>
      </c>
      <c r="I268" s="1" t="s">
        <v>3843</v>
      </c>
      <c r="J268" s="1">
        <v>4</v>
      </c>
      <c r="K268" s="1">
        <v>5</v>
      </c>
      <c r="L268" s="1">
        <v>15120</v>
      </c>
      <c r="M268" s="1">
        <v>20</v>
      </c>
      <c r="N268" s="1">
        <v>20</v>
      </c>
      <c r="O268" s="1">
        <v>10</v>
      </c>
      <c r="P268" s="1">
        <v>10</v>
      </c>
      <c r="Q268" s="1">
        <v>2</v>
      </c>
      <c r="R268" s="1">
        <v>5</v>
      </c>
      <c r="S268" s="1">
        <v>5</v>
      </c>
      <c r="T268" s="1">
        <v>0</v>
      </c>
      <c r="U268" s="1">
        <v>105</v>
      </c>
      <c r="V268" s="1">
        <v>112</v>
      </c>
      <c r="W268" s="1">
        <v>110</v>
      </c>
      <c r="X268" s="1">
        <v>100</v>
      </c>
      <c r="Y268" s="1">
        <v>120</v>
      </c>
      <c r="Z268" s="1">
        <v>105</v>
      </c>
      <c r="AA268" s="1">
        <v>0</v>
      </c>
      <c r="AB268" s="1">
        <v>15</v>
      </c>
      <c r="AC268" s="1">
        <v>30</v>
      </c>
      <c r="AD268" s="1">
        <v>0</v>
      </c>
      <c r="AE268" s="1">
        <v>132</v>
      </c>
      <c r="AF268" s="1">
        <v>100</v>
      </c>
      <c r="AG268" s="1">
        <v>113001</v>
      </c>
      <c r="AH268" s="1">
        <v>0</v>
      </c>
      <c r="AI268" s="1">
        <v>113004</v>
      </c>
      <c r="AJ268" s="1" t="s">
        <v>1314</v>
      </c>
      <c r="AK268" s="1" t="s">
        <v>1315</v>
      </c>
      <c r="AL268" s="1">
        <v>14</v>
      </c>
      <c r="AM268" s="1" t="s">
        <v>4779</v>
      </c>
      <c r="AN268" s="1" t="s">
        <v>5312</v>
      </c>
      <c r="AO268" s="1" t="s">
        <v>5060</v>
      </c>
      <c r="AP268" s="1">
        <v>0</v>
      </c>
      <c r="AQ268" s="1" t="s">
        <v>1158</v>
      </c>
      <c r="AR268" s="1" t="s">
        <v>1182</v>
      </c>
      <c r="AS268" s="1" t="s">
        <v>1157</v>
      </c>
      <c r="AT268" s="1" t="s">
        <v>329</v>
      </c>
      <c r="AU268" s="1">
        <v>73</v>
      </c>
      <c r="AV268" s="1">
        <v>0</v>
      </c>
      <c r="AW268" s="1" t="s">
        <v>5310</v>
      </c>
      <c r="AX268" s="1" t="s">
        <v>5313</v>
      </c>
      <c r="AY268" s="1">
        <v>5</v>
      </c>
      <c r="AZ268" s="1">
        <v>0</v>
      </c>
      <c r="BA268" s="1" t="s">
        <v>329</v>
      </c>
      <c r="BB268" s="1" t="s">
        <v>4966</v>
      </c>
      <c r="BC268" s="1" t="s">
        <v>4780</v>
      </c>
      <c r="BD268" s="1">
        <v>10402</v>
      </c>
      <c r="BE268" s="1"/>
    </row>
    <row r="269" spans="1:57" x14ac:dyDescent="0.25">
      <c r="A269" s="1">
        <v>275</v>
      </c>
      <c r="B269" s="1" t="s">
        <v>3844</v>
      </c>
      <c r="C269" s="9" t="s">
        <v>839</v>
      </c>
      <c r="D269" s="1" t="s">
        <v>3845</v>
      </c>
      <c r="E269" s="1"/>
      <c r="F269" s="1"/>
      <c r="G269" s="1" t="s">
        <v>3846</v>
      </c>
      <c r="H269" s="1" t="s">
        <v>3847</v>
      </c>
      <c r="I269" s="1" t="s">
        <v>3848</v>
      </c>
      <c r="J269" s="1">
        <v>5</v>
      </c>
      <c r="K269" s="1">
        <v>4</v>
      </c>
      <c r="L269" s="1">
        <v>23280</v>
      </c>
      <c r="M269" s="1">
        <v>40</v>
      </c>
      <c r="N269" s="1">
        <v>30</v>
      </c>
      <c r="O269" s="1">
        <v>25</v>
      </c>
      <c r="P269" s="1">
        <v>15</v>
      </c>
      <c r="Q269" s="1">
        <v>5</v>
      </c>
      <c r="R269" s="1">
        <v>5</v>
      </c>
      <c r="S269" s="1">
        <v>2</v>
      </c>
      <c r="T269" s="1">
        <v>5</v>
      </c>
      <c r="U269" s="1">
        <v>115</v>
      </c>
      <c r="V269" s="1">
        <v>115</v>
      </c>
      <c r="W269" s="1">
        <v>125</v>
      </c>
      <c r="X269" s="1">
        <v>100</v>
      </c>
      <c r="Y269" s="1">
        <v>105</v>
      </c>
      <c r="Z269" s="1">
        <v>95</v>
      </c>
      <c r="AA269" s="1">
        <v>0</v>
      </c>
      <c r="AB269" s="1">
        <v>15</v>
      </c>
      <c r="AC269" s="1">
        <v>5</v>
      </c>
      <c r="AD269" s="1">
        <v>10</v>
      </c>
      <c r="AE269" s="1">
        <v>112</v>
      </c>
      <c r="AF269" s="1">
        <v>100</v>
      </c>
      <c r="AG269" s="1">
        <v>112901</v>
      </c>
      <c r="AH269" s="1">
        <v>0</v>
      </c>
      <c r="AI269" s="1">
        <v>112903</v>
      </c>
      <c r="AJ269" s="1" t="s">
        <v>1316</v>
      </c>
      <c r="AK269" s="1" t="s">
        <v>1317</v>
      </c>
      <c r="AL269" s="1">
        <v>18</v>
      </c>
      <c r="AM269" s="1" t="s">
        <v>4918</v>
      </c>
      <c r="AN269" s="1" t="s">
        <v>4979</v>
      </c>
      <c r="AO269" s="1" t="s">
        <v>5314</v>
      </c>
      <c r="AP269" s="1">
        <v>0</v>
      </c>
      <c r="AQ269" s="1" t="s">
        <v>1195</v>
      </c>
      <c r="AR269" s="1" t="s">
        <v>1196</v>
      </c>
      <c r="AS269" s="1" t="s">
        <v>1197</v>
      </c>
      <c r="AT269" s="1" t="s">
        <v>329</v>
      </c>
      <c r="AU269" s="1">
        <v>238</v>
      </c>
      <c r="AV269" s="1">
        <v>0</v>
      </c>
      <c r="AW269" s="1" t="s">
        <v>5310</v>
      </c>
      <c r="AX269" s="1" t="s">
        <v>5315</v>
      </c>
      <c r="AY269" s="1">
        <v>4</v>
      </c>
      <c r="AZ269" s="1">
        <v>0</v>
      </c>
      <c r="BA269" s="1" t="s">
        <v>329</v>
      </c>
      <c r="BB269" s="1" t="s">
        <v>4941</v>
      </c>
      <c r="BC269" s="1" t="s">
        <v>4780</v>
      </c>
      <c r="BD269" s="1">
        <v>10403</v>
      </c>
      <c r="BE269" s="1"/>
    </row>
    <row r="270" spans="1:57" x14ac:dyDescent="0.25">
      <c r="A270" s="1">
        <v>276</v>
      </c>
      <c r="B270" s="1" t="s">
        <v>3849</v>
      </c>
      <c r="C270" s="9" t="s">
        <v>212</v>
      </c>
      <c r="D270" s="1" t="s">
        <v>212</v>
      </c>
      <c r="E270" s="1"/>
      <c r="F270" s="1"/>
      <c r="G270" s="1" t="s">
        <v>3850</v>
      </c>
      <c r="H270" s="1" t="s">
        <v>3851</v>
      </c>
      <c r="I270" s="1" t="s">
        <v>3852</v>
      </c>
      <c r="J270" s="1">
        <v>5</v>
      </c>
      <c r="K270" s="1">
        <v>5</v>
      </c>
      <c r="L270" s="1">
        <v>22500</v>
      </c>
      <c r="M270" s="1">
        <v>40</v>
      </c>
      <c r="N270" s="1">
        <v>30</v>
      </c>
      <c r="O270" s="1">
        <v>25</v>
      </c>
      <c r="P270" s="1">
        <v>15</v>
      </c>
      <c r="Q270" s="1">
        <v>5</v>
      </c>
      <c r="R270" s="1">
        <v>5</v>
      </c>
      <c r="S270" s="1">
        <v>2</v>
      </c>
      <c r="T270" s="1">
        <v>5</v>
      </c>
      <c r="U270" s="1">
        <v>120</v>
      </c>
      <c r="V270" s="1">
        <v>140</v>
      </c>
      <c r="W270" s="1">
        <v>105</v>
      </c>
      <c r="X270" s="1">
        <v>100</v>
      </c>
      <c r="Y270" s="1">
        <v>90</v>
      </c>
      <c r="Z270" s="1">
        <v>85</v>
      </c>
      <c r="AA270" s="1">
        <v>0</v>
      </c>
      <c r="AB270" s="1">
        <v>15</v>
      </c>
      <c r="AC270" s="1">
        <v>5</v>
      </c>
      <c r="AD270" s="1">
        <v>9</v>
      </c>
      <c r="AE270" s="1">
        <v>112</v>
      </c>
      <c r="AF270" s="1">
        <v>100</v>
      </c>
      <c r="AG270" s="1">
        <v>112801</v>
      </c>
      <c r="AH270" s="1">
        <v>0</v>
      </c>
      <c r="AI270" s="1">
        <v>112806</v>
      </c>
      <c r="AJ270" s="1" t="s">
        <v>1318</v>
      </c>
      <c r="AK270" s="1" t="s">
        <v>1319</v>
      </c>
      <c r="AL270" s="1">
        <v>18</v>
      </c>
      <c r="AM270" s="1" t="s">
        <v>4918</v>
      </c>
      <c r="AN270" s="1" t="s">
        <v>4997</v>
      </c>
      <c r="AO270" s="1" t="s">
        <v>5215</v>
      </c>
      <c r="AP270" s="1">
        <v>0</v>
      </c>
      <c r="AQ270" s="1" t="s">
        <v>1195</v>
      </c>
      <c r="AR270" s="1" t="s">
        <v>1196</v>
      </c>
      <c r="AS270" s="1" t="s">
        <v>1197</v>
      </c>
      <c r="AT270" s="1" t="s">
        <v>329</v>
      </c>
      <c r="AU270" s="1">
        <v>199</v>
      </c>
      <c r="AV270" s="1">
        <v>0</v>
      </c>
      <c r="AW270" s="1" t="s">
        <v>5310</v>
      </c>
      <c r="AX270" s="1" t="s">
        <v>5276</v>
      </c>
      <c r="AY270" s="1">
        <v>5</v>
      </c>
      <c r="AZ270" s="1">
        <v>0</v>
      </c>
      <c r="BA270" s="1" t="s">
        <v>329</v>
      </c>
      <c r="BB270" s="1" t="s">
        <v>329</v>
      </c>
      <c r="BC270" s="1" t="s">
        <v>4817</v>
      </c>
      <c r="BD270" s="1">
        <v>10402</v>
      </c>
      <c r="BE270" s="1"/>
    </row>
    <row r="271" spans="1:57" x14ac:dyDescent="0.25">
      <c r="A271" s="1">
        <v>277</v>
      </c>
      <c r="B271" s="1" t="s">
        <v>3853</v>
      </c>
      <c r="C271" s="9" t="s">
        <v>214</v>
      </c>
      <c r="D271" s="1" t="s">
        <v>214</v>
      </c>
      <c r="E271" s="1"/>
      <c r="F271" s="1"/>
      <c r="G271" s="1" t="s">
        <v>3854</v>
      </c>
      <c r="H271" s="1" t="s">
        <v>3855</v>
      </c>
      <c r="I271" s="1" t="s">
        <v>3856</v>
      </c>
      <c r="J271" s="1">
        <v>1</v>
      </c>
      <c r="K271" s="1">
        <v>3</v>
      </c>
      <c r="L271" s="1">
        <v>2700</v>
      </c>
      <c r="M271" s="1">
        <v>10</v>
      </c>
      <c r="N271" s="1">
        <v>10</v>
      </c>
      <c r="O271" s="1">
        <v>5</v>
      </c>
      <c r="P271" s="1">
        <v>5</v>
      </c>
      <c r="Q271" s="1">
        <v>2</v>
      </c>
      <c r="R271" s="1">
        <v>2</v>
      </c>
      <c r="S271" s="1">
        <v>2</v>
      </c>
      <c r="T271" s="1">
        <v>0</v>
      </c>
      <c r="U271" s="1">
        <v>100</v>
      </c>
      <c r="V271" s="1">
        <v>112</v>
      </c>
      <c r="W271" s="1">
        <v>110</v>
      </c>
      <c r="X271" s="1">
        <v>100</v>
      </c>
      <c r="Y271" s="1">
        <v>105</v>
      </c>
      <c r="Z271" s="1">
        <v>100</v>
      </c>
      <c r="AA271" s="1">
        <v>0</v>
      </c>
      <c r="AB271" s="1">
        <v>15</v>
      </c>
      <c r="AC271" s="1">
        <v>20</v>
      </c>
      <c r="AD271" s="1">
        <v>0</v>
      </c>
      <c r="AE271" s="1">
        <v>122</v>
      </c>
      <c r="AF271" s="1">
        <v>100</v>
      </c>
      <c r="AG271" s="1">
        <v>101302</v>
      </c>
      <c r="AH271" s="1">
        <v>0</v>
      </c>
      <c r="AI271" s="1">
        <v>300101</v>
      </c>
      <c r="AJ271" s="1" t="s">
        <v>1153</v>
      </c>
      <c r="AK271" s="1" t="s">
        <v>329</v>
      </c>
      <c r="AL271" s="1">
        <v>13</v>
      </c>
      <c r="AM271" s="1" t="s">
        <v>1866</v>
      </c>
      <c r="AN271" s="1" t="s">
        <v>5018</v>
      </c>
      <c r="AO271" s="1" t="s">
        <v>4804</v>
      </c>
      <c r="AP271" s="1">
        <v>0</v>
      </c>
      <c r="AQ271" s="1" t="s">
        <v>1146</v>
      </c>
      <c r="AR271" s="1" t="s">
        <v>1147</v>
      </c>
      <c r="AS271" s="1" t="s">
        <v>1148</v>
      </c>
      <c r="AT271" s="1" t="s">
        <v>329</v>
      </c>
      <c r="AU271" s="1">
        <v>15</v>
      </c>
      <c r="AV271" s="1">
        <v>0</v>
      </c>
      <c r="AW271" s="1" t="s">
        <v>5316</v>
      </c>
      <c r="AX271" s="1" t="s">
        <v>5317</v>
      </c>
      <c r="AY271" s="1">
        <v>3</v>
      </c>
      <c r="AZ271" s="1">
        <v>0</v>
      </c>
      <c r="BA271" s="1" t="s">
        <v>329</v>
      </c>
      <c r="BB271" s="1" t="s">
        <v>329</v>
      </c>
      <c r="BC271" s="1" t="s">
        <v>4829</v>
      </c>
      <c r="BD271" s="1">
        <v>10702</v>
      </c>
      <c r="BE271" s="1"/>
    </row>
    <row r="272" spans="1:57" x14ac:dyDescent="0.25">
      <c r="A272" s="1">
        <v>278</v>
      </c>
      <c r="B272" s="1" t="s">
        <v>3857</v>
      </c>
      <c r="C272" s="9" t="s">
        <v>215</v>
      </c>
      <c r="D272" s="1" t="s">
        <v>215</v>
      </c>
      <c r="E272" s="1"/>
      <c r="F272" s="1"/>
      <c r="G272" s="1" t="s">
        <v>3858</v>
      </c>
      <c r="H272" s="1" t="s">
        <v>3859</v>
      </c>
      <c r="I272" s="1" t="s">
        <v>3860</v>
      </c>
      <c r="J272" s="1">
        <v>6</v>
      </c>
      <c r="K272" s="1">
        <v>3</v>
      </c>
      <c r="L272" s="1">
        <v>26100</v>
      </c>
      <c r="M272" s="1">
        <v>30</v>
      </c>
      <c r="N272" s="1">
        <v>40</v>
      </c>
      <c r="O272" s="1">
        <v>15</v>
      </c>
      <c r="P272" s="1">
        <v>25</v>
      </c>
      <c r="Q272" s="1">
        <v>5</v>
      </c>
      <c r="R272" s="1">
        <v>2</v>
      </c>
      <c r="S272" s="1">
        <v>5</v>
      </c>
      <c r="T272" s="1">
        <v>5</v>
      </c>
      <c r="U272" s="1">
        <v>110</v>
      </c>
      <c r="V272" s="1">
        <v>115</v>
      </c>
      <c r="W272" s="1">
        <v>115</v>
      </c>
      <c r="X272" s="1">
        <v>100</v>
      </c>
      <c r="Y272" s="1">
        <v>110</v>
      </c>
      <c r="Z272" s="1">
        <v>105</v>
      </c>
      <c r="AA272" s="1">
        <v>106</v>
      </c>
      <c r="AB272" s="1">
        <v>15</v>
      </c>
      <c r="AC272" s="1">
        <v>40</v>
      </c>
      <c r="AD272" s="1">
        <v>4</v>
      </c>
      <c r="AE272" s="1">
        <v>108</v>
      </c>
      <c r="AF272" s="1">
        <v>100</v>
      </c>
      <c r="AG272" s="1">
        <v>103202</v>
      </c>
      <c r="AH272" s="1">
        <v>0</v>
      </c>
      <c r="AI272" s="1">
        <v>300106</v>
      </c>
      <c r="AJ272" s="1" t="s">
        <v>5181</v>
      </c>
      <c r="AK272" s="1" t="s">
        <v>329</v>
      </c>
      <c r="AL272" s="1">
        <v>8</v>
      </c>
      <c r="AM272" s="1" t="s">
        <v>4776</v>
      </c>
      <c r="AN272" s="1" t="s">
        <v>335</v>
      </c>
      <c r="AO272" s="1" t="s">
        <v>5318</v>
      </c>
      <c r="AP272" s="1">
        <v>0</v>
      </c>
      <c r="AQ272" s="1" t="s">
        <v>1228</v>
      </c>
      <c r="AR272" s="1" t="s">
        <v>1229</v>
      </c>
      <c r="AS272" s="1" t="s">
        <v>1230</v>
      </c>
      <c r="AT272" s="1" t="s">
        <v>329</v>
      </c>
      <c r="AU272" s="1">
        <v>190</v>
      </c>
      <c r="AV272" s="1">
        <v>0</v>
      </c>
      <c r="AW272" s="1" t="s">
        <v>5319</v>
      </c>
      <c r="AX272" s="1" t="s">
        <v>5320</v>
      </c>
      <c r="AY272" s="1">
        <v>3</v>
      </c>
      <c r="AZ272" s="1">
        <v>0</v>
      </c>
      <c r="BA272" s="1" t="s">
        <v>329</v>
      </c>
      <c r="BB272" s="1" t="s">
        <v>329</v>
      </c>
      <c r="BC272" s="1" t="s">
        <v>4780</v>
      </c>
      <c r="BD272" s="1">
        <v>10802</v>
      </c>
      <c r="BE272" s="1"/>
    </row>
    <row r="273" spans="1:57" x14ac:dyDescent="0.25">
      <c r="A273" s="1">
        <v>279</v>
      </c>
      <c r="B273" s="1" t="s">
        <v>3861</v>
      </c>
      <c r="C273" s="9" t="s">
        <v>216</v>
      </c>
      <c r="D273" s="1" t="s">
        <v>216</v>
      </c>
      <c r="E273" s="1"/>
      <c r="F273" s="1"/>
      <c r="G273" s="1" t="s">
        <v>3862</v>
      </c>
      <c r="H273" s="1" t="s">
        <v>3863</v>
      </c>
      <c r="I273" s="1" t="s">
        <v>3864</v>
      </c>
      <c r="J273" s="1">
        <v>4</v>
      </c>
      <c r="K273" s="1">
        <v>3</v>
      </c>
      <c r="L273" s="1">
        <v>11400</v>
      </c>
      <c r="M273" s="1">
        <v>20</v>
      </c>
      <c r="N273" s="1">
        <v>20</v>
      </c>
      <c r="O273" s="1">
        <v>10</v>
      </c>
      <c r="P273" s="1">
        <v>10</v>
      </c>
      <c r="Q273" s="1">
        <v>2</v>
      </c>
      <c r="R273" s="1">
        <v>5</v>
      </c>
      <c r="S273" s="1">
        <v>5</v>
      </c>
      <c r="T273" s="1">
        <v>0</v>
      </c>
      <c r="U273" s="1">
        <v>100</v>
      </c>
      <c r="V273" s="1">
        <v>108</v>
      </c>
      <c r="W273" s="1">
        <v>105</v>
      </c>
      <c r="X273" s="1">
        <v>100</v>
      </c>
      <c r="Y273" s="1">
        <v>125</v>
      </c>
      <c r="Z273" s="1">
        <v>110</v>
      </c>
      <c r="AA273" s="1">
        <v>0</v>
      </c>
      <c r="AB273" s="1">
        <v>15</v>
      </c>
      <c r="AC273" s="1">
        <v>20</v>
      </c>
      <c r="AD273" s="1">
        <v>0</v>
      </c>
      <c r="AE273" s="1">
        <v>118</v>
      </c>
      <c r="AF273" s="1">
        <v>100</v>
      </c>
      <c r="AG273" s="1">
        <v>101802</v>
      </c>
      <c r="AH273" s="1">
        <v>0</v>
      </c>
      <c r="AI273" s="1">
        <v>300103</v>
      </c>
      <c r="AJ273" s="1" t="s">
        <v>1153</v>
      </c>
      <c r="AK273" s="1" t="s">
        <v>329</v>
      </c>
      <c r="AL273" s="1">
        <v>13</v>
      </c>
      <c r="AM273" s="1" t="s">
        <v>4779</v>
      </c>
      <c r="AN273" s="1" t="s">
        <v>4889</v>
      </c>
      <c r="AO273" s="1" t="s">
        <v>4808</v>
      </c>
      <c r="AP273" s="1">
        <v>0</v>
      </c>
      <c r="AQ273" s="1" t="s">
        <v>1158</v>
      </c>
      <c r="AR273" s="1" t="s">
        <v>1182</v>
      </c>
      <c r="AS273" s="1" t="s">
        <v>1157</v>
      </c>
      <c r="AT273" s="1" t="s">
        <v>329</v>
      </c>
      <c r="AU273" s="1">
        <v>105</v>
      </c>
      <c r="AV273" s="1">
        <v>0</v>
      </c>
      <c r="AW273" s="1" t="s">
        <v>5321</v>
      </c>
      <c r="AX273" s="1" t="s">
        <v>5322</v>
      </c>
      <c r="AY273" s="1">
        <v>3</v>
      </c>
      <c r="AZ273" s="1">
        <v>0</v>
      </c>
      <c r="BA273" s="1" t="s">
        <v>329</v>
      </c>
      <c r="BB273" s="1" t="s">
        <v>329</v>
      </c>
      <c r="BC273" s="1" t="s">
        <v>329</v>
      </c>
      <c r="BD273" s="1">
        <v>10702</v>
      </c>
      <c r="BE273" s="1"/>
    </row>
    <row r="274" spans="1:57" x14ac:dyDescent="0.25">
      <c r="A274" s="1">
        <v>280</v>
      </c>
      <c r="B274" s="1" t="s">
        <v>3865</v>
      </c>
      <c r="C274" s="9" t="s">
        <v>1686</v>
      </c>
      <c r="D274" s="1" t="s">
        <v>1686</v>
      </c>
      <c r="E274" s="1"/>
      <c r="F274" s="1"/>
      <c r="G274" s="1" t="s">
        <v>3866</v>
      </c>
      <c r="H274" s="1" t="s">
        <v>3867</v>
      </c>
      <c r="I274" s="1" t="s">
        <v>3868</v>
      </c>
      <c r="J274" s="1">
        <v>2</v>
      </c>
      <c r="K274" s="1">
        <v>4</v>
      </c>
      <c r="L274" s="1">
        <v>8280</v>
      </c>
      <c r="M274" s="1">
        <v>25</v>
      </c>
      <c r="N274" s="1">
        <v>20</v>
      </c>
      <c r="O274" s="1">
        <v>15</v>
      </c>
      <c r="P274" s="1">
        <v>10</v>
      </c>
      <c r="Q274" s="1">
        <v>5</v>
      </c>
      <c r="R274" s="1">
        <v>5</v>
      </c>
      <c r="S274" s="1">
        <v>2</v>
      </c>
      <c r="T274" s="1">
        <v>0</v>
      </c>
      <c r="U274" s="1">
        <v>105</v>
      </c>
      <c r="V274" s="1">
        <v>105</v>
      </c>
      <c r="W274" s="1">
        <v>100</v>
      </c>
      <c r="X274" s="1">
        <v>100</v>
      </c>
      <c r="Y274" s="1">
        <v>110</v>
      </c>
      <c r="Z274" s="1">
        <v>112</v>
      </c>
      <c r="AA274" s="1">
        <v>0</v>
      </c>
      <c r="AB274" s="1">
        <v>15</v>
      </c>
      <c r="AC274" s="1">
        <v>5</v>
      </c>
      <c r="AD274" s="1">
        <v>0</v>
      </c>
      <c r="AE274" s="1">
        <v>118</v>
      </c>
      <c r="AF274" s="1">
        <v>100</v>
      </c>
      <c r="AG274" s="1">
        <v>113401</v>
      </c>
      <c r="AH274" s="1">
        <v>0</v>
      </c>
      <c r="AI274" s="1">
        <v>300102</v>
      </c>
      <c r="AJ274" s="1" t="s">
        <v>1320</v>
      </c>
      <c r="AK274" s="1" t="s">
        <v>1321</v>
      </c>
      <c r="AL274" s="1">
        <v>14</v>
      </c>
      <c r="AM274" s="1" t="s">
        <v>4850</v>
      </c>
      <c r="AN274" s="1" t="s">
        <v>403</v>
      </c>
      <c r="AO274" s="1" t="s">
        <v>5204</v>
      </c>
      <c r="AP274" s="1">
        <v>0</v>
      </c>
      <c r="AQ274" s="1" t="s">
        <v>1157</v>
      </c>
      <c r="AR274" s="1" t="s">
        <v>1147</v>
      </c>
      <c r="AS274" s="1" t="s">
        <v>1158</v>
      </c>
      <c r="AT274" s="1" t="s">
        <v>329</v>
      </c>
      <c r="AU274" s="1">
        <v>225</v>
      </c>
      <c r="AV274" s="1">
        <v>0</v>
      </c>
      <c r="AW274" s="1" t="s">
        <v>5323</v>
      </c>
      <c r="AX274" s="1" t="s">
        <v>5324</v>
      </c>
      <c r="AY274" s="1">
        <v>4</v>
      </c>
      <c r="AZ274" s="1">
        <v>0</v>
      </c>
      <c r="BA274" s="1" t="s">
        <v>329</v>
      </c>
      <c r="BB274" s="1" t="s">
        <v>329</v>
      </c>
      <c r="BC274" s="1" t="s">
        <v>329</v>
      </c>
      <c r="BD274" s="1">
        <v>10302</v>
      </c>
      <c r="BE274" s="1"/>
    </row>
    <row r="275" spans="1:57" x14ac:dyDescent="0.25">
      <c r="A275" s="1">
        <v>281</v>
      </c>
      <c r="B275" s="1" t="s">
        <v>3869</v>
      </c>
      <c r="C275" s="9" t="s">
        <v>245</v>
      </c>
      <c r="D275" s="1" t="s">
        <v>3870</v>
      </c>
      <c r="E275" s="1"/>
      <c r="F275" s="1"/>
      <c r="G275" s="1" t="s">
        <v>3871</v>
      </c>
      <c r="H275" s="1" t="s">
        <v>3872</v>
      </c>
      <c r="I275" s="1" t="s">
        <v>3873</v>
      </c>
      <c r="J275" s="1">
        <v>6</v>
      </c>
      <c r="K275" s="1">
        <v>5</v>
      </c>
      <c r="L275" s="1">
        <v>29700</v>
      </c>
      <c r="M275" s="1">
        <v>30</v>
      </c>
      <c r="N275" s="1">
        <v>40</v>
      </c>
      <c r="O275" s="1">
        <v>15</v>
      </c>
      <c r="P275" s="1">
        <v>25</v>
      </c>
      <c r="Q275" s="1">
        <v>5</v>
      </c>
      <c r="R275" s="1">
        <v>2</v>
      </c>
      <c r="S275" s="1">
        <v>5</v>
      </c>
      <c r="T275" s="1">
        <v>5</v>
      </c>
      <c r="U275" s="1">
        <v>112</v>
      </c>
      <c r="V275" s="1">
        <v>105</v>
      </c>
      <c r="W275" s="1">
        <v>135</v>
      </c>
      <c r="X275" s="1">
        <v>100</v>
      </c>
      <c r="Y275" s="1">
        <v>110</v>
      </c>
      <c r="Z275" s="1">
        <v>115</v>
      </c>
      <c r="AA275" s="1">
        <v>125</v>
      </c>
      <c r="AB275" s="1">
        <v>15</v>
      </c>
      <c r="AC275" s="1">
        <v>40</v>
      </c>
      <c r="AD275" s="1">
        <v>5</v>
      </c>
      <c r="AE275" s="1">
        <v>98</v>
      </c>
      <c r="AF275" s="1">
        <v>100</v>
      </c>
      <c r="AG275" s="1">
        <v>900255</v>
      </c>
      <c r="AH275" s="1">
        <v>0</v>
      </c>
      <c r="AI275" s="1">
        <v>900259</v>
      </c>
      <c r="AJ275" s="1" t="s">
        <v>1322</v>
      </c>
      <c r="AK275" s="1" t="s">
        <v>1323</v>
      </c>
      <c r="AL275" s="1">
        <v>8</v>
      </c>
      <c r="AM275" s="1" t="s">
        <v>4776</v>
      </c>
      <c r="AN275" s="1" t="s">
        <v>335</v>
      </c>
      <c r="AO275" s="1" t="s">
        <v>5250</v>
      </c>
      <c r="AP275" s="1">
        <v>0</v>
      </c>
      <c r="AQ275" s="1" t="s">
        <v>1228</v>
      </c>
      <c r="AR275" s="1" t="s">
        <v>1229</v>
      </c>
      <c r="AS275" s="1" t="s">
        <v>1230</v>
      </c>
      <c r="AT275" s="1" t="s">
        <v>329</v>
      </c>
      <c r="AU275" s="1">
        <v>163</v>
      </c>
      <c r="AV275" s="1">
        <v>0</v>
      </c>
      <c r="AW275" s="1" t="s">
        <v>5325</v>
      </c>
      <c r="AX275" s="1" t="s">
        <v>5326</v>
      </c>
      <c r="AY275" s="1">
        <v>5</v>
      </c>
      <c r="AZ275" s="1">
        <v>0</v>
      </c>
      <c r="BA275" s="1" t="s">
        <v>329</v>
      </c>
      <c r="BB275" s="1" t="s">
        <v>329</v>
      </c>
      <c r="BC275" s="1" t="s">
        <v>4829</v>
      </c>
      <c r="BD275" s="1">
        <v>10203</v>
      </c>
      <c r="BE275" s="1"/>
    </row>
    <row r="276" spans="1:57" x14ac:dyDescent="0.25">
      <c r="A276" s="1">
        <v>282</v>
      </c>
      <c r="B276" s="1" t="s">
        <v>3874</v>
      </c>
      <c r="C276" s="9" t="s">
        <v>1687</v>
      </c>
      <c r="D276" s="1" t="s">
        <v>1687</v>
      </c>
      <c r="E276" s="1"/>
      <c r="F276" s="1"/>
      <c r="G276" s="1" t="s">
        <v>3875</v>
      </c>
      <c r="H276" s="1" t="s">
        <v>3876</v>
      </c>
      <c r="I276" s="1" t="s">
        <v>3877</v>
      </c>
      <c r="J276" s="1">
        <v>6</v>
      </c>
      <c r="K276" s="1">
        <v>5</v>
      </c>
      <c r="L276" s="1">
        <v>29580</v>
      </c>
      <c r="M276" s="1">
        <v>30</v>
      </c>
      <c r="N276" s="1">
        <v>40</v>
      </c>
      <c r="O276" s="1">
        <v>15</v>
      </c>
      <c r="P276" s="1">
        <v>25</v>
      </c>
      <c r="Q276" s="1">
        <v>5</v>
      </c>
      <c r="R276" s="1">
        <v>2</v>
      </c>
      <c r="S276" s="1">
        <v>5</v>
      </c>
      <c r="T276" s="1">
        <v>5</v>
      </c>
      <c r="U276" s="1">
        <v>115</v>
      </c>
      <c r="V276" s="1">
        <v>103</v>
      </c>
      <c r="W276" s="1">
        <v>115</v>
      </c>
      <c r="X276" s="1">
        <v>100</v>
      </c>
      <c r="Y276" s="1">
        <v>110</v>
      </c>
      <c r="Z276" s="1">
        <v>110</v>
      </c>
      <c r="AA276" s="1">
        <v>125</v>
      </c>
      <c r="AB276" s="1">
        <v>15</v>
      </c>
      <c r="AC276" s="1">
        <v>40</v>
      </c>
      <c r="AD276" s="1">
        <v>5</v>
      </c>
      <c r="AE276" s="1">
        <v>108</v>
      </c>
      <c r="AF276" s="1">
        <v>100</v>
      </c>
      <c r="AG276" s="1">
        <v>113201</v>
      </c>
      <c r="AH276" s="1">
        <v>0</v>
      </c>
      <c r="AI276" s="1">
        <v>113205</v>
      </c>
      <c r="AJ276" s="1" t="s">
        <v>1324</v>
      </c>
      <c r="AK276" s="1" t="s">
        <v>1325</v>
      </c>
      <c r="AL276" s="1">
        <v>8</v>
      </c>
      <c r="AM276" s="1" t="s">
        <v>336</v>
      </c>
      <c r="AN276" s="1" t="s">
        <v>355</v>
      </c>
      <c r="AO276" s="1" t="s">
        <v>5327</v>
      </c>
      <c r="AP276" s="1">
        <v>0</v>
      </c>
      <c r="AQ276" s="1" t="s">
        <v>1228</v>
      </c>
      <c r="AR276" s="1" t="s">
        <v>1229</v>
      </c>
      <c r="AS276" s="1" t="s">
        <v>1230</v>
      </c>
      <c r="AT276" s="1" t="s">
        <v>329</v>
      </c>
      <c r="AU276" s="1">
        <v>164</v>
      </c>
      <c r="AV276" s="1">
        <v>0</v>
      </c>
      <c r="AW276" s="1" t="s">
        <v>5325</v>
      </c>
      <c r="AX276" s="1" t="s">
        <v>5328</v>
      </c>
      <c r="AY276" s="1">
        <v>5</v>
      </c>
      <c r="AZ276" s="1">
        <v>0</v>
      </c>
      <c r="BA276" s="1" t="s">
        <v>329</v>
      </c>
      <c r="BB276" s="1" t="s">
        <v>329</v>
      </c>
      <c r="BC276" s="1" t="s">
        <v>4780</v>
      </c>
      <c r="BD276" s="1">
        <v>10802</v>
      </c>
      <c r="BE276" s="1"/>
    </row>
    <row r="277" spans="1:57" x14ac:dyDescent="0.25">
      <c r="A277" s="1">
        <v>283</v>
      </c>
      <c r="B277" s="1" t="s">
        <v>3878</v>
      </c>
      <c r="C277" s="9" t="s">
        <v>217</v>
      </c>
      <c r="D277" s="1" t="s">
        <v>217</v>
      </c>
      <c r="E277" s="1"/>
      <c r="F277" s="1"/>
      <c r="G277" s="1" t="s">
        <v>3879</v>
      </c>
      <c r="H277" s="1" t="s">
        <v>3880</v>
      </c>
      <c r="I277" s="1" t="s">
        <v>3881</v>
      </c>
      <c r="J277" s="1">
        <v>6</v>
      </c>
      <c r="K277" s="1">
        <v>4</v>
      </c>
      <c r="L277" s="1">
        <v>27900</v>
      </c>
      <c r="M277" s="1">
        <v>30</v>
      </c>
      <c r="N277" s="1">
        <v>40</v>
      </c>
      <c r="O277" s="1">
        <v>15</v>
      </c>
      <c r="P277" s="1">
        <v>25</v>
      </c>
      <c r="Q277" s="1">
        <v>5</v>
      </c>
      <c r="R277" s="1">
        <v>2</v>
      </c>
      <c r="S277" s="1">
        <v>5</v>
      </c>
      <c r="T277" s="1">
        <v>5</v>
      </c>
      <c r="U277" s="1">
        <v>105</v>
      </c>
      <c r="V277" s="1">
        <v>115</v>
      </c>
      <c r="W277" s="1">
        <v>110</v>
      </c>
      <c r="X277" s="1">
        <v>100</v>
      </c>
      <c r="Y277" s="1">
        <v>95</v>
      </c>
      <c r="Z277" s="1">
        <v>125</v>
      </c>
      <c r="AA277" s="1">
        <v>115</v>
      </c>
      <c r="AB277" s="1">
        <v>15</v>
      </c>
      <c r="AC277" s="1">
        <v>40</v>
      </c>
      <c r="AD277" s="1">
        <v>4</v>
      </c>
      <c r="AE277" s="1">
        <v>115</v>
      </c>
      <c r="AF277" s="1">
        <v>100</v>
      </c>
      <c r="AG277" s="1">
        <v>900252</v>
      </c>
      <c r="AH277" s="1">
        <v>0</v>
      </c>
      <c r="AI277" s="1">
        <v>900251</v>
      </c>
      <c r="AJ277" s="1" t="s">
        <v>1227</v>
      </c>
      <c r="AK277" s="1" t="s">
        <v>1326</v>
      </c>
      <c r="AL277" s="1">
        <v>7</v>
      </c>
      <c r="AM277" s="1" t="s">
        <v>4776</v>
      </c>
      <c r="AN277" s="1" t="s">
        <v>471</v>
      </c>
      <c r="AO277" s="1" t="s">
        <v>4869</v>
      </c>
      <c r="AP277" s="1">
        <v>0</v>
      </c>
      <c r="AQ277" s="1" t="s">
        <v>1228</v>
      </c>
      <c r="AR277" s="1" t="s">
        <v>1229</v>
      </c>
      <c r="AS277" s="1" t="s">
        <v>1230</v>
      </c>
      <c r="AT277" s="1" t="s">
        <v>329</v>
      </c>
      <c r="AU277" s="1">
        <v>165</v>
      </c>
      <c r="AV277" s="1">
        <v>0</v>
      </c>
      <c r="AW277" s="1" t="s">
        <v>5325</v>
      </c>
      <c r="AX277" s="1" t="s">
        <v>4779</v>
      </c>
      <c r="AY277" s="1">
        <v>4</v>
      </c>
      <c r="AZ277" s="1">
        <v>0</v>
      </c>
      <c r="BA277" s="1" t="s">
        <v>329</v>
      </c>
      <c r="BB277" s="1" t="s">
        <v>329</v>
      </c>
      <c r="BC277" s="1" t="s">
        <v>4780</v>
      </c>
      <c r="BD277" s="1">
        <v>10403</v>
      </c>
      <c r="BE277" s="1"/>
    </row>
    <row r="278" spans="1:57" x14ac:dyDescent="0.25">
      <c r="A278" s="1">
        <v>284</v>
      </c>
      <c r="B278" s="1" t="s">
        <v>3882</v>
      </c>
      <c r="C278" s="9" t="s">
        <v>218</v>
      </c>
      <c r="D278" s="1" t="s">
        <v>3883</v>
      </c>
      <c r="E278" s="1"/>
      <c r="F278" s="1"/>
      <c r="G278" s="1" t="s">
        <v>3884</v>
      </c>
      <c r="H278" s="1" t="s">
        <v>3885</v>
      </c>
      <c r="I278" s="1" t="s">
        <v>3886</v>
      </c>
      <c r="J278" s="1">
        <v>3</v>
      </c>
      <c r="K278" s="1">
        <v>3</v>
      </c>
      <c r="L278" s="1">
        <v>15600</v>
      </c>
      <c r="M278" s="1">
        <v>15</v>
      </c>
      <c r="N278" s="1">
        <v>30</v>
      </c>
      <c r="O278" s="1">
        <v>10</v>
      </c>
      <c r="P278" s="1">
        <v>15</v>
      </c>
      <c r="Q278" s="1">
        <v>5</v>
      </c>
      <c r="R278" s="1">
        <v>2</v>
      </c>
      <c r="S278" s="1">
        <v>5</v>
      </c>
      <c r="T278" s="1">
        <v>0</v>
      </c>
      <c r="U278" s="1">
        <v>95</v>
      </c>
      <c r="V278" s="1">
        <v>102</v>
      </c>
      <c r="W278" s="1">
        <v>110</v>
      </c>
      <c r="X278" s="1">
        <v>100</v>
      </c>
      <c r="Y278" s="1">
        <v>120</v>
      </c>
      <c r="Z278" s="1">
        <v>105</v>
      </c>
      <c r="AA278" s="1">
        <v>0</v>
      </c>
      <c r="AB278" s="1">
        <v>15</v>
      </c>
      <c r="AC278" s="1">
        <v>40</v>
      </c>
      <c r="AD278" s="1">
        <v>0</v>
      </c>
      <c r="AE278" s="1">
        <v>118</v>
      </c>
      <c r="AF278" s="1">
        <v>100</v>
      </c>
      <c r="AG278" s="1">
        <v>100402</v>
      </c>
      <c r="AH278" s="1">
        <v>0</v>
      </c>
      <c r="AI278" s="1">
        <v>300104</v>
      </c>
      <c r="AJ278" s="1" t="s">
        <v>5329</v>
      </c>
      <c r="AK278" s="1" t="s">
        <v>329</v>
      </c>
      <c r="AL278" s="1">
        <v>13</v>
      </c>
      <c r="AM278" s="1" t="s">
        <v>4822</v>
      </c>
      <c r="AN278" s="1" t="s">
        <v>4944</v>
      </c>
      <c r="AO278" s="1" t="s">
        <v>4886</v>
      </c>
      <c r="AP278" s="1">
        <v>0</v>
      </c>
      <c r="AQ278" s="1" t="s">
        <v>1168</v>
      </c>
      <c r="AR278" s="1" t="s">
        <v>1169</v>
      </c>
      <c r="AS278" s="1" t="s">
        <v>1170</v>
      </c>
      <c r="AT278" s="1" t="s">
        <v>329</v>
      </c>
      <c r="AU278" s="1">
        <v>241</v>
      </c>
      <c r="AV278" s="1">
        <v>0</v>
      </c>
      <c r="AW278" s="1" t="s">
        <v>5330</v>
      </c>
      <c r="AX278" s="1" t="s">
        <v>5331</v>
      </c>
      <c r="AY278" s="1">
        <v>3</v>
      </c>
      <c r="AZ278" s="1">
        <v>0</v>
      </c>
      <c r="BA278" s="1" t="s">
        <v>329</v>
      </c>
      <c r="BB278" s="1" t="s">
        <v>329</v>
      </c>
      <c r="BC278" s="1" t="s">
        <v>329</v>
      </c>
      <c r="BD278" s="1">
        <v>10403</v>
      </c>
      <c r="BE278" s="1"/>
    </row>
    <row r="279" spans="1:57" x14ac:dyDescent="0.25">
      <c r="A279" s="1">
        <v>285</v>
      </c>
      <c r="B279" s="1" t="s">
        <v>3887</v>
      </c>
      <c r="C279" s="9" t="s">
        <v>1688</v>
      </c>
      <c r="D279" s="1" t="s">
        <v>1688</v>
      </c>
      <c r="E279" s="1"/>
      <c r="F279" s="1"/>
      <c r="G279" s="1" t="s">
        <v>3888</v>
      </c>
      <c r="H279" s="1" t="s">
        <v>3889</v>
      </c>
      <c r="I279" s="1" t="s">
        <v>3890</v>
      </c>
      <c r="J279" s="1">
        <v>1</v>
      </c>
      <c r="K279" s="1">
        <v>5</v>
      </c>
      <c r="L279" s="1">
        <v>4140</v>
      </c>
      <c r="M279" s="1">
        <v>10</v>
      </c>
      <c r="N279" s="1">
        <v>10</v>
      </c>
      <c r="O279" s="1">
        <v>5</v>
      </c>
      <c r="P279" s="1">
        <v>5</v>
      </c>
      <c r="Q279" s="1">
        <v>2</v>
      </c>
      <c r="R279" s="1">
        <v>2</v>
      </c>
      <c r="S279" s="1">
        <v>2</v>
      </c>
      <c r="T279" s="1">
        <v>0</v>
      </c>
      <c r="U279" s="1">
        <v>95</v>
      </c>
      <c r="V279" s="1">
        <v>115</v>
      </c>
      <c r="W279" s="1">
        <v>118</v>
      </c>
      <c r="X279" s="1">
        <v>100</v>
      </c>
      <c r="Y279" s="1">
        <v>122</v>
      </c>
      <c r="Z279" s="1">
        <v>130</v>
      </c>
      <c r="AA279" s="1">
        <v>0</v>
      </c>
      <c r="AB279" s="1">
        <v>15</v>
      </c>
      <c r="AC279" s="1">
        <v>20</v>
      </c>
      <c r="AD279" s="1">
        <v>0</v>
      </c>
      <c r="AE279" s="1">
        <v>122</v>
      </c>
      <c r="AF279" s="1">
        <v>100</v>
      </c>
      <c r="AG279" s="1">
        <v>900287</v>
      </c>
      <c r="AH279" s="1">
        <v>0</v>
      </c>
      <c r="AI279" s="1">
        <v>300101</v>
      </c>
      <c r="AJ279" s="1" t="s">
        <v>1327</v>
      </c>
      <c r="AK279" s="1" t="s">
        <v>1328</v>
      </c>
      <c r="AL279" s="1">
        <v>19</v>
      </c>
      <c r="AM279" s="1" t="s">
        <v>1866</v>
      </c>
      <c r="AN279" s="1" t="s">
        <v>5332</v>
      </c>
      <c r="AO279" s="1" t="s">
        <v>5126</v>
      </c>
      <c r="AP279" s="1">
        <v>0</v>
      </c>
      <c r="AQ279" s="1" t="s">
        <v>1146</v>
      </c>
      <c r="AR279" s="1" t="s">
        <v>1147</v>
      </c>
      <c r="AS279" s="1" t="s">
        <v>1148</v>
      </c>
      <c r="AT279" s="1" t="s">
        <v>329</v>
      </c>
      <c r="AU279" s="1">
        <v>96</v>
      </c>
      <c r="AV279" s="1">
        <v>0</v>
      </c>
      <c r="AW279" s="1" t="s">
        <v>5333</v>
      </c>
      <c r="AX279" s="1" t="s">
        <v>4822</v>
      </c>
      <c r="AY279" s="1">
        <v>5</v>
      </c>
      <c r="AZ279" s="1">
        <v>0</v>
      </c>
      <c r="BA279" s="1" t="s">
        <v>329</v>
      </c>
      <c r="BB279" s="1" t="s">
        <v>329</v>
      </c>
      <c r="BC279" s="1" t="s">
        <v>4829</v>
      </c>
      <c r="BD279" s="1">
        <v>10802</v>
      </c>
      <c r="BE279" s="1"/>
    </row>
    <row r="280" spans="1:57" x14ac:dyDescent="0.25">
      <c r="A280" s="1">
        <v>286</v>
      </c>
      <c r="B280" s="1" t="s">
        <v>3891</v>
      </c>
      <c r="C280" s="9" t="s">
        <v>1689</v>
      </c>
      <c r="D280" s="1" t="s">
        <v>3892</v>
      </c>
      <c r="E280" s="1"/>
      <c r="F280" s="1"/>
      <c r="G280" s="1" t="s">
        <v>3893</v>
      </c>
      <c r="H280" s="1" t="s">
        <v>3894</v>
      </c>
      <c r="I280" s="1" t="s">
        <v>3895</v>
      </c>
      <c r="J280" s="1">
        <v>2</v>
      </c>
      <c r="K280" s="1">
        <v>4</v>
      </c>
      <c r="L280" s="1">
        <v>8400</v>
      </c>
      <c r="M280" s="1">
        <v>25</v>
      </c>
      <c r="N280" s="1">
        <v>20</v>
      </c>
      <c r="O280" s="1">
        <v>15</v>
      </c>
      <c r="P280" s="1">
        <v>10</v>
      </c>
      <c r="Q280" s="1">
        <v>5</v>
      </c>
      <c r="R280" s="1">
        <v>5</v>
      </c>
      <c r="S280" s="1">
        <v>2</v>
      </c>
      <c r="T280" s="1">
        <v>0</v>
      </c>
      <c r="U280" s="1">
        <v>102</v>
      </c>
      <c r="V280" s="1">
        <v>130</v>
      </c>
      <c r="W280" s="1">
        <v>105</v>
      </c>
      <c r="X280" s="1">
        <v>100</v>
      </c>
      <c r="Y280" s="1">
        <v>120</v>
      </c>
      <c r="Z280" s="1">
        <v>120</v>
      </c>
      <c r="AA280" s="1">
        <v>0</v>
      </c>
      <c r="AB280" s="1">
        <v>15</v>
      </c>
      <c r="AC280" s="1">
        <v>5</v>
      </c>
      <c r="AD280" s="1">
        <v>0</v>
      </c>
      <c r="AE280" s="1">
        <v>105</v>
      </c>
      <c r="AF280" s="1">
        <v>100</v>
      </c>
      <c r="AG280" s="1">
        <v>900294</v>
      </c>
      <c r="AH280" s="1">
        <v>0</v>
      </c>
      <c r="AI280" s="1">
        <v>300102</v>
      </c>
      <c r="AJ280" s="1" t="s">
        <v>5334</v>
      </c>
      <c r="AK280" s="1" t="s">
        <v>329</v>
      </c>
      <c r="AL280" s="1">
        <v>13</v>
      </c>
      <c r="AM280" s="1" t="s">
        <v>4850</v>
      </c>
      <c r="AN280" s="1" t="s">
        <v>4848</v>
      </c>
      <c r="AO280" s="1" t="s">
        <v>5178</v>
      </c>
      <c r="AP280" s="1">
        <v>0</v>
      </c>
      <c r="AQ280" s="1" t="s">
        <v>1157</v>
      </c>
      <c r="AR280" s="1" t="s">
        <v>1147</v>
      </c>
      <c r="AS280" s="1" t="s">
        <v>1158</v>
      </c>
      <c r="AT280" s="1" t="s">
        <v>329</v>
      </c>
      <c r="AU280" s="1">
        <v>150</v>
      </c>
      <c r="AV280" s="1">
        <v>0</v>
      </c>
      <c r="AW280" s="1" t="s">
        <v>5333</v>
      </c>
      <c r="AX280" s="1" t="s">
        <v>332</v>
      </c>
      <c r="AY280" s="1">
        <v>4</v>
      </c>
      <c r="AZ280" s="1">
        <v>0</v>
      </c>
      <c r="BA280" s="1" t="s">
        <v>329</v>
      </c>
      <c r="BB280" s="1" t="s">
        <v>329</v>
      </c>
      <c r="BC280" s="1" t="s">
        <v>4780</v>
      </c>
      <c r="BD280" s="1">
        <v>10302</v>
      </c>
      <c r="BE280" s="1"/>
    </row>
    <row r="281" spans="1:57" x14ac:dyDescent="0.25">
      <c r="A281" s="1">
        <v>287</v>
      </c>
      <c r="B281" s="1" t="s">
        <v>3896</v>
      </c>
      <c r="C281" s="9" t="s">
        <v>246</v>
      </c>
      <c r="D281" s="1" t="s">
        <v>246</v>
      </c>
      <c r="E281" s="1"/>
      <c r="F281" s="1"/>
      <c r="G281" s="1" t="s">
        <v>3897</v>
      </c>
      <c r="H281" s="1" t="s">
        <v>3898</v>
      </c>
      <c r="I281" s="1" t="s">
        <v>3899</v>
      </c>
      <c r="J281" s="1">
        <v>4</v>
      </c>
      <c r="K281" s="1">
        <v>5</v>
      </c>
      <c r="L281" s="1">
        <v>14160</v>
      </c>
      <c r="M281" s="1">
        <v>20</v>
      </c>
      <c r="N281" s="1">
        <v>20</v>
      </c>
      <c r="O281" s="1">
        <v>10</v>
      </c>
      <c r="P281" s="1">
        <v>10</v>
      </c>
      <c r="Q281" s="1">
        <v>2</v>
      </c>
      <c r="R281" s="1">
        <v>5</v>
      </c>
      <c r="S281" s="1">
        <v>5</v>
      </c>
      <c r="T281" s="1">
        <v>0</v>
      </c>
      <c r="U281" s="1">
        <v>110</v>
      </c>
      <c r="V281" s="1">
        <v>118</v>
      </c>
      <c r="W281" s="1">
        <v>115</v>
      </c>
      <c r="X281" s="1">
        <v>100</v>
      </c>
      <c r="Y281" s="1">
        <v>118</v>
      </c>
      <c r="Z281" s="1">
        <v>115</v>
      </c>
      <c r="AA281" s="1">
        <v>0</v>
      </c>
      <c r="AB281" s="1">
        <v>15</v>
      </c>
      <c r="AC281" s="1">
        <v>20</v>
      </c>
      <c r="AD281" s="1">
        <v>0</v>
      </c>
      <c r="AE281" s="1">
        <v>112</v>
      </c>
      <c r="AF281" s="1">
        <v>100</v>
      </c>
      <c r="AG281" s="1">
        <v>113501</v>
      </c>
      <c r="AH281" s="1">
        <v>0</v>
      </c>
      <c r="AI281" s="1">
        <v>113502</v>
      </c>
      <c r="AJ281" s="1" t="s">
        <v>1329</v>
      </c>
      <c r="AK281" s="1" t="s">
        <v>1330</v>
      </c>
      <c r="AL281" s="1">
        <v>13</v>
      </c>
      <c r="AM281" s="1" t="s">
        <v>4779</v>
      </c>
      <c r="AN281" s="1" t="s">
        <v>4889</v>
      </c>
      <c r="AO281" s="1" t="s">
        <v>5193</v>
      </c>
      <c r="AP281" s="1">
        <v>0</v>
      </c>
      <c r="AQ281" s="1" t="s">
        <v>1158</v>
      </c>
      <c r="AR281" s="1" t="s">
        <v>1182</v>
      </c>
      <c r="AS281" s="1" t="s">
        <v>1157</v>
      </c>
      <c r="AT281" s="1" t="s">
        <v>329</v>
      </c>
      <c r="AU281" s="1">
        <v>73</v>
      </c>
      <c r="AV281" s="1">
        <v>0</v>
      </c>
      <c r="AW281" s="1" t="s">
        <v>5333</v>
      </c>
      <c r="AX281" s="1" t="s">
        <v>5077</v>
      </c>
      <c r="AY281" s="1">
        <v>5</v>
      </c>
      <c r="AZ281" s="1">
        <v>0</v>
      </c>
      <c r="BA281" s="1" t="s">
        <v>329</v>
      </c>
      <c r="BB281" s="1" t="s">
        <v>329</v>
      </c>
      <c r="BC281" s="1" t="s">
        <v>329</v>
      </c>
      <c r="BD281" s="1">
        <v>10403</v>
      </c>
      <c r="BE281" s="1"/>
    </row>
    <row r="282" spans="1:57" x14ac:dyDescent="0.25">
      <c r="A282" s="1">
        <v>288</v>
      </c>
      <c r="B282" s="1" t="s">
        <v>3900</v>
      </c>
      <c r="C282" s="9" t="s">
        <v>1690</v>
      </c>
      <c r="D282" s="1" t="s">
        <v>1690</v>
      </c>
      <c r="E282" s="1"/>
      <c r="F282" s="1"/>
      <c r="G282" s="1" t="s">
        <v>3901</v>
      </c>
      <c r="H282" s="1" t="s">
        <v>3902</v>
      </c>
      <c r="I282" s="1" t="s">
        <v>3903</v>
      </c>
      <c r="J282" s="1">
        <v>4</v>
      </c>
      <c r="K282" s="1">
        <v>4</v>
      </c>
      <c r="L282" s="1">
        <v>12900</v>
      </c>
      <c r="M282" s="1">
        <v>20</v>
      </c>
      <c r="N282" s="1">
        <v>20</v>
      </c>
      <c r="O282" s="1">
        <v>10</v>
      </c>
      <c r="P282" s="1">
        <v>10</v>
      </c>
      <c r="Q282" s="1">
        <v>2</v>
      </c>
      <c r="R282" s="1">
        <v>5</v>
      </c>
      <c r="S282" s="1">
        <v>5</v>
      </c>
      <c r="T282" s="1">
        <v>0</v>
      </c>
      <c r="U282" s="1">
        <v>100</v>
      </c>
      <c r="V282" s="1">
        <v>108</v>
      </c>
      <c r="W282" s="1">
        <v>122</v>
      </c>
      <c r="X282" s="1">
        <v>100</v>
      </c>
      <c r="Y282" s="1">
        <v>130</v>
      </c>
      <c r="Z282" s="1">
        <v>105</v>
      </c>
      <c r="AA282" s="1">
        <v>0</v>
      </c>
      <c r="AB282" s="1">
        <v>15</v>
      </c>
      <c r="AC282" s="1">
        <v>20</v>
      </c>
      <c r="AD282" s="1">
        <v>0</v>
      </c>
      <c r="AE282" s="1">
        <v>115</v>
      </c>
      <c r="AF282" s="1">
        <v>130</v>
      </c>
      <c r="AG282" s="1">
        <v>113601</v>
      </c>
      <c r="AH282" s="1">
        <v>0</v>
      </c>
      <c r="AI282" s="1">
        <v>113602</v>
      </c>
      <c r="AJ282" s="1" t="s">
        <v>1331</v>
      </c>
      <c r="AK282" s="1" t="s">
        <v>329</v>
      </c>
      <c r="AL282" s="1">
        <v>13</v>
      </c>
      <c r="AM282" s="1" t="s">
        <v>4779</v>
      </c>
      <c r="AN282" s="1" t="s">
        <v>4889</v>
      </c>
      <c r="AO282" s="1" t="s">
        <v>4925</v>
      </c>
      <c r="AP282" s="1">
        <v>0</v>
      </c>
      <c r="AQ282" s="1" t="s">
        <v>1158</v>
      </c>
      <c r="AR282" s="1" t="s">
        <v>1182</v>
      </c>
      <c r="AS282" s="1" t="s">
        <v>1157</v>
      </c>
      <c r="AT282" s="1" t="s">
        <v>329</v>
      </c>
      <c r="AU282" s="1">
        <v>48</v>
      </c>
      <c r="AV282" s="1">
        <v>0</v>
      </c>
      <c r="AW282" s="1" t="s">
        <v>5333</v>
      </c>
      <c r="AX282" s="1" t="s">
        <v>332</v>
      </c>
      <c r="AY282" s="1">
        <v>4</v>
      </c>
      <c r="AZ282" s="1">
        <v>0</v>
      </c>
      <c r="BA282" s="1" t="s">
        <v>329</v>
      </c>
      <c r="BB282" s="1" t="s">
        <v>329</v>
      </c>
      <c r="BC282" s="1" t="s">
        <v>329</v>
      </c>
      <c r="BD282" s="1">
        <v>10402</v>
      </c>
      <c r="BE282" s="1"/>
    </row>
    <row r="283" spans="1:57" x14ac:dyDescent="0.25">
      <c r="A283" s="1">
        <v>289</v>
      </c>
      <c r="B283" s="1" t="s">
        <v>3904</v>
      </c>
      <c r="C283" s="9" t="s">
        <v>793</v>
      </c>
      <c r="D283" s="1" t="s">
        <v>3905</v>
      </c>
      <c r="E283" s="1"/>
      <c r="F283" s="1"/>
      <c r="G283" s="1" t="s">
        <v>3906</v>
      </c>
      <c r="H283" s="1" t="s">
        <v>3907</v>
      </c>
      <c r="I283" s="1" t="s">
        <v>3908</v>
      </c>
      <c r="J283" s="1">
        <v>4</v>
      </c>
      <c r="K283" s="1">
        <v>5</v>
      </c>
      <c r="L283" s="1">
        <v>13980</v>
      </c>
      <c r="M283" s="1">
        <v>20</v>
      </c>
      <c r="N283" s="1">
        <v>20</v>
      </c>
      <c r="O283" s="1">
        <v>10</v>
      </c>
      <c r="P283" s="1">
        <v>10</v>
      </c>
      <c r="Q283" s="1">
        <v>2</v>
      </c>
      <c r="R283" s="1">
        <v>5</v>
      </c>
      <c r="S283" s="1">
        <v>5</v>
      </c>
      <c r="T283" s="1">
        <v>0</v>
      </c>
      <c r="U283" s="1">
        <v>112</v>
      </c>
      <c r="V283" s="1">
        <v>120</v>
      </c>
      <c r="W283" s="1">
        <v>112</v>
      </c>
      <c r="X283" s="1">
        <v>100</v>
      </c>
      <c r="Y283" s="1">
        <v>130</v>
      </c>
      <c r="Z283" s="1">
        <v>102</v>
      </c>
      <c r="AA283" s="1">
        <v>0</v>
      </c>
      <c r="AB283" s="1">
        <v>15</v>
      </c>
      <c r="AC283" s="1">
        <v>20</v>
      </c>
      <c r="AD283" s="1">
        <v>0</v>
      </c>
      <c r="AE283" s="1">
        <v>120</v>
      </c>
      <c r="AF283" s="1">
        <v>100</v>
      </c>
      <c r="AG283" s="1">
        <v>100108</v>
      </c>
      <c r="AH283" s="1">
        <v>0</v>
      </c>
      <c r="AI283" s="1">
        <v>300103</v>
      </c>
      <c r="AJ283" s="1" t="s">
        <v>329</v>
      </c>
      <c r="AK283" s="1" t="s">
        <v>1263</v>
      </c>
      <c r="AL283" s="1">
        <v>13</v>
      </c>
      <c r="AM283" s="1" t="s">
        <v>4779</v>
      </c>
      <c r="AN283" s="1" t="s">
        <v>4894</v>
      </c>
      <c r="AO283" s="1" t="s">
        <v>5193</v>
      </c>
      <c r="AP283" s="1">
        <v>0</v>
      </c>
      <c r="AQ283" s="1" t="s">
        <v>1158</v>
      </c>
      <c r="AR283" s="1" t="s">
        <v>1182</v>
      </c>
      <c r="AS283" s="1" t="s">
        <v>1157</v>
      </c>
      <c r="AT283" s="1" t="s">
        <v>329</v>
      </c>
      <c r="AU283" s="1">
        <v>215</v>
      </c>
      <c r="AV283" s="1">
        <v>0</v>
      </c>
      <c r="AW283" s="1" t="s">
        <v>5335</v>
      </c>
      <c r="AX283" s="1" t="s">
        <v>5336</v>
      </c>
      <c r="AY283" s="1">
        <v>5</v>
      </c>
      <c r="AZ283" s="1">
        <v>0</v>
      </c>
      <c r="BA283" s="1" t="s">
        <v>329</v>
      </c>
      <c r="BB283" s="1" t="s">
        <v>329</v>
      </c>
      <c r="BC283" s="1" t="s">
        <v>4780</v>
      </c>
      <c r="BD283" s="1">
        <v>10803</v>
      </c>
      <c r="BE283" s="1"/>
    </row>
    <row r="284" spans="1:57" x14ac:dyDescent="0.25">
      <c r="A284" s="1">
        <v>290</v>
      </c>
      <c r="B284" s="1" t="s">
        <v>3909</v>
      </c>
      <c r="C284" s="9" t="s">
        <v>794</v>
      </c>
      <c r="D284" s="1" t="s">
        <v>3910</v>
      </c>
      <c r="E284" s="1"/>
      <c r="F284" s="1"/>
      <c r="G284" s="1" t="s">
        <v>3911</v>
      </c>
      <c r="H284" s="1" t="s">
        <v>3912</v>
      </c>
      <c r="I284" s="1" t="s">
        <v>3913</v>
      </c>
      <c r="J284" s="1">
        <v>4</v>
      </c>
      <c r="K284" s="1">
        <v>5</v>
      </c>
      <c r="L284" s="1">
        <v>14880</v>
      </c>
      <c r="M284" s="1">
        <v>20</v>
      </c>
      <c r="N284" s="1">
        <v>20</v>
      </c>
      <c r="O284" s="1">
        <v>10</v>
      </c>
      <c r="P284" s="1">
        <v>10</v>
      </c>
      <c r="Q284" s="1">
        <v>2</v>
      </c>
      <c r="R284" s="1">
        <v>5</v>
      </c>
      <c r="S284" s="1">
        <v>5</v>
      </c>
      <c r="T284" s="1">
        <v>0</v>
      </c>
      <c r="U284" s="1">
        <v>110</v>
      </c>
      <c r="V284" s="1">
        <v>120</v>
      </c>
      <c r="W284" s="1">
        <v>118</v>
      </c>
      <c r="X284" s="1">
        <v>100</v>
      </c>
      <c r="Y284" s="1">
        <v>118</v>
      </c>
      <c r="Z284" s="1">
        <v>110</v>
      </c>
      <c r="AA284" s="1">
        <v>0</v>
      </c>
      <c r="AB284" s="1">
        <v>15</v>
      </c>
      <c r="AC284" s="1">
        <v>20</v>
      </c>
      <c r="AD284" s="1">
        <v>0</v>
      </c>
      <c r="AE284" s="1">
        <v>116</v>
      </c>
      <c r="AF284" s="1">
        <v>100</v>
      </c>
      <c r="AG284" s="1">
        <v>901298</v>
      </c>
      <c r="AH284" s="1">
        <v>0</v>
      </c>
      <c r="AI284" s="1">
        <v>901295</v>
      </c>
      <c r="AJ284" s="1" t="s">
        <v>1332</v>
      </c>
      <c r="AK284" s="1" t="s">
        <v>1333</v>
      </c>
      <c r="AL284" s="1">
        <v>13</v>
      </c>
      <c r="AM284" s="1" t="s">
        <v>4779</v>
      </c>
      <c r="AN284" s="1" t="s">
        <v>4924</v>
      </c>
      <c r="AO284" s="1" t="s">
        <v>5229</v>
      </c>
      <c r="AP284" s="1">
        <v>0</v>
      </c>
      <c r="AQ284" s="1" t="s">
        <v>1158</v>
      </c>
      <c r="AR284" s="1" t="s">
        <v>1182</v>
      </c>
      <c r="AS284" s="1" t="s">
        <v>1157</v>
      </c>
      <c r="AT284" s="1" t="s">
        <v>329</v>
      </c>
      <c r="AU284" s="1">
        <v>215</v>
      </c>
      <c r="AV284" s="1">
        <v>0</v>
      </c>
      <c r="AW284" s="1" t="s">
        <v>5337</v>
      </c>
      <c r="AX284" s="1" t="s">
        <v>332</v>
      </c>
      <c r="AY284" s="1">
        <v>5</v>
      </c>
      <c r="AZ284" s="1">
        <v>0</v>
      </c>
      <c r="BA284" s="1" t="s">
        <v>329</v>
      </c>
      <c r="BB284" s="1" t="s">
        <v>329</v>
      </c>
      <c r="BC284" s="1" t="s">
        <v>329</v>
      </c>
      <c r="BD284" s="1">
        <v>10403</v>
      </c>
      <c r="BE284" s="1"/>
    </row>
    <row r="285" spans="1:57" x14ac:dyDescent="0.25">
      <c r="A285" s="1">
        <v>291</v>
      </c>
      <c r="B285" s="1" t="s">
        <v>3914</v>
      </c>
      <c r="C285" s="9" t="s">
        <v>1716</v>
      </c>
      <c r="D285" s="1" t="s">
        <v>3915</v>
      </c>
      <c r="E285" s="1"/>
      <c r="F285" s="1"/>
      <c r="G285" s="1" t="s">
        <v>3916</v>
      </c>
      <c r="H285" s="1" t="s">
        <v>3917</v>
      </c>
      <c r="I285" s="1" t="s">
        <v>3918</v>
      </c>
      <c r="J285" s="1">
        <v>2</v>
      </c>
      <c r="K285" s="1">
        <v>3</v>
      </c>
      <c r="L285" s="1">
        <v>7500</v>
      </c>
      <c r="M285" s="1">
        <v>25</v>
      </c>
      <c r="N285" s="1">
        <v>20</v>
      </c>
      <c r="O285" s="1">
        <v>15</v>
      </c>
      <c r="P285" s="1">
        <v>10</v>
      </c>
      <c r="Q285" s="1">
        <v>5</v>
      </c>
      <c r="R285" s="1">
        <v>5</v>
      </c>
      <c r="S285" s="1">
        <v>2</v>
      </c>
      <c r="T285" s="1">
        <v>0</v>
      </c>
      <c r="U285" s="1">
        <v>105</v>
      </c>
      <c r="V285" s="1">
        <v>110</v>
      </c>
      <c r="W285" s="1">
        <v>110</v>
      </c>
      <c r="X285" s="1">
        <v>100</v>
      </c>
      <c r="Y285" s="1">
        <v>100</v>
      </c>
      <c r="Z285" s="1">
        <v>85</v>
      </c>
      <c r="AA285" s="1">
        <v>0</v>
      </c>
      <c r="AB285" s="1">
        <v>15</v>
      </c>
      <c r="AC285" s="1">
        <v>5</v>
      </c>
      <c r="AD285" s="1">
        <v>0</v>
      </c>
      <c r="AE285" s="1">
        <v>120</v>
      </c>
      <c r="AF285" s="1">
        <v>100</v>
      </c>
      <c r="AG285" s="1">
        <v>100202</v>
      </c>
      <c r="AH285" s="1">
        <v>0</v>
      </c>
      <c r="AI285" s="1">
        <v>300102</v>
      </c>
      <c r="AJ285" s="1" t="s">
        <v>1153</v>
      </c>
      <c r="AK285" s="1" t="s">
        <v>329</v>
      </c>
      <c r="AL285" s="1">
        <v>13</v>
      </c>
      <c r="AM285" s="1" t="s">
        <v>4850</v>
      </c>
      <c r="AN285" s="1" t="s">
        <v>389</v>
      </c>
      <c r="AO285" s="1" t="s">
        <v>5054</v>
      </c>
      <c r="AP285" s="1">
        <v>0</v>
      </c>
      <c r="AQ285" s="1" t="s">
        <v>1157</v>
      </c>
      <c r="AR285" s="1" t="s">
        <v>1147</v>
      </c>
      <c r="AS285" s="1" t="s">
        <v>1158</v>
      </c>
      <c r="AT285" s="1" t="s">
        <v>329</v>
      </c>
      <c r="AU285" s="1">
        <v>116</v>
      </c>
      <c r="AV285" s="1">
        <v>0</v>
      </c>
      <c r="AW285" s="1" t="s">
        <v>5338</v>
      </c>
      <c r="AX285" s="1" t="s">
        <v>5339</v>
      </c>
      <c r="AY285" s="1">
        <v>3</v>
      </c>
      <c r="AZ285" s="1">
        <v>0</v>
      </c>
      <c r="BA285" s="1" t="s">
        <v>329</v>
      </c>
      <c r="BB285" s="1" t="s">
        <v>329</v>
      </c>
      <c r="BC285" s="1" t="s">
        <v>329</v>
      </c>
      <c r="BD285" s="1">
        <v>10704</v>
      </c>
      <c r="BE285" s="1"/>
    </row>
    <row r="286" spans="1:57" x14ac:dyDescent="0.25">
      <c r="A286" s="1">
        <v>292</v>
      </c>
      <c r="B286" s="1" t="s">
        <v>3919</v>
      </c>
      <c r="C286" s="9" t="s">
        <v>1691</v>
      </c>
      <c r="D286" s="1" t="s">
        <v>1691</v>
      </c>
      <c r="E286" s="1"/>
      <c r="F286" s="1"/>
      <c r="G286" s="1" t="s">
        <v>3920</v>
      </c>
      <c r="H286" s="1" t="s">
        <v>3921</v>
      </c>
      <c r="I286" s="1" t="s">
        <v>3922</v>
      </c>
      <c r="J286" s="1">
        <v>5</v>
      </c>
      <c r="K286" s="1">
        <v>5</v>
      </c>
      <c r="L286" s="1">
        <v>22560</v>
      </c>
      <c r="M286" s="1">
        <v>40</v>
      </c>
      <c r="N286" s="1">
        <v>30</v>
      </c>
      <c r="O286" s="1">
        <v>25</v>
      </c>
      <c r="P286" s="1">
        <v>15</v>
      </c>
      <c r="Q286" s="1">
        <v>5</v>
      </c>
      <c r="R286" s="1">
        <v>5</v>
      </c>
      <c r="S286" s="1">
        <v>2</v>
      </c>
      <c r="T286" s="1">
        <v>5</v>
      </c>
      <c r="U286" s="1">
        <v>100</v>
      </c>
      <c r="V286" s="1">
        <v>95</v>
      </c>
      <c r="W286" s="1">
        <v>115</v>
      </c>
      <c r="X286" s="1">
        <v>100</v>
      </c>
      <c r="Y286" s="1">
        <v>130</v>
      </c>
      <c r="Z286" s="1">
        <v>125</v>
      </c>
      <c r="AA286" s="1">
        <v>0</v>
      </c>
      <c r="AB286" s="1">
        <v>15</v>
      </c>
      <c r="AC286" s="1">
        <v>5</v>
      </c>
      <c r="AD286" s="1">
        <v>10</v>
      </c>
      <c r="AE286" s="1">
        <v>138</v>
      </c>
      <c r="AF286" s="1">
        <v>100</v>
      </c>
      <c r="AG286" s="1">
        <v>900411</v>
      </c>
      <c r="AH286" s="1">
        <v>0</v>
      </c>
      <c r="AI286" s="1">
        <v>900410</v>
      </c>
      <c r="AJ286" s="1" t="s">
        <v>1334</v>
      </c>
      <c r="AK286" s="1" t="s">
        <v>1335</v>
      </c>
      <c r="AL286" s="1">
        <v>17</v>
      </c>
      <c r="AM286" s="1" t="s">
        <v>988</v>
      </c>
      <c r="AN286" s="1" t="s">
        <v>5340</v>
      </c>
      <c r="AO286" s="1" t="s">
        <v>5341</v>
      </c>
      <c r="AP286" s="1">
        <v>0</v>
      </c>
      <c r="AQ286" s="1" t="s">
        <v>1195</v>
      </c>
      <c r="AR286" s="1" t="s">
        <v>1196</v>
      </c>
      <c r="AS286" s="1" t="s">
        <v>1197</v>
      </c>
      <c r="AT286" s="1" t="s">
        <v>329</v>
      </c>
      <c r="AU286" s="1">
        <v>238</v>
      </c>
      <c r="AV286" s="1">
        <v>0</v>
      </c>
      <c r="AW286" s="1" t="s">
        <v>5342</v>
      </c>
      <c r="AX286" s="1" t="s">
        <v>5225</v>
      </c>
      <c r="AY286" s="1">
        <v>5</v>
      </c>
      <c r="AZ286" s="1">
        <v>0</v>
      </c>
      <c r="BA286" s="1" t="s">
        <v>329</v>
      </c>
      <c r="BB286" s="1" t="s">
        <v>5032</v>
      </c>
      <c r="BC286" s="1" t="s">
        <v>5209</v>
      </c>
      <c r="BD286" s="1">
        <v>10104</v>
      </c>
      <c r="BE286" s="1"/>
    </row>
    <row r="287" spans="1:57" x14ac:dyDescent="0.25">
      <c r="A287" s="1">
        <v>293</v>
      </c>
      <c r="B287" s="1" t="s">
        <v>3923</v>
      </c>
      <c r="C287" s="9" t="s">
        <v>1692</v>
      </c>
      <c r="D287" s="1" t="s">
        <v>1692</v>
      </c>
      <c r="E287" s="1"/>
      <c r="F287" s="1"/>
      <c r="G287" s="1" t="s">
        <v>3924</v>
      </c>
      <c r="H287" s="1" t="s">
        <v>3925</v>
      </c>
      <c r="I287" s="1" t="s">
        <v>3926</v>
      </c>
      <c r="J287" s="1">
        <v>4</v>
      </c>
      <c r="K287" s="1">
        <v>5</v>
      </c>
      <c r="L287" s="1">
        <v>15300</v>
      </c>
      <c r="M287" s="1">
        <v>20</v>
      </c>
      <c r="N287" s="1">
        <v>20</v>
      </c>
      <c r="O287" s="1">
        <v>10</v>
      </c>
      <c r="P287" s="1">
        <v>10</v>
      </c>
      <c r="Q287" s="1">
        <v>2</v>
      </c>
      <c r="R287" s="1">
        <v>5</v>
      </c>
      <c r="S287" s="1">
        <v>5</v>
      </c>
      <c r="T287" s="1">
        <v>0</v>
      </c>
      <c r="U287" s="1">
        <v>100</v>
      </c>
      <c r="V287" s="1">
        <v>118</v>
      </c>
      <c r="W287" s="1">
        <v>110</v>
      </c>
      <c r="X287" s="1">
        <v>100</v>
      </c>
      <c r="Y287" s="1">
        <v>112</v>
      </c>
      <c r="Z287" s="1">
        <v>110</v>
      </c>
      <c r="AA287" s="1">
        <v>0</v>
      </c>
      <c r="AB287" s="1">
        <v>15</v>
      </c>
      <c r="AC287" s="1">
        <v>20</v>
      </c>
      <c r="AD287" s="1">
        <v>0</v>
      </c>
      <c r="AE287" s="1">
        <v>136</v>
      </c>
      <c r="AF287" s="1">
        <v>100</v>
      </c>
      <c r="AG287" s="1">
        <v>900418</v>
      </c>
      <c r="AH287" s="1">
        <v>0</v>
      </c>
      <c r="AI287" s="1">
        <v>900415</v>
      </c>
      <c r="AJ287" s="1" t="s">
        <v>5343</v>
      </c>
      <c r="AK287" s="1" t="s">
        <v>1336</v>
      </c>
      <c r="AL287" s="1">
        <v>13</v>
      </c>
      <c r="AM287" s="1" t="s">
        <v>4779</v>
      </c>
      <c r="AN287" s="1" t="s">
        <v>4924</v>
      </c>
      <c r="AO287" s="1" t="s">
        <v>5228</v>
      </c>
      <c r="AP287" s="1">
        <v>0</v>
      </c>
      <c r="AQ287" s="1" t="s">
        <v>1158</v>
      </c>
      <c r="AR287" s="1" t="s">
        <v>1182</v>
      </c>
      <c r="AS287" s="1" t="s">
        <v>1157</v>
      </c>
      <c r="AT287" s="1" t="s">
        <v>329</v>
      </c>
      <c r="AU287" s="1">
        <v>215</v>
      </c>
      <c r="AV287" s="1">
        <v>0</v>
      </c>
      <c r="AW287" s="1" t="s">
        <v>5342</v>
      </c>
      <c r="AX287" s="1" t="s">
        <v>5225</v>
      </c>
      <c r="AY287" s="1">
        <v>5</v>
      </c>
      <c r="AZ287" s="1">
        <v>0</v>
      </c>
      <c r="BA287" s="1" t="s">
        <v>329</v>
      </c>
      <c r="BB287" s="1" t="s">
        <v>329</v>
      </c>
      <c r="BC287" s="1" t="s">
        <v>5209</v>
      </c>
      <c r="BD287" s="1">
        <v>10104</v>
      </c>
      <c r="BE287" s="1"/>
    </row>
    <row r="288" spans="1:57" x14ac:dyDescent="0.25">
      <c r="A288" s="1">
        <v>294</v>
      </c>
      <c r="B288" s="1" t="s">
        <v>3927</v>
      </c>
      <c r="C288" s="9" t="s">
        <v>795</v>
      </c>
      <c r="D288" s="1" t="s">
        <v>795</v>
      </c>
      <c r="E288" s="1"/>
      <c r="F288" s="1"/>
      <c r="G288" s="1" t="s">
        <v>3928</v>
      </c>
      <c r="H288" s="1" t="s">
        <v>3929</v>
      </c>
      <c r="I288" s="1" t="s">
        <v>3930</v>
      </c>
      <c r="J288" s="1">
        <v>1</v>
      </c>
      <c r="K288" s="1">
        <v>5</v>
      </c>
      <c r="L288" s="1">
        <v>4140</v>
      </c>
      <c r="M288" s="1">
        <v>10</v>
      </c>
      <c r="N288" s="1">
        <v>10</v>
      </c>
      <c r="O288" s="1">
        <v>5</v>
      </c>
      <c r="P288" s="1">
        <v>5</v>
      </c>
      <c r="Q288" s="1">
        <v>2</v>
      </c>
      <c r="R288" s="1">
        <v>2</v>
      </c>
      <c r="S288" s="1">
        <v>2</v>
      </c>
      <c r="T288" s="1">
        <v>0</v>
      </c>
      <c r="U288" s="1">
        <v>130</v>
      </c>
      <c r="V288" s="1">
        <v>98</v>
      </c>
      <c r="W288" s="1">
        <v>102</v>
      </c>
      <c r="X288" s="1">
        <v>100</v>
      </c>
      <c r="Y288" s="1">
        <v>120</v>
      </c>
      <c r="Z288" s="1">
        <v>100</v>
      </c>
      <c r="AA288" s="1">
        <v>0</v>
      </c>
      <c r="AB288" s="1">
        <v>15</v>
      </c>
      <c r="AC288" s="1">
        <v>20</v>
      </c>
      <c r="AD288" s="1">
        <v>0</v>
      </c>
      <c r="AE288" s="1">
        <v>132</v>
      </c>
      <c r="AF288" s="1">
        <v>100</v>
      </c>
      <c r="AG288" s="1">
        <v>113801</v>
      </c>
      <c r="AH288" s="1">
        <v>0</v>
      </c>
      <c r="AI288" s="1">
        <v>300101</v>
      </c>
      <c r="AJ288" s="1" t="s">
        <v>1337</v>
      </c>
      <c r="AK288" s="1" t="s">
        <v>1338</v>
      </c>
      <c r="AL288" s="1">
        <v>14</v>
      </c>
      <c r="AM288" s="1" t="s">
        <v>1866</v>
      </c>
      <c r="AN288" s="1" t="s">
        <v>5344</v>
      </c>
      <c r="AO288" s="1" t="s">
        <v>5137</v>
      </c>
      <c r="AP288" s="1">
        <v>0</v>
      </c>
      <c r="AQ288" s="1" t="s">
        <v>1146</v>
      </c>
      <c r="AR288" s="1" t="s">
        <v>1147</v>
      </c>
      <c r="AS288" s="1" t="s">
        <v>1148</v>
      </c>
      <c r="AT288" s="1" t="s">
        <v>329</v>
      </c>
      <c r="AU288" s="1">
        <v>96</v>
      </c>
      <c r="AV288" s="1">
        <v>0</v>
      </c>
      <c r="AW288" s="1" t="s">
        <v>5342</v>
      </c>
      <c r="AX288" s="1" t="s">
        <v>5345</v>
      </c>
      <c r="AY288" s="1">
        <v>5</v>
      </c>
      <c r="AZ288" s="1">
        <v>0</v>
      </c>
      <c r="BA288" s="1" t="s">
        <v>329</v>
      </c>
      <c r="BB288" s="1" t="s">
        <v>329</v>
      </c>
      <c r="BC288" s="1" t="s">
        <v>329</v>
      </c>
      <c r="BD288" s="1">
        <v>10201</v>
      </c>
      <c r="BE288" s="1"/>
    </row>
    <row r="289" spans="1:57" x14ac:dyDescent="0.25">
      <c r="A289" s="1">
        <v>295</v>
      </c>
      <c r="B289" s="1" t="s">
        <v>3931</v>
      </c>
      <c r="C289" s="9" t="s">
        <v>796</v>
      </c>
      <c r="D289" s="1" t="s">
        <v>3932</v>
      </c>
      <c r="E289" s="1"/>
      <c r="F289" s="1"/>
      <c r="G289" s="1" t="s">
        <v>3933</v>
      </c>
      <c r="H289" s="1" t="s">
        <v>3934</v>
      </c>
      <c r="I289" s="1" t="s">
        <v>3935</v>
      </c>
      <c r="J289" s="1">
        <v>2</v>
      </c>
      <c r="K289" s="1">
        <v>4</v>
      </c>
      <c r="L289" s="1">
        <v>8400</v>
      </c>
      <c r="M289" s="1">
        <v>25</v>
      </c>
      <c r="N289" s="1">
        <v>20</v>
      </c>
      <c r="O289" s="1">
        <v>15</v>
      </c>
      <c r="P289" s="1">
        <v>10</v>
      </c>
      <c r="Q289" s="1">
        <v>5</v>
      </c>
      <c r="R289" s="1">
        <v>5</v>
      </c>
      <c r="S289" s="1">
        <v>2</v>
      </c>
      <c r="T289" s="1">
        <v>0</v>
      </c>
      <c r="U289" s="1">
        <v>108</v>
      </c>
      <c r="V289" s="1">
        <v>100</v>
      </c>
      <c r="W289" s="1">
        <v>112</v>
      </c>
      <c r="X289" s="1">
        <v>100</v>
      </c>
      <c r="Y289" s="1">
        <v>110</v>
      </c>
      <c r="Z289" s="1">
        <v>125</v>
      </c>
      <c r="AA289" s="1">
        <v>0</v>
      </c>
      <c r="AB289" s="1">
        <v>15</v>
      </c>
      <c r="AC289" s="1">
        <v>5</v>
      </c>
      <c r="AD289" s="1">
        <v>0</v>
      </c>
      <c r="AE289" s="1">
        <v>105</v>
      </c>
      <c r="AF289" s="1">
        <v>100</v>
      </c>
      <c r="AG289" s="1">
        <v>113901</v>
      </c>
      <c r="AH289" s="1">
        <v>0</v>
      </c>
      <c r="AI289" s="1">
        <v>300102</v>
      </c>
      <c r="AJ289" s="1" t="s">
        <v>1339</v>
      </c>
      <c r="AK289" s="1" t="s">
        <v>329</v>
      </c>
      <c r="AL289" s="1">
        <v>12</v>
      </c>
      <c r="AM289" s="1" t="s">
        <v>4850</v>
      </c>
      <c r="AN289" s="1" t="s">
        <v>5258</v>
      </c>
      <c r="AO289" s="1" t="s">
        <v>5346</v>
      </c>
      <c r="AP289" s="1">
        <v>0</v>
      </c>
      <c r="AQ289" s="1" t="s">
        <v>1157</v>
      </c>
      <c r="AR289" s="1" t="s">
        <v>1147</v>
      </c>
      <c r="AS289" s="1" t="s">
        <v>1158</v>
      </c>
      <c r="AT289" s="1" t="s">
        <v>329</v>
      </c>
      <c r="AU289" s="1">
        <v>150</v>
      </c>
      <c r="AV289" s="1">
        <v>0</v>
      </c>
      <c r="AW289" s="1" t="s">
        <v>5342</v>
      </c>
      <c r="AX289" s="1" t="s">
        <v>481</v>
      </c>
      <c r="AY289" s="1">
        <v>4</v>
      </c>
      <c r="AZ289" s="1">
        <v>0</v>
      </c>
      <c r="BA289" s="1" t="s">
        <v>329</v>
      </c>
      <c r="BB289" s="1" t="s">
        <v>329</v>
      </c>
      <c r="BC289" s="1" t="s">
        <v>4843</v>
      </c>
      <c r="BD289" s="1">
        <v>10802</v>
      </c>
      <c r="BE289" s="1"/>
    </row>
    <row r="290" spans="1:57" x14ac:dyDescent="0.25">
      <c r="A290" s="1">
        <v>296</v>
      </c>
      <c r="B290" s="1" t="s">
        <v>3936</v>
      </c>
      <c r="C290" s="9" t="s">
        <v>797</v>
      </c>
      <c r="D290" s="1" t="s">
        <v>797</v>
      </c>
      <c r="E290" s="1"/>
      <c r="F290" s="1"/>
      <c r="G290" s="1" t="s">
        <v>3937</v>
      </c>
      <c r="H290" s="1" t="s">
        <v>3938</v>
      </c>
      <c r="I290" s="1" t="s">
        <v>3939</v>
      </c>
      <c r="J290" s="1">
        <v>3</v>
      </c>
      <c r="K290" s="1">
        <v>5</v>
      </c>
      <c r="L290" s="1">
        <v>17280</v>
      </c>
      <c r="M290" s="1">
        <v>15</v>
      </c>
      <c r="N290" s="1">
        <v>30</v>
      </c>
      <c r="O290" s="1">
        <v>10</v>
      </c>
      <c r="P290" s="1">
        <v>15</v>
      </c>
      <c r="Q290" s="1">
        <v>5</v>
      </c>
      <c r="R290" s="1">
        <v>2</v>
      </c>
      <c r="S290" s="1">
        <v>5</v>
      </c>
      <c r="T290" s="1">
        <v>0</v>
      </c>
      <c r="U290" s="1">
        <v>96</v>
      </c>
      <c r="V290" s="1">
        <v>106</v>
      </c>
      <c r="W290" s="1">
        <v>120</v>
      </c>
      <c r="X290" s="1">
        <v>100</v>
      </c>
      <c r="Y290" s="1">
        <v>112</v>
      </c>
      <c r="Z290" s="1">
        <v>110</v>
      </c>
      <c r="AA290" s="1">
        <v>0</v>
      </c>
      <c r="AB290" s="1">
        <v>15</v>
      </c>
      <c r="AC290" s="1">
        <v>40</v>
      </c>
      <c r="AD290" s="1">
        <v>0</v>
      </c>
      <c r="AE290" s="1">
        <v>128</v>
      </c>
      <c r="AF290" s="1">
        <v>100</v>
      </c>
      <c r="AG290" s="1">
        <v>900401</v>
      </c>
      <c r="AH290" s="1">
        <v>0</v>
      </c>
      <c r="AI290" s="1">
        <v>300104</v>
      </c>
      <c r="AJ290" s="1" t="s">
        <v>1340</v>
      </c>
      <c r="AK290" s="1" t="s">
        <v>1341</v>
      </c>
      <c r="AL290" s="1">
        <v>19</v>
      </c>
      <c r="AM290" s="1" t="s">
        <v>1866</v>
      </c>
      <c r="AN290" s="1" t="s">
        <v>5347</v>
      </c>
      <c r="AO290" s="1" t="s">
        <v>5079</v>
      </c>
      <c r="AP290" s="1">
        <v>0</v>
      </c>
      <c r="AQ290" s="1" t="s">
        <v>1168</v>
      </c>
      <c r="AR290" s="1" t="s">
        <v>1169</v>
      </c>
      <c r="AS290" s="1" t="s">
        <v>1170</v>
      </c>
      <c r="AT290" s="1" t="s">
        <v>329</v>
      </c>
      <c r="AU290" s="1">
        <v>222</v>
      </c>
      <c r="AV290" s="1">
        <v>0</v>
      </c>
      <c r="AW290" s="1" t="s">
        <v>5342</v>
      </c>
      <c r="AX290" s="1" t="s">
        <v>5348</v>
      </c>
      <c r="AY290" s="1">
        <v>5</v>
      </c>
      <c r="AZ290" s="1">
        <v>0</v>
      </c>
      <c r="BA290" s="1" t="s">
        <v>329</v>
      </c>
      <c r="BB290" s="1" t="s">
        <v>329</v>
      </c>
      <c r="BC290" s="1" t="s">
        <v>4829</v>
      </c>
      <c r="BD290" s="1">
        <v>10401</v>
      </c>
      <c r="BE290" s="1"/>
    </row>
    <row r="291" spans="1:57" x14ac:dyDescent="0.25">
      <c r="A291" s="1">
        <v>297</v>
      </c>
      <c r="B291" s="1" t="s">
        <v>3940</v>
      </c>
      <c r="C291" s="9" t="s">
        <v>798</v>
      </c>
      <c r="D291" s="1" t="s">
        <v>798</v>
      </c>
      <c r="E291" s="1"/>
      <c r="F291" s="1"/>
      <c r="G291" s="1" t="s">
        <v>3941</v>
      </c>
      <c r="H291" s="1" t="s">
        <v>3942</v>
      </c>
      <c r="I291" s="1" t="s">
        <v>3943</v>
      </c>
      <c r="J291" s="1">
        <v>4</v>
      </c>
      <c r="K291" s="1">
        <v>4</v>
      </c>
      <c r="L291" s="1">
        <v>12900</v>
      </c>
      <c r="M291" s="1">
        <v>20</v>
      </c>
      <c r="N291" s="1">
        <v>20</v>
      </c>
      <c r="O291" s="1">
        <v>10</v>
      </c>
      <c r="P291" s="1">
        <v>10</v>
      </c>
      <c r="Q291" s="1">
        <v>2</v>
      </c>
      <c r="R291" s="1">
        <v>5</v>
      </c>
      <c r="S291" s="1">
        <v>5</v>
      </c>
      <c r="T291" s="1">
        <v>0</v>
      </c>
      <c r="U291" s="1">
        <v>102</v>
      </c>
      <c r="V291" s="1">
        <v>110</v>
      </c>
      <c r="W291" s="1">
        <v>110</v>
      </c>
      <c r="X291" s="1">
        <v>100</v>
      </c>
      <c r="Y291" s="1">
        <v>105</v>
      </c>
      <c r="Z291" s="1">
        <v>108</v>
      </c>
      <c r="AA291" s="1">
        <v>0</v>
      </c>
      <c r="AB291" s="1">
        <v>15</v>
      </c>
      <c r="AC291" s="1">
        <v>20</v>
      </c>
      <c r="AD291" s="1">
        <v>0</v>
      </c>
      <c r="AE291" s="1">
        <v>122</v>
      </c>
      <c r="AF291" s="1">
        <v>130</v>
      </c>
      <c r="AG291" s="1">
        <v>101703</v>
      </c>
      <c r="AH291" s="1">
        <v>0</v>
      </c>
      <c r="AI291" s="1">
        <v>300103</v>
      </c>
      <c r="AJ291" s="1" t="s">
        <v>1188</v>
      </c>
      <c r="AK291" s="1" t="s">
        <v>329</v>
      </c>
      <c r="AL291" s="1">
        <v>13</v>
      </c>
      <c r="AM291" s="1" t="s">
        <v>4779</v>
      </c>
      <c r="AN291" s="1" t="s">
        <v>4889</v>
      </c>
      <c r="AO291" s="1" t="s">
        <v>4925</v>
      </c>
      <c r="AP291" s="1">
        <v>0</v>
      </c>
      <c r="AQ291" s="1" t="s">
        <v>1158</v>
      </c>
      <c r="AR291" s="1" t="s">
        <v>1182</v>
      </c>
      <c r="AS291" s="1" t="s">
        <v>1157</v>
      </c>
      <c r="AT291" s="1" t="s">
        <v>329</v>
      </c>
      <c r="AU291" s="1">
        <v>48</v>
      </c>
      <c r="AV291" s="1">
        <v>0</v>
      </c>
      <c r="AW291" s="1" t="s">
        <v>5342</v>
      </c>
      <c r="AX291" s="1" t="s">
        <v>5349</v>
      </c>
      <c r="AY291" s="1">
        <v>4</v>
      </c>
      <c r="AZ291" s="1">
        <v>0</v>
      </c>
      <c r="BA291" s="1" t="s">
        <v>329</v>
      </c>
      <c r="BB291" s="1" t="s">
        <v>329</v>
      </c>
      <c r="BC291" s="1" t="s">
        <v>329</v>
      </c>
      <c r="BD291" s="1">
        <v>10403</v>
      </c>
      <c r="BE291" s="1"/>
    </row>
    <row r="292" spans="1:57" x14ac:dyDescent="0.25">
      <c r="A292" s="1">
        <v>298</v>
      </c>
      <c r="B292" s="1" t="s">
        <v>3944</v>
      </c>
      <c r="C292" s="9" t="s">
        <v>799</v>
      </c>
      <c r="D292" s="1" t="s">
        <v>3945</v>
      </c>
      <c r="E292" s="1"/>
      <c r="F292" s="1"/>
      <c r="G292" s="1" t="s">
        <v>3946</v>
      </c>
      <c r="H292" s="1" t="s">
        <v>3947</v>
      </c>
      <c r="I292" s="1" t="s">
        <v>3948</v>
      </c>
      <c r="J292" s="1">
        <v>4</v>
      </c>
      <c r="K292" s="1">
        <v>3</v>
      </c>
      <c r="L292" s="1">
        <v>13200</v>
      </c>
      <c r="M292" s="1">
        <v>20</v>
      </c>
      <c r="N292" s="1">
        <v>20</v>
      </c>
      <c r="O292" s="1">
        <v>10</v>
      </c>
      <c r="P292" s="1">
        <v>10</v>
      </c>
      <c r="Q292" s="1">
        <v>2</v>
      </c>
      <c r="R292" s="1">
        <v>5</v>
      </c>
      <c r="S292" s="1">
        <v>5</v>
      </c>
      <c r="T292" s="1">
        <v>0</v>
      </c>
      <c r="U292" s="1">
        <v>100</v>
      </c>
      <c r="V292" s="1">
        <v>105</v>
      </c>
      <c r="W292" s="1">
        <v>105</v>
      </c>
      <c r="X292" s="1">
        <v>100</v>
      </c>
      <c r="Y292" s="1">
        <v>115</v>
      </c>
      <c r="Z292" s="1">
        <v>110</v>
      </c>
      <c r="AA292" s="1">
        <v>0</v>
      </c>
      <c r="AB292" s="1">
        <v>15</v>
      </c>
      <c r="AC292" s="1">
        <v>20</v>
      </c>
      <c r="AD292" s="1">
        <v>0</v>
      </c>
      <c r="AE292" s="1">
        <v>122</v>
      </c>
      <c r="AF292" s="1">
        <v>100</v>
      </c>
      <c r="AG292" s="1">
        <v>900518</v>
      </c>
      <c r="AH292" s="1">
        <v>0</v>
      </c>
      <c r="AI292" s="1">
        <v>300103</v>
      </c>
      <c r="AJ292" s="1" t="s">
        <v>4956</v>
      </c>
      <c r="AK292" s="1" t="s">
        <v>329</v>
      </c>
      <c r="AL292" s="1">
        <v>13</v>
      </c>
      <c r="AM292" s="1" t="s">
        <v>4850</v>
      </c>
      <c r="AN292" s="1" t="s">
        <v>465</v>
      </c>
      <c r="AO292" s="1" t="s">
        <v>5140</v>
      </c>
      <c r="AP292" s="1">
        <v>0</v>
      </c>
      <c r="AQ292" s="1" t="s">
        <v>1158</v>
      </c>
      <c r="AR292" s="1" t="s">
        <v>1182</v>
      </c>
      <c r="AS292" s="1" t="s">
        <v>1157</v>
      </c>
      <c r="AT292" s="1" t="s">
        <v>329</v>
      </c>
      <c r="AU292" s="1">
        <v>171</v>
      </c>
      <c r="AV292" s="1">
        <v>0</v>
      </c>
      <c r="AW292" s="1" t="s">
        <v>5350</v>
      </c>
      <c r="AX292" s="1" t="s">
        <v>5351</v>
      </c>
      <c r="AY292" s="1">
        <v>3</v>
      </c>
      <c r="AZ292" s="1">
        <v>0</v>
      </c>
      <c r="BA292" s="1" t="s">
        <v>329</v>
      </c>
      <c r="BB292" s="1" t="s">
        <v>329</v>
      </c>
      <c r="BC292" s="1" t="s">
        <v>329</v>
      </c>
      <c r="BD292" s="1">
        <v>10802</v>
      </c>
      <c r="BE292" s="1"/>
    </row>
    <row r="293" spans="1:57" x14ac:dyDescent="0.25">
      <c r="A293" s="1">
        <v>299</v>
      </c>
      <c r="B293" s="1" t="s">
        <v>3949</v>
      </c>
      <c r="C293" s="9" t="s">
        <v>247</v>
      </c>
      <c r="D293" s="1" t="s">
        <v>247</v>
      </c>
      <c r="E293" s="1"/>
      <c r="F293" s="1"/>
      <c r="G293" s="1" t="s">
        <v>3950</v>
      </c>
      <c r="H293" s="1" t="s">
        <v>3951</v>
      </c>
      <c r="I293" s="1" t="s">
        <v>3952</v>
      </c>
      <c r="J293" s="1">
        <v>6</v>
      </c>
      <c r="K293" s="1">
        <v>3</v>
      </c>
      <c r="L293" s="1">
        <v>26100</v>
      </c>
      <c r="M293" s="1">
        <v>30</v>
      </c>
      <c r="N293" s="1">
        <v>40</v>
      </c>
      <c r="O293" s="1">
        <v>15</v>
      </c>
      <c r="P293" s="1">
        <v>25</v>
      </c>
      <c r="Q293" s="1">
        <v>5</v>
      </c>
      <c r="R293" s="1">
        <v>2</v>
      </c>
      <c r="S293" s="1">
        <v>5</v>
      </c>
      <c r="T293" s="1">
        <v>5</v>
      </c>
      <c r="U293" s="1">
        <v>112</v>
      </c>
      <c r="V293" s="1">
        <v>115</v>
      </c>
      <c r="W293" s="1">
        <v>105</v>
      </c>
      <c r="X293" s="1">
        <v>100</v>
      </c>
      <c r="Y293" s="1">
        <v>115</v>
      </c>
      <c r="Z293" s="1">
        <v>100</v>
      </c>
      <c r="AA293" s="1">
        <v>115</v>
      </c>
      <c r="AB293" s="1">
        <v>15</v>
      </c>
      <c r="AC293" s="1">
        <v>40</v>
      </c>
      <c r="AD293" s="1">
        <v>4</v>
      </c>
      <c r="AE293" s="1">
        <v>105</v>
      </c>
      <c r="AF293" s="1">
        <v>100</v>
      </c>
      <c r="AG293" s="1">
        <v>105405</v>
      </c>
      <c r="AH293" s="1">
        <v>0</v>
      </c>
      <c r="AI293" s="1">
        <v>300106</v>
      </c>
      <c r="AJ293" s="1" t="s">
        <v>5352</v>
      </c>
      <c r="AK293" s="1" t="s">
        <v>329</v>
      </c>
      <c r="AL293" s="1">
        <v>8</v>
      </c>
      <c r="AM293" s="1" t="s">
        <v>4776</v>
      </c>
      <c r="AN293" s="1" t="s">
        <v>399</v>
      </c>
      <c r="AO293" s="1" t="s">
        <v>5128</v>
      </c>
      <c r="AP293" s="1">
        <v>0</v>
      </c>
      <c r="AQ293" s="1" t="s">
        <v>1228</v>
      </c>
      <c r="AR293" s="1" t="s">
        <v>1229</v>
      </c>
      <c r="AS293" s="1" t="s">
        <v>1230</v>
      </c>
      <c r="AT293" s="1" t="s">
        <v>329</v>
      </c>
      <c r="AU293" s="1">
        <v>190</v>
      </c>
      <c r="AV293" s="1">
        <v>0</v>
      </c>
      <c r="AW293" s="1" t="s">
        <v>5353</v>
      </c>
      <c r="AX293" s="1" t="s">
        <v>5354</v>
      </c>
      <c r="AY293" s="1">
        <v>3</v>
      </c>
      <c r="AZ293" s="1">
        <v>0</v>
      </c>
      <c r="BA293" s="1" t="s">
        <v>329</v>
      </c>
      <c r="BB293" s="1" t="s">
        <v>329</v>
      </c>
      <c r="BC293" s="1" t="s">
        <v>4780</v>
      </c>
      <c r="BD293" s="1">
        <v>10402</v>
      </c>
      <c r="BE293" s="1"/>
    </row>
    <row r="294" spans="1:57" x14ac:dyDescent="0.25">
      <c r="A294" s="1">
        <v>300</v>
      </c>
      <c r="B294" s="1" t="s">
        <v>3953</v>
      </c>
      <c r="C294" s="9" t="s">
        <v>800</v>
      </c>
      <c r="D294" s="1" t="s">
        <v>800</v>
      </c>
      <c r="E294" s="1"/>
      <c r="F294" s="1"/>
      <c r="G294" s="1" t="s">
        <v>3954</v>
      </c>
      <c r="H294" s="1" t="s">
        <v>3955</v>
      </c>
      <c r="I294" s="1" t="s">
        <v>3956</v>
      </c>
      <c r="J294" s="1">
        <v>5</v>
      </c>
      <c r="K294" s="1">
        <v>3</v>
      </c>
      <c r="L294" s="1">
        <v>22500</v>
      </c>
      <c r="M294" s="1">
        <v>40</v>
      </c>
      <c r="N294" s="1">
        <v>30</v>
      </c>
      <c r="O294" s="1">
        <v>25</v>
      </c>
      <c r="P294" s="1">
        <v>15</v>
      </c>
      <c r="Q294" s="1">
        <v>5</v>
      </c>
      <c r="R294" s="1">
        <v>5</v>
      </c>
      <c r="S294" s="1">
        <v>2</v>
      </c>
      <c r="T294" s="1">
        <v>5</v>
      </c>
      <c r="U294" s="1">
        <v>100</v>
      </c>
      <c r="V294" s="1">
        <v>115</v>
      </c>
      <c r="W294" s="1">
        <v>105</v>
      </c>
      <c r="X294" s="1">
        <v>100</v>
      </c>
      <c r="Y294" s="1">
        <v>130</v>
      </c>
      <c r="Z294" s="1">
        <v>115</v>
      </c>
      <c r="AA294" s="1">
        <v>0</v>
      </c>
      <c r="AB294" s="1">
        <v>15</v>
      </c>
      <c r="AC294" s="1">
        <v>5</v>
      </c>
      <c r="AD294" s="1">
        <v>8</v>
      </c>
      <c r="AE294" s="1">
        <v>118</v>
      </c>
      <c r="AF294" s="1">
        <v>100</v>
      </c>
      <c r="AG294" s="1">
        <v>100110</v>
      </c>
      <c r="AH294" s="1">
        <v>0</v>
      </c>
      <c r="AI294" s="1">
        <v>300105</v>
      </c>
      <c r="AJ294" s="1" t="s">
        <v>4982</v>
      </c>
      <c r="AK294" s="1" t="s">
        <v>329</v>
      </c>
      <c r="AL294" s="1">
        <v>18</v>
      </c>
      <c r="AM294" s="1" t="s">
        <v>4918</v>
      </c>
      <c r="AN294" s="1" t="s">
        <v>4991</v>
      </c>
      <c r="AO294" s="1" t="s">
        <v>5004</v>
      </c>
      <c r="AP294" s="1">
        <v>0</v>
      </c>
      <c r="AQ294" s="1" t="s">
        <v>1195</v>
      </c>
      <c r="AR294" s="1" t="s">
        <v>1196</v>
      </c>
      <c r="AS294" s="1" t="s">
        <v>1197</v>
      </c>
      <c r="AT294" s="1" t="s">
        <v>329</v>
      </c>
      <c r="AU294" s="1">
        <v>208</v>
      </c>
      <c r="AV294" s="1">
        <v>0</v>
      </c>
      <c r="AW294" s="1" t="s">
        <v>5355</v>
      </c>
      <c r="AX294" s="1" t="s">
        <v>5356</v>
      </c>
      <c r="AY294" s="1">
        <v>3</v>
      </c>
      <c r="AZ294" s="1">
        <v>0</v>
      </c>
      <c r="BA294" s="1" t="s">
        <v>329</v>
      </c>
      <c r="BB294" s="1" t="s">
        <v>329</v>
      </c>
      <c r="BC294" s="1" t="s">
        <v>329</v>
      </c>
      <c r="BD294" s="1">
        <v>10702</v>
      </c>
      <c r="BE294" s="1"/>
    </row>
    <row r="295" spans="1:57" x14ac:dyDescent="0.25">
      <c r="A295" s="1">
        <v>301</v>
      </c>
      <c r="B295" s="1" t="s">
        <v>3957</v>
      </c>
      <c r="C295" s="9" t="s">
        <v>1693</v>
      </c>
      <c r="D295" s="1" t="s">
        <v>1693</v>
      </c>
      <c r="E295" s="1"/>
      <c r="F295" s="1"/>
      <c r="G295" s="1" t="s">
        <v>3958</v>
      </c>
      <c r="H295" s="1" t="s">
        <v>3959</v>
      </c>
      <c r="I295" s="1" t="s">
        <v>3960</v>
      </c>
      <c r="J295" s="1">
        <v>2</v>
      </c>
      <c r="K295" s="1">
        <v>3</v>
      </c>
      <c r="L295" s="1">
        <v>7500</v>
      </c>
      <c r="M295" s="1">
        <v>25</v>
      </c>
      <c r="N295" s="1">
        <v>20</v>
      </c>
      <c r="O295" s="1">
        <v>15</v>
      </c>
      <c r="P295" s="1">
        <v>10</v>
      </c>
      <c r="Q295" s="1">
        <v>5</v>
      </c>
      <c r="R295" s="1">
        <v>5</v>
      </c>
      <c r="S295" s="1">
        <v>2</v>
      </c>
      <c r="T295" s="1">
        <v>0</v>
      </c>
      <c r="U295" s="1">
        <v>108</v>
      </c>
      <c r="V295" s="1">
        <v>95</v>
      </c>
      <c r="W295" s="1">
        <v>105</v>
      </c>
      <c r="X295" s="1">
        <v>100</v>
      </c>
      <c r="Y295" s="1">
        <v>100</v>
      </c>
      <c r="Z295" s="1">
        <v>115</v>
      </c>
      <c r="AA295" s="1">
        <v>0</v>
      </c>
      <c r="AB295" s="1">
        <v>15</v>
      </c>
      <c r="AC295" s="1">
        <v>5</v>
      </c>
      <c r="AD295" s="1">
        <v>0</v>
      </c>
      <c r="AE295" s="1">
        <v>112</v>
      </c>
      <c r="AF295" s="1">
        <v>100</v>
      </c>
      <c r="AG295" s="1">
        <v>101903</v>
      </c>
      <c r="AH295" s="1">
        <v>0</v>
      </c>
      <c r="AI295" s="1">
        <v>300102</v>
      </c>
      <c r="AJ295" s="1" t="s">
        <v>1153</v>
      </c>
      <c r="AK295" s="1" t="s">
        <v>329</v>
      </c>
      <c r="AL295" s="1">
        <v>14</v>
      </c>
      <c r="AM295" s="1" t="s">
        <v>4850</v>
      </c>
      <c r="AN295" s="1" t="s">
        <v>403</v>
      </c>
      <c r="AO295" s="1" t="s">
        <v>5357</v>
      </c>
      <c r="AP295" s="1">
        <v>0</v>
      </c>
      <c r="AQ295" s="1" t="s">
        <v>1157</v>
      </c>
      <c r="AR295" s="1" t="s">
        <v>1147</v>
      </c>
      <c r="AS295" s="1" t="s">
        <v>1158</v>
      </c>
      <c r="AT295" s="1" t="s">
        <v>329</v>
      </c>
      <c r="AU295" s="1">
        <v>116</v>
      </c>
      <c r="AV295" s="1">
        <v>0</v>
      </c>
      <c r="AW295" s="1" t="s">
        <v>5358</v>
      </c>
      <c r="AX295" s="1" t="s">
        <v>5359</v>
      </c>
      <c r="AY295" s="1">
        <v>3</v>
      </c>
      <c r="AZ295" s="1">
        <v>0</v>
      </c>
      <c r="BA295" s="1" t="s">
        <v>329</v>
      </c>
      <c r="BB295" s="1" t="s">
        <v>329</v>
      </c>
      <c r="BC295" s="1" t="s">
        <v>329</v>
      </c>
      <c r="BD295" s="1">
        <v>10704</v>
      </c>
      <c r="BE295" s="1"/>
    </row>
    <row r="296" spans="1:57" x14ac:dyDescent="0.25">
      <c r="A296" s="1">
        <v>302</v>
      </c>
      <c r="B296" s="1" t="s">
        <v>3961</v>
      </c>
      <c r="C296" s="9" t="s">
        <v>1632</v>
      </c>
      <c r="D296" s="1" t="s">
        <v>3962</v>
      </c>
      <c r="E296" s="1"/>
      <c r="F296" s="1"/>
      <c r="G296" s="1" t="s">
        <v>3963</v>
      </c>
      <c r="H296" s="1" t="s">
        <v>3964</v>
      </c>
      <c r="I296" s="1" t="s">
        <v>3965</v>
      </c>
      <c r="J296" s="1">
        <v>6</v>
      </c>
      <c r="K296" s="1">
        <v>4</v>
      </c>
      <c r="L296" s="1">
        <v>27900</v>
      </c>
      <c r="M296" s="1">
        <v>30</v>
      </c>
      <c r="N296" s="1">
        <v>40</v>
      </c>
      <c r="O296" s="1">
        <v>15</v>
      </c>
      <c r="P296" s="1">
        <v>25</v>
      </c>
      <c r="Q296" s="1">
        <v>5</v>
      </c>
      <c r="R296" s="1">
        <v>2</v>
      </c>
      <c r="S296" s="1">
        <v>5</v>
      </c>
      <c r="T296" s="1">
        <v>5</v>
      </c>
      <c r="U296" s="1">
        <v>112</v>
      </c>
      <c r="V296" s="1">
        <v>118</v>
      </c>
      <c r="W296" s="1">
        <v>95</v>
      </c>
      <c r="X296" s="1">
        <v>100</v>
      </c>
      <c r="Y296" s="1">
        <v>95</v>
      </c>
      <c r="Z296" s="1">
        <v>130</v>
      </c>
      <c r="AA296" s="1">
        <v>100</v>
      </c>
      <c r="AB296" s="1">
        <v>15</v>
      </c>
      <c r="AC296" s="1">
        <v>40</v>
      </c>
      <c r="AD296" s="1">
        <v>8</v>
      </c>
      <c r="AE296" s="1">
        <v>120</v>
      </c>
      <c r="AF296" s="1">
        <v>100</v>
      </c>
      <c r="AG296" s="1">
        <v>115801</v>
      </c>
      <c r="AH296" s="1">
        <v>0</v>
      </c>
      <c r="AI296" s="1">
        <v>115803</v>
      </c>
      <c r="AJ296" s="1" t="s">
        <v>1342</v>
      </c>
      <c r="AK296" s="1" t="s">
        <v>1343</v>
      </c>
      <c r="AL296" s="1">
        <v>8</v>
      </c>
      <c r="AM296" s="1" t="s">
        <v>388</v>
      </c>
      <c r="AN296" s="1" t="s">
        <v>5360</v>
      </c>
      <c r="AO296" s="1" t="s">
        <v>4798</v>
      </c>
      <c r="AP296" s="1">
        <v>0</v>
      </c>
      <c r="AQ296" s="1" t="s">
        <v>1228</v>
      </c>
      <c r="AR296" s="1" t="s">
        <v>5120</v>
      </c>
      <c r="AS296" s="1" t="s">
        <v>1230</v>
      </c>
      <c r="AT296" s="1" t="s">
        <v>329</v>
      </c>
      <c r="AU296" s="1">
        <v>165</v>
      </c>
      <c r="AV296" s="1">
        <v>0</v>
      </c>
      <c r="AW296" s="1" t="s">
        <v>5361</v>
      </c>
      <c r="AX296" s="1" t="s">
        <v>5362</v>
      </c>
      <c r="AY296" s="1">
        <v>4</v>
      </c>
      <c r="AZ296" s="1">
        <v>0</v>
      </c>
      <c r="BA296" s="1" t="s">
        <v>329</v>
      </c>
      <c r="BB296" s="1" t="s">
        <v>329</v>
      </c>
      <c r="BC296" s="1" t="s">
        <v>4780</v>
      </c>
      <c r="BD296" s="1">
        <v>10403</v>
      </c>
      <c r="BE296" s="1"/>
    </row>
    <row r="297" spans="1:57" x14ac:dyDescent="0.25">
      <c r="A297" s="1">
        <v>303</v>
      </c>
      <c r="B297" s="1" t="s">
        <v>3966</v>
      </c>
      <c r="C297" s="9" t="s">
        <v>1694</v>
      </c>
      <c r="D297" s="1" t="s">
        <v>3967</v>
      </c>
      <c r="E297" s="1"/>
      <c r="F297" s="1"/>
      <c r="G297" s="1" t="s">
        <v>3968</v>
      </c>
      <c r="H297" s="1" t="s">
        <v>3969</v>
      </c>
      <c r="I297" s="1" t="s">
        <v>3970</v>
      </c>
      <c r="J297" s="1">
        <v>1</v>
      </c>
      <c r="K297" s="1">
        <v>5</v>
      </c>
      <c r="L297" s="1">
        <v>5700</v>
      </c>
      <c r="M297" s="1">
        <v>10</v>
      </c>
      <c r="N297" s="1">
        <v>10</v>
      </c>
      <c r="O297" s="1">
        <v>5</v>
      </c>
      <c r="P297" s="1">
        <v>5</v>
      </c>
      <c r="Q297" s="1">
        <v>2</v>
      </c>
      <c r="R297" s="1">
        <v>2</v>
      </c>
      <c r="S297" s="1">
        <v>2</v>
      </c>
      <c r="T297" s="1">
        <v>0</v>
      </c>
      <c r="U297" s="1">
        <v>115</v>
      </c>
      <c r="V297" s="1">
        <v>108</v>
      </c>
      <c r="W297" s="1">
        <v>105</v>
      </c>
      <c r="X297" s="1">
        <v>100</v>
      </c>
      <c r="Y297" s="1">
        <v>120</v>
      </c>
      <c r="Z297" s="1">
        <v>112</v>
      </c>
      <c r="AA297" s="1">
        <v>0</v>
      </c>
      <c r="AB297" s="1">
        <v>15</v>
      </c>
      <c r="AC297" s="1">
        <v>20</v>
      </c>
      <c r="AD297" s="1">
        <v>0</v>
      </c>
      <c r="AE297" s="1">
        <v>128</v>
      </c>
      <c r="AF297" s="1">
        <v>100</v>
      </c>
      <c r="AG297" s="1">
        <v>900628</v>
      </c>
      <c r="AH297" s="1">
        <v>0</v>
      </c>
      <c r="AI297" s="1">
        <v>300101</v>
      </c>
      <c r="AJ297" s="1" t="s">
        <v>329</v>
      </c>
      <c r="AK297" s="1" t="s">
        <v>1344</v>
      </c>
      <c r="AL297" s="1">
        <v>14</v>
      </c>
      <c r="AM297" s="1" t="s">
        <v>1866</v>
      </c>
      <c r="AN297" s="1" t="s">
        <v>5363</v>
      </c>
      <c r="AO297" s="1" t="s">
        <v>5014</v>
      </c>
      <c r="AP297" s="1">
        <v>0</v>
      </c>
      <c r="AQ297" s="1" t="s">
        <v>1146</v>
      </c>
      <c r="AR297" s="1" t="s">
        <v>1147</v>
      </c>
      <c r="AS297" s="1" t="s">
        <v>1148</v>
      </c>
      <c r="AT297" s="1" t="s">
        <v>329</v>
      </c>
      <c r="AU297" s="1">
        <v>96</v>
      </c>
      <c r="AV297" s="1">
        <v>0</v>
      </c>
      <c r="AW297" s="1" t="s">
        <v>5364</v>
      </c>
      <c r="AX297" s="1" t="s">
        <v>4822</v>
      </c>
      <c r="AY297" s="1">
        <v>5</v>
      </c>
      <c r="AZ297" s="1">
        <v>0</v>
      </c>
      <c r="BA297" s="1" t="s">
        <v>329</v>
      </c>
      <c r="BB297" s="1" t="s">
        <v>329</v>
      </c>
      <c r="BC297" s="1" t="s">
        <v>4780</v>
      </c>
      <c r="BD297" s="1">
        <v>10402</v>
      </c>
      <c r="BE297" s="1"/>
    </row>
    <row r="298" spans="1:57" x14ac:dyDescent="0.25">
      <c r="A298" s="1">
        <v>304</v>
      </c>
      <c r="B298" s="1" t="s">
        <v>3971</v>
      </c>
      <c r="C298" s="9" t="s">
        <v>801</v>
      </c>
      <c r="D298" s="1" t="s">
        <v>801</v>
      </c>
      <c r="E298" s="1"/>
      <c r="F298" s="1"/>
      <c r="G298" s="1" t="s">
        <v>3972</v>
      </c>
      <c r="H298" s="1" t="s">
        <v>3973</v>
      </c>
      <c r="I298" s="1" t="s">
        <v>3974</v>
      </c>
      <c r="J298" s="1">
        <v>2</v>
      </c>
      <c r="K298" s="1">
        <v>4</v>
      </c>
      <c r="L298" s="1">
        <v>7800</v>
      </c>
      <c r="M298" s="1">
        <v>25</v>
      </c>
      <c r="N298" s="1">
        <v>20</v>
      </c>
      <c r="O298" s="1">
        <v>15</v>
      </c>
      <c r="P298" s="1">
        <v>10</v>
      </c>
      <c r="Q298" s="1">
        <v>5</v>
      </c>
      <c r="R298" s="1">
        <v>5</v>
      </c>
      <c r="S298" s="1">
        <v>2</v>
      </c>
      <c r="T298" s="1">
        <v>0</v>
      </c>
      <c r="U298" s="1">
        <v>102</v>
      </c>
      <c r="V298" s="1">
        <v>100</v>
      </c>
      <c r="W298" s="1">
        <v>128</v>
      </c>
      <c r="X298" s="1">
        <v>100</v>
      </c>
      <c r="Y298" s="1">
        <v>125</v>
      </c>
      <c r="Z298" s="1">
        <v>120</v>
      </c>
      <c r="AA298" s="1">
        <v>0</v>
      </c>
      <c r="AB298" s="1">
        <v>15</v>
      </c>
      <c r="AC298" s="1">
        <v>5</v>
      </c>
      <c r="AD298" s="1">
        <v>0</v>
      </c>
      <c r="AE298" s="1">
        <v>102</v>
      </c>
      <c r="AF298" s="1">
        <v>100</v>
      </c>
      <c r="AG298" s="1">
        <v>115602</v>
      </c>
      <c r="AH298" s="1">
        <v>0</v>
      </c>
      <c r="AI298" s="1">
        <v>300102</v>
      </c>
      <c r="AJ298" s="1" t="s">
        <v>1345</v>
      </c>
      <c r="AK298" s="1" t="s">
        <v>1346</v>
      </c>
      <c r="AL298" s="1">
        <v>12</v>
      </c>
      <c r="AM298" s="1" t="s">
        <v>4850</v>
      </c>
      <c r="AN298" s="1" t="s">
        <v>5365</v>
      </c>
      <c r="AO298" s="1" t="s">
        <v>4974</v>
      </c>
      <c r="AP298" s="1">
        <v>0</v>
      </c>
      <c r="AQ298" s="1" t="s">
        <v>1157</v>
      </c>
      <c r="AR298" s="1" t="s">
        <v>1147</v>
      </c>
      <c r="AS298" s="1" t="s">
        <v>1158</v>
      </c>
      <c r="AT298" s="1" t="s">
        <v>329</v>
      </c>
      <c r="AU298" s="1">
        <v>150</v>
      </c>
      <c r="AV298" s="1">
        <v>0</v>
      </c>
      <c r="AW298" s="1" t="s">
        <v>5364</v>
      </c>
      <c r="AX298" s="1" t="s">
        <v>332</v>
      </c>
      <c r="AY298" s="1">
        <v>4</v>
      </c>
      <c r="AZ298" s="1">
        <v>0</v>
      </c>
      <c r="BA298" s="1" t="s">
        <v>329</v>
      </c>
      <c r="BB298" s="1" t="s">
        <v>329</v>
      </c>
      <c r="BC298" s="1" t="s">
        <v>329</v>
      </c>
      <c r="BD298" s="1">
        <v>10402</v>
      </c>
      <c r="BE298" s="1"/>
    </row>
    <row r="299" spans="1:57" x14ac:dyDescent="0.25">
      <c r="A299" s="1">
        <v>305</v>
      </c>
      <c r="B299" s="1" t="s">
        <v>3975</v>
      </c>
      <c r="C299" s="9" t="s">
        <v>802</v>
      </c>
      <c r="D299" s="1" t="s">
        <v>802</v>
      </c>
      <c r="E299" s="1"/>
      <c r="F299" s="1"/>
      <c r="G299" s="1" t="s">
        <v>3976</v>
      </c>
      <c r="H299" s="1" t="s">
        <v>3977</v>
      </c>
      <c r="I299" s="1" t="s">
        <v>3978</v>
      </c>
      <c r="J299" s="1">
        <v>3</v>
      </c>
      <c r="K299" s="1">
        <v>4</v>
      </c>
      <c r="L299" s="1">
        <v>15900</v>
      </c>
      <c r="M299" s="1">
        <v>15</v>
      </c>
      <c r="N299" s="1">
        <v>30</v>
      </c>
      <c r="O299" s="1">
        <v>10</v>
      </c>
      <c r="P299" s="1">
        <v>15</v>
      </c>
      <c r="Q299" s="1">
        <v>5</v>
      </c>
      <c r="R299" s="1">
        <v>2</v>
      </c>
      <c r="S299" s="1">
        <v>5</v>
      </c>
      <c r="T299" s="1">
        <v>0</v>
      </c>
      <c r="U299" s="1">
        <v>95</v>
      </c>
      <c r="V299" s="1">
        <v>105</v>
      </c>
      <c r="W299" s="1">
        <v>115</v>
      </c>
      <c r="X299" s="1">
        <v>100</v>
      </c>
      <c r="Y299" s="1">
        <v>120</v>
      </c>
      <c r="Z299" s="1">
        <v>105</v>
      </c>
      <c r="AA299" s="1">
        <v>0</v>
      </c>
      <c r="AB299" s="1">
        <v>15</v>
      </c>
      <c r="AC299" s="1">
        <v>40</v>
      </c>
      <c r="AD299" s="1">
        <v>0</v>
      </c>
      <c r="AE299" s="1">
        <v>122</v>
      </c>
      <c r="AF299" s="1">
        <v>100</v>
      </c>
      <c r="AG299" s="1">
        <v>900626</v>
      </c>
      <c r="AH299" s="1">
        <v>0</v>
      </c>
      <c r="AI299" s="1">
        <v>900625</v>
      </c>
      <c r="AJ299" s="1" t="s">
        <v>329</v>
      </c>
      <c r="AK299" s="1" t="s">
        <v>329</v>
      </c>
      <c r="AL299" s="1">
        <v>13</v>
      </c>
      <c r="AM299" s="1" t="s">
        <v>4822</v>
      </c>
      <c r="AN299" s="1" t="s">
        <v>465</v>
      </c>
      <c r="AO299" s="1" t="s">
        <v>4892</v>
      </c>
      <c r="AP299" s="1">
        <v>0</v>
      </c>
      <c r="AQ299" s="1" t="s">
        <v>1168</v>
      </c>
      <c r="AR299" s="1" t="s">
        <v>1169</v>
      </c>
      <c r="AS299" s="1" t="s">
        <v>1170</v>
      </c>
      <c r="AT299" s="1" t="s">
        <v>329</v>
      </c>
      <c r="AU299" s="1">
        <v>200</v>
      </c>
      <c r="AV299" s="1">
        <v>0</v>
      </c>
      <c r="AW299" s="1" t="s">
        <v>5364</v>
      </c>
      <c r="AX299" s="1" t="s">
        <v>332</v>
      </c>
      <c r="AY299" s="1">
        <v>4</v>
      </c>
      <c r="AZ299" s="1">
        <v>0</v>
      </c>
      <c r="BA299" s="1" t="s">
        <v>329</v>
      </c>
      <c r="BB299" s="1" t="s">
        <v>329</v>
      </c>
      <c r="BC299" s="1" t="s">
        <v>329</v>
      </c>
      <c r="BD299" s="1">
        <v>10802</v>
      </c>
      <c r="BE299" s="1"/>
    </row>
    <row r="300" spans="1:57" x14ac:dyDescent="0.25">
      <c r="A300" s="1">
        <v>306</v>
      </c>
      <c r="B300" s="1" t="s">
        <v>3979</v>
      </c>
      <c r="C300" s="9" t="s">
        <v>1695</v>
      </c>
      <c r="D300" s="1" t="s">
        <v>1695</v>
      </c>
      <c r="E300" s="1"/>
      <c r="F300" s="1"/>
      <c r="G300" s="1" t="s">
        <v>3980</v>
      </c>
      <c r="H300" s="1" t="s">
        <v>3981</v>
      </c>
      <c r="I300" s="1" t="s">
        <v>3982</v>
      </c>
      <c r="J300" s="1">
        <v>4</v>
      </c>
      <c r="K300" s="1">
        <v>5</v>
      </c>
      <c r="L300" s="1">
        <v>14160</v>
      </c>
      <c r="M300" s="1">
        <v>20</v>
      </c>
      <c r="N300" s="1">
        <v>20</v>
      </c>
      <c r="O300" s="1">
        <v>10</v>
      </c>
      <c r="P300" s="1">
        <v>10</v>
      </c>
      <c r="Q300" s="1">
        <v>2</v>
      </c>
      <c r="R300" s="1">
        <v>5</v>
      </c>
      <c r="S300" s="1">
        <v>5</v>
      </c>
      <c r="T300" s="1">
        <v>0</v>
      </c>
      <c r="U300" s="1">
        <v>105</v>
      </c>
      <c r="V300" s="1">
        <v>116</v>
      </c>
      <c r="W300" s="1">
        <v>108</v>
      </c>
      <c r="X300" s="1">
        <v>100</v>
      </c>
      <c r="Y300" s="1">
        <v>118</v>
      </c>
      <c r="Z300" s="1">
        <v>115</v>
      </c>
      <c r="AA300" s="1">
        <v>0</v>
      </c>
      <c r="AB300" s="1">
        <v>15</v>
      </c>
      <c r="AC300" s="1">
        <v>20</v>
      </c>
      <c r="AD300" s="1">
        <v>0</v>
      </c>
      <c r="AE300" s="1">
        <v>132</v>
      </c>
      <c r="AF300" s="1">
        <v>100</v>
      </c>
      <c r="AG300" s="1">
        <v>115701</v>
      </c>
      <c r="AH300" s="1">
        <v>0</v>
      </c>
      <c r="AI300" s="1">
        <v>115703</v>
      </c>
      <c r="AJ300" s="1" t="s">
        <v>5366</v>
      </c>
      <c r="AK300" s="1" t="s">
        <v>1347</v>
      </c>
      <c r="AL300" s="1">
        <v>18</v>
      </c>
      <c r="AM300" s="1" t="s">
        <v>399</v>
      </c>
      <c r="AN300" s="1" t="s">
        <v>5367</v>
      </c>
      <c r="AO300" s="1" t="s">
        <v>5229</v>
      </c>
      <c r="AP300" s="1">
        <v>0</v>
      </c>
      <c r="AQ300" s="1" t="s">
        <v>1158</v>
      </c>
      <c r="AR300" s="1" t="s">
        <v>1182</v>
      </c>
      <c r="AS300" s="1" t="s">
        <v>1157</v>
      </c>
      <c r="AT300" s="1" t="s">
        <v>329</v>
      </c>
      <c r="AU300" s="1">
        <v>215</v>
      </c>
      <c r="AV300" s="1">
        <v>0</v>
      </c>
      <c r="AW300" s="1" t="s">
        <v>5364</v>
      </c>
      <c r="AX300" s="1" t="s">
        <v>332</v>
      </c>
      <c r="AY300" s="1">
        <v>5</v>
      </c>
      <c r="AZ300" s="1">
        <v>0</v>
      </c>
      <c r="BA300" s="1" t="s">
        <v>329</v>
      </c>
      <c r="BB300" s="1" t="s">
        <v>329</v>
      </c>
      <c r="BC300" s="1" t="s">
        <v>4780</v>
      </c>
      <c r="BD300" s="1">
        <v>10402</v>
      </c>
      <c r="BE300" s="1"/>
    </row>
    <row r="301" spans="1:57" x14ac:dyDescent="0.25">
      <c r="A301" s="1">
        <v>307</v>
      </c>
      <c r="B301" s="1" t="s">
        <v>3983</v>
      </c>
      <c r="C301" s="9" t="s">
        <v>1696</v>
      </c>
      <c r="D301" s="1" t="s">
        <v>1696</v>
      </c>
      <c r="E301" s="1"/>
      <c r="F301" s="1"/>
      <c r="G301" s="1" t="s">
        <v>3984</v>
      </c>
      <c r="H301" s="1" t="s">
        <v>3985</v>
      </c>
      <c r="I301" s="1" t="s">
        <v>3986</v>
      </c>
      <c r="J301" s="1">
        <v>5</v>
      </c>
      <c r="K301" s="1">
        <v>5</v>
      </c>
      <c r="L301" s="1">
        <v>23160</v>
      </c>
      <c r="M301" s="1">
        <v>40</v>
      </c>
      <c r="N301" s="1">
        <v>30</v>
      </c>
      <c r="O301" s="1">
        <v>25</v>
      </c>
      <c r="P301" s="1">
        <v>15</v>
      </c>
      <c r="Q301" s="1">
        <v>5</v>
      </c>
      <c r="R301" s="1">
        <v>5</v>
      </c>
      <c r="S301" s="1">
        <v>2</v>
      </c>
      <c r="T301" s="1">
        <v>5</v>
      </c>
      <c r="U301" s="1">
        <v>110</v>
      </c>
      <c r="V301" s="1">
        <v>116</v>
      </c>
      <c r="W301" s="1">
        <v>105</v>
      </c>
      <c r="X301" s="1">
        <v>100</v>
      </c>
      <c r="Y301" s="1">
        <v>110</v>
      </c>
      <c r="Z301" s="1">
        <v>115</v>
      </c>
      <c r="AA301" s="1">
        <v>0</v>
      </c>
      <c r="AB301" s="1">
        <v>15</v>
      </c>
      <c r="AC301" s="1">
        <v>5</v>
      </c>
      <c r="AD301" s="1">
        <v>9</v>
      </c>
      <c r="AE301" s="1">
        <v>130</v>
      </c>
      <c r="AF301" s="1">
        <v>100</v>
      </c>
      <c r="AG301" s="1">
        <v>115901</v>
      </c>
      <c r="AH301" s="1">
        <v>0</v>
      </c>
      <c r="AI301" s="1">
        <v>115902</v>
      </c>
      <c r="AJ301" s="1" t="s">
        <v>1348</v>
      </c>
      <c r="AK301" s="1" t="s">
        <v>1349</v>
      </c>
      <c r="AL301" s="1">
        <v>18</v>
      </c>
      <c r="AM301" s="1" t="s">
        <v>4918</v>
      </c>
      <c r="AN301" s="1" t="s">
        <v>5294</v>
      </c>
      <c r="AO301" s="1" t="s">
        <v>5368</v>
      </c>
      <c r="AP301" s="1">
        <v>0</v>
      </c>
      <c r="AQ301" s="1" t="s">
        <v>1195</v>
      </c>
      <c r="AR301" s="1" t="s">
        <v>1196</v>
      </c>
      <c r="AS301" s="1" t="s">
        <v>1197</v>
      </c>
      <c r="AT301" s="1" t="s">
        <v>329</v>
      </c>
      <c r="AU301" s="1">
        <v>238</v>
      </c>
      <c r="AV301" s="1">
        <v>0</v>
      </c>
      <c r="AW301" s="1" t="s">
        <v>5364</v>
      </c>
      <c r="AX301" s="1" t="s">
        <v>332</v>
      </c>
      <c r="AY301" s="1">
        <v>5</v>
      </c>
      <c r="AZ301" s="1">
        <v>0</v>
      </c>
      <c r="BA301" s="1" t="s">
        <v>329</v>
      </c>
      <c r="BB301" s="1" t="s">
        <v>329</v>
      </c>
      <c r="BC301" s="1" t="s">
        <v>329</v>
      </c>
      <c r="BD301" s="1">
        <v>10302</v>
      </c>
      <c r="BE301" s="1"/>
    </row>
    <row r="302" spans="1:57" x14ac:dyDescent="0.25">
      <c r="A302" s="1">
        <v>308</v>
      </c>
      <c r="B302" s="1" t="s">
        <v>3987</v>
      </c>
      <c r="C302" s="9" t="s">
        <v>803</v>
      </c>
      <c r="D302" s="1" t="s">
        <v>803</v>
      </c>
      <c r="E302" s="1"/>
      <c r="F302" s="1"/>
      <c r="G302" s="1" t="s">
        <v>3988</v>
      </c>
      <c r="H302" s="1" t="s">
        <v>3989</v>
      </c>
      <c r="I302" s="1" t="s">
        <v>3990</v>
      </c>
      <c r="J302" s="1">
        <v>3</v>
      </c>
      <c r="K302" s="1">
        <v>3</v>
      </c>
      <c r="L302" s="1">
        <v>15600</v>
      </c>
      <c r="M302" s="1">
        <v>15</v>
      </c>
      <c r="N302" s="1">
        <v>30</v>
      </c>
      <c r="O302" s="1">
        <v>10</v>
      </c>
      <c r="P302" s="1">
        <v>15</v>
      </c>
      <c r="Q302" s="1">
        <v>5</v>
      </c>
      <c r="R302" s="1">
        <v>2</v>
      </c>
      <c r="S302" s="1">
        <v>5</v>
      </c>
      <c r="T302" s="1">
        <v>0</v>
      </c>
      <c r="U302" s="1">
        <v>105</v>
      </c>
      <c r="V302" s="1">
        <v>122</v>
      </c>
      <c r="W302" s="1">
        <v>95</v>
      </c>
      <c r="X302" s="1">
        <v>100</v>
      </c>
      <c r="Y302" s="1">
        <v>120</v>
      </c>
      <c r="Z302" s="1">
        <v>90</v>
      </c>
      <c r="AA302" s="1">
        <v>0</v>
      </c>
      <c r="AB302" s="1">
        <v>15</v>
      </c>
      <c r="AC302" s="1">
        <v>40</v>
      </c>
      <c r="AD302" s="1">
        <v>0</v>
      </c>
      <c r="AE302" s="1">
        <v>115</v>
      </c>
      <c r="AF302" s="1">
        <v>100</v>
      </c>
      <c r="AG302" s="1">
        <v>100402</v>
      </c>
      <c r="AH302" s="1">
        <v>0</v>
      </c>
      <c r="AI302" s="1">
        <v>300104</v>
      </c>
      <c r="AJ302" s="1" t="s">
        <v>1153</v>
      </c>
      <c r="AK302" s="1" t="s">
        <v>329</v>
      </c>
      <c r="AL302" s="1">
        <v>13</v>
      </c>
      <c r="AM302" s="1" t="s">
        <v>4822</v>
      </c>
      <c r="AN302" s="1" t="s">
        <v>4944</v>
      </c>
      <c r="AO302" s="1" t="s">
        <v>4886</v>
      </c>
      <c r="AP302" s="1">
        <v>0</v>
      </c>
      <c r="AQ302" s="1" t="s">
        <v>1168</v>
      </c>
      <c r="AR302" s="1" t="s">
        <v>1169</v>
      </c>
      <c r="AS302" s="1" t="s">
        <v>1170</v>
      </c>
      <c r="AT302" s="1" t="s">
        <v>329</v>
      </c>
      <c r="AU302" s="1">
        <v>241</v>
      </c>
      <c r="AV302" s="1">
        <v>0</v>
      </c>
      <c r="AW302" s="1" t="s">
        <v>5369</v>
      </c>
      <c r="AX302" s="1" t="s">
        <v>5370</v>
      </c>
      <c r="AY302" s="1">
        <v>3</v>
      </c>
      <c r="AZ302" s="1">
        <v>0</v>
      </c>
      <c r="BA302" s="1" t="s">
        <v>329</v>
      </c>
      <c r="BB302" s="1" t="s">
        <v>329</v>
      </c>
      <c r="BC302" s="1" t="s">
        <v>329</v>
      </c>
      <c r="BD302" s="1">
        <v>10303</v>
      </c>
      <c r="BE302" s="1"/>
    </row>
    <row r="303" spans="1:57" x14ac:dyDescent="0.25">
      <c r="A303" s="1">
        <v>309</v>
      </c>
      <c r="B303" s="1" t="s">
        <v>3991</v>
      </c>
      <c r="C303" s="9" t="s">
        <v>804</v>
      </c>
      <c r="D303" s="1" t="s">
        <v>3992</v>
      </c>
      <c r="E303" s="1"/>
      <c r="F303" s="1"/>
      <c r="G303" s="1" t="s">
        <v>3993</v>
      </c>
      <c r="H303" s="1" t="s">
        <v>3994</v>
      </c>
      <c r="I303" s="1" t="s">
        <v>3995</v>
      </c>
      <c r="J303" s="1">
        <v>1</v>
      </c>
      <c r="K303" s="1">
        <v>3</v>
      </c>
      <c r="L303" s="1">
        <v>2700</v>
      </c>
      <c r="M303" s="1">
        <v>10</v>
      </c>
      <c r="N303" s="1">
        <v>10</v>
      </c>
      <c r="O303" s="1">
        <v>5</v>
      </c>
      <c r="P303" s="1">
        <v>5</v>
      </c>
      <c r="Q303" s="1">
        <v>2</v>
      </c>
      <c r="R303" s="1">
        <v>2</v>
      </c>
      <c r="S303" s="1">
        <v>2</v>
      </c>
      <c r="T303" s="1">
        <v>0</v>
      </c>
      <c r="U303" s="1">
        <v>120</v>
      </c>
      <c r="V303" s="1">
        <v>140</v>
      </c>
      <c r="W303" s="1">
        <v>80</v>
      </c>
      <c r="X303" s="1">
        <v>100</v>
      </c>
      <c r="Y303" s="1">
        <v>90</v>
      </c>
      <c r="Z303" s="1">
        <v>80</v>
      </c>
      <c r="AA303" s="1">
        <v>0</v>
      </c>
      <c r="AB303" s="1">
        <v>15</v>
      </c>
      <c r="AC303" s="1">
        <v>20</v>
      </c>
      <c r="AD303" s="1">
        <v>0</v>
      </c>
      <c r="AE303" s="1">
        <v>130</v>
      </c>
      <c r="AF303" s="1">
        <v>100</v>
      </c>
      <c r="AG303" s="1">
        <v>900763</v>
      </c>
      <c r="AH303" s="1">
        <v>0</v>
      </c>
      <c r="AI303" s="1">
        <v>900760</v>
      </c>
      <c r="AJ303" s="1" t="s">
        <v>1350</v>
      </c>
      <c r="AK303" s="1" t="s">
        <v>1351</v>
      </c>
      <c r="AL303" s="1">
        <v>14</v>
      </c>
      <c r="AM303" s="1" t="s">
        <v>1866</v>
      </c>
      <c r="AN303" s="1" t="s">
        <v>5371</v>
      </c>
      <c r="AO303" s="1" t="s">
        <v>4869</v>
      </c>
      <c r="AP303" s="1">
        <v>0</v>
      </c>
      <c r="AQ303" s="1" t="s">
        <v>1146</v>
      </c>
      <c r="AR303" s="1" t="s">
        <v>1147</v>
      </c>
      <c r="AS303" s="1" t="s">
        <v>1148</v>
      </c>
      <c r="AT303" s="1" t="s">
        <v>329</v>
      </c>
      <c r="AU303" s="1">
        <v>15</v>
      </c>
      <c r="AV303" s="1">
        <v>0</v>
      </c>
      <c r="AW303" s="1" t="s">
        <v>5372</v>
      </c>
      <c r="AX303" s="1" t="s">
        <v>5373</v>
      </c>
      <c r="AY303" s="1">
        <v>3</v>
      </c>
      <c r="AZ303" s="1">
        <v>0</v>
      </c>
      <c r="BA303" s="1" t="s">
        <v>329</v>
      </c>
      <c r="BB303" s="1" t="s">
        <v>329</v>
      </c>
      <c r="BC303" s="1" t="s">
        <v>4829</v>
      </c>
      <c r="BD303" s="1">
        <v>10303</v>
      </c>
      <c r="BE303" s="1"/>
    </row>
    <row r="304" spans="1:57" x14ac:dyDescent="0.25">
      <c r="A304" s="1">
        <v>310</v>
      </c>
      <c r="B304" s="1" t="s">
        <v>3996</v>
      </c>
      <c r="C304" s="9" t="s">
        <v>805</v>
      </c>
      <c r="D304" s="1" t="s">
        <v>3997</v>
      </c>
      <c r="E304" s="1"/>
      <c r="F304" s="1"/>
      <c r="G304" s="1" t="s">
        <v>3998</v>
      </c>
      <c r="H304" s="1" t="s">
        <v>3999</v>
      </c>
      <c r="I304" s="1" t="s">
        <v>4000</v>
      </c>
      <c r="J304" s="1">
        <v>1</v>
      </c>
      <c r="K304" s="1">
        <v>4</v>
      </c>
      <c r="L304" s="1">
        <v>3240</v>
      </c>
      <c r="M304" s="1">
        <v>10</v>
      </c>
      <c r="N304" s="1">
        <v>10</v>
      </c>
      <c r="O304" s="1">
        <v>5</v>
      </c>
      <c r="P304" s="1">
        <v>5</v>
      </c>
      <c r="Q304" s="1">
        <v>2</v>
      </c>
      <c r="R304" s="1">
        <v>2</v>
      </c>
      <c r="S304" s="1">
        <v>2</v>
      </c>
      <c r="T304" s="1">
        <v>0</v>
      </c>
      <c r="U304" s="1">
        <v>105</v>
      </c>
      <c r="V304" s="1">
        <v>115</v>
      </c>
      <c r="W304" s="1">
        <v>115</v>
      </c>
      <c r="X304" s="1">
        <v>100</v>
      </c>
      <c r="Y304" s="1">
        <v>120</v>
      </c>
      <c r="Z304" s="1">
        <v>107</v>
      </c>
      <c r="AA304" s="1">
        <v>0</v>
      </c>
      <c r="AB304" s="1">
        <v>15</v>
      </c>
      <c r="AC304" s="1">
        <v>20</v>
      </c>
      <c r="AD304" s="1">
        <v>0</v>
      </c>
      <c r="AE304" s="1">
        <v>110</v>
      </c>
      <c r="AF304" s="1">
        <v>100</v>
      </c>
      <c r="AG304" s="1">
        <v>900815</v>
      </c>
      <c r="AH304" s="1">
        <v>0</v>
      </c>
      <c r="AI304" s="1">
        <v>300101</v>
      </c>
      <c r="AJ304" s="1" t="s">
        <v>329</v>
      </c>
      <c r="AK304" s="1" t="s">
        <v>329</v>
      </c>
      <c r="AL304" s="1">
        <v>12</v>
      </c>
      <c r="AM304" s="1" t="s">
        <v>1866</v>
      </c>
      <c r="AN304" s="1" t="s">
        <v>5374</v>
      </c>
      <c r="AO304" s="1" t="s">
        <v>4801</v>
      </c>
      <c r="AP304" s="1">
        <v>0</v>
      </c>
      <c r="AQ304" s="1" t="s">
        <v>1146</v>
      </c>
      <c r="AR304" s="1" t="s">
        <v>1147</v>
      </c>
      <c r="AS304" s="1" t="s">
        <v>1148</v>
      </c>
      <c r="AT304" s="1" t="s">
        <v>329</v>
      </c>
      <c r="AU304" s="1">
        <v>212</v>
      </c>
      <c r="AV304" s="1">
        <v>0</v>
      </c>
      <c r="AW304" s="1" t="s">
        <v>5375</v>
      </c>
      <c r="AX304" s="1" t="s">
        <v>4822</v>
      </c>
      <c r="AY304" s="1">
        <v>4</v>
      </c>
      <c r="AZ304" s="1">
        <v>0</v>
      </c>
      <c r="BA304" s="1" t="s">
        <v>329</v>
      </c>
      <c r="BB304" s="1" t="s">
        <v>329</v>
      </c>
      <c r="BC304" s="1" t="s">
        <v>329</v>
      </c>
      <c r="BD304" s="1">
        <v>10703</v>
      </c>
      <c r="BE304" s="1"/>
    </row>
    <row r="305" spans="1:57" x14ac:dyDescent="0.25">
      <c r="A305" s="1">
        <v>311</v>
      </c>
      <c r="B305" s="1" t="s">
        <v>4001</v>
      </c>
      <c r="C305" s="9" t="s">
        <v>806</v>
      </c>
      <c r="D305" s="1" t="s">
        <v>806</v>
      </c>
      <c r="E305" s="1"/>
      <c r="F305" s="1"/>
      <c r="G305" s="1" t="s">
        <v>4002</v>
      </c>
      <c r="H305" s="1" t="s">
        <v>4003</v>
      </c>
      <c r="I305" s="1" t="s">
        <v>4004</v>
      </c>
      <c r="J305" s="1">
        <v>2</v>
      </c>
      <c r="K305" s="1">
        <v>5</v>
      </c>
      <c r="L305" s="1">
        <v>9300</v>
      </c>
      <c r="M305" s="1">
        <v>25</v>
      </c>
      <c r="N305" s="1">
        <v>20</v>
      </c>
      <c r="O305" s="1">
        <v>15</v>
      </c>
      <c r="P305" s="1">
        <v>10</v>
      </c>
      <c r="Q305" s="1">
        <v>5</v>
      </c>
      <c r="R305" s="1">
        <v>5</v>
      </c>
      <c r="S305" s="1">
        <v>2</v>
      </c>
      <c r="T305" s="1">
        <v>0</v>
      </c>
      <c r="U305" s="1">
        <v>116</v>
      </c>
      <c r="V305" s="1">
        <v>108</v>
      </c>
      <c r="W305" s="1">
        <v>120</v>
      </c>
      <c r="X305" s="1">
        <v>100</v>
      </c>
      <c r="Y305" s="1">
        <v>110</v>
      </c>
      <c r="Z305" s="1">
        <v>112</v>
      </c>
      <c r="AA305" s="1">
        <v>0</v>
      </c>
      <c r="AB305" s="1">
        <v>15</v>
      </c>
      <c r="AC305" s="1">
        <v>5</v>
      </c>
      <c r="AD305" s="1">
        <v>0</v>
      </c>
      <c r="AE305" s="1">
        <v>110</v>
      </c>
      <c r="AF305" s="1">
        <v>100</v>
      </c>
      <c r="AG305" s="1">
        <v>900811</v>
      </c>
      <c r="AH305" s="1">
        <v>0</v>
      </c>
      <c r="AI305" s="1">
        <v>300102</v>
      </c>
      <c r="AJ305" s="1" t="s">
        <v>1352</v>
      </c>
      <c r="AK305" s="1" t="s">
        <v>1353</v>
      </c>
      <c r="AL305" s="1">
        <v>12</v>
      </c>
      <c r="AM305" s="1" t="s">
        <v>355</v>
      </c>
      <c r="AN305" s="1" t="s">
        <v>5258</v>
      </c>
      <c r="AO305" s="1" t="s">
        <v>5376</v>
      </c>
      <c r="AP305" s="1">
        <v>0</v>
      </c>
      <c r="AQ305" s="1" t="s">
        <v>1157</v>
      </c>
      <c r="AR305" s="1" t="s">
        <v>1147</v>
      </c>
      <c r="AS305" s="1" t="s">
        <v>1158</v>
      </c>
      <c r="AT305" s="1" t="s">
        <v>329</v>
      </c>
      <c r="AU305" s="1">
        <v>224</v>
      </c>
      <c r="AV305" s="1">
        <v>0</v>
      </c>
      <c r="AW305" s="1" t="s">
        <v>5377</v>
      </c>
      <c r="AX305" s="1" t="s">
        <v>5378</v>
      </c>
      <c r="AY305" s="1">
        <v>5</v>
      </c>
      <c r="AZ305" s="1">
        <v>0</v>
      </c>
      <c r="BA305" s="1" t="s">
        <v>329</v>
      </c>
      <c r="BB305" s="1" t="s">
        <v>329</v>
      </c>
      <c r="BC305" s="1" t="s">
        <v>329</v>
      </c>
      <c r="BD305" s="1">
        <v>10802</v>
      </c>
      <c r="BE305" s="1"/>
    </row>
    <row r="306" spans="1:57" x14ac:dyDescent="0.25">
      <c r="A306" s="1">
        <v>312</v>
      </c>
      <c r="B306" s="1" t="s">
        <v>4005</v>
      </c>
      <c r="C306" s="9" t="s">
        <v>1697</v>
      </c>
      <c r="D306" s="1" t="s">
        <v>4006</v>
      </c>
      <c r="E306" s="1"/>
      <c r="F306" s="1"/>
      <c r="G306" s="1" t="s">
        <v>4007</v>
      </c>
      <c r="H306" s="1" t="s">
        <v>4008</v>
      </c>
      <c r="I306" s="1" t="s">
        <v>4009</v>
      </c>
      <c r="J306" s="1">
        <v>3</v>
      </c>
      <c r="K306" s="1">
        <v>5</v>
      </c>
      <c r="L306" s="1">
        <v>16980</v>
      </c>
      <c r="M306" s="1">
        <v>15</v>
      </c>
      <c r="N306" s="1">
        <v>30</v>
      </c>
      <c r="O306" s="1">
        <v>10</v>
      </c>
      <c r="P306" s="1">
        <v>15</v>
      </c>
      <c r="Q306" s="1">
        <v>5</v>
      </c>
      <c r="R306" s="1">
        <v>2</v>
      </c>
      <c r="S306" s="1">
        <v>5</v>
      </c>
      <c r="T306" s="1">
        <v>0</v>
      </c>
      <c r="U306" s="1">
        <v>100</v>
      </c>
      <c r="V306" s="1">
        <v>116</v>
      </c>
      <c r="W306" s="1">
        <v>110</v>
      </c>
      <c r="X306" s="1">
        <v>100</v>
      </c>
      <c r="Y306" s="1">
        <v>110</v>
      </c>
      <c r="Z306" s="1">
        <v>88</v>
      </c>
      <c r="AA306" s="1">
        <v>0</v>
      </c>
      <c r="AB306" s="1">
        <v>15</v>
      </c>
      <c r="AC306" s="1">
        <v>40</v>
      </c>
      <c r="AD306" s="1">
        <v>0</v>
      </c>
      <c r="AE306" s="1">
        <v>131</v>
      </c>
      <c r="AF306" s="1">
        <v>100</v>
      </c>
      <c r="AG306" s="1">
        <v>116001</v>
      </c>
      <c r="AH306" s="1">
        <v>0</v>
      </c>
      <c r="AI306" s="1">
        <v>116003</v>
      </c>
      <c r="AJ306" s="1" t="s">
        <v>1354</v>
      </c>
      <c r="AK306" s="1" t="s">
        <v>329</v>
      </c>
      <c r="AL306" s="1">
        <v>13</v>
      </c>
      <c r="AM306" s="1" t="s">
        <v>4822</v>
      </c>
      <c r="AN306" s="1" t="s">
        <v>5173</v>
      </c>
      <c r="AO306" s="1" t="s">
        <v>4905</v>
      </c>
      <c r="AP306" s="1">
        <v>0</v>
      </c>
      <c r="AQ306" s="1" t="s">
        <v>1168</v>
      </c>
      <c r="AR306" s="1" t="s">
        <v>1169</v>
      </c>
      <c r="AS306" s="1" t="s">
        <v>1170</v>
      </c>
      <c r="AT306" s="1" t="s">
        <v>329</v>
      </c>
      <c r="AU306" s="1">
        <v>222</v>
      </c>
      <c r="AV306" s="1">
        <v>0</v>
      </c>
      <c r="AW306" s="1" t="s">
        <v>5375</v>
      </c>
      <c r="AX306" s="1" t="s">
        <v>332</v>
      </c>
      <c r="AY306" s="1">
        <v>5</v>
      </c>
      <c r="AZ306" s="1">
        <v>0</v>
      </c>
      <c r="BA306" s="1" t="s">
        <v>329</v>
      </c>
      <c r="BB306" s="1" t="s">
        <v>329</v>
      </c>
      <c r="BC306" s="1" t="s">
        <v>4817</v>
      </c>
      <c r="BD306" s="1">
        <v>10402</v>
      </c>
      <c r="BE306" s="1"/>
    </row>
    <row r="307" spans="1:57" x14ac:dyDescent="0.25">
      <c r="A307" s="1">
        <v>313</v>
      </c>
      <c r="B307" s="1" t="s">
        <v>4010</v>
      </c>
      <c r="C307" s="9" t="s">
        <v>1698</v>
      </c>
      <c r="D307" s="1" t="s">
        <v>1698</v>
      </c>
      <c r="E307" s="1"/>
      <c r="F307" s="1"/>
      <c r="G307" s="1" t="s">
        <v>4011</v>
      </c>
      <c r="H307" s="1" t="s">
        <v>4012</v>
      </c>
      <c r="I307" s="1" t="s">
        <v>4013</v>
      </c>
      <c r="J307" s="1">
        <v>4</v>
      </c>
      <c r="K307" s="1">
        <v>5</v>
      </c>
      <c r="L307" s="1">
        <v>14880</v>
      </c>
      <c r="M307" s="1">
        <v>20</v>
      </c>
      <c r="N307" s="1">
        <v>20</v>
      </c>
      <c r="O307" s="1">
        <v>10</v>
      </c>
      <c r="P307" s="1">
        <v>10</v>
      </c>
      <c r="Q307" s="1">
        <v>2</v>
      </c>
      <c r="R307" s="1">
        <v>5</v>
      </c>
      <c r="S307" s="1">
        <v>5</v>
      </c>
      <c r="T307" s="1">
        <v>0</v>
      </c>
      <c r="U307" s="1">
        <v>112</v>
      </c>
      <c r="V307" s="1">
        <v>100</v>
      </c>
      <c r="W307" s="1">
        <v>135</v>
      </c>
      <c r="X307" s="1">
        <v>100</v>
      </c>
      <c r="Y307" s="1">
        <v>105</v>
      </c>
      <c r="Z307" s="1">
        <v>100</v>
      </c>
      <c r="AA307" s="1">
        <v>0</v>
      </c>
      <c r="AB307" s="1">
        <v>15</v>
      </c>
      <c r="AC307" s="1">
        <v>20</v>
      </c>
      <c r="AD307" s="1">
        <v>0</v>
      </c>
      <c r="AE307" s="1">
        <v>122</v>
      </c>
      <c r="AF307" s="1">
        <v>100</v>
      </c>
      <c r="AG307" s="1">
        <v>900801</v>
      </c>
      <c r="AH307" s="1">
        <v>0</v>
      </c>
      <c r="AI307" s="1">
        <v>900800</v>
      </c>
      <c r="AJ307" s="1" t="s">
        <v>1355</v>
      </c>
      <c r="AK307" s="1" t="s">
        <v>1356</v>
      </c>
      <c r="AL307" s="1">
        <v>14</v>
      </c>
      <c r="AM307" s="1" t="s">
        <v>4779</v>
      </c>
      <c r="AN307" s="1" t="s">
        <v>5312</v>
      </c>
      <c r="AO307" s="1" t="s">
        <v>5229</v>
      </c>
      <c r="AP307" s="1">
        <v>0</v>
      </c>
      <c r="AQ307" s="1" t="s">
        <v>1158</v>
      </c>
      <c r="AR307" s="1" t="s">
        <v>1182</v>
      </c>
      <c r="AS307" s="1" t="s">
        <v>1157</v>
      </c>
      <c r="AT307" s="1" t="s">
        <v>329</v>
      </c>
      <c r="AU307" s="1">
        <v>73</v>
      </c>
      <c r="AV307" s="1">
        <v>0</v>
      </c>
      <c r="AW307" s="1" t="s">
        <v>5375</v>
      </c>
      <c r="AX307" s="1" t="s">
        <v>332</v>
      </c>
      <c r="AY307" s="1">
        <v>5</v>
      </c>
      <c r="AZ307" s="1">
        <v>0</v>
      </c>
      <c r="BA307" s="1" t="s">
        <v>329</v>
      </c>
      <c r="BB307" s="1" t="s">
        <v>329</v>
      </c>
      <c r="BC307" s="1" t="s">
        <v>329</v>
      </c>
      <c r="BD307" s="1">
        <v>10202</v>
      </c>
      <c r="BE307" s="1"/>
    </row>
    <row r="308" spans="1:57" x14ac:dyDescent="0.25">
      <c r="A308" s="1">
        <v>314</v>
      </c>
      <c r="B308" s="1" t="s">
        <v>4014</v>
      </c>
      <c r="C308" s="9" t="s">
        <v>1699</v>
      </c>
      <c r="D308" s="1" t="s">
        <v>4015</v>
      </c>
      <c r="E308" s="1"/>
      <c r="F308" s="1"/>
      <c r="G308" s="1" t="s">
        <v>4016</v>
      </c>
      <c r="H308" s="1" t="s">
        <v>4017</v>
      </c>
      <c r="I308" s="1" t="s">
        <v>4018</v>
      </c>
      <c r="J308" s="1">
        <v>4</v>
      </c>
      <c r="K308" s="1">
        <v>3</v>
      </c>
      <c r="L308" s="1">
        <v>11400</v>
      </c>
      <c r="M308" s="1">
        <v>20</v>
      </c>
      <c r="N308" s="1">
        <v>20</v>
      </c>
      <c r="O308" s="1">
        <v>10</v>
      </c>
      <c r="P308" s="1">
        <v>10</v>
      </c>
      <c r="Q308" s="1">
        <v>2</v>
      </c>
      <c r="R308" s="1">
        <v>5</v>
      </c>
      <c r="S308" s="1">
        <v>5</v>
      </c>
      <c r="T308" s="1">
        <v>0</v>
      </c>
      <c r="U308" s="1">
        <v>100</v>
      </c>
      <c r="V308" s="1">
        <v>110</v>
      </c>
      <c r="W308" s="1">
        <v>104</v>
      </c>
      <c r="X308" s="1">
        <v>100</v>
      </c>
      <c r="Y308" s="1">
        <v>120</v>
      </c>
      <c r="Z308" s="1">
        <v>105</v>
      </c>
      <c r="AA308" s="1">
        <v>0</v>
      </c>
      <c r="AB308" s="1">
        <v>15</v>
      </c>
      <c r="AC308" s="1">
        <v>20</v>
      </c>
      <c r="AD308" s="1">
        <v>0</v>
      </c>
      <c r="AE308" s="1">
        <v>118</v>
      </c>
      <c r="AF308" s="1">
        <v>100</v>
      </c>
      <c r="AG308" s="1">
        <v>900845</v>
      </c>
      <c r="AH308" s="1">
        <v>0</v>
      </c>
      <c r="AI308" s="1">
        <v>300103</v>
      </c>
      <c r="AJ308" s="1" t="s">
        <v>1153</v>
      </c>
      <c r="AK308" s="1" t="s">
        <v>329</v>
      </c>
      <c r="AL308" s="1">
        <v>13</v>
      </c>
      <c r="AM308" s="1" t="s">
        <v>4779</v>
      </c>
      <c r="AN308" s="1" t="s">
        <v>4894</v>
      </c>
      <c r="AO308" s="1" t="s">
        <v>5379</v>
      </c>
      <c r="AP308" s="1">
        <v>0</v>
      </c>
      <c r="AQ308" s="1" t="s">
        <v>1158</v>
      </c>
      <c r="AR308" s="1" t="s">
        <v>1182</v>
      </c>
      <c r="AS308" s="1" t="s">
        <v>1157</v>
      </c>
      <c r="AT308" s="1" t="s">
        <v>329</v>
      </c>
      <c r="AU308" s="1">
        <v>171</v>
      </c>
      <c r="AV308" s="1">
        <v>0</v>
      </c>
      <c r="AW308" s="1" t="s">
        <v>5380</v>
      </c>
      <c r="AX308" s="1" t="s">
        <v>5381</v>
      </c>
      <c r="AY308" s="1">
        <v>3</v>
      </c>
      <c r="AZ308" s="1">
        <v>0</v>
      </c>
      <c r="BA308" s="1" t="s">
        <v>329</v>
      </c>
      <c r="BB308" s="1" t="s">
        <v>329</v>
      </c>
      <c r="BC308" s="1" t="s">
        <v>4829</v>
      </c>
      <c r="BD308" s="1">
        <v>10702</v>
      </c>
      <c r="BE308" s="1"/>
    </row>
    <row r="309" spans="1:57" x14ac:dyDescent="0.25">
      <c r="A309" s="1">
        <v>315</v>
      </c>
      <c r="B309" s="1" t="s">
        <v>4019</v>
      </c>
      <c r="C309" s="9" t="s">
        <v>843</v>
      </c>
      <c r="D309" s="1" t="s">
        <v>4020</v>
      </c>
      <c r="E309" s="1"/>
      <c r="F309" s="1"/>
      <c r="G309" s="1" t="s">
        <v>4021</v>
      </c>
      <c r="H309" s="1" t="s">
        <v>4022</v>
      </c>
      <c r="I309" s="1" t="s">
        <v>4023</v>
      </c>
      <c r="J309" s="1">
        <v>2</v>
      </c>
      <c r="K309" s="1">
        <v>5</v>
      </c>
      <c r="L309" s="1">
        <v>9300</v>
      </c>
      <c r="M309" s="1">
        <v>25</v>
      </c>
      <c r="N309" s="1">
        <v>20</v>
      </c>
      <c r="O309" s="1">
        <v>15</v>
      </c>
      <c r="P309" s="1">
        <v>10</v>
      </c>
      <c r="Q309" s="1">
        <v>5</v>
      </c>
      <c r="R309" s="1">
        <v>5</v>
      </c>
      <c r="S309" s="1">
        <v>2</v>
      </c>
      <c r="T309" s="1">
        <v>0</v>
      </c>
      <c r="U309" s="1">
        <v>105</v>
      </c>
      <c r="V309" s="1">
        <v>106</v>
      </c>
      <c r="W309" s="1">
        <v>110</v>
      </c>
      <c r="X309" s="1">
        <v>100</v>
      </c>
      <c r="Y309" s="1">
        <v>120</v>
      </c>
      <c r="Z309" s="1">
        <v>126</v>
      </c>
      <c r="AA309" s="1">
        <v>0</v>
      </c>
      <c r="AB309" s="1">
        <v>15</v>
      </c>
      <c r="AC309" s="1">
        <v>5</v>
      </c>
      <c r="AD309" s="1">
        <v>0</v>
      </c>
      <c r="AE309" s="1">
        <v>118</v>
      </c>
      <c r="AF309" s="1">
        <v>100</v>
      </c>
      <c r="AG309" s="1">
        <v>116101</v>
      </c>
      <c r="AH309" s="1">
        <v>0</v>
      </c>
      <c r="AI309" s="1">
        <v>300102</v>
      </c>
      <c r="AJ309" s="1" t="s">
        <v>5382</v>
      </c>
      <c r="AK309" s="1" t="s">
        <v>1357</v>
      </c>
      <c r="AL309" s="1">
        <v>13</v>
      </c>
      <c r="AM309" s="1" t="s">
        <v>4850</v>
      </c>
      <c r="AN309" s="1" t="s">
        <v>4855</v>
      </c>
      <c r="AO309" s="1" t="s">
        <v>4935</v>
      </c>
      <c r="AP309" s="1">
        <v>0</v>
      </c>
      <c r="AQ309" s="1" t="s">
        <v>1157</v>
      </c>
      <c r="AR309" s="1" t="s">
        <v>1147</v>
      </c>
      <c r="AS309" s="1" t="s">
        <v>1158</v>
      </c>
      <c r="AT309" s="1" t="s">
        <v>329</v>
      </c>
      <c r="AU309" s="1">
        <v>224</v>
      </c>
      <c r="AV309" s="1">
        <v>0</v>
      </c>
      <c r="AW309" s="1" t="s">
        <v>5383</v>
      </c>
      <c r="AX309" s="1" t="s">
        <v>5384</v>
      </c>
      <c r="AY309" s="1">
        <v>5</v>
      </c>
      <c r="AZ309" s="1">
        <v>0</v>
      </c>
      <c r="BA309" s="1" t="s">
        <v>329</v>
      </c>
      <c r="BB309" s="1" t="s">
        <v>329</v>
      </c>
      <c r="BC309" s="1" t="s">
        <v>329</v>
      </c>
      <c r="BD309" s="1">
        <v>10303</v>
      </c>
      <c r="BE309" s="1"/>
    </row>
    <row r="310" spans="1:57" x14ac:dyDescent="0.25">
      <c r="A310" s="1">
        <v>316</v>
      </c>
      <c r="B310" s="1" t="s">
        <v>4024</v>
      </c>
      <c r="C310" s="9" t="s">
        <v>807</v>
      </c>
      <c r="D310" s="1" t="s">
        <v>807</v>
      </c>
      <c r="E310" s="1"/>
      <c r="F310" s="1"/>
      <c r="G310" s="1" t="s">
        <v>4025</v>
      </c>
      <c r="H310" s="1" t="s">
        <v>4026</v>
      </c>
      <c r="I310" s="1" t="s">
        <v>4027</v>
      </c>
      <c r="J310" s="1">
        <v>3</v>
      </c>
      <c r="K310" s="1">
        <v>5</v>
      </c>
      <c r="L310" s="1">
        <v>16980</v>
      </c>
      <c r="M310" s="1">
        <v>15</v>
      </c>
      <c r="N310" s="1">
        <v>30</v>
      </c>
      <c r="O310" s="1">
        <v>10</v>
      </c>
      <c r="P310" s="1">
        <v>15</v>
      </c>
      <c r="Q310" s="1">
        <v>5</v>
      </c>
      <c r="R310" s="1">
        <v>2</v>
      </c>
      <c r="S310" s="1">
        <v>5</v>
      </c>
      <c r="T310" s="1">
        <v>0</v>
      </c>
      <c r="U310" s="1">
        <v>90</v>
      </c>
      <c r="V310" s="1">
        <v>120</v>
      </c>
      <c r="W310" s="1">
        <v>112</v>
      </c>
      <c r="X310" s="1">
        <v>100</v>
      </c>
      <c r="Y310" s="1">
        <v>122</v>
      </c>
      <c r="Z310" s="1">
        <v>80</v>
      </c>
      <c r="AA310" s="1">
        <v>0</v>
      </c>
      <c r="AB310" s="1">
        <v>15</v>
      </c>
      <c r="AC310" s="1">
        <v>40</v>
      </c>
      <c r="AD310" s="1">
        <v>0</v>
      </c>
      <c r="AE310" s="1">
        <v>132</v>
      </c>
      <c r="AF310" s="1">
        <v>100</v>
      </c>
      <c r="AG310" s="1">
        <v>900850</v>
      </c>
      <c r="AH310" s="1">
        <v>0</v>
      </c>
      <c r="AI310" s="1">
        <v>900854</v>
      </c>
      <c r="AJ310" s="1" t="s">
        <v>1358</v>
      </c>
      <c r="AK310" s="1" t="s">
        <v>1359</v>
      </c>
      <c r="AL310" s="1">
        <v>13</v>
      </c>
      <c r="AM310" s="1" t="s">
        <v>4822</v>
      </c>
      <c r="AN310" s="1" t="s">
        <v>4833</v>
      </c>
      <c r="AO310" s="1" t="s">
        <v>4905</v>
      </c>
      <c r="AP310" s="1">
        <v>0</v>
      </c>
      <c r="AQ310" s="1" t="s">
        <v>1168</v>
      </c>
      <c r="AR310" s="1" t="s">
        <v>1169</v>
      </c>
      <c r="AS310" s="1" t="s">
        <v>1170</v>
      </c>
      <c r="AT310" s="1" t="s">
        <v>329</v>
      </c>
      <c r="AU310" s="1">
        <v>222</v>
      </c>
      <c r="AV310" s="1">
        <v>0</v>
      </c>
      <c r="AW310" s="1" t="s">
        <v>5383</v>
      </c>
      <c r="AX310" s="1" t="s">
        <v>5104</v>
      </c>
      <c r="AY310" s="1">
        <v>5</v>
      </c>
      <c r="AZ310" s="1">
        <v>0</v>
      </c>
      <c r="BA310" s="1" t="s">
        <v>329</v>
      </c>
      <c r="BB310" s="1" t="s">
        <v>329</v>
      </c>
      <c r="BC310" s="1" t="s">
        <v>4843</v>
      </c>
      <c r="BD310" s="1">
        <v>10203</v>
      </c>
      <c r="BE310" s="1"/>
    </row>
    <row r="311" spans="1:57" x14ac:dyDescent="0.25">
      <c r="A311" s="1">
        <v>317</v>
      </c>
      <c r="B311" s="1" t="s">
        <v>4028</v>
      </c>
      <c r="C311" s="9" t="s">
        <v>808</v>
      </c>
      <c r="D311" s="1" t="s">
        <v>808</v>
      </c>
      <c r="E311" s="1"/>
      <c r="F311" s="1"/>
      <c r="G311" s="1" t="s">
        <v>4029</v>
      </c>
      <c r="H311" s="1" t="s">
        <v>4030</v>
      </c>
      <c r="I311" s="1" t="s">
        <v>4031</v>
      </c>
      <c r="J311" s="1">
        <v>3</v>
      </c>
      <c r="K311" s="1">
        <v>4</v>
      </c>
      <c r="L311" s="1">
        <v>17400</v>
      </c>
      <c r="M311" s="1">
        <v>15</v>
      </c>
      <c r="N311" s="1">
        <v>30</v>
      </c>
      <c r="O311" s="1">
        <v>10</v>
      </c>
      <c r="P311" s="1">
        <v>15</v>
      </c>
      <c r="Q311" s="1">
        <v>5</v>
      </c>
      <c r="R311" s="1">
        <v>2</v>
      </c>
      <c r="S311" s="1">
        <v>5</v>
      </c>
      <c r="T311" s="1">
        <v>0</v>
      </c>
      <c r="U311" s="1">
        <v>95</v>
      </c>
      <c r="V311" s="1">
        <v>102</v>
      </c>
      <c r="W311" s="1">
        <v>120</v>
      </c>
      <c r="X311" s="1">
        <v>100</v>
      </c>
      <c r="Y311" s="1">
        <v>110</v>
      </c>
      <c r="Z311" s="1">
        <v>100</v>
      </c>
      <c r="AA311" s="1">
        <v>0</v>
      </c>
      <c r="AB311" s="1">
        <v>15</v>
      </c>
      <c r="AC311" s="1">
        <v>40</v>
      </c>
      <c r="AD311" s="1">
        <v>0</v>
      </c>
      <c r="AE311" s="1">
        <v>122</v>
      </c>
      <c r="AF311" s="1">
        <v>100</v>
      </c>
      <c r="AG311" s="1">
        <v>900860</v>
      </c>
      <c r="AH311" s="1">
        <v>0</v>
      </c>
      <c r="AI311" s="1">
        <v>300104</v>
      </c>
      <c r="AJ311" s="1" t="s">
        <v>5385</v>
      </c>
      <c r="AK311" s="1" t="s">
        <v>1360</v>
      </c>
      <c r="AL311" s="1">
        <v>13</v>
      </c>
      <c r="AM311" s="1" t="s">
        <v>477</v>
      </c>
      <c r="AN311" s="1" t="s">
        <v>465</v>
      </c>
      <c r="AO311" s="1" t="s">
        <v>4884</v>
      </c>
      <c r="AP311" s="1">
        <v>0</v>
      </c>
      <c r="AQ311" s="1" t="s">
        <v>1168</v>
      </c>
      <c r="AR311" s="1" t="s">
        <v>1169</v>
      </c>
      <c r="AS311" s="1" t="s">
        <v>4899</v>
      </c>
      <c r="AT311" s="1" t="s">
        <v>329</v>
      </c>
      <c r="AU311" s="1">
        <v>200</v>
      </c>
      <c r="AV311" s="1">
        <v>0</v>
      </c>
      <c r="AW311" s="1" t="s">
        <v>5383</v>
      </c>
      <c r="AX311" s="1" t="s">
        <v>5104</v>
      </c>
      <c r="AY311" s="1">
        <v>4</v>
      </c>
      <c r="AZ311" s="1">
        <v>0</v>
      </c>
      <c r="BA311" s="1" t="s">
        <v>329</v>
      </c>
      <c r="BB311" s="1" t="s">
        <v>329</v>
      </c>
      <c r="BC311" s="1" t="s">
        <v>329</v>
      </c>
      <c r="BD311" s="1">
        <v>10202</v>
      </c>
      <c r="BE311" s="1"/>
    </row>
    <row r="312" spans="1:57" x14ac:dyDescent="0.25">
      <c r="A312" s="1">
        <v>318</v>
      </c>
      <c r="B312" s="1" t="s">
        <v>4032</v>
      </c>
      <c r="C312" s="9" t="s">
        <v>809</v>
      </c>
      <c r="D312" s="1" t="s">
        <v>809</v>
      </c>
      <c r="E312" s="1"/>
      <c r="F312" s="1"/>
      <c r="G312" s="1" t="s">
        <v>4033</v>
      </c>
      <c r="H312" s="1" t="s">
        <v>4034</v>
      </c>
      <c r="I312" s="1" t="s">
        <v>4035</v>
      </c>
      <c r="J312" s="1">
        <v>4</v>
      </c>
      <c r="K312" s="1">
        <v>5</v>
      </c>
      <c r="L312" s="1">
        <v>15120</v>
      </c>
      <c r="M312" s="1">
        <v>20</v>
      </c>
      <c r="N312" s="1">
        <v>20</v>
      </c>
      <c r="O312" s="1">
        <v>10</v>
      </c>
      <c r="P312" s="1">
        <v>10</v>
      </c>
      <c r="Q312" s="1">
        <v>2</v>
      </c>
      <c r="R312" s="1">
        <v>5</v>
      </c>
      <c r="S312" s="1">
        <v>5</v>
      </c>
      <c r="T312" s="1">
        <v>0</v>
      </c>
      <c r="U312" s="1">
        <v>105</v>
      </c>
      <c r="V312" s="1">
        <v>118</v>
      </c>
      <c r="W312" s="1">
        <v>112</v>
      </c>
      <c r="X312" s="1">
        <v>100</v>
      </c>
      <c r="Y312" s="1">
        <v>120</v>
      </c>
      <c r="Z312" s="1">
        <v>102</v>
      </c>
      <c r="AA312" s="1">
        <v>0</v>
      </c>
      <c r="AB312" s="1">
        <v>15</v>
      </c>
      <c r="AC312" s="1">
        <v>20</v>
      </c>
      <c r="AD312" s="1">
        <v>0</v>
      </c>
      <c r="AE312" s="1">
        <v>132</v>
      </c>
      <c r="AF312" s="1">
        <v>100</v>
      </c>
      <c r="AG312" s="1">
        <v>900823</v>
      </c>
      <c r="AH312" s="1">
        <v>0</v>
      </c>
      <c r="AI312" s="1">
        <v>900821</v>
      </c>
      <c r="AJ312" s="1" t="s">
        <v>1361</v>
      </c>
      <c r="AK312" s="1" t="s">
        <v>1362</v>
      </c>
      <c r="AL312" s="1">
        <v>13</v>
      </c>
      <c r="AM312" s="1" t="s">
        <v>4779</v>
      </c>
      <c r="AN312" s="1" t="s">
        <v>4924</v>
      </c>
      <c r="AO312" s="1" t="s">
        <v>5150</v>
      </c>
      <c r="AP312" s="1">
        <v>0</v>
      </c>
      <c r="AQ312" s="1" t="s">
        <v>1158</v>
      </c>
      <c r="AR312" s="1" t="s">
        <v>1182</v>
      </c>
      <c r="AS312" s="1" t="s">
        <v>1157</v>
      </c>
      <c r="AT312" s="1" t="s">
        <v>329</v>
      </c>
      <c r="AU312" s="1">
        <v>73</v>
      </c>
      <c r="AV312" s="1">
        <v>0</v>
      </c>
      <c r="AW312" s="1" t="s">
        <v>5383</v>
      </c>
      <c r="AX312" s="1" t="s">
        <v>5386</v>
      </c>
      <c r="AY312" s="1">
        <v>5</v>
      </c>
      <c r="AZ312" s="1">
        <v>0</v>
      </c>
      <c r="BA312" s="1" t="s">
        <v>329</v>
      </c>
      <c r="BB312" s="1" t="s">
        <v>329</v>
      </c>
      <c r="BC312" s="1" t="s">
        <v>329</v>
      </c>
      <c r="BD312" s="1">
        <v>10403</v>
      </c>
      <c r="BE312" s="1"/>
    </row>
    <row r="313" spans="1:57" x14ac:dyDescent="0.25">
      <c r="A313" s="1">
        <v>319</v>
      </c>
      <c r="B313" s="1" t="s">
        <v>4036</v>
      </c>
      <c r="C313" s="9" t="s">
        <v>810</v>
      </c>
      <c r="D313" s="1" t="s">
        <v>810</v>
      </c>
      <c r="E313" s="1"/>
      <c r="F313" s="1"/>
      <c r="G313" s="1" t="s">
        <v>4037</v>
      </c>
      <c r="H313" s="1" t="s">
        <v>4038</v>
      </c>
      <c r="I313" s="1" t="s">
        <v>4039</v>
      </c>
      <c r="J313" s="1">
        <v>5</v>
      </c>
      <c r="K313" s="1">
        <v>4</v>
      </c>
      <c r="L313" s="1">
        <v>23280</v>
      </c>
      <c r="M313" s="1">
        <v>40</v>
      </c>
      <c r="N313" s="1">
        <v>30</v>
      </c>
      <c r="O313" s="1">
        <v>25</v>
      </c>
      <c r="P313" s="1">
        <v>15</v>
      </c>
      <c r="Q313" s="1">
        <v>5</v>
      </c>
      <c r="R313" s="1">
        <v>5</v>
      </c>
      <c r="S313" s="1">
        <v>2</v>
      </c>
      <c r="T313" s="1">
        <v>5</v>
      </c>
      <c r="U313" s="1">
        <v>115</v>
      </c>
      <c r="V313" s="1">
        <v>118</v>
      </c>
      <c r="W313" s="1">
        <v>100</v>
      </c>
      <c r="X313" s="1">
        <v>100</v>
      </c>
      <c r="Y313" s="1">
        <v>112</v>
      </c>
      <c r="Z313" s="1">
        <v>105</v>
      </c>
      <c r="AA313" s="1">
        <v>0</v>
      </c>
      <c r="AB313" s="1">
        <v>15</v>
      </c>
      <c r="AC313" s="1">
        <v>5</v>
      </c>
      <c r="AD313" s="1">
        <v>10</v>
      </c>
      <c r="AE313" s="1">
        <v>110</v>
      </c>
      <c r="AF313" s="1">
        <v>100</v>
      </c>
      <c r="AG313" s="1">
        <v>900866</v>
      </c>
      <c r="AH313" s="1">
        <v>0</v>
      </c>
      <c r="AI313" s="1">
        <v>900867</v>
      </c>
      <c r="AJ313" s="1" t="s">
        <v>5387</v>
      </c>
      <c r="AK313" s="1" t="s">
        <v>1363</v>
      </c>
      <c r="AL313" s="1">
        <v>17</v>
      </c>
      <c r="AM313" s="1" t="s">
        <v>4918</v>
      </c>
      <c r="AN313" s="1" t="s">
        <v>5388</v>
      </c>
      <c r="AO313" s="1" t="s">
        <v>5174</v>
      </c>
      <c r="AP313" s="1">
        <v>0</v>
      </c>
      <c r="AQ313" s="1" t="s">
        <v>1195</v>
      </c>
      <c r="AR313" s="1" t="s">
        <v>1196</v>
      </c>
      <c r="AS313" s="1" t="s">
        <v>1197</v>
      </c>
      <c r="AT313" s="1" t="s">
        <v>329</v>
      </c>
      <c r="AU313" s="1">
        <v>238</v>
      </c>
      <c r="AV313" s="1">
        <v>0</v>
      </c>
      <c r="AW313" s="1" t="s">
        <v>5383</v>
      </c>
      <c r="AX313" s="1" t="s">
        <v>5386</v>
      </c>
      <c r="AY313" s="1">
        <v>4</v>
      </c>
      <c r="AZ313" s="1">
        <v>0</v>
      </c>
      <c r="BA313" s="1" t="s">
        <v>329</v>
      </c>
      <c r="BB313" s="1" t="s">
        <v>329</v>
      </c>
      <c r="BC313" s="1" t="s">
        <v>4817</v>
      </c>
      <c r="BD313" s="1">
        <v>10402</v>
      </c>
      <c r="BE313" s="1"/>
    </row>
    <row r="314" spans="1:57" x14ac:dyDescent="0.25">
      <c r="A314" s="1">
        <v>320</v>
      </c>
      <c r="B314" s="1" t="s">
        <v>4040</v>
      </c>
      <c r="C314" s="9" t="s">
        <v>811</v>
      </c>
      <c r="D314" s="1" t="s">
        <v>4041</v>
      </c>
      <c r="E314" s="1"/>
      <c r="F314" s="1"/>
      <c r="G314" s="1" t="s">
        <v>4042</v>
      </c>
      <c r="H314" s="1" t="s">
        <v>4043</v>
      </c>
      <c r="I314" s="1" t="s">
        <v>4044</v>
      </c>
      <c r="J314" s="1">
        <v>3</v>
      </c>
      <c r="K314" s="1">
        <v>3</v>
      </c>
      <c r="L314" s="1">
        <v>15600</v>
      </c>
      <c r="M314" s="1">
        <v>15</v>
      </c>
      <c r="N314" s="1">
        <v>30</v>
      </c>
      <c r="O314" s="1">
        <v>10</v>
      </c>
      <c r="P314" s="1">
        <v>15</v>
      </c>
      <c r="Q314" s="1">
        <v>5</v>
      </c>
      <c r="R314" s="1">
        <v>2</v>
      </c>
      <c r="S314" s="1">
        <v>5</v>
      </c>
      <c r="T314" s="1">
        <v>0</v>
      </c>
      <c r="U314" s="1">
        <v>95</v>
      </c>
      <c r="V314" s="1">
        <v>132</v>
      </c>
      <c r="W314" s="1">
        <v>100</v>
      </c>
      <c r="X314" s="1">
        <v>100</v>
      </c>
      <c r="Y314" s="1">
        <v>122</v>
      </c>
      <c r="Z314" s="1">
        <v>95</v>
      </c>
      <c r="AA314" s="1">
        <v>0</v>
      </c>
      <c r="AB314" s="1">
        <v>15</v>
      </c>
      <c r="AC314" s="1">
        <v>40</v>
      </c>
      <c r="AD314" s="1">
        <v>0</v>
      </c>
      <c r="AE314" s="1">
        <v>110</v>
      </c>
      <c r="AF314" s="1">
        <v>100</v>
      </c>
      <c r="AG314" s="1">
        <v>900910</v>
      </c>
      <c r="AH314" s="1">
        <v>0</v>
      </c>
      <c r="AI314" s="1">
        <v>300104</v>
      </c>
      <c r="AJ314" s="1" t="s">
        <v>1364</v>
      </c>
      <c r="AK314" s="1" t="s">
        <v>329</v>
      </c>
      <c r="AL314" s="1">
        <v>13</v>
      </c>
      <c r="AM314" s="1" t="s">
        <v>4822</v>
      </c>
      <c r="AN314" s="1" t="s">
        <v>4889</v>
      </c>
      <c r="AO314" s="1" t="s">
        <v>4886</v>
      </c>
      <c r="AP314" s="1">
        <v>0</v>
      </c>
      <c r="AQ314" s="1" t="s">
        <v>1168</v>
      </c>
      <c r="AR314" s="1" t="s">
        <v>1169</v>
      </c>
      <c r="AS314" s="1" t="s">
        <v>1170</v>
      </c>
      <c r="AT314" s="1" t="s">
        <v>329</v>
      </c>
      <c r="AU314" s="1">
        <v>241</v>
      </c>
      <c r="AV314" s="1">
        <v>0</v>
      </c>
      <c r="AW314" s="1" t="s">
        <v>5389</v>
      </c>
      <c r="AX314" s="1" t="s">
        <v>5390</v>
      </c>
      <c r="AY314" s="1">
        <v>3</v>
      </c>
      <c r="AZ314" s="1">
        <v>0</v>
      </c>
      <c r="BA314" s="1" t="s">
        <v>329</v>
      </c>
      <c r="BB314" s="1" t="s">
        <v>329</v>
      </c>
      <c r="BC314" s="1" t="s">
        <v>329</v>
      </c>
      <c r="BD314" s="1">
        <v>10402</v>
      </c>
      <c r="BE314" s="1"/>
    </row>
    <row r="315" spans="1:57" x14ac:dyDescent="0.25">
      <c r="A315" s="1">
        <v>321</v>
      </c>
      <c r="B315" s="1" t="s">
        <v>4045</v>
      </c>
      <c r="C315" s="9" t="s">
        <v>812</v>
      </c>
      <c r="D315" s="1" t="s">
        <v>4046</v>
      </c>
      <c r="E315" s="1"/>
      <c r="F315" s="1"/>
      <c r="G315" s="1" t="s">
        <v>4047</v>
      </c>
      <c r="H315" s="1" t="s">
        <v>4048</v>
      </c>
      <c r="I315" s="1" t="s">
        <v>4049</v>
      </c>
      <c r="J315" s="1">
        <v>6</v>
      </c>
      <c r="K315" s="1">
        <v>3</v>
      </c>
      <c r="L315" s="1">
        <v>26100</v>
      </c>
      <c r="M315" s="1">
        <v>30</v>
      </c>
      <c r="N315" s="1">
        <v>40</v>
      </c>
      <c r="O315" s="1">
        <v>15</v>
      </c>
      <c r="P315" s="1">
        <v>25</v>
      </c>
      <c r="Q315" s="1">
        <v>5</v>
      </c>
      <c r="R315" s="1">
        <v>2</v>
      </c>
      <c r="S315" s="1">
        <v>5</v>
      </c>
      <c r="T315" s="1">
        <v>5</v>
      </c>
      <c r="U315" s="1">
        <v>110</v>
      </c>
      <c r="V315" s="1">
        <v>115</v>
      </c>
      <c r="W315" s="1">
        <v>115</v>
      </c>
      <c r="X315" s="1">
        <v>100</v>
      </c>
      <c r="Y315" s="1">
        <v>115</v>
      </c>
      <c r="Z315" s="1">
        <v>90</v>
      </c>
      <c r="AA315" s="1">
        <v>115</v>
      </c>
      <c r="AB315" s="1">
        <v>15</v>
      </c>
      <c r="AC315" s="1">
        <v>40</v>
      </c>
      <c r="AD315" s="1">
        <v>3</v>
      </c>
      <c r="AE315" s="1">
        <v>105</v>
      </c>
      <c r="AF315" s="1">
        <v>100</v>
      </c>
      <c r="AG315" s="1">
        <v>900971</v>
      </c>
      <c r="AH315" s="1">
        <v>0</v>
      </c>
      <c r="AI315" s="1">
        <v>300106</v>
      </c>
      <c r="AJ315" s="1" t="s">
        <v>1365</v>
      </c>
      <c r="AK315" s="1" t="s">
        <v>1366</v>
      </c>
      <c r="AL315" s="1">
        <v>8</v>
      </c>
      <c r="AM315" s="1" t="s">
        <v>4776</v>
      </c>
      <c r="AN315" s="1" t="s">
        <v>335</v>
      </c>
      <c r="AO315" s="1" t="s">
        <v>5128</v>
      </c>
      <c r="AP315" s="1">
        <v>0</v>
      </c>
      <c r="AQ315" s="1" t="s">
        <v>1228</v>
      </c>
      <c r="AR315" s="1" t="s">
        <v>1229</v>
      </c>
      <c r="AS315" s="1" t="s">
        <v>1230</v>
      </c>
      <c r="AT315" s="1" t="s">
        <v>329</v>
      </c>
      <c r="AU315" s="1">
        <v>190</v>
      </c>
      <c r="AV315" s="1">
        <v>0</v>
      </c>
      <c r="AW315" s="1" t="s">
        <v>5391</v>
      </c>
      <c r="AX315" s="1" t="s">
        <v>5392</v>
      </c>
      <c r="AY315" s="1">
        <v>3</v>
      </c>
      <c r="AZ315" s="1">
        <v>0</v>
      </c>
      <c r="BA315" s="1" t="s">
        <v>329</v>
      </c>
      <c r="BB315" s="1" t="s">
        <v>329</v>
      </c>
      <c r="BC315" s="1" t="s">
        <v>329</v>
      </c>
      <c r="BD315" s="1">
        <v>10202</v>
      </c>
      <c r="BE315" s="1"/>
    </row>
    <row r="316" spans="1:57" x14ac:dyDescent="0.25">
      <c r="A316" s="1">
        <v>322</v>
      </c>
      <c r="B316" s="1" t="s">
        <v>4050</v>
      </c>
      <c r="C316" s="9" t="s">
        <v>1700</v>
      </c>
      <c r="D316" s="1" t="s">
        <v>1700</v>
      </c>
      <c r="E316" s="1"/>
      <c r="F316" s="1"/>
      <c r="G316" s="1" t="s">
        <v>4051</v>
      </c>
      <c r="H316" s="1" t="s">
        <v>4052</v>
      </c>
      <c r="I316" s="1" t="s">
        <v>4053</v>
      </c>
      <c r="J316" s="1">
        <v>1</v>
      </c>
      <c r="K316" s="1">
        <v>3</v>
      </c>
      <c r="L316" s="1">
        <v>2700</v>
      </c>
      <c r="M316" s="1">
        <v>10</v>
      </c>
      <c r="N316" s="1">
        <v>10</v>
      </c>
      <c r="O316" s="1">
        <v>5</v>
      </c>
      <c r="P316" s="1">
        <v>5</v>
      </c>
      <c r="Q316" s="1">
        <v>2</v>
      </c>
      <c r="R316" s="1">
        <v>2</v>
      </c>
      <c r="S316" s="1">
        <v>2</v>
      </c>
      <c r="T316" s="1">
        <v>0</v>
      </c>
      <c r="U316" s="1">
        <v>105</v>
      </c>
      <c r="V316" s="1">
        <v>135</v>
      </c>
      <c r="W316" s="1">
        <v>100</v>
      </c>
      <c r="X316" s="1">
        <v>100</v>
      </c>
      <c r="Y316" s="1">
        <v>120</v>
      </c>
      <c r="Z316" s="1">
        <v>100</v>
      </c>
      <c r="AA316" s="1">
        <v>0</v>
      </c>
      <c r="AB316" s="1">
        <v>15</v>
      </c>
      <c r="AC316" s="1">
        <v>20</v>
      </c>
      <c r="AD316" s="1">
        <v>0</v>
      </c>
      <c r="AE316" s="1">
        <v>115</v>
      </c>
      <c r="AF316" s="1">
        <v>100</v>
      </c>
      <c r="AG316" s="1">
        <v>901051</v>
      </c>
      <c r="AH316" s="1">
        <v>0</v>
      </c>
      <c r="AI316" s="1">
        <v>901047</v>
      </c>
      <c r="AJ316" s="1" t="s">
        <v>1367</v>
      </c>
      <c r="AK316" s="1" t="s">
        <v>1368</v>
      </c>
      <c r="AL316" s="1">
        <v>13</v>
      </c>
      <c r="AM316" s="1" t="s">
        <v>1866</v>
      </c>
      <c r="AN316" s="1" t="s">
        <v>5007</v>
      </c>
      <c r="AO316" s="1" t="s">
        <v>5140</v>
      </c>
      <c r="AP316" s="1">
        <v>0</v>
      </c>
      <c r="AQ316" s="1" t="s">
        <v>1146</v>
      </c>
      <c r="AR316" s="1" t="s">
        <v>1147</v>
      </c>
      <c r="AS316" s="1" t="s">
        <v>1148</v>
      </c>
      <c r="AT316" s="1" t="s">
        <v>329</v>
      </c>
      <c r="AU316" s="1">
        <v>220</v>
      </c>
      <c r="AV316" s="1">
        <v>0</v>
      </c>
      <c r="AW316" s="1" t="s">
        <v>5393</v>
      </c>
      <c r="AX316" s="1" t="s">
        <v>5394</v>
      </c>
      <c r="AY316" s="1">
        <v>3</v>
      </c>
      <c r="AZ316" s="1">
        <v>0</v>
      </c>
      <c r="BA316" s="1" t="s">
        <v>329</v>
      </c>
      <c r="BB316" s="1" t="s">
        <v>329</v>
      </c>
      <c r="BC316" s="1" t="s">
        <v>4843</v>
      </c>
      <c r="BD316" s="1">
        <v>10705</v>
      </c>
      <c r="BE316" s="1"/>
    </row>
    <row r="317" spans="1:57" x14ac:dyDescent="0.25">
      <c r="A317" s="1">
        <v>323</v>
      </c>
      <c r="B317" s="1" t="s">
        <v>4054</v>
      </c>
      <c r="C317" s="9" t="s">
        <v>813</v>
      </c>
      <c r="D317" s="1" t="s">
        <v>813</v>
      </c>
      <c r="E317" s="1"/>
      <c r="F317" s="1"/>
      <c r="G317" s="1" t="s">
        <v>4055</v>
      </c>
      <c r="H317" s="1" t="s">
        <v>4056</v>
      </c>
      <c r="I317" s="1" t="s">
        <v>4057</v>
      </c>
      <c r="J317" s="1">
        <v>6</v>
      </c>
      <c r="K317" s="1">
        <v>5</v>
      </c>
      <c r="L317" s="1">
        <v>29820</v>
      </c>
      <c r="M317" s="1">
        <v>30</v>
      </c>
      <c r="N317" s="1">
        <v>40</v>
      </c>
      <c r="O317" s="1">
        <v>15</v>
      </c>
      <c r="P317" s="1">
        <v>25</v>
      </c>
      <c r="Q317" s="1">
        <v>5</v>
      </c>
      <c r="R317" s="1">
        <v>2</v>
      </c>
      <c r="S317" s="1">
        <v>5</v>
      </c>
      <c r="T317" s="1">
        <v>5</v>
      </c>
      <c r="U317" s="1">
        <v>125</v>
      </c>
      <c r="V317" s="1">
        <v>80</v>
      </c>
      <c r="W317" s="1">
        <v>110</v>
      </c>
      <c r="X317" s="1">
        <v>100</v>
      </c>
      <c r="Y317" s="1">
        <v>130</v>
      </c>
      <c r="Z317" s="1">
        <v>95</v>
      </c>
      <c r="AA317" s="1">
        <v>135</v>
      </c>
      <c r="AB317" s="1">
        <v>15</v>
      </c>
      <c r="AC317" s="1">
        <v>40</v>
      </c>
      <c r="AD317" s="1">
        <v>5</v>
      </c>
      <c r="AE317" s="1">
        <v>100</v>
      </c>
      <c r="AF317" s="1">
        <v>100</v>
      </c>
      <c r="AG317" s="1">
        <v>901056</v>
      </c>
      <c r="AH317" s="1">
        <v>0</v>
      </c>
      <c r="AI317" s="1">
        <v>300106</v>
      </c>
      <c r="AJ317" s="1" t="s">
        <v>1227</v>
      </c>
      <c r="AK317" s="1" t="s">
        <v>1369</v>
      </c>
      <c r="AL317" s="1">
        <v>8</v>
      </c>
      <c r="AM317" s="1" t="s">
        <v>4776</v>
      </c>
      <c r="AN317" s="1" t="s">
        <v>5395</v>
      </c>
      <c r="AO317" s="1" t="s">
        <v>5002</v>
      </c>
      <c r="AP317" s="1">
        <v>0</v>
      </c>
      <c r="AQ317" s="1" t="s">
        <v>1228</v>
      </c>
      <c r="AR317" s="1" t="s">
        <v>1229</v>
      </c>
      <c r="AS317" s="1" t="s">
        <v>1230</v>
      </c>
      <c r="AT317" s="1" t="s">
        <v>329</v>
      </c>
      <c r="AU317" s="1">
        <v>164</v>
      </c>
      <c r="AV317" s="1">
        <v>0</v>
      </c>
      <c r="AW317" s="1" t="s">
        <v>5396</v>
      </c>
      <c r="AX317" s="1" t="s">
        <v>4779</v>
      </c>
      <c r="AY317" s="1">
        <v>5</v>
      </c>
      <c r="AZ317" s="1">
        <v>0</v>
      </c>
      <c r="BA317" s="1" t="s">
        <v>329</v>
      </c>
      <c r="BB317" s="1" t="s">
        <v>329</v>
      </c>
      <c r="BC317" s="1" t="s">
        <v>4799</v>
      </c>
      <c r="BD317" s="1">
        <v>10302</v>
      </c>
      <c r="BE317" s="1"/>
    </row>
    <row r="318" spans="1:57" x14ac:dyDescent="0.25">
      <c r="A318" s="1">
        <v>324</v>
      </c>
      <c r="B318" s="1" t="s">
        <v>4058</v>
      </c>
      <c r="C318" s="9" t="s">
        <v>814</v>
      </c>
      <c r="D318" s="1" t="s">
        <v>4059</v>
      </c>
      <c r="E318" s="1"/>
      <c r="F318" s="1"/>
      <c r="G318" s="1" t="s">
        <v>4060</v>
      </c>
      <c r="H318" s="1" t="s">
        <v>4061</v>
      </c>
      <c r="I318" s="1" t="s">
        <v>4062</v>
      </c>
      <c r="J318" s="1">
        <v>6</v>
      </c>
      <c r="K318" s="1">
        <v>5</v>
      </c>
      <c r="L318" s="1">
        <v>29280</v>
      </c>
      <c r="M318" s="1">
        <v>30</v>
      </c>
      <c r="N318" s="1">
        <v>40</v>
      </c>
      <c r="O318" s="1">
        <v>15</v>
      </c>
      <c r="P318" s="1">
        <v>25</v>
      </c>
      <c r="Q318" s="1">
        <v>5</v>
      </c>
      <c r="R318" s="1">
        <v>2</v>
      </c>
      <c r="S318" s="1">
        <v>5</v>
      </c>
      <c r="T318" s="1">
        <v>5</v>
      </c>
      <c r="U318" s="1">
        <v>118</v>
      </c>
      <c r="V318" s="1">
        <v>125</v>
      </c>
      <c r="W318" s="1">
        <v>105</v>
      </c>
      <c r="X318" s="1">
        <v>100</v>
      </c>
      <c r="Y318" s="1">
        <v>120</v>
      </c>
      <c r="Z318" s="1">
        <v>110</v>
      </c>
      <c r="AA318" s="1">
        <v>120</v>
      </c>
      <c r="AB318" s="1">
        <v>15</v>
      </c>
      <c r="AC318" s="1">
        <v>40</v>
      </c>
      <c r="AD318" s="1">
        <v>4</v>
      </c>
      <c r="AE318" s="1">
        <v>115</v>
      </c>
      <c r="AF318" s="1">
        <v>100</v>
      </c>
      <c r="AG318" s="1">
        <v>901070</v>
      </c>
      <c r="AH318" s="1">
        <v>0</v>
      </c>
      <c r="AI318" s="1">
        <v>901079</v>
      </c>
      <c r="AJ318" s="1" t="s">
        <v>5397</v>
      </c>
      <c r="AK318" s="1" t="s">
        <v>1370</v>
      </c>
      <c r="AL318" s="1">
        <v>9</v>
      </c>
      <c r="AM318" s="1" t="s">
        <v>4776</v>
      </c>
      <c r="AN318" s="1" t="s">
        <v>5398</v>
      </c>
      <c r="AO318" s="1" t="s">
        <v>5250</v>
      </c>
      <c r="AP318" s="1">
        <v>0</v>
      </c>
      <c r="AQ318" s="1" t="s">
        <v>1228</v>
      </c>
      <c r="AR318" s="1" t="s">
        <v>1229</v>
      </c>
      <c r="AS318" s="1" t="s">
        <v>1230</v>
      </c>
      <c r="AT318" s="1" t="s">
        <v>329</v>
      </c>
      <c r="AU318" s="1">
        <v>164</v>
      </c>
      <c r="AV318" s="1">
        <v>0</v>
      </c>
      <c r="AW318" s="1" t="s">
        <v>5396</v>
      </c>
      <c r="AX318" s="1" t="s">
        <v>4779</v>
      </c>
      <c r="AY318" s="1">
        <v>5</v>
      </c>
      <c r="AZ318" s="1">
        <v>0</v>
      </c>
      <c r="BA318" s="1" t="s">
        <v>329</v>
      </c>
      <c r="BB318" s="1" t="s">
        <v>329</v>
      </c>
      <c r="BC318" s="1" t="s">
        <v>4780</v>
      </c>
      <c r="BD318" s="1">
        <v>10202</v>
      </c>
      <c r="BE318" s="1"/>
    </row>
    <row r="319" spans="1:57" x14ac:dyDescent="0.25">
      <c r="A319" s="1">
        <v>325</v>
      </c>
      <c r="B319" s="1" t="s">
        <v>4063</v>
      </c>
      <c r="C319" s="9" t="s">
        <v>1701</v>
      </c>
      <c r="D319" s="1" t="s">
        <v>1701</v>
      </c>
      <c r="E319" s="1"/>
      <c r="F319" s="1"/>
      <c r="G319" s="1" t="s">
        <v>4064</v>
      </c>
      <c r="H319" s="1" t="s">
        <v>4065</v>
      </c>
      <c r="I319" s="1" t="s">
        <v>4066</v>
      </c>
      <c r="J319" s="1">
        <v>6</v>
      </c>
      <c r="K319" s="1">
        <v>4</v>
      </c>
      <c r="L319" s="1">
        <v>25860</v>
      </c>
      <c r="M319" s="1">
        <v>30</v>
      </c>
      <c r="N319" s="1">
        <v>40</v>
      </c>
      <c r="O319" s="1">
        <v>15</v>
      </c>
      <c r="P319" s="1">
        <v>25</v>
      </c>
      <c r="Q319" s="1">
        <v>5</v>
      </c>
      <c r="R319" s="1">
        <v>2</v>
      </c>
      <c r="S319" s="1">
        <v>5</v>
      </c>
      <c r="T319" s="1">
        <v>5</v>
      </c>
      <c r="U319" s="1">
        <v>108</v>
      </c>
      <c r="V319" s="1">
        <v>110</v>
      </c>
      <c r="W319" s="1">
        <v>110</v>
      </c>
      <c r="X319" s="1">
        <v>100</v>
      </c>
      <c r="Y319" s="1">
        <v>95</v>
      </c>
      <c r="Z319" s="1">
        <v>130</v>
      </c>
      <c r="AA319" s="1">
        <v>110</v>
      </c>
      <c r="AB319" s="1">
        <v>15</v>
      </c>
      <c r="AC319" s="1">
        <v>40</v>
      </c>
      <c r="AD319" s="1">
        <v>5</v>
      </c>
      <c r="AE319" s="1">
        <v>110</v>
      </c>
      <c r="AF319" s="1">
        <v>100</v>
      </c>
      <c r="AG319" s="1">
        <v>901061</v>
      </c>
      <c r="AH319" s="1">
        <v>0</v>
      </c>
      <c r="AI319" s="1">
        <v>300106</v>
      </c>
      <c r="AJ319" s="1" t="s">
        <v>5399</v>
      </c>
      <c r="AK319" s="1" t="s">
        <v>329</v>
      </c>
      <c r="AL319" s="1">
        <v>8</v>
      </c>
      <c r="AM319" s="1" t="s">
        <v>4776</v>
      </c>
      <c r="AN319" s="1" t="s">
        <v>5400</v>
      </c>
      <c r="AO319" s="1" t="s">
        <v>4884</v>
      </c>
      <c r="AP319" s="1">
        <v>0</v>
      </c>
      <c r="AQ319" s="1" t="s">
        <v>1228</v>
      </c>
      <c r="AR319" s="1" t="s">
        <v>1229</v>
      </c>
      <c r="AS319" s="1" t="s">
        <v>1230</v>
      </c>
      <c r="AT319" s="1" t="s">
        <v>329</v>
      </c>
      <c r="AU319" s="1">
        <v>165</v>
      </c>
      <c r="AV319" s="1">
        <v>0</v>
      </c>
      <c r="AW319" s="1" t="s">
        <v>5396</v>
      </c>
      <c r="AX319" s="1" t="s">
        <v>4779</v>
      </c>
      <c r="AY319" s="1">
        <v>4</v>
      </c>
      <c r="AZ319" s="1">
        <v>0</v>
      </c>
      <c r="BA319" s="1" t="s">
        <v>329</v>
      </c>
      <c r="BB319" s="1" t="s">
        <v>329</v>
      </c>
      <c r="BC319" s="1" t="s">
        <v>4799</v>
      </c>
      <c r="BD319" s="1">
        <v>10701</v>
      </c>
      <c r="BE319" s="1"/>
    </row>
    <row r="320" spans="1:57" x14ac:dyDescent="0.25">
      <c r="A320" s="1">
        <v>326</v>
      </c>
      <c r="B320" s="1" t="s">
        <v>4067</v>
      </c>
      <c r="C320" s="9" t="s">
        <v>815</v>
      </c>
      <c r="D320" s="1" t="s">
        <v>815</v>
      </c>
      <c r="E320" s="1"/>
      <c r="F320" s="1"/>
      <c r="G320" s="1" t="s">
        <v>4068</v>
      </c>
      <c r="H320" s="1" t="s">
        <v>4069</v>
      </c>
      <c r="I320" s="1" t="s">
        <v>4070</v>
      </c>
      <c r="J320" s="1">
        <v>6</v>
      </c>
      <c r="K320" s="1">
        <v>4</v>
      </c>
      <c r="L320" s="1">
        <v>28560</v>
      </c>
      <c r="M320" s="1">
        <v>30</v>
      </c>
      <c r="N320" s="1">
        <v>40</v>
      </c>
      <c r="O320" s="1">
        <v>15</v>
      </c>
      <c r="P320" s="1">
        <v>25</v>
      </c>
      <c r="Q320" s="1">
        <v>5</v>
      </c>
      <c r="R320" s="1">
        <v>2</v>
      </c>
      <c r="S320" s="1">
        <v>5</v>
      </c>
      <c r="T320" s="1">
        <v>5</v>
      </c>
      <c r="U320" s="1">
        <v>116</v>
      </c>
      <c r="V320" s="1">
        <v>120</v>
      </c>
      <c r="W320" s="1">
        <v>115</v>
      </c>
      <c r="X320" s="1">
        <v>100</v>
      </c>
      <c r="Y320" s="1">
        <v>120</v>
      </c>
      <c r="Z320" s="1">
        <v>100</v>
      </c>
      <c r="AA320" s="1">
        <v>110</v>
      </c>
      <c r="AB320" s="1">
        <v>15</v>
      </c>
      <c r="AC320" s="1">
        <v>40</v>
      </c>
      <c r="AD320" s="1">
        <v>3</v>
      </c>
      <c r="AE320" s="1">
        <v>112</v>
      </c>
      <c r="AF320" s="1">
        <v>100</v>
      </c>
      <c r="AG320" s="1">
        <v>901075</v>
      </c>
      <c r="AH320" s="1">
        <v>0</v>
      </c>
      <c r="AI320" s="1">
        <v>300106</v>
      </c>
      <c r="AJ320" s="1" t="s">
        <v>5401</v>
      </c>
      <c r="AK320" s="1" t="s">
        <v>1371</v>
      </c>
      <c r="AL320" s="1">
        <v>8</v>
      </c>
      <c r="AM320" s="1" t="s">
        <v>388</v>
      </c>
      <c r="AN320" s="1" t="s">
        <v>5402</v>
      </c>
      <c r="AO320" s="1" t="s">
        <v>4798</v>
      </c>
      <c r="AP320" s="1">
        <v>0</v>
      </c>
      <c r="AQ320" s="1" t="s">
        <v>1228</v>
      </c>
      <c r="AR320" s="1" t="s">
        <v>1229</v>
      </c>
      <c r="AS320" s="1" t="s">
        <v>1230</v>
      </c>
      <c r="AT320" s="1" t="s">
        <v>329</v>
      </c>
      <c r="AU320" s="1">
        <v>165</v>
      </c>
      <c r="AV320" s="1">
        <v>0</v>
      </c>
      <c r="AW320" s="1" t="s">
        <v>5396</v>
      </c>
      <c r="AX320" s="1" t="s">
        <v>4779</v>
      </c>
      <c r="AY320" s="1">
        <v>4</v>
      </c>
      <c r="AZ320" s="1">
        <v>0</v>
      </c>
      <c r="BA320" s="1" t="s">
        <v>329</v>
      </c>
      <c r="BB320" s="1" t="s">
        <v>329</v>
      </c>
      <c r="BC320" s="1" t="s">
        <v>4829</v>
      </c>
      <c r="BD320" s="1">
        <v>10403</v>
      </c>
      <c r="BE320" s="1"/>
    </row>
    <row r="321" spans="1:57" x14ac:dyDescent="0.25">
      <c r="A321" s="1">
        <v>327</v>
      </c>
      <c r="B321" s="1" t="s">
        <v>4071</v>
      </c>
      <c r="C321" s="9" t="s">
        <v>1702</v>
      </c>
      <c r="D321" s="1" t="s">
        <v>1702</v>
      </c>
      <c r="E321" s="1"/>
      <c r="F321" s="1"/>
      <c r="G321" s="1" t="s">
        <v>4072</v>
      </c>
      <c r="H321" s="1" t="s">
        <v>4073</v>
      </c>
      <c r="I321" s="1" t="s">
        <v>4074</v>
      </c>
      <c r="J321" s="1">
        <v>2</v>
      </c>
      <c r="K321" s="1">
        <v>3</v>
      </c>
      <c r="L321" s="1">
        <v>7500</v>
      </c>
      <c r="M321" s="1">
        <v>25</v>
      </c>
      <c r="N321" s="1">
        <v>20</v>
      </c>
      <c r="O321" s="1">
        <v>15</v>
      </c>
      <c r="P321" s="1">
        <v>10</v>
      </c>
      <c r="Q321" s="1">
        <v>5</v>
      </c>
      <c r="R321" s="1">
        <v>5</v>
      </c>
      <c r="S321" s="1">
        <v>2</v>
      </c>
      <c r="T321" s="1">
        <v>0</v>
      </c>
      <c r="U321" s="1">
        <v>110</v>
      </c>
      <c r="V321" s="1">
        <v>100</v>
      </c>
      <c r="W321" s="1">
        <v>108</v>
      </c>
      <c r="X321" s="1">
        <v>100</v>
      </c>
      <c r="Y321" s="1">
        <v>110</v>
      </c>
      <c r="Z321" s="1">
        <v>112</v>
      </c>
      <c r="AA321" s="1">
        <v>0</v>
      </c>
      <c r="AB321" s="1">
        <v>15</v>
      </c>
      <c r="AC321" s="1">
        <v>5</v>
      </c>
      <c r="AD321" s="1">
        <v>0</v>
      </c>
      <c r="AE321" s="1">
        <v>105</v>
      </c>
      <c r="AF321" s="1">
        <v>100</v>
      </c>
      <c r="AG321" s="1">
        <v>902138</v>
      </c>
      <c r="AH321" s="1">
        <v>0</v>
      </c>
      <c r="AI321" s="1">
        <v>300102</v>
      </c>
      <c r="AJ321" s="1" t="s">
        <v>5403</v>
      </c>
      <c r="AK321" s="1" t="s">
        <v>329</v>
      </c>
      <c r="AL321" s="1">
        <v>12</v>
      </c>
      <c r="AM321" s="1" t="s">
        <v>1866</v>
      </c>
      <c r="AN321" s="1" t="s">
        <v>5404</v>
      </c>
      <c r="AO321" s="1" t="s">
        <v>5405</v>
      </c>
      <c r="AP321" s="1">
        <v>0</v>
      </c>
      <c r="AQ321" s="1" t="s">
        <v>1157</v>
      </c>
      <c r="AR321" s="1" t="s">
        <v>1147</v>
      </c>
      <c r="AS321" s="1" t="s">
        <v>1158</v>
      </c>
      <c r="AT321" s="1" t="s">
        <v>329</v>
      </c>
      <c r="AU321" s="1">
        <v>116</v>
      </c>
      <c r="AV321" s="1">
        <v>0</v>
      </c>
      <c r="AW321" s="1" t="s">
        <v>5406</v>
      </c>
      <c r="AX321" s="1" t="s">
        <v>5407</v>
      </c>
      <c r="AY321" s="1">
        <v>3</v>
      </c>
      <c r="AZ321" s="1">
        <v>0</v>
      </c>
      <c r="BA321" s="1" t="s">
        <v>329</v>
      </c>
      <c r="BB321" s="1" t="s">
        <v>329</v>
      </c>
      <c r="BC321" s="1" t="s">
        <v>4780</v>
      </c>
      <c r="BD321" s="1">
        <v>10802</v>
      </c>
      <c r="BE321" s="1"/>
    </row>
    <row r="322" spans="1:57" x14ac:dyDescent="0.25">
      <c r="A322" s="1">
        <v>328</v>
      </c>
      <c r="B322" s="1" t="s">
        <v>4075</v>
      </c>
      <c r="C322" s="9" t="s">
        <v>1703</v>
      </c>
      <c r="D322" s="1" t="s">
        <v>1703</v>
      </c>
      <c r="E322" s="1"/>
      <c r="F322" s="1"/>
      <c r="G322" s="1" t="s">
        <v>4076</v>
      </c>
      <c r="H322" s="1" t="s">
        <v>4077</v>
      </c>
      <c r="I322" s="1" t="s">
        <v>4078</v>
      </c>
      <c r="J322" s="1">
        <v>2</v>
      </c>
      <c r="K322" s="1">
        <v>4</v>
      </c>
      <c r="L322" s="1">
        <v>8160</v>
      </c>
      <c r="M322" s="1">
        <v>25</v>
      </c>
      <c r="N322" s="1">
        <v>20</v>
      </c>
      <c r="O322" s="1">
        <v>15</v>
      </c>
      <c r="P322" s="1">
        <v>10</v>
      </c>
      <c r="Q322" s="1">
        <v>5</v>
      </c>
      <c r="R322" s="1">
        <v>5</v>
      </c>
      <c r="S322" s="1">
        <v>2</v>
      </c>
      <c r="T322" s="1">
        <v>0</v>
      </c>
      <c r="U322" s="1">
        <v>104</v>
      </c>
      <c r="V322" s="1">
        <v>102</v>
      </c>
      <c r="W322" s="1">
        <v>118</v>
      </c>
      <c r="X322" s="1">
        <v>100</v>
      </c>
      <c r="Y322" s="1">
        <v>116</v>
      </c>
      <c r="Z322" s="1">
        <v>122</v>
      </c>
      <c r="AA322" s="1">
        <v>0</v>
      </c>
      <c r="AB322" s="1">
        <v>15</v>
      </c>
      <c r="AC322" s="1">
        <v>5</v>
      </c>
      <c r="AD322" s="1">
        <v>0</v>
      </c>
      <c r="AE322" s="1">
        <v>108</v>
      </c>
      <c r="AF322" s="1">
        <v>100</v>
      </c>
      <c r="AG322" s="1">
        <v>902158</v>
      </c>
      <c r="AH322" s="1">
        <v>0</v>
      </c>
      <c r="AI322" s="1">
        <v>300102</v>
      </c>
      <c r="AJ322" s="1" t="s">
        <v>5408</v>
      </c>
      <c r="AK322" s="1" t="s">
        <v>1372</v>
      </c>
      <c r="AL322" s="1">
        <v>13</v>
      </c>
      <c r="AM322" s="1" t="s">
        <v>399</v>
      </c>
      <c r="AN322" s="1" t="s">
        <v>5409</v>
      </c>
      <c r="AO322" s="1" t="s">
        <v>5229</v>
      </c>
      <c r="AP322" s="1">
        <v>0</v>
      </c>
      <c r="AQ322" s="1" t="s">
        <v>1157</v>
      </c>
      <c r="AR322" s="1" t="s">
        <v>1147</v>
      </c>
      <c r="AS322" s="1" t="s">
        <v>1158</v>
      </c>
      <c r="AT322" s="1" t="s">
        <v>329</v>
      </c>
      <c r="AU322" s="1">
        <v>150</v>
      </c>
      <c r="AV322" s="1">
        <v>0</v>
      </c>
      <c r="AW322" s="1" t="s">
        <v>5410</v>
      </c>
      <c r="AX322" s="1" t="s">
        <v>332</v>
      </c>
      <c r="AY322" s="1">
        <v>4</v>
      </c>
      <c r="AZ322" s="1">
        <v>0</v>
      </c>
      <c r="BA322" s="1" t="s">
        <v>329</v>
      </c>
      <c r="BB322" s="1" t="s">
        <v>329</v>
      </c>
      <c r="BC322" s="1" t="s">
        <v>4780</v>
      </c>
      <c r="BD322" s="1">
        <v>10202</v>
      </c>
      <c r="BE322" s="1"/>
    </row>
    <row r="323" spans="1:57" x14ac:dyDescent="0.25">
      <c r="A323" s="1">
        <v>329</v>
      </c>
      <c r="B323" s="1" t="s">
        <v>4079</v>
      </c>
      <c r="C323" s="9" t="s">
        <v>816</v>
      </c>
      <c r="D323" s="1" t="s">
        <v>816</v>
      </c>
      <c r="E323" s="1"/>
      <c r="F323" s="1"/>
      <c r="G323" s="1" t="s">
        <v>4080</v>
      </c>
      <c r="H323" s="1" t="s">
        <v>4081</v>
      </c>
      <c r="I323" s="1" t="s">
        <v>4082</v>
      </c>
      <c r="J323" s="1">
        <v>3</v>
      </c>
      <c r="K323" s="1">
        <v>5</v>
      </c>
      <c r="L323" s="1">
        <v>17220</v>
      </c>
      <c r="M323" s="1">
        <v>15</v>
      </c>
      <c r="N323" s="1">
        <v>30</v>
      </c>
      <c r="O323" s="1">
        <v>10</v>
      </c>
      <c r="P323" s="1">
        <v>15</v>
      </c>
      <c r="Q323" s="1">
        <v>5</v>
      </c>
      <c r="R323" s="1">
        <v>2</v>
      </c>
      <c r="S323" s="1">
        <v>5</v>
      </c>
      <c r="T323" s="1">
        <v>0</v>
      </c>
      <c r="U323" s="1">
        <v>98</v>
      </c>
      <c r="V323" s="1">
        <v>126</v>
      </c>
      <c r="W323" s="1">
        <v>100</v>
      </c>
      <c r="X323" s="1">
        <v>100</v>
      </c>
      <c r="Y323" s="1">
        <v>136</v>
      </c>
      <c r="Z323" s="1">
        <v>82</v>
      </c>
      <c r="AA323" s="1">
        <v>0</v>
      </c>
      <c r="AB323" s="1">
        <v>15</v>
      </c>
      <c r="AC323" s="1">
        <v>40</v>
      </c>
      <c r="AD323" s="1">
        <v>0</v>
      </c>
      <c r="AE323" s="1">
        <v>131</v>
      </c>
      <c r="AF323" s="1">
        <v>100</v>
      </c>
      <c r="AG323" s="1">
        <v>902223</v>
      </c>
      <c r="AH323" s="1">
        <v>0</v>
      </c>
      <c r="AI323" s="1">
        <v>902222</v>
      </c>
      <c r="AJ323" s="1" t="s">
        <v>5411</v>
      </c>
      <c r="AK323" s="1" t="s">
        <v>1373</v>
      </c>
      <c r="AL323" s="1">
        <v>14</v>
      </c>
      <c r="AM323" s="1" t="s">
        <v>4822</v>
      </c>
      <c r="AN323" s="1" t="s">
        <v>5312</v>
      </c>
      <c r="AO323" s="1" t="s">
        <v>4905</v>
      </c>
      <c r="AP323" s="1">
        <v>0</v>
      </c>
      <c r="AQ323" s="1" t="s">
        <v>1168</v>
      </c>
      <c r="AR323" s="1" t="s">
        <v>1169</v>
      </c>
      <c r="AS323" s="1" t="s">
        <v>1170</v>
      </c>
      <c r="AT323" s="1" t="s">
        <v>329</v>
      </c>
      <c r="AU323" s="1">
        <v>241</v>
      </c>
      <c r="AV323" s="1">
        <v>0</v>
      </c>
      <c r="AW323" s="1" t="s">
        <v>5410</v>
      </c>
      <c r="AX323" s="1" t="s">
        <v>332</v>
      </c>
      <c r="AY323" s="1">
        <v>5</v>
      </c>
      <c r="AZ323" s="1">
        <v>0</v>
      </c>
      <c r="BA323" s="1" t="s">
        <v>329</v>
      </c>
      <c r="BB323" s="1" t="s">
        <v>329</v>
      </c>
      <c r="BC323" s="1" t="s">
        <v>4817</v>
      </c>
      <c r="BD323" s="1">
        <v>10203</v>
      </c>
      <c r="BE323" s="1"/>
    </row>
    <row r="324" spans="1:57" x14ac:dyDescent="0.25">
      <c r="A324" s="1">
        <v>330</v>
      </c>
      <c r="B324" s="1" t="s">
        <v>4083</v>
      </c>
      <c r="C324" s="9" t="s">
        <v>1704</v>
      </c>
      <c r="D324" s="1" t="s">
        <v>1704</v>
      </c>
      <c r="E324" s="1"/>
      <c r="F324" s="1"/>
      <c r="G324" s="1" t="s">
        <v>4084</v>
      </c>
      <c r="H324" s="1" t="s">
        <v>4085</v>
      </c>
      <c r="I324" s="1" t="s">
        <v>4086</v>
      </c>
      <c r="J324" s="1">
        <v>4</v>
      </c>
      <c r="K324" s="1">
        <v>4</v>
      </c>
      <c r="L324" s="1">
        <v>13200</v>
      </c>
      <c r="M324" s="1">
        <v>20</v>
      </c>
      <c r="N324" s="1">
        <v>20</v>
      </c>
      <c r="O324" s="1">
        <v>10</v>
      </c>
      <c r="P324" s="1">
        <v>10</v>
      </c>
      <c r="Q324" s="1">
        <v>2</v>
      </c>
      <c r="R324" s="1">
        <v>5</v>
      </c>
      <c r="S324" s="1">
        <v>5</v>
      </c>
      <c r="T324" s="1">
        <v>0</v>
      </c>
      <c r="U324" s="1">
        <v>100</v>
      </c>
      <c r="V324" s="1">
        <v>118</v>
      </c>
      <c r="W324" s="1">
        <v>102</v>
      </c>
      <c r="X324" s="1">
        <v>100</v>
      </c>
      <c r="Y324" s="1">
        <v>128</v>
      </c>
      <c r="Z324" s="1">
        <v>110</v>
      </c>
      <c r="AA324" s="1">
        <v>0</v>
      </c>
      <c r="AB324" s="1">
        <v>15</v>
      </c>
      <c r="AC324" s="1">
        <v>20</v>
      </c>
      <c r="AD324" s="1">
        <v>0</v>
      </c>
      <c r="AE324" s="1">
        <v>123</v>
      </c>
      <c r="AF324" s="1">
        <v>130</v>
      </c>
      <c r="AG324" s="1">
        <v>902155</v>
      </c>
      <c r="AH324" s="1">
        <v>0</v>
      </c>
      <c r="AI324" s="1">
        <v>300103</v>
      </c>
      <c r="AJ324" s="1" t="s">
        <v>5412</v>
      </c>
      <c r="AK324" s="1" t="s">
        <v>1374</v>
      </c>
      <c r="AL324" s="1">
        <v>13</v>
      </c>
      <c r="AM324" s="1" t="s">
        <v>4779</v>
      </c>
      <c r="AN324" s="1" t="s">
        <v>4944</v>
      </c>
      <c r="AO324" s="1" t="s">
        <v>4945</v>
      </c>
      <c r="AP324" s="1">
        <v>0</v>
      </c>
      <c r="AQ324" s="1" t="s">
        <v>1158</v>
      </c>
      <c r="AR324" s="1" t="s">
        <v>1182</v>
      </c>
      <c r="AS324" s="1" t="s">
        <v>1157</v>
      </c>
      <c r="AT324" s="1" t="s">
        <v>329</v>
      </c>
      <c r="AU324" s="1">
        <v>48</v>
      </c>
      <c r="AV324" s="1">
        <v>0</v>
      </c>
      <c r="AW324" s="1" t="s">
        <v>5410</v>
      </c>
      <c r="AX324" s="1" t="s">
        <v>332</v>
      </c>
      <c r="AY324" s="1">
        <v>4</v>
      </c>
      <c r="AZ324" s="1">
        <v>0</v>
      </c>
      <c r="BA324" s="1" t="s">
        <v>329</v>
      </c>
      <c r="BB324" s="1" t="s">
        <v>329</v>
      </c>
      <c r="BC324" s="1" t="s">
        <v>329</v>
      </c>
      <c r="BD324" s="1">
        <v>10403</v>
      </c>
      <c r="BE324" s="1"/>
    </row>
    <row r="325" spans="1:57" x14ac:dyDescent="0.25">
      <c r="A325" s="1">
        <v>331</v>
      </c>
      <c r="B325" s="1" t="s">
        <v>4087</v>
      </c>
      <c r="C325" s="9" t="s">
        <v>817</v>
      </c>
      <c r="D325" s="1" t="s">
        <v>817</v>
      </c>
      <c r="E325" s="1"/>
      <c r="F325" s="1"/>
      <c r="G325" s="1" t="s">
        <v>4088</v>
      </c>
      <c r="H325" s="1" t="s">
        <v>4089</v>
      </c>
      <c r="I325" s="1" t="s">
        <v>4090</v>
      </c>
      <c r="J325" s="1">
        <v>1</v>
      </c>
      <c r="K325" s="1">
        <v>5</v>
      </c>
      <c r="L325" s="1">
        <v>5700</v>
      </c>
      <c r="M325" s="1">
        <v>10</v>
      </c>
      <c r="N325" s="1">
        <v>10</v>
      </c>
      <c r="O325" s="1">
        <v>5</v>
      </c>
      <c r="P325" s="1">
        <v>5</v>
      </c>
      <c r="Q325" s="1">
        <v>2</v>
      </c>
      <c r="R325" s="1">
        <v>2</v>
      </c>
      <c r="S325" s="1">
        <v>2</v>
      </c>
      <c r="T325" s="1">
        <v>0</v>
      </c>
      <c r="U325" s="1">
        <v>100</v>
      </c>
      <c r="V325" s="1">
        <v>50</v>
      </c>
      <c r="W325" s="1">
        <v>105</v>
      </c>
      <c r="X325" s="1">
        <v>100</v>
      </c>
      <c r="Y325" s="1">
        <v>110</v>
      </c>
      <c r="Z325" s="1">
        <v>160</v>
      </c>
      <c r="AA325" s="1">
        <v>0</v>
      </c>
      <c r="AB325" s="1">
        <v>15</v>
      </c>
      <c r="AC325" s="1">
        <v>20</v>
      </c>
      <c r="AD325" s="1">
        <v>0</v>
      </c>
      <c r="AE325" s="1">
        <v>130</v>
      </c>
      <c r="AF325" s="1">
        <v>100</v>
      </c>
      <c r="AG325" s="1">
        <v>902294</v>
      </c>
      <c r="AH325" s="1">
        <v>0</v>
      </c>
      <c r="AI325" s="1">
        <v>902283</v>
      </c>
      <c r="AJ325" s="1" t="s">
        <v>1375</v>
      </c>
      <c r="AK325" s="1" t="s">
        <v>329</v>
      </c>
      <c r="AL325" s="1">
        <v>14</v>
      </c>
      <c r="AM325" s="1" t="s">
        <v>1866</v>
      </c>
      <c r="AN325" s="1" t="s">
        <v>5413</v>
      </c>
      <c r="AO325" s="1" t="s">
        <v>5414</v>
      </c>
      <c r="AP325" s="1">
        <v>0</v>
      </c>
      <c r="AQ325" s="1" t="s">
        <v>1146</v>
      </c>
      <c r="AR325" s="1" t="s">
        <v>1147</v>
      </c>
      <c r="AS325" s="1" t="s">
        <v>1148</v>
      </c>
      <c r="AT325" s="1" t="s">
        <v>329</v>
      </c>
      <c r="AU325" s="1">
        <v>96</v>
      </c>
      <c r="AV325" s="1">
        <v>0</v>
      </c>
      <c r="AW325" s="1" t="s">
        <v>5415</v>
      </c>
      <c r="AX325" s="1" t="s">
        <v>5416</v>
      </c>
      <c r="AY325" s="1">
        <v>5</v>
      </c>
      <c r="AZ325" s="1">
        <v>0</v>
      </c>
      <c r="BA325" s="1" t="s">
        <v>329</v>
      </c>
      <c r="BB325" s="1" t="s">
        <v>329</v>
      </c>
      <c r="BC325" s="1" t="s">
        <v>329</v>
      </c>
      <c r="BD325" s="1">
        <v>10401</v>
      </c>
      <c r="BE325" s="1"/>
    </row>
    <row r="326" spans="1:57" x14ac:dyDescent="0.25">
      <c r="A326" s="1">
        <v>332</v>
      </c>
      <c r="B326" s="1" t="s">
        <v>4091</v>
      </c>
      <c r="C326" s="9" t="s">
        <v>818</v>
      </c>
      <c r="D326" s="1" t="s">
        <v>818</v>
      </c>
      <c r="E326" s="1"/>
      <c r="F326" s="1"/>
      <c r="G326" s="1" t="s">
        <v>4092</v>
      </c>
      <c r="H326" s="1" t="s">
        <v>4093</v>
      </c>
      <c r="I326" s="1" t="s">
        <v>4094</v>
      </c>
      <c r="J326" s="1">
        <v>1</v>
      </c>
      <c r="K326" s="1">
        <v>4</v>
      </c>
      <c r="L326" s="1">
        <v>3240</v>
      </c>
      <c r="M326" s="1">
        <v>10</v>
      </c>
      <c r="N326" s="1">
        <v>10</v>
      </c>
      <c r="O326" s="1">
        <v>5</v>
      </c>
      <c r="P326" s="1">
        <v>5</v>
      </c>
      <c r="Q326" s="1">
        <v>2</v>
      </c>
      <c r="R326" s="1">
        <v>2</v>
      </c>
      <c r="S326" s="1">
        <v>2</v>
      </c>
      <c r="T326" s="1">
        <v>0</v>
      </c>
      <c r="U326" s="1">
        <v>105</v>
      </c>
      <c r="V326" s="1">
        <v>112</v>
      </c>
      <c r="W326" s="1">
        <v>95</v>
      </c>
      <c r="X326" s="1">
        <v>100</v>
      </c>
      <c r="Y326" s="1">
        <v>120</v>
      </c>
      <c r="Z326" s="1">
        <v>125</v>
      </c>
      <c r="AA326" s="1">
        <v>0</v>
      </c>
      <c r="AB326" s="1">
        <v>15</v>
      </c>
      <c r="AC326" s="1">
        <v>20</v>
      </c>
      <c r="AD326" s="1">
        <v>0</v>
      </c>
      <c r="AE326" s="1">
        <v>120</v>
      </c>
      <c r="AF326" s="1">
        <v>100</v>
      </c>
      <c r="AG326" s="1">
        <v>902299</v>
      </c>
      <c r="AH326" s="1">
        <v>0</v>
      </c>
      <c r="AI326" s="1">
        <v>902295</v>
      </c>
      <c r="AJ326" s="1" t="s">
        <v>329</v>
      </c>
      <c r="AK326" s="1" t="s">
        <v>1376</v>
      </c>
      <c r="AL326" s="1">
        <v>17</v>
      </c>
      <c r="AM326" s="1" t="s">
        <v>1866</v>
      </c>
      <c r="AN326" s="1" t="s">
        <v>5417</v>
      </c>
      <c r="AO326" s="1" t="s">
        <v>5054</v>
      </c>
      <c r="AP326" s="1">
        <v>0</v>
      </c>
      <c r="AQ326" s="1" t="s">
        <v>1146</v>
      </c>
      <c r="AR326" s="1" t="s">
        <v>1147</v>
      </c>
      <c r="AS326" s="1" t="s">
        <v>1148</v>
      </c>
      <c r="AT326" s="1" t="s">
        <v>329</v>
      </c>
      <c r="AU326" s="1">
        <v>212</v>
      </c>
      <c r="AV326" s="1">
        <v>0</v>
      </c>
      <c r="AW326" s="1" t="s">
        <v>5415</v>
      </c>
      <c r="AX326" s="1" t="s">
        <v>5118</v>
      </c>
      <c r="AY326" s="1">
        <v>4</v>
      </c>
      <c r="AZ326" s="1">
        <v>0</v>
      </c>
      <c r="BA326" s="1" t="s">
        <v>329</v>
      </c>
      <c r="BB326" s="1" t="s">
        <v>329</v>
      </c>
      <c r="BC326" s="1" t="s">
        <v>4780</v>
      </c>
      <c r="BD326" s="1">
        <v>10704</v>
      </c>
      <c r="BE326" s="1"/>
    </row>
    <row r="327" spans="1:57" x14ac:dyDescent="0.25">
      <c r="A327" s="1">
        <v>333</v>
      </c>
      <c r="B327" s="1" t="s">
        <v>4095</v>
      </c>
      <c r="C327" s="9" t="s">
        <v>819</v>
      </c>
      <c r="D327" s="1" t="s">
        <v>819</v>
      </c>
      <c r="E327" s="1"/>
      <c r="F327" s="1"/>
      <c r="G327" s="1" t="s">
        <v>4096</v>
      </c>
      <c r="H327" s="1" t="s">
        <v>4097</v>
      </c>
      <c r="I327" s="1" t="s">
        <v>4098</v>
      </c>
      <c r="J327" s="1">
        <v>2</v>
      </c>
      <c r="K327" s="1">
        <v>5</v>
      </c>
      <c r="L327" s="1">
        <v>9300</v>
      </c>
      <c r="M327" s="1">
        <v>25</v>
      </c>
      <c r="N327" s="1">
        <v>20</v>
      </c>
      <c r="O327" s="1">
        <v>15</v>
      </c>
      <c r="P327" s="1">
        <v>10</v>
      </c>
      <c r="Q327" s="1">
        <v>5</v>
      </c>
      <c r="R327" s="1">
        <v>5</v>
      </c>
      <c r="S327" s="1">
        <v>2</v>
      </c>
      <c r="T327" s="1">
        <v>0</v>
      </c>
      <c r="U327" s="1">
        <v>115</v>
      </c>
      <c r="V327" s="1">
        <v>102</v>
      </c>
      <c r="W327" s="1">
        <v>120</v>
      </c>
      <c r="X327" s="1">
        <v>100</v>
      </c>
      <c r="Y327" s="1">
        <v>105</v>
      </c>
      <c r="Z327" s="1">
        <v>115</v>
      </c>
      <c r="AA327" s="1">
        <v>0</v>
      </c>
      <c r="AB327" s="1">
        <v>15</v>
      </c>
      <c r="AC327" s="1">
        <v>5</v>
      </c>
      <c r="AD327" s="1">
        <v>0</v>
      </c>
      <c r="AE327" s="1">
        <v>100</v>
      </c>
      <c r="AF327" s="1">
        <v>100</v>
      </c>
      <c r="AG327" s="1">
        <v>902312</v>
      </c>
      <c r="AH327" s="1">
        <v>0</v>
      </c>
      <c r="AI327" s="1">
        <v>902307</v>
      </c>
      <c r="AJ327" s="1" t="s">
        <v>1377</v>
      </c>
      <c r="AK327" s="1" t="s">
        <v>1378</v>
      </c>
      <c r="AL327" s="1">
        <v>13</v>
      </c>
      <c r="AM327" s="1" t="s">
        <v>4850</v>
      </c>
      <c r="AN327" s="1" t="s">
        <v>4853</v>
      </c>
      <c r="AO327" s="1" t="s">
        <v>5418</v>
      </c>
      <c r="AP327" s="1">
        <v>0</v>
      </c>
      <c r="AQ327" s="1" t="s">
        <v>1157</v>
      </c>
      <c r="AR327" s="1" t="s">
        <v>1147</v>
      </c>
      <c r="AS327" s="1" t="s">
        <v>1158</v>
      </c>
      <c r="AT327" s="1" t="s">
        <v>329</v>
      </c>
      <c r="AU327" s="1">
        <v>224</v>
      </c>
      <c r="AV327" s="1">
        <v>0</v>
      </c>
      <c r="AW327" s="1" t="s">
        <v>5415</v>
      </c>
      <c r="AX327" s="1" t="s">
        <v>5419</v>
      </c>
      <c r="AY327" s="1">
        <v>5</v>
      </c>
      <c r="AZ327" s="1">
        <v>0</v>
      </c>
      <c r="BA327" s="1" t="s">
        <v>329</v>
      </c>
      <c r="BB327" s="1" t="s">
        <v>329</v>
      </c>
      <c r="BC327" s="1" t="s">
        <v>4799</v>
      </c>
      <c r="BD327" s="1">
        <v>10201</v>
      </c>
      <c r="BE327" s="1"/>
    </row>
    <row r="328" spans="1:57" x14ac:dyDescent="0.25">
      <c r="A328" s="1">
        <v>334</v>
      </c>
      <c r="B328" s="1" t="s">
        <v>4099</v>
      </c>
      <c r="C328" s="9" t="s">
        <v>820</v>
      </c>
      <c r="D328" s="1" t="s">
        <v>4100</v>
      </c>
      <c r="E328" s="1"/>
      <c r="F328" s="1"/>
      <c r="G328" s="1" t="s">
        <v>4101</v>
      </c>
      <c r="H328" s="1" t="s">
        <v>4102</v>
      </c>
      <c r="I328" s="1" t="s">
        <v>4103</v>
      </c>
      <c r="J328" s="1">
        <v>3</v>
      </c>
      <c r="K328" s="1">
        <v>5</v>
      </c>
      <c r="L328" s="1">
        <v>16980</v>
      </c>
      <c r="M328" s="1">
        <v>15</v>
      </c>
      <c r="N328" s="1">
        <v>30</v>
      </c>
      <c r="O328" s="1">
        <v>10</v>
      </c>
      <c r="P328" s="1">
        <v>15</v>
      </c>
      <c r="Q328" s="1">
        <v>5</v>
      </c>
      <c r="R328" s="1">
        <v>2</v>
      </c>
      <c r="S328" s="1">
        <v>5</v>
      </c>
      <c r="T328" s="1">
        <v>0</v>
      </c>
      <c r="U328" s="1">
        <v>110</v>
      </c>
      <c r="V328" s="1">
        <v>112</v>
      </c>
      <c r="W328" s="1">
        <v>98</v>
      </c>
      <c r="X328" s="1">
        <v>100</v>
      </c>
      <c r="Y328" s="1">
        <v>120</v>
      </c>
      <c r="Z328" s="1">
        <v>105</v>
      </c>
      <c r="AA328" s="1">
        <v>0</v>
      </c>
      <c r="AB328" s="1">
        <v>15</v>
      </c>
      <c r="AC328" s="1">
        <v>40</v>
      </c>
      <c r="AD328" s="1">
        <v>0</v>
      </c>
      <c r="AE328" s="1">
        <v>128</v>
      </c>
      <c r="AF328" s="1">
        <v>100</v>
      </c>
      <c r="AG328" s="1">
        <v>902304</v>
      </c>
      <c r="AH328" s="1">
        <v>0</v>
      </c>
      <c r="AI328" s="1">
        <v>902301</v>
      </c>
      <c r="AJ328" s="1" t="s">
        <v>1379</v>
      </c>
      <c r="AK328" s="1" t="s">
        <v>1380</v>
      </c>
      <c r="AL328" s="1">
        <v>19</v>
      </c>
      <c r="AM328" s="1" t="s">
        <v>4822</v>
      </c>
      <c r="AN328" s="1" t="s">
        <v>5420</v>
      </c>
      <c r="AO328" s="1" t="s">
        <v>4905</v>
      </c>
      <c r="AP328" s="1">
        <v>0</v>
      </c>
      <c r="AQ328" s="1" t="s">
        <v>1168</v>
      </c>
      <c r="AR328" s="1" t="s">
        <v>1169</v>
      </c>
      <c r="AS328" s="1" t="s">
        <v>1170</v>
      </c>
      <c r="AT328" s="1" t="s">
        <v>329</v>
      </c>
      <c r="AU328" s="1">
        <v>222</v>
      </c>
      <c r="AV328" s="1">
        <v>0</v>
      </c>
      <c r="AW328" s="1" t="s">
        <v>5415</v>
      </c>
      <c r="AX328" s="1" t="s">
        <v>5118</v>
      </c>
      <c r="AY328" s="1">
        <v>5</v>
      </c>
      <c r="AZ328" s="1">
        <v>0</v>
      </c>
      <c r="BA328" s="1" t="s">
        <v>329</v>
      </c>
      <c r="BB328" s="1" t="s">
        <v>329</v>
      </c>
      <c r="BC328" s="1" t="s">
        <v>4780</v>
      </c>
      <c r="BD328" s="1">
        <v>10302</v>
      </c>
      <c r="BE328" s="1"/>
    </row>
    <row r="329" spans="1:57" x14ac:dyDescent="0.25">
      <c r="A329" s="1">
        <v>335</v>
      </c>
      <c r="B329" s="1" t="s">
        <v>4104</v>
      </c>
      <c r="C329" s="9" t="s">
        <v>821</v>
      </c>
      <c r="D329" s="1" t="s">
        <v>821</v>
      </c>
      <c r="E329" s="1"/>
      <c r="F329" s="1"/>
      <c r="G329" s="1" t="s">
        <v>4105</v>
      </c>
      <c r="H329" s="1" t="s">
        <v>4106</v>
      </c>
      <c r="I329" s="1" t="s">
        <v>4107</v>
      </c>
      <c r="J329" s="1">
        <v>4</v>
      </c>
      <c r="K329" s="1">
        <v>4</v>
      </c>
      <c r="L329" s="1">
        <v>12900</v>
      </c>
      <c r="M329" s="1">
        <v>20</v>
      </c>
      <c r="N329" s="1">
        <v>20</v>
      </c>
      <c r="O329" s="1">
        <v>10</v>
      </c>
      <c r="P329" s="1">
        <v>10</v>
      </c>
      <c r="Q329" s="1">
        <v>2</v>
      </c>
      <c r="R329" s="1">
        <v>5</v>
      </c>
      <c r="S329" s="1">
        <v>5</v>
      </c>
      <c r="T329" s="1">
        <v>0</v>
      </c>
      <c r="U329" s="1">
        <v>100</v>
      </c>
      <c r="V329" s="1">
        <v>122</v>
      </c>
      <c r="W329" s="1">
        <v>85</v>
      </c>
      <c r="X329" s="1">
        <v>100</v>
      </c>
      <c r="Y329" s="1">
        <v>130</v>
      </c>
      <c r="Z329" s="1">
        <v>105</v>
      </c>
      <c r="AA329" s="1">
        <v>0</v>
      </c>
      <c r="AB329" s="1">
        <v>15</v>
      </c>
      <c r="AC329" s="1">
        <v>20</v>
      </c>
      <c r="AD329" s="1">
        <v>0</v>
      </c>
      <c r="AE329" s="1">
        <v>130</v>
      </c>
      <c r="AF329" s="1">
        <v>130</v>
      </c>
      <c r="AG329" s="1">
        <v>902315</v>
      </c>
      <c r="AH329" s="1">
        <v>0</v>
      </c>
      <c r="AI329" s="1">
        <v>300103</v>
      </c>
      <c r="AJ329" s="1" t="s">
        <v>5421</v>
      </c>
      <c r="AK329" s="1" t="s">
        <v>1381</v>
      </c>
      <c r="AL329" s="1">
        <v>13</v>
      </c>
      <c r="AM329" s="1" t="s">
        <v>332</v>
      </c>
      <c r="AN329" s="1" t="s">
        <v>4924</v>
      </c>
      <c r="AO329" s="1" t="s">
        <v>5162</v>
      </c>
      <c r="AP329" s="1">
        <v>0</v>
      </c>
      <c r="AQ329" s="1" t="s">
        <v>1158</v>
      </c>
      <c r="AR329" s="1" t="s">
        <v>1182</v>
      </c>
      <c r="AS329" s="1" t="s">
        <v>1157</v>
      </c>
      <c r="AT329" s="1" t="s">
        <v>329</v>
      </c>
      <c r="AU329" s="1">
        <v>48</v>
      </c>
      <c r="AV329" s="1">
        <v>0</v>
      </c>
      <c r="AW329" s="1" t="s">
        <v>5415</v>
      </c>
      <c r="AX329" s="1" t="s">
        <v>5416</v>
      </c>
      <c r="AY329" s="1">
        <v>4</v>
      </c>
      <c r="AZ329" s="1">
        <v>0</v>
      </c>
      <c r="BA329" s="1" t="s">
        <v>329</v>
      </c>
      <c r="BB329" s="1" t="s">
        <v>329</v>
      </c>
      <c r="BC329" s="1" t="s">
        <v>4817</v>
      </c>
      <c r="BD329" s="1">
        <v>10202</v>
      </c>
      <c r="BE329" s="1"/>
    </row>
    <row r="330" spans="1:57" x14ac:dyDescent="0.25">
      <c r="A330" s="1">
        <v>336</v>
      </c>
      <c r="B330" s="1" t="s">
        <v>4108</v>
      </c>
      <c r="C330" s="9" t="s">
        <v>1705</v>
      </c>
      <c r="D330" s="1" t="s">
        <v>1705</v>
      </c>
      <c r="E330" s="1"/>
      <c r="F330" s="1"/>
      <c r="G330" s="1" t="s">
        <v>4109</v>
      </c>
      <c r="H330" s="1" t="s">
        <v>4110</v>
      </c>
      <c r="I330" s="1" t="s">
        <v>4111</v>
      </c>
      <c r="J330" s="1">
        <v>2</v>
      </c>
      <c r="K330" s="1">
        <v>4</v>
      </c>
      <c r="L330" s="1">
        <v>7800</v>
      </c>
      <c r="M330" s="1">
        <v>25</v>
      </c>
      <c r="N330" s="1">
        <v>20</v>
      </c>
      <c r="O330" s="1">
        <v>15</v>
      </c>
      <c r="P330" s="1">
        <v>10</v>
      </c>
      <c r="Q330" s="1">
        <v>5</v>
      </c>
      <c r="R330" s="1">
        <v>5</v>
      </c>
      <c r="S330" s="1">
        <v>2</v>
      </c>
      <c r="T330" s="1">
        <v>0</v>
      </c>
      <c r="U330" s="1">
        <v>105</v>
      </c>
      <c r="V330" s="1">
        <v>100</v>
      </c>
      <c r="W330" s="1">
        <v>112</v>
      </c>
      <c r="X330" s="1">
        <v>100</v>
      </c>
      <c r="Y330" s="1">
        <v>105</v>
      </c>
      <c r="Z330" s="1">
        <v>122</v>
      </c>
      <c r="AA330" s="1">
        <v>0</v>
      </c>
      <c r="AB330" s="1">
        <v>15</v>
      </c>
      <c r="AC330" s="1">
        <v>5</v>
      </c>
      <c r="AD330" s="1">
        <v>0</v>
      </c>
      <c r="AE330" s="1">
        <v>110</v>
      </c>
      <c r="AF330" s="1">
        <v>100</v>
      </c>
      <c r="AG330" s="1">
        <v>902395</v>
      </c>
      <c r="AH330" s="1">
        <v>0</v>
      </c>
      <c r="AI330" s="1">
        <v>300102</v>
      </c>
      <c r="AJ330" s="1" t="s">
        <v>5422</v>
      </c>
      <c r="AK330" s="1" t="s">
        <v>1382</v>
      </c>
      <c r="AL330" s="1">
        <v>12</v>
      </c>
      <c r="AM330" s="1" t="s">
        <v>4850</v>
      </c>
      <c r="AN330" s="1" t="s">
        <v>5258</v>
      </c>
      <c r="AO330" s="1" t="s">
        <v>4963</v>
      </c>
      <c r="AP330" s="1">
        <v>0</v>
      </c>
      <c r="AQ330" s="1" t="s">
        <v>1157</v>
      </c>
      <c r="AR330" s="1" t="s">
        <v>1147</v>
      </c>
      <c r="AS330" s="1" t="s">
        <v>1158</v>
      </c>
      <c r="AT330" s="1" t="s">
        <v>329</v>
      </c>
      <c r="AU330" s="1">
        <v>150</v>
      </c>
      <c r="AV330" s="1">
        <v>0</v>
      </c>
      <c r="AW330" s="1" t="s">
        <v>5423</v>
      </c>
      <c r="AX330" s="1" t="s">
        <v>332</v>
      </c>
      <c r="AY330" s="1">
        <v>4</v>
      </c>
      <c r="AZ330" s="1">
        <v>0</v>
      </c>
      <c r="BA330" s="1" t="s">
        <v>329</v>
      </c>
      <c r="BB330" s="1" t="s">
        <v>329</v>
      </c>
      <c r="BC330" s="1" t="s">
        <v>4817</v>
      </c>
      <c r="BD330" s="1">
        <v>10301</v>
      </c>
      <c r="BE330" s="1"/>
    </row>
    <row r="331" spans="1:57" x14ac:dyDescent="0.25">
      <c r="A331" s="1">
        <v>337</v>
      </c>
      <c r="B331" s="1" t="s">
        <v>4112</v>
      </c>
      <c r="C331" s="9" t="s">
        <v>899</v>
      </c>
      <c r="D331" s="1" t="s">
        <v>4113</v>
      </c>
      <c r="E331" s="1"/>
      <c r="F331" s="1"/>
      <c r="G331" s="1" t="s">
        <v>4114</v>
      </c>
      <c r="H331" s="1" t="s">
        <v>4115</v>
      </c>
      <c r="I331" s="1" t="s">
        <v>4116</v>
      </c>
      <c r="J331" s="1">
        <v>3</v>
      </c>
      <c r="K331" s="1">
        <v>5</v>
      </c>
      <c r="L331" s="1">
        <v>18000</v>
      </c>
      <c r="M331" s="1">
        <v>15</v>
      </c>
      <c r="N331" s="1">
        <v>30</v>
      </c>
      <c r="O331" s="1">
        <v>10</v>
      </c>
      <c r="P331" s="1">
        <v>15</v>
      </c>
      <c r="Q331" s="1">
        <v>5</v>
      </c>
      <c r="R331" s="1">
        <v>2</v>
      </c>
      <c r="S331" s="1">
        <v>5</v>
      </c>
      <c r="T331" s="1">
        <v>0</v>
      </c>
      <c r="U331" s="1">
        <v>115</v>
      </c>
      <c r="V331" s="1">
        <v>95</v>
      </c>
      <c r="W331" s="1">
        <v>105</v>
      </c>
      <c r="X331" s="1">
        <v>100</v>
      </c>
      <c r="Y331" s="1">
        <v>122</v>
      </c>
      <c r="Z331" s="1">
        <v>105</v>
      </c>
      <c r="AA331" s="1">
        <v>0</v>
      </c>
      <c r="AB331" s="1">
        <v>15</v>
      </c>
      <c r="AC331" s="1">
        <v>40</v>
      </c>
      <c r="AD331" s="1">
        <v>0</v>
      </c>
      <c r="AE331" s="1">
        <v>130</v>
      </c>
      <c r="AF331" s="1">
        <v>100</v>
      </c>
      <c r="AG331" s="1">
        <v>902418</v>
      </c>
      <c r="AH331" s="1">
        <v>0</v>
      </c>
      <c r="AI331" s="1">
        <v>902416</v>
      </c>
      <c r="AJ331" s="1" t="s">
        <v>329</v>
      </c>
      <c r="AK331" s="1" t="s">
        <v>1383</v>
      </c>
      <c r="AL331" s="1">
        <v>14</v>
      </c>
      <c r="AM331" s="1" t="s">
        <v>471</v>
      </c>
      <c r="AN331" s="1" t="s">
        <v>5424</v>
      </c>
      <c r="AO331" s="1" t="s">
        <v>4892</v>
      </c>
      <c r="AP331" s="1">
        <v>0</v>
      </c>
      <c r="AQ331" s="1" t="s">
        <v>1168</v>
      </c>
      <c r="AR331" s="1" t="s">
        <v>1169</v>
      </c>
      <c r="AS331" s="1" t="s">
        <v>1170</v>
      </c>
      <c r="AT331" s="1" t="s">
        <v>329</v>
      </c>
      <c r="AU331" s="1">
        <v>241</v>
      </c>
      <c r="AV331" s="1">
        <v>0</v>
      </c>
      <c r="AW331" s="1" t="s">
        <v>5423</v>
      </c>
      <c r="AX331" s="1" t="s">
        <v>332</v>
      </c>
      <c r="AY331" s="1">
        <v>5</v>
      </c>
      <c r="AZ331" s="1">
        <v>0</v>
      </c>
      <c r="BA331" s="1" t="s">
        <v>329</v>
      </c>
      <c r="BB331" s="1" t="s">
        <v>329</v>
      </c>
      <c r="BC331" s="1" t="s">
        <v>329</v>
      </c>
      <c r="BD331" s="1">
        <v>10802</v>
      </c>
      <c r="BE331" s="1"/>
    </row>
    <row r="332" spans="1:57" x14ac:dyDescent="0.25">
      <c r="A332" s="1">
        <v>338</v>
      </c>
      <c r="B332" s="1" t="s">
        <v>4117</v>
      </c>
      <c r="C332" s="9" t="s">
        <v>898</v>
      </c>
      <c r="D332" s="1" t="s">
        <v>4118</v>
      </c>
      <c r="E332" s="1"/>
      <c r="F332" s="1"/>
      <c r="G332" s="1" t="s">
        <v>4119</v>
      </c>
      <c r="H332" s="1" t="s">
        <v>4120</v>
      </c>
      <c r="I332" s="1" t="s">
        <v>4121</v>
      </c>
      <c r="J332" s="1">
        <v>4</v>
      </c>
      <c r="K332" s="1">
        <v>5</v>
      </c>
      <c r="L332" s="1">
        <v>14160</v>
      </c>
      <c r="M332" s="1">
        <v>20</v>
      </c>
      <c r="N332" s="1">
        <v>20</v>
      </c>
      <c r="O332" s="1">
        <v>10</v>
      </c>
      <c r="P332" s="1">
        <v>10</v>
      </c>
      <c r="Q332" s="1">
        <v>2</v>
      </c>
      <c r="R332" s="1">
        <v>5</v>
      </c>
      <c r="S332" s="1">
        <v>5</v>
      </c>
      <c r="T332" s="1">
        <v>0</v>
      </c>
      <c r="U332" s="1">
        <v>105</v>
      </c>
      <c r="V332" s="1">
        <v>105</v>
      </c>
      <c r="W332" s="1">
        <v>122</v>
      </c>
      <c r="X332" s="1">
        <v>100</v>
      </c>
      <c r="Y332" s="1">
        <v>132</v>
      </c>
      <c r="Z332" s="1">
        <v>105</v>
      </c>
      <c r="AA332" s="1">
        <v>0</v>
      </c>
      <c r="AB332" s="1">
        <v>15</v>
      </c>
      <c r="AC332" s="1">
        <v>20</v>
      </c>
      <c r="AD332" s="1">
        <v>0</v>
      </c>
      <c r="AE332" s="1">
        <v>124</v>
      </c>
      <c r="AF332" s="1">
        <v>130</v>
      </c>
      <c r="AG332" s="1">
        <v>902403</v>
      </c>
      <c r="AH332" s="1">
        <v>0</v>
      </c>
      <c r="AI332" s="1">
        <v>902400</v>
      </c>
      <c r="AJ332" s="1" t="s">
        <v>5425</v>
      </c>
      <c r="AK332" s="1" t="s">
        <v>1384</v>
      </c>
      <c r="AL332" s="1">
        <v>13</v>
      </c>
      <c r="AM332" s="1" t="s">
        <v>4779</v>
      </c>
      <c r="AN332" s="1" t="s">
        <v>5426</v>
      </c>
      <c r="AO332" s="1" t="s">
        <v>5273</v>
      </c>
      <c r="AP332" s="1">
        <v>0</v>
      </c>
      <c r="AQ332" s="1" t="s">
        <v>1158</v>
      </c>
      <c r="AR332" s="1" t="s">
        <v>1182</v>
      </c>
      <c r="AS332" s="1" t="s">
        <v>1157</v>
      </c>
      <c r="AT332" s="1" t="s">
        <v>329</v>
      </c>
      <c r="AU332" s="1">
        <v>48</v>
      </c>
      <c r="AV332" s="1">
        <v>0</v>
      </c>
      <c r="AW332" s="1" t="s">
        <v>5423</v>
      </c>
      <c r="AX332" s="1" t="s">
        <v>332</v>
      </c>
      <c r="AY332" s="1">
        <v>5</v>
      </c>
      <c r="AZ332" s="1">
        <v>0</v>
      </c>
      <c r="BA332" s="1" t="s">
        <v>329</v>
      </c>
      <c r="BB332" s="1" t="s">
        <v>329</v>
      </c>
      <c r="BC332" s="1" t="s">
        <v>329</v>
      </c>
      <c r="BD332" s="1">
        <v>10802</v>
      </c>
      <c r="BE332" s="1"/>
    </row>
    <row r="333" spans="1:57" x14ac:dyDescent="0.25">
      <c r="A333" s="1">
        <v>339</v>
      </c>
      <c r="B333" s="1" t="s">
        <v>4122</v>
      </c>
      <c r="C333" s="9" t="s">
        <v>1706</v>
      </c>
      <c r="D333" s="1" t="s">
        <v>1706</v>
      </c>
      <c r="E333" s="1"/>
      <c r="F333" s="1"/>
      <c r="G333" s="1" t="s">
        <v>4123</v>
      </c>
      <c r="H333" s="1" t="s">
        <v>4124</v>
      </c>
      <c r="I333" s="1" t="s">
        <v>4125</v>
      </c>
      <c r="J333" s="1">
        <v>5</v>
      </c>
      <c r="K333" s="1">
        <v>5</v>
      </c>
      <c r="L333" s="1">
        <v>22560</v>
      </c>
      <c r="M333" s="1">
        <v>40</v>
      </c>
      <c r="N333" s="1">
        <v>30</v>
      </c>
      <c r="O333" s="1">
        <v>25</v>
      </c>
      <c r="P333" s="1">
        <v>15</v>
      </c>
      <c r="Q333" s="1">
        <v>5</v>
      </c>
      <c r="R333" s="1">
        <v>5</v>
      </c>
      <c r="S333" s="1">
        <v>2</v>
      </c>
      <c r="T333" s="1">
        <v>5</v>
      </c>
      <c r="U333" s="1">
        <v>100</v>
      </c>
      <c r="V333" s="1">
        <v>102</v>
      </c>
      <c r="W333" s="1">
        <v>110</v>
      </c>
      <c r="X333" s="1">
        <v>100</v>
      </c>
      <c r="Y333" s="1">
        <v>120</v>
      </c>
      <c r="Z333" s="1">
        <v>125</v>
      </c>
      <c r="AA333" s="1">
        <v>0</v>
      </c>
      <c r="AB333" s="1">
        <v>15</v>
      </c>
      <c r="AC333" s="1">
        <v>5</v>
      </c>
      <c r="AD333" s="1">
        <v>9</v>
      </c>
      <c r="AE333" s="1">
        <v>138</v>
      </c>
      <c r="AF333" s="1">
        <v>100</v>
      </c>
      <c r="AG333" s="1">
        <v>902425</v>
      </c>
      <c r="AH333" s="1">
        <v>0</v>
      </c>
      <c r="AI333" s="1">
        <v>902420</v>
      </c>
      <c r="AJ333" s="1" t="s">
        <v>1385</v>
      </c>
      <c r="AK333" s="1" t="s">
        <v>1386</v>
      </c>
      <c r="AL333" s="1">
        <v>18</v>
      </c>
      <c r="AM333" s="1" t="s">
        <v>4918</v>
      </c>
      <c r="AN333" s="1" t="s">
        <v>5427</v>
      </c>
      <c r="AO333" s="1" t="s">
        <v>5428</v>
      </c>
      <c r="AP333" s="1">
        <v>0</v>
      </c>
      <c r="AQ333" s="1" t="s">
        <v>1195</v>
      </c>
      <c r="AR333" s="1" t="s">
        <v>1196</v>
      </c>
      <c r="AS333" s="1" t="s">
        <v>1197</v>
      </c>
      <c r="AT333" s="1" t="s">
        <v>329</v>
      </c>
      <c r="AU333" s="1">
        <v>238</v>
      </c>
      <c r="AV333" s="1">
        <v>0</v>
      </c>
      <c r="AW333" s="1" t="s">
        <v>5423</v>
      </c>
      <c r="AX333" s="1" t="s">
        <v>332</v>
      </c>
      <c r="AY333" s="1">
        <v>5</v>
      </c>
      <c r="AZ333" s="1">
        <v>0</v>
      </c>
      <c r="BA333" s="1" t="s">
        <v>329</v>
      </c>
      <c r="BB333" s="1" t="s">
        <v>329</v>
      </c>
      <c r="BC333" s="1" t="s">
        <v>4817</v>
      </c>
      <c r="BD333" s="1">
        <v>10203</v>
      </c>
      <c r="BE333" s="1"/>
    </row>
    <row r="334" spans="1:57" x14ac:dyDescent="0.25">
      <c r="A334" s="1">
        <v>340</v>
      </c>
      <c r="B334" s="1" t="s">
        <v>4126</v>
      </c>
      <c r="C334" s="9" t="s">
        <v>1707</v>
      </c>
      <c r="D334" s="1" t="s">
        <v>1707</v>
      </c>
      <c r="E334" s="1"/>
      <c r="F334" s="1"/>
      <c r="G334" s="1" t="s">
        <v>4127</v>
      </c>
      <c r="H334" s="1" t="s">
        <v>4128</v>
      </c>
      <c r="I334" s="1" t="s">
        <v>4129</v>
      </c>
      <c r="J334" s="1">
        <v>4</v>
      </c>
      <c r="K334" s="1">
        <v>5</v>
      </c>
      <c r="L334" s="1">
        <v>14160</v>
      </c>
      <c r="M334" s="1">
        <v>20</v>
      </c>
      <c r="N334" s="1">
        <v>20</v>
      </c>
      <c r="O334" s="1">
        <v>10</v>
      </c>
      <c r="P334" s="1">
        <v>10</v>
      </c>
      <c r="Q334" s="1">
        <v>2</v>
      </c>
      <c r="R334" s="1">
        <v>5</v>
      </c>
      <c r="S334" s="1">
        <v>5</v>
      </c>
      <c r="T334" s="1">
        <v>0</v>
      </c>
      <c r="U334" s="1">
        <v>105</v>
      </c>
      <c r="V334" s="1">
        <v>116</v>
      </c>
      <c r="W334" s="1">
        <v>106</v>
      </c>
      <c r="X334" s="1">
        <v>100</v>
      </c>
      <c r="Y334" s="1">
        <v>118</v>
      </c>
      <c r="Z334" s="1">
        <v>110</v>
      </c>
      <c r="AA334" s="1">
        <v>0</v>
      </c>
      <c r="AB334" s="1">
        <v>15</v>
      </c>
      <c r="AC334" s="1">
        <v>20</v>
      </c>
      <c r="AD334" s="1">
        <v>0</v>
      </c>
      <c r="AE334" s="1">
        <v>126</v>
      </c>
      <c r="AF334" s="1">
        <v>130</v>
      </c>
      <c r="AG334" s="1">
        <v>116301</v>
      </c>
      <c r="AH334" s="1">
        <v>0</v>
      </c>
      <c r="AI334" s="1">
        <v>300103</v>
      </c>
      <c r="AJ334" s="1" t="s">
        <v>1387</v>
      </c>
      <c r="AK334" s="1" t="s">
        <v>1388</v>
      </c>
      <c r="AL334" s="1">
        <v>13</v>
      </c>
      <c r="AM334" s="1" t="s">
        <v>4779</v>
      </c>
      <c r="AN334" s="1" t="s">
        <v>4894</v>
      </c>
      <c r="AO334" s="1" t="s">
        <v>5062</v>
      </c>
      <c r="AP334" s="1">
        <v>0</v>
      </c>
      <c r="AQ334" s="1" t="s">
        <v>1158</v>
      </c>
      <c r="AR334" s="1" t="s">
        <v>1182</v>
      </c>
      <c r="AS334" s="1" t="s">
        <v>1157</v>
      </c>
      <c r="AT334" s="1" t="s">
        <v>329</v>
      </c>
      <c r="AU334" s="1">
        <v>48</v>
      </c>
      <c r="AV334" s="1">
        <v>0</v>
      </c>
      <c r="AW334" s="1" t="s">
        <v>5429</v>
      </c>
      <c r="AX334" s="1" t="s">
        <v>5430</v>
      </c>
      <c r="AY334" s="1">
        <v>5</v>
      </c>
      <c r="AZ334" s="1">
        <v>0</v>
      </c>
      <c r="BA334" s="1" t="s">
        <v>329</v>
      </c>
      <c r="BB334" s="1" t="s">
        <v>329</v>
      </c>
      <c r="BC334" s="1" t="s">
        <v>4817</v>
      </c>
      <c r="BD334" s="1">
        <v>10402</v>
      </c>
      <c r="BE334" s="1"/>
    </row>
    <row r="335" spans="1:57" x14ac:dyDescent="0.25">
      <c r="A335" s="1">
        <v>341</v>
      </c>
      <c r="B335" s="1" t="s">
        <v>4130</v>
      </c>
      <c r="C335" s="9" t="s">
        <v>1731</v>
      </c>
      <c r="D335" s="1" t="s">
        <v>1731</v>
      </c>
      <c r="E335" s="1"/>
      <c r="F335" s="1"/>
      <c r="G335" s="1" t="s">
        <v>4131</v>
      </c>
      <c r="H335" s="1" t="s">
        <v>4132</v>
      </c>
      <c r="I335" s="1" t="s">
        <v>4133</v>
      </c>
      <c r="J335" s="1">
        <v>2</v>
      </c>
      <c r="K335" s="1">
        <v>5</v>
      </c>
      <c r="L335" s="1">
        <v>9300</v>
      </c>
      <c r="M335" s="1">
        <v>25</v>
      </c>
      <c r="N335" s="1">
        <v>20</v>
      </c>
      <c r="O335" s="1">
        <v>15</v>
      </c>
      <c r="P335" s="1">
        <v>10</v>
      </c>
      <c r="Q335" s="1">
        <v>5</v>
      </c>
      <c r="R335" s="1">
        <v>5</v>
      </c>
      <c r="S335" s="1">
        <v>2</v>
      </c>
      <c r="T335" s="1">
        <v>0</v>
      </c>
      <c r="U335" s="1">
        <v>125</v>
      </c>
      <c r="V335" s="1">
        <v>95</v>
      </c>
      <c r="W335" s="1">
        <v>108</v>
      </c>
      <c r="X335" s="1">
        <v>100</v>
      </c>
      <c r="Y335" s="1">
        <v>96</v>
      </c>
      <c r="Z335" s="1">
        <v>100</v>
      </c>
      <c r="AA335" s="1">
        <v>0</v>
      </c>
      <c r="AB335" s="1">
        <v>15</v>
      </c>
      <c r="AC335" s="1">
        <v>5</v>
      </c>
      <c r="AD335" s="1">
        <v>0</v>
      </c>
      <c r="AE335" s="1">
        <v>126</v>
      </c>
      <c r="AF335" s="1">
        <v>100</v>
      </c>
      <c r="AG335" s="1">
        <v>117301</v>
      </c>
      <c r="AH335" s="1">
        <v>0</v>
      </c>
      <c r="AI335" s="1">
        <v>300102</v>
      </c>
      <c r="AJ335" s="1" t="s">
        <v>1732</v>
      </c>
      <c r="AK335" s="1" t="s">
        <v>1733</v>
      </c>
      <c r="AL335" s="1">
        <v>14</v>
      </c>
      <c r="AM335" s="1" t="s">
        <v>399</v>
      </c>
      <c r="AN335" s="1" t="s">
        <v>5431</v>
      </c>
      <c r="AO335" s="1" t="s">
        <v>5432</v>
      </c>
      <c r="AP335" s="1">
        <v>0</v>
      </c>
      <c r="AQ335" s="1" t="s">
        <v>1157</v>
      </c>
      <c r="AR335" s="1" t="s">
        <v>1147</v>
      </c>
      <c r="AS335" s="1" t="s">
        <v>1158</v>
      </c>
      <c r="AT335" s="1" t="s">
        <v>329</v>
      </c>
      <c r="AU335" s="1">
        <v>150</v>
      </c>
      <c r="AV335" s="1">
        <v>0</v>
      </c>
      <c r="AW335" s="1" t="s">
        <v>5433</v>
      </c>
      <c r="AX335" s="1" t="s">
        <v>5434</v>
      </c>
      <c r="AY335" s="1">
        <v>5</v>
      </c>
      <c r="AZ335" s="1">
        <v>0</v>
      </c>
      <c r="BA335" s="1" t="s">
        <v>329</v>
      </c>
      <c r="BB335" s="1" t="s">
        <v>329</v>
      </c>
      <c r="BC335" s="1" t="s">
        <v>329</v>
      </c>
      <c r="BD335" s="1">
        <v>10202</v>
      </c>
      <c r="BE335" s="1"/>
    </row>
    <row r="336" spans="1:57" x14ac:dyDescent="0.25">
      <c r="A336" s="1">
        <v>342</v>
      </c>
      <c r="B336" s="1" t="s">
        <v>4134</v>
      </c>
      <c r="C336" s="9" t="s">
        <v>1734</v>
      </c>
      <c r="D336" s="1" t="s">
        <v>1734</v>
      </c>
      <c r="E336" s="1"/>
      <c r="F336" s="1"/>
      <c r="G336" s="1" t="s">
        <v>4135</v>
      </c>
      <c r="H336" s="1" t="s">
        <v>4136</v>
      </c>
      <c r="I336" s="1" t="s">
        <v>4137</v>
      </c>
      <c r="J336" s="1">
        <v>4</v>
      </c>
      <c r="K336" s="1">
        <v>5</v>
      </c>
      <c r="L336" s="1">
        <v>14160</v>
      </c>
      <c r="M336" s="1">
        <v>20</v>
      </c>
      <c r="N336" s="1">
        <v>20</v>
      </c>
      <c r="O336" s="1">
        <v>10</v>
      </c>
      <c r="P336" s="1">
        <v>10</v>
      </c>
      <c r="Q336" s="1">
        <v>2</v>
      </c>
      <c r="R336" s="1">
        <v>5</v>
      </c>
      <c r="S336" s="1">
        <v>5</v>
      </c>
      <c r="T336" s="1">
        <v>0</v>
      </c>
      <c r="U336" s="1">
        <v>120</v>
      </c>
      <c r="V336" s="1">
        <v>118</v>
      </c>
      <c r="W336" s="1">
        <v>116</v>
      </c>
      <c r="X336" s="1">
        <v>100</v>
      </c>
      <c r="Y336" s="1">
        <v>122</v>
      </c>
      <c r="Z336" s="1">
        <v>94</v>
      </c>
      <c r="AA336" s="1">
        <v>0</v>
      </c>
      <c r="AB336" s="1">
        <v>15</v>
      </c>
      <c r="AC336" s="1">
        <v>20</v>
      </c>
      <c r="AD336" s="1">
        <v>0</v>
      </c>
      <c r="AE336" s="1">
        <v>118</v>
      </c>
      <c r="AF336" s="1">
        <v>100</v>
      </c>
      <c r="AG336" s="1">
        <v>750011</v>
      </c>
      <c r="AH336" s="1">
        <v>0</v>
      </c>
      <c r="AI336" s="1">
        <v>750025</v>
      </c>
      <c r="AJ336" s="1" t="s">
        <v>1735</v>
      </c>
      <c r="AK336" s="1" t="s">
        <v>1736</v>
      </c>
      <c r="AL336" s="1">
        <v>13</v>
      </c>
      <c r="AM336" s="1" t="s">
        <v>4779</v>
      </c>
      <c r="AN336" s="1" t="s">
        <v>4924</v>
      </c>
      <c r="AO336" s="1" t="s">
        <v>5435</v>
      </c>
      <c r="AP336" s="1">
        <v>0</v>
      </c>
      <c r="AQ336" s="1" t="s">
        <v>1158</v>
      </c>
      <c r="AR336" s="1" t="s">
        <v>1182</v>
      </c>
      <c r="AS336" s="1" t="s">
        <v>1157</v>
      </c>
      <c r="AT336" s="1" t="s">
        <v>329</v>
      </c>
      <c r="AU336" s="1">
        <v>48</v>
      </c>
      <c r="AV336" s="1">
        <v>0</v>
      </c>
      <c r="AW336" s="1" t="s">
        <v>5433</v>
      </c>
      <c r="AX336" s="1" t="s">
        <v>5436</v>
      </c>
      <c r="AY336" s="1">
        <v>5</v>
      </c>
      <c r="AZ336" s="1">
        <v>0</v>
      </c>
      <c r="BA336" s="1" t="s">
        <v>329</v>
      </c>
      <c r="BB336" s="1" t="s">
        <v>329</v>
      </c>
      <c r="BC336" s="1" t="s">
        <v>329</v>
      </c>
      <c r="BD336" s="1">
        <v>10201</v>
      </c>
      <c r="BE336" s="1"/>
    </row>
    <row r="337" spans="1:57" x14ac:dyDescent="0.25">
      <c r="A337" s="1">
        <v>343</v>
      </c>
      <c r="B337" s="1" t="s">
        <v>4138</v>
      </c>
      <c r="C337" s="9" t="s">
        <v>1737</v>
      </c>
      <c r="D337" s="1" t="s">
        <v>1737</v>
      </c>
      <c r="E337" s="1"/>
      <c r="F337" s="1"/>
      <c r="G337" s="1" t="s">
        <v>4139</v>
      </c>
      <c r="H337" s="1" t="s">
        <v>4140</v>
      </c>
      <c r="I337" s="1" t="s">
        <v>4141</v>
      </c>
      <c r="J337" s="1">
        <v>4</v>
      </c>
      <c r="K337" s="1">
        <v>4</v>
      </c>
      <c r="L337" s="1">
        <v>13200</v>
      </c>
      <c r="M337" s="1">
        <v>20</v>
      </c>
      <c r="N337" s="1">
        <v>20</v>
      </c>
      <c r="O337" s="1">
        <v>10</v>
      </c>
      <c r="P337" s="1">
        <v>10</v>
      </c>
      <c r="Q337" s="1">
        <v>2</v>
      </c>
      <c r="R337" s="1">
        <v>5</v>
      </c>
      <c r="S337" s="1">
        <v>5</v>
      </c>
      <c r="T337" s="1">
        <v>0</v>
      </c>
      <c r="U337" s="1">
        <v>102</v>
      </c>
      <c r="V337" s="1">
        <v>104</v>
      </c>
      <c r="W337" s="1">
        <v>112</v>
      </c>
      <c r="X337" s="1">
        <v>100</v>
      </c>
      <c r="Y337" s="1">
        <v>110</v>
      </c>
      <c r="Z337" s="1">
        <v>102</v>
      </c>
      <c r="AA337" s="1">
        <v>0</v>
      </c>
      <c r="AB337" s="1">
        <v>15</v>
      </c>
      <c r="AC337" s="1">
        <v>20</v>
      </c>
      <c r="AD337" s="1">
        <v>0</v>
      </c>
      <c r="AE337" s="1">
        <v>125</v>
      </c>
      <c r="AF337" s="1">
        <v>100</v>
      </c>
      <c r="AG337" s="1">
        <v>117501</v>
      </c>
      <c r="AH337" s="1">
        <v>0</v>
      </c>
      <c r="AI337" s="1">
        <v>300103</v>
      </c>
      <c r="AJ337" s="1" t="s">
        <v>1738</v>
      </c>
      <c r="AK337" s="1" t="s">
        <v>1739</v>
      </c>
      <c r="AL337" s="1">
        <v>14</v>
      </c>
      <c r="AM337" s="1" t="s">
        <v>4779</v>
      </c>
      <c r="AN337" s="1" t="s">
        <v>5312</v>
      </c>
      <c r="AO337" s="1" t="s">
        <v>5074</v>
      </c>
      <c r="AP337" s="1">
        <v>0</v>
      </c>
      <c r="AQ337" s="1" t="s">
        <v>1158</v>
      </c>
      <c r="AR337" s="1" t="s">
        <v>1182</v>
      </c>
      <c r="AS337" s="1" t="s">
        <v>1157</v>
      </c>
      <c r="AT337" s="1" t="s">
        <v>329</v>
      </c>
      <c r="AU337" s="1">
        <v>48</v>
      </c>
      <c r="AV337" s="1">
        <v>0</v>
      </c>
      <c r="AW337" s="1" t="s">
        <v>5433</v>
      </c>
      <c r="AX337" s="1" t="s">
        <v>5437</v>
      </c>
      <c r="AY337" s="1">
        <v>4</v>
      </c>
      <c r="AZ337" s="1">
        <v>0</v>
      </c>
      <c r="BA337" s="1" t="s">
        <v>329</v>
      </c>
      <c r="BB337" s="1" t="s">
        <v>329</v>
      </c>
      <c r="BC337" s="1" t="s">
        <v>329</v>
      </c>
      <c r="BD337" s="1">
        <v>10402</v>
      </c>
      <c r="BE337" s="1"/>
    </row>
    <row r="338" spans="1:57" x14ac:dyDescent="0.25">
      <c r="A338" s="1">
        <v>344</v>
      </c>
      <c r="B338" s="1" t="s">
        <v>4142</v>
      </c>
      <c r="C338" s="9" t="s">
        <v>1740</v>
      </c>
      <c r="D338" s="1" t="s">
        <v>1745</v>
      </c>
      <c r="E338" s="1"/>
      <c r="F338" s="1"/>
      <c r="G338" s="1" t="s">
        <v>4143</v>
      </c>
      <c r="H338" s="1" t="s">
        <v>4144</v>
      </c>
      <c r="I338" s="1" t="s">
        <v>4145</v>
      </c>
      <c r="J338" s="1">
        <v>4</v>
      </c>
      <c r="K338" s="1">
        <v>4</v>
      </c>
      <c r="L338" s="1">
        <v>13200</v>
      </c>
      <c r="M338" s="1">
        <v>20</v>
      </c>
      <c r="N338" s="1">
        <v>20</v>
      </c>
      <c r="O338" s="1">
        <v>10</v>
      </c>
      <c r="P338" s="1">
        <v>10</v>
      </c>
      <c r="Q338" s="1">
        <v>2</v>
      </c>
      <c r="R338" s="1">
        <v>5</v>
      </c>
      <c r="S338" s="1">
        <v>5</v>
      </c>
      <c r="T338" s="1">
        <v>0</v>
      </c>
      <c r="U338" s="1">
        <v>100</v>
      </c>
      <c r="V338" s="1">
        <v>106</v>
      </c>
      <c r="W338" s="1">
        <v>115</v>
      </c>
      <c r="X338" s="1">
        <v>100</v>
      </c>
      <c r="Y338" s="1">
        <v>133</v>
      </c>
      <c r="Z338" s="1">
        <v>105</v>
      </c>
      <c r="AA338" s="1">
        <v>0</v>
      </c>
      <c r="AB338" s="1">
        <v>15</v>
      </c>
      <c r="AC338" s="1">
        <v>20</v>
      </c>
      <c r="AD338" s="1">
        <v>0</v>
      </c>
      <c r="AE338" s="1">
        <v>118</v>
      </c>
      <c r="AF338" s="1">
        <v>100</v>
      </c>
      <c r="AG338" s="1">
        <v>117401</v>
      </c>
      <c r="AH338" s="1">
        <v>0</v>
      </c>
      <c r="AI338" s="1">
        <v>300103</v>
      </c>
      <c r="AJ338" s="1" t="s">
        <v>1741</v>
      </c>
      <c r="AK338" s="1" t="s">
        <v>1742</v>
      </c>
      <c r="AL338" s="1">
        <v>12</v>
      </c>
      <c r="AM338" s="1" t="s">
        <v>4779</v>
      </c>
      <c r="AN338" s="1" t="s">
        <v>5248</v>
      </c>
      <c r="AO338" s="1" t="s">
        <v>5074</v>
      </c>
      <c r="AP338" s="1">
        <v>0</v>
      </c>
      <c r="AQ338" s="1" t="s">
        <v>1158</v>
      </c>
      <c r="AR338" s="1" t="s">
        <v>1182</v>
      </c>
      <c r="AS338" s="1" t="s">
        <v>1157</v>
      </c>
      <c r="AT338" s="1" t="s">
        <v>329</v>
      </c>
      <c r="AU338" s="1">
        <v>48</v>
      </c>
      <c r="AV338" s="1">
        <v>0</v>
      </c>
      <c r="AW338" s="1" t="s">
        <v>5433</v>
      </c>
      <c r="AX338" s="1" t="s">
        <v>5436</v>
      </c>
      <c r="AY338" s="1">
        <v>4</v>
      </c>
      <c r="AZ338" s="1">
        <v>0</v>
      </c>
      <c r="BA338" s="1" t="s">
        <v>329</v>
      </c>
      <c r="BB338" s="1" t="s">
        <v>329</v>
      </c>
      <c r="BC338" s="1" t="s">
        <v>329</v>
      </c>
      <c r="BD338" s="1">
        <v>10403</v>
      </c>
      <c r="BE338" s="1"/>
    </row>
    <row r="339" spans="1:57" x14ac:dyDescent="0.25">
      <c r="A339" s="1">
        <v>345</v>
      </c>
      <c r="B339" s="1" t="s">
        <v>4146</v>
      </c>
      <c r="C339" s="9" t="s">
        <v>1743</v>
      </c>
      <c r="D339" s="1" t="s">
        <v>1743</v>
      </c>
      <c r="E339" s="1"/>
      <c r="F339" s="1"/>
      <c r="G339" s="1" t="s">
        <v>4147</v>
      </c>
      <c r="H339" s="1" t="s">
        <v>4148</v>
      </c>
      <c r="I339" s="1" t="s">
        <v>4149</v>
      </c>
      <c r="J339" s="1">
        <v>5</v>
      </c>
      <c r="K339" s="1">
        <v>5</v>
      </c>
      <c r="L339" s="1">
        <v>22560</v>
      </c>
      <c r="M339" s="1">
        <v>40</v>
      </c>
      <c r="N339" s="1">
        <v>30</v>
      </c>
      <c r="O339" s="1">
        <v>25</v>
      </c>
      <c r="P339" s="1">
        <v>15</v>
      </c>
      <c r="Q339" s="1">
        <v>5</v>
      </c>
      <c r="R339" s="1">
        <v>5</v>
      </c>
      <c r="S339" s="1">
        <v>2</v>
      </c>
      <c r="T339" s="1">
        <v>5</v>
      </c>
      <c r="U339" s="1">
        <v>105</v>
      </c>
      <c r="V339" s="1">
        <v>125</v>
      </c>
      <c r="W339" s="1">
        <v>115</v>
      </c>
      <c r="X339" s="1">
        <v>100</v>
      </c>
      <c r="Y339" s="1">
        <v>100</v>
      </c>
      <c r="Z339" s="1">
        <v>100</v>
      </c>
      <c r="AA339" s="1">
        <v>0</v>
      </c>
      <c r="AB339" s="1">
        <v>15</v>
      </c>
      <c r="AC339" s="1">
        <v>5</v>
      </c>
      <c r="AD339" s="1">
        <v>9</v>
      </c>
      <c r="AE339" s="1">
        <v>125</v>
      </c>
      <c r="AF339" s="1">
        <v>100</v>
      </c>
      <c r="AG339" s="1">
        <v>750027</v>
      </c>
      <c r="AH339" s="1">
        <v>0</v>
      </c>
      <c r="AI339" s="1">
        <v>750028</v>
      </c>
      <c r="AJ339" s="1" t="s">
        <v>1744</v>
      </c>
      <c r="AK339" s="1" t="s">
        <v>329</v>
      </c>
      <c r="AL339" s="1">
        <v>18</v>
      </c>
      <c r="AM339" s="1" t="s">
        <v>4918</v>
      </c>
      <c r="AN339" s="1" t="s">
        <v>5438</v>
      </c>
      <c r="AO339" s="1" t="s">
        <v>5215</v>
      </c>
      <c r="AP339" s="1">
        <v>0</v>
      </c>
      <c r="AQ339" s="1" t="s">
        <v>1195</v>
      </c>
      <c r="AR339" s="1" t="s">
        <v>1196</v>
      </c>
      <c r="AS339" s="1" t="s">
        <v>1197</v>
      </c>
      <c r="AT339" s="1" t="s">
        <v>329</v>
      </c>
      <c r="AU339" s="1">
        <v>238</v>
      </c>
      <c r="AV339" s="1">
        <v>0</v>
      </c>
      <c r="AW339" s="1" t="s">
        <v>5433</v>
      </c>
      <c r="AX339" s="1" t="s">
        <v>5437</v>
      </c>
      <c r="AY339" s="1">
        <v>5</v>
      </c>
      <c r="AZ339" s="1">
        <v>0</v>
      </c>
      <c r="BA339" s="1" t="s">
        <v>329</v>
      </c>
      <c r="BB339" s="1" t="s">
        <v>329</v>
      </c>
      <c r="BC339" s="1" t="s">
        <v>329</v>
      </c>
      <c r="BD339" s="1">
        <v>10202</v>
      </c>
      <c r="BE339" s="1"/>
    </row>
    <row r="340" spans="1:57" x14ac:dyDescent="0.25">
      <c r="A340" s="1">
        <v>346</v>
      </c>
      <c r="B340" s="1" t="s">
        <v>4150</v>
      </c>
      <c r="C340" s="9" t="s">
        <v>1755</v>
      </c>
      <c r="D340" s="1" t="s">
        <v>1755</v>
      </c>
      <c r="E340" s="1"/>
      <c r="F340" s="1"/>
      <c r="G340" s="1" t="s">
        <v>4151</v>
      </c>
      <c r="H340" s="1" t="s">
        <v>4152</v>
      </c>
      <c r="I340" s="1" t="s">
        <v>4153</v>
      </c>
      <c r="J340" s="1">
        <v>1</v>
      </c>
      <c r="K340" s="1">
        <v>4</v>
      </c>
      <c r="L340" s="1">
        <v>2880</v>
      </c>
      <c r="M340" s="1">
        <v>10</v>
      </c>
      <c r="N340" s="1">
        <v>10</v>
      </c>
      <c r="O340" s="1">
        <v>5</v>
      </c>
      <c r="P340" s="1">
        <v>5</v>
      </c>
      <c r="Q340" s="1">
        <v>2</v>
      </c>
      <c r="R340" s="1">
        <v>2</v>
      </c>
      <c r="S340" s="1">
        <v>2</v>
      </c>
      <c r="T340" s="1">
        <v>0</v>
      </c>
      <c r="U340" s="1">
        <v>110</v>
      </c>
      <c r="V340" s="1">
        <v>108</v>
      </c>
      <c r="W340" s="1">
        <v>110</v>
      </c>
      <c r="X340" s="1">
        <v>100</v>
      </c>
      <c r="Y340" s="1">
        <v>116</v>
      </c>
      <c r="Z340" s="1">
        <v>115</v>
      </c>
      <c r="AA340" s="1">
        <v>0</v>
      </c>
      <c r="AB340" s="1">
        <v>15</v>
      </c>
      <c r="AC340" s="1">
        <v>20</v>
      </c>
      <c r="AD340" s="1">
        <v>0</v>
      </c>
      <c r="AE340" s="1">
        <v>112</v>
      </c>
      <c r="AF340" s="1">
        <v>100</v>
      </c>
      <c r="AG340" s="1">
        <v>750068</v>
      </c>
      <c r="AH340" s="1">
        <v>0</v>
      </c>
      <c r="AI340" s="1">
        <v>300101</v>
      </c>
      <c r="AJ340" s="1" t="s">
        <v>329</v>
      </c>
      <c r="AK340" s="1" t="s">
        <v>1756</v>
      </c>
      <c r="AL340" s="1">
        <v>13</v>
      </c>
      <c r="AM340" s="1" t="s">
        <v>1866</v>
      </c>
      <c r="AN340" s="1" t="s">
        <v>5439</v>
      </c>
      <c r="AO340" s="1" t="s">
        <v>4801</v>
      </c>
      <c r="AP340" s="1">
        <v>0</v>
      </c>
      <c r="AQ340" s="1" t="s">
        <v>1146</v>
      </c>
      <c r="AR340" s="1" t="s">
        <v>1147</v>
      </c>
      <c r="AS340" s="1" t="s">
        <v>1148</v>
      </c>
      <c r="AT340" s="1" t="s">
        <v>329</v>
      </c>
      <c r="AU340" s="1">
        <v>212</v>
      </c>
      <c r="AV340" s="1">
        <v>0</v>
      </c>
      <c r="AW340" s="1" t="s">
        <v>5440</v>
      </c>
      <c r="AX340" s="1" t="s">
        <v>4822</v>
      </c>
      <c r="AY340" s="1">
        <v>4</v>
      </c>
      <c r="AZ340" s="1">
        <v>0</v>
      </c>
      <c r="BA340" s="1" t="s">
        <v>329</v>
      </c>
      <c r="BB340" s="1" t="s">
        <v>329</v>
      </c>
      <c r="BC340" s="1" t="s">
        <v>329</v>
      </c>
      <c r="BD340" s="1">
        <v>10303</v>
      </c>
      <c r="BE340" s="1"/>
    </row>
    <row r="341" spans="1:57" x14ac:dyDescent="0.25">
      <c r="A341" s="1">
        <v>347</v>
      </c>
      <c r="B341" s="1" t="s">
        <v>4154</v>
      </c>
      <c r="C341" s="9" t="s">
        <v>1757</v>
      </c>
      <c r="D341" s="1" t="s">
        <v>1757</v>
      </c>
      <c r="E341" s="1"/>
      <c r="F341" s="1"/>
      <c r="G341" s="1" t="s">
        <v>4155</v>
      </c>
      <c r="H341" s="1" t="s">
        <v>4156</v>
      </c>
      <c r="I341" s="1" t="s">
        <v>4157</v>
      </c>
      <c r="J341" s="1">
        <v>2</v>
      </c>
      <c r="K341" s="1">
        <v>5</v>
      </c>
      <c r="L341" s="1">
        <v>9180</v>
      </c>
      <c r="M341" s="1">
        <v>25</v>
      </c>
      <c r="N341" s="1">
        <v>20</v>
      </c>
      <c r="O341" s="1">
        <v>15</v>
      </c>
      <c r="P341" s="1">
        <v>10</v>
      </c>
      <c r="Q341" s="1">
        <v>5</v>
      </c>
      <c r="R341" s="1">
        <v>5</v>
      </c>
      <c r="S341" s="1">
        <v>2</v>
      </c>
      <c r="T341" s="1">
        <v>0</v>
      </c>
      <c r="U341" s="1">
        <v>118</v>
      </c>
      <c r="V341" s="1">
        <v>115</v>
      </c>
      <c r="W341" s="1">
        <v>118</v>
      </c>
      <c r="X341" s="1">
        <v>100</v>
      </c>
      <c r="Y341" s="1">
        <v>120</v>
      </c>
      <c r="Z341" s="1">
        <v>105</v>
      </c>
      <c r="AA341" s="1">
        <v>0</v>
      </c>
      <c r="AB341" s="1">
        <v>15</v>
      </c>
      <c r="AC341" s="1">
        <v>5</v>
      </c>
      <c r="AD341" s="1">
        <v>0</v>
      </c>
      <c r="AE341" s="1">
        <v>110</v>
      </c>
      <c r="AF341" s="1">
        <v>100</v>
      </c>
      <c r="AG341" s="1">
        <v>750075</v>
      </c>
      <c r="AH341" s="1">
        <v>0</v>
      </c>
      <c r="AI341" s="1">
        <v>750077</v>
      </c>
      <c r="AJ341" s="1" t="s">
        <v>1758</v>
      </c>
      <c r="AK341" s="1" t="s">
        <v>1759</v>
      </c>
      <c r="AL341" s="1">
        <v>12</v>
      </c>
      <c r="AM341" s="1" t="s">
        <v>399</v>
      </c>
      <c r="AN341" s="1" t="s">
        <v>5441</v>
      </c>
      <c r="AO341" s="1" t="s">
        <v>5442</v>
      </c>
      <c r="AP341" s="1">
        <v>0</v>
      </c>
      <c r="AQ341" s="1" t="s">
        <v>1157</v>
      </c>
      <c r="AR341" s="1" t="s">
        <v>1243</v>
      </c>
      <c r="AS341" s="1" t="s">
        <v>1158</v>
      </c>
      <c r="AT341" s="1" t="s">
        <v>329</v>
      </c>
      <c r="AU341" s="1">
        <v>150</v>
      </c>
      <c r="AV341" s="1">
        <v>0</v>
      </c>
      <c r="AW341" s="1" t="s">
        <v>5440</v>
      </c>
      <c r="AX341" s="1" t="s">
        <v>332</v>
      </c>
      <c r="AY341" s="1">
        <v>5</v>
      </c>
      <c r="AZ341" s="1">
        <v>0</v>
      </c>
      <c r="BA341" s="1" t="s">
        <v>329</v>
      </c>
      <c r="BB341" s="1" t="s">
        <v>329</v>
      </c>
      <c r="BC341" s="1" t="s">
        <v>4817</v>
      </c>
      <c r="BD341" s="1">
        <v>10202</v>
      </c>
      <c r="BE341" s="1"/>
    </row>
    <row r="342" spans="1:57" x14ac:dyDescent="0.25">
      <c r="A342" s="1">
        <v>348</v>
      </c>
      <c r="B342" s="1" t="s">
        <v>4158</v>
      </c>
      <c r="C342" s="9" t="s">
        <v>1760</v>
      </c>
      <c r="D342" s="1" t="s">
        <v>1760</v>
      </c>
      <c r="E342" s="1"/>
      <c r="F342" s="1"/>
      <c r="G342" s="1" t="s">
        <v>4159</v>
      </c>
      <c r="H342" s="1" t="s">
        <v>4160</v>
      </c>
      <c r="I342" s="1" t="s">
        <v>4161</v>
      </c>
      <c r="J342" s="1">
        <v>3</v>
      </c>
      <c r="K342" s="1">
        <v>5</v>
      </c>
      <c r="L342" s="1">
        <v>17340</v>
      </c>
      <c r="M342" s="1">
        <v>15</v>
      </c>
      <c r="N342" s="1">
        <v>30</v>
      </c>
      <c r="O342" s="1">
        <v>10</v>
      </c>
      <c r="P342" s="1">
        <v>15</v>
      </c>
      <c r="Q342" s="1">
        <v>5</v>
      </c>
      <c r="R342" s="1">
        <v>2</v>
      </c>
      <c r="S342" s="1">
        <v>5</v>
      </c>
      <c r="T342" s="1">
        <v>0</v>
      </c>
      <c r="U342" s="1">
        <v>100</v>
      </c>
      <c r="V342" s="1">
        <v>140</v>
      </c>
      <c r="W342" s="1">
        <v>94</v>
      </c>
      <c r="X342" s="1">
        <v>100</v>
      </c>
      <c r="Y342" s="1">
        <v>118</v>
      </c>
      <c r="Z342" s="1">
        <v>80</v>
      </c>
      <c r="AA342" s="1">
        <v>0</v>
      </c>
      <c r="AB342" s="1">
        <v>15</v>
      </c>
      <c r="AC342" s="1">
        <v>40</v>
      </c>
      <c r="AD342" s="1">
        <v>0</v>
      </c>
      <c r="AE342" s="1">
        <v>130</v>
      </c>
      <c r="AF342" s="1">
        <v>100</v>
      </c>
      <c r="AG342" s="1">
        <v>117901</v>
      </c>
      <c r="AH342" s="1">
        <v>0</v>
      </c>
      <c r="AI342" s="1">
        <v>117904</v>
      </c>
      <c r="AJ342" s="1" t="s">
        <v>1761</v>
      </c>
      <c r="AK342" s="1" t="s">
        <v>1762</v>
      </c>
      <c r="AL342" s="1">
        <v>12</v>
      </c>
      <c r="AM342" s="1" t="s">
        <v>4822</v>
      </c>
      <c r="AN342" s="1" t="s">
        <v>5443</v>
      </c>
      <c r="AO342" s="1" t="s">
        <v>4905</v>
      </c>
      <c r="AP342" s="1">
        <v>0</v>
      </c>
      <c r="AQ342" s="1" t="s">
        <v>1168</v>
      </c>
      <c r="AR342" s="1" t="s">
        <v>1169</v>
      </c>
      <c r="AS342" s="1" t="s">
        <v>1170</v>
      </c>
      <c r="AT342" s="1" t="s">
        <v>329</v>
      </c>
      <c r="AU342" s="1">
        <v>241</v>
      </c>
      <c r="AV342" s="1">
        <v>0</v>
      </c>
      <c r="AW342" s="1" t="s">
        <v>5440</v>
      </c>
      <c r="AX342" s="1" t="s">
        <v>332</v>
      </c>
      <c r="AY342" s="1">
        <v>5</v>
      </c>
      <c r="AZ342" s="1">
        <v>0</v>
      </c>
      <c r="BA342" s="1" t="s">
        <v>329</v>
      </c>
      <c r="BB342" s="1" t="s">
        <v>329</v>
      </c>
      <c r="BC342" s="1" t="s">
        <v>329</v>
      </c>
      <c r="BD342" s="1">
        <v>10402</v>
      </c>
      <c r="BE342" s="1"/>
    </row>
    <row r="343" spans="1:57" x14ac:dyDescent="0.25">
      <c r="A343" s="1">
        <v>349</v>
      </c>
      <c r="B343" s="1" t="s">
        <v>4162</v>
      </c>
      <c r="C343" s="9" t="s">
        <v>1763</v>
      </c>
      <c r="D343" s="1" t="s">
        <v>1763</v>
      </c>
      <c r="E343" s="1"/>
      <c r="F343" s="1"/>
      <c r="G343" s="1" t="s">
        <v>4163</v>
      </c>
      <c r="H343" s="1" t="s">
        <v>4164</v>
      </c>
      <c r="I343" s="1" t="s">
        <v>4165</v>
      </c>
      <c r="J343" s="1">
        <v>4</v>
      </c>
      <c r="K343" s="1">
        <v>4</v>
      </c>
      <c r="L343" s="1">
        <v>13500</v>
      </c>
      <c r="M343" s="1">
        <v>20</v>
      </c>
      <c r="N343" s="1">
        <v>20</v>
      </c>
      <c r="O343" s="1">
        <v>10</v>
      </c>
      <c r="P343" s="1">
        <v>10</v>
      </c>
      <c r="Q343" s="1">
        <v>2</v>
      </c>
      <c r="R343" s="1">
        <v>5</v>
      </c>
      <c r="S343" s="1">
        <v>5</v>
      </c>
      <c r="T343" s="1">
        <v>0</v>
      </c>
      <c r="U343" s="1">
        <v>100</v>
      </c>
      <c r="V343" s="1">
        <v>105</v>
      </c>
      <c r="W343" s="1">
        <v>105</v>
      </c>
      <c r="X343" s="1">
        <v>100</v>
      </c>
      <c r="Y343" s="1">
        <v>125</v>
      </c>
      <c r="Z343" s="1">
        <v>100</v>
      </c>
      <c r="AA343" s="1">
        <v>0</v>
      </c>
      <c r="AB343" s="1">
        <v>15</v>
      </c>
      <c r="AC343" s="1">
        <v>20</v>
      </c>
      <c r="AD343" s="1">
        <v>0</v>
      </c>
      <c r="AE343" s="1">
        <v>132</v>
      </c>
      <c r="AF343" s="1">
        <v>100</v>
      </c>
      <c r="AG343" s="1">
        <v>118001</v>
      </c>
      <c r="AH343" s="1">
        <v>0</v>
      </c>
      <c r="AI343" s="1">
        <v>300103</v>
      </c>
      <c r="AJ343" s="1" t="s">
        <v>1764</v>
      </c>
      <c r="AK343" s="1" t="s">
        <v>329</v>
      </c>
      <c r="AL343" s="1">
        <v>13</v>
      </c>
      <c r="AM343" s="1" t="s">
        <v>399</v>
      </c>
      <c r="AN343" s="1" t="s">
        <v>5444</v>
      </c>
      <c r="AO343" s="1" t="s">
        <v>5204</v>
      </c>
      <c r="AP343" s="1">
        <v>0</v>
      </c>
      <c r="AQ343" s="1" t="s">
        <v>1158</v>
      </c>
      <c r="AR343" s="1" t="s">
        <v>1182</v>
      </c>
      <c r="AS343" s="1" t="s">
        <v>1157</v>
      </c>
      <c r="AT343" s="1" t="s">
        <v>329</v>
      </c>
      <c r="AU343" s="1">
        <v>48</v>
      </c>
      <c r="AV343" s="1">
        <v>0</v>
      </c>
      <c r="AW343" s="1" t="s">
        <v>5440</v>
      </c>
      <c r="AX343" s="1" t="s">
        <v>332</v>
      </c>
      <c r="AY343" s="1">
        <v>4</v>
      </c>
      <c r="AZ343" s="1">
        <v>0</v>
      </c>
      <c r="BA343" s="1" t="s">
        <v>329</v>
      </c>
      <c r="BB343" s="1" t="s">
        <v>329</v>
      </c>
      <c r="BC343" s="1" t="s">
        <v>4817</v>
      </c>
      <c r="BD343" s="1">
        <v>10402</v>
      </c>
      <c r="BE343" s="1"/>
    </row>
    <row r="344" spans="1:57" x14ac:dyDescent="0.25">
      <c r="A344" s="1">
        <v>350</v>
      </c>
      <c r="B344" s="1" t="s">
        <v>4769</v>
      </c>
      <c r="C344" s="9" t="s">
        <v>4770</v>
      </c>
      <c r="D344" s="1" t="s">
        <v>4770</v>
      </c>
      <c r="E344" s="1"/>
      <c r="F344" s="1"/>
      <c r="G344" s="1" t="s">
        <v>4771</v>
      </c>
      <c r="H344" s="1" t="s">
        <v>4772</v>
      </c>
      <c r="I344" s="1" t="s">
        <v>4773</v>
      </c>
      <c r="J344" s="1">
        <v>6</v>
      </c>
      <c r="K344" s="1">
        <v>5</v>
      </c>
      <c r="L344" s="1">
        <v>30000</v>
      </c>
      <c r="M344" s="1">
        <v>30</v>
      </c>
      <c r="N344" s="1">
        <v>40</v>
      </c>
      <c r="O344" s="1">
        <v>15</v>
      </c>
      <c r="P344" s="1">
        <v>25</v>
      </c>
      <c r="Q344" s="1">
        <v>5</v>
      </c>
      <c r="R344" s="1">
        <v>2</v>
      </c>
      <c r="S344" s="1">
        <v>5</v>
      </c>
      <c r="T344" s="1">
        <v>5</v>
      </c>
      <c r="U344" s="1">
        <v>116</v>
      </c>
      <c r="V344" s="1">
        <v>100</v>
      </c>
      <c r="W344" s="1">
        <v>138</v>
      </c>
      <c r="X344" s="1">
        <v>100</v>
      </c>
      <c r="Y344" s="1">
        <v>110</v>
      </c>
      <c r="Z344" s="1">
        <v>90</v>
      </c>
      <c r="AA344" s="1">
        <v>125</v>
      </c>
      <c r="AB344" s="1">
        <v>15</v>
      </c>
      <c r="AC344" s="1">
        <v>40</v>
      </c>
      <c r="AD344" s="1">
        <v>5</v>
      </c>
      <c r="AE344" s="1">
        <v>106</v>
      </c>
      <c r="AF344" s="1">
        <v>100</v>
      </c>
      <c r="AG344" s="1">
        <v>750148</v>
      </c>
      <c r="AH344" s="1">
        <v>0</v>
      </c>
      <c r="AI344" s="1">
        <v>750157</v>
      </c>
      <c r="AJ344" s="1" t="s">
        <v>4774</v>
      </c>
      <c r="AK344" s="1" t="s">
        <v>4775</v>
      </c>
      <c r="AL344" s="1">
        <v>7</v>
      </c>
      <c r="AM344" s="1" t="s">
        <v>4776</v>
      </c>
      <c r="AN344" s="1" t="s">
        <v>4551</v>
      </c>
      <c r="AO344" s="1" t="s">
        <v>4777</v>
      </c>
      <c r="AP344" s="1">
        <v>0</v>
      </c>
      <c r="AQ344" s="1" t="s">
        <v>1228</v>
      </c>
      <c r="AR344" s="1" t="s">
        <v>1229</v>
      </c>
      <c r="AS344" s="1" t="s">
        <v>1230</v>
      </c>
      <c r="AT344" s="1" t="s">
        <v>329</v>
      </c>
      <c r="AU344" s="1">
        <v>164</v>
      </c>
      <c r="AV344" s="1">
        <v>0</v>
      </c>
      <c r="AW344" s="1" t="s">
        <v>4778</v>
      </c>
      <c r="AX344" s="1" t="s">
        <v>4779</v>
      </c>
      <c r="AY344" s="1">
        <v>5</v>
      </c>
      <c r="AZ344" s="1">
        <v>0</v>
      </c>
      <c r="BA344" s="1" t="s">
        <v>329</v>
      </c>
      <c r="BB344" s="1" t="s">
        <v>329</v>
      </c>
      <c r="BC344" s="1" t="s">
        <v>4780</v>
      </c>
      <c r="BD344" s="1">
        <v>10402</v>
      </c>
      <c r="BE344" s="1"/>
    </row>
    <row r="345" spans="1:57" x14ac:dyDescent="0.25">
      <c r="A345" s="1">
        <v>351</v>
      </c>
      <c r="B345" s="1" t="s">
        <v>4781</v>
      </c>
      <c r="C345" s="9" t="s">
        <v>4782</v>
      </c>
      <c r="D345" s="1" t="s">
        <v>4783</v>
      </c>
      <c r="E345" s="1"/>
      <c r="F345" s="1"/>
      <c r="G345" s="1" t="s">
        <v>4784</v>
      </c>
      <c r="H345" s="1" t="s">
        <v>4785</v>
      </c>
      <c r="I345" s="1" t="s">
        <v>4786</v>
      </c>
      <c r="J345" s="1">
        <v>6</v>
      </c>
      <c r="K345" s="1">
        <v>5</v>
      </c>
      <c r="L345" s="1">
        <v>29880</v>
      </c>
      <c r="M345" s="1">
        <v>30</v>
      </c>
      <c r="N345" s="1">
        <v>40</v>
      </c>
      <c r="O345" s="1">
        <v>15</v>
      </c>
      <c r="P345" s="1">
        <v>25</v>
      </c>
      <c r="Q345" s="1">
        <v>5</v>
      </c>
      <c r="R345" s="1">
        <v>2</v>
      </c>
      <c r="S345" s="1">
        <v>5</v>
      </c>
      <c r="T345" s="1">
        <v>5</v>
      </c>
      <c r="U345" s="1">
        <v>115</v>
      </c>
      <c r="V345" s="1">
        <v>110</v>
      </c>
      <c r="W345" s="1">
        <v>110</v>
      </c>
      <c r="X345" s="1">
        <v>100</v>
      </c>
      <c r="Y345" s="1">
        <v>118</v>
      </c>
      <c r="Z345" s="1">
        <v>110</v>
      </c>
      <c r="AA345" s="1">
        <v>120</v>
      </c>
      <c r="AB345" s="1">
        <v>15</v>
      </c>
      <c r="AC345" s="1">
        <v>40</v>
      </c>
      <c r="AD345" s="1">
        <v>5</v>
      </c>
      <c r="AE345" s="1">
        <v>115</v>
      </c>
      <c r="AF345" s="1">
        <v>100</v>
      </c>
      <c r="AG345" s="1">
        <v>750141</v>
      </c>
      <c r="AH345" s="1">
        <v>0</v>
      </c>
      <c r="AI345" s="1">
        <v>750157</v>
      </c>
      <c r="AJ345" s="1" t="s">
        <v>4787</v>
      </c>
      <c r="AK345" s="1" t="s">
        <v>329</v>
      </c>
      <c r="AL345" s="1">
        <v>8</v>
      </c>
      <c r="AM345" s="1" t="s">
        <v>4776</v>
      </c>
      <c r="AN345" s="1" t="s">
        <v>4788</v>
      </c>
      <c r="AO345" s="1" t="s">
        <v>4789</v>
      </c>
      <c r="AP345" s="1">
        <v>0</v>
      </c>
      <c r="AQ345" s="1" t="s">
        <v>1228</v>
      </c>
      <c r="AR345" s="1" t="s">
        <v>1229</v>
      </c>
      <c r="AS345" s="1" t="s">
        <v>1230</v>
      </c>
      <c r="AT345" s="1" t="s">
        <v>329</v>
      </c>
      <c r="AU345" s="1">
        <v>164</v>
      </c>
      <c r="AV345" s="1">
        <v>0</v>
      </c>
      <c r="AW345" s="1" t="s">
        <v>4778</v>
      </c>
      <c r="AX345" s="1" t="s">
        <v>4779</v>
      </c>
      <c r="AY345" s="1">
        <v>5</v>
      </c>
      <c r="AZ345" s="1">
        <v>0</v>
      </c>
      <c r="BA345" s="1" t="s">
        <v>329</v>
      </c>
      <c r="BB345" s="1" t="s">
        <v>329</v>
      </c>
      <c r="BC345" s="1" t="s">
        <v>4780</v>
      </c>
      <c r="BD345" s="1">
        <v>10705</v>
      </c>
      <c r="BE345" s="1"/>
    </row>
    <row r="346" spans="1:57" x14ac:dyDescent="0.25">
      <c r="A346" s="1">
        <v>352</v>
      </c>
      <c r="B346" s="1" t="s">
        <v>4790</v>
      </c>
      <c r="C346" s="9" t="s">
        <v>4791</v>
      </c>
      <c r="D346" s="1" t="s">
        <v>4791</v>
      </c>
      <c r="E346" s="1"/>
      <c r="F346" s="1"/>
      <c r="G346" s="1" t="s">
        <v>4792</v>
      </c>
      <c r="H346" s="1" t="s">
        <v>4793</v>
      </c>
      <c r="I346" s="1" t="s">
        <v>4794</v>
      </c>
      <c r="J346" s="1">
        <v>6</v>
      </c>
      <c r="K346" s="1">
        <v>4</v>
      </c>
      <c r="L346" s="1">
        <v>28080</v>
      </c>
      <c r="M346" s="1">
        <v>30</v>
      </c>
      <c r="N346" s="1">
        <v>40</v>
      </c>
      <c r="O346" s="1">
        <v>15</v>
      </c>
      <c r="P346" s="1">
        <v>25</v>
      </c>
      <c r="Q346" s="1">
        <v>5</v>
      </c>
      <c r="R346" s="1">
        <v>2</v>
      </c>
      <c r="S346" s="1">
        <v>5</v>
      </c>
      <c r="T346" s="1">
        <v>5</v>
      </c>
      <c r="U346" s="1">
        <v>120</v>
      </c>
      <c r="V346" s="1">
        <v>95</v>
      </c>
      <c r="W346" s="1">
        <v>105</v>
      </c>
      <c r="X346" s="1">
        <v>100</v>
      </c>
      <c r="Y346" s="1">
        <v>100</v>
      </c>
      <c r="Z346" s="1">
        <v>125</v>
      </c>
      <c r="AA346" s="1">
        <v>105</v>
      </c>
      <c r="AB346" s="1">
        <v>15</v>
      </c>
      <c r="AC346" s="1">
        <v>40</v>
      </c>
      <c r="AD346" s="1">
        <v>7</v>
      </c>
      <c r="AE346" s="1">
        <v>120</v>
      </c>
      <c r="AF346" s="1">
        <v>100</v>
      </c>
      <c r="AG346" s="1">
        <v>750188</v>
      </c>
      <c r="AH346" s="1">
        <v>0</v>
      </c>
      <c r="AI346" s="1">
        <v>300106</v>
      </c>
      <c r="AJ346" s="1" t="s">
        <v>4795</v>
      </c>
      <c r="AK346" s="1" t="s">
        <v>4796</v>
      </c>
      <c r="AL346" s="1">
        <v>13</v>
      </c>
      <c r="AM346" s="1" t="s">
        <v>388</v>
      </c>
      <c r="AN346" s="1" t="s">
        <v>4797</v>
      </c>
      <c r="AO346" s="1" t="s">
        <v>4798</v>
      </c>
      <c r="AP346" s="1">
        <v>0</v>
      </c>
      <c r="AQ346" s="1" t="s">
        <v>1228</v>
      </c>
      <c r="AR346" s="1" t="s">
        <v>1229</v>
      </c>
      <c r="AS346" s="1" t="s">
        <v>1230</v>
      </c>
      <c r="AT346" s="1" t="s">
        <v>329</v>
      </c>
      <c r="AU346" s="1">
        <v>165</v>
      </c>
      <c r="AV346" s="1">
        <v>0</v>
      </c>
      <c r="AW346" s="1" t="s">
        <v>4778</v>
      </c>
      <c r="AX346" s="1" t="s">
        <v>4779</v>
      </c>
      <c r="AY346" s="1">
        <v>4</v>
      </c>
      <c r="AZ346" s="1">
        <v>0</v>
      </c>
      <c r="BA346" s="1" t="s">
        <v>329</v>
      </c>
      <c r="BB346" s="1" t="s">
        <v>329</v>
      </c>
      <c r="BC346" s="1" t="s">
        <v>4799</v>
      </c>
      <c r="BD346" s="1">
        <v>10403</v>
      </c>
      <c r="BE346" s="1"/>
    </row>
    <row r="347" spans="1:57" x14ac:dyDescent="0.25">
      <c r="A347" s="1">
        <v>353</v>
      </c>
      <c r="B347" s="1" t="s">
        <v>5520</v>
      </c>
      <c r="C347" s="9" t="s">
        <v>5521</v>
      </c>
      <c r="D347" s="1" t="s">
        <v>5521</v>
      </c>
      <c r="E347" s="1" t="s">
        <v>329</v>
      </c>
      <c r="F347" s="1" t="s">
        <v>329</v>
      </c>
      <c r="G347" s="1" t="s">
        <v>5522</v>
      </c>
      <c r="H347" s="1" t="s">
        <v>5523</v>
      </c>
      <c r="I347" s="1" t="s">
        <v>5524</v>
      </c>
      <c r="J347" s="1">
        <v>6</v>
      </c>
      <c r="K347" s="1">
        <v>4</v>
      </c>
      <c r="L347" s="1">
        <v>25800</v>
      </c>
      <c r="M347" s="1">
        <v>30</v>
      </c>
      <c r="N347" s="1">
        <v>40</v>
      </c>
      <c r="O347" s="1">
        <v>15</v>
      </c>
      <c r="P347" s="1">
        <v>25</v>
      </c>
      <c r="Q347" s="1">
        <v>5</v>
      </c>
      <c r="R347" s="1">
        <v>2</v>
      </c>
      <c r="S347" s="1">
        <v>5</v>
      </c>
      <c r="T347" s="1">
        <v>5</v>
      </c>
      <c r="U347" s="1">
        <v>110</v>
      </c>
      <c r="V347" s="1">
        <v>145</v>
      </c>
      <c r="W347" s="1">
        <v>100</v>
      </c>
      <c r="X347" s="1">
        <v>100</v>
      </c>
      <c r="Y347" s="1">
        <v>130</v>
      </c>
      <c r="Z347" s="1">
        <v>80</v>
      </c>
      <c r="AA347" s="1">
        <v>110</v>
      </c>
      <c r="AB347" s="1">
        <v>15</v>
      </c>
      <c r="AC347" s="1">
        <v>40</v>
      </c>
      <c r="AD347" s="1">
        <v>5</v>
      </c>
      <c r="AE347" s="1">
        <v>110</v>
      </c>
      <c r="AF347" s="1">
        <v>100</v>
      </c>
      <c r="AG347" s="1">
        <v>750168</v>
      </c>
      <c r="AH347" s="1">
        <v>0</v>
      </c>
      <c r="AI347" s="1">
        <v>750157</v>
      </c>
      <c r="AJ347" s="1" t="s">
        <v>5525</v>
      </c>
      <c r="AK347" s="1" t="s">
        <v>5526</v>
      </c>
      <c r="AL347" s="1">
        <v>9</v>
      </c>
      <c r="AM347" s="1" t="s">
        <v>4776</v>
      </c>
      <c r="AN347" s="1" t="s">
        <v>5527</v>
      </c>
      <c r="AO347" s="1" t="s">
        <v>5269</v>
      </c>
      <c r="AP347" s="1">
        <v>0</v>
      </c>
      <c r="AQ347" s="1" t="s">
        <v>1228</v>
      </c>
      <c r="AR347" s="1" t="s">
        <v>1229</v>
      </c>
      <c r="AS347" s="1" t="s">
        <v>1230</v>
      </c>
      <c r="AT347" s="1" t="s">
        <v>329</v>
      </c>
      <c r="AU347" s="1">
        <v>165</v>
      </c>
      <c r="AV347" s="1">
        <v>0</v>
      </c>
      <c r="AW347" s="1" t="s">
        <v>4778</v>
      </c>
      <c r="AX347" s="1" t="s">
        <v>4779</v>
      </c>
      <c r="AY347" s="1">
        <v>4</v>
      </c>
      <c r="AZ347" s="1">
        <v>0</v>
      </c>
      <c r="BA347" s="1" t="s">
        <v>329</v>
      </c>
      <c r="BB347" s="1" t="s">
        <v>329</v>
      </c>
      <c r="BC347" s="1" t="s">
        <v>329</v>
      </c>
      <c r="BD347" s="1">
        <v>10802</v>
      </c>
      <c r="BE347" s="1"/>
    </row>
    <row r="348" spans="1:57" x14ac:dyDescent="0.25">
      <c r="A348" s="1">
        <v>354</v>
      </c>
      <c r="B348" s="1" t="s">
        <v>5528</v>
      </c>
      <c r="C348" s="9" t="s">
        <v>5551</v>
      </c>
      <c r="D348" s="1" t="s">
        <v>5529</v>
      </c>
      <c r="E348" s="1" t="s">
        <v>329</v>
      </c>
      <c r="F348" s="1" t="s">
        <v>329</v>
      </c>
      <c r="G348" s="1" t="s">
        <v>5530</v>
      </c>
      <c r="H348" s="1" t="s">
        <v>5531</v>
      </c>
      <c r="I348" s="1" t="s">
        <v>5532</v>
      </c>
      <c r="J348" s="1">
        <v>1</v>
      </c>
      <c r="K348" s="1">
        <v>4</v>
      </c>
      <c r="L348" s="1">
        <v>3480</v>
      </c>
      <c r="M348" s="1">
        <v>10</v>
      </c>
      <c r="N348" s="1">
        <v>10</v>
      </c>
      <c r="O348" s="1">
        <v>5</v>
      </c>
      <c r="P348" s="1">
        <v>5</v>
      </c>
      <c r="Q348" s="1">
        <v>2</v>
      </c>
      <c r="R348" s="1">
        <v>2</v>
      </c>
      <c r="S348" s="1">
        <v>2</v>
      </c>
      <c r="T348" s="1">
        <v>0</v>
      </c>
      <c r="U348" s="1">
        <v>100</v>
      </c>
      <c r="V348" s="1">
        <v>120</v>
      </c>
      <c r="W348" s="1">
        <v>120</v>
      </c>
      <c r="X348" s="1">
        <v>100</v>
      </c>
      <c r="Y348" s="1">
        <v>88</v>
      </c>
      <c r="Z348" s="1">
        <v>128</v>
      </c>
      <c r="AA348" s="1">
        <v>0</v>
      </c>
      <c r="AB348" s="1">
        <v>15</v>
      </c>
      <c r="AC348" s="1">
        <v>20</v>
      </c>
      <c r="AD348" s="1">
        <v>0</v>
      </c>
      <c r="AE348" s="1">
        <v>105</v>
      </c>
      <c r="AF348" s="1">
        <v>100</v>
      </c>
      <c r="AG348" s="1">
        <v>750213</v>
      </c>
      <c r="AH348" s="1">
        <v>0</v>
      </c>
      <c r="AI348" s="1">
        <v>300101</v>
      </c>
      <c r="AJ348" s="1" t="s">
        <v>5533</v>
      </c>
      <c r="AK348" s="1" t="s">
        <v>5534</v>
      </c>
      <c r="AL348" s="1">
        <v>12</v>
      </c>
      <c r="AM348" s="1" t="s">
        <v>1866</v>
      </c>
      <c r="AN348" s="1" t="s">
        <v>5535</v>
      </c>
      <c r="AO348" s="1" t="s">
        <v>4869</v>
      </c>
      <c r="AP348" s="1">
        <v>0</v>
      </c>
      <c r="AQ348" s="1" t="s">
        <v>1146</v>
      </c>
      <c r="AR348" s="1" t="s">
        <v>1147</v>
      </c>
      <c r="AS348" s="1" t="s">
        <v>1148</v>
      </c>
      <c r="AT348" s="1" t="s">
        <v>329</v>
      </c>
      <c r="AU348" s="1">
        <v>212</v>
      </c>
      <c r="AV348" s="1">
        <v>0</v>
      </c>
      <c r="AW348" s="1" t="s">
        <v>5536</v>
      </c>
      <c r="AX348" s="1" t="s">
        <v>4822</v>
      </c>
      <c r="AY348" s="1">
        <v>4</v>
      </c>
      <c r="AZ348" s="1">
        <v>0</v>
      </c>
      <c r="BA348" s="1" t="s">
        <v>329</v>
      </c>
      <c r="BB348" s="1" t="s">
        <v>329</v>
      </c>
      <c r="BC348" s="1" t="s">
        <v>4780</v>
      </c>
      <c r="BD348" s="1">
        <v>10302</v>
      </c>
      <c r="BE348" s="1"/>
    </row>
    <row r="349" spans="1:57" x14ac:dyDescent="0.25">
      <c r="A349" s="1">
        <v>355</v>
      </c>
      <c r="B349" s="1" t="s">
        <v>5537</v>
      </c>
      <c r="C349" s="9" t="s">
        <v>5538</v>
      </c>
      <c r="D349" s="1" t="s">
        <v>5538</v>
      </c>
      <c r="E349" s="1" t="s">
        <v>329</v>
      </c>
      <c r="F349" s="1" t="s">
        <v>329</v>
      </c>
      <c r="G349" s="1" t="s">
        <v>5539</v>
      </c>
      <c r="H349" s="1" t="s">
        <v>5540</v>
      </c>
      <c r="I349" s="1" t="s">
        <v>5541</v>
      </c>
      <c r="J349" s="1">
        <v>2</v>
      </c>
      <c r="K349" s="1">
        <v>4</v>
      </c>
      <c r="L349" s="1">
        <v>7920</v>
      </c>
      <c r="M349" s="1">
        <v>25</v>
      </c>
      <c r="N349" s="1">
        <v>20</v>
      </c>
      <c r="O349" s="1">
        <v>15</v>
      </c>
      <c r="P349" s="1">
        <v>10</v>
      </c>
      <c r="Q349" s="1">
        <v>5</v>
      </c>
      <c r="R349" s="1">
        <v>5</v>
      </c>
      <c r="S349" s="1">
        <v>2</v>
      </c>
      <c r="T349" s="1">
        <v>0</v>
      </c>
      <c r="U349" s="1">
        <v>100</v>
      </c>
      <c r="V349" s="1">
        <v>110</v>
      </c>
      <c r="W349" s="1">
        <v>108</v>
      </c>
      <c r="X349" s="1">
        <v>100</v>
      </c>
      <c r="Y349" s="1">
        <v>130</v>
      </c>
      <c r="Z349" s="1">
        <v>125</v>
      </c>
      <c r="AA349" s="1">
        <v>0</v>
      </c>
      <c r="AB349" s="1">
        <v>15</v>
      </c>
      <c r="AC349" s="1">
        <v>5</v>
      </c>
      <c r="AD349" s="1">
        <v>0</v>
      </c>
      <c r="AE349" s="1">
        <v>108</v>
      </c>
      <c r="AF349" s="1">
        <v>100</v>
      </c>
      <c r="AG349" s="1">
        <v>750215</v>
      </c>
      <c r="AH349" s="1">
        <v>0</v>
      </c>
      <c r="AI349" s="1">
        <v>300102</v>
      </c>
      <c r="AJ349" s="1" t="s">
        <v>5542</v>
      </c>
      <c r="AK349" s="1" t="s">
        <v>329</v>
      </c>
      <c r="AL349" s="1">
        <v>12</v>
      </c>
      <c r="AM349" s="1" t="s">
        <v>4850</v>
      </c>
      <c r="AN349" s="1" t="s">
        <v>359</v>
      </c>
      <c r="AO349" s="1" t="s">
        <v>5204</v>
      </c>
      <c r="AP349" s="1">
        <v>0</v>
      </c>
      <c r="AQ349" s="1" t="s">
        <v>1157</v>
      </c>
      <c r="AR349" s="1" t="s">
        <v>1147</v>
      </c>
      <c r="AS349" s="1" t="s">
        <v>1158</v>
      </c>
      <c r="AT349" s="1" t="s">
        <v>329</v>
      </c>
      <c r="AU349" s="1">
        <v>150</v>
      </c>
      <c r="AV349" s="1">
        <v>0</v>
      </c>
      <c r="AW349" s="1" t="s">
        <v>5536</v>
      </c>
      <c r="AX349" s="1" t="s">
        <v>332</v>
      </c>
      <c r="AY349" s="1">
        <v>4</v>
      </c>
      <c r="AZ349" s="1">
        <v>0</v>
      </c>
      <c r="BA349" s="1" t="s">
        <v>329</v>
      </c>
      <c r="BB349" s="1" t="s">
        <v>329</v>
      </c>
      <c r="BC349" s="1" t="s">
        <v>4913</v>
      </c>
      <c r="BD349" s="1">
        <v>10704</v>
      </c>
      <c r="BE349" s="1"/>
    </row>
    <row r="350" spans="1:57" x14ac:dyDescent="0.25">
      <c r="A350" s="1">
        <v>356</v>
      </c>
      <c r="B350" s="1" t="s">
        <v>5543</v>
      </c>
      <c r="C350" s="9" t="s">
        <v>5544</v>
      </c>
      <c r="D350" s="1" t="s">
        <v>5544</v>
      </c>
      <c r="E350" s="1" t="s">
        <v>329</v>
      </c>
      <c r="F350" s="1" t="s">
        <v>329</v>
      </c>
      <c r="G350" s="1" t="s">
        <v>5545</v>
      </c>
      <c r="H350" s="1" t="s">
        <v>5546</v>
      </c>
      <c r="I350" s="1" t="s">
        <v>5547</v>
      </c>
      <c r="J350" s="1">
        <v>4</v>
      </c>
      <c r="K350" s="1">
        <v>5</v>
      </c>
      <c r="L350" s="1">
        <v>14820</v>
      </c>
      <c r="M350" s="1">
        <v>20</v>
      </c>
      <c r="N350" s="1">
        <v>20</v>
      </c>
      <c r="O350" s="1">
        <v>10</v>
      </c>
      <c r="P350" s="1">
        <v>10</v>
      </c>
      <c r="Q350" s="1">
        <v>2</v>
      </c>
      <c r="R350" s="1">
        <v>5</v>
      </c>
      <c r="S350" s="1">
        <v>5</v>
      </c>
      <c r="T350" s="1">
        <v>0</v>
      </c>
      <c r="U350" s="1">
        <v>100</v>
      </c>
      <c r="V350" s="1">
        <v>115</v>
      </c>
      <c r="W350" s="1">
        <v>118</v>
      </c>
      <c r="X350" s="1">
        <v>100</v>
      </c>
      <c r="Y350" s="1">
        <v>120</v>
      </c>
      <c r="Z350" s="1">
        <v>110</v>
      </c>
      <c r="AA350" s="1">
        <v>0</v>
      </c>
      <c r="AB350" s="1">
        <v>15</v>
      </c>
      <c r="AC350" s="1">
        <v>20</v>
      </c>
      <c r="AD350" s="1">
        <v>0</v>
      </c>
      <c r="AE350" s="1">
        <v>130</v>
      </c>
      <c r="AF350" s="1">
        <v>100</v>
      </c>
      <c r="AG350" s="1">
        <v>750199</v>
      </c>
      <c r="AH350" s="1">
        <v>0</v>
      </c>
      <c r="AI350" s="1">
        <v>750202</v>
      </c>
      <c r="AJ350" s="1" t="s">
        <v>5548</v>
      </c>
      <c r="AK350" s="1" t="s">
        <v>5549</v>
      </c>
      <c r="AL350" s="1">
        <v>14</v>
      </c>
      <c r="AM350" s="1" t="s">
        <v>4779</v>
      </c>
      <c r="AN350" s="1" t="s">
        <v>5211</v>
      </c>
      <c r="AO350" s="1" t="s">
        <v>5212</v>
      </c>
      <c r="AP350" s="1">
        <v>0</v>
      </c>
      <c r="AQ350" s="1" t="s">
        <v>1158</v>
      </c>
      <c r="AR350" s="1" t="s">
        <v>1182</v>
      </c>
      <c r="AS350" s="1" t="s">
        <v>1157</v>
      </c>
      <c r="AT350" s="1" t="s">
        <v>329</v>
      </c>
      <c r="AU350" s="1">
        <v>48</v>
      </c>
      <c r="AV350" s="1">
        <v>0</v>
      </c>
      <c r="AW350" s="1" t="s">
        <v>5536</v>
      </c>
      <c r="AX350" s="1" t="s">
        <v>332</v>
      </c>
      <c r="AY350" s="1">
        <v>5</v>
      </c>
      <c r="AZ350" s="1">
        <v>0</v>
      </c>
      <c r="BA350" s="1" t="s">
        <v>329</v>
      </c>
      <c r="BB350" s="1" t="s">
        <v>329</v>
      </c>
      <c r="BC350" s="1" t="s">
        <v>4817</v>
      </c>
      <c r="BD350" s="1">
        <v>10202</v>
      </c>
      <c r="BE350" s="1">
        <v>0</v>
      </c>
    </row>
    <row r="351" spans="1:57" x14ac:dyDescent="0.25">
      <c r="A351" s="1">
        <v>357</v>
      </c>
      <c r="B351" s="1" t="s">
        <v>5734</v>
      </c>
      <c r="C351" s="9" t="s">
        <v>5735</v>
      </c>
      <c r="D351" s="1" t="s">
        <v>5735</v>
      </c>
      <c r="E351" s="1" t="s">
        <v>329</v>
      </c>
      <c r="F351" s="1" t="s">
        <v>329</v>
      </c>
      <c r="G351" s="1" t="s">
        <v>5736</v>
      </c>
      <c r="H351" s="1" t="s">
        <v>5737</v>
      </c>
      <c r="I351" s="1" t="s">
        <v>5738</v>
      </c>
      <c r="J351" s="1">
        <v>1</v>
      </c>
      <c r="K351" s="1">
        <v>5</v>
      </c>
      <c r="L351" s="1">
        <v>5700</v>
      </c>
      <c r="M351" s="1">
        <v>10</v>
      </c>
      <c r="N351" s="1">
        <v>10</v>
      </c>
      <c r="O351" s="1">
        <v>5</v>
      </c>
      <c r="P351" s="1">
        <v>5</v>
      </c>
      <c r="Q351" s="1">
        <v>2</v>
      </c>
      <c r="R351" s="1">
        <v>2</v>
      </c>
      <c r="S351" s="1">
        <v>2</v>
      </c>
      <c r="T351" s="1">
        <v>0</v>
      </c>
      <c r="U351" s="1">
        <v>110</v>
      </c>
      <c r="V351" s="1">
        <v>120</v>
      </c>
      <c r="W351" s="1">
        <v>105</v>
      </c>
      <c r="X351" s="1">
        <v>100</v>
      </c>
      <c r="Y351" s="1">
        <v>150</v>
      </c>
      <c r="Z351" s="1">
        <v>100</v>
      </c>
      <c r="AA351" s="1">
        <v>0</v>
      </c>
      <c r="AB351" s="1">
        <v>15</v>
      </c>
      <c r="AC351" s="1">
        <v>40</v>
      </c>
      <c r="AD351" s="1">
        <v>0</v>
      </c>
      <c r="AE351" s="1">
        <v>125</v>
      </c>
      <c r="AF351" s="1">
        <v>100</v>
      </c>
      <c r="AG351" s="1">
        <v>750265</v>
      </c>
      <c r="AH351" s="1">
        <v>0</v>
      </c>
      <c r="AI351" s="1">
        <v>750266</v>
      </c>
      <c r="AJ351" s="1" t="s">
        <v>5739</v>
      </c>
      <c r="AK351" s="1" t="s">
        <v>5740</v>
      </c>
      <c r="AL351" s="1">
        <v>13</v>
      </c>
      <c r="AM351" s="1" t="s">
        <v>1866</v>
      </c>
      <c r="AN351" s="1" t="s">
        <v>5741</v>
      </c>
      <c r="AO351" s="1" t="s">
        <v>4811</v>
      </c>
      <c r="AP351" s="1">
        <v>0</v>
      </c>
      <c r="AQ351" s="1" t="s">
        <v>1146</v>
      </c>
      <c r="AR351" s="1" t="s">
        <v>1147</v>
      </c>
      <c r="AS351" s="1" t="s">
        <v>1148</v>
      </c>
      <c r="AT351" s="1" t="s">
        <v>329</v>
      </c>
      <c r="AU351" s="1">
        <v>4</v>
      </c>
      <c r="AV351" s="1">
        <v>0</v>
      </c>
      <c r="AW351" s="1" t="s">
        <v>5742</v>
      </c>
      <c r="AX351" s="1" t="s">
        <v>5743</v>
      </c>
      <c r="AY351" s="1">
        <v>5</v>
      </c>
      <c r="AZ351" s="1">
        <v>0</v>
      </c>
      <c r="BA351" s="1" t="s">
        <v>329</v>
      </c>
      <c r="BB351" s="1" t="s">
        <v>329</v>
      </c>
      <c r="BC351" s="1" t="s">
        <v>4799</v>
      </c>
      <c r="BD351" s="1">
        <v>10203</v>
      </c>
      <c r="BE351" s="1"/>
    </row>
    <row r="352" spans="1:57" x14ac:dyDescent="0.25">
      <c r="A352" s="1">
        <v>358</v>
      </c>
      <c r="B352" s="1" t="s">
        <v>5744</v>
      </c>
      <c r="C352" s="9" t="s">
        <v>5745</v>
      </c>
      <c r="D352" s="1" t="s">
        <v>5745</v>
      </c>
      <c r="E352" s="1" t="s">
        <v>329</v>
      </c>
      <c r="F352" s="1" t="s">
        <v>329</v>
      </c>
      <c r="G352" s="1" t="s">
        <v>5746</v>
      </c>
      <c r="H352" s="1" t="s">
        <v>5747</v>
      </c>
      <c r="I352" s="1" t="s">
        <v>5748</v>
      </c>
      <c r="J352" s="1">
        <v>1</v>
      </c>
      <c r="K352" s="1">
        <v>4</v>
      </c>
      <c r="L352" s="1">
        <v>3240</v>
      </c>
      <c r="M352" s="1">
        <v>10</v>
      </c>
      <c r="N352" s="1">
        <v>10</v>
      </c>
      <c r="O352" s="1">
        <v>5</v>
      </c>
      <c r="P352" s="1">
        <v>5</v>
      </c>
      <c r="Q352" s="1">
        <v>2</v>
      </c>
      <c r="R352" s="1">
        <v>2</v>
      </c>
      <c r="S352" s="1">
        <v>2</v>
      </c>
      <c r="T352" s="1">
        <v>0</v>
      </c>
      <c r="U352" s="1">
        <v>105</v>
      </c>
      <c r="V352" s="1">
        <v>118</v>
      </c>
      <c r="W352" s="1">
        <v>115</v>
      </c>
      <c r="X352" s="1">
        <v>100</v>
      </c>
      <c r="Y352" s="1">
        <v>120</v>
      </c>
      <c r="Z352" s="1">
        <v>98</v>
      </c>
      <c r="AA352" s="1">
        <v>0</v>
      </c>
      <c r="AB352" s="1">
        <v>15</v>
      </c>
      <c r="AC352" s="1">
        <v>20</v>
      </c>
      <c r="AD352" s="1">
        <v>0</v>
      </c>
      <c r="AE352" s="1">
        <v>115</v>
      </c>
      <c r="AF352" s="1">
        <v>100</v>
      </c>
      <c r="AG352" s="1">
        <v>750247</v>
      </c>
      <c r="AH352" s="1">
        <v>0</v>
      </c>
      <c r="AI352" s="1">
        <v>300101</v>
      </c>
      <c r="AJ352" s="1" t="s">
        <v>329</v>
      </c>
      <c r="AK352" s="1" t="s">
        <v>5749</v>
      </c>
      <c r="AL352" s="1">
        <v>13</v>
      </c>
      <c r="AM352" s="1" t="s">
        <v>1866</v>
      </c>
      <c r="AN352" s="1" t="s">
        <v>5750</v>
      </c>
      <c r="AO352" s="1" t="s">
        <v>5123</v>
      </c>
      <c r="AP352" s="1">
        <v>0</v>
      </c>
      <c r="AQ352" s="1" t="s">
        <v>1146</v>
      </c>
      <c r="AR352" s="1" t="s">
        <v>1147</v>
      </c>
      <c r="AS352" s="1" t="s">
        <v>1148</v>
      </c>
      <c r="AT352" s="1" t="s">
        <v>329</v>
      </c>
      <c r="AU352" s="1">
        <v>212</v>
      </c>
      <c r="AV352" s="1">
        <v>0</v>
      </c>
      <c r="AW352" s="1" t="s">
        <v>5742</v>
      </c>
      <c r="AX352" s="1" t="s">
        <v>1621</v>
      </c>
      <c r="AY352" s="1">
        <v>4</v>
      </c>
      <c r="AZ352" s="1">
        <v>0</v>
      </c>
      <c r="BA352" s="1" t="s">
        <v>329</v>
      </c>
      <c r="BB352" s="1" t="s">
        <v>329</v>
      </c>
      <c r="BC352" s="1" t="s">
        <v>4829</v>
      </c>
      <c r="BD352" s="1">
        <v>10202</v>
      </c>
      <c r="BE352" s="1"/>
    </row>
    <row r="353" spans="1:57" x14ac:dyDescent="0.25">
      <c r="A353" s="1">
        <v>359</v>
      </c>
      <c r="B353" s="1" t="s">
        <v>5751</v>
      </c>
      <c r="C353" s="9" t="s">
        <v>5752</v>
      </c>
      <c r="D353" s="1" t="s">
        <v>5752</v>
      </c>
      <c r="E353" s="1" t="s">
        <v>329</v>
      </c>
      <c r="F353" s="1" t="s">
        <v>329</v>
      </c>
      <c r="G353" s="1" t="s">
        <v>5753</v>
      </c>
      <c r="H353" s="1" t="s">
        <v>5754</v>
      </c>
      <c r="I353" s="1" t="s">
        <v>5755</v>
      </c>
      <c r="J353" s="1">
        <v>2</v>
      </c>
      <c r="K353" s="1">
        <v>5</v>
      </c>
      <c r="L353" s="1">
        <v>9300</v>
      </c>
      <c r="M353" s="1">
        <v>25</v>
      </c>
      <c r="N353" s="1">
        <v>20</v>
      </c>
      <c r="O353" s="1">
        <v>15</v>
      </c>
      <c r="P353" s="1">
        <v>10</v>
      </c>
      <c r="Q353" s="1">
        <v>5</v>
      </c>
      <c r="R353" s="1">
        <v>5</v>
      </c>
      <c r="S353" s="1">
        <v>2</v>
      </c>
      <c r="T353" s="1">
        <v>0</v>
      </c>
      <c r="U353" s="1">
        <v>112</v>
      </c>
      <c r="V353" s="1">
        <v>105</v>
      </c>
      <c r="W353" s="1">
        <v>105</v>
      </c>
      <c r="X353" s="1">
        <v>100</v>
      </c>
      <c r="Y353" s="1">
        <v>110</v>
      </c>
      <c r="Z353" s="1">
        <v>115</v>
      </c>
      <c r="AA353" s="1">
        <v>0</v>
      </c>
      <c r="AB353" s="1">
        <v>15</v>
      </c>
      <c r="AC353" s="1">
        <v>5</v>
      </c>
      <c r="AD353" s="1">
        <v>0</v>
      </c>
      <c r="AE353" s="1">
        <v>120</v>
      </c>
      <c r="AF353" s="1">
        <v>100</v>
      </c>
      <c r="AG353" s="1">
        <v>119101</v>
      </c>
      <c r="AH353" s="1">
        <v>0</v>
      </c>
      <c r="AI353" s="1">
        <v>300102</v>
      </c>
      <c r="AJ353" s="1" t="s">
        <v>5756</v>
      </c>
      <c r="AK353" s="1" t="s">
        <v>5757</v>
      </c>
      <c r="AL353" s="1">
        <v>13</v>
      </c>
      <c r="AM353" s="1" t="s">
        <v>399</v>
      </c>
      <c r="AN353" s="1" t="s">
        <v>5758</v>
      </c>
      <c r="AO353" s="1" t="s">
        <v>5065</v>
      </c>
      <c r="AP353" s="1">
        <v>0</v>
      </c>
      <c r="AQ353" s="1" t="s">
        <v>1157</v>
      </c>
      <c r="AR353" s="1" t="s">
        <v>1147</v>
      </c>
      <c r="AS353" s="1" t="s">
        <v>1158</v>
      </c>
      <c r="AT353" s="1" t="s">
        <v>329</v>
      </c>
      <c r="AU353" s="1">
        <v>150</v>
      </c>
      <c r="AV353" s="1">
        <v>0</v>
      </c>
      <c r="AW353" s="1" t="s">
        <v>5742</v>
      </c>
      <c r="AX353" s="1" t="s">
        <v>1621</v>
      </c>
      <c r="AY353" s="1">
        <v>5</v>
      </c>
      <c r="AZ353" s="1">
        <v>0</v>
      </c>
      <c r="BA353" s="1" t="s">
        <v>329</v>
      </c>
      <c r="BB353" s="1" t="s">
        <v>329</v>
      </c>
      <c r="BC353" s="1" t="s">
        <v>329</v>
      </c>
      <c r="BD353" s="1">
        <v>10402</v>
      </c>
      <c r="BE353" s="1"/>
    </row>
    <row r="354" spans="1:57" x14ac:dyDescent="0.25">
      <c r="A354" s="1">
        <v>360</v>
      </c>
      <c r="B354" s="1" t="s">
        <v>5759</v>
      </c>
      <c r="C354" s="9" t="s">
        <v>5760</v>
      </c>
      <c r="D354" s="1" t="s">
        <v>5760</v>
      </c>
      <c r="E354" s="1" t="s">
        <v>329</v>
      </c>
      <c r="F354" s="1" t="s">
        <v>329</v>
      </c>
      <c r="G354" s="1" t="s">
        <v>5761</v>
      </c>
      <c r="H354" s="1" t="s">
        <v>5762</v>
      </c>
      <c r="I354" s="1" t="s">
        <v>5763</v>
      </c>
      <c r="J354" s="1">
        <v>3</v>
      </c>
      <c r="K354" s="1">
        <v>4</v>
      </c>
      <c r="L354" s="1">
        <v>15900</v>
      </c>
      <c r="M354" s="1">
        <v>15</v>
      </c>
      <c r="N354" s="1">
        <v>30</v>
      </c>
      <c r="O354" s="1">
        <v>10</v>
      </c>
      <c r="P354" s="1">
        <v>15</v>
      </c>
      <c r="Q354" s="1">
        <v>5</v>
      </c>
      <c r="R354" s="1">
        <v>2</v>
      </c>
      <c r="S354" s="1">
        <v>5</v>
      </c>
      <c r="T354" s="1">
        <v>0</v>
      </c>
      <c r="U354" s="1">
        <v>102</v>
      </c>
      <c r="V354" s="1">
        <v>112</v>
      </c>
      <c r="W354" s="1">
        <v>110</v>
      </c>
      <c r="X354" s="1">
        <v>100</v>
      </c>
      <c r="Y354" s="1">
        <v>120</v>
      </c>
      <c r="Z354" s="1">
        <v>95</v>
      </c>
      <c r="AA354" s="1">
        <v>0</v>
      </c>
      <c r="AB354" s="1">
        <v>15</v>
      </c>
      <c r="AC354" s="1">
        <v>40</v>
      </c>
      <c r="AD354" s="1">
        <v>0</v>
      </c>
      <c r="AE354" s="1">
        <v>118</v>
      </c>
      <c r="AF354" s="1">
        <v>100</v>
      </c>
      <c r="AG354" s="1">
        <v>750242</v>
      </c>
      <c r="AH354" s="1">
        <v>0</v>
      </c>
      <c r="AI354" s="1">
        <v>750246</v>
      </c>
      <c r="AJ354" s="1" t="s">
        <v>5764</v>
      </c>
      <c r="AK354" s="1" t="s">
        <v>5765</v>
      </c>
      <c r="AL354" s="1">
        <v>13</v>
      </c>
      <c r="AM354" s="1" t="s">
        <v>4822</v>
      </c>
      <c r="AN354" s="1" t="s">
        <v>5766</v>
      </c>
      <c r="AO354" s="1" t="s">
        <v>4892</v>
      </c>
      <c r="AP354" s="1">
        <v>0</v>
      </c>
      <c r="AQ354" s="1" t="s">
        <v>1168</v>
      </c>
      <c r="AR354" s="1" t="s">
        <v>1169</v>
      </c>
      <c r="AS354" s="1" t="s">
        <v>1170</v>
      </c>
      <c r="AT354" s="1" t="s">
        <v>329</v>
      </c>
      <c r="AU354" s="1">
        <v>241</v>
      </c>
      <c r="AV354" s="1">
        <v>0</v>
      </c>
      <c r="AW354" s="1" t="s">
        <v>5742</v>
      </c>
      <c r="AX354" s="1" t="s">
        <v>5767</v>
      </c>
      <c r="AY354" s="1">
        <v>4</v>
      </c>
      <c r="AZ354" s="1">
        <v>0</v>
      </c>
      <c r="BA354" s="1" t="s">
        <v>329</v>
      </c>
      <c r="BB354" s="1" t="s">
        <v>329</v>
      </c>
      <c r="BC354" s="1" t="s">
        <v>4780</v>
      </c>
      <c r="BD354" s="1">
        <v>10802</v>
      </c>
      <c r="BE354" s="1"/>
    </row>
    <row r="355" spans="1:57" x14ac:dyDescent="0.25">
      <c r="A355" s="1">
        <v>361</v>
      </c>
      <c r="B355" s="1" t="s">
        <v>5768</v>
      </c>
      <c r="C355" s="9" t="s">
        <v>5769</v>
      </c>
      <c r="D355" s="1" t="s">
        <v>5769</v>
      </c>
      <c r="E355" s="1" t="s">
        <v>329</v>
      </c>
      <c r="F355" s="1" t="s">
        <v>329</v>
      </c>
      <c r="G355" s="1" t="s">
        <v>5770</v>
      </c>
      <c r="H355" s="1" t="s">
        <v>5771</v>
      </c>
      <c r="I355" s="1" t="s">
        <v>5772</v>
      </c>
      <c r="J355" s="1">
        <v>4</v>
      </c>
      <c r="K355" s="1">
        <v>5</v>
      </c>
      <c r="L355" s="1">
        <v>13800</v>
      </c>
      <c r="M355" s="1">
        <v>20</v>
      </c>
      <c r="N355" s="1">
        <v>20</v>
      </c>
      <c r="O355" s="1">
        <v>10</v>
      </c>
      <c r="P355" s="1">
        <v>10</v>
      </c>
      <c r="Q355" s="1">
        <v>2</v>
      </c>
      <c r="R355" s="1">
        <v>5</v>
      </c>
      <c r="S355" s="1">
        <v>5</v>
      </c>
      <c r="T355" s="1">
        <v>0</v>
      </c>
      <c r="U355" s="1">
        <v>110</v>
      </c>
      <c r="V355" s="1">
        <v>122</v>
      </c>
      <c r="W355" s="1">
        <v>116</v>
      </c>
      <c r="X355" s="1">
        <v>100</v>
      </c>
      <c r="Y355" s="1">
        <v>122</v>
      </c>
      <c r="Z355" s="1">
        <v>110</v>
      </c>
      <c r="AA355" s="1">
        <v>0</v>
      </c>
      <c r="AB355" s="1">
        <v>15</v>
      </c>
      <c r="AC355" s="1">
        <v>20</v>
      </c>
      <c r="AD355" s="1">
        <v>0</v>
      </c>
      <c r="AE355" s="1">
        <v>120</v>
      </c>
      <c r="AF355" s="1">
        <v>100</v>
      </c>
      <c r="AG355" s="1">
        <v>119001</v>
      </c>
      <c r="AH355" s="1">
        <v>0</v>
      </c>
      <c r="AI355" s="1">
        <v>119003</v>
      </c>
      <c r="AJ355" s="1" t="s">
        <v>329</v>
      </c>
      <c r="AK355" s="1" t="s">
        <v>5773</v>
      </c>
      <c r="AL355" s="1">
        <v>13</v>
      </c>
      <c r="AM355" s="1" t="s">
        <v>4779</v>
      </c>
      <c r="AN355" s="1" t="s">
        <v>4924</v>
      </c>
      <c r="AO355" s="1" t="s">
        <v>5774</v>
      </c>
      <c r="AP355" s="1">
        <v>0</v>
      </c>
      <c r="AQ355" s="1" t="s">
        <v>1158</v>
      </c>
      <c r="AR355" s="1" t="s">
        <v>1182</v>
      </c>
      <c r="AS355" s="1" t="s">
        <v>1157</v>
      </c>
      <c r="AT355" s="1" t="s">
        <v>329</v>
      </c>
      <c r="AU355" s="1">
        <v>48</v>
      </c>
      <c r="AV355" s="1">
        <v>0</v>
      </c>
      <c r="AW355" s="1" t="s">
        <v>5742</v>
      </c>
      <c r="AX355" s="1" t="s">
        <v>5767</v>
      </c>
      <c r="AY355" s="1">
        <v>5</v>
      </c>
      <c r="AZ355" s="1">
        <v>0</v>
      </c>
      <c r="BA355" s="1" t="s">
        <v>329</v>
      </c>
      <c r="BB355" s="1" t="s">
        <v>329</v>
      </c>
      <c r="BC355" s="1" t="s">
        <v>4843</v>
      </c>
      <c r="BD355" s="1">
        <v>10402</v>
      </c>
      <c r="BE355" s="1"/>
    </row>
    <row r="356" spans="1:57" x14ac:dyDescent="0.25">
      <c r="A356" s="1">
        <v>362</v>
      </c>
      <c r="B356" s="1" t="s">
        <v>5775</v>
      </c>
      <c r="C356" s="9" t="s">
        <v>5776</v>
      </c>
      <c r="D356" s="1" t="s">
        <v>5776</v>
      </c>
      <c r="E356" s="1" t="s">
        <v>329</v>
      </c>
      <c r="F356" s="1" t="s">
        <v>329</v>
      </c>
      <c r="G356" s="1" t="s">
        <v>5777</v>
      </c>
      <c r="H356" s="1" t="s">
        <v>5778</v>
      </c>
      <c r="I356" s="1" t="s">
        <v>5779</v>
      </c>
      <c r="J356" s="1">
        <v>5</v>
      </c>
      <c r="K356" s="1">
        <v>4</v>
      </c>
      <c r="L356" s="1">
        <v>22800</v>
      </c>
      <c r="M356" s="1">
        <v>40</v>
      </c>
      <c r="N356" s="1">
        <v>30</v>
      </c>
      <c r="O356" s="1">
        <v>25</v>
      </c>
      <c r="P356" s="1">
        <v>15</v>
      </c>
      <c r="Q356" s="1">
        <v>5</v>
      </c>
      <c r="R356" s="1">
        <v>5</v>
      </c>
      <c r="S356" s="1">
        <v>2</v>
      </c>
      <c r="T356" s="1">
        <v>5</v>
      </c>
      <c r="U356" s="1">
        <v>100</v>
      </c>
      <c r="V356" s="1">
        <v>135</v>
      </c>
      <c r="W356" s="1">
        <v>90</v>
      </c>
      <c r="X356" s="1">
        <v>100</v>
      </c>
      <c r="Y356" s="1">
        <v>120</v>
      </c>
      <c r="Z356" s="1">
        <v>100</v>
      </c>
      <c r="AA356" s="1">
        <v>0</v>
      </c>
      <c r="AB356" s="1">
        <v>15</v>
      </c>
      <c r="AC356" s="1">
        <v>5</v>
      </c>
      <c r="AD356" s="1">
        <v>9</v>
      </c>
      <c r="AE356" s="1">
        <v>118</v>
      </c>
      <c r="AF356" s="1">
        <v>100</v>
      </c>
      <c r="AG356" s="1">
        <v>750252</v>
      </c>
      <c r="AH356" s="1">
        <v>0</v>
      </c>
      <c r="AI356" s="1">
        <v>750238</v>
      </c>
      <c r="AJ356" s="1" t="s">
        <v>5780</v>
      </c>
      <c r="AK356" s="1" t="s">
        <v>5781</v>
      </c>
      <c r="AL356" s="1">
        <v>18</v>
      </c>
      <c r="AM356" s="1" t="s">
        <v>4918</v>
      </c>
      <c r="AN356" s="1" t="s">
        <v>4997</v>
      </c>
      <c r="AO356" s="1" t="s">
        <v>5071</v>
      </c>
      <c r="AP356" s="1">
        <v>0</v>
      </c>
      <c r="AQ356" s="1" t="s">
        <v>1195</v>
      </c>
      <c r="AR356" s="1" t="s">
        <v>1196</v>
      </c>
      <c r="AS356" s="1" t="s">
        <v>1197</v>
      </c>
      <c r="AT356" s="1" t="s">
        <v>329</v>
      </c>
      <c r="AU356" s="1">
        <v>238</v>
      </c>
      <c r="AV356" s="1">
        <v>0</v>
      </c>
      <c r="AW356" s="1" t="s">
        <v>5742</v>
      </c>
      <c r="AX356" s="1" t="s">
        <v>1621</v>
      </c>
      <c r="AY356" s="1">
        <v>4</v>
      </c>
      <c r="AZ356" s="1">
        <v>0</v>
      </c>
      <c r="BA356" s="1" t="s">
        <v>329</v>
      </c>
      <c r="BB356" s="1" t="s">
        <v>329</v>
      </c>
      <c r="BC356" s="1" t="s">
        <v>329</v>
      </c>
      <c r="BD356" s="1">
        <v>10403</v>
      </c>
      <c r="BE356" s="1"/>
    </row>
    <row r="357" spans="1:57" x14ac:dyDescent="0.25">
      <c r="A357" s="1">
        <v>1001</v>
      </c>
      <c r="B357" s="1" t="s">
        <v>4166</v>
      </c>
      <c r="C357" s="9" t="s">
        <v>193</v>
      </c>
      <c r="D357" s="1" t="s">
        <v>4167</v>
      </c>
      <c r="E357" s="1"/>
      <c r="F357" s="1"/>
      <c r="G357" s="1" t="s">
        <v>4168</v>
      </c>
      <c r="H357" s="1" t="s">
        <v>4169</v>
      </c>
      <c r="I357" s="1" t="s">
        <v>4170</v>
      </c>
      <c r="J357" s="1">
        <v>1</v>
      </c>
      <c r="K357" s="1">
        <v>5</v>
      </c>
      <c r="L357" s="1">
        <v>3600</v>
      </c>
      <c r="M357" s="1">
        <v>10</v>
      </c>
      <c r="N357" s="1">
        <v>10</v>
      </c>
      <c r="O357" s="1">
        <v>5</v>
      </c>
      <c r="P357" s="1">
        <v>5</v>
      </c>
      <c r="Q357" s="1">
        <v>2</v>
      </c>
      <c r="R357" s="1">
        <v>2</v>
      </c>
      <c r="S357" s="1">
        <v>2</v>
      </c>
      <c r="T357" s="1">
        <v>0</v>
      </c>
      <c r="U357" s="1">
        <v>90</v>
      </c>
      <c r="V357" s="1">
        <v>140</v>
      </c>
      <c r="W357" s="1">
        <v>120</v>
      </c>
      <c r="X357" s="1">
        <v>100</v>
      </c>
      <c r="Y357" s="1">
        <v>120</v>
      </c>
      <c r="Z357" s="1">
        <v>110</v>
      </c>
      <c r="AA357" s="1">
        <v>0</v>
      </c>
      <c r="AB357" s="1">
        <v>15</v>
      </c>
      <c r="AC357" s="1">
        <v>20</v>
      </c>
      <c r="AD357" s="1">
        <v>0</v>
      </c>
      <c r="AE357" s="1">
        <v>120</v>
      </c>
      <c r="AF357" s="1">
        <v>100</v>
      </c>
      <c r="AG357" s="1">
        <v>106406</v>
      </c>
      <c r="AH357" s="1">
        <v>0</v>
      </c>
      <c r="AI357" s="1">
        <v>300111</v>
      </c>
      <c r="AJ357" s="1" t="s">
        <v>329</v>
      </c>
      <c r="AK357" s="1" t="s">
        <v>329</v>
      </c>
      <c r="AL357" s="1">
        <v>13</v>
      </c>
      <c r="AM357" s="1" t="s">
        <v>1866</v>
      </c>
      <c r="AN357" s="1" t="s">
        <v>5022</v>
      </c>
      <c r="AO357" s="1" t="s">
        <v>5116</v>
      </c>
      <c r="AP357" s="1">
        <v>0</v>
      </c>
      <c r="AQ357" s="1" t="s">
        <v>1146</v>
      </c>
      <c r="AR357" s="1" t="s">
        <v>1147</v>
      </c>
      <c r="AS357" s="1" t="s">
        <v>1148</v>
      </c>
      <c r="AT357" s="1" t="s">
        <v>329</v>
      </c>
      <c r="AU357" s="1">
        <v>1001</v>
      </c>
      <c r="AV357" s="1">
        <v>1</v>
      </c>
      <c r="AW357" s="1" t="s">
        <v>5445</v>
      </c>
      <c r="AX357" s="1" t="s">
        <v>1866</v>
      </c>
      <c r="AY357" s="1">
        <v>7</v>
      </c>
      <c r="AZ357" s="1">
        <v>0</v>
      </c>
      <c r="BA357" s="1" t="s">
        <v>329</v>
      </c>
      <c r="BB357" s="1" t="s">
        <v>329</v>
      </c>
      <c r="BC357" s="1" t="s">
        <v>5446</v>
      </c>
      <c r="BD357" s="1">
        <v>0</v>
      </c>
      <c r="BE357" s="1"/>
    </row>
    <row r="358" spans="1:57" x14ac:dyDescent="0.25">
      <c r="A358" s="1">
        <v>1002</v>
      </c>
      <c r="B358" s="1" t="s">
        <v>4171</v>
      </c>
      <c r="C358" s="9" t="s">
        <v>194</v>
      </c>
      <c r="D358" s="1" t="s">
        <v>4172</v>
      </c>
      <c r="E358" s="1"/>
      <c r="F358" s="1"/>
      <c r="G358" s="1" t="s">
        <v>4173</v>
      </c>
      <c r="H358" s="1" t="s">
        <v>4174</v>
      </c>
      <c r="I358" s="1" t="s">
        <v>4175</v>
      </c>
      <c r="J358" s="1">
        <v>6</v>
      </c>
      <c r="K358" s="1">
        <v>5</v>
      </c>
      <c r="L358" s="1">
        <v>30600</v>
      </c>
      <c r="M358" s="1">
        <v>30</v>
      </c>
      <c r="N358" s="1">
        <v>40</v>
      </c>
      <c r="O358" s="1">
        <v>15</v>
      </c>
      <c r="P358" s="1">
        <v>25</v>
      </c>
      <c r="Q358" s="1">
        <v>5</v>
      </c>
      <c r="R358" s="1">
        <v>2</v>
      </c>
      <c r="S358" s="1">
        <v>5</v>
      </c>
      <c r="T358" s="1">
        <v>5</v>
      </c>
      <c r="U358" s="1">
        <v>125</v>
      </c>
      <c r="V358" s="1">
        <v>130</v>
      </c>
      <c r="W358" s="1">
        <v>110</v>
      </c>
      <c r="X358" s="1">
        <v>100</v>
      </c>
      <c r="Y358" s="1">
        <v>120</v>
      </c>
      <c r="Z358" s="1">
        <v>80</v>
      </c>
      <c r="AA358" s="1">
        <v>125</v>
      </c>
      <c r="AB358" s="1">
        <v>15</v>
      </c>
      <c r="AC358" s="1">
        <v>40</v>
      </c>
      <c r="AD358" s="1">
        <v>5</v>
      </c>
      <c r="AE358" s="1">
        <v>95</v>
      </c>
      <c r="AF358" s="1">
        <v>100</v>
      </c>
      <c r="AG358" s="1">
        <v>106407</v>
      </c>
      <c r="AH358" s="1">
        <v>0</v>
      </c>
      <c r="AI358" s="1">
        <v>300110</v>
      </c>
      <c r="AJ358" s="1" t="s">
        <v>1227</v>
      </c>
      <c r="AK358" s="1" t="s">
        <v>329</v>
      </c>
      <c r="AL358" s="1">
        <v>8</v>
      </c>
      <c r="AM358" s="1" t="s">
        <v>4776</v>
      </c>
      <c r="AN358" s="1" t="s">
        <v>399</v>
      </c>
      <c r="AO358" s="1" t="s">
        <v>5327</v>
      </c>
      <c r="AP358" s="1">
        <v>0</v>
      </c>
      <c r="AQ358" s="1" t="s">
        <v>1228</v>
      </c>
      <c r="AR358" s="1" t="s">
        <v>1229</v>
      </c>
      <c r="AS358" s="1" t="s">
        <v>1230</v>
      </c>
      <c r="AT358" s="1" t="s">
        <v>329</v>
      </c>
      <c r="AU358" s="1">
        <v>1002</v>
      </c>
      <c r="AV358" s="1">
        <v>1</v>
      </c>
      <c r="AW358" s="1" t="s">
        <v>5445</v>
      </c>
      <c r="AX358" s="1" t="s">
        <v>1866</v>
      </c>
      <c r="AY358" s="1">
        <v>7</v>
      </c>
      <c r="AZ358" s="1">
        <v>0</v>
      </c>
      <c r="BA358" s="1" t="s">
        <v>329</v>
      </c>
      <c r="BB358" s="1" t="s">
        <v>329</v>
      </c>
      <c r="BC358" s="1" t="s">
        <v>5446</v>
      </c>
      <c r="BD358" s="1">
        <v>0</v>
      </c>
      <c r="BE358" s="1"/>
    </row>
    <row r="359" spans="1:57" x14ac:dyDescent="0.25">
      <c r="A359" s="1">
        <v>1003</v>
      </c>
      <c r="B359" s="1" t="s">
        <v>4176</v>
      </c>
      <c r="C359" s="9" t="s">
        <v>822</v>
      </c>
      <c r="D359" s="1" t="s">
        <v>822</v>
      </c>
      <c r="E359" s="1"/>
      <c r="F359" s="1"/>
      <c r="G359" s="1" t="s">
        <v>4177</v>
      </c>
      <c r="H359" s="1" t="s">
        <v>4178</v>
      </c>
      <c r="I359" s="1" t="s">
        <v>4179</v>
      </c>
      <c r="J359" s="1">
        <v>1</v>
      </c>
      <c r="K359" s="1">
        <v>5</v>
      </c>
      <c r="L359" s="1">
        <v>3600</v>
      </c>
      <c r="M359" s="1">
        <v>10</v>
      </c>
      <c r="N359" s="1">
        <v>10</v>
      </c>
      <c r="O359" s="1">
        <v>5</v>
      </c>
      <c r="P359" s="1">
        <v>5</v>
      </c>
      <c r="Q359" s="1">
        <v>2</v>
      </c>
      <c r="R359" s="1">
        <v>2</v>
      </c>
      <c r="S359" s="1">
        <v>2</v>
      </c>
      <c r="T359" s="1">
        <v>0</v>
      </c>
      <c r="U359" s="1">
        <v>105</v>
      </c>
      <c r="V359" s="1">
        <v>125</v>
      </c>
      <c r="W359" s="1">
        <v>125</v>
      </c>
      <c r="X359" s="1">
        <v>100</v>
      </c>
      <c r="Y359" s="1">
        <v>118</v>
      </c>
      <c r="Z359" s="1">
        <v>115</v>
      </c>
      <c r="AA359" s="1">
        <v>0</v>
      </c>
      <c r="AB359" s="1">
        <v>15</v>
      </c>
      <c r="AC359" s="1">
        <v>20</v>
      </c>
      <c r="AD359" s="1">
        <v>0</v>
      </c>
      <c r="AE359" s="1">
        <v>104</v>
      </c>
      <c r="AF359" s="1">
        <v>100</v>
      </c>
      <c r="AG359" s="1">
        <v>107301</v>
      </c>
      <c r="AH359" s="1">
        <v>0</v>
      </c>
      <c r="AI359" s="1">
        <v>300101</v>
      </c>
      <c r="AJ359" s="1" t="s">
        <v>1389</v>
      </c>
      <c r="AK359" s="1" t="s">
        <v>329</v>
      </c>
      <c r="AL359" s="1">
        <v>13</v>
      </c>
      <c r="AM359" s="1" t="s">
        <v>1866</v>
      </c>
      <c r="AN359" s="1" t="s">
        <v>4807</v>
      </c>
      <c r="AO359" s="1" t="s">
        <v>5074</v>
      </c>
      <c r="AP359" s="1">
        <v>0</v>
      </c>
      <c r="AQ359" s="1" t="s">
        <v>1146</v>
      </c>
      <c r="AR359" s="1" t="s">
        <v>1147</v>
      </c>
      <c r="AS359" s="1" t="s">
        <v>1148</v>
      </c>
      <c r="AT359" s="1" t="s">
        <v>329</v>
      </c>
      <c r="AU359" s="1">
        <v>1003</v>
      </c>
      <c r="AV359" s="1">
        <v>1</v>
      </c>
      <c r="AW359" s="1" t="s">
        <v>5447</v>
      </c>
      <c r="AX359" s="1" t="s">
        <v>5448</v>
      </c>
      <c r="AY359" s="1">
        <v>7</v>
      </c>
      <c r="AZ359" s="1">
        <v>0</v>
      </c>
      <c r="BA359" s="1" t="s">
        <v>329</v>
      </c>
      <c r="BB359" s="1" t="s">
        <v>329</v>
      </c>
      <c r="BC359" s="1" t="s">
        <v>5446</v>
      </c>
      <c r="BD359" s="1">
        <v>0</v>
      </c>
      <c r="BE359" s="1"/>
    </row>
    <row r="360" spans="1:57" x14ac:dyDescent="0.25">
      <c r="A360" s="1">
        <v>1004</v>
      </c>
      <c r="B360" s="1" t="s">
        <v>4180</v>
      </c>
      <c r="C360" s="9" t="s">
        <v>823</v>
      </c>
      <c r="D360" s="1" t="s">
        <v>4181</v>
      </c>
      <c r="E360" s="1"/>
      <c r="F360" s="1"/>
      <c r="G360" s="1" t="s">
        <v>4182</v>
      </c>
      <c r="H360" s="1" t="s">
        <v>4183</v>
      </c>
      <c r="I360" s="1" t="s">
        <v>4184</v>
      </c>
      <c r="J360" s="1">
        <v>3</v>
      </c>
      <c r="K360" s="1">
        <v>5</v>
      </c>
      <c r="L360" s="1">
        <v>17400</v>
      </c>
      <c r="M360" s="1">
        <v>15</v>
      </c>
      <c r="N360" s="1">
        <v>30</v>
      </c>
      <c r="O360" s="1">
        <v>10</v>
      </c>
      <c r="P360" s="1">
        <v>15</v>
      </c>
      <c r="Q360" s="1">
        <v>5</v>
      </c>
      <c r="R360" s="1">
        <v>2</v>
      </c>
      <c r="S360" s="1">
        <v>5</v>
      </c>
      <c r="T360" s="1">
        <v>0</v>
      </c>
      <c r="U360" s="1">
        <v>95</v>
      </c>
      <c r="V360" s="1">
        <v>135</v>
      </c>
      <c r="W360" s="1">
        <v>98</v>
      </c>
      <c r="X360" s="1">
        <v>100</v>
      </c>
      <c r="Y360" s="1">
        <v>105</v>
      </c>
      <c r="Z360" s="1">
        <v>95</v>
      </c>
      <c r="AA360" s="1">
        <v>0</v>
      </c>
      <c r="AB360" s="1">
        <v>15</v>
      </c>
      <c r="AC360" s="1">
        <v>40</v>
      </c>
      <c r="AD360" s="1">
        <v>0</v>
      </c>
      <c r="AE360" s="1">
        <v>120</v>
      </c>
      <c r="AF360" s="1">
        <v>100</v>
      </c>
      <c r="AG360" s="1">
        <v>107401</v>
      </c>
      <c r="AH360" s="1">
        <v>0</v>
      </c>
      <c r="AI360" s="1">
        <v>300104</v>
      </c>
      <c r="AJ360" s="1" t="s">
        <v>1389</v>
      </c>
      <c r="AK360" s="1" t="s">
        <v>329</v>
      </c>
      <c r="AL360" s="1">
        <v>13</v>
      </c>
      <c r="AM360" s="1" t="s">
        <v>4822</v>
      </c>
      <c r="AN360" s="1" t="s">
        <v>5449</v>
      </c>
      <c r="AO360" s="1" t="s">
        <v>4905</v>
      </c>
      <c r="AP360" s="1">
        <v>0</v>
      </c>
      <c r="AQ360" s="1" t="s">
        <v>1168</v>
      </c>
      <c r="AR360" s="1" t="s">
        <v>1169</v>
      </c>
      <c r="AS360" s="1" t="s">
        <v>1170</v>
      </c>
      <c r="AT360" s="1" t="s">
        <v>329</v>
      </c>
      <c r="AU360" s="1">
        <v>1004</v>
      </c>
      <c r="AV360" s="1">
        <v>1</v>
      </c>
      <c r="AW360" s="1" t="s">
        <v>5447</v>
      </c>
      <c r="AX360" s="1" t="s">
        <v>5450</v>
      </c>
      <c r="AY360" s="1">
        <v>7</v>
      </c>
      <c r="AZ360" s="1">
        <v>0</v>
      </c>
      <c r="BA360" s="1" t="s">
        <v>329</v>
      </c>
      <c r="BB360" s="1" t="s">
        <v>329</v>
      </c>
      <c r="BC360" s="1" t="s">
        <v>5446</v>
      </c>
      <c r="BD360" s="1">
        <v>0</v>
      </c>
      <c r="BE360" s="1"/>
    </row>
    <row r="361" spans="1:57" x14ac:dyDescent="0.25">
      <c r="A361" s="1">
        <v>1005</v>
      </c>
      <c r="B361" s="1" t="s">
        <v>4185</v>
      </c>
      <c r="C361" s="9" t="s">
        <v>824</v>
      </c>
      <c r="D361" s="1" t="s">
        <v>824</v>
      </c>
      <c r="E361" s="1"/>
      <c r="F361" s="1"/>
      <c r="G361" s="1" t="s">
        <v>4186</v>
      </c>
      <c r="H361" s="1" t="s">
        <v>4187</v>
      </c>
      <c r="I361" s="1" t="s">
        <v>4188</v>
      </c>
      <c r="J361" s="1">
        <v>3</v>
      </c>
      <c r="K361" s="1">
        <v>5</v>
      </c>
      <c r="L361" s="1">
        <v>17400</v>
      </c>
      <c r="M361" s="1">
        <v>15</v>
      </c>
      <c r="N361" s="1">
        <v>30</v>
      </c>
      <c r="O361" s="1">
        <v>10</v>
      </c>
      <c r="P361" s="1">
        <v>15</v>
      </c>
      <c r="Q361" s="1">
        <v>5</v>
      </c>
      <c r="R361" s="1">
        <v>2</v>
      </c>
      <c r="S361" s="1">
        <v>5</v>
      </c>
      <c r="T361" s="1">
        <v>0</v>
      </c>
      <c r="U361" s="1">
        <v>92</v>
      </c>
      <c r="V361" s="1">
        <v>122</v>
      </c>
      <c r="W361" s="1">
        <v>110</v>
      </c>
      <c r="X361" s="1">
        <v>100</v>
      </c>
      <c r="Y361" s="1">
        <v>115</v>
      </c>
      <c r="Z361" s="1">
        <v>100</v>
      </c>
      <c r="AA361" s="1">
        <v>0</v>
      </c>
      <c r="AB361" s="1">
        <v>15</v>
      </c>
      <c r="AC361" s="1">
        <v>40</v>
      </c>
      <c r="AD361" s="1">
        <v>0</v>
      </c>
      <c r="AE361" s="1">
        <v>120</v>
      </c>
      <c r="AF361" s="1">
        <v>100</v>
      </c>
      <c r="AG361" s="1">
        <v>107101</v>
      </c>
      <c r="AH361" s="1">
        <v>0</v>
      </c>
      <c r="AI361" s="1">
        <v>300104</v>
      </c>
      <c r="AJ361" s="1" t="s">
        <v>1389</v>
      </c>
      <c r="AK361" s="1" t="s">
        <v>329</v>
      </c>
      <c r="AL361" s="1">
        <v>13</v>
      </c>
      <c r="AM361" s="1" t="s">
        <v>4822</v>
      </c>
      <c r="AN361" s="1" t="s">
        <v>5173</v>
      </c>
      <c r="AO361" s="1" t="s">
        <v>4905</v>
      </c>
      <c r="AP361" s="1">
        <v>0</v>
      </c>
      <c r="AQ361" s="1" t="s">
        <v>1168</v>
      </c>
      <c r="AR361" s="1" t="s">
        <v>1169</v>
      </c>
      <c r="AS361" s="1" t="s">
        <v>1170</v>
      </c>
      <c r="AT361" s="1" t="s">
        <v>329</v>
      </c>
      <c r="AU361" s="1">
        <v>1005</v>
      </c>
      <c r="AV361" s="1">
        <v>1</v>
      </c>
      <c r="AW361" s="1" t="s">
        <v>5447</v>
      </c>
      <c r="AX361" s="1" t="s">
        <v>5450</v>
      </c>
      <c r="AY361" s="1">
        <v>7</v>
      </c>
      <c r="AZ361" s="1">
        <v>0</v>
      </c>
      <c r="BA361" s="1" t="s">
        <v>329</v>
      </c>
      <c r="BB361" s="1" t="s">
        <v>329</v>
      </c>
      <c r="BC361" s="1" t="s">
        <v>5446</v>
      </c>
      <c r="BD361" s="1">
        <v>0</v>
      </c>
      <c r="BE361" s="1"/>
    </row>
    <row r="362" spans="1:57" x14ac:dyDescent="0.25">
      <c r="A362" s="1">
        <v>1006</v>
      </c>
      <c r="B362" s="1" t="s">
        <v>4189</v>
      </c>
      <c r="C362" s="9" t="s">
        <v>825</v>
      </c>
      <c r="D362" s="1" t="s">
        <v>825</v>
      </c>
      <c r="E362" s="1"/>
      <c r="F362" s="1"/>
      <c r="G362" s="1" t="s">
        <v>4190</v>
      </c>
      <c r="H362" s="1" t="s">
        <v>4191</v>
      </c>
      <c r="I362" s="1" t="s">
        <v>4192</v>
      </c>
      <c r="J362" s="1">
        <v>1</v>
      </c>
      <c r="K362" s="1">
        <v>5</v>
      </c>
      <c r="L362" s="1">
        <v>3600</v>
      </c>
      <c r="M362" s="1">
        <v>10</v>
      </c>
      <c r="N362" s="1">
        <v>10</v>
      </c>
      <c r="O362" s="1">
        <v>5</v>
      </c>
      <c r="P362" s="1">
        <v>5</v>
      </c>
      <c r="Q362" s="1">
        <v>2</v>
      </c>
      <c r="R362" s="1">
        <v>2</v>
      </c>
      <c r="S362" s="1">
        <v>2</v>
      </c>
      <c r="T362" s="1">
        <v>0</v>
      </c>
      <c r="U362" s="1">
        <v>125</v>
      </c>
      <c r="V362" s="1">
        <v>120</v>
      </c>
      <c r="W362" s="1">
        <v>105</v>
      </c>
      <c r="X362" s="1">
        <v>100</v>
      </c>
      <c r="Y362" s="1">
        <v>105</v>
      </c>
      <c r="Z362" s="1">
        <v>120</v>
      </c>
      <c r="AA362" s="1">
        <v>0</v>
      </c>
      <c r="AB362" s="1">
        <v>15</v>
      </c>
      <c r="AC362" s="1">
        <v>20</v>
      </c>
      <c r="AD362" s="1">
        <v>0</v>
      </c>
      <c r="AE362" s="1">
        <v>104</v>
      </c>
      <c r="AF362" s="1">
        <v>100</v>
      </c>
      <c r="AG362" s="1">
        <v>107501</v>
      </c>
      <c r="AH362" s="1">
        <v>0</v>
      </c>
      <c r="AI362" s="1">
        <v>301901</v>
      </c>
      <c r="AJ362" s="1" t="s">
        <v>1160</v>
      </c>
      <c r="AK362" s="1" t="s">
        <v>1390</v>
      </c>
      <c r="AL362" s="1">
        <v>13</v>
      </c>
      <c r="AM362" s="1" t="s">
        <v>1866</v>
      </c>
      <c r="AN362" s="1" t="s">
        <v>5018</v>
      </c>
      <c r="AO362" s="1" t="s">
        <v>4877</v>
      </c>
      <c r="AP362" s="1">
        <v>0</v>
      </c>
      <c r="AQ362" s="1" t="s">
        <v>1146</v>
      </c>
      <c r="AR362" s="1" t="s">
        <v>1147</v>
      </c>
      <c r="AS362" s="1" t="s">
        <v>1148</v>
      </c>
      <c r="AT362" s="1" t="s">
        <v>329</v>
      </c>
      <c r="AU362" s="1">
        <v>1006</v>
      </c>
      <c r="AV362" s="1">
        <v>1</v>
      </c>
      <c r="AW362" s="1" t="s">
        <v>5447</v>
      </c>
      <c r="AX362" s="1" t="s">
        <v>5451</v>
      </c>
      <c r="AY362" s="1">
        <v>7</v>
      </c>
      <c r="AZ362" s="1">
        <v>0</v>
      </c>
      <c r="BA362" s="1" t="s">
        <v>329</v>
      </c>
      <c r="BB362" s="1" t="s">
        <v>329</v>
      </c>
      <c r="BC362" s="1" t="s">
        <v>5446</v>
      </c>
      <c r="BD362" s="1">
        <v>0</v>
      </c>
      <c r="BE362" s="1"/>
    </row>
    <row r="363" spans="1:57" x14ac:dyDescent="0.25">
      <c r="A363" s="1">
        <v>1007</v>
      </c>
      <c r="B363" s="1" t="s">
        <v>4193</v>
      </c>
      <c r="C363" s="9" t="s">
        <v>826</v>
      </c>
      <c r="D363" s="1" t="s">
        <v>826</v>
      </c>
      <c r="E363" s="1"/>
      <c r="F363" s="1"/>
      <c r="G363" s="1" t="s">
        <v>4194</v>
      </c>
      <c r="H363" s="1" t="s">
        <v>4195</v>
      </c>
      <c r="I363" s="1" t="s">
        <v>4196</v>
      </c>
      <c r="J363" s="1">
        <v>4</v>
      </c>
      <c r="K363" s="1">
        <v>5</v>
      </c>
      <c r="L363" s="1">
        <v>14100</v>
      </c>
      <c r="M363" s="1">
        <v>20</v>
      </c>
      <c r="N363" s="1">
        <v>20</v>
      </c>
      <c r="O363" s="1">
        <v>10</v>
      </c>
      <c r="P363" s="1">
        <v>10</v>
      </c>
      <c r="Q363" s="1">
        <v>2</v>
      </c>
      <c r="R363" s="1">
        <v>5</v>
      </c>
      <c r="S363" s="1">
        <v>5</v>
      </c>
      <c r="T363" s="1">
        <v>0</v>
      </c>
      <c r="U363" s="1">
        <v>110</v>
      </c>
      <c r="V363" s="1">
        <v>126</v>
      </c>
      <c r="W363" s="1">
        <v>95</v>
      </c>
      <c r="X363" s="1">
        <v>100</v>
      </c>
      <c r="Y363" s="1">
        <v>105</v>
      </c>
      <c r="Z363" s="1">
        <v>100</v>
      </c>
      <c r="AA363" s="1">
        <v>0</v>
      </c>
      <c r="AB363" s="1">
        <v>15</v>
      </c>
      <c r="AC363" s="1">
        <v>20</v>
      </c>
      <c r="AD363" s="1">
        <v>0</v>
      </c>
      <c r="AE363" s="1">
        <v>122</v>
      </c>
      <c r="AF363" s="1">
        <v>100</v>
      </c>
      <c r="AG363" s="1">
        <v>107601</v>
      </c>
      <c r="AH363" s="1">
        <v>0</v>
      </c>
      <c r="AI363" s="1">
        <v>302001</v>
      </c>
      <c r="AJ363" s="1" t="s">
        <v>1389</v>
      </c>
      <c r="AK363" s="1" t="s">
        <v>1391</v>
      </c>
      <c r="AL363" s="1">
        <v>13</v>
      </c>
      <c r="AM363" s="1" t="s">
        <v>4779</v>
      </c>
      <c r="AN363" s="1" t="s">
        <v>476</v>
      </c>
      <c r="AO363" s="1" t="s">
        <v>5452</v>
      </c>
      <c r="AP363" s="1">
        <v>0</v>
      </c>
      <c r="AQ363" s="1" t="s">
        <v>1158</v>
      </c>
      <c r="AR363" s="1" t="s">
        <v>1182</v>
      </c>
      <c r="AS363" s="1" t="s">
        <v>1157</v>
      </c>
      <c r="AT363" s="1" t="s">
        <v>329</v>
      </c>
      <c r="AU363" s="1">
        <v>1007</v>
      </c>
      <c r="AV363" s="1">
        <v>1</v>
      </c>
      <c r="AW363" s="1" t="s">
        <v>5447</v>
      </c>
      <c r="AX363" s="1" t="s">
        <v>5453</v>
      </c>
      <c r="AY363" s="1">
        <v>7</v>
      </c>
      <c r="AZ363" s="1">
        <v>0</v>
      </c>
      <c r="BA363" s="1" t="s">
        <v>329</v>
      </c>
      <c r="BB363" s="1" t="s">
        <v>329</v>
      </c>
      <c r="BC363" s="1" t="s">
        <v>5446</v>
      </c>
      <c r="BD363" s="1">
        <v>0</v>
      </c>
      <c r="BE363" s="1"/>
    </row>
    <row r="364" spans="1:57" x14ac:dyDescent="0.25">
      <c r="A364" s="1">
        <v>1008</v>
      </c>
      <c r="B364" s="1" t="s">
        <v>4197</v>
      </c>
      <c r="C364" s="9" t="s">
        <v>827</v>
      </c>
      <c r="D364" s="1" t="s">
        <v>827</v>
      </c>
      <c r="E364" s="1"/>
      <c r="F364" s="1"/>
      <c r="G364" s="1" t="s">
        <v>4198</v>
      </c>
      <c r="H364" s="1" t="s">
        <v>4199</v>
      </c>
      <c r="I364" s="1" t="s">
        <v>4200</v>
      </c>
      <c r="J364" s="1">
        <v>6</v>
      </c>
      <c r="K364" s="1">
        <v>5</v>
      </c>
      <c r="L364" s="1">
        <v>28800</v>
      </c>
      <c r="M364" s="1">
        <v>30</v>
      </c>
      <c r="N364" s="1">
        <v>40</v>
      </c>
      <c r="O364" s="1">
        <v>15</v>
      </c>
      <c r="P364" s="1">
        <v>25</v>
      </c>
      <c r="Q364" s="1">
        <v>5</v>
      </c>
      <c r="R364" s="1">
        <v>2</v>
      </c>
      <c r="S364" s="1">
        <v>5</v>
      </c>
      <c r="T364" s="1">
        <v>5</v>
      </c>
      <c r="U364" s="1">
        <v>112</v>
      </c>
      <c r="V364" s="1">
        <v>128</v>
      </c>
      <c r="W364" s="1">
        <v>108</v>
      </c>
      <c r="X364" s="1">
        <v>100</v>
      </c>
      <c r="Y364" s="1">
        <v>110</v>
      </c>
      <c r="Z364" s="1">
        <v>130</v>
      </c>
      <c r="AA364" s="1">
        <v>120</v>
      </c>
      <c r="AB364" s="1">
        <v>15</v>
      </c>
      <c r="AC364" s="1">
        <v>40</v>
      </c>
      <c r="AD364" s="1">
        <v>5</v>
      </c>
      <c r="AE364" s="1">
        <v>90</v>
      </c>
      <c r="AF364" s="1">
        <v>100</v>
      </c>
      <c r="AG364" s="1">
        <v>107001</v>
      </c>
      <c r="AH364" s="1">
        <v>0</v>
      </c>
      <c r="AI364" s="1">
        <v>300110</v>
      </c>
      <c r="AJ364" s="1" t="s">
        <v>1392</v>
      </c>
      <c r="AK364" s="1" t="s">
        <v>329</v>
      </c>
      <c r="AL364" s="1">
        <v>8</v>
      </c>
      <c r="AM364" s="1" t="s">
        <v>4776</v>
      </c>
      <c r="AN364" s="1" t="s">
        <v>399</v>
      </c>
      <c r="AO364" s="1" t="s">
        <v>5454</v>
      </c>
      <c r="AP364" s="1">
        <v>0</v>
      </c>
      <c r="AQ364" s="1" t="s">
        <v>1228</v>
      </c>
      <c r="AR364" s="1" t="s">
        <v>1229</v>
      </c>
      <c r="AS364" s="1" t="s">
        <v>1230</v>
      </c>
      <c r="AT364" s="1" t="s">
        <v>329</v>
      </c>
      <c r="AU364" s="1">
        <v>1008</v>
      </c>
      <c r="AV364" s="1">
        <v>1</v>
      </c>
      <c r="AW364" s="1" t="s">
        <v>5447</v>
      </c>
      <c r="AX364" s="1" t="s">
        <v>5451</v>
      </c>
      <c r="AY364" s="1">
        <v>7</v>
      </c>
      <c r="AZ364" s="1">
        <v>0</v>
      </c>
      <c r="BA364" s="1" t="s">
        <v>329</v>
      </c>
      <c r="BB364" s="1" t="s">
        <v>329</v>
      </c>
      <c r="BC364" s="1" t="s">
        <v>5446</v>
      </c>
      <c r="BD364" s="1">
        <v>0</v>
      </c>
      <c r="BE364" s="1"/>
    </row>
    <row r="365" spans="1:57" x14ac:dyDescent="0.25">
      <c r="A365" s="1">
        <v>1009</v>
      </c>
      <c r="B365" s="1" t="s">
        <v>4201</v>
      </c>
      <c r="C365" s="9" t="s">
        <v>195</v>
      </c>
      <c r="D365" s="1" t="s">
        <v>195</v>
      </c>
      <c r="E365" s="1"/>
      <c r="F365" s="1"/>
      <c r="G365" s="1" t="s">
        <v>4202</v>
      </c>
      <c r="H365" s="1" t="s">
        <v>4203</v>
      </c>
      <c r="I365" s="1" t="s">
        <v>4204</v>
      </c>
      <c r="J365" s="1">
        <v>1</v>
      </c>
      <c r="K365" s="1">
        <v>5</v>
      </c>
      <c r="L365" s="1">
        <v>3600</v>
      </c>
      <c r="M365" s="1">
        <v>10</v>
      </c>
      <c r="N365" s="1">
        <v>10</v>
      </c>
      <c r="O365" s="1">
        <v>5</v>
      </c>
      <c r="P365" s="1">
        <v>5</v>
      </c>
      <c r="Q365" s="1">
        <v>2</v>
      </c>
      <c r="R365" s="1">
        <v>2</v>
      </c>
      <c r="S365" s="1">
        <v>2</v>
      </c>
      <c r="T365" s="1">
        <v>0</v>
      </c>
      <c r="U365" s="1">
        <v>100</v>
      </c>
      <c r="V365" s="1">
        <v>100</v>
      </c>
      <c r="W365" s="1">
        <v>106</v>
      </c>
      <c r="X365" s="1">
        <v>100</v>
      </c>
      <c r="Y365" s="1">
        <v>108</v>
      </c>
      <c r="Z365" s="1">
        <v>103</v>
      </c>
      <c r="AA365" s="1">
        <v>0</v>
      </c>
      <c r="AB365" s="1">
        <v>15</v>
      </c>
      <c r="AC365" s="1">
        <v>20</v>
      </c>
      <c r="AD365" s="1">
        <v>0</v>
      </c>
      <c r="AE365" s="1">
        <v>140</v>
      </c>
      <c r="AF365" s="1">
        <v>100</v>
      </c>
      <c r="AG365" s="1">
        <v>109401</v>
      </c>
      <c r="AH365" s="1">
        <v>0</v>
      </c>
      <c r="AI365" s="1">
        <v>109403</v>
      </c>
      <c r="AJ365" s="1" t="s">
        <v>1393</v>
      </c>
      <c r="AK365" s="1" t="s">
        <v>1394</v>
      </c>
      <c r="AL365" s="1">
        <v>13</v>
      </c>
      <c r="AM365" s="1" t="s">
        <v>1866</v>
      </c>
      <c r="AN365" s="1" t="s">
        <v>5007</v>
      </c>
      <c r="AO365" s="1" t="s">
        <v>4877</v>
      </c>
      <c r="AP365" s="1">
        <v>0</v>
      </c>
      <c r="AQ365" s="1" t="s">
        <v>4802</v>
      </c>
      <c r="AR365" s="1" t="s">
        <v>1147</v>
      </c>
      <c r="AS365" s="1" t="s">
        <v>1148</v>
      </c>
      <c r="AT365" s="1" t="s">
        <v>329</v>
      </c>
      <c r="AU365" s="1">
        <v>1009</v>
      </c>
      <c r="AV365" s="1">
        <v>1</v>
      </c>
      <c r="AW365" s="1" t="s">
        <v>5222</v>
      </c>
      <c r="AX365" s="1" t="s">
        <v>5455</v>
      </c>
      <c r="AY365" s="1">
        <v>7</v>
      </c>
      <c r="AZ365" s="1">
        <v>0</v>
      </c>
      <c r="BA365" s="1" t="s">
        <v>329</v>
      </c>
      <c r="BB365" s="1" t="s">
        <v>329</v>
      </c>
      <c r="BC365" s="1" t="s">
        <v>5446</v>
      </c>
      <c r="BD365" s="1">
        <v>0</v>
      </c>
      <c r="BE365" s="1"/>
    </row>
    <row r="366" spans="1:57" x14ac:dyDescent="0.25">
      <c r="A366" s="1">
        <v>1010</v>
      </c>
      <c r="B366" s="1" t="s">
        <v>4205</v>
      </c>
      <c r="C366" s="9" t="s">
        <v>196</v>
      </c>
      <c r="D366" s="1" t="s">
        <v>196</v>
      </c>
      <c r="E366" s="1"/>
      <c r="F366" s="1"/>
      <c r="G366" s="1" t="s">
        <v>4206</v>
      </c>
      <c r="H366" s="1" t="s">
        <v>4207</v>
      </c>
      <c r="I366" s="1" t="s">
        <v>4208</v>
      </c>
      <c r="J366" s="1">
        <v>1</v>
      </c>
      <c r="K366" s="1">
        <v>5</v>
      </c>
      <c r="L366" s="1">
        <v>3600</v>
      </c>
      <c r="M366" s="1">
        <v>10</v>
      </c>
      <c r="N366" s="1">
        <v>10</v>
      </c>
      <c r="O366" s="1">
        <v>5</v>
      </c>
      <c r="P366" s="1">
        <v>5</v>
      </c>
      <c r="Q366" s="1">
        <v>2</v>
      </c>
      <c r="R366" s="1">
        <v>2</v>
      </c>
      <c r="S366" s="1">
        <v>2</v>
      </c>
      <c r="T366" s="1">
        <v>0</v>
      </c>
      <c r="U366" s="1">
        <v>100</v>
      </c>
      <c r="V366" s="1">
        <v>100</v>
      </c>
      <c r="W366" s="1">
        <v>106</v>
      </c>
      <c r="X366" s="1">
        <v>100</v>
      </c>
      <c r="Y366" s="1">
        <v>108</v>
      </c>
      <c r="Z366" s="1">
        <v>103</v>
      </c>
      <c r="AA366" s="1">
        <v>0</v>
      </c>
      <c r="AB366" s="1">
        <v>15</v>
      </c>
      <c r="AC366" s="1">
        <v>20</v>
      </c>
      <c r="AD366" s="1">
        <v>0</v>
      </c>
      <c r="AE366" s="1">
        <v>140</v>
      </c>
      <c r="AF366" s="1">
        <v>100</v>
      </c>
      <c r="AG366" s="1">
        <v>109501</v>
      </c>
      <c r="AH366" s="1">
        <v>0</v>
      </c>
      <c r="AI366" s="1">
        <v>109503</v>
      </c>
      <c r="AJ366" s="1" t="s">
        <v>329</v>
      </c>
      <c r="AK366" s="1" t="s">
        <v>1395</v>
      </c>
      <c r="AL366" s="1">
        <v>13</v>
      </c>
      <c r="AM366" s="1" t="s">
        <v>1866</v>
      </c>
      <c r="AN366" s="1" t="s">
        <v>4921</v>
      </c>
      <c r="AO366" s="1" t="s">
        <v>4935</v>
      </c>
      <c r="AP366" s="1">
        <v>0</v>
      </c>
      <c r="AQ366" s="1" t="s">
        <v>4802</v>
      </c>
      <c r="AR366" s="1" t="s">
        <v>1147</v>
      </c>
      <c r="AS366" s="1" t="s">
        <v>1148</v>
      </c>
      <c r="AT366" s="1" t="s">
        <v>329</v>
      </c>
      <c r="AU366" s="1">
        <v>1010</v>
      </c>
      <c r="AV366" s="1">
        <v>1</v>
      </c>
      <c r="AW366" s="1" t="s">
        <v>5222</v>
      </c>
      <c r="AX366" s="1" t="s">
        <v>5451</v>
      </c>
      <c r="AY366" s="1">
        <v>7</v>
      </c>
      <c r="AZ366" s="1">
        <v>0</v>
      </c>
      <c r="BA366" s="1" t="s">
        <v>329</v>
      </c>
      <c r="BB366" s="1" t="s">
        <v>329</v>
      </c>
      <c r="BC366" s="1" t="s">
        <v>5446</v>
      </c>
      <c r="BD366" s="1">
        <v>0</v>
      </c>
      <c r="BE366" s="1"/>
    </row>
    <row r="367" spans="1:57" x14ac:dyDescent="0.25">
      <c r="A367" s="1">
        <v>1017</v>
      </c>
      <c r="B367" s="1" t="s">
        <v>4209</v>
      </c>
      <c r="C367" s="9" t="s">
        <v>1721</v>
      </c>
      <c r="D367" s="1" t="s">
        <v>1721</v>
      </c>
      <c r="E367" s="1"/>
      <c r="F367" s="1"/>
      <c r="G367" s="1" t="s">
        <v>4210</v>
      </c>
      <c r="H367" s="1" t="s">
        <v>4211</v>
      </c>
      <c r="I367" s="1" t="s">
        <v>4212</v>
      </c>
      <c r="J367" s="1">
        <v>1</v>
      </c>
      <c r="K367" s="1">
        <v>5</v>
      </c>
      <c r="L367" s="1">
        <v>3600</v>
      </c>
      <c r="M367" s="1">
        <v>10</v>
      </c>
      <c r="N367" s="1">
        <v>10</v>
      </c>
      <c r="O367" s="1">
        <v>5</v>
      </c>
      <c r="P367" s="1">
        <v>5</v>
      </c>
      <c r="Q367" s="1">
        <v>2</v>
      </c>
      <c r="R367" s="1">
        <v>2</v>
      </c>
      <c r="S367" s="1">
        <v>2</v>
      </c>
      <c r="T367" s="1">
        <v>0</v>
      </c>
      <c r="U367" s="1">
        <v>120</v>
      </c>
      <c r="V367" s="1">
        <v>102</v>
      </c>
      <c r="W367" s="1">
        <v>100</v>
      </c>
      <c r="X367" s="1">
        <v>100</v>
      </c>
      <c r="Y367" s="1">
        <v>100</v>
      </c>
      <c r="Z367" s="1">
        <v>120</v>
      </c>
      <c r="AA367" s="1">
        <v>0</v>
      </c>
      <c r="AB367" s="1">
        <v>15</v>
      </c>
      <c r="AC367" s="1">
        <v>20</v>
      </c>
      <c r="AD367" s="1">
        <v>0</v>
      </c>
      <c r="AE367" s="1">
        <v>130</v>
      </c>
      <c r="AF367" s="1">
        <v>100</v>
      </c>
      <c r="AG367" s="1">
        <v>710101</v>
      </c>
      <c r="AH367" s="1">
        <v>0</v>
      </c>
      <c r="AI367" s="1">
        <v>710119</v>
      </c>
      <c r="AJ367" s="1" t="s">
        <v>1396</v>
      </c>
      <c r="AK367" s="1" t="s">
        <v>1397</v>
      </c>
      <c r="AL367" s="1">
        <v>13</v>
      </c>
      <c r="AM367" s="1" t="s">
        <v>1866</v>
      </c>
      <c r="AN367" s="1" t="s">
        <v>4797</v>
      </c>
      <c r="AO367" s="1" t="s">
        <v>5117</v>
      </c>
      <c r="AP367" s="1">
        <v>0</v>
      </c>
      <c r="AQ367" s="1" t="s">
        <v>4802</v>
      </c>
      <c r="AR367" s="1" t="s">
        <v>1772</v>
      </c>
      <c r="AS367" s="1" t="s">
        <v>4821</v>
      </c>
      <c r="AT367" s="1" t="s">
        <v>329</v>
      </c>
      <c r="AU367" s="1">
        <v>1003</v>
      </c>
      <c r="AV367" s="1">
        <v>1</v>
      </c>
      <c r="AW367" s="1" t="s">
        <v>5456</v>
      </c>
      <c r="AX367" s="1" t="s">
        <v>5457</v>
      </c>
      <c r="AY367" s="1">
        <v>7</v>
      </c>
      <c r="AZ367" s="1">
        <v>0</v>
      </c>
      <c r="BA367" s="1" t="s">
        <v>329</v>
      </c>
      <c r="BB367" s="1" t="s">
        <v>329</v>
      </c>
      <c r="BC367" s="1" t="s">
        <v>5446</v>
      </c>
      <c r="BD367" s="1">
        <v>0</v>
      </c>
      <c r="BE367" s="1"/>
    </row>
    <row r="368" spans="1:57" x14ac:dyDescent="0.25">
      <c r="A368" s="1">
        <v>1018</v>
      </c>
      <c r="B368" s="1" t="s">
        <v>4213</v>
      </c>
      <c r="C368" s="9" t="s">
        <v>732</v>
      </c>
      <c r="D368" s="1" t="s">
        <v>4214</v>
      </c>
      <c r="E368" s="1"/>
      <c r="F368" s="1"/>
      <c r="G368" s="1" t="s">
        <v>4215</v>
      </c>
      <c r="H368" s="1" t="s">
        <v>4216</v>
      </c>
      <c r="I368" s="1" t="s">
        <v>4217</v>
      </c>
      <c r="J368" s="1">
        <v>1</v>
      </c>
      <c r="K368" s="1">
        <v>5</v>
      </c>
      <c r="L368" s="1">
        <v>3600</v>
      </c>
      <c r="M368" s="1">
        <v>10</v>
      </c>
      <c r="N368" s="1">
        <v>10</v>
      </c>
      <c r="O368" s="1">
        <v>5</v>
      </c>
      <c r="P368" s="1">
        <v>5</v>
      </c>
      <c r="Q368" s="1">
        <v>2</v>
      </c>
      <c r="R368" s="1">
        <v>2</v>
      </c>
      <c r="S368" s="1">
        <v>2</v>
      </c>
      <c r="T368" s="1">
        <v>0</v>
      </c>
      <c r="U368" s="1">
        <v>128</v>
      </c>
      <c r="V368" s="1">
        <v>108</v>
      </c>
      <c r="W368" s="1">
        <v>100</v>
      </c>
      <c r="X368" s="1">
        <v>100</v>
      </c>
      <c r="Y368" s="1">
        <v>120</v>
      </c>
      <c r="Z368" s="1">
        <v>105</v>
      </c>
      <c r="AA368" s="1">
        <v>0</v>
      </c>
      <c r="AB368" s="1">
        <v>15</v>
      </c>
      <c r="AC368" s="1">
        <v>20</v>
      </c>
      <c r="AD368" s="1">
        <v>0</v>
      </c>
      <c r="AE368" s="1">
        <v>118</v>
      </c>
      <c r="AF368" s="1">
        <v>100</v>
      </c>
      <c r="AG368" s="1">
        <v>710401</v>
      </c>
      <c r="AH368" s="1">
        <v>0</v>
      </c>
      <c r="AI368" s="1">
        <v>710402</v>
      </c>
      <c r="AJ368" s="1" t="s">
        <v>1398</v>
      </c>
      <c r="AK368" s="1" t="s">
        <v>1399</v>
      </c>
      <c r="AL368" s="1">
        <v>13</v>
      </c>
      <c r="AM368" s="1" t="s">
        <v>1866</v>
      </c>
      <c r="AN368" s="1" t="s">
        <v>5458</v>
      </c>
      <c r="AO368" s="1" t="s">
        <v>5014</v>
      </c>
      <c r="AP368" s="1">
        <v>0</v>
      </c>
      <c r="AQ368" s="1" t="s">
        <v>1146</v>
      </c>
      <c r="AR368" s="1" t="s">
        <v>1147</v>
      </c>
      <c r="AS368" s="1" t="s">
        <v>4821</v>
      </c>
      <c r="AT368" s="1" t="s">
        <v>329</v>
      </c>
      <c r="AU368" s="1">
        <v>1006</v>
      </c>
      <c r="AV368" s="1">
        <v>1</v>
      </c>
      <c r="AW368" s="1" t="s">
        <v>5456</v>
      </c>
      <c r="AX368" s="1" t="s">
        <v>1400</v>
      </c>
      <c r="AY368" s="1">
        <v>7</v>
      </c>
      <c r="AZ368" s="1">
        <v>0</v>
      </c>
      <c r="BA368" s="1" t="s">
        <v>329</v>
      </c>
      <c r="BB368" s="1" t="s">
        <v>329</v>
      </c>
      <c r="BC368" s="1" t="s">
        <v>5446</v>
      </c>
      <c r="BD368" s="1">
        <v>0</v>
      </c>
      <c r="BE368" s="1"/>
    </row>
    <row r="369" spans="1:57" x14ac:dyDescent="0.25">
      <c r="A369" s="1">
        <v>1019</v>
      </c>
      <c r="B369" s="1" t="s">
        <v>4218</v>
      </c>
      <c r="C369" s="9" t="s">
        <v>722</v>
      </c>
      <c r="D369" s="1" t="s">
        <v>722</v>
      </c>
      <c r="E369" s="1"/>
      <c r="F369" s="1"/>
      <c r="G369" s="1" t="s">
        <v>4219</v>
      </c>
      <c r="H369" s="1" t="s">
        <v>4220</v>
      </c>
      <c r="I369" s="1" t="s">
        <v>4221</v>
      </c>
      <c r="J369" s="1">
        <v>2</v>
      </c>
      <c r="K369" s="1">
        <v>5</v>
      </c>
      <c r="L369" s="1">
        <v>8880</v>
      </c>
      <c r="M369" s="1">
        <v>25</v>
      </c>
      <c r="N369" s="1">
        <v>20</v>
      </c>
      <c r="O369" s="1">
        <v>15</v>
      </c>
      <c r="P369" s="1">
        <v>10</v>
      </c>
      <c r="Q369" s="1">
        <v>5</v>
      </c>
      <c r="R369" s="1">
        <v>5</v>
      </c>
      <c r="S369" s="1">
        <v>2</v>
      </c>
      <c r="T369" s="1">
        <v>0</v>
      </c>
      <c r="U369" s="1">
        <v>100</v>
      </c>
      <c r="V369" s="1">
        <v>95</v>
      </c>
      <c r="W369" s="1">
        <v>96</v>
      </c>
      <c r="X369" s="1">
        <v>100</v>
      </c>
      <c r="Y369" s="1">
        <v>105</v>
      </c>
      <c r="Z369" s="1">
        <v>122</v>
      </c>
      <c r="AA369" s="1">
        <v>0</v>
      </c>
      <c r="AB369" s="1">
        <v>15</v>
      </c>
      <c r="AC369" s="1">
        <v>5</v>
      </c>
      <c r="AD369" s="1">
        <v>0</v>
      </c>
      <c r="AE369" s="1">
        <v>130</v>
      </c>
      <c r="AF369" s="1">
        <v>100</v>
      </c>
      <c r="AG369" s="1">
        <v>710301</v>
      </c>
      <c r="AH369" s="1">
        <v>0</v>
      </c>
      <c r="AI369" s="1">
        <v>710307</v>
      </c>
      <c r="AJ369" s="1" t="s">
        <v>1401</v>
      </c>
      <c r="AK369" s="1" t="s">
        <v>1402</v>
      </c>
      <c r="AL369" s="1">
        <v>13</v>
      </c>
      <c r="AM369" s="1" t="s">
        <v>355</v>
      </c>
      <c r="AN369" s="1" t="s">
        <v>389</v>
      </c>
      <c r="AO369" s="1" t="s">
        <v>4935</v>
      </c>
      <c r="AP369" s="1">
        <v>0</v>
      </c>
      <c r="AQ369" s="1" t="s">
        <v>1157</v>
      </c>
      <c r="AR369" s="1" t="s">
        <v>1772</v>
      </c>
      <c r="AS369" s="1" t="s">
        <v>1158</v>
      </c>
      <c r="AT369" s="1" t="s">
        <v>329</v>
      </c>
      <c r="AU369" s="1">
        <v>224</v>
      </c>
      <c r="AV369" s="1">
        <v>1</v>
      </c>
      <c r="AW369" s="1" t="s">
        <v>5456</v>
      </c>
      <c r="AX369" s="1" t="s">
        <v>5459</v>
      </c>
      <c r="AY369" s="1">
        <v>7</v>
      </c>
      <c r="AZ369" s="1">
        <v>0</v>
      </c>
      <c r="BA369" s="1" t="s">
        <v>329</v>
      </c>
      <c r="BB369" s="1" t="s">
        <v>329</v>
      </c>
      <c r="BC369" s="1" t="s">
        <v>5446</v>
      </c>
      <c r="BD369" s="1">
        <v>0</v>
      </c>
      <c r="BE369" s="1"/>
    </row>
    <row r="370" spans="1:57" x14ac:dyDescent="0.25">
      <c r="A370" s="1">
        <v>1020</v>
      </c>
      <c r="B370" s="1" t="s">
        <v>4222</v>
      </c>
      <c r="C370" s="9" t="s">
        <v>737</v>
      </c>
      <c r="D370" s="1" t="s">
        <v>737</v>
      </c>
      <c r="E370" s="1"/>
      <c r="F370" s="1"/>
      <c r="G370" s="1" t="s">
        <v>4223</v>
      </c>
      <c r="H370" s="1" t="s">
        <v>4224</v>
      </c>
      <c r="I370" s="1" t="s">
        <v>4225</v>
      </c>
      <c r="J370" s="1">
        <v>3</v>
      </c>
      <c r="K370" s="1">
        <v>5</v>
      </c>
      <c r="L370" s="1">
        <v>17400</v>
      </c>
      <c r="M370" s="1">
        <v>15</v>
      </c>
      <c r="N370" s="1">
        <v>30</v>
      </c>
      <c r="O370" s="1">
        <v>10</v>
      </c>
      <c r="P370" s="1">
        <v>15</v>
      </c>
      <c r="Q370" s="1">
        <v>5</v>
      </c>
      <c r="R370" s="1">
        <v>2</v>
      </c>
      <c r="S370" s="1">
        <v>5</v>
      </c>
      <c r="T370" s="1">
        <v>0</v>
      </c>
      <c r="U370" s="1">
        <v>102</v>
      </c>
      <c r="V370" s="1">
        <v>102</v>
      </c>
      <c r="W370" s="1">
        <v>102</v>
      </c>
      <c r="X370" s="1">
        <v>100</v>
      </c>
      <c r="Y370" s="1">
        <v>118</v>
      </c>
      <c r="Z370" s="1">
        <v>100</v>
      </c>
      <c r="AA370" s="1">
        <v>0</v>
      </c>
      <c r="AB370" s="1">
        <v>15</v>
      </c>
      <c r="AC370" s="1">
        <v>40</v>
      </c>
      <c r="AD370" s="1">
        <v>0</v>
      </c>
      <c r="AE370" s="1">
        <v>130</v>
      </c>
      <c r="AF370" s="1">
        <v>100</v>
      </c>
      <c r="AG370" s="1">
        <v>710501</v>
      </c>
      <c r="AH370" s="1">
        <v>0</v>
      </c>
      <c r="AI370" s="1">
        <v>710502</v>
      </c>
      <c r="AJ370" s="1" t="s">
        <v>1403</v>
      </c>
      <c r="AK370" s="1" t="s">
        <v>1404</v>
      </c>
      <c r="AL370" s="1">
        <v>13</v>
      </c>
      <c r="AM370" s="1" t="s">
        <v>4822</v>
      </c>
      <c r="AN370" s="1" t="s">
        <v>4894</v>
      </c>
      <c r="AO370" s="1" t="s">
        <v>4905</v>
      </c>
      <c r="AP370" s="1">
        <v>0</v>
      </c>
      <c r="AQ370" s="1" t="s">
        <v>1168</v>
      </c>
      <c r="AR370" s="1" t="s">
        <v>1169</v>
      </c>
      <c r="AS370" s="1" t="s">
        <v>4899</v>
      </c>
      <c r="AT370" s="1" t="s">
        <v>329</v>
      </c>
      <c r="AU370" s="1">
        <v>1005</v>
      </c>
      <c r="AV370" s="1">
        <v>1</v>
      </c>
      <c r="AW370" s="1" t="s">
        <v>5456</v>
      </c>
      <c r="AX370" s="1" t="s">
        <v>1400</v>
      </c>
      <c r="AY370" s="1">
        <v>7</v>
      </c>
      <c r="AZ370" s="1">
        <v>0</v>
      </c>
      <c r="BA370" s="1" t="s">
        <v>329</v>
      </c>
      <c r="BB370" s="1" t="s">
        <v>329</v>
      </c>
      <c r="BC370" s="1" t="s">
        <v>5446</v>
      </c>
      <c r="BD370" s="1">
        <v>0</v>
      </c>
      <c r="BE370" s="1"/>
    </row>
    <row r="371" spans="1:57" x14ac:dyDescent="0.25">
      <c r="A371" s="1">
        <v>1021</v>
      </c>
      <c r="B371" s="1" t="s">
        <v>4226</v>
      </c>
      <c r="C371" s="9" t="s">
        <v>738</v>
      </c>
      <c r="D371" s="1" t="s">
        <v>738</v>
      </c>
      <c r="E371" s="1"/>
      <c r="F371" s="1"/>
      <c r="G371" s="1" t="s">
        <v>4227</v>
      </c>
      <c r="H371" s="1" t="s">
        <v>4228</v>
      </c>
      <c r="I371" s="1" t="s">
        <v>4229</v>
      </c>
      <c r="J371" s="1">
        <v>5</v>
      </c>
      <c r="K371" s="1">
        <v>5</v>
      </c>
      <c r="L371" s="1">
        <v>23760</v>
      </c>
      <c r="M371" s="1">
        <v>40</v>
      </c>
      <c r="N371" s="1">
        <v>30</v>
      </c>
      <c r="O371" s="1">
        <v>25</v>
      </c>
      <c r="P371" s="1">
        <v>15</v>
      </c>
      <c r="Q371" s="1">
        <v>5</v>
      </c>
      <c r="R371" s="1">
        <v>5</v>
      </c>
      <c r="S371" s="1">
        <v>2</v>
      </c>
      <c r="T371" s="1">
        <v>5</v>
      </c>
      <c r="U371" s="1">
        <v>118</v>
      </c>
      <c r="V371" s="1">
        <v>108</v>
      </c>
      <c r="W371" s="1">
        <v>120</v>
      </c>
      <c r="X371" s="1">
        <v>100</v>
      </c>
      <c r="Y371" s="1">
        <v>120</v>
      </c>
      <c r="Z371" s="1">
        <v>90</v>
      </c>
      <c r="AA371" s="1">
        <v>0</v>
      </c>
      <c r="AB371" s="1">
        <v>15</v>
      </c>
      <c r="AC371" s="1">
        <v>5</v>
      </c>
      <c r="AD371" s="1">
        <v>9</v>
      </c>
      <c r="AE371" s="1">
        <v>122</v>
      </c>
      <c r="AF371" s="1">
        <v>100</v>
      </c>
      <c r="AG371" s="1">
        <v>710601</v>
      </c>
      <c r="AH371" s="1">
        <v>0</v>
      </c>
      <c r="AI371" s="1">
        <v>710608</v>
      </c>
      <c r="AJ371" s="1" t="s">
        <v>1405</v>
      </c>
      <c r="AK371" s="1" t="s">
        <v>1406</v>
      </c>
      <c r="AL371" s="1">
        <v>18</v>
      </c>
      <c r="AM371" s="1" t="s">
        <v>4918</v>
      </c>
      <c r="AN371" s="1" t="s">
        <v>4997</v>
      </c>
      <c r="AO371" s="1" t="s">
        <v>5215</v>
      </c>
      <c r="AP371" s="1">
        <v>0</v>
      </c>
      <c r="AQ371" s="1" t="s">
        <v>1195</v>
      </c>
      <c r="AR371" s="1" t="s">
        <v>1196</v>
      </c>
      <c r="AS371" s="1" t="s">
        <v>4972</v>
      </c>
      <c r="AT371" s="1" t="s">
        <v>329</v>
      </c>
      <c r="AU371" s="1">
        <v>238</v>
      </c>
      <c r="AV371" s="1">
        <v>1</v>
      </c>
      <c r="AW371" s="1" t="s">
        <v>5456</v>
      </c>
      <c r="AX371" s="1" t="s">
        <v>5459</v>
      </c>
      <c r="AY371" s="1">
        <v>7</v>
      </c>
      <c r="AZ371" s="1">
        <v>0</v>
      </c>
      <c r="BA371" s="1" t="s">
        <v>329</v>
      </c>
      <c r="BB371" s="1" t="s">
        <v>329</v>
      </c>
      <c r="BC371" s="1" t="s">
        <v>5446</v>
      </c>
      <c r="BD371" s="1">
        <v>0</v>
      </c>
      <c r="BE371" s="1"/>
    </row>
    <row r="372" spans="1:57" x14ac:dyDescent="0.25">
      <c r="A372" s="1">
        <v>1022</v>
      </c>
      <c r="B372" s="1" t="s">
        <v>4230</v>
      </c>
      <c r="C372" s="9" t="s">
        <v>736</v>
      </c>
      <c r="D372" s="1" t="s">
        <v>736</v>
      </c>
      <c r="E372" s="1"/>
      <c r="F372" s="1"/>
      <c r="G372" s="1" t="s">
        <v>4231</v>
      </c>
      <c r="H372" s="1" t="s">
        <v>4232</v>
      </c>
      <c r="I372" s="1" t="s">
        <v>4233</v>
      </c>
      <c r="J372" s="1">
        <v>6</v>
      </c>
      <c r="K372" s="1">
        <v>5</v>
      </c>
      <c r="L372" s="1">
        <v>28800</v>
      </c>
      <c r="M372" s="1">
        <v>30</v>
      </c>
      <c r="N372" s="1">
        <v>40</v>
      </c>
      <c r="O372" s="1">
        <v>15</v>
      </c>
      <c r="P372" s="1">
        <v>25</v>
      </c>
      <c r="Q372" s="1">
        <v>5</v>
      </c>
      <c r="R372" s="1">
        <v>2</v>
      </c>
      <c r="S372" s="1">
        <v>5</v>
      </c>
      <c r="T372" s="1">
        <v>5</v>
      </c>
      <c r="U372" s="1">
        <v>122</v>
      </c>
      <c r="V372" s="1">
        <v>128</v>
      </c>
      <c r="W372" s="1">
        <v>95</v>
      </c>
      <c r="X372" s="1">
        <v>100</v>
      </c>
      <c r="Y372" s="1">
        <v>132</v>
      </c>
      <c r="Z372" s="1">
        <v>110</v>
      </c>
      <c r="AA372" s="1">
        <v>122</v>
      </c>
      <c r="AB372" s="1">
        <v>15</v>
      </c>
      <c r="AC372" s="1">
        <v>40</v>
      </c>
      <c r="AD372" s="1">
        <v>1</v>
      </c>
      <c r="AE372" s="1">
        <v>105</v>
      </c>
      <c r="AF372" s="1">
        <v>100</v>
      </c>
      <c r="AG372" s="1">
        <v>710201</v>
      </c>
      <c r="AH372" s="1">
        <v>0</v>
      </c>
      <c r="AI372" s="1">
        <v>710204</v>
      </c>
      <c r="AJ372" s="1" t="s">
        <v>1407</v>
      </c>
      <c r="AK372" s="1" t="s">
        <v>1408</v>
      </c>
      <c r="AL372" s="1">
        <v>8</v>
      </c>
      <c r="AM372" s="1" t="s">
        <v>4776</v>
      </c>
      <c r="AN372" s="1" t="s">
        <v>4788</v>
      </c>
      <c r="AO372" s="1" t="s">
        <v>5327</v>
      </c>
      <c r="AP372" s="1">
        <v>0</v>
      </c>
      <c r="AQ372" s="1" t="s">
        <v>5127</v>
      </c>
      <c r="AR372" s="1" t="s">
        <v>1229</v>
      </c>
      <c r="AS372" s="1" t="s">
        <v>1230</v>
      </c>
      <c r="AT372" s="1" t="s">
        <v>329</v>
      </c>
      <c r="AU372" s="1">
        <v>1008</v>
      </c>
      <c r="AV372" s="1">
        <v>1</v>
      </c>
      <c r="AW372" s="1" t="s">
        <v>5456</v>
      </c>
      <c r="AX372" s="1" t="s">
        <v>5460</v>
      </c>
      <c r="AY372" s="1">
        <v>7</v>
      </c>
      <c r="AZ372" s="1">
        <v>0</v>
      </c>
      <c r="BA372" s="1" t="s">
        <v>329</v>
      </c>
      <c r="BB372" s="1" t="s">
        <v>329</v>
      </c>
      <c r="BC372" s="1" t="s">
        <v>5446</v>
      </c>
      <c r="BD372" s="1">
        <v>0</v>
      </c>
      <c r="BE372" s="1"/>
    </row>
    <row r="373" spans="1:57" x14ac:dyDescent="0.25">
      <c r="A373" s="1">
        <v>1023</v>
      </c>
      <c r="B373" s="1" t="s">
        <v>4234</v>
      </c>
      <c r="C373" s="9" t="s">
        <v>248</v>
      </c>
      <c r="D373" s="1" t="s">
        <v>248</v>
      </c>
      <c r="E373" s="1"/>
      <c r="F373" s="1"/>
      <c r="G373" s="1" t="s">
        <v>4235</v>
      </c>
      <c r="H373" s="1" t="s">
        <v>4236</v>
      </c>
      <c r="I373" s="1" t="s">
        <v>4237</v>
      </c>
      <c r="J373" s="1">
        <v>2</v>
      </c>
      <c r="K373" s="1">
        <v>5</v>
      </c>
      <c r="L373" s="1">
        <v>8880</v>
      </c>
      <c r="M373" s="1">
        <v>25</v>
      </c>
      <c r="N373" s="1">
        <v>20</v>
      </c>
      <c r="O373" s="1">
        <v>15</v>
      </c>
      <c r="P373" s="1">
        <v>10</v>
      </c>
      <c r="Q373" s="1">
        <v>5</v>
      </c>
      <c r="R373" s="1">
        <v>5</v>
      </c>
      <c r="S373" s="1">
        <v>2</v>
      </c>
      <c r="T373" s="1">
        <v>0</v>
      </c>
      <c r="U373" s="1">
        <v>108</v>
      </c>
      <c r="V373" s="1">
        <v>112</v>
      </c>
      <c r="W373" s="1">
        <v>115</v>
      </c>
      <c r="X373" s="1">
        <v>100</v>
      </c>
      <c r="Y373" s="1">
        <v>120</v>
      </c>
      <c r="Z373" s="1">
        <v>126</v>
      </c>
      <c r="AA373" s="1">
        <v>0</v>
      </c>
      <c r="AB373" s="1">
        <v>15</v>
      </c>
      <c r="AC373" s="1">
        <v>5</v>
      </c>
      <c r="AD373" s="1">
        <v>0</v>
      </c>
      <c r="AE373" s="1">
        <v>118</v>
      </c>
      <c r="AF373" s="1">
        <v>100</v>
      </c>
      <c r="AG373" s="1">
        <v>900680</v>
      </c>
      <c r="AH373" s="1">
        <v>0</v>
      </c>
      <c r="AI373" s="1">
        <v>300102</v>
      </c>
      <c r="AJ373" s="1" t="s">
        <v>1409</v>
      </c>
      <c r="AK373" s="1" t="s">
        <v>1410</v>
      </c>
      <c r="AL373" s="1">
        <v>14</v>
      </c>
      <c r="AM373" s="1" t="s">
        <v>399</v>
      </c>
      <c r="AN373" s="1" t="s">
        <v>5461</v>
      </c>
      <c r="AO373" s="1" t="s">
        <v>4963</v>
      </c>
      <c r="AP373" s="1">
        <v>0</v>
      </c>
      <c r="AQ373" s="1" t="s">
        <v>1157</v>
      </c>
      <c r="AR373" s="1" t="s">
        <v>1147</v>
      </c>
      <c r="AS373" s="1" t="s">
        <v>1774</v>
      </c>
      <c r="AT373" s="1" t="s">
        <v>329</v>
      </c>
      <c r="AU373" s="1">
        <v>1027</v>
      </c>
      <c r="AV373" s="1">
        <v>1</v>
      </c>
      <c r="AW373" s="1" t="s">
        <v>5462</v>
      </c>
      <c r="AX373" s="1" t="s">
        <v>5463</v>
      </c>
      <c r="AY373" s="1">
        <v>7</v>
      </c>
      <c r="AZ373" s="1">
        <v>0</v>
      </c>
      <c r="BA373" s="1" t="s">
        <v>329</v>
      </c>
      <c r="BB373" s="1" t="s">
        <v>329</v>
      </c>
      <c r="BC373" s="1" t="s">
        <v>5446</v>
      </c>
      <c r="BD373" s="1">
        <v>0</v>
      </c>
      <c r="BE373" s="1"/>
    </row>
    <row r="374" spans="1:57" x14ac:dyDescent="0.25">
      <c r="A374" s="1">
        <v>1024</v>
      </c>
      <c r="B374" s="1" t="s">
        <v>4238</v>
      </c>
      <c r="C374" s="9" t="s">
        <v>249</v>
      </c>
      <c r="D374" s="1" t="s">
        <v>249</v>
      </c>
      <c r="E374" s="1"/>
      <c r="F374" s="1"/>
      <c r="G374" s="1" t="s">
        <v>4239</v>
      </c>
      <c r="H374" s="1" t="s">
        <v>4240</v>
      </c>
      <c r="I374" s="1" t="s">
        <v>4241</v>
      </c>
      <c r="J374" s="1">
        <v>3</v>
      </c>
      <c r="K374" s="1">
        <v>5</v>
      </c>
      <c r="L374" s="1">
        <v>17400</v>
      </c>
      <c r="M374" s="1">
        <v>15</v>
      </c>
      <c r="N374" s="1">
        <v>30</v>
      </c>
      <c r="O374" s="1">
        <v>10</v>
      </c>
      <c r="P374" s="1">
        <v>15</v>
      </c>
      <c r="Q374" s="1">
        <v>5</v>
      </c>
      <c r="R374" s="1">
        <v>2</v>
      </c>
      <c r="S374" s="1">
        <v>5</v>
      </c>
      <c r="T374" s="1">
        <v>0</v>
      </c>
      <c r="U374" s="1">
        <v>90</v>
      </c>
      <c r="V374" s="1">
        <v>120</v>
      </c>
      <c r="W374" s="1">
        <v>110</v>
      </c>
      <c r="X374" s="1">
        <v>100</v>
      </c>
      <c r="Y374" s="1">
        <v>120</v>
      </c>
      <c r="Z374" s="1">
        <v>100</v>
      </c>
      <c r="AA374" s="1">
        <v>0</v>
      </c>
      <c r="AB374" s="1">
        <v>15</v>
      </c>
      <c r="AC374" s="1">
        <v>40</v>
      </c>
      <c r="AD374" s="1">
        <v>0</v>
      </c>
      <c r="AE374" s="1">
        <v>120</v>
      </c>
      <c r="AF374" s="1">
        <v>100</v>
      </c>
      <c r="AG374" s="1">
        <v>900692</v>
      </c>
      <c r="AH374" s="1">
        <v>0</v>
      </c>
      <c r="AI374" s="1">
        <v>900690</v>
      </c>
      <c r="AJ374" s="1" t="s">
        <v>329</v>
      </c>
      <c r="AK374" s="1" t="s">
        <v>1411</v>
      </c>
      <c r="AL374" s="1">
        <v>17</v>
      </c>
      <c r="AM374" s="1" t="s">
        <v>4822</v>
      </c>
      <c r="AN374" s="1" t="s">
        <v>5464</v>
      </c>
      <c r="AO374" s="1" t="s">
        <v>4905</v>
      </c>
      <c r="AP374" s="1">
        <v>0</v>
      </c>
      <c r="AQ374" s="1" t="s">
        <v>1168</v>
      </c>
      <c r="AR374" s="1" t="s">
        <v>1169</v>
      </c>
      <c r="AS374" s="1" t="s">
        <v>4899</v>
      </c>
      <c r="AT374" s="1" t="s">
        <v>329</v>
      </c>
      <c r="AU374" s="1">
        <v>1005</v>
      </c>
      <c r="AV374" s="1">
        <v>1</v>
      </c>
      <c r="AW374" s="1" t="s">
        <v>5462</v>
      </c>
      <c r="AX374" s="1" t="s">
        <v>5465</v>
      </c>
      <c r="AY374" s="1">
        <v>7</v>
      </c>
      <c r="AZ374" s="1">
        <v>0</v>
      </c>
      <c r="BA374" s="1" t="s">
        <v>329</v>
      </c>
      <c r="BB374" s="1" t="s">
        <v>329</v>
      </c>
      <c r="BC374" s="1" t="s">
        <v>5446</v>
      </c>
      <c r="BD374" s="1">
        <v>0</v>
      </c>
      <c r="BE374" s="1"/>
    </row>
    <row r="375" spans="1:57" x14ac:dyDescent="0.25">
      <c r="A375" s="1">
        <v>1025</v>
      </c>
      <c r="B375" s="1" t="s">
        <v>4242</v>
      </c>
      <c r="C375" s="9" t="s">
        <v>250</v>
      </c>
      <c r="D375" s="1" t="s">
        <v>250</v>
      </c>
      <c r="E375" s="1"/>
      <c r="F375" s="1"/>
      <c r="G375" s="1" t="s">
        <v>4243</v>
      </c>
      <c r="H375" s="1" t="s">
        <v>4244</v>
      </c>
      <c r="I375" s="1" t="s">
        <v>4245</v>
      </c>
      <c r="J375" s="1">
        <v>6</v>
      </c>
      <c r="K375" s="1">
        <v>5</v>
      </c>
      <c r="L375" s="1">
        <v>28800</v>
      </c>
      <c r="M375" s="1">
        <v>30</v>
      </c>
      <c r="N375" s="1">
        <v>40</v>
      </c>
      <c r="O375" s="1">
        <v>15</v>
      </c>
      <c r="P375" s="1">
        <v>25</v>
      </c>
      <c r="Q375" s="1">
        <v>5</v>
      </c>
      <c r="R375" s="1">
        <v>2</v>
      </c>
      <c r="S375" s="1">
        <v>5</v>
      </c>
      <c r="T375" s="1">
        <v>5</v>
      </c>
      <c r="U375" s="1">
        <v>115</v>
      </c>
      <c r="V375" s="1">
        <v>120</v>
      </c>
      <c r="W375" s="1">
        <v>100</v>
      </c>
      <c r="X375" s="1">
        <v>100</v>
      </c>
      <c r="Y375" s="1">
        <v>100</v>
      </c>
      <c r="Z375" s="1">
        <v>95</v>
      </c>
      <c r="AA375" s="1">
        <v>115</v>
      </c>
      <c r="AB375" s="1">
        <v>15</v>
      </c>
      <c r="AC375" s="1">
        <v>40</v>
      </c>
      <c r="AD375" s="1">
        <v>4</v>
      </c>
      <c r="AE375" s="1">
        <v>110</v>
      </c>
      <c r="AF375" s="1">
        <v>100</v>
      </c>
      <c r="AG375" s="1">
        <v>900704</v>
      </c>
      <c r="AH375" s="1">
        <v>0</v>
      </c>
      <c r="AI375" s="1">
        <v>900700</v>
      </c>
      <c r="AJ375" s="1" t="s">
        <v>1412</v>
      </c>
      <c r="AK375" s="1" t="s">
        <v>1413</v>
      </c>
      <c r="AL375" s="1">
        <v>8</v>
      </c>
      <c r="AM375" s="1" t="s">
        <v>4776</v>
      </c>
      <c r="AN375" s="1" t="s">
        <v>5466</v>
      </c>
      <c r="AO375" s="1" t="s">
        <v>5002</v>
      </c>
      <c r="AP375" s="1">
        <v>0</v>
      </c>
      <c r="AQ375" s="1" t="s">
        <v>1228</v>
      </c>
      <c r="AR375" s="1" t="s">
        <v>5120</v>
      </c>
      <c r="AS375" s="1" t="s">
        <v>1230</v>
      </c>
      <c r="AT375" s="1" t="s">
        <v>329</v>
      </c>
      <c r="AU375" s="1">
        <v>1008</v>
      </c>
      <c r="AV375" s="1">
        <v>1</v>
      </c>
      <c r="AW375" s="1" t="s">
        <v>5462</v>
      </c>
      <c r="AX375" s="1" t="s">
        <v>5465</v>
      </c>
      <c r="AY375" s="1">
        <v>7</v>
      </c>
      <c r="AZ375" s="1">
        <v>0</v>
      </c>
      <c r="BA375" s="1" t="s">
        <v>329</v>
      </c>
      <c r="BB375" s="1" t="s">
        <v>329</v>
      </c>
      <c r="BC375" s="1" t="s">
        <v>5446</v>
      </c>
      <c r="BD375" s="1">
        <v>0</v>
      </c>
      <c r="BE375" s="1"/>
    </row>
    <row r="376" spans="1:57" x14ac:dyDescent="0.25">
      <c r="A376" s="1">
        <v>1026</v>
      </c>
      <c r="B376" s="1" t="s">
        <v>4246</v>
      </c>
      <c r="C376" s="9" t="s">
        <v>251</v>
      </c>
      <c r="D376" s="1" t="s">
        <v>251</v>
      </c>
      <c r="E376" s="1"/>
      <c r="F376" s="1"/>
      <c r="G376" s="1" t="s">
        <v>4247</v>
      </c>
      <c r="H376" s="1" t="s">
        <v>4248</v>
      </c>
      <c r="I376" s="1" t="s">
        <v>4249</v>
      </c>
      <c r="J376" s="1">
        <v>5</v>
      </c>
      <c r="K376" s="1">
        <v>5</v>
      </c>
      <c r="L376" s="1">
        <v>23760</v>
      </c>
      <c r="M376" s="1">
        <v>40</v>
      </c>
      <c r="N376" s="1">
        <v>30</v>
      </c>
      <c r="O376" s="1">
        <v>25</v>
      </c>
      <c r="P376" s="1">
        <v>15</v>
      </c>
      <c r="Q376" s="1">
        <v>5</v>
      </c>
      <c r="R376" s="1">
        <v>5</v>
      </c>
      <c r="S376" s="1">
        <v>2</v>
      </c>
      <c r="T376" s="1">
        <v>5</v>
      </c>
      <c r="U376" s="1">
        <v>95</v>
      </c>
      <c r="V376" s="1">
        <v>90</v>
      </c>
      <c r="W376" s="1">
        <v>125</v>
      </c>
      <c r="X376" s="1">
        <v>100</v>
      </c>
      <c r="Y376" s="1">
        <v>125</v>
      </c>
      <c r="Z376" s="1">
        <v>130</v>
      </c>
      <c r="AA376" s="1">
        <v>0</v>
      </c>
      <c r="AB376" s="1">
        <v>15</v>
      </c>
      <c r="AC376" s="1">
        <v>5</v>
      </c>
      <c r="AD376" s="1">
        <v>8</v>
      </c>
      <c r="AE376" s="1">
        <v>135</v>
      </c>
      <c r="AF376" s="1">
        <v>100</v>
      </c>
      <c r="AG376" s="1">
        <v>900713</v>
      </c>
      <c r="AH376" s="1">
        <v>0</v>
      </c>
      <c r="AI376" s="1">
        <v>900710</v>
      </c>
      <c r="AJ376" s="1" t="s">
        <v>1414</v>
      </c>
      <c r="AK376" s="1" t="s">
        <v>1415</v>
      </c>
      <c r="AL376" s="1">
        <v>18</v>
      </c>
      <c r="AM376" s="1" t="s">
        <v>4918</v>
      </c>
      <c r="AN376" s="1" t="s">
        <v>4997</v>
      </c>
      <c r="AO376" s="1" t="s">
        <v>5215</v>
      </c>
      <c r="AP376" s="1">
        <v>0</v>
      </c>
      <c r="AQ376" s="1" t="s">
        <v>1195</v>
      </c>
      <c r="AR376" s="1" t="s">
        <v>4971</v>
      </c>
      <c r="AS376" s="1" t="s">
        <v>1197</v>
      </c>
      <c r="AT376" s="1" t="s">
        <v>329</v>
      </c>
      <c r="AU376" s="1">
        <v>1026</v>
      </c>
      <c r="AV376" s="1">
        <v>1</v>
      </c>
      <c r="AW376" s="1" t="s">
        <v>5462</v>
      </c>
      <c r="AX376" s="1" t="s">
        <v>5467</v>
      </c>
      <c r="AY376" s="1">
        <v>7</v>
      </c>
      <c r="AZ376" s="1">
        <v>0</v>
      </c>
      <c r="BA376" s="1" t="s">
        <v>329</v>
      </c>
      <c r="BB376" s="1" t="s">
        <v>329</v>
      </c>
      <c r="BC376" s="1" t="s">
        <v>5446</v>
      </c>
      <c r="BD376" s="1">
        <v>0</v>
      </c>
      <c r="BE376" s="1"/>
    </row>
    <row r="377" spans="1:57" x14ac:dyDescent="0.25">
      <c r="A377" s="1">
        <v>1027</v>
      </c>
      <c r="B377" s="1" t="s">
        <v>4250</v>
      </c>
      <c r="C377" s="9" t="s">
        <v>252</v>
      </c>
      <c r="D377" s="1" t="s">
        <v>252</v>
      </c>
      <c r="E377" s="1"/>
      <c r="F377" s="1"/>
      <c r="G377" s="1" t="s">
        <v>4251</v>
      </c>
      <c r="H377" s="1" t="s">
        <v>4252</v>
      </c>
      <c r="I377" s="1" t="s">
        <v>4253</v>
      </c>
      <c r="J377" s="1">
        <v>4</v>
      </c>
      <c r="K377" s="1">
        <v>5</v>
      </c>
      <c r="L377" s="1">
        <v>14100</v>
      </c>
      <c r="M377" s="1">
        <v>20</v>
      </c>
      <c r="N377" s="1">
        <v>20</v>
      </c>
      <c r="O377" s="1">
        <v>10</v>
      </c>
      <c r="P377" s="1">
        <v>10</v>
      </c>
      <c r="Q377" s="1">
        <v>2</v>
      </c>
      <c r="R377" s="1">
        <v>5</v>
      </c>
      <c r="S377" s="1">
        <v>5</v>
      </c>
      <c r="T377" s="1">
        <v>0</v>
      </c>
      <c r="U377" s="1">
        <v>110</v>
      </c>
      <c r="V377" s="1">
        <v>118</v>
      </c>
      <c r="W377" s="1">
        <v>110</v>
      </c>
      <c r="X377" s="1">
        <v>100</v>
      </c>
      <c r="Y377" s="1">
        <v>132</v>
      </c>
      <c r="Z377" s="1">
        <v>105</v>
      </c>
      <c r="AA377" s="1">
        <v>0</v>
      </c>
      <c r="AB377" s="1">
        <v>15</v>
      </c>
      <c r="AC377" s="1">
        <v>30</v>
      </c>
      <c r="AD377" s="1">
        <v>0</v>
      </c>
      <c r="AE377" s="1">
        <v>125</v>
      </c>
      <c r="AF377" s="1">
        <v>100</v>
      </c>
      <c r="AG377" s="1">
        <v>900721</v>
      </c>
      <c r="AH377" s="1">
        <v>0</v>
      </c>
      <c r="AI377" s="1">
        <v>900720</v>
      </c>
      <c r="AJ377" s="1" t="s">
        <v>1416</v>
      </c>
      <c r="AK377" s="1" t="s">
        <v>1417</v>
      </c>
      <c r="AL377" s="1">
        <v>13</v>
      </c>
      <c r="AM377" s="1" t="s">
        <v>399</v>
      </c>
      <c r="AN377" s="1" t="s">
        <v>5444</v>
      </c>
      <c r="AO377" s="1" t="s">
        <v>5318</v>
      </c>
      <c r="AP377" s="1">
        <v>0</v>
      </c>
      <c r="AQ377" s="1" t="s">
        <v>1158</v>
      </c>
      <c r="AR377" s="1" t="s">
        <v>1182</v>
      </c>
      <c r="AS377" s="1" t="s">
        <v>1773</v>
      </c>
      <c r="AT377" s="1" t="s">
        <v>329</v>
      </c>
      <c r="AU377" s="1">
        <v>1007</v>
      </c>
      <c r="AV377" s="1">
        <v>1</v>
      </c>
      <c r="AW377" s="1" t="s">
        <v>5462</v>
      </c>
      <c r="AX377" s="1" t="s">
        <v>5467</v>
      </c>
      <c r="AY377" s="1">
        <v>7</v>
      </c>
      <c r="AZ377" s="1">
        <v>0</v>
      </c>
      <c r="BA377" s="1" t="s">
        <v>329</v>
      </c>
      <c r="BB377" s="1" t="s">
        <v>329</v>
      </c>
      <c r="BC377" s="1" t="s">
        <v>5446</v>
      </c>
      <c r="BD377" s="1">
        <v>0</v>
      </c>
      <c r="BE377" s="1"/>
    </row>
    <row r="378" spans="1:57" x14ac:dyDescent="0.25">
      <c r="A378" s="1">
        <v>1028</v>
      </c>
      <c r="B378" s="1" t="s">
        <v>4254</v>
      </c>
      <c r="C378" s="9" t="s">
        <v>1717</v>
      </c>
      <c r="D378" s="1" t="s">
        <v>4255</v>
      </c>
      <c r="E378" s="1"/>
      <c r="F378" s="1"/>
      <c r="G378" s="1" t="s">
        <v>4256</v>
      </c>
      <c r="H378" s="1" t="s">
        <v>4257</v>
      </c>
      <c r="I378" s="1" t="s">
        <v>4258</v>
      </c>
      <c r="J378" s="1">
        <v>2</v>
      </c>
      <c r="K378" s="1">
        <v>5</v>
      </c>
      <c r="L378" s="1">
        <v>9300</v>
      </c>
      <c r="M378" s="1">
        <v>25</v>
      </c>
      <c r="N378" s="1">
        <v>20</v>
      </c>
      <c r="O378" s="1">
        <v>15</v>
      </c>
      <c r="P378" s="1">
        <v>10</v>
      </c>
      <c r="Q378" s="1">
        <v>5</v>
      </c>
      <c r="R378" s="1">
        <v>5</v>
      </c>
      <c r="S378" s="1">
        <v>2</v>
      </c>
      <c r="T378" s="1">
        <v>0</v>
      </c>
      <c r="U378" s="1">
        <v>105</v>
      </c>
      <c r="V378" s="1">
        <v>115</v>
      </c>
      <c r="W378" s="1">
        <v>130</v>
      </c>
      <c r="X378" s="1">
        <v>100</v>
      </c>
      <c r="Y378" s="1">
        <v>90</v>
      </c>
      <c r="Z378" s="1">
        <v>120</v>
      </c>
      <c r="AA378" s="1">
        <v>0</v>
      </c>
      <c r="AB378" s="1">
        <v>15</v>
      </c>
      <c r="AC378" s="1">
        <v>5</v>
      </c>
      <c r="AD378" s="1">
        <v>0</v>
      </c>
      <c r="AE378" s="1">
        <v>105</v>
      </c>
      <c r="AF378" s="1">
        <v>100</v>
      </c>
      <c r="AG378" s="1">
        <v>900991</v>
      </c>
      <c r="AH378" s="1">
        <v>0</v>
      </c>
      <c r="AI378" s="1">
        <v>300102</v>
      </c>
      <c r="AJ378" s="1" t="s">
        <v>329</v>
      </c>
      <c r="AK378" s="1" t="s">
        <v>1418</v>
      </c>
      <c r="AL378" s="1">
        <v>13</v>
      </c>
      <c r="AM378" s="1" t="s">
        <v>4850</v>
      </c>
      <c r="AN378" s="1" t="s">
        <v>5053</v>
      </c>
      <c r="AO378" s="1" t="s">
        <v>5244</v>
      </c>
      <c r="AP378" s="1">
        <v>0</v>
      </c>
      <c r="AQ378" s="1" t="s">
        <v>1773</v>
      </c>
      <c r="AR378" s="1" t="s">
        <v>1772</v>
      </c>
      <c r="AS378" s="1" t="s">
        <v>1774</v>
      </c>
      <c r="AT378" s="1" t="s">
        <v>329</v>
      </c>
      <c r="AU378" s="1">
        <v>1028</v>
      </c>
      <c r="AV378" s="1">
        <v>1</v>
      </c>
      <c r="AW378" s="1" t="s">
        <v>5468</v>
      </c>
      <c r="AX378" s="1" t="s">
        <v>5469</v>
      </c>
      <c r="AY378" s="1">
        <v>7</v>
      </c>
      <c r="AZ378" s="1">
        <v>0</v>
      </c>
      <c r="BA378" s="1" t="s">
        <v>329</v>
      </c>
      <c r="BB378" s="1" t="s">
        <v>329</v>
      </c>
      <c r="BC378" s="1" t="s">
        <v>5446</v>
      </c>
      <c r="BD378" s="1">
        <v>0</v>
      </c>
      <c r="BE378" s="1"/>
    </row>
    <row r="379" spans="1:57" x14ac:dyDescent="0.25">
      <c r="A379" s="1">
        <v>1029</v>
      </c>
      <c r="B379" s="1" t="s">
        <v>4259</v>
      </c>
      <c r="C379" s="9" t="s">
        <v>1718</v>
      </c>
      <c r="D379" s="1" t="s">
        <v>4260</v>
      </c>
      <c r="E379" s="1"/>
      <c r="F379" s="1"/>
      <c r="G379" s="1" t="s">
        <v>4261</v>
      </c>
      <c r="H379" s="1" t="s">
        <v>4262</v>
      </c>
      <c r="I379" s="1" t="s">
        <v>4263</v>
      </c>
      <c r="J379" s="1">
        <v>4</v>
      </c>
      <c r="K379" s="1">
        <v>5</v>
      </c>
      <c r="L379" s="1">
        <v>14100</v>
      </c>
      <c r="M379" s="1">
        <v>20</v>
      </c>
      <c r="N379" s="1">
        <v>20</v>
      </c>
      <c r="O379" s="1">
        <v>10</v>
      </c>
      <c r="P379" s="1">
        <v>10</v>
      </c>
      <c r="Q379" s="1">
        <v>2</v>
      </c>
      <c r="R379" s="1">
        <v>5</v>
      </c>
      <c r="S379" s="1">
        <v>5</v>
      </c>
      <c r="T379" s="1">
        <v>0</v>
      </c>
      <c r="U379" s="1">
        <v>110</v>
      </c>
      <c r="V379" s="1">
        <v>115</v>
      </c>
      <c r="W379" s="1">
        <v>115</v>
      </c>
      <c r="X379" s="1">
        <v>100</v>
      </c>
      <c r="Y379" s="1">
        <v>115</v>
      </c>
      <c r="Z379" s="1">
        <v>110</v>
      </c>
      <c r="AA379" s="1">
        <v>0</v>
      </c>
      <c r="AB379" s="1">
        <v>15</v>
      </c>
      <c r="AC379" s="1">
        <v>20</v>
      </c>
      <c r="AD379" s="1">
        <v>0</v>
      </c>
      <c r="AE379" s="1">
        <v>115</v>
      </c>
      <c r="AF379" s="1">
        <v>100</v>
      </c>
      <c r="AG379" s="1">
        <v>901011</v>
      </c>
      <c r="AH379" s="1">
        <v>0</v>
      </c>
      <c r="AI379" s="1">
        <v>300103</v>
      </c>
      <c r="AJ379" s="1" t="s">
        <v>329</v>
      </c>
      <c r="AK379" s="1" t="s">
        <v>1419</v>
      </c>
      <c r="AL379" s="1">
        <v>13</v>
      </c>
      <c r="AM379" s="1" t="s">
        <v>4779</v>
      </c>
      <c r="AN379" s="1" t="s">
        <v>4889</v>
      </c>
      <c r="AO379" s="1" t="s">
        <v>5229</v>
      </c>
      <c r="AP379" s="1">
        <v>0</v>
      </c>
      <c r="AQ379" s="1" t="s">
        <v>1774</v>
      </c>
      <c r="AR379" s="1" t="s">
        <v>4928</v>
      </c>
      <c r="AS379" s="1" t="s">
        <v>1773</v>
      </c>
      <c r="AT379" s="1" t="s">
        <v>329</v>
      </c>
      <c r="AU379" s="1">
        <v>1029</v>
      </c>
      <c r="AV379" s="1">
        <v>1</v>
      </c>
      <c r="AW379" s="1" t="s">
        <v>5468</v>
      </c>
      <c r="AX379" s="1" t="s">
        <v>5470</v>
      </c>
      <c r="AY379" s="1">
        <v>7</v>
      </c>
      <c r="AZ379" s="1">
        <v>0</v>
      </c>
      <c r="BA379" s="1" t="s">
        <v>329</v>
      </c>
      <c r="BB379" s="1" t="s">
        <v>329</v>
      </c>
      <c r="BC379" s="1" t="s">
        <v>5446</v>
      </c>
      <c r="BD379" s="1">
        <v>0</v>
      </c>
      <c r="BE379" s="1"/>
    </row>
    <row r="380" spans="1:57" x14ac:dyDescent="0.25">
      <c r="A380" s="1">
        <v>1030</v>
      </c>
      <c r="B380" s="1" t="s">
        <v>4264</v>
      </c>
      <c r="C380" s="9" t="s">
        <v>1720</v>
      </c>
      <c r="D380" s="1" t="s">
        <v>4265</v>
      </c>
      <c r="E380" s="1"/>
      <c r="F380" s="1"/>
      <c r="G380" s="1" t="s">
        <v>4266</v>
      </c>
      <c r="H380" s="1" t="s">
        <v>4267</v>
      </c>
      <c r="I380" s="1" t="s">
        <v>4268</v>
      </c>
      <c r="J380" s="1">
        <v>2</v>
      </c>
      <c r="K380" s="1">
        <v>5</v>
      </c>
      <c r="L380" s="1">
        <v>8880</v>
      </c>
      <c r="M380" s="1">
        <v>25</v>
      </c>
      <c r="N380" s="1">
        <v>20</v>
      </c>
      <c r="O380" s="1">
        <v>15</v>
      </c>
      <c r="P380" s="1">
        <v>10</v>
      </c>
      <c r="Q380" s="1">
        <v>5</v>
      </c>
      <c r="R380" s="1">
        <v>5</v>
      </c>
      <c r="S380" s="1">
        <v>2</v>
      </c>
      <c r="T380" s="1">
        <v>0</v>
      </c>
      <c r="U380" s="1">
        <v>115</v>
      </c>
      <c r="V380" s="1">
        <v>90</v>
      </c>
      <c r="W380" s="1">
        <v>100</v>
      </c>
      <c r="X380" s="1">
        <v>100</v>
      </c>
      <c r="Y380" s="1">
        <v>95</v>
      </c>
      <c r="Z380" s="1">
        <v>110</v>
      </c>
      <c r="AA380" s="1">
        <v>0</v>
      </c>
      <c r="AB380" s="1">
        <v>15</v>
      </c>
      <c r="AC380" s="1">
        <v>5</v>
      </c>
      <c r="AD380" s="1">
        <v>0</v>
      </c>
      <c r="AE380" s="1">
        <v>125</v>
      </c>
      <c r="AF380" s="1">
        <v>100</v>
      </c>
      <c r="AG380" s="1">
        <v>116401</v>
      </c>
      <c r="AH380" s="1">
        <v>0</v>
      </c>
      <c r="AI380" s="1">
        <v>116402</v>
      </c>
      <c r="AJ380" s="1" t="s">
        <v>1420</v>
      </c>
      <c r="AK380" s="1" t="s">
        <v>329</v>
      </c>
      <c r="AL380" s="1">
        <v>13</v>
      </c>
      <c r="AM380" s="1" t="s">
        <v>399</v>
      </c>
      <c r="AN380" s="1" t="s">
        <v>4855</v>
      </c>
      <c r="AO380" s="1" t="s">
        <v>5471</v>
      </c>
      <c r="AP380" s="1">
        <v>0</v>
      </c>
      <c r="AQ380" s="1" t="s">
        <v>1773</v>
      </c>
      <c r="AR380" s="1" t="s">
        <v>1147</v>
      </c>
      <c r="AS380" s="1" t="s">
        <v>1158</v>
      </c>
      <c r="AT380" s="1" t="s">
        <v>329</v>
      </c>
      <c r="AU380" s="1">
        <v>48</v>
      </c>
      <c r="AV380" s="1">
        <v>1</v>
      </c>
      <c r="AW380" s="1" t="s">
        <v>5472</v>
      </c>
      <c r="AX380" s="1" t="s">
        <v>5473</v>
      </c>
      <c r="AY380" s="1">
        <v>7</v>
      </c>
      <c r="AZ380" s="1">
        <v>0</v>
      </c>
      <c r="BA380" s="1" t="s">
        <v>329</v>
      </c>
      <c r="BB380" s="1" t="s">
        <v>329</v>
      </c>
      <c r="BC380" s="1" t="s">
        <v>5446</v>
      </c>
      <c r="BD380" s="1">
        <v>0</v>
      </c>
      <c r="BE380" s="1"/>
    </row>
    <row r="381" spans="1:57" x14ac:dyDescent="0.25">
      <c r="A381" s="1">
        <v>1031</v>
      </c>
      <c r="B381" s="1" t="s">
        <v>4269</v>
      </c>
      <c r="C381" s="9" t="s">
        <v>1421</v>
      </c>
      <c r="D381" s="1" t="s">
        <v>4270</v>
      </c>
      <c r="E381" s="1"/>
      <c r="F381" s="1"/>
      <c r="G381" s="1" t="s">
        <v>4271</v>
      </c>
      <c r="H381" s="1" t="s">
        <v>4272</v>
      </c>
      <c r="I381" s="1" t="s">
        <v>4273</v>
      </c>
      <c r="J381" s="1">
        <v>3</v>
      </c>
      <c r="K381" s="1">
        <v>5</v>
      </c>
      <c r="L381" s="1">
        <v>17400</v>
      </c>
      <c r="M381" s="1">
        <v>15</v>
      </c>
      <c r="N381" s="1">
        <v>30</v>
      </c>
      <c r="O381" s="1">
        <v>10</v>
      </c>
      <c r="P381" s="1">
        <v>15</v>
      </c>
      <c r="Q381" s="1">
        <v>5</v>
      </c>
      <c r="R381" s="1">
        <v>2</v>
      </c>
      <c r="S381" s="1">
        <v>5</v>
      </c>
      <c r="T381" s="1">
        <v>0</v>
      </c>
      <c r="U381" s="1">
        <v>100</v>
      </c>
      <c r="V381" s="1">
        <v>100</v>
      </c>
      <c r="W381" s="1">
        <v>100</v>
      </c>
      <c r="X381" s="1">
        <v>100</v>
      </c>
      <c r="Y381" s="1">
        <v>100</v>
      </c>
      <c r="Z381" s="1">
        <v>100</v>
      </c>
      <c r="AA381" s="1">
        <v>0</v>
      </c>
      <c r="AB381" s="1">
        <v>15</v>
      </c>
      <c r="AC381" s="1">
        <v>40</v>
      </c>
      <c r="AD381" s="1">
        <v>0</v>
      </c>
      <c r="AE381" s="1">
        <v>150</v>
      </c>
      <c r="AF381" s="1">
        <v>100</v>
      </c>
      <c r="AG381" s="1">
        <v>116701</v>
      </c>
      <c r="AH381" s="1">
        <v>0</v>
      </c>
      <c r="AI381" s="1">
        <v>116705</v>
      </c>
      <c r="AJ381" s="1" t="s">
        <v>1422</v>
      </c>
      <c r="AK381" s="1" t="s">
        <v>1423</v>
      </c>
      <c r="AL381" s="1">
        <v>13</v>
      </c>
      <c r="AM381" s="1" t="s">
        <v>4822</v>
      </c>
      <c r="AN381" s="1" t="s">
        <v>4894</v>
      </c>
      <c r="AO381" s="1" t="s">
        <v>4905</v>
      </c>
      <c r="AP381" s="1">
        <v>0</v>
      </c>
      <c r="AQ381" s="1" t="s">
        <v>1168</v>
      </c>
      <c r="AR381" s="1" t="s">
        <v>1169</v>
      </c>
      <c r="AS381" s="1" t="s">
        <v>4899</v>
      </c>
      <c r="AT381" s="1" t="s">
        <v>329</v>
      </c>
      <c r="AU381" s="1">
        <v>150</v>
      </c>
      <c r="AV381" s="1">
        <v>1</v>
      </c>
      <c r="AW381" s="1" t="s">
        <v>5472</v>
      </c>
      <c r="AX381" s="1" t="s">
        <v>5474</v>
      </c>
      <c r="AY381" s="1">
        <v>7</v>
      </c>
      <c r="AZ381" s="1">
        <v>0</v>
      </c>
      <c r="BA381" s="1" t="s">
        <v>329</v>
      </c>
      <c r="BB381" s="1" t="s">
        <v>329</v>
      </c>
      <c r="BC381" s="1" t="s">
        <v>5446</v>
      </c>
      <c r="BD381" s="1">
        <v>0</v>
      </c>
      <c r="BE381" s="1"/>
    </row>
    <row r="382" spans="1:57" x14ac:dyDescent="0.25">
      <c r="A382" s="1">
        <v>1032</v>
      </c>
      <c r="B382" s="1" t="s">
        <v>4274</v>
      </c>
      <c r="C382" s="9" t="s">
        <v>1424</v>
      </c>
      <c r="D382" s="1" t="s">
        <v>1424</v>
      </c>
      <c r="E382" s="1"/>
      <c r="F382" s="1"/>
      <c r="G382" s="1" t="s">
        <v>4275</v>
      </c>
      <c r="H382" s="1" t="s">
        <v>4276</v>
      </c>
      <c r="I382" s="1" t="s">
        <v>4277</v>
      </c>
      <c r="J382" s="1">
        <v>4</v>
      </c>
      <c r="K382" s="1">
        <v>5</v>
      </c>
      <c r="L382" s="1">
        <v>14100</v>
      </c>
      <c r="M382" s="1">
        <v>20</v>
      </c>
      <c r="N382" s="1">
        <v>20</v>
      </c>
      <c r="O382" s="1">
        <v>10</v>
      </c>
      <c r="P382" s="1">
        <v>10</v>
      </c>
      <c r="Q382" s="1">
        <v>2</v>
      </c>
      <c r="R382" s="1">
        <v>5</v>
      </c>
      <c r="S382" s="1">
        <v>5</v>
      </c>
      <c r="T382" s="1">
        <v>0</v>
      </c>
      <c r="U382" s="1">
        <v>110</v>
      </c>
      <c r="V382" s="1">
        <v>122</v>
      </c>
      <c r="W382" s="1">
        <v>105</v>
      </c>
      <c r="X382" s="1">
        <v>100</v>
      </c>
      <c r="Y382" s="1">
        <v>128</v>
      </c>
      <c r="Z382" s="1">
        <v>105</v>
      </c>
      <c r="AA382" s="1">
        <v>0</v>
      </c>
      <c r="AB382" s="1">
        <v>15</v>
      </c>
      <c r="AC382" s="1">
        <v>30</v>
      </c>
      <c r="AD382" s="1">
        <v>0</v>
      </c>
      <c r="AE382" s="1">
        <v>130</v>
      </c>
      <c r="AF382" s="1">
        <v>100</v>
      </c>
      <c r="AG382" s="1">
        <v>116601</v>
      </c>
      <c r="AH382" s="1">
        <v>0</v>
      </c>
      <c r="AI382" s="1">
        <v>116603</v>
      </c>
      <c r="AJ382" s="1" t="s">
        <v>329</v>
      </c>
      <c r="AK382" s="1" t="s">
        <v>1425</v>
      </c>
      <c r="AL382" s="1">
        <v>13</v>
      </c>
      <c r="AM382" s="1" t="s">
        <v>399</v>
      </c>
      <c r="AN382" s="1" t="s">
        <v>5444</v>
      </c>
      <c r="AO382" s="1" t="s">
        <v>5318</v>
      </c>
      <c r="AP382" s="1">
        <v>0</v>
      </c>
      <c r="AQ382" s="1" t="s">
        <v>1158</v>
      </c>
      <c r="AR382" s="1" t="s">
        <v>1182</v>
      </c>
      <c r="AS382" s="1" t="s">
        <v>1773</v>
      </c>
      <c r="AT382" s="1" t="s">
        <v>329</v>
      </c>
      <c r="AU382" s="1">
        <v>241</v>
      </c>
      <c r="AV382" s="1">
        <v>1</v>
      </c>
      <c r="AW382" s="1" t="s">
        <v>5472</v>
      </c>
      <c r="AX382" s="1" t="s">
        <v>5475</v>
      </c>
      <c r="AY382" s="1">
        <v>7</v>
      </c>
      <c r="AZ382" s="1">
        <v>0</v>
      </c>
      <c r="BA382" s="1" t="s">
        <v>329</v>
      </c>
      <c r="BB382" s="1" t="s">
        <v>329</v>
      </c>
      <c r="BC382" s="1" t="s">
        <v>5446</v>
      </c>
      <c r="BD382" s="1">
        <v>0</v>
      </c>
      <c r="BE382" s="1"/>
    </row>
    <row r="383" spans="1:57" x14ac:dyDescent="0.25">
      <c r="A383" s="1">
        <v>1033</v>
      </c>
      <c r="B383" s="1" t="s">
        <v>4278</v>
      </c>
      <c r="C383" s="9" t="s">
        <v>1719</v>
      </c>
      <c r="D383" s="1" t="s">
        <v>1719</v>
      </c>
      <c r="E383" s="1"/>
      <c r="F383" s="1"/>
      <c r="G383" s="1" t="s">
        <v>4279</v>
      </c>
      <c r="H383" s="1" t="s">
        <v>4280</v>
      </c>
      <c r="I383" s="1" t="s">
        <v>4281</v>
      </c>
      <c r="J383" s="1">
        <v>5</v>
      </c>
      <c r="K383" s="1">
        <v>5</v>
      </c>
      <c r="L383" s="1">
        <v>23760</v>
      </c>
      <c r="M383" s="1">
        <v>40</v>
      </c>
      <c r="N383" s="1">
        <v>30</v>
      </c>
      <c r="O383" s="1">
        <v>25</v>
      </c>
      <c r="P383" s="1">
        <v>15</v>
      </c>
      <c r="Q383" s="1">
        <v>5</v>
      </c>
      <c r="R383" s="1">
        <v>5</v>
      </c>
      <c r="S383" s="1">
        <v>2</v>
      </c>
      <c r="T383" s="1">
        <v>5</v>
      </c>
      <c r="U383" s="1">
        <v>110</v>
      </c>
      <c r="V383" s="1">
        <v>115</v>
      </c>
      <c r="W383" s="1">
        <v>120</v>
      </c>
      <c r="X383" s="1">
        <v>100</v>
      </c>
      <c r="Y383" s="1">
        <v>115</v>
      </c>
      <c r="Z383" s="1">
        <v>95</v>
      </c>
      <c r="AA383" s="1">
        <v>0</v>
      </c>
      <c r="AB383" s="1">
        <v>15</v>
      </c>
      <c r="AC383" s="1">
        <v>5</v>
      </c>
      <c r="AD383" s="1">
        <v>10</v>
      </c>
      <c r="AE383" s="1">
        <v>118</v>
      </c>
      <c r="AF383" s="1">
        <v>100</v>
      </c>
      <c r="AG383" s="1">
        <v>116501</v>
      </c>
      <c r="AH383" s="1">
        <v>0</v>
      </c>
      <c r="AI383" s="1">
        <v>116503</v>
      </c>
      <c r="AJ383" s="1" t="s">
        <v>1426</v>
      </c>
      <c r="AK383" s="1" t="s">
        <v>1427</v>
      </c>
      <c r="AL383" s="1">
        <v>18</v>
      </c>
      <c r="AM383" s="1" t="s">
        <v>4918</v>
      </c>
      <c r="AN383" s="1" t="s">
        <v>4997</v>
      </c>
      <c r="AO383" s="1" t="s">
        <v>5215</v>
      </c>
      <c r="AP383" s="1">
        <v>0</v>
      </c>
      <c r="AQ383" s="1" t="s">
        <v>1195</v>
      </c>
      <c r="AR383" s="1" t="s">
        <v>4971</v>
      </c>
      <c r="AS383" s="1" t="s">
        <v>1197</v>
      </c>
      <c r="AT383" s="1" t="s">
        <v>329</v>
      </c>
      <c r="AU383" s="1">
        <v>48</v>
      </c>
      <c r="AV383" s="1">
        <v>1</v>
      </c>
      <c r="AW383" s="1" t="s">
        <v>5472</v>
      </c>
      <c r="AX383" s="1" t="s">
        <v>5473</v>
      </c>
      <c r="AY383" s="1">
        <v>7</v>
      </c>
      <c r="AZ383" s="1">
        <v>0</v>
      </c>
      <c r="BA383" s="1" t="s">
        <v>329</v>
      </c>
      <c r="BB383" s="1" t="s">
        <v>329</v>
      </c>
      <c r="BC383" s="1" t="s">
        <v>5446</v>
      </c>
      <c r="BD383" s="1">
        <v>0</v>
      </c>
      <c r="BE383" s="1"/>
    </row>
    <row r="384" spans="1:57" x14ac:dyDescent="0.25">
      <c r="A384" s="1">
        <v>1034</v>
      </c>
      <c r="B384" s="1" t="s">
        <v>4282</v>
      </c>
      <c r="C384" s="9" t="s">
        <v>1428</v>
      </c>
      <c r="D384" s="1" t="s">
        <v>4283</v>
      </c>
      <c r="E384" s="1"/>
      <c r="F384" s="1"/>
      <c r="G384" s="1" t="s">
        <v>4284</v>
      </c>
      <c r="H384" s="1" t="s">
        <v>4285</v>
      </c>
      <c r="I384" s="1" t="s">
        <v>4286</v>
      </c>
      <c r="J384" s="1">
        <v>6</v>
      </c>
      <c r="K384" s="1">
        <v>5</v>
      </c>
      <c r="L384" s="1">
        <v>28800</v>
      </c>
      <c r="M384" s="1">
        <v>30</v>
      </c>
      <c r="N384" s="1">
        <v>40</v>
      </c>
      <c r="O384" s="1">
        <v>15</v>
      </c>
      <c r="P384" s="1">
        <v>25</v>
      </c>
      <c r="Q384" s="1">
        <v>5</v>
      </c>
      <c r="R384" s="1">
        <v>2</v>
      </c>
      <c r="S384" s="1">
        <v>5</v>
      </c>
      <c r="T384" s="1">
        <v>5</v>
      </c>
      <c r="U384" s="1">
        <v>130</v>
      </c>
      <c r="V384" s="1">
        <v>130</v>
      </c>
      <c r="W384" s="1">
        <v>90</v>
      </c>
      <c r="X384" s="1">
        <v>100</v>
      </c>
      <c r="Y384" s="1">
        <v>95</v>
      </c>
      <c r="Z384" s="1">
        <v>90</v>
      </c>
      <c r="AA384" s="1">
        <v>122</v>
      </c>
      <c r="AB384" s="1">
        <v>15</v>
      </c>
      <c r="AC384" s="1">
        <v>40</v>
      </c>
      <c r="AD384" s="1">
        <v>4</v>
      </c>
      <c r="AE384" s="1">
        <v>108</v>
      </c>
      <c r="AF384" s="1">
        <v>100</v>
      </c>
      <c r="AG384" s="1">
        <v>116801</v>
      </c>
      <c r="AH384" s="1">
        <v>0</v>
      </c>
      <c r="AI384" s="1">
        <v>116806</v>
      </c>
      <c r="AJ384" s="1" t="s">
        <v>1429</v>
      </c>
      <c r="AK384" s="1" t="s">
        <v>1430</v>
      </c>
      <c r="AL384" s="1">
        <v>8</v>
      </c>
      <c r="AM384" s="1" t="s">
        <v>4776</v>
      </c>
      <c r="AN384" s="1" t="s">
        <v>4788</v>
      </c>
      <c r="AO384" s="1" t="s">
        <v>5327</v>
      </c>
      <c r="AP384" s="1">
        <v>0</v>
      </c>
      <c r="AQ384" s="1" t="s">
        <v>1228</v>
      </c>
      <c r="AR384" s="1" t="s">
        <v>1229</v>
      </c>
      <c r="AS384" s="1" t="s">
        <v>5122</v>
      </c>
      <c r="AT384" s="1" t="s">
        <v>329</v>
      </c>
      <c r="AU384" s="1">
        <v>238</v>
      </c>
      <c r="AV384" s="1">
        <v>1</v>
      </c>
      <c r="AW384" s="1" t="s">
        <v>5472</v>
      </c>
      <c r="AX384" s="1" t="s">
        <v>5475</v>
      </c>
      <c r="AY384" s="1">
        <v>7</v>
      </c>
      <c r="AZ384" s="1">
        <v>0</v>
      </c>
      <c r="BA384" s="1" t="s">
        <v>329</v>
      </c>
      <c r="BB384" s="1" t="s">
        <v>329</v>
      </c>
      <c r="BC384" s="1" t="s">
        <v>5446</v>
      </c>
      <c r="BD384" s="1">
        <v>0</v>
      </c>
      <c r="BE384" s="1"/>
    </row>
    <row r="385" spans="1:57" x14ac:dyDescent="0.25">
      <c r="A385" s="1">
        <v>20001</v>
      </c>
      <c r="B385" s="1" t="s">
        <v>4287</v>
      </c>
      <c r="C385" s="9" t="s">
        <v>267</v>
      </c>
      <c r="D385" s="1" t="s">
        <v>4288</v>
      </c>
      <c r="E385" s="1"/>
      <c r="F385" s="1"/>
      <c r="G385" s="1" t="s">
        <v>4289</v>
      </c>
      <c r="H385" s="1" t="s">
        <v>4290</v>
      </c>
      <c r="I385" s="1" t="s">
        <v>4291</v>
      </c>
      <c r="J385" s="1">
        <v>1</v>
      </c>
      <c r="K385" s="1">
        <v>5</v>
      </c>
      <c r="L385" s="1">
        <v>3000</v>
      </c>
      <c r="M385" s="1">
        <v>10</v>
      </c>
      <c r="N385" s="1">
        <v>10</v>
      </c>
      <c r="O385" s="1">
        <v>5</v>
      </c>
      <c r="P385" s="1">
        <v>5</v>
      </c>
      <c r="Q385" s="1">
        <v>2</v>
      </c>
      <c r="R385" s="1">
        <v>2</v>
      </c>
      <c r="S385" s="1">
        <v>2</v>
      </c>
      <c r="T385" s="1">
        <v>0</v>
      </c>
      <c r="U385" s="1">
        <v>122</v>
      </c>
      <c r="V385" s="1">
        <v>125</v>
      </c>
      <c r="W385" s="1">
        <v>89</v>
      </c>
      <c r="X385" s="1">
        <v>100</v>
      </c>
      <c r="Y385" s="1">
        <v>90</v>
      </c>
      <c r="Z385" s="1">
        <v>95</v>
      </c>
      <c r="AA385" s="1">
        <v>0</v>
      </c>
      <c r="AB385" s="1">
        <v>15</v>
      </c>
      <c r="AC385" s="1">
        <v>20</v>
      </c>
      <c r="AD385" s="1">
        <v>0</v>
      </c>
      <c r="AE385" s="1">
        <v>130</v>
      </c>
      <c r="AF385" s="1">
        <v>95</v>
      </c>
      <c r="AG385" s="1">
        <v>801702</v>
      </c>
      <c r="AH385" s="1">
        <v>801701</v>
      </c>
      <c r="AI385" s="1">
        <v>300115</v>
      </c>
      <c r="AJ385" s="1" t="s">
        <v>329</v>
      </c>
      <c r="AK385" s="1" t="s">
        <v>329</v>
      </c>
      <c r="AL385" s="1">
        <v>13</v>
      </c>
      <c r="AM385" s="1" t="s">
        <v>1866</v>
      </c>
      <c r="AN385" s="1" t="s">
        <v>4800</v>
      </c>
      <c r="AO385" s="1" t="s">
        <v>5126</v>
      </c>
      <c r="AP385" s="1">
        <v>0</v>
      </c>
      <c r="AQ385" s="1" t="s">
        <v>4802</v>
      </c>
      <c r="AR385" s="1" t="s">
        <v>1147</v>
      </c>
      <c r="AS385" s="1" t="s">
        <v>1148</v>
      </c>
      <c r="AT385" s="1" t="s">
        <v>329</v>
      </c>
      <c r="AU385" s="1">
        <v>1</v>
      </c>
      <c r="AV385" s="1">
        <v>0</v>
      </c>
      <c r="AW385" s="1" t="s">
        <v>4552</v>
      </c>
      <c r="AX385" s="1" t="s">
        <v>5476</v>
      </c>
      <c r="AY385" s="1">
        <v>5</v>
      </c>
      <c r="AZ385" s="1">
        <v>3001</v>
      </c>
      <c r="BA385" s="1" t="s">
        <v>329</v>
      </c>
      <c r="BB385" s="1" t="s">
        <v>371</v>
      </c>
      <c r="BC385" s="1" t="s">
        <v>4780</v>
      </c>
      <c r="BD385" s="1">
        <v>0</v>
      </c>
      <c r="BE385" s="1"/>
    </row>
    <row r="386" spans="1:57" x14ac:dyDescent="0.25">
      <c r="A386" s="1">
        <v>20002</v>
      </c>
      <c r="B386" s="1" t="s">
        <v>4292</v>
      </c>
      <c r="C386" s="9" t="s">
        <v>253</v>
      </c>
      <c r="D386" s="1" t="s">
        <v>253</v>
      </c>
      <c r="E386" s="1"/>
      <c r="F386" s="1"/>
      <c r="G386" s="1" t="s">
        <v>4293</v>
      </c>
      <c r="H386" s="1" t="s">
        <v>4294</v>
      </c>
      <c r="I386" s="1" t="s">
        <v>4295</v>
      </c>
      <c r="J386" s="1">
        <v>1</v>
      </c>
      <c r="K386" s="1">
        <v>4</v>
      </c>
      <c r="L386" s="1">
        <v>1200</v>
      </c>
      <c r="M386" s="1">
        <v>10</v>
      </c>
      <c r="N386" s="1">
        <v>10</v>
      </c>
      <c r="O386" s="1">
        <v>5</v>
      </c>
      <c r="P386" s="1">
        <v>5</v>
      </c>
      <c r="Q386" s="1">
        <v>2</v>
      </c>
      <c r="R386" s="1">
        <v>2</v>
      </c>
      <c r="S386" s="1">
        <v>2</v>
      </c>
      <c r="T386" s="1">
        <v>0</v>
      </c>
      <c r="U386" s="1">
        <v>110</v>
      </c>
      <c r="V386" s="1">
        <v>100</v>
      </c>
      <c r="W386" s="1">
        <v>106</v>
      </c>
      <c r="X386" s="1">
        <v>100</v>
      </c>
      <c r="Y386" s="1">
        <v>100</v>
      </c>
      <c r="Z386" s="1">
        <v>100</v>
      </c>
      <c r="AA386" s="1">
        <v>0</v>
      </c>
      <c r="AB386" s="1">
        <v>15</v>
      </c>
      <c r="AC386" s="1">
        <v>20</v>
      </c>
      <c r="AD386" s="1">
        <v>0</v>
      </c>
      <c r="AE386" s="1">
        <v>120</v>
      </c>
      <c r="AF386" s="1">
        <v>105</v>
      </c>
      <c r="AG386" s="1">
        <v>800101</v>
      </c>
      <c r="AH386" s="1">
        <v>800102</v>
      </c>
      <c r="AI386" s="1">
        <v>300101</v>
      </c>
      <c r="AJ386" s="1" t="s">
        <v>1192</v>
      </c>
      <c r="AK386" s="1" t="s">
        <v>1432</v>
      </c>
      <c r="AL386" s="1">
        <v>13</v>
      </c>
      <c r="AM386" s="1" t="s">
        <v>1866</v>
      </c>
      <c r="AN386" s="1" t="s">
        <v>4800</v>
      </c>
      <c r="AO386" s="1" t="s">
        <v>5477</v>
      </c>
      <c r="AP386" s="1">
        <v>0</v>
      </c>
      <c r="AQ386" s="1" t="s">
        <v>1146</v>
      </c>
      <c r="AR386" s="1" t="s">
        <v>1772</v>
      </c>
      <c r="AS386" s="1" t="s">
        <v>1148</v>
      </c>
      <c r="AT386" s="1" t="s">
        <v>329</v>
      </c>
      <c r="AU386" s="1">
        <v>2</v>
      </c>
      <c r="AV386" s="1">
        <v>0</v>
      </c>
      <c r="AW386" s="1" t="s">
        <v>4552</v>
      </c>
      <c r="AX386" s="1" t="s">
        <v>5476</v>
      </c>
      <c r="AY386" s="1">
        <v>4</v>
      </c>
      <c r="AZ386" s="1">
        <v>3002</v>
      </c>
      <c r="BA386" s="1" t="s">
        <v>329</v>
      </c>
      <c r="BB386" s="1" t="s">
        <v>4806</v>
      </c>
      <c r="BC386" s="1" t="s">
        <v>4780</v>
      </c>
      <c r="BD386" s="1">
        <v>0</v>
      </c>
      <c r="BE386" s="1"/>
    </row>
    <row r="387" spans="1:57" x14ac:dyDescent="0.25">
      <c r="A387" s="1">
        <v>20005</v>
      </c>
      <c r="B387" s="1" t="s">
        <v>4296</v>
      </c>
      <c r="C387" s="9" t="s">
        <v>787</v>
      </c>
      <c r="D387" s="1" t="s">
        <v>787</v>
      </c>
      <c r="E387" s="1"/>
      <c r="F387" s="1"/>
      <c r="G387" s="1" t="s">
        <v>4297</v>
      </c>
      <c r="H387" s="1" t="s">
        <v>4298</v>
      </c>
      <c r="I387" s="1" t="s">
        <v>4299</v>
      </c>
      <c r="J387" s="1">
        <v>1</v>
      </c>
      <c r="K387" s="1">
        <v>4</v>
      </c>
      <c r="L387" s="1">
        <v>1200</v>
      </c>
      <c r="M387" s="1">
        <v>10</v>
      </c>
      <c r="N387" s="1">
        <v>10</v>
      </c>
      <c r="O387" s="1">
        <v>5</v>
      </c>
      <c r="P387" s="1">
        <v>5</v>
      </c>
      <c r="Q387" s="1">
        <v>2</v>
      </c>
      <c r="R387" s="1">
        <v>2</v>
      </c>
      <c r="S387" s="1">
        <v>2</v>
      </c>
      <c r="T387" s="1">
        <v>0</v>
      </c>
      <c r="U387" s="1">
        <v>105</v>
      </c>
      <c r="V387" s="1">
        <v>115</v>
      </c>
      <c r="W387" s="1">
        <v>80</v>
      </c>
      <c r="X387" s="1">
        <v>100</v>
      </c>
      <c r="Y387" s="1">
        <v>85</v>
      </c>
      <c r="Z387" s="1">
        <v>120</v>
      </c>
      <c r="AA387" s="1">
        <v>0</v>
      </c>
      <c r="AB387" s="1">
        <v>15</v>
      </c>
      <c r="AC387" s="1">
        <v>20</v>
      </c>
      <c r="AD387" s="1">
        <v>0</v>
      </c>
      <c r="AE387" s="1">
        <v>130</v>
      </c>
      <c r="AF387" s="1">
        <v>80</v>
      </c>
      <c r="AG387" s="1">
        <v>800505</v>
      </c>
      <c r="AH387" s="1">
        <v>800504</v>
      </c>
      <c r="AI387" s="1">
        <v>800503</v>
      </c>
      <c r="AJ387" s="1" t="s">
        <v>1433</v>
      </c>
      <c r="AK387" s="1" t="s">
        <v>329</v>
      </c>
      <c r="AL387" s="1">
        <v>13</v>
      </c>
      <c r="AM387" s="1" t="s">
        <v>1866</v>
      </c>
      <c r="AN387" s="1" t="s">
        <v>4814</v>
      </c>
      <c r="AO387" s="1" t="s">
        <v>5478</v>
      </c>
      <c r="AP387" s="1">
        <v>0</v>
      </c>
      <c r="AQ387" s="1" t="s">
        <v>4802</v>
      </c>
      <c r="AR387" s="1" t="s">
        <v>1147</v>
      </c>
      <c r="AS387" s="1" t="s">
        <v>1148</v>
      </c>
      <c r="AT387" s="1" t="s">
        <v>329</v>
      </c>
      <c r="AU387" s="1">
        <v>5</v>
      </c>
      <c r="AV387" s="1">
        <v>0</v>
      </c>
      <c r="AW387" s="1" t="s">
        <v>4552</v>
      </c>
      <c r="AX387" s="1" t="s">
        <v>5476</v>
      </c>
      <c r="AY387" s="1">
        <v>4</v>
      </c>
      <c r="AZ387" s="1">
        <v>3005</v>
      </c>
      <c r="BA387" s="1" t="s">
        <v>329</v>
      </c>
      <c r="BB387" s="1" t="s">
        <v>4816</v>
      </c>
      <c r="BC387" s="1" t="s">
        <v>4817</v>
      </c>
      <c r="BD387" s="1">
        <v>0</v>
      </c>
      <c r="BE387" s="1"/>
    </row>
    <row r="388" spans="1:57" x14ac:dyDescent="0.25">
      <c r="A388" s="1">
        <v>20007</v>
      </c>
      <c r="B388" s="1" t="s">
        <v>4300</v>
      </c>
      <c r="C388" s="9" t="s">
        <v>740</v>
      </c>
      <c r="D388" s="1" t="s">
        <v>4301</v>
      </c>
      <c r="E388" s="1"/>
      <c r="F388" s="1"/>
      <c r="G388" s="1" t="s">
        <v>4302</v>
      </c>
      <c r="H388" s="1" t="s">
        <v>4303</v>
      </c>
      <c r="I388" s="1" t="s">
        <v>4304</v>
      </c>
      <c r="J388" s="1">
        <v>1</v>
      </c>
      <c r="K388" s="1">
        <v>5</v>
      </c>
      <c r="L388" s="1">
        <v>3300</v>
      </c>
      <c r="M388" s="1">
        <v>10</v>
      </c>
      <c r="N388" s="1">
        <v>10</v>
      </c>
      <c r="O388" s="1">
        <v>5</v>
      </c>
      <c r="P388" s="1">
        <v>5</v>
      </c>
      <c r="Q388" s="1">
        <v>2</v>
      </c>
      <c r="R388" s="1">
        <v>2</v>
      </c>
      <c r="S388" s="1">
        <v>2</v>
      </c>
      <c r="T388" s="1">
        <v>0</v>
      </c>
      <c r="U388" s="1">
        <v>125</v>
      </c>
      <c r="V388" s="1">
        <v>115</v>
      </c>
      <c r="W388" s="1">
        <v>125</v>
      </c>
      <c r="X388" s="1">
        <v>100</v>
      </c>
      <c r="Y388" s="1">
        <v>105</v>
      </c>
      <c r="Z388" s="1">
        <v>95</v>
      </c>
      <c r="AA388" s="1">
        <v>0</v>
      </c>
      <c r="AB388" s="1">
        <v>15</v>
      </c>
      <c r="AC388" s="1">
        <v>20</v>
      </c>
      <c r="AD388" s="1">
        <v>0</v>
      </c>
      <c r="AE388" s="1">
        <v>110</v>
      </c>
      <c r="AF388" s="1">
        <v>100</v>
      </c>
      <c r="AG388" s="1">
        <v>900270</v>
      </c>
      <c r="AH388" s="1">
        <v>900274</v>
      </c>
      <c r="AI388" s="1">
        <v>900271</v>
      </c>
      <c r="AJ388" s="1" t="s">
        <v>329</v>
      </c>
      <c r="AK388" s="1" t="s">
        <v>1434</v>
      </c>
      <c r="AL388" s="1">
        <v>13</v>
      </c>
      <c r="AM388" s="1" t="s">
        <v>1866</v>
      </c>
      <c r="AN388" s="1" t="s">
        <v>4807</v>
      </c>
      <c r="AO388" s="1" t="s">
        <v>5479</v>
      </c>
      <c r="AP388" s="1">
        <v>0</v>
      </c>
      <c r="AQ388" s="1" t="s">
        <v>4802</v>
      </c>
      <c r="AR388" s="1" t="s">
        <v>1147</v>
      </c>
      <c r="AS388" s="1" t="s">
        <v>4821</v>
      </c>
      <c r="AT388" s="1" t="s">
        <v>329</v>
      </c>
      <c r="AU388" s="1">
        <v>7</v>
      </c>
      <c r="AV388" s="1">
        <v>0</v>
      </c>
      <c r="AW388" s="1" t="s">
        <v>4552</v>
      </c>
      <c r="AX388" s="1" t="s">
        <v>5476</v>
      </c>
      <c r="AY388" s="1">
        <v>5</v>
      </c>
      <c r="AZ388" s="1">
        <v>3007</v>
      </c>
      <c r="BA388" s="1" t="s">
        <v>329</v>
      </c>
      <c r="BB388" s="1" t="s">
        <v>485</v>
      </c>
      <c r="BC388" s="1" t="s">
        <v>4817</v>
      </c>
      <c r="BD388" s="1">
        <v>0</v>
      </c>
      <c r="BE388" s="1"/>
    </row>
    <row r="389" spans="1:57" x14ac:dyDescent="0.25">
      <c r="A389" s="1">
        <v>20008</v>
      </c>
      <c r="B389" s="1" t="s">
        <v>4305</v>
      </c>
      <c r="C389" s="9" t="s">
        <v>945</v>
      </c>
      <c r="D389" s="1" t="s">
        <v>4306</v>
      </c>
      <c r="E389" s="1"/>
      <c r="F389" s="1"/>
      <c r="G389" s="1" t="s">
        <v>4307</v>
      </c>
      <c r="H389" s="1" t="s">
        <v>4308</v>
      </c>
      <c r="I389" s="1" t="s">
        <v>4309</v>
      </c>
      <c r="J389" s="1">
        <v>1</v>
      </c>
      <c r="K389" s="1">
        <v>4</v>
      </c>
      <c r="L389" s="1">
        <v>2400</v>
      </c>
      <c r="M389" s="1">
        <v>10</v>
      </c>
      <c r="N389" s="1">
        <v>10</v>
      </c>
      <c r="O389" s="1">
        <v>5</v>
      </c>
      <c r="P389" s="1">
        <v>5</v>
      </c>
      <c r="Q389" s="1">
        <v>2</v>
      </c>
      <c r="R389" s="1">
        <v>2</v>
      </c>
      <c r="S389" s="1">
        <v>2</v>
      </c>
      <c r="T389" s="1">
        <v>0</v>
      </c>
      <c r="U389" s="1">
        <v>100</v>
      </c>
      <c r="V389" s="1">
        <v>97</v>
      </c>
      <c r="W389" s="1">
        <v>110</v>
      </c>
      <c r="X389" s="1">
        <v>100</v>
      </c>
      <c r="Y389" s="1">
        <v>115</v>
      </c>
      <c r="Z389" s="1">
        <v>125</v>
      </c>
      <c r="AA389" s="1">
        <v>0</v>
      </c>
      <c r="AB389" s="1">
        <v>15</v>
      </c>
      <c r="AC389" s="1">
        <v>20</v>
      </c>
      <c r="AD389" s="1">
        <v>0</v>
      </c>
      <c r="AE389" s="1">
        <v>130</v>
      </c>
      <c r="AF389" s="1">
        <v>100</v>
      </c>
      <c r="AG389" s="1">
        <v>803601</v>
      </c>
      <c r="AH389" s="1">
        <v>803604</v>
      </c>
      <c r="AI389" s="1">
        <v>300115</v>
      </c>
      <c r="AJ389" s="1" t="s">
        <v>1435</v>
      </c>
      <c r="AK389" s="1" t="s">
        <v>1436</v>
      </c>
      <c r="AL389" s="1">
        <v>13</v>
      </c>
      <c r="AM389" s="1" t="s">
        <v>1866</v>
      </c>
      <c r="AN389" s="1" t="s">
        <v>5480</v>
      </c>
      <c r="AO389" s="1" t="s">
        <v>5481</v>
      </c>
      <c r="AP389" s="1">
        <v>0</v>
      </c>
      <c r="AQ389" s="1" t="s">
        <v>4802</v>
      </c>
      <c r="AR389" s="1" t="s">
        <v>1772</v>
      </c>
      <c r="AS389" s="1" t="s">
        <v>1148</v>
      </c>
      <c r="AT389" s="1" t="s">
        <v>329</v>
      </c>
      <c r="AU389" s="1">
        <v>8</v>
      </c>
      <c r="AV389" s="1">
        <v>0</v>
      </c>
      <c r="AW389" s="1" t="s">
        <v>4552</v>
      </c>
      <c r="AX389" s="1" t="s">
        <v>5476</v>
      </c>
      <c r="AY389" s="1">
        <v>4</v>
      </c>
      <c r="AZ389" s="1">
        <v>3008</v>
      </c>
      <c r="BA389" s="1" t="s">
        <v>329</v>
      </c>
      <c r="BB389" s="1" t="s">
        <v>4826</v>
      </c>
      <c r="BC389" s="1" t="s">
        <v>4817</v>
      </c>
      <c r="BD389" s="1">
        <v>0</v>
      </c>
      <c r="BE389" s="1"/>
    </row>
    <row r="390" spans="1:57" x14ac:dyDescent="0.25">
      <c r="A390" s="1">
        <v>20012</v>
      </c>
      <c r="B390" s="1" t="s">
        <v>4310</v>
      </c>
      <c r="C390" s="9" t="s">
        <v>746</v>
      </c>
      <c r="D390" s="1" t="s">
        <v>746</v>
      </c>
      <c r="E390" s="1"/>
      <c r="F390" s="1"/>
      <c r="G390" s="1" t="s">
        <v>4311</v>
      </c>
      <c r="H390" s="1" t="s">
        <v>4312</v>
      </c>
      <c r="I390" s="1" t="s">
        <v>4313</v>
      </c>
      <c r="J390" s="1">
        <v>1</v>
      </c>
      <c r="K390" s="1">
        <v>4</v>
      </c>
      <c r="L390" s="1">
        <v>1800</v>
      </c>
      <c r="M390" s="1">
        <v>10</v>
      </c>
      <c r="N390" s="1">
        <v>10</v>
      </c>
      <c r="O390" s="1">
        <v>5</v>
      </c>
      <c r="P390" s="1">
        <v>5</v>
      </c>
      <c r="Q390" s="1">
        <v>2</v>
      </c>
      <c r="R390" s="1">
        <v>2</v>
      </c>
      <c r="S390" s="1">
        <v>2</v>
      </c>
      <c r="T390" s="1">
        <v>0</v>
      </c>
      <c r="U390" s="1">
        <v>125</v>
      </c>
      <c r="V390" s="1">
        <v>118</v>
      </c>
      <c r="W390" s="1">
        <v>120</v>
      </c>
      <c r="X390" s="1">
        <v>100</v>
      </c>
      <c r="Y390" s="1">
        <v>108</v>
      </c>
      <c r="Z390" s="1">
        <v>100</v>
      </c>
      <c r="AA390" s="1">
        <v>0</v>
      </c>
      <c r="AB390" s="1">
        <v>15</v>
      </c>
      <c r="AC390" s="1">
        <v>20</v>
      </c>
      <c r="AD390" s="1">
        <v>0</v>
      </c>
      <c r="AE390" s="1">
        <v>108</v>
      </c>
      <c r="AF390" s="1">
        <v>135</v>
      </c>
      <c r="AG390" s="1">
        <v>900268</v>
      </c>
      <c r="AH390" s="1">
        <v>900269</v>
      </c>
      <c r="AI390" s="1">
        <v>300101</v>
      </c>
      <c r="AJ390" s="1" t="s">
        <v>329</v>
      </c>
      <c r="AK390" s="1" t="s">
        <v>329</v>
      </c>
      <c r="AL390" s="1">
        <v>13</v>
      </c>
      <c r="AM390" s="1" t="s">
        <v>1866</v>
      </c>
      <c r="AN390" s="1" t="s">
        <v>4836</v>
      </c>
      <c r="AO390" s="1" t="s">
        <v>5482</v>
      </c>
      <c r="AP390" s="1">
        <v>0</v>
      </c>
      <c r="AQ390" s="1" t="s">
        <v>4802</v>
      </c>
      <c r="AR390" s="1" t="s">
        <v>1147</v>
      </c>
      <c r="AS390" s="1" t="s">
        <v>1148</v>
      </c>
      <c r="AT390" s="1" t="s">
        <v>329</v>
      </c>
      <c r="AU390" s="1">
        <v>12</v>
      </c>
      <c r="AV390" s="1">
        <v>0</v>
      </c>
      <c r="AW390" s="1" t="s">
        <v>4552</v>
      </c>
      <c r="AX390" s="1" t="s">
        <v>5476</v>
      </c>
      <c r="AY390" s="1">
        <v>4</v>
      </c>
      <c r="AZ390" s="1">
        <v>3012</v>
      </c>
      <c r="BA390" s="1" t="s">
        <v>329</v>
      </c>
      <c r="BB390" s="1" t="s">
        <v>4838</v>
      </c>
      <c r="BC390" s="1" t="s">
        <v>4829</v>
      </c>
      <c r="BD390" s="1">
        <v>0</v>
      </c>
      <c r="BE390" s="1"/>
    </row>
    <row r="391" spans="1:57" x14ac:dyDescent="0.25">
      <c r="A391" s="1">
        <v>20021</v>
      </c>
      <c r="B391" s="1" t="s">
        <v>5782</v>
      </c>
      <c r="C391" s="9" t="s">
        <v>5836</v>
      </c>
      <c r="D391" s="1" t="s">
        <v>5783</v>
      </c>
      <c r="E391" s="1"/>
      <c r="F391" s="1"/>
      <c r="G391" s="1" t="s">
        <v>5784</v>
      </c>
      <c r="H391" s="1" t="s">
        <v>5785</v>
      </c>
      <c r="I391" s="1" t="s">
        <v>5786</v>
      </c>
      <c r="J391" s="1">
        <v>2</v>
      </c>
      <c r="K391" s="1">
        <v>4</v>
      </c>
      <c r="L391" s="1">
        <v>6600</v>
      </c>
      <c r="M391" s="1">
        <v>25</v>
      </c>
      <c r="N391" s="1">
        <v>20</v>
      </c>
      <c r="O391" s="1">
        <v>15</v>
      </c>
      <c r="P391" s="1">
        <v>10</v>
      </c>
      <c r="Q391" s="1">
        <v>5</v>
      </c>
      <c r="R391" s="1">
        <v>5</v>
      </c>
      <c r="S391" s="1">
        <v>2</v>
      </c>
      <c r="T391" s="1">
        <v>0</v>
      </c>
      <c r="U391" s="1">
        <v>115</v>
      </c>
      <c r="V391" s="1">
        <v>110</v>
      </c>
      <c r="W391" s="1">
        <v>120</v>
      </c>
      <c r="X391" s="1">
        <v>100</v>
      </c>
      <c r="Y391" s="1">
        <v>85</v>
      </c>
      <c r="Z391" s="1">
        <v>95</v>
      </c>
      <c r="AA391" s="1">
        <v>0</v>
      </c>
      <c r="AB391" s="1">
        <v>15</v>
      </c>
      <c r="AC391" s="1">
        <v>5</v>
      </c>
      <c r="AD391" s="1">
        <v>0</v>
      </c>
      <c r="AE391" s="1">
        <v>110</v>
      </c>
      <c r="AF391" s="1">
        <v>135</v>
      </c>
      <c r="AG391" s="1">
        <v>750316</v>
      </c>
      <c r="AH391" s="1">
        <v>750318</v>
      </c>
      <c r="AI391" s="1">
        <v>300102</v>
      </c>
      <c r="AJ391" s="1" t="s">
        <v>5787</v>
      </c>
      <c r="AK391" s="1" t="s">
        <v>5788</v>
      </c>
      <c r="AL391" s="1">
        <v>13</v>
      </c>
      <c r="AM391" s="1" t="s">
        <v>399</v>
      </c>
      <c r="AN391" s="1" t="s">
        <v>5789</v>
      </c>
      <c r="AO391" s="1" t="s">
        <v>5224</v>
      </c>
      <c r="AP391" s="1">
        <v>0</v>
      </c>
      <c r="AQ391" s="1" t="s">
        <v>1157</v>
      </c>
      <c r="AR391" s="1" t="s">
        <v>1772</v>
      </c>
      <c r="AS391" s="1" t="s">
        <v>1774</v>
      </c>
      <c r="AT391" s="1" t="s">
        <v>329</v>
      </c>
      <c r="AU391" s="1">
        <v>21</v>
      </c>
      <c r="AV391" s="1">
        <v>0</v>
      </c>
      <c r="AW391" s="1" t="s">
        <v>4552</v>
      </c>
      <c r="AX391" s="1" t="s">
        <v>5476</v>
      </c>
      <c r="AY391" s="1">
        <v>4</v>
      </c>
      <c r="AZ391" s="1">
        <v>3021</v>
      </c>
      <c r="BA391" s="1" t="s">
        <v>329</v>
      </c>
      <c r="BB391" s="1" t="s">
        <v>4865</v>
      </c>
      <c r="BC391" s="1" t="s">
        <v>4817</v>
      </c>
      <c r="BD391" s="1">
        <v>0</v>
      </c>
      <c r="BE391" s="1"/>
    </row>
    <row r="392" spans="1:57" x14ac:dyDescent="0.25">
      <c r="A392" s="1">
        <v>20026</v>
      </c>
      <c r="B392" s="1" t="s">
        <v>4314</v>
      </c>
      <c r="C392" s="9" t="s">
        <v>1437</v>
      </c>
      <c r="D392" s="1" t="s">
        <v>1437</v>
      </c>
      <c r="E392" s="1"/>
      <c r="F392" s="1"/>
      <c r="G392" s="1" t="s">
        <v>4315</v>
      </c>
      <c r="H392" s="1" t="s">
        <v>4316</v>
      </c>
      <c r="I392" s="1" t="s">
        <v>4317</v>
      </c>
      <c r="J392" s="1">
        <v>2</v>
      </c>
      <c r="K392" s="1">
        <v>5</v>
      </c>
      <c r="L392" s="1">
        <v>8400</v>
      </c>
      <c r="M392" s="1">
        <v>25</v>
      </c>
      <c r="N392" s="1">
        <v>20</v>
      </c>
      <c r="O392" s="1">
        <v>15</v>
      </c>
      <c r="P392" s="1">
        <v>10</v>
      </c>
      <c r="Q392" s="1">
        <v>5</v>
      </c>
      <c r="R392" s="1">
        <v>5</v>
      </c>
      <c r="S392" s="1">
        <v>2</v>
      </c>
      <c r="T392" s="1">
        <v>0</v>
      </c>
      <c r="U392" s="1">
        <v>100</v>
      </c>
      <c r="V392" s="1">
        <v>120</v>
      </c>
      <c r="W392" s="1">
        <v>115</v>
      </c>
      <c r="X392" s="1">
        <v>100</v>
      </c>
      <c r="Y392" s="1">
        <v>115</v>
      </c>
      <c r="Z392" s="1">
        <v>115</v>
      </c>
      <c r="AA392" s="1">
        <v>0</v>
      </c>
      <c r="AB392" s="1">
        <v>15</v>
      </c>
      <c r="AC392" s="1">
        <v>5</v>
      </c>
      <c r="AD392" s="1">
        <v>0</v>
      </c>
      <c r="AE392" s="1">
        <v>105</v>
      </c>
      <c r="AF392" s="1">
        <v>120</v>
      </c>
      <c r="AG392" s="1">
        <v>802301</v>
      </c>
      <c r="AH392" s="1">
        <v>802303</v>
      </c>
      <c r="AI392" s="1">
        <v>300102</v>
      </c>
      <c r="AJ392" s="1" t="s">
        <v>1438</v>
      </c>
      <c r="AK392" s="1" t="s">
        <v>329</v>
      </c>
      <c r="AL392" s="1">
        <v>13</v>
      </c>
      <c r="AM392" s="1" t="s">
        <v>355</v>
      </c>
      <c r="AN392" s="1" t="s">
        <v>389</v>
      </c>
      <c r="AO392" s="1" t="s">
        <v>5483</v>
      </c>
      <c r="AP392" s="1">
        <v>0</v>
      </c>
      <c r="AQ392" s="1" t="s">
        <v>1773</v>
      </c>
      <c r="AR392" s="1" t="s">
        <v>1147</v>
      </c>
      <c r="AS392" s="1" t="s">
        <v>1774</v>
      </c>
      <c r="AT392" s="1" t="s">
        <v>329</v>
      </c>
      <c r="AU392" s="1">
        <v>26</v>
      </c>
      <c r="AV392" s="1">
        <v>0</v>
      </c>
      <c r="AW392" s="1" t="s">
        <v>4552</v>
      </c>
      <c r="AX392" s="1" t="s">
        <v>5476</v>
      </c>
      <c r="AY392" s="1">
        <v>5</v>
      </c>
      <c r="AZ392" s="1">
        <v>3026</v>
      </c>
      <c r="BA392" s="1" t="s">
        <v>329</v>
      </c>
      <c r="BB392" s="1" t="s">
        <v>4873</v>
      </c>
      <c r="BC392" s="1" t="s">
        <v>4829</v>
      </c>
      <c r="BD392" s="1">
        <v>0</v>
      </c>
      <c r="BE392" s="1"/>
    </row>
    <row r="393" spans="1:57" x14ac:dyDescent="0.25">
      <c r="A393" s="1">
        <v>20029</v>
      </c>
      <c r="B393" s="1" t="s">
        <v>4318</v>
      </c>
      <c r="C393" s="9" t="s">
        <v>831</v>
      </c>
      <c r="D393" s="1" t="s">
        <v>4319</v>
      </c>
      <c r="E393" s="1"/>
      <c r="F393" s="1"/>
      <c r="G393" s="1" t="s">
        <v>4320</v>
      </c>
      <c r="H393" s="1" t="s">
        <v>4321</v>
      </c>
      <c r="I393" s="1" t="s">
        <v>4322</v>
      </c>
      <c r="J393" s="1">
        <v>2</v>
      </c>
      <c r="K393" s="1">
        <v>4</v>
      </c>
      <c r="L393" s="1">
        <v>6000</v>
      </c>
      <c r="M393" s="1">
        <v>25</v>
      </c>
      <c r="N393" s="1">
        <v>20</v>
      </c>
      <c r="O393" s="1">
        <v>15</v>
      </c>
      <c r="P393" s="1">
        <v>10</v>
      </c>
      <c r="Q393" s="1">
        <v>5</v>
      </c>
      <c r="R393" s="1">
        <v>5</v>
      </c>
      <c r="S393" s="1">
        <v>2</v>
      </c>
      <c r="T393" s="1">
        <v>0</v>
      </c>
      <c r="U393" s="1">
        <v>108</v>
      </c>
      <c r="V393" s="1">
        <v>100</v>
      </c>
      <c r="W393" s="1">
        <v>105</v>
      </c>
      <c r="X393" s="1">
        <v>100</v>
      </c>
      <c r="Y393" s="1">
        <v>120</v>
      </c>
      <c r="Z393" s="1">
        <v>110</v>
      </c>
      <c r="AA393" s="1">
        <v>0</v>
      </c>
      <c r="AB393" s="1">
        <v>15</v>
      </c>
      <c r="AC393" s="1">
        <v>5</v>
      </c>
      <c r="AD393" s="1">
        <v>0</v>
      </c>
      <c r="AE393" s="1">
        <v>125</v>
      </c>
      <c r="AF393" s="1">
        <v>110</v>
      </c>
      <c r="AG393" s="1">
        <v>802001</v>
      </c>
      <c r="AH393" s="1">
        <v>802002</v>
      </c>
      <c r="AI393" s="1">
        <v>300102</v>
      </c>
      <c r="AJ393" s="1" t="s">
        <v>1439</v>
      </c>
      <c r="AK393" s="1" t="s">
        <v>329</v>
      </c>
      <c r="AL393" s="1">
        <v>13</v>
      </c>
      <c r="AM393" s="1" t="s">
        <v>4850</v>
      </c>
      <c r="AN393" s="1" t="s">
        <v>4855</v>
      </c>
      <c r="AO393" s="1" t="s">
        <v>5484</v>
      </c>
      <c r="AP393" s="1">
        <v>0</v>
      </c>
      <c r="AQ393" s="1" t="s">
        <v>1157</v>
      </c>
      <c r="AR393" s="1" t="s">
        <v>1147</v>
      </c>
      <c r="AS393" s="1" t="s">
        <v>1774</v>
      </c>
      <c r="AT393" s="1" t="s">
        <v>329</v>
      </c>
      <c r="AU393" s="1">
        <v>29</v>
      </c>
      <c r="AV393" s="1">
        <v>0</v>
      </c>
      <c r="AW393" s="1" t="s">
        <v>4552</v>
      </c>
      <c r="AX393" s="1" t="s">
        <v>5476</v>
      </c>
      <c r="AY393" s="1">
        <v>4</v>
      </c>
      <c r="AZ393" s="1">
        <v>3029</v>
      </c>
      <c r="BA393" s="1" t="s">
        <v>329</v>
      </c>
      <c r="BB393" s="1" t="s">
        <v>4882</v>
      </c>
      <c r="BC393" s="1" t="s">
        <v>329</v>
      </c>
      <c r="BD393" s="1">
        <v>0</v>
      </c>
      <c r="BE393" s="1"/>
    </row>
    <row r="394" spans="1:57" x14ac:dyDescent="0.25">
      <c r="A394" s="1">
        <v>20031</v>
      </c>
      <c r="B394" s="1" t="s">
        <v>4323</v>
      </c>
      <c r="C394" s="9" t="s">
        <v>715</v>
      </c>
      <c r="D394" s="1" t="s">
        <v>4324</v>
      </c>
      <c r="E394" s="1"/>
      <c r="F394" s="1"/>
      <c r="G394" s="1" t="s">
        <v>4325</v>
      </c>
      <c r="H394" s="1" t="s">
        <v>4326</v>
      </c>
      <c r="I394" s="1" t="s">
        <v>4327</v>
      </c>
      <c r="J394" s="1">
        <v>2</v>
      </c>
      <c r="K394" s="1">
        <v>4</v>
      </c>
      <c r="L394" s="1">
        <v>5400</v>
      </c>
      <c r="M394" s="1">
        <v>25</v>
      </c>
      <c r="N394" s="1">
        <v>20</v>
      </c>
      <c r="O394" s="1">
        <v>15</v>
      </c>
      <c r="P394" s="1">
        <v>10</v>
      </c>
      <c r="Q394" s="1">
        <v>5</v>
      </c>
      <c r="R394" s="1">
        <v>5</v>
      </c>
      <c r="S394" s="1">
        <v>2</v>
      </c>
      <c r="T394" s="1">
        <v>0</v>
      </c>
      <c r="U394" s="1">
        <v>120</v>
      </c>
      <c r="V394" s="1">
        <v>125</v>
      </c>
      <c r="W394" s="1">
        <v>100</v>
      </c>
      <c r="X394" s="1">
        <v>100</v>
      </c>
      <c r="Y394" s="1">
        <v>95</v>
      </c>
      <c r="Z394" s="1">
        <v>94</v>
      </c>
      <c r="AA394" s="1">
        <v>0</v>
      </c>
      <c r="AB394" s="1">
        <v>15</v>
      </c>
      <c r="AC394" s="1">
        <v>5</v>
      </c>
      <c r="AD394" s="1">
        <v>0</v>
      </c>
      <c r="AE394" s="1">
        <v>110</v>
      </c>
      <c r="AF394" s="1">
        <v>130</v>
      </c>
      <c r="AG394" s="1">
        <v>900266</v>
      </c>
      <c r="AH394" s="1">
        <v>900267</v>
      </c>
      <c r="AI394" s="1">
        <v>300102</v>
      </c>
      <c r="AJ394" s="1" t="s">
        <v>329</v>
      </c>
      <c r="AK394" s="1" t="s">
        <v>1165</v>
      </c>
      <c r="AL394" s="1">
        <v>13</v>
      </c>
      <c r="AM394" s="1" t="s">
        <v>355</v>
      </c>
      <c r="AN394" s="1" t="s">
        <v>389</v>
      </c>
      <c r="AO394" s="1" t="s">
        <v>5137</v>
      </c>
      <c r="AP394" s="1">
        <v>0</v>
      </c>
      <c r="AQ394" s="1" t="s">
        <v>1157</v>
      </c>
      <c r="AR394" s="1" t="s">
        <v>1147</v>
      </c>
      <c r="AS394" s="1" t="s">
        <v>1774</v>
      </c>
      <c r="AT394" s="1" t="s">
        <v>329</v>
      </c>
      <c r="AU394" s="1">
        <v>31</v>
      </c>
      <c r="AV394" s="1">
        <v>0</v>
      </c>
      <c r="AW394" s="1" t="s">
        <v>4552</v>
      </c>
      <c r="AX394" s="1" t="s">
        <v>5476</v>
      </c>
      <c r="AY394" s="1">
        <v>4</v>
      </c>
      <c r="AZ394" s="1">
        <v>3031</v>
      </c>
      <c r="BA394" s="1" t="s">
        <v>329</v>
      </c>
      <c r="BB394" s="1" t="s">
        <v>329</v>
      </c>
      <c r="BC394" s="1" t="s">
        <v>4799</v>
      </c>
      <c r="BD394" s="1">
        <v>0</v>
      </c>
      <c r="BE394" s="1"/>
    </row>
    <row r="395" spans="1:57" x14ac:dyDescent="0.25">
      <c r="A395" s="1">
        <v>20032</v>
      </c>
      <c r="B395" s="1" t="s">
        <v>4328</v>
      </c>
      <c r="C395" s="9" t="s">
        <v>254</v>
      </c>
      <c r="D395" s="1" t="s">
        <v>4329</v>
      </c>
      <c r="E395" s="1"/>
      <c r="F395" s="1"/>
      <c r="G395" s="1" t="s">
        <v>4330</v>
      </c>
      <c r="H395" s="1" t="s">
        <v>4331</v>
      </c>
      <c r="I395" s="1" t="s">
        <v>4332</v>
      </c>
      <c r="J395" s="1">
        <v>2</v>
      </c>
      <c r="K395" s="1">
        <v>4</v>
      </c>
      <c r="L395" s="1">
        <v>6000</v>
      </c>
      <c r="M395" s="1">
        <v>25</v>
      </c>
      <c r="N395" s="1">
        <v>20</v>
      </c>
      <c r="O395" s="1">
        <v>15</v>
      </c>
      <c r="P395" s="1">
        <v>10</v>
      </c>
      <c r="Q395" s="1">
        <v>5</v>
      </c>
      <c r="R395" s="1">
        <v>5</v>
      </c>
      <c r="S395" s="1">
        <v>2</v>
      </c>
      <c r="T395" s="1">
        <v>0</v>
      </c>
      <c r="U395" s="1">
        <v>98</v>
      </c>
      <c r="V395" s="1">
        <v>93</v>
      </c>
      <c r="W395" s="1">
        <v>130</v>
      </c>
      <c r="X395" s="1">
        <v>100</v>
      </c>
      <c r="Y395" s="1">
        <v>95</v>
      </c>
      <c r="Z395" s="1">
        <v>125</v>
      </c>
      <c r="AA395" s="1">
        <v>0</v>
      </c>
      <c r="AB395" s="1">
        <v>15</v>
      </c>
      <c r="AC395" s="1">
        <v>5</v>
      </c>
      <c r="AD395" s="1">
        <v>0</v>
      </c>
      <c r="AE395" s="1">
        <v>115</v>
      </c>
      <c r="AF395" s="1">
        <v>110</v>
      </c>
      <c r="AG395" s="1">
        <v>802701</v>
      </c>
      <c r="AH395" s="1">
        <v>802710</v>
      </c>
      <c r="AI395" s="1">
        <v>300102</v>
      </c>
      <c r="AJ395" s="1" t="s">
        <v>1192</v>
      </c>
      <c r="AK395" s="1" t="s">
        <v>1440</v>
      </c>
      <c r="AL395" s="1">
        <v>13</v>
      </c>
      <c r="AM395" s="1" t="s">
        <v>4850</v>
      </c>
      <c r="AN395" s="1" t="s">
        <v>5485</v>
      </c>
      <c r="AO395" s="1" t="s">
        <v>5486</v>
      </c>
      <c r="AP395" s="1">
        <v>0</v>
      </c>
      <c r="AQ395" s="1" t="s">
        <v>1157</v>
      </c>
      <c r="AR395" s="1" t="s">
        <v>1147</v>
      </c>
      <c r="AS395" s="1" t="s">
        <v>1774</v>
      </c>
      <c r="AT395" s="1" t="s">
        <v>329</v>
      </c>
      <c r="AU395" s="1">
        <v>32</v>
      </c>
      <c r="AV395" s="1">
        <v>0</v>
      </c>
      <c r="AW395" s="1" t="s">
        <v>4552</v>
      </c>
      <c r="AX395" s="1" t="s">
        <v>5476</v>
      </c>
      <c r="AY395" s="1">
        <v>4</v>
      </c>
      <c r="AZ395" s="1">
        <v>3032</v>
      </c>
      <c r="BA395" s="1" t="s">
        <v>329</v>
      </c>
      <c r="BB395" s="1" t="s">
        <v>371</v>
      </c>
      <c r="BC395" s="1" t="s">
        <v>329</v>
      </c>
      <c r="BD395" s="1">
        <v>0</v>
      </c>
      <c r="BE395" s="1"/>
    </row>
    <row r="396" spans="1:57" x14ac:dyDescent="0.25">
      <c r="A396" s="1">
        <v>20037</v>
      </c>
      <c r="B396" s="1" t="s">
        <v>4333</v>
      </c>
      <c r="C396" s="9" t="s">
        <v>255</v>
      </c>
      <c r="D396" s="1" t="s">
        <v>255</v>
      </c>
      <c r="E396" s="1"/>
      <c r="F396" s="1"/>
      <c r="G396" s="1" t="s">
        <v>4334</v>
      </c>
      <c r="H396" s="1" t="s">
        <v>4335</v>
      </c>
      <c r="I396" s="1" t="s">
        <v>4336</v>
      </c>
      <c r="J396" s="1">
        <v>3</v>
      </c>
      <c r="K396" s="1">
        <v>4</v>
      </c>
      <c r="L396" s="1">
        <v>13200</v>
      </c>
      <c r="M396" s="1">
        <v>15</v>
      </c>
      <c r="N396" s="1">
        <v>30</v>
      </c>
      <c r="O396" s="1">
        <v>10</v>
      </c>
      <c r="P396" s="1">
        <v>15</v>
      </c>
      <c r="Q396" s="1">
        <v>5</v>
      </c>
      <c r="R396" s="1">
        <v>2</v>
      </c>
      <c r="S396" s="1">
        <v>5</v>
      </c>
      <c r="T396" s="1">
        <v>0</v>
      </c>
      <c r="U396" s="1">
        <v>95</v>
      </c>
      <c r="V396" s="1">
        <v>105</v>
      </c>
      <c r="W396" s="1">
        <v>130</v>
      </c>
      <c r="X396" s="1">
        <v>100</v>
      </c>
      <c r="Y396" s="1">
        <v>115</v>
      </c>
      <c r="Z396" s="1">
        <v>85</v>
      </c>
      <c r="AA396" s="1">
        <v>0</v>
      </c>
      <c r="AB396" s="1">
        <v>15</v>
      </c>
      <c r="AC396" s="1">
        <v>40</v>
      </c>
      <c r="AD396" s="1">
        <v>0</v>
      </c>
      <c r="AE396" s="1">
        <v>110</v>
      </c>
      <c r="AF396" s="1">
        <v>90</v>
      </c>
      <c r="AG396" s="1">
        <v>801901</v>
      </c>
      <c r="AH396" s="1">
        <v>801902</v>
      </c>
      <c r="AI396" s="1">
        <v>300104</v>
      </c>
      <c r="AJ396" s="1" t="s">
        <v>329</v>
      </c>
      <c r="AK396" s="1" t="s">
        <v>329</v>
      </c>
      <c r="AL396" s="1">
        <v>13</v>
      </c>
      <c r="AM396" s="1" t="s">
        <v>4822</v>
      </c>
      <c r="AN396" s="1" t="s">
        <v>4894</v>
      </c>
      <c r="AO396" s="1" t="s">
        <v>4892</v>
      </c>
      <c r="AP396" s="1">
        <v>0</v>
      </c>
      <c r="AQ396" s="1" t="s">
        <v>1168</v>
      </c>
      <c r="AR396" s="1" t="s">
        <v>4895</v>
      </c>
      <c r="AS396" s="1" t="s">
        <v>1170</v>
      </c>
      <c r="AT396" s="1" t="s">
        <v>329</v>
      </c>
      <c r="AU396" s="1">
        <v>37</v>
      </c>
      <c r="AV396" s="1">
        <v>0</v>
      </c>
      <c r="AW396" s="1" t="s">
        <v>4552</v>
      </c>
      <c r="AX396" s="1" t="s">
        <v>5476</v>
      </c>
      <c r="AY396" s="1">
        <v>4</v>
      </c>
      <c r="AZ396" s="1">
        <v>3037</v>
      </c>
      <c r="BA396" s="1" t="s">
        <v>329</v>
      </c>
      <c r="BB396" s="1" t="s">
        <v>4896</v>
      </c>
      <c r="BC396" s="1" t="s">
        <v>4780</v>
      </c>
      <c r="BD396" s="1">
        <v>0</v>
      </c>
      <c r="BE396" s="1"/>
    </row>
    <row r="397" spans="1:57" x14ac:dyDescent="0.25">
      <c r="A397" s="1">
        <v>20039</v>
      </c>
      <c r="B397" s="1" t="s">
        <v>4337</v>
      </c>
      <c r="C397" s="9" t="s">
        <v>1708</v>
      </c>
      <c r="D397" s="1" t="s">
        <v>4338</v>
      </c>
      <c r="E397" s="1"/>
      <c r="F397" s="1"/>
      <c r="G397" s="1" t="s">
        <v>4339</v>
      </c>
      <c r="H397" s="1" t="s">
        <v>4340</v>
      </c>
      <c r="I397" s="1" t="s">
        <v>4341</v>
      </c>
      <c r="J397" s="1">
        <v>3</v>
      </c>
      <c r="K397" s="1">
        <v>5</v>
      </c>
      <c r="L397" s="1">
        <v>15000</v>
      </c>
      <c r="M397" s="1">
        <v>15</v>
      </c>
      <c r="N397" s="1">
        <v>30</v>
      </c>
      <c r="O397" s="1">
        <v>10</v>
      </c>
      <c r="P397" s="1">
        <v>15</v>
      </c>
      <c r="Q397" s="1">
        <v>5</v>
      </c>
      <c r="R397" s="1">
        <v>2</v>
      </c>
      <c r="S397" s="1">
        <v>5</v>
      </c>
      <c r="T397" s="1">
        <v>0</v>
      </c>
      <c r="U397" s="1">
        <v>100</v>
      </c>
      <c r="V397" s="1">
        <v>115</v>
      </c>
      <c r="W397" s="1">
        <v>85</v>
      </c>
      <c r="X397" s="1">
        <v>100</v>
      </c>
      <c r="Y397" s="1">
        <v>120</v>
      </c>
      <c r="Z397" s="1">
        <v>105</v>
      </c>
      <c r="AA397" s="1">
        <v>0</v>
      </c>
      <c r="AB397" s="1">
        <v>15</v>
      </c>
      <c r="AC397" s="1">
        <v>40</v>
      </c>
      <c r="AD397" s="1">
        <v>0</v>
      </c>
      <c r="AE397" s="1">
        <v>130</v>
      </c>
      <c r="AF397" s="1">
        <v>100</v>
      </c>
      <c r="AG397" s="1">
        <v>800605</v>
      </c>
      <c r="AH397" s="1">
        <v>800602</v>
      </c>
      <c r="AI397" s="1">
        <v>800601</v>
      </c>
      <c r="AJ397" s="1" t="s">
        <v>1173</v>
      </c>
      <c r="AK397" s="1" t="s">
        <v>1441</v>
      </c>
      <c r="AL397" s="1">
        <v>13</v>
      </c>
      <c r="AM397" s="1" t="s">
        <v>4822</v>
      </c>
      <c r="AN397" s="1" t="s">
        <v>4870</v>
      </c>
      <c r="AO397" s="1" t="s">
        <v>4905</v>
      </c>
      <c r="AP397" s="1">
        <v>0</v>
      </c>
      <c r="AQ397" s="1" t="s">
        <v>1168</v>
      </c>
      <c r="AR397" s="1" t="s">
        <v>4895</v>
      </c>
      <c r="AS397" s="1" t="s">
        <v>4899</v>
      </c>
      <c r="AT397" s="1" t="s">
        <v>329</v>
      </c>
      <c r="AU397" s="1">
        <v>39</v>
      </c>
      <c r="AV397" s="1">
        <v>0</v>
      </c>
      <c r="AW397" s="1" t="s">
        <v>4552</v>
      </c>
      <c r="AX397" s="1" t="s">
        <v>5476</v>
      </c>
      <c r="AY397" s="1">
        <v>5</v>
      </c>
      <c r="AZ397" s="1">
        <v>3039</v>
      </c>
      <c r="BA397" s="1" t="s">
        <v>329</v>
      </c>
      <c r="BB397" s="1" t="s">
        <v>4900</v>
      </c>
      <c r="BC397" s="1" t="s">
        <v>4817</v>
      </c>
      <c r="BD397" s="1">
        <v>0</v>
      </c>
      <c r="BE397" s="1"/>
    </row>
    <row r="398" spans="1:57" x14ac:dyDescent="0.25">
      <c r="A398" s="1">
        <v>20044</v>
      </c>
      <c r="B398" s="1" t="s">
        <v>4342</v>
      </c>
      <c r="C398" s="9" t="s">
        <v>1709</v>
      </c>
      <c r="D398" s="1" t="s">
        <v>1709</v>
      </c>
      <c r="E398" s="1"/>
      <c r="F398" s="1"/>
      <c r="G398" s="1" t="s">
        <v>4343</v>
      </c>
      <c r="H398" s="1" t="s">
        <v>4344</v>
      </c>
      <c r="I398" s="1" t="s">
        <v>4345</v>
      </c>
      <c r="J398" s="1">
        <v>3</v>
      </c>
      <c r="K398" s="1">
        <v>4</v>
      </c>
      <c r="L398" s="1">
        <v>13200</v>
      </c>
      <c r="M398" s="1">
        <v>15</v>
      </c>
      <c r="N398" s="1">
        <v>30</v>
      </c>
      <c r="O398" s="1">
        <v>10</v>
      </c>
      <c r="P398" s="1">
        <v>15</v>
      </c>
      <c r="Q398" s="1">
        <v>5</v>
      </c>
      <c r="R398" s="1">
        <v>2</v>
      </c>
      <c r="S398" s="1">
        <v>5</v>
      </c>
      <c r="T398" s="1">
        <v>0</v>
      </c>
      <c r="U398" s="1">
        <v>95</v>
      </c>
      <c r="V398" s="1">
        <v>118</v>
      </c>
      <c r="W398" s="1">
        <v>110</v>
      </c>
      <c r="X398" s="1">
        <v>100</v>
      </c>
      <c r="Y398" s="1">
        <v>122</v>
      </c>
      <c r="Z398" s="1">
        <v>85</v>
      </c>
      <c r="AA398" s="1">
        <v>0</v>
      </c>
      <c r="AB398" s="1">
        <v>15</v>
      </c>
      <c r="AC398" s="1">
        <v>40</v>
      </c>
      <c r="AD398" s="1">
        <v>0</v>
      </c>
      <c r="AE398" s="1">
        <v>115</v>
      </c>
      <c r="AF398" s="1">
        <v>110</v>
      </c>
      <c r="AG398" s="1">
        <v>801417</v>
      </c>
      <c r="AH398" s="1">
        <v>801414</v>
      </c>
      <c r="AI398" s="1">
        <v>300104</v>
      </c>
      <c r="AJ398" s="1" t="s">
        <v>1442</v>
      </c>
      <c r="AK398" s="1" t="s">
        <v>1443</v>
      </c>
      <c r="AL398" s="1">
        <v>13</v>
      </c>
      <c r="AM398" s="1" t="s">
        <v>4822</v>
      </c>
      <c r="AN398" s="1" t="s">
        <v>466</v>
      </c>
      <c r="AO398" s="1" t="s">
        <v>4892</v>
      </c>
      <c r="AP398" s="1">
        <v>0</v>
      </c>
      <c r="AQ398" s="1" t="s">
        <v>1168</v>
      </c>
      <c r="AR398" s="1" t="s">
        <v>1169</v>
      </c>
      <c r="AS398" s="1" t="s">
        <v>4899</v>
      </c>
      <c r="AT398" s="1" t="s">
        <v>329</v>
      </c>
      <c r="AU398" s="1">
        <v>44</v>
      </c>
      <c r="AV398" s="1">
        <v>0</v>
      </c>
      <c r="AW398" s="1" t="s">
        <v>4552</v>
      </c>
      <c r="AX398" s="1" t="s">
        <v>5476</v>
      </c>
      <c r="AY398" s="1">
        <v>4</v>
      </c>
      <c r="AZ398" s="1">
        <v>3044</v>
      </c>
      <c r="BA398" s="1" t="s">
        <v>329</v>
      </c>
      <c r="BB398" s="1" t="s">
        <v>4904</v>
      </c>
      <c r="BC398" s="1" t="s">
        <v>4817</v>
      </c>
      <c r="BD398" s="1">
        <v>0</v>
      </c>
      <c r="BE398" s="1"/>
    </row>
    <row r="399" spans="1:57" x14ac:dyDescent="0.25">
      <c r="A399" s="1">
        <v>20049</v>
      </c>
      <c r="B399" s="1" t="s">
        <v>4346</v>
      </c>
      <c r="C399" s="9" t="s">
        <v>832</v>
      </c>
      <c r="D399" s="1" t="s">
        <v>4347</v>
      </c>
      <c r="E399" s="1"/>
      <c r="F399" s="1"/>
      <c r="G399" s="1" t="s">
        <v>4348</v>
      </c>
      <c r="H399" s="1" t="s">
        <v>4349</v>
      </c>
      <c r="I399" s="1" t="s">
        <v>4350</v>
      </c>
      <c r="J399" s="1">
        <v>3</v>
      </c>
      <c r="K399" s="1">
        <v>4</v>
      </c>
      <c r="L399" s="1">
        <v>13800</v>
      </c>
      <c r="M399" s="1">
        <v>15</v>
      </c>
      <c r="N399" s="1">
        <v>30</v>
      </c>
      <c r="O399" s="1">
        <v>10</v>
      </c>
      <c r="P399" s="1">
        <v>15</v>
      </c>
      <c r="Q399" s="1">
        <v>5</v>
      </c>
      <c r="R399" s="1">
        <v>2</v>
      </c>
      <c r="S399" s="1">
        <v>5</v>
      </c>
      <c r="T399" s="1">
        <v>0</v>
      </c>
      <c r="U399" s="1">
        <v>105</v>
      </c>
      <c r="V399" s="1">
        <v>105</v>
      </c>
      <c r="W399" s="1">
        <v>110</v>
      </c>
      <c r="X399" s="1">
        <v>100</v>
      </c>
      <c r="Y399" s="1">
        <v>110</v>
      </c>
      <c r="Z399" s="1">
        <v>115</v>
      </c>
      <c r="AA399" s="1">
        <v>0</v>
      </c>
      <c r="AB399" s="1">
        <v>15</v>
      </c>
      <c r="AC399" s="1">
        <v>40</v>
      </c>
      <c r="AD399" s="1">
        <v>0</v>
      </c>
      <c r="AE399" s="1">
        <v>110</v>
      </c>
      <c r="AF399" s="1">
        <v>100</v>
      </c>
      <c r="AG399" s="1">
        <v>992232</v>
      </c>
      <c r="AH399" s="1">
        <v>902233</v>
      </c>
      <c r="AI399" s="1">
        <v>902228</v>
      </c>
      <c r="AJ399" s="1" t="s">
        <v>1444</v>
      </c>
      <c r="AK399" s="1" t="s">
        <v>329</v>
      </c>
      <c r="AL399" s="1">
        <v>13</v>
      </c>
      <c r="AM399" s="1" t="s">
        <v>4822</v>
      </c>
      <c r="AN399" s="1" t="s">
        <v>4833</v>
      </c>
      <c r="AO399" s="1" t="s">
        <v>4892</v>
      </c>
      <c r="AP399" s="1">
        <v>0</v>
      </c>
      <c r="AQ399" s="1" t="s">
        <v>1775</v>
      </c>
      <c r="AR399" s="1" t="s">
        <v>1169</v>
      </c>
      <c r="AS399" s="1" t="s">
        <v>1170</v>
      </c>
      <c r="AT399" s="1" t="s">
        <v>329</v>
      </c>
      <c r="AU399" s="1">
        <v>49</v>
      </c>
      <c r="AV399" s="1">
        <v>0</v>
      </c>
      <c r="AW399" s="1" t="s">
        <v>4908</v>
      </c>
      <c r="AX399" s="1" t="s">
        <v>5476</v>
      </c>
      <c r="AY399" s="1">
        <v>4</v>
      </c>
      <c r="AZ399" s="1">
        <v>3049</v>
      </c>
      <c r="BA399" s="1" t="s">
        <v>329</v>
      </c>
      <c r="BB399" s="1" t="s">
        <v>4910</v>
      </c>
      <c r="BC399" s="1" t="s">
        <v>4843</v>
      </c>
      <c r="BD399" s="1">
        <v>0</v>
      </c>
      <c r="BE399" s="1"/>
    </row>
    <row r="400" spans="1:57" x14ac:dyDescent="0.25">
      <c r="A400" s="1">
        <v>20051</v>
      </c>
      <c r="B400" s="1" t="s">
        <v>4351</v>
      </c>
      <c r="C400" s="9" t="s">
        <v>1445</v>
      </c>
      <c r="D400" s="1" t="s">
        <v>1445</v>
      </c>
      <c r="E400" s="1"/>
      <c r="F400" s="1"/>
      <c r="G400" s="1" t="s">
        <v>4352</v>
      </c>
      <c r="H400" s="1" t="s">
        <v>4353</v>
      </c>
      <c r="I400" s="1" t="s">
        <v>4354</v>
      </c>
      <c r="J400" s="1">
        <v>3</v>
      </c>
      <c r="K400" s="1">
        <v>4</v>
      </c>
      <c r="L400" s="1">
        <v>11400</v>
      </c>
      <c r="M400" s="1">
        <v>15</v>
      </c>
      <c r="N400" s="1">
        <v>30</v>
      </c>
      <c r="O400" s="1">
        <v>10</v>
      </c>
      <c r="P400" s="1">
        <v>15</v>
      </c>
      <c r="Q400" s="1">
        <v>5</v>
      </c>
      <c r="R400" s="1">
        <v>2</v>
      </c>
      <c r="S400" s="1">
        <v>5</v>
      </c>
      <c r="T400" s="1">
        <v>0</v>
      </c>
      <c r="U400" s="1">
        <v>105</v>
      </c>
      <c r="V400" s="1">
        <v>110</v>
      </c>
      <c r="W400" s="1">
        <v>100</v>
      </c>
      <c r="X400" s="1">
        <v>100</v>
      </c>
      <c r="Y400" s="1">
        <v>95</v>
      </c>
      <c r="Z400" s="1">
        <v>100</v>
      </c>
      <c r="AA400" s="1">
        <v>0</v>
      </c>
      <c r="AB400" s="1">
        <v>15</v>
      </c>
      <c r="AC400" s="1">
        <v>40</v>
      </c>
      <c r="AD400" s="1">
        <v>0</v>
      </c>
      <c r="AE400" s="1">
        <v>115</v>
      </c>
      <c r="AF400" s="1">
        <v>105</v>
      </c>
      <c r="AG400" s="1">
        <v>800901</v>
      </c>
      <c r="AH400" s="1">
        <v>800902</v>
      </c>
      <c r="AI400" s="1">
        <v>300104</v>
      </c>
      <c r="AJ400" s="1" t="s">
        <v>329</v>
      </c>
      <c r="AK400" s="1" t="s">
        <v>329</v>
      </c>
      <c r="AL400" s="1">
        <v>13</v>
      </c>
      <c r="AM400" s="1" t="s">
        <v>4822</v>
      </c>
      <c r="AN400" s="1" t="s">
        <v>4894</v>
      </c>
      <c r="AO400" s="1" t="s">
        <v>4892</v>
      </c>
      <c r="AP400" s="1">
        <v>0</v>
      </c>
      <c r="AQ400" s="1" t="s">
        <v>1168</v>
      </c>
      <c r="AR400" s="1" t="s">
        <v>4895</v>
      </c>
      <c r="AS400" s="1" t="s">
        <v>1170</v>
      </c>
      <c r="AT400" s="1" t="s">
        <v>329</v>
      </c>
      <c r="AU400" s="1">
        <v>51</v>
      </c>
      <c r="AV400" s="1">
        <v>0</v>
      </c>
      <c r="AW400" s="1" t="s">
        <v>4552</v>
      </c>
      <c r="AX400" s="1" t="s">
        <v>5476</v>
      </c>
      <c r="AY400" s="1">
        <v>4</v>
      </c>
      <c r="AZ400" s="1">
        <v>3051</v>
      </c>
      <c r="BA400" s="1" t="s">
        <v>329</v>
      </c>
      <c r="BB400" s="1" t="s">
        <v>4912</v>
      </c>
      <c r="BC400" s="1" t="s">
        <v>4913</v>
      </c>
      <c r="BD400" s="1">
        <v>0</v>
      </c>
      <c r="BE400" s="1"/>
    </row>
    <row r="401" spans="1:57" x14ac:dyDescent="0.25">
      <c r="A401" s="1">
        <v>20053</v>
      </c>
      <c r="B401" s="1" t="s">
        <v>4355</v>
      </c>
      <c r="C401" s="9" t="s">
        <v>1710</v>
      </c>
      <c r="D401" s="1" t="s">
        <v>1710</v>
      </c>
      <c r="E401" s="1"/>
      <c r="F401" s="1"/>
      <c r="G401" s="1" t="s">
        <v>4356</v>
      </c>
      <c r="H401" s="1" t="s">
        <v>4357</v>
      </c>
      <c r="I401" s="1" t="s">
        <v>4358</v>
      </c>
      <c r="J401" s="1">
        <v>3</v>
      </c>
      <c r="K401" s="1">
        <v>6</v>
      </c>
      <c r="L401" s="1">
        <v>17100</v>
      </c>
      <c r="M401" s="1">
        <v>15</v>
      </c>
      <c r="N401" s="1">
        <v>30</v>
      </c>
      <c r="O401" s="1">
        <v>10</v>
      </c>
      <c r="P401" s="1">
        <v>15</v>
      </c>
      <c r="Q401" s="1">
        <v>5</v>
      </c>
      <c r="R401" s="1">
        <v>2</v>
      </c>
      <c r="S401" s="1">
        <v>5</v>
      </c>
      <c r="T401" s="1">
        <v>0</v>
      </c>
      <c r="U401" s="1">
        <v>105</v>
      </c>
      <c r="V401" s="1">
        <v>145</v>
      </c>
      <c r="W401" s="1">
        <v>90</v>
      </c>
      <c r="X401" s="1">
        <v>100</v>
      </c>
      <c r="Y401" s="1">
        <v>110</v>
      </c>
      <c r="Z401" s="1">
        <v>80</v>
      </c>
      <c r="AA401" s="1">
        <v>0</v>
      </c>
      <c r="AB401" s="1">
        <v>15</v>
      </c>
      <c r="AC401" s="1">
        <v>40</v>
      </c>
      <c r="AD401" s="1">
        <v>0</v>
      </c>
      <c r="AE401" s="1">
        <v>130</v>
      </c>
      <c r="AF401" s="1">
        <v>160</v>
      </c>
      <c r="AG401" s="1">
        <v>803101</v>
      </c>
      <c r="AH401" s="1">
        <v>803105</v>
      </c>
      <c r="AI401" s="1">
        <v>803106</v>
      </c>
      <c r="AJ401" s="1" t="s">
        <v>1446</v>
      </c>
      <c r="AK401" s="1" t="s">
        <v>1447</v>
      </c>
      <c r="AL401" s="1">
        <v>13</v>
      </c>
      <c r="AM401" s="1" t="s">
        <v>4822</v>
      </c>
      <c r="AN401" s="1" t="s">
        <v>4889</v>
      </c>
      <c r="AO401" s="1" t="s">
        <v>5487</v>
      </c>
      <c r="AP401" s="1">
        <v>0</v>
      </c>
      <c r="AQ401" s="1" t="s">
        <v>1775</v>
      </c>
      <c r="AR401" s="1" t="s">
        <v>1169</v>
      </c>
      <c r="AS401" s="1" t="s">
        <v>1170</v>
      </c>
      <c r="AT401" s="1" t="s">
        <v>329</v>
      </c>
      <c r="AU401" s="1">
        <v>53</v>
      </c>
      <c r="AV401" s="1">
        <v>0</v>
      </c>
      <c r="AW401" s="1" t="s">
        <v>4552</v>
      </c>
      <c r="AX401" s="1" t="s">
        <v>5476</v>
      </c>
      <c r="AY401" s="1">
        <v>6</v>
      </c>
      <c r="AZ401" s="1">
        <v>3053</v>
      </c>
      <c r="BA401" s="1" t="s">
        <v>329</v>
      </c>
      <c r="BB401" s="1" t="s">
        <v>4916</v>
      </c>
      <c r="BC401" s="1" t="s">
        <v>329</v>
      </c>
      <c r="BD401" s="1">
        <v>0</v>
      </c>
      <c r="BE401" s="1"/>
    </row>
    <row r="402" spans="1:57" x14ac:dyDescent="0.25">
      <c r="A402" s="1">
        <v>20055</v>
      </c>
      <c r="B402" s="1" t="s">
        <v>4359</v>
      </c>
      <c r="C402" s="9" t="s">
        <v>256</v>
      </c>
      <c r="D402" s="1" t="s">
        <v>256</v>
      </c>
      <c r="E402" s="1"/>
      <c r="F402" s="1"/>
      <c r="G402" s="1" t="s">
        <v>4360</v>
      </c>
      <c r="H402" s="1" t="s">
        <v>4361</v>
      </c>
      <c r="I402" s="1" t="s">
        <v>4362</v>
      </c>
      <c r="J402" s="1">
        <v>4</v>
      </c>
      <c r="K402" s="1">
        <v>5</v>
      </c>
      <c r="L402" s="1">
        <v>12900</v>
      </c>
      <c r="M402" s="1">
        <v>20</v>
      </c>
      <c r="N402" s="1">
        <v>20</v>
      </c>
      <c r="O402" s="1">
        <v>10</v>
      </c>
      <c r="P402" s="1">
        <v>10</v>
      </c>
      <c r="Q402" s="1">
        <v>2</v>
      </c>
      <c r="R402" s="1">
        <v>5</v>
      </c>
      <c r="S402" s="1">
        <v>5</v>
      </c>
      <c r="T402" s="1">
        <v>0</v>
      </c>
      <c r="U402" s="1">
        <v>100</v>
      </c>
      <c r="V402" s="1">
        <v>110</v>
      </c>
      <c r="W402" s="1">
        <v>120</v>
      </c>
      <c r="X402" s="1">
        <v>100</v>
      </c>
      <c r="Y402" s="1">
        <v>120</v>
      </c>
      <c r="Z402" s="1">
        <v>120</v>
      </c>
      <c r="AA402" s="1">
        <v>0</v>
      </c>
      <c r="AB402" s="1">
        <v>15</v>
      </c>
      <c r="AC402" s="1">
        <v>20</v>
      </c>
      <c r="AD402" s="1">
        <v>0</v>
      </c>
      <c r="AE402" s="1">
        <v>115</v>
      </c>
      <c r="AF402" s="1">
        <v>115</v>
      </c>
      <c r="AG402" s="1">
        <v>801101</v>
      </c>
      <c r="AH402" s="1">
        <v>801108</v>
      </c>
      <c r="AI402" s="1">
        <v>801102</v>
      </c>
      <c r="AJ402" s="1" t="s">
        <v>1448</v>
      </c>
      <c r="AK402" s="1" t="s">
        <v>1431</v>
      </c>
      <c r="AL402" s="1">
        <v>13</v>
      </c>
      <c r="AM402" s="1" t="s">
        <v>4850</v>
      </c>
      <c r="AN402" s="1" t="s">
        <v>4921</v>
      </c>
      <c r="AO402" s="1" t="s">
        <v>5488</v>
      </c>
      <c r="AP402" s="1">
        <v>0</v>
      </c>
      <c r="AQ402" s="1" t="s">
        <v>1158</v>
      </c>
      <c r="AR402" s="1" t="s">
        <v>1182</v>
      </c>
      <c r="AS402" s="1" t="s">
        <v>1773</v>
      </c>
      <c r="AT402" s="1" t="s">
        <v>329</v>
      </c>
      <c r="AU402" s="1">
        <v>55</v>
      </c>
      <c r="AV402" s="1">
        <v>0</v>
      </c>
      <c r="AW402" s="1" t="s">
        <v>4552</v>
      </c>
      <c r="AX402" s="1" t="s">
        <v>5476</v>
      </c>
      <c r="AY402" s="1">
        <v>5</v>
      </c>
      <c r="AZ402" s="1">
        <v>3055</v>
      </c>
      <c r="BA402" s="1" t="s">
        <v>329</v>
      </c>
      <c r="BB402" s="1" t="s">
        <v>4923</v>
      </c>
      <c r="BC402" s="1" t="s">
        <v>5209</v>
      </c>
      <c r="BD402" s="1">
        <v>0</v>
      </c>
      <c r="BE402" s="1"/>
    </row>
    <row r="403" spans="1:57" x14ac:dyDescent="0.25">
      <c r="A403" s="1">
        <v>20056</v>
      </c>
      <c r="B403" s="1" t="s">
        <v>4363</v>
      </c>
      <c r="C403" s="9" t="s">
        <v>257</v>
      </c>
      <c r="D403" s="1" t="s">
        <v>257</v>
      </c>
      <c r="E403" s="1"/>
      <c r="F403" s="1"/>
      <c r="G403" s="1" t="s">
        <v>4364</v>
      </c>
      <c r="H403" s="1" t="s">
        <v>4365</v>
      </c>
      <c r="I403" s="1" t="s">
        <v>4366</v>
      </c>
      <c r="J403" s="1">
        <v>4</v>
      </c>
      <c r="K403" s="1">
        <v>5</v>
      </c>
      <c r="L403" s="1">
        <v>12900</v>
      </c>
      <c r="M403" s="1">
        <v>20</v>
      </c>
      <c r="N403" s="1">
        <v>20</v>
      </c>
      <c r="O403" s="1">
        <v>10</v>
      </c>
      <c r="P403" s="1">
        <v>10</v>
      </c>
      <c r="Q403" s="1">
        <v>2</v>
      </c>
      <c r="R403" s="1">
        <v>5</v>
      </c>
      <c r="S403" s="1">
        <v>5</v>
      </c>
      <c r="T403" s="1">
        <v>0</v>
      </c>
      <c r="U403" s="1">
        <v>100</v>
      </c>
      <c r="V403" s="1">
        <v>118</v>
      </c>
      <c r="W403" s="1">
        <v>120</v>
      </c>
      <c r="X403" s="1">
        <v>100</v>
      </c>
      <c r="Y403" s="1">
        <v>125</v>
      </c>
      <c r="Z403" s="1">
        <v>115</v>
      </c>
      <c r="AA403" s="1">
        <v>0</v>
      </c>
      <c r="AB403" s="1">
        <v>15</v>
      </c>
      <c r="AC403" s="1">
        <v>30</v>
      </c>
      <c r="AD403" s="1">
        <v>0</v>
      </c>
      <c r="AE403" s="1">
        <v>110</v>
      </c>
      <c r="AF403" s="1">
        <v>115</v>
      </c>
      <c r="AG403" s="1">
        <v>801601</v>
      </c>
      <c r="AH403" s="1">
        <v>801602</v>
      </c>
      <c r="AI403" s="1">
        <v>300103</v>
      </c>
      <c r="AJ403" s="1" t="s">
        <v>1449</v>
      </c>
      <c r="AK403" s="1" t="s">
        <v>1450</v>
      </c>
      <c r="AL403" s="1">
        <v>13</v>
      </c>
      <c r="AM403" s="1" t="s">
        <v>4779</v>
      </c>
      <c r="AN403" s="1" t="s">
        <v>4924</v>
      </c>
      <c r="AO403" s="1" t="s">
        <v>4940</v>
      </c>
      <c r="AP403" s="1">
        <v>0</v>
      </c>
      <c r="AQ403" s="1" t="s">
        <v>4926</v>
      </c>
      <c r="AR403" s="1" t="s">
        <v>4926</v>
      </c>
      <c r="AS403" s="1" t="s">
        <v>1182</v>
      </c>
      <c r="AT403" s="1" t="s">
        <v>329</v>
      </c>
      <c r="AU403" s="1">
        <v>56</v>
      </c>
      <c r="AV403" s="1">
        <v>0</v>
      </c>
      <c r="AW403" s="1" t="s">
        <v>4552</v>
      </c>
      <c r="AX403" s="1" t="s">
        <v>5476</v>
      </c>
      <c r="AY403" s="1">
        <v>5</v>
      </c>
      <c r="AZ403" s="1">
        <v>3056</v>
      </c>
      <c r="BA403" s="1" t="s">
        <v>329</v>
      </c>
      <c r="BB403" s="1" t="s">
        <v>475</v>
      </c>
      <c r="BC403" s="1" t="s">
        <v>4920</v>
      </c>
      <c r="BD403" s="1">
        <v>0</v>
      </c>
      <c r="BE403" s="1"/>
    </row>
    <row r="404" spans="1:57" x14ac:dyDescent="0.25">
      <c r="A404" s="1">
        <v>20057</v>
      </c>
      <c r="B404" s="1" t="s">
        <v>4367</v>
      </c>
      <c r="C404" s="9" t="s">
        <v>1711</v>
      </c>
      <c r="D404" s="1" t="s">
        <v>4368</v>
      </c>
      <c r="E404" s="1"/>
      <c r="F404" s="1"/>
      <c r="G404" s="1" t="s">
        <v>4369</v>
      </c>
      <c r="H404" s="1" t="s">
        <v>4370</v>
      </c>
      <c r="I404" s="1" t="s">
        <v>4371</v>
      </c>
      <c r="J404" s="1">
        <v>4</v>
      </c>
      <c r="K404" s="1">
        <v>5</v>
      </c>
      <c r="L404" s="1">
        <v>12900</v>
      </c>
      <c r="M404" s="1">
        <v>20</v>
      </c>
      <c r="N404" s="1">
        <v>20</v>
      </c>
      <c r="O404" s="1">
        <v>10</v>
      </c>
      <c r="P404" s="1">
        <v>10</v>
      </c>
      <c r="Q404" s="1">
        <v>2</v>
      </c>
      <c r="R404" s="1">
        <v>5</v>
      </c>
      <c r="S404" s="1">
        <v>5</v>
      </c>
      <c r="T404" s="1">
        <v>0</v>
      </c>
      <c r="U404" s="1">
        <v>95</v>
      </c>
      <c r="V404" s="1">
        <v>106</v>
      </c>
      <c r="W404" s="1">
        <v>115</v>
      </c>
      <c r="X404" s="1">
        <v>100</v>
      </c>
      <c r="Y404" s="1">
        <v>125</v>
      </c>
      <c r="Z404" s="1">
        <v>120</v>
      </c>
      <c r="AA404" s="1">
        <v>0</v>
      </c>
      <c r="AB404" s="1">
        <v>15</v>
      </c>
      <c r="AC404" s="1">
        <v>20</v>
      </c>
      <c r="AD404" s="1">
        <v>0</v>
      </c>
      <c r="AE404" s="1">
        <v>120</v>
      </c>
      <c r="AF404" s="1">
        <v>125</v>
      </c>
      <c r="AG404" s="1">
        <v>801003</v>
      </c>
      <c r="AH404" s="1">
        <v>801002</v>
      </c>
      <c r="AI404" s="1">
        <v>801001</v>
      </c>
      <c r="AJ404" s="1" t="s">
        <v>1451</v>
      </c>
      <c r="AK404" s="1" t="s">
        <v>1452</v>
      </c>
      <c r="AL404" s="1">
        <v>13</v>
      </c>
      <c r="AM404" s="1" t="s">
        <v>4779</v>
      </c>
      <c r="AN404" s="1" t="s">
        <v>4924</v>
      </c>
      <c r="AO404" s="1" t="s">
        <v>5058</v>
      </c>
      <c r="AP404" s="1">
        <v>0</v>
      </c>
      <c r="AQ404" s="1" t="s">
        <v>4926</v>
      </c>
      <c r="AR404" s="1" t="s">
        <v>4926</v>
      </c>
      <c r="AS404" s="1" t="s">
        <v>4928</v>
      </c>
      <c r="AT404" s="1" t="s">
        <v>329</v>
      </c>
      <c r="AU404" s="1">
        <v>57</v>
      </c>
      <c r="AV404" s="1">
        <v>0</v>
      </c>
      <c r="AW404" s="1" t="s">
        <v>4552</v>
      </c>
      <c r="AX404" s="1" t="s">
        <v>5476</v>
      </c>
      <c r="AY404" s="1">
        <v>5</v>
      </c>
      <c r="AZ404" s="1">
        <v>3057</v>
      </c>
      <c r="BA404" s="1" t="s">
        <v>329</v>
      </c>
      <c r="BB404" s="1" t="s">
        <v>4929</v>
      </c>
      <c r="BC404" s="1" t="s">
        <v>5209</v>
      </c>
      <c r="BD404" s="1">
        <v>0</v>
      </c>
      <c r="BE404" s="1"/>
    </row>
    <row r="405" spans="1:57" x14ac:dyDescent="0.25">
      <c r="A405" s="1">
        <v>20060</v>
      </c>
      <c r="B405" s="1" t="s">
        <v>4372</v>
      </c>
      <c r="C405" s="9" t="s">
        <v>258</v>
      </c>
      <c r="D405" s="1" t="s">
        <v>4373</v>
      </c>
      <c r="E405" s="1"/>
      <c r="F405" s="1"/>
      <c r="G405" s="1" t="s">
        <v>4374</v>
      </c>
      <c r="H405" s="1" t="s">
        <v>4375</v>
      </c>
      <c r="I405" s="1" t="s">
        <v>4376</v>
      </c>
      <c r="J405" s="1">
        <v>4</v>
      </c>
      <c r="K405" s="1">
        <v>5</v>
      </c>
      <c r="L405" s="1">
        <v>12600</v>
      </c>
      <c r="M405" s="1">
        <v>20</v>
      </c>
      <c r="N405" s="1">
        <v>20</v>
      </c>
      <c r="O405" s="1">
        <v>10</v>
      </c>
      <c r="P405" s="1">
        <v>10</v>
      </c>
      <c r="Q405" s="1">
        <v>2</v>
      </c>
      <c r="R405" s="1">
        <v>5</v>
      </c>
      <c r="S405" s="1">
        <v>5</v>
      </c>
      <c r="T405" s="1">
        <v>0</v>
      </c>
      <c r="U405" s="1">
        <v>120</v>
      </c>
      <c r="V405" s="1">
        <v>94</v>
      </c>
      <c r="W405" s="1">
        <v>115</v>
      </c>
      <c r="X405" s="1">
        <v>100</v>
      </c>
      <c r="Y405" s="1">
        <v>125</v>
      </c>
      <c r="Z405" s="1">
        <v>125</v>
      </c>
      <c r="AA405" s="1">
        <v>0</v>
      </c>
      <c r="AB405" s="1">
        <v>15</v>
      </c>
      <c r="AC405" s="1">
        <v>20</v>
      </c>
      <c r="AD405" s="1">
        <v>0</v>
      </c>
      <c r="AE405" s="1">
        <v>110</v>
      </c>
      <c r="AF405" s="1">
        <v>85</v>
      </c>
      <c r="AG405" s="1">
        <v>802601</v>
      </c>
      <c r="AH405" s="1">
        <v>802602</v>
      </c>
      <c r="AI405" s="1">
        <v>802603</v>
      </c>
      <c r="AJ405" s="1" t="s">
        <v>329</v>
      </c>
      <c r="AK405" s="1" t="s">
        <v>1453</v>
      </c>
      <c r="AL405" s="1">
        <v>13</v>
      </c>
      <c r="AM405" s="1" t="s">
        <v>4779</v>
      </c>
      <c r="AN405" s="1" t="s">
        <v>451</v>
      </c>
      <c r="AO405" s="1" t="s">
        <v>5212</v>
      </c>
      <c r="AP405" s="1">
        <v>0</v>
      </c>
      <c r="AQ405" s="1" t="s">
        <v>1158</v>
      </c>
      <c r="AR405" s="1" t="s">
        <v>4928</v>
      </c>
      <c r="AS405" s="1" t="s">
        <v>1157</v>
      </c>
      <c r="AT405" s="1" t="s">
        <v>329</v>
      </c>
      <c r="AU405" s="1">
        <v>60</v>
      </c>
      <c r="AV405" s="1">
        <v>0</v>
      </c>
      <c r="AW405" s="1" t="s">
        <v>4552</v>
      </c>
      <c r="AX405" s="1" t="s">
        <v>5476</v>
      </c>
      <c r="AY405" s="1">
        <v>5</v>
      </c>
      <c r="AZ405" s="1">
        <v>3060</v>
      </c>
      <c r="BA405" s="1" t="s">
        <v>329</v>
      </c>
      <c r="BB405" s="1" t="s">
        <v>4938</v>
      </c>
      <c r="BC405" s="1" t="s">
        <v>4817</v>
      </c>
      <c r="BD405" s="1">
        <v>0</v>
      </c>
      <c r="BE405" s="1"/>
    </row>
    <row r="406" spans="1:57" x14ac:dyDescent="0.25">
      <c r="A406" s="1">
        <v>20061</v>
      </c>
      <c r="B406" s="1" t="s">
        <v>4377</v>
      </c>
      <c r="C406" s="9" t="s">
        <v>833</v>
      </c>
      <c r="D406" s="1" t="s">
        <v>4378</v>
      </c>
      <c r="E406" s="1"/>
      <c r="F406" s="1"/>
      <c r="G406" s="1" t="s">
        <v>4379</v>
      </c>
      <c r="H406" s="1" t="s">
        <v>4380</v>
      </c>
      <c r="I406" s="1" t="s">
        <v>4381</v>
      </c>
      <c r="J406" s="1">
        <v>4</v>
      </c>
      <c r="K406" s="1">
        <v>4</v>
      </c>
      <c r="L406" s="1">
        <v>10800</v>
      </c>
      <c r="M406" s="1">
        <v>20</v>
      </c>
      <c r="N406" s="1">
        <v>20</v>
      </c>
      <c r="O406" s="1">
        <v>10</v>
      </c>
      <c r="P406" s="1">
        <v>10</v>
      </c>
      <c r="Q406" s="1">
        <v>2</v>
      </c>
      <c r="R406" s="1">
        <v>5</v>
      </c>
      <c r="S406" s="1">
        <v>5</v>
      </c>
      <c r="T406" s="1">
        <v>0</v>
      </c>
      <c r="U406" s="1">
        <v>115</v>
      </c>
      <c r="V406" s="1">
        <v>125</v>
      </c>
      <c r="W406" s="1">
        <v>96</v>
      </c>
      <c r="X406" s="1">
        <v>100</v>
      </c>
      <c r="Y406" s="1">
        <v>115</v>
      </c>
      <c r="Z406" s="1">
        <v>85</v>
      </c>
      <c r="AA406" s="1">
        <v>0</v>
      </c>
      <c r="AB406" s="1">
        <v>15</v>
      </c>
      <c r="AC406" s="1">
        <v>20</v>
      </c>
      <c r="AD406" s="1">
        <v>0</v>
      </c>
      <c r="AE406" s="1">
        <v>120</v>
      </c>
      <c r="AF406" s="1">
        <v>125</v>
      </c>
      <c r="AG406" s="1">
        <v>802502</v>
      </c>
      <c r="AH406" s="1">
        <v>802504</v>
      </c>
      <c r="AI406" s="1">
        <v>300103</v>
      </c>
      <c r="AJ406" s="1" t="s">
        <v>1192</v>
      </c>
      <c r="AK406" s="1" t="s">
        <v>1454</v>
      </c>
      <c r="AL406" s="1">
        <v>13</v>
      </c>
      <c r="AM406" s="1" t="s">
        <v>399</v>
      </c>
      <c r="AN406" s="1" t="s">
        <v>4833</v>
      </c>
      <c r="AO406" s="1" t="s">
        <v>4939</v>
      </c>
      <c r="AP406" s="1">
        <v>0</v>
      </c>
      <c r="AQ406" s="1" t="s">
        <v>1158</v>
      </c>
      <c r="AR406" s="1" t="s">
        <v>4928</v>
      </c>
      <c r="AS406" s="1" t="s">
        <v>1157</v>
      </c>
      <c r="AT406" s="1" t="s">
        <v>329</v>
      </c>
      <c r="AU406" s="1">
        <v>61</v>
      </c>
      <c r="AV406" s="1">
        <v>0</v>
      </c>
      <c r="AW406" s="1" t="s">
        <v>4552</v>
      </c>
      <c r="AX406" s="1" t="s">
        <v>5476</v>
      </c>
      <c r="AY406" s="1">
        <v>4</v>
      </c>
      <c r="AZ406" s="1">
        <v>3061</v>
      </c>
      <c r="BA406" s="1" t="s">
        <v>329</v>
      </c>
      <c r="BB406" s="1" t="s">
        <v>4835</v>
      </c>
      <c r="BC406" s="1" t="s">
        <v>4829</v>
      </c>
      <c r="BD406" s="1">
        <v>0</v>
      </c>
      <c r="BE406" s="1"/>
    </row>
    <row r="407" spans="1:57" x14ac:dyDescent="0.25">
      <c r="A407" s="1">
        <v>20063</v>
      </c>
      <c r="B407" s="1" t="s">
        <v>4382</v>
      </c>
      <c r="C407" s="9" t="s">
        <v>1455</v>
      </c>
      <c r="D407" s="1" t="s">
        <v>1455</v>
      </c>
      <c r="E407" s="1"/>
      <c r="F407" s="1"/>
      <c r="G407" s="1" t="s">
        <v>4383</v>
      </c>
      <c r="H407" s="1" t="s">
        <v>4384</v>
      </c>
      <c r="I407" s="1" t="s">
        <v>4385</v>
      </c>
      <c r="J407" s="1">
        <v>4</v>
      </c>
      <c r="K407" s="1">
        <v>4</v>
      </c>
      <c r="L407" s="1">
        <v>10200</v>
      </c>
      <c r="M407" s="1">
        <v>20</v>
      </c>
      <c r="N407" s="1">
        <v>20</v>
      </c>
      <c r="O407" s="1">
        <v>10</v>
      </c>
      <c r="P407" s="1">
        <v>10</v>
      </c>
      <c r="Q407" s="1">
        <v>2</v>
      </c>
      <c r="R407" s="1">
        <v>5</v>
      </c>
      <c r="S407" s="1">
        <v>5</v>
      </c>
      <c r="T407" s="1">
        <v>0</v>
      </c>
      <c r="U407" s="1">
        <v>100</v>
      </c>
      <c r="V407" s="1">
        <v>125</v>
      </c>
      <c r="W407" s="1">
        <v>95</v>
      </c>
      <c r="X407" s="1">
        <v>100</v>
      </c>
      <c r="Y407" s="1">
        <v>125</v>
      </c>
      <c r="Z407" s="1">
        <v>90</v>
      </c>
      <c r="AA407" s="1">
        <v>0</v>
      </c>
      <c r="AB407" s="1">
        <v>15</v>
      </c>
      <c r="AC407" s="1">
        <v>20</v>
      </c>
      <c r="AD407" s="1">
        <v>0</v>
      </c>
      <c r="AE407" s="1">
        <v>120</v>
      </c>
      <c r="AF407" s="1">
        <v>110</v>
      </c>
      <c r="AG407" s="1">
        <v>801302</v>
      </c>
      <c r="AH407" s="1">
        <v>801303</v>
      </c>
      <c r="AI407" s="1">
        <v>300103</v>
      </c>
      <c r="AJ407" s="1" t="s">
        <v>1456</v>
      </c>
      <c r="AK407" s="1" t="s">
        <v>329</v>
      </c>
      <c r="AL407" s="1">
        <v>13</v>
      </c>
      <c r="AM407" s="1" t="s">
        <v>4779</v>
      </c>
      <c r="AN407" s="1" t="s">
        <v>451</v>
      </c>
      <c r="AO407" s="1" t="s">
        <v>5489</v>
      </c>
      <c r="AP407" s="1">
        <v>0</v>
      </c>
      <c r="AQ407" s="1" t="s">
        <v>1774</v>
      </c>
      <c r="AR407" s="1" t="s">
        <v>1182</v>
      </c>
      <c r="AS407" s="1" t="s">
        <v>1157</v>
      </c>
      <c r="AT407" s="1" t="s">
        <v>329</v>
      </c>
      <c r="AU407" s="1">
        <v>63</v>
      </c>
      <c r="AV407" s="1">
        <v>0</v>
      </c>
      <c r="AW407" s="1" t="s">
        <v>4552</v>
      </c>
      <c r="AX407" s="1" t="s">
        <v>5476</v>
      </c>
      <c r="AY407" s="1">
        <v>4</v>
      </c>
      <c r="AZ407" s="1">
        <v>3063</v>
      </c>
      <c r="BA407" s="1" t="s">
        <v>329</v>
      </c>
      <c r="BB407" s="1" t="s">
        <v>4943</v>
      </c>
      <c r="BC407" s="1" t="s">
        <v>4829</v>
      </c>
      <c r="BD407" s="1">
        <v>0</v>
      </c>
      <c r="BE407" s="1"/>
    </row>
    <row r="408" spans="1:57" x14ac:dyDescent="0.25">
      <c r="A408" s="1">
        <v>20064</v>
      </c>
      <c r="B408" s="1" t="s">
        <v>4386</v>
      </c>
      <c r="C408" s="9" t="s">
        <v>1457</v>
      </c>
      <c r="D408" s="1" t="s">
        <v>1457</v>
      </c>
      <c r="E408" s="1"/>
      <c r="F408" s="1"/>
      <c r="G408" s="1" t="s">
        <v>4387</v>
      </c>
      <c r="H408" s="1" t="s">
        <v>4388</v>
      </c>
      <c r="I408" s="1" t="s">
        <v>4389</v>
      </c>
      <c r="J408" s="1">
        <v>4</v>
      </c>
      <c r="K408" s="1">
        <v>5</v>
      </c>
      <c r="L408" s="1">
        <v>13200</v>
      </c>
      <c r="M408" s="1">
        <v>20</v>
      </c>
      <c r="N408" s="1">
        <v>20</v>
      </c>
      <c r="O408" s="1">
        <v>10</v>
      </c>
      <c r="P408" s="1">
        <v>10</v>
      </c>
      <c r="Q408" s="1">
        <v>2</v>
      </c>
      <c r="R408" s="1">
        <v>5</v>
      </c>
      <c r="S408" s="1">
        <v>5</v>
      </c>
      <c r="T408" s="1">
        <v>0</v>
      </c>
      <c r="U408" s="1">
        <v>115</v>
      </c>
      <c r="V408" s="1">
        <v>114</v>
      </c>
      <c r="W408" s="1">
        <v>114</v>
      </c>
      <c r="X408" s="1">
        <v>100</v>
      </c>
      <c r="Y408" s="1">
        <v>120</v>
      </c>
      <c r="Z408" s="1">
        <v>110</v>
      </c>
      <c r="AA408" s="1">
        <v>0</v>
      </c>
      <c r="AB408" s="1">
        <v>15</v>
      </c>
      <c r="AC408" s="1">
        <v>20</v>
      </c>
      <c r="AD408" s="1">
        <v>0</v>
      </c>
      <c r="AE408" s="1">
        <v>110</v>
      </c>
      <c r="AF408" s="1">
        <v>100</v>
      </c>
      <c r="AG408" s="1">
        <v>802101</v>
      </c>
      <c r="AH408" s="1">
        <v>802102</v>
      </c>
      <c r="AI408" s="1">
        <v>300103</v>
      </c>
      <c r="AJ408" s="1" t="s">
        <v>329</v>
      </c>
      <c r="AK408" s="1" t="s">
        <v>1458</v>
      </c>
      <c r="AL408" s="1">
        <v>13</v>
      </c>
      <c r="AM408" s="1" t="s">
        <v>4779</v>
      </c>
      <c r="AN408" s="1" t="s">
        <v>4944</v>
      </c>
      <c r="AO408" s="1" t="s">
        <v>5490</v>
      </c>
      <c r="AP408" s="1">
        <v>0</v>
      </c>
      <c r="AQ408" s="1" t="s">
        <v>1774</v>
      </c>
      <c r="AR408" s="1" t="s">
        <v>1182</v>
      </c>
      <c r="AS408" s="1" t="s">
        <v>1157</v>
      </c>
      <c r="AT408" s="1" t="s">
        <v>329</v>
      </c>
      <c r="AU408" s="1">
        <v>64</v>
      </c>
      <c r="AV408" s="1">
        <v>0</v>
      </c>
      <c r="AW408" s="1" t="s">
        <v>4552</v>
      </c>
      <c r="AX408" s="1" t="s">
        <v>5476</v>
      </c>
      <c r="AY408" s="1">
        <v>5</v>
      </c>
      <c r="AZ408" s="1">
        <v>3064</v>
      </c>
      <c r="BA408" s="1" t="s">
        <v>329</v>
      </c>
      <c r="BB408" s="1" t="s">
        <v>4946</v>
      </c>
      <c r="BC408" s="1" t="s">
        <v>4829</v>
      </c>
      <c r="BD408" s="1">
        <v>0</v>
      </c>
      <c r="BE408" s="1"/>
    </row>
    <row r="409" spans="1:57" x14ac:dyDescent="0.25">
      <c r="A409" s="1">
        <v>20065</v>
      </c>
      <c r="B409" s="1" t="s">
        <v>4390</v>
      </c>
      <c r="C409" s="9" t="s">
        <v>259</v>
      </c>
      <c r="D409" s="1" t="s">
        <v>259</v>
      </c>
      <c r="E409" s="1"/>
      <c r="F409" s="1"/>
      <c r="G409" s="1" t="s">
        <v>4391</v>
      </c>
      <c r="H409" s="1" t="s">
        <v>4392</v>
      </c>
      <c r="I409" s="1" t="s">
        <v>4393</v>
      </c>
      <c r="J409" s="1">
        <v>4</v>
      </c>
      <c r="K409" s="1">
        <v>6</v>
      </c>
      <c r="L409" s="1">
        <v>14100</v>
      </c>
      <c r="M409" s="1">
        <v>20</v>
      </c>
      <c r="N409" s="1">
        <v>20</v>
      </c>
      <c r="O409" s="1">
        <v>10</v>
      </c>
      <c r="P409" s="1">
        <v>10</v>
      </c>
      <c r="Q409" s="1">
        <v>2</v>
      </c>
      <c r="R409" s="1">
        <v>5</v>
      </c>
      <c r="S409" s="1">
        <v>5</v>
      </c>
      <c r="T409" s="1">
        <v>0</v>
      </c>
      <c r="U409" s="1">
        <v>110</v>
      </c>
      <c r="V409" s="1">
        <v>118</v>
      </c>
      <c r="W409" s="1">
        <v>116</v>
      </c>
      <c r="X409" s="1">
        <v>100</v>
      </c>
      <c r="Y409" s="1">
        <v>120</v>
      </c>
      <c r="Z409" s="1">
        <v>110</v>
      </c>
      <c r="AA409" s="1">
        <v>0</v>
      </c>
      <c r="AB409" s="1">
        <v>15</v>
      </c>
      <c r="AC409" s="1">
        <v>20</v>
      </c>
      <c r="AD409" s="1">
        <v>0</v>
      </c>
      <c r="AE409" s="1">
        <v>118</v>
      </c>
      <c r="AF409" s="1">
        <v>100</v>
      </c>
      <c r="AG409" s="1">
        <v>802901</v>
      </c>
      <c r="AH409" s="1">
        <v>802902</v>
      </c>
      <c r="AI409" s="1">
        <v>300103</v>
      </c>
      <c r="AJ409" s="1" t="s">
        <v>1459</v>
      </c>
      <c r="AK409" s="1" t="s">
        <v>329</v>
      </c>
      <c r="AL409" s="1">
        <v>13</v>
      </c>
      <c r="AM409" s="1" t="s">
        <v>4779</v>
      </c>
      <c r="AN409" s="1" t="s">
        <v>4889</v>
      </c>
      <c r="AO409" s="1" t="s">
        <v>5491</v>
      </c>
      <c r="AP409" s="1">
        <v>0</v>
      </c>
      <c r="AQ409" s="1" t="s">
        <v>1774</v>
      </c>
      <c r="AR409" s="1" t="s">
        <v>1182</v>
      </c>
      <c r="AS409" s="1" t="s">
        <v>1773</v>
      </c>
      <c r="AT409" s="1" t="s">
        <v>329</v>
      </c>
      <c r="AU409" s="1">
        <v>65</v>
      </c>
      <c r="AV409" s="1">
        <v>0</v>
      </c>
      <c r="AW409" s="1" t="s">
        <v>4552</v>
      </c>
      <c r="AX409" s="1" t="s">
        <v>5476</v>
      </c>
      <c r="AY409" s="1">
        <v>6</v>
      </c>
      <c r="AZ409" s="1">
        <v>3065</v>
      </c>
      <c r="BA409" s="1" t="s">
        <v>329</v>
      </c>
      <c r="BB409" s="1" t="s">
        <v>4948</v>
      </c>
      <c r="BC409" s="1" t="s">
        <v>4949</v>
      </c>
      <c r="BD409" s="1">
        <v>0</v>
      </c>
      <c r="BE409" s="1"/>
    </row>
    <row r="410" spans="1:57" x14ac:dyDescent="0.25">
      <c r="A410" s="1">
        <v>20071</v>
      </c>
      <c r="B410" s="1" t="s">
        <v>4394</v>
      </c>
      <c r="C410" s="9" t="s">
        <v>834</v>
      </c>
      <c r="D410" s="1" t="s">
        <v>4395</v>
      </c>
      <c r="E410" s="1"/>
      <c r="F410" s="1"/>
      <c r="G410" s="1" t="s">
        <v>4396</v>
      </c>
      <c r="H410" s="1" t="s">
        <v>4397</v>
      </c>
      <c r="I410" s="1" t="s">
        <v>4398</v>
      </c>
      <c r="J410" s="1">
        <v>4</v>
      </c>
      <c r="K410" s="1">
        <v>4</v>
      </c>
      <c r="L410" s="1">
        <v>9600</v>
      </c>
      <c r="M410" s="1">
        <v>20</v>
      </c>
      <c r="N410" s="1">
        <v>20</v>
      </c>
      <c r="O410" s="1">
        <v>10</v>
      </c>
      <c r="P410" s="1">
        <v>10</v>
      </c>
      <c r="Q410" s="1">
        <v>2</v>
      </c>
      <c r="R410" s="1">
        <v>5</v>
      </c>
      <c r="S410" s="1">
        <v>5</v>
      </c>
      <c r="T410" s="1">
        <v>0</v>
      </c>
      <c r="U410" s="1">
        <v>112</v>
      </c>
      <c r="V410" s="1">
        <v>108</v>
      </c>
      <c r="W410" s="1">
        <v>95</v>
      </c>
      <c r="X410" s="1">
        <v>100</v>
      </c>
      <c r="Y410" s="1">
        <v>105</v>
      </c>
      <c r="Z410" s="1">
        <v>95</v>
      </c>
      <c r="AA410" s="1">
        <v>0</v>
      </c>
      <c r="AB410" s="1">
        <v>15</v>
      </c>
      <c r="AC410" s="1">
        <v>20</v>
      </c>
      <c r="AD410" s="1">
        <v>0</v>
      </c>
      <c r="AE410" s="1">
        <v>130</v>
      </c>
      <c r="AF410" s="1">
        <v>105</v>
      </c>
      <c r="AG410" s="1">
        <v>902130</v>
      </c>
      <c r="AH410" s="1">
        <v>902132</v>
      </c>
      <c r="AI410" s="1">
        <v>902131</v>
      </c>
      <c r="AJ410" s="1" t="s">
        <v>329</v>
      </c>
      <c r="AK410" s="1" t="s">
        <v>1460</v>
      </c>
      <c r="AL410" s="1">
        <v>13</v>
      </c>
      <c r="AM410" s="1" t="s">
        <v>399</v>
      </c>
      <c r="AN410" s="1" t="s">
        <v>5492</v>
      </c>
      <c r="AO410" s="1" t="s">
        <v>5493</v>
      </c>
      <c r="AP410" s="1">
        <v>0</v>
      </c>
      <c r="AQ410" s="1" t="s">
        <v>1158</v>
      </c>
      <c r="AR410" s="1" t="s">
        <v>1182</v>
      </c>
      <c r="AS410" s="1" t="s">
        <v>1773</v>
      </c>
      <c r="AT410" s="1" t="s">
        <v>329</v>
      </c>
      <c r="AU410" s="1">
        <v>71</v>
      </c>
      <c r="AV410" s="1">
        <v>0</v>
      </c>
      <c r="AW410" s="1" t="s">
        <v>4552</v>
      </c>
      <c r="AX410" s="1" t="s">
        <v>5476</v>
      </c>
      <c r="AY410" s="1">
        <v>4</v>
      </c>
      <c r="AZ410" s="1">
        <v>3071</v>
      </c>
      <c r="BA410" s="1" t="s">
        <v>329</v>
      </c>
      <c r="BB410" s="1" t="s">
        <v>4959</v>
      </c>
      <c r="BC410" s="1" t="s">
        <v>329</v>
      </c>
      <c r="BD410" s="1">
        <v>0</v>
      </c>
      <c r="BE410" s="1"/>
    </row>
    <row r="411" spans="1:57" x14ac:dyDescent="0.25">
      <c r="A411" s="1">
        <v>20075</v>
      </c>
      <c r="B411" s="1" t="s">
        <v>4399</v>
      </c>
      <c r="C411" s="9" t="s">
        <v>260</v>
      </c>
      <c r="D411" s="1" t="s">
        <v>260</v>
      </c>
      <c r="E411" s="1"/>
      <c r="F411" s="1"/>
      <c r="G411" s="1" t="s">
        <v>4400</v>
      </c>
      <c r="H411" s="1" t="s">
        <v>4401</v>
      </c>
      <c r="I411" s="1" t="s">
        <v>4402</v>
      </c>
      <c r="J411" s="1">
        <v>5</v>
      </c>
      <c r="K411" s="1">
        <v>5</v>
      </c>
      <c r="L411" s="1">
        <v>23100</v>
      </c>
      <c r="M411" s="1">
        <v>40</v>
      </c>
      <c r="N411" s="1">
        <v>30</v>
      </c>
      <c r="O411" s="1">
        <v>25</v>
      </c>
      <c r="P411" s="1">
        <v>15</v>
      </c>
      <c r="Q411" s="1">
        <v>5</v>
      </c>
      <c r="R411" s="1">
        <v>5</v>
      </c>
      <c r="S411" s="1">
        <v>2</v>
      </c>
      <c r="T411" s="1">
        <v>5</v>
      </c>
      <c r="U411" s="1">
        <v>95</v>
      </c>
      <c r="V411" s="1">
        <v>118</v>
      </c>
      <c r="W411" s="1">
        <v>105</v>
      </c>
      <c r="X411" s="1">
        <v>100</v>
      </c>
      <c r="Y411" s="1">
        <v>125</v>
      </c>
      <c r="Z411" s="1">
        <v>125</v>
      </c>
      <c r="AA411" s="1">
        <v>0</v>
      </c>
      <c r="AB411" s="1">
        <v>15</v>
      </c>
      <c r="AC411" s="1">
        <v>5</v>
      </c>
      <c r="AD411" s="1">
        <v>8</v>
      </c>
      <c r="AE411" s="1">
        <v>125</v>
      </c>
      <c r="AF411" s="1">
        <v>120</v>
      </c>
      <c r="AG411" s="1">
        <v>800303</v>
      </c>
      <c r="AH411" s="1">
        <v>800304</v>
      </c>
      <c r="AI411" s="1">
        <v>300105</v>
      </c>
      <c r="AJ411" s="1" t="s">
        <v>1461</v>
      </c>
      <c r="AK411" s="1" t="s">
        <v>1462</v>
      </c>
      <c r="AL411" s="1">
        <v>18</v>
      </c>
      <c r="AM411" s="1" t="s">
        <v>4918</v>
      </c>
      <c r="AN411" s="1" t="s">
        <v>4969</v>
      </c>
      <c r="AO411" s="1" t="s">
        <v>5494</v>
      </c>
      <c r="AP411" s="1">
        <v>0</v>
      </c>
      <c r="AQ411" s="1" t="s">
        <v>1195</v>
      </c>
      <c r="AR411" s="1" t="s">
        <v>4971</v>
      </c>
      <c r="AS411" s="1" t="s">
        <v>4972</v>
      </c>
      <c r="AT411" s="1" t="s">
        <v>329</v>
      </c>
      <c r="AU411" s="1">
        <v>75</v>
      </c>
      <c r="AV411" s="1">
        <v>0</v>
      </c>
      <c r="AW411" s="1" t="s">
        <v>4552</v>
      </c>
      <c r="AX411" s="1" t="s">
        <v>5476</v>
      </c>
      <c r="AY411" s="1">
        <v>5</v>
      </c>
      <c r="AZ411" s="1">
        <v>3075</v>
      </c>
      <c r="BA411" s="1" t="s">
        <v>329</v>
      </c>
      <c r="BB411" s="1" t="s">
        <v>4973</v>
      </c>
      <c r="BC411" s="1" t="s">
        <v>4780</v>
      </c>
      <c r="BD411" s="1">
        <v>0</v>
      </c>
      <c r="BE411" s="1"/>
    </row>
    <row r="412" spans="1:57" x14ac:dyDescent="0.25">
      <c r="A412" s="1">
        <v>20081</v>
      </c>
      <c r="B412" s="1" t="s">
        <v>4403</v>
      </c>
      <c r="C412" s="9" t="s">
        <v>261</v>
      </c>
      <c r="D412" s="1" t="s">
        <v>261</v>
      </c>
      <c r="E412" s="1"/>
      <c r="F412" s="1"/>
      <c r="G412" s="1" t="s">
        <v>4404</v>
      </c>
      <c r="H412" s="1" t="s">
        <v>4405</v>
      </c>
      <c r="I412" s="1" t="s">
        <v>4406</v>
      </c>
      <c r="J412" s="1">
        <v>5</v>
      </c>
      <c r="K412" s="1">
        <v>4</v>
      </c>
      <c r="L412" s="1">
        <v>18600</v>
      </c>
      <c r="M412" s="1">
        <v>40</v>
      </c>
      <c r="N412" s="1">
        <v>30</v>
      </c>
      <c r="O412" s="1">
        <v>25</v>
      </c>
      <c r="P412" s="1">
        <v>15</v>
      </c>
      <c r="Q412" s="1">
        <v>5</v>
      </c>
      <c r="R412" s="1">
        <v>5</v>
      </c>
      <c r="S412" s="1">
        <v>2</v>
      </c>
      <c r="T412" s="1">
        <v>5</v>
      </c>
      <c r="U412" s="1">
        <v>105</v>
      </c>
      <c r="V412" s="1">
        <v>138</v>
      </c>
      <c r="W412" s="1">
        <v>90</v>
      </c>
      <c r="X412" s="1">
        <v>100</v>
      </c>
      <c r="Y412" s="1">
        <v>120</v>
      </c>
      <c r="Z412" s="1">
        <v>105</v>
      </c>
      <c r="AA412" s="1">
        <v>0</v>
      </c>
      <c r="AB412" s="1">
        <v>15</v>
      </c>
      <c r="AC412" s="1">
        <v>5</v>
      </c>
      <c r="AD412" s="1">
        <v>10</v>
      </c>
      <c r="AE412" s="1">
        <v>100</v>
      </c>
      <c r="AF412" s="1">
        <v>100</v>
      </c>
      <c r="AG412" s="1">
        <v>802201</v>
      </c>
      <c r="AH412" s="1">
        <v>802203</v>
      </c>
      <c r="AI412" s="1">
        <v>802202</v>
      </c>
      <c r="AJ412" s="1" t="s">
        <v>1463</v>
      </c>
      <c r="AK412" s="1" t="s">
        <v>1464</v>
      </c>
      <c r="AL412" s="1">
        <v>18</v>
      </c>
      <c r="AM412" s="1" t="s">
        <v>4918</v>
      </c>
      <c r="AN412" s="1" t="s">
        <v>4969</v>
      </c>
      <c r="AO412" s="1" t="s">
        <v>5495</v>
      </c>
      <c r="AP412" s="1">
        <v>0</v>
      </c>
      <c r="AQ412" s="1" t="s">
        <v>1195</v>
      </c>
      <c r="AR412" s="1" t="s">
        <v>4971</v>
      </c>
      <c r="AS412" s="1" t="s">
        <v>1197</v>
      </c>
      <c r="AT412" s="1" t="s">
        <v>329</v>
      </c>
      <c r="AU412" s="1">
        <v>81</v>
      </c>
      <c r="AV412" s="1">
        <v>0</v>
      </c>
      <c r="AW412" s="1" t="s">
        <v>4552</v>
      </c>
      <c r="AX412" s="1" t="s">
        <v>5476</v>
      </c>
      <c r="AY412" s="1">
        <v>4</v>
      </c>
      <c r="AZ412" s="1">
        <v>3081</v>
      </c>
      <c r="BA412" s="1" t="s">
        <v>329</v>
      </c>
      <c r="BB412" s="1" t="s">
        <v>4987</v>
      </c>
      <c r="BC412" s="1" t="s">
        <v>4780</v>
      </c>
      <c r="BD412" s="1">
        <v>0</v>
      </c>
      <c r="BE412" s="1"/>
    </row>
    <row r="413" spans="1:57" x14ac:dyDescent="0.25">
      <c r="A413" s="1">
        <v>20089</v>
      </c>
      <c r="B413" s="1" t="s">
        <v>4407</v>
      </c>
      <c r="C413" s="9" t="s">
        <v>744</v>
      </c>
      <c r="D413" s="1" t="s">
        <v>4408</v>
      </c>
      <c r="E413" s="1"/>
      <c r="F413" s="1"/>
      <c r="G413" s="1" t="s">
        <v>4409</v>
      </c>
      <c r="H413" s="1" t="s">
        <v>4410</v>
      </c>
      <c r="I413" s="1" t="s">
        <v>4411</v>
      </c>
      <c r="J413" s="1">
        <v>5</v>
      </c>
      <c r="K413" s="1">
        <v>4</v>
      </c>
      <c r="L413" s="1">
        <v>19200</v>
      </c>
      <c r="M413" s="1">
        <v>40</v>
      </c>
      <c r="N413" s="1">
        <v>30</v>
      </c>
      <c r="O413" s="1">
        <v>25</v>
      </c>
      <c r="P413" s="1">
        <v>15</v>
      </c>
      <c r="Q413" s="1">
        <v>5</v>
      </c>
      <c r="R413" s="1">
        <v>5</v>
      </c>
      <c r="S413" s="1">
        <v>2</v>
      </c>
      <c r="T413" s="1">
        <v>5</v>
      </c>
      <c r="U413" s="1">
        <v>105</v>
      </c>
      <c r="V413" s="1">
        <v>115</v>
      </c>
      <c r="W413" s="1">
        <v>95</v>
      </c>
      <c r="X413" s="1">
        <v>100</v>
      </c>
      <c r="Y413" s="1">
        <v>130</v>
      </c>
      <c r="Z413" s="1">
        <v>110</v>
      </c>
      <c r="AA413" s="1">
        <v>0</v>
      </c>
      <c r="AB413" s="1">
        <v>15</v>
      </c>
      <c r="AC413" s="1">
        <v>5</v>
      </c>
      <c r="AD413" s="1">
        <v>8</v>
      </c>
      <c r="AE413" s="1">
        <v>120</v>
      </c>
      <c r="AF413" s="1">
        <v>85</v>
      </c>
      <c r="AG413" s="1">
        <v>801501</v>
      </c>
      <c r="AH413" s="1">
        <v>801502</v>
      </c>
      <c r="AI413" s="1">
        <v>300105</v>
      </c>
      <c r="AJ413" s="1" t="s">
        <v>1324</v>
      </c>
      <c r="AK413" s="1" t="s">
        <v>329</v>
      </c>
      <c r="AL413" s="1">
        <v>17</v>
      </c>
      <c r="AM413" s="1" t="s">
        <v>4918</v>
      </c>
      <c r="AN413" s="1" t="s">
        <v>4976</v>
      </c>
      <c r="AO413" s="1" t="s">
        <v>5496</v>
      </c>
      <c r="AP413" s="1">
        <v>0</v>
      </c>
      <c r="AQ413" s="1" t="s">
        <v>1195</v>
      </c>
      <c r="AR413" s="1" t="s">
        <v>4971</v>
      </c>
      <c r="AS413" s="1" t="s">
        <v>1197</v>
      </c>
      <c r="AT413" s="1" t="s">
        <v>329</v>
      </c>
      <c r="AU413" s="1">
        <v>89</v>
      </c>
      <c r="AV413" s="1">
        <v>0</v>
      </c>
      <c r="AW413" s="1" t="s">
        <v>4552</v>
      </c>
      <c r="AX413" s="1" t="s">
        <v>5476</v>
      </c>
      <c r="AY413" s="1">
        <v>4</v>
      </c>
      <c r="AZ413" s="1">
        <v>3089</v>
      </c>
      <c r="BA413" s="1" t="s">
        <v>329</v>
      </c>
      <c r="BB413" s="1" t="s">
        <v>5005</v>
      </c>
      <c r="BC413" s="1" t="s">
        <v>329</v>
      </c>
      <c r="BD413" s="1">
        <v>0</v>
      </c>
      <c r="BE413" s="1"/>
    </row>
    <row r="414" spans="1:57" x14ac:dyDescent="0.25">
      <c r="A414" s="1">
        <v>20091</v>
      </c>
      <c r="B414" s="1" t="s">
        <v>4412</v>
      </c>
      <c r="C414" s="9" t="s">
        <v>1712</v>
      </c>
      <c r="D414" s="1" t="s">
        <v>1712</v>
      </c>
      <c r="E414" s="1"/>
      <c r="F414" s="1"/>
      <c r="G414" s="1" t="s">
        <v>4413</v>
      </c>
      <c r="H414" s="1" t="s">
        <v>4414</v>
      </c>
      <c r="I414" s="1" t="s">
        <v>4415</v>
      </c>
      <c r="J414" s="1">
        <v>1</v>
      </c>
      <c r="K414" s="1">
        <v>4</v>
      </c>
      <c r="L414" s="1">
        <v>1500</v>
      </c>
      <c r="M414" s="1">
        <v>10</v>
      </c>
      <c r="N414" s="1">
        <v>10</v>
      </c>
      <c r="O414" s="1">
        <v>5</v>
      </c>
      <c r="P414" s="1">
        <v>5</v>
      </c>
      <c r="Q414" s="1">
        <v>2</v>
      </c>
      <c r="R414" s="1">
        <v>2</v>
      </c>
      <c r="S414" s="1">
        <v>2</v>
      </c>
      <c r="T414" s="1">
        <v>0</v>
      </c>
      <c r="U414" s="1">
        <v>100</v>
      </c>
      <c r="V414" s="1">
        <v>105</v>
      </c>
      <c r="W414" s="1">
        <v>110</v>
      </c>
      <c r="X414" s="1">
        <v>100</v>
      </c>
      <c r="Y414" s="1">
        <v>110</v>
      </c>
      <c r="Z414" s="1">
        <v>102</v>
      </c>
      <c r="AA414" s="1">
        <v>0</v>
      </c>
      <c r="AB414" s="1">
        <v>15</v>
      </c>
      <c r="AC414" s="1">
        <v>20</v>
      </c>
      <c r="AD414" s="1">
        <v>0</v>
      </c>
      <c r="AE414" s="1">
        <v>120</v>
      </c>
      <c r="AF414" s="1">
        <v>100</v>
      </c>
      <c r="AG414" s="1">
        <v>800401</v>
      </c>
      <c r="AH414" s="1">
        <v>800402</v>
      </c>
      <c r="AI414" s="1">
        <v>300101</v>
      </c>
      <c r="AJ414" s="1" t="s">
        <v>1465</v>
      </c>
      <c r="AK414" s="1" t="s">
        <v>329</v>
      </c>
      <c r="AL414" s="1">
        <v>13</v>
      </c>
      <c r="AM414" s="1" t="s">
        <v>1866</v>
      </c>
      <c r="AN414" s="1" t="s">
        <v>5007</v>
      </c>
      <c r="AO414" s="1" t="s">
        <v>4884</v>
      </c>
      <c r="AP414" s="1">
        <v>0</v>
      </c>
      <c r="AQ414" s="1" t="s">
        <v>4802</v>
      </c>
      <c r="AR414" s="1" t="s">
        <v>1147</v>
      </c>
      <c r="AS414" s="1" t="s">
        <v>1148</v>
      </c>
      <c r="AT414" s="1" t="s">
        <v>329</v>
      </c>
      <c r="AU414" s="1">
        <v>91</v>
      </c>
      <c r="AV414" s="1">
        <v>0</v>
      </c>
      <c r="AW414" s="1" t="s">
        <v>4552</v>
      </c>
      <c r="AX414" s="1" t="s">
        <v>5476</v>
      </c>
      <c r="AY414" s="1">
        <v>4</v>
      </c>
      <c r="AZ414" s="1">
        <v>3091</v>
      </c>
      <c r="BA414" s="1" t="s">
        <v>329</v>
      </c>
      <c r="BB414" s="1" t="s">
        <v>414</v>
      </c>
      <c r="BC414" s="1" t="s">
        <v>4817</v>
      </c>
      <c r="BD414" s="1">
        <v>0</v>
      </c>
      <c r="BE414" s="1"/>
    </row>
    <row r="415" spans="1:57" x14ac:dyDescent="0.25">
      <c r="A415" s="1">
        <v>20093</v>
      </c>
      <c r="B415" s="1" t="s">
        <v>4416</v>
      </c>
      <c r="C415" s="9" t="s">
        <v>262</v>
      </c>
      <c r="D415" s="1" t="s">
        <v>262</v>
      </c>
      <c r="E415" s="1"/>
      <c r="F415" s="1"/>
      <c r="G415" s="1" t="s">
        <v>4417</v>
      </c>
      <c r="H415" s="1" t="s">
        <v>4418</v>
      </c>
      <c r="I415" s="1" t="s">
        <v>4419</v>
      </c>
      <c r="J415" s="1">
        <v>2</v>
      </c>
      <c r="K415" s="1">
        <v>4</v>
      </c>
      <c r="L415" s="1">
        <v>4200</v>
      </c>
      <c r="M415" s="1">
        <v>25</v>
      </c>
      <c r="N415" s="1">
        <v>20</v>
      </c>
      <c r="O415" s="1">
        <v>15</v>
      </c>
      <c r="P415" s="1">
        <v>10</v>
      </c>
      <c r="Q415" s="1">
        <v>5</v>
      </c>
      <c r="R415" s="1">
        <v>5</v>
      </c>
      <c r="S415" s="1">
        <v>2</v>
      </c>
      <c r="T415" s="1">
        <v>0</v>
      </c>
      <c r="U415" s="1">
        <v>85</v>
      </c>
      <c r="V415" s="1">
        <v>90</v>
      </c>
      <c r="W415" s="1">
        <v>90</v>
      </c>
      <c r="X415" s="1">
        <v>100</v>
      </c>
      <c r="Y415" s="1">
        <v>110</v>
      </c>
      <c r="Z415" s="1">
        <v>125</v>
      </c>
      <c r="AA415" s="1">
        <v>0</v>
      </c>
      <c r="AB415" s="1">
        <v>15</v>
      </c>
      <c r="AC415" s="1">
        <v>5</v>
      </c>
      <c r="AD415" s="1">
        <v>0</v>
      </c>
      <c r="AE415" s="1">
        <v>130</v>
      </c>
      <c r="AF415" s="1">
        <v>100</v>
      </c>
      <c r="AG415" s="1">
        <v>800702</v>
      </c>
      <c r="AH415" s="1">
        <v>800703</v>
      </c>
      <c r="AI415" s="1">
        <v>300102</v>
      </c>
      <c r="AJ415" s="1" t="s">
        <v>1466</v>
      </c>
      <c r="AK415" s="1" t="s">
        <v>1467</v>
      </c>
      <c r="AL415" s="1">
        <v>13</v>
      </c>
      <c r="AM415" s="1" t="s">
        <v>4850</v>
      </c>
      <c r="AN415" s="1" t="s">
        <v>4855</v>
      </c>
      <c r="AO415" s="1" t="s">
        <v>5497</v>
      </c>
      <c r="AP415" s="1">
        <v>0</v>
      </c>
      <c r="AQ415" s="1" t="s">
        <v>1773</v>
      </c>
      <c r="AR415" s="1" t="s">
        <v>1147</v>
      </c>
      <c r="AS415" s="1" t="s">
        <v>1158</v>
      </c>
      <c r="AT415" s="1" t="s">
        <v>329</v>
      </c>
      <c r="AU415" s="1">
        <v>93</v>
      </c>
      <c r="AV415" s="1">
        <v>0</v>
      </c>
      <c r="AW415" s="1" t="s">
        <v>4552</v>
      </c>
      <c r="AX415" s="1" t="s">
        <v>5476</v>
      </c>
      <c r="AY415" s="1">
        <v>4</v>
      </c>
      <c r="AZ415" s="1">
        <v>3093</v>
      </c>
      <c r="BA415" s="1" t="s">
        <v>329</v>
      </c>
      <c r="BB415" s="1" t="s">
        <v>5010</v>
      </c>
      <c r="BC415" s="1" t="s">
        <v>329</v>
      </c>
      <c r="BD415" s="1">
        <v>0</v>
      </c>
      <c r="BE415" s="1"/>
    </row>
    <row r="416" spans="1:57" x14ac:dyDescent="0.25">
      <c r="A416" s="1">
        <v>20094</v>
      </c>
      <c r="B416" s="1" t="s">
        <v>4420</v>
      </c>
      <c r="C416" s="9" t="s">
        <v>741</v>
      </c>
      <c r="D416" s="1" t="s">
        <v>4421</v>
      </c>
      <c r="E416" s="1"/>
      <c r="F416" s="1"/>
      <c r="G416" s="1" t="s">
        <v>4422</v>
      </c>
      <c r="H416" s="1" t="s">
        <v>4423</v>
      </c>
      <c r="I416" s="1" t="s">
        <v>4424</v>
      </c>
      <c r="J416" s="1">
        <v>2</v>
      </c>
      <c r="K416" s="1">
        <v>4</v>
      </c>
      <c r="L416" s="1">
        <v>5100</v>
      </c>
      <c r="M416" s="1">
        <v>25</v>
      </c>
      <c r="N416" s="1">
        <v>20</v>
      </c>
      <c r="O416" s="1">
        <v>15</v>
      </c>
      <c r="P416" s="1">
        <v>10</v>
      </c>
      <c r="Q416" s="1">
        <v>5</v>
      </c>
      <c r="R416" s="1">
        <v>5</v>
      </c>
      <c r="S416" s="1">
        <v>2</v>
      </c>
      <c r="T416" s="1">
        <v>0</v>
      </c>
      <c r="U416" s="1">
        <v>100</v>
      </c>
      <c r="V416" s="1">
        <v>105</v>
      </c>
      <c r="W416" s="1">
        <v>120</v>
      </c>
      <c r="X416" s="1">
        <v>100</v>
      </c>
      <c r="Y416" s="1">
        <v>95</v>
      </c>
      <c r="Z416" s="1">
        <v>113</v>
      </c>
      <c r="AA416" s="1">
        <v>0</v>
      </c>
      <c r="AB416" s="1">
        <v>15</v>
      </c>
      <c r="AC416" s="1">
        <v>5</v>
      </c>
      <c r="AD416" s="1">
        <v>0</v>
      </c>
      <c r="AE416" s="1">
        <v>105</v>
      </c>
      <c r="AF416" s="1">
        <v>100</v>
      </c>
      <c r="AG416" s="1">
        <v>800801</v>
      </c>
      <c r="AH416" s="1">
        <v>800802</v>
      </c>
      <c r="AI416" s="1">
        <v>300102</v>
      </c>
      <c r="AJ416" s="1" t="s">
        <v>1192</v>
      </c>
      <c r="AK416" s="1" t="s">
        <v>329</v>
      </c>
      <c r="AL416" s="1">
        <v>13</v>
      </c>
      <c r="AM416" s="1" t="s">
        <v>4850</v>
      </c>
      <c r="AN416" s="1" t="s">
        <v>4853</v>
      </c>
      <c r="AO416" s="1" t="s">
        <v>5498</v>
      </c>
      <c r="AP416" s="1">
        <v>0</v>
      </c>
      <c r="AQ416" s="1" t="s">
        <v>1773</v>
      </c>
      <c r="AR416" s="1" t="s">
        <v>1147</v>
      </c>
      <c r="AS416" s="1" t="s">
        <v>1774</v>
      </c>
      <c r="AT416" s="1" t="s">
        <v>329</v>
      </c>
      <c r="AU416" s="1">
        <v>94</v>
      </c>
      <c r="AV416" s="1">
        <v>0</v>
      </c>
      <c r="AW416" s="1" t="s">
        <v>4552</v>
      </c>
      <c r="AX416" s="1" t="s">
        <v>5476</v>
      </c>
      <c r="AY416" s="1">
        <v>4</v>
      </c>
      <c r="AZ416" s="1">
        <v>3094</v>
      </c>
      <c r="BA416" s="1" t="s">
        <v>329</v>
      </c>
      <c r="BB416" s="1" t="s">
        <v>5012</v>
      </c>
      <c r="BC416" s="1" t="s">
        <v>4843</v>
      </c>
      <c r="BD416" s="1">
        <v>0</v>
      </c>
      <c r="BE416" s="1"/>
    </row>
    <row r="417" spans="1:57" x14ac:dyDescent="0.25">
      <c r="A417" s="1">
        <v>20095</v>
      </c>
      <c r="B417" s="1" t="s">
        <v>4425</v>
      </c>
      <c r="C417" s="9" t="s">
        <v>841</v>
      </c>
      <c r="D417" s="1" t="s">
        <v>4426</v>
      </c>
      <c r="E417" s="1"/>
      <c r="F417" s="1"/>
      <c r="G417" s="1" t="s">
        <v>4427</v>
      </c>
      <c r="H417" s="1" t="s">
        <v>4428</v>
      </c>
      <c r="I417" s="1" t="s">
        <v>4429</v>
      </c>
      <c r="J417" s="1">
        <v>3</v>
      </c>
      <c r="K417" s="1">
        <v>4</v>
      </c>
      <c r="L417" s="1">
        <v>13800</v>
      </c>
      <c r="M417" s="1">
        <v>15</v>
      </c>
      <c r="N417" s="1">
        <v>30</v>
      </c>
      <c r="O417" s="1">
        <v>10</v>
      </c>
      <c r="P417" s="1">
        <v>15</v>
      </c>
      <c r="Q417" s="1">
        <v>5</v>
      </c>
      <c r="R417" s="1">
        <v>2</v>
      </c>
      <c r="S417" s="1">
        <v>5</v>
      </c>
      <c r="T417" s="1">
        <v>0</v>
      </c>
      <c r="U417" s="1">
        <v>115</v>
      </c>
      <c r="V417" s="1">
        <v>105</v>
      </c>
      <c r="W417" s="1">
        <v>108</v>
      </c>
      <c r="X417" s="1">
        <v>100</v>
      </c>
      <c r="Y417" s="1">
        <v>100</v>
      </c>
      <c r="Z417" s="1">
        <v>110</v>
      </c>
      <c r="AA417" s="1">
        <v>0</v>
      </c>
      <c r="AB417" s="1">
        <v>15</v>
      </c>
      <c r="AC417" s="1">
        <v>40</v>
      </c>
      <c r="AD417" s="1">
        <v>0</v>
      </c>
      <c r="AE417" s="1">
        <v>120</v>
      </c>
      <c r="AF417" s="1">
        <v>100</v>
      </c>
      <c r="AG417" s="1">
        <v>803001</v>
      </c>
      <c r="AH417" s="1">
        <v>803003</v>
      </c>
      <c r="AI417" s="1">
        <v>803002</v>
      </c>
      <c r="AJ417" s="1" t="s">
        <v>1468</v>
      </c>
      <c r="AK417" s="1" t="s">
        <v>1469</v>
      </c>
      <c r="AL417" s="1">
        <v>13</v>
      </c>
      <c r="AM417" s="1" t="s">
        <v>4822</v>
      </c>
      <c r="AN417" s="1" t="s">
        <v>5426</v>
      </c>
      <c r="AO417" s="1" t="s">
        <v>4892</v>
      </c>
      <c r="AP417" s="1">
        <v>0</v>
      </c>
      <c r="AQ417" s="1" t="s">
        <v>1775</v>
      </c>
      <c r="AR417" s="1" t="s">
        <v>4895</v>
      </c>
      <c r="AS417" s="1" t="s">
        <v>1170</v>
      </c>
      <c r="AT417" s="1" t="s">
        <v>329</v>
      </c>
      <c r="AU417" s="1">
        <v>95</v>
      </c>
      <c r="AV417" s="1">
        <v>0</v>
      </c>
      <c r="AW417" s="1" t="s">
        <v>4552</v>
      </c>
      <c r="AX417" s="1" t="s">
        <v>5476</v>
      </c>
      <c r="AY417" s="1">
        <v>4</v>
      </c>
      <c r="AZ417" s="1">
        <v>3095</v>
      </c>
      <c r="BA417" s="1" t="s">
        <v>329</v>
      </c>
      <c r="BB417" s="1" t="s">
        <v>5012</v>
      </c>
      <c r="BC417" s="1" t="s">
        <v>4843</v>
      </c>
      <c r="BD417" s="1">
        <v>0</v>
      </c>
      <c r="BE417" s="1"/>
    </row>
    <row r="418" spans="1:57" x14ac:dyDescent="0.25">
      <c r="A418" s="1">
        <v>20097</v>
      </c>
      <c r="B418" s="1" t="s">
        <v>4430</v>
      </c>
      <c r="C418" s="9" t="s">
        <v>263</v>
      </c>
      <c r="D418" s="1" t="s">
        <v>263</v>
      </c>
      <c r="E418" s="1"/>
      <c r="F418" s="1"/>
      <c r="G418" s="1" t="s">
        <v>4431</v>
      </c>
      <c r="H418" s="1" t="s">
        <v>4432</v>
      </c>
      <c r="I418" s="1" t="s">
        <v>4433</v>
      </c>
      <c r="J418" s="1">
        <v>1</v>
      </c>
      <c r="K418" s="1">
        <v>6</v>
      </c>
      <c r="L418" s="1">
        <v>3900</v>
      </c>
      <c r="M418" s="1">
        <v>10</v>
      </c>
      <c r="N418" s="1">
        <v>10</v>
      </c>
      <c r="O418" s="1">
        <v>5</v>
      </c>
      <c r="P418" s="1">
        <v>5</v>
      </c>
      <c r="Q418" s="1">
        <v>2</v>
      </c>
      <c r="R418" s="1">
        <v>2</v>
      </c>
      <c r="S418" s="1">
        <v>2</v>
      </c>
      <c r="T418" s="1">
        <v>0</v>
      </c>
      <c r="U418" s="1">
        <v>118</v>
      </c>
      <c r="V418" s="1">
        <v>116</v>
      </c>
      <c r="W418" s="1">
        <v>135</v>
      </c>
      <c r="X418" s="1">
        <v>100</v>
      </c>
      <c r="Y418" s="1">
        <v>115</v>
      </c>
      <c r="Z418" s="1">
        <v>102</v>
      </c>
      <c r="AA418" s="1">
        <v>0</v>
      </c>
      <c r="AB418" s="1">
        <v>15</v>
      </c>
      <c r="AC418" s="1">
        <v>20</v>
      </c>
      <c r="AD418" s="1">
        <v>0</v>
      </c>
      <c r="AE418" s="1">
        <v>115</v>
      </c>
      <c r="AF418" s="1">
        <v>100</v>
      </c>
      <c r="AG418" s="1">
        <v>803412</v>
      </c>
      <c r="AH418" s="1">
        <v>803413</v>
      </c>
      <c r="AI418" s="1">
        <v>300101</v>
      </c>
      <c r="AJ418" s="1" t="s">
        <v>329</v>
      </c>
      <c r="AK418" s="1" t="s">
        <v>1470</v>
      </c>
      <c r="AL418" s="1">
        <v>13</v>
      </c>
      <c r="AM418" s="1" t="s">
        <v>1866</v>
      </c>
      <c r="AN418" s="1" t="s">
        <v>5499</v>
      </c>
      <c r="AO418" s="1" t="s">
        <v>5500</v>
      </c>
      <c r="AP418" s="1">
        <v>0</v>
      </c>
      <c r="AQ418" s="1" t="s">
        <v>4802</v>
      </c>
      <c r="AR418" s="1" t="s">
        <v>1147</v>
      </c>
      <c r="AS418" s="1" t="s">
        <v>1148</v>
      </c>
      <c r="AT418" s="1" t="s">
        <v>329</v>
      </c>
      <c r="AU418" s="1">
        <v>97</v>
      </c>
      <c r="AV418" s="1">
        <v>0</v>
      </c>
      <c r="AW418" s="1" t="s">
        <v>4552</v>
      </c>
      <c r="AX418" s="1" t="s">
        <v>5476</v>
      </c>
      <c r="AY418" s="1">
        <v>6</v>
      </c>
      <c r="AZ418" s="1">
        <v>3097</v>
      </c>
      <c r="BA418" s="1" t="s">
        <v>329</v>
      </c>
      <c r="BB418" s="1" t="s">
        <v>5017</v>
      </c>
      <c r="BC418" s="1" t="s">
        <v>4780</v>
      </c>
      <c r="BD418" s="1">
        <v>0</v>
      </c>
      <c r="BE418" s="1"/>
    </row>
    <row r="419" spans="1:57" x14ac:dyDescent="0.25">
      <c r="A419" s="1">
        <v>20101</v>
      </c>
      <c r="B419" s="1" t="s">
        <v>4434</v>
      </c>
      <c r="C419" s="9" t="s">
        <v>264</v>
      </c>
      <c r="D419" s="1" t="s">
        <v>264</v>
      </c>
      <c r="E419" s="1"/>
      <c r="F419" s="1"/>
      <c r="G419" s="1" t="s">
        <v>4435</v>
      </c>
      <c r="H419" s="1" t="s">
        <v>4436</v>
      </c>
      <c r="I419" s="1" t="s">
        <v>4437</v>
      </c>
      <c r="J419" s="1">
        <v>2</v>
      </c>
      <c r="K419" s="1">
        <v>5</v>
      </c>
      <c r="L419" s="1">
        <v>8100</v>
      </c>
      <c r="M419" s="1">
        <v>25</v>
      </c>
      <c r="N419" s="1">
        <v>20</v>
      </c>
      <c r="O419" s="1">
        <v>15</v>
      </c>
      <c r="P419" s="1">
        <v>10</v>
      </c>
      <c r="Q419" s="1">
        <v>5</v>
      </c>
      <c r="R419" s="1">
        <v>5</v>
      </c>
      <c r="S419" s="1">
        <v>2</v>
      </c>
      <c r="T419" s="1">
        <v>0</v>
      </c>
      <c r="U419" s="1">
        <v>100</v>
      </c>
      <c r="V419" s="1">
        <v>105</v>
      </c>
      <c r="W419" s="1">
        <v>110</v>
      </c>
      <c r="X419" s="1">
        <v>100</v>
      </c>
      <c r="Y419" s="1">
        <v>135</v>
      </c>
      <c r="Z419" s="1">
        <v>130</v>
      </c>
      <c r="AA419" s="1">
        <v>0</v>
      </c>
      <c r="AB419" s="1">
        <v>15</v>
      </c>
      <c r="AC419" s="1">
        <v>5</v>
      </c>
      <c r="AD419" s="1">
        <v>0</v>
      </c>
      <c r="AE419" s="1">
        <v>110</v>
      </c>
      <c r="AF419" s="1">
        <v>100</v>
      </c>
      <c r="AG419" s="1">
        <v>802801</v>
      </c>
      <c r="AH419" s="1">
        <v>802802</v>
      </c>
      <c r="AI419" s="1">
        <v>300102</v>
      </c>
      <c r="AJ419" s="1" t="s">
        <v>1471</v>
      </c>
      <c r="AK419" s="1" t="s">
        <v>1472</v>
      </c>
      <c r="AL419" s="1">
        <v>13</v>
      </c>
      <c r="AM419" s="1" t="s">
        <v>4850</v>
      </c>
      <c r="AN419" s="1" t="s">
        <v>4855</v>
      </c>
      <c r="AO419" s="1" t="s">
        <v>5051</v>
      </c>
      <c r="AP419" s="1">
        <v>0</v>
      </c>
      <c r="AQ419" s="1" t="s">
        <v>1773</v>
      </c>
      <c r="AR419" s="1" t="s">
        <v>1147</v>
      </c>
      <c r="AS419" s="1" t="s">
        <v>1774</v>
      </c>
      <c r="AT419" s="1" t="s">
        <v>329</v>
      </c>
      <c r="AU419" s="1">
        <v>101</v>
      </c>
      <c r="AV419" s="1">
        <v>0</v>
      </c>
      <c r="AW419" s="1" t="s">
        <v>4552</v>
      </c>
      <c r="AX419" s="1" t="s">
        <v>5476</v>
      </c>
      <c r="AY419" s="1">
        <v>5</v>
      </c>
      <c r="AZ419" s="1">
        <v>3101</v>
      </c>
      <c r="BA419" s="1" t="s">
        <v>329</v>
      </c>
      <c r="BB419" s="1" t="s">
        <v>5025</v>
      </c>
      <c r="BC419" s="1" t="s">
        <v>4949</v>
      </c>
      <c r="BD419" s="1">
        <v>0</v>
      </c>
      <c r="BE419" s="1"/>
    </row>
    <row r="420" spans="1:57" x14ac:dyDescent="0.25">
      <c r="A420" s="1">
        <v>20103</v>
      </c>
      <c r="B420" s="1" t="s">
        <v>4438</v>
      </c>
      <c r="C420" s="9" t="s">
        <v>265</v>
      </c>
      <c r="D420" s="1" t="s">
        <v>265</v>
      </c>
      <c r="E420" s="1"/>
      <c r="F420" s="1"/>
      <c r="G420" s="1" t="s">
        <v>4439</v>
      </c>
      <c r="H420" s="1" t="s">
        <v>4440</v>
      </c>
      <c r="I420" s="1" t="s">
        <v>4441</v>
      </c>
      <c r="J420" s="1">
        <v>2</v>
      </c>
      <c r="K420" s="1">
        <v>5</v>
      </c>
      <c r="L420" s="1">
        <v>8100</v>
      </c>
      <c r="M420" s="1">
        <v>25</v>
      </c>
      <c r="N420" s="1">
        <v>20</v>
      </c>
      <c r="O420" s="1">
        <v>15</v>
      </c>
      <c r="P420" s="1">
        <v>10</v>
      </c>
      <c r="Q420" s="1">
        <v>5</v>
      </c>
      <c r="R420" s="1">
        <v>5</v>
      </c>
      <c r="S420" s="1">
        <v>2</v>
      </c>
      <c r="T420" s="1">
        <v>0</v>
      </c>
      <c r="U420" s="1">
        <v>108</v>
      </c>
      <c r="V420" s="1">
        <v>105</v>
      </c>
      <c r="W420" s="1">
        <v>105</v>
      </c>
      <c r="X420" s="1">
        <v>100</v>
      </c>
      <c r="Y420" s="1">
        <v>110</v>
      </c>
      <c r="Z420" s="1">
        <v>120</v>
      </c>
      <c r="AA420" s="1">
        <v>0</v>
      </c>
      <c r="AB420" s="1">
        <v>15</v>
      </c>
      <c r="AC420" s="1">
        <v>5</v>
      </c>
      <c r="AD420" s="1">
        <v>0</v>
      </c>
      <c r="AE420" s="1">
        <v>110</v>
      </c>
      <c r="AF420" s="1">
        <v>100</v>
      </c>
      <c r="AG420" s="1">
        <v>801801</v>
      </c>
      <c r="AH420" s="1">
        <v>801804</v>
      </c>
      <c r="AI420" s="1">
        <v>801803</v>
      </c>
      <c r="AJ420" s="1" t="s">
        <v>1473</v>
      </c>
      <c r="AK420" s="1" t="s">
        <v>329</v>
      </c>
      <c r="AL420" s="1">
        <v>13</v>
      </c>
      <c r="AM420" s="1" t="s">
        <v>4850</v>
      </c>
      <c r="AN420" s="1" t="s">
        <v>4855</v>
      </c>
      <c r="AO420" s="1" t="s">
        <v>5501</v>
      </c>
      <c r="AP420" s="1">
        <v>0</v>
      </c>
      <c r="AQ420" s="1" t="s">
        <v>1773</v>
      </c>
      <c r="AR420" s="1" t="s">
        <v>1147</v>
      </c>
      <c r="AS420" s="1" t="s">
        <v>1774</v>
      </c>
      <c r="AT420" s="1" t="s">
        <v>329</v>
      </c>
      <c r="AU420" s="1">
        <v>103</v>
      </c>
      <c r="AV420" s="1">
        <v>0</v>
      </c>
      <c r="AW420" s="1" t="s">
        <v>5029</v>
      </c>
      <c r="AX420" s="1" t="s">
        <v>5476</v>
      </c>
      <c r="AY420" s="1">
        <v>5</v>
      </c>
      <c r="AZ420" s="1">
        <v>3103</v>
      </c>
      <c r="BA420" s="1" t="s">
        <v>329</v>
      </c>
      <c r="BB420" s="1" t="s">
        <v>5030</v>
      </c>
      <c r="BC420" s="1" t="s">
        <v>4949</v>
      </c>
      <c r="BD420" s="1">
        <v>0</v>
      </c>
      <c r="BE420" s="1"/>
    </row>
    <row r="421" spans="1:57" x14ac:dyDescent="0.25">
      <c r="A421" s="1">
        <v>20104</v>
      </c>
      <c r="B421" s="1" t="s">
        <v>4507</v>
      </c>
      <c r="C421" s="9" t="s">
        <v>1777</v>
      </c>
      <c r="D421" s="1" t="s">
        <v>1777</v>
      </c>
      <c r="E421" s="1"/>
      <c r="F421" s="1"/>
      <c r="G421" s="1" t="s">
        <v>4508</v>
      </c>
      <c r="H421" s="1" t="s">
        <v>4509</v>
      </c>
      <c r="I421" s="1" t="s">
        <v>4510</v>
      </c>
      <c r="J421" s="1">
        <v>2</v>
      </c>
      <c r="K421" s="1">
        <v>6</v>
      </c>
      <c r="L421" s="1">
        <v>9000</v>
      </c>
      <c r="M421" s="1">
        <v>25</v>
      </c>
      <c r="N421" s="1">
        <v>20</v>
      </c>
      <c r="O421" s="1">
        <v>15</v>
      </c>
      <c r="P421" s="1">
        <v>10</v>
      </c>
      <c r="Q421" s="1">
        <v>5</v>
      </c>
      <c r="R421" s="1">
        <v>5</v>
      </c>
      <c r="S421" s="1">
        <v>2</v>
      </c>
      <c r="T421" s="1">
        <v>0</v>
      </c>
      <c r="U421" s="1">
        <v>120</v>
      </c>
      <c r="V421" s="1">
        <v>135</v>
      </c>
      <c r="W421" s="1">
        <v>110</v>
      </c>
      <c r="X421" s="1">
        <v>100</v>
      </c>
      <c r="Y421" s="1">
        <v>125</v>
      </c>
      <c r="Z421" s="1">
        <v>120</v>
      </c>
      <c r="AA421" s="1">
        <v>0</v>
      </c>
      <c r="AB421" s="1">
        <v>15</v>
      </c>
      <c r="AC421" s="1">
        <v>5</v>
      </c>
      <c r="AD421" s="1">
        <v>0</v>
      </c>
      <c r="AE421" s="1">
        <v>100</v>
      </c>
      <c r="AF421" s="1">
        <v>100</v>
      </c>
      <c r="AG421" s="1">
        <v>740003</v>
      </c>
      <c r="AH421" s="1">
        <v>740004</v>
      </c>
      <c r="AI421" s="1">
        <v>300102</v>
      </c>
      <c r="AJ421" s="1" t="s">
        <v>1778</v>
      </c>
      <c r="AK421" s="1" t="s">
        <v>1779</v>
      </c>
      <c r="AL421" s="1">
        <v>13</v>
      </c>
      <c r="AM421" s="1" t="s">
        <v>4850</v>
      </c>
      <c r="AN421" s="1" t="s">
        <v>4855</v>
      </c>
      <c r="AO421" s="1" t="s">
        <v>5519</v>
      </c>
      <c r="AP421" s="1">
        <v>0</v>
      </c>
      <c r="AQ421" s="1" t="s">
        <v>1773</v>
      </c>
      <c r="AR421" s="1" t="s">
        <v>1147</v>
      </c>
      <c r="AS421" s="1" t="s">
        <v>1158</v>
      </c>
      <c r="AT421" s="1" t="s">
        <v>329</v>
      </c>
      <c r="AU421" s="1">
        <v>104</v>
      </c>
      <c r="AV421" s="1">
        <v>0</v>
      </c>
      <c r="AW421" s="1" t="s">
        <v>5031</v>
      </c>
      <c r="AX421" s="1" t="s">
        <v>5476</v>
      </c>
      <c r="AY421" s="1">
        <v>6</v>
      </c>
      <c r="AZ421" s="1">
        <v>3104</v>
      </c>
      <c r="BA421" s="1" t="s">
        <v>329</v>
      </c>
      <c r="BB421" s="1" t="s">
        <v>5032</v>
      </c>
      <c r="BC421" s="1" t="s">
        <v>4829</v>
      </c>
      <c r="BD421" s="1">
        <v>0</v>
      </c>
      <c r="BE421" s="1"/>
    </row>
    <row r="422" spans="1:57" x14ac:dyDescent="0.25">
      <c r="A422" s="1">
        <v>20114</v>
      </c>
      <c r="B422" s="1" t="s">
        <v>4442</v>
      </c>
      <c r="C422" s="9" t="s">
        <v>837</v>
      </c>
      <c r="D422" s="1" t="s">
        <v>4443</v>
      </c>
      <c r="E422" s="1"/>
      <c r="F422" s="1"/>
      <c r="G422" s="1" t="s">
        <v>4444</v>
      </c>
      <c r="H422" s="1" t="s">
        <v>4445</v>
      </c>
      <c r="I422" s="1" t="s">
        <v>4446</v>
      </c>
      <c r="J422" s="1">
        <v>1</v>
      </c>
      <c r="K422" s="1">
        <v>6</v>
      </c>
      <c r="L422" s="1">
        <v>3600</v>
      </c>
      <c r="M422" s="1">
        <v>10</v>
      </c>
      <c r="N422" s="1">
        <v>10</v>
      </c>
      <c r="O422" s="1">
        <v>5</v>
      </c>
      <c r="P422" s="1">
        <v>5</v>
      </c>
      <c r="Q422" s="1">
        <v>2</v>
      </c>
      <c r="R422" s="1">
        <v>2</v>
      </c>
      <c r="S422" s="1">
        <v>2</v>
      </c>
      <c r="T422" s="1">
        <v>0</v>
      </c>
      <c r="U422" s="1">
        <v>120</v>
      </c>
      <c r="V422" s="1">
        <v>96</v>
      </c>
      <c r="W422" s="1">
        <v>90</v>
      </c>
      <c r="X422" s="1">
        <v>100</v>
      </c>
      <c r="Y422" s="1">
        <v>125</v>
      </c>
      <c r="Z422" s="1">
        <v>110</v>
      </c>
      <c r="AA422" s="1">
        <v>0</v>
      </c>
      <c r="AB422" s="1">
        <v>15</v>
      </c>
      <c r="AC422" s="1">
        <v>40</v>
      </c>
      <c r="AD422" s="1">
        <v>0</v>
      </c>
      <c r="AE422" s="1">
        <v>140</v>
      </c>
      <c r="AF422" s="1">
        <v>100</v>
      </c>
      <c r="AG422" s="1">
        <v>902241</v>
      </c>
      <c r="AH422" s="1">
        <v>902243</v>
      </c>
      <c r="AI422" s="1">
        <v>300101</v>
      </c>
      <c r="AJ422" s="1" t="s">
        <v>1474</v>
      </c>
      <c r="AK422" s="1" t="s">
        <v>329</v>
      </c>
      <c r="AL422" s="1">
        <v>12</v>
      </c>
      <c r="AM422" s="1" t="s">
        <v>1866</v>
      </c>
      <c r="AN422" s="1" t="s">
        <v>5502</v>
      </c>
      <c r="AO422" s="1" t="s">
        <v>5503</v>
      </c>
      <c r="AP422" s="1">
        <v>0</v>
      </c>
      <c r="AQ422" s="1" t="s">
        <v>1146</v>
      </c>
      <c r="AR422" s="1" t="s">
        <v>1147</v>
      </c>
      <c r="AS422" s="1" t="s">
        <v>4821</v>
      </c>
      <c r="AT422" s="1" t="s">
        <v>329</v>
      </c>
      <c r="AU422" s="1">
        <v>114</v>
      </c>
      <c r="AV422" s="1">
        <v>0</v>
      </c>
      <c r="AW422" s="1" t="s">
        <v>5029</v>
      </c>
      <c r="AX422" s="1" t="s">
        <v>5476</v>
      </c>
      <c r="AY422" s="1">
        <v>6</v>
      </c>
      <c r="AZ422" s="1">
        <v>3114</v>
      </c>
      <c r="BA422" s="1" t="s">
        <v>329</v>
      </c>
      <c r="BB422" s="1" t="s">
        <v>5049</v>
      </c>
      <c r="BC422" s="1" t="s">
        <v>329</v>
      </c>
      <c r="BD422" s="1">
        <v>0</v>
      </c>
      <c r="BE422" s="1"/>
    </row>
    <row r="423" spans="1:57" x14ac:dyDescent="0.25">
      <c r="A423" s="1">
        <v>20122</v>
      </c>
      <c r="B423" s="1" t="s">
        <v>4447</v>
      </c>
      <c r="C423" s="9" t="s">
        <v>1475</v>
      </c>
      <c r="D423" s="1" t="s">
        <v>1475</v>
      </c>
      <c r="E423" s="1"/>
      <c r="F423" s="1"/>
      <c r="G423" s="1" t="s">
        <v>4448</v>
      </c>
      <c r="H423" s="1" t="s">
        <v>4449</v>
      </c>
      <c r="I423" s="1" t="s">
        <v>4450</v>
      </c>
      <c r="J423" s="1">
        <v>4</v>
      </c>
      <c r="K423" s="1">
        <v>6</v>
      </c>
      <c r="L423" s="1">
        <v>14640</v>
      </c>
      <c r="M423" s="1">
        <v>20</v>
      </c>
      <c r="N423" s="1">
        <v>20</v>
      </c>
      <c r="O423" s="1">
        <v>10</v>
      </c>
      <c r="P423" s="1">
        <v>10</v>
      </c>
      <c r="Q423" s="1">
        <v>2</v>
      </c>
      <c r="R423" s="1">
        <v>5</v>
      </c>
      <c r="S423" s="1">
        <v>5</v>
      </c>
      <c r="T423" s="1">
        <v>0</v>
      </c>
      <c r="U423" s="1">
        <v>110</v>
      </c>
      <c r="V423" s="1">
        <v>105</v>
      </c>
      <c r="W423" s="1">
        <v>145</v>
      </c>
      <c r="X423" s="1">
        <v>100</v>
      </c>
      <c r="Y423" s="1">
        <v>115</v>
      </c>
      <c r="Z423" s="1">
        <v>105</v>
      </c>
      <c r="AA423" s="1">
        <v>0</v>
      </c>
      <c r="AB423" s="1">
        <v>15</v>
      </c>
      <c r="AC423" s="1">
        <v>20</v>
      </c>
      <c r="AD423" s="1">
        <v>0</v>
      </c>
      <c r="AE423" s="1">
        <v>114</v>
      </c>
      <c r="AF423" s="1">
        <v>100</v>
      </c>
      <c r="AG423" s="1">
        <v>900893</v>
      </c>
      <c r="AH423" s="1">
        <v>900894</v>
      </c>
      <c r="AI423" s="1">
        <v>900890</v>
      </c>
      <c r="AJ423" s="1" t="s">
        <v>1476</v>
      </c>
      <c r="AK423" s="1" t="s">
        <v>329</v>
      </c>
      <c r="AL423" s="1">
        <v>13</v>
      </c>
      <c r="AM423" s="1" t="s">
        <v>4779</v>
      </c>
      <c r="AN423" s="1" t="s">
        <v>4944</v>
      </c>
      <c r="AO423" s="1" t="s">
        <v>5504</v>
      </c>
      <c r="AP423" s="1">
        <v>0</v>
      </c>
      <c r="AQ423" s="1" t="s">
        <v>1158</v>
      </c>
      <c r="AR423" s="1" t="s">
        <v>1182</v>
      </c>
      <c r="AS423" s="1" t="s">
        <v>1773</v>
      </c>
      <c r="AT423" s="1" t="s">
        <v>329</v>
      </c>
      <c r="AU423" s="1">
        <v>122</v>
      </c>
      <c r="AV423" s="1">
        <v>0</v>
      </c>
      <c r="AW423" s="1" t="s">
        <v>5020</v>
      </c>
      <c r="AX423" s="1" t="s">
        <v>5476</v>
      </c>
      <c r="AY423" s="1">
        <v>6</v>
      </c>
      <c r="AZ423" s="1">
        <v>3122</v>
      </c>
      <c r="BA423" s="1" t="s">
        <v>329</v>
      </c>
      <c r="BB423" s="1" t="s">
        <v>5066</v>
      </c>
      <c r="BC423" s="1" t="s">
        <v>4949</v>
      </c>
      <c r="BD423" s="1">
        <v>0</v>
      </c>
      <c r="BE423" s="1"/>
    </row>
    <row r="424" spans="1:57" x14ac:dyDescent="0.25">
      <c r="A424" s="1">
        <v>20124</v>
      </c>
      <c r="B424" s="1" t="s">
        <v>4451</v>
      </c>
      <c r="C424" s="9" t="s">
        <v>835</v>
      </c>
      <c r="D424" s="1" t="s">
        <v>4452</v>
      </c>
      <c r="E424" s="1"/>
      <c r="F424" s="1"/>
      <c r="G424" s="1" t="s">
        <v>4453</v>
      </c>
      <c r="H424" s="1" t="s">
        <v>4454</v>
      </c>
      <c r="I424" s="1" t="s">
        <v>4455</v>
      </c>
      <c r="J424" s="1">
        <v>3</v>
      </c>
      <c r="K424" s="1">
        <v>4</v>
      </c>
      <c r="L424" s="1">
        <v>14400</v>
      </c>
      <c r="M424" s="1">
        <v>15</v>
      </c>
      <c r="N424" s="1">
        <v>30</v>
      </c>
      <c r="O424" s="1">
        <v>10</v>
      </c>
      <c r="P424" s="1">
        <v>15</v>
      </c>
      <c r="Q424" s="1">
        <v>5</v>
      </c>
      <c r="R424" s="1">
        <v>2</v>
      </c>
      <c r="S424" s="1">
        <v>5</v>
      </c>
      <c r="T424" s="1">
        <v>0</v>
      </c>
      <c r="U424" s="1">
        <v>100</v>
      </c>
      <c r="V424" s="1">
        <v>115</v>
      </c>
      <c r="W424" s="1">
        <v>120</v>
      </c>
      <c r="X424" s="1">
        <v>100</v>
      </c>
      <c r="Y424" s="1">
        <v>110</v>
      </c>
      <c r="Z424" s="1">
        <v>90</v>
      </c>
      <c r="AA424" s="1">
        <v>0</v>
      </c>
      <c r="AB424" s="1">
        <v>15</v>
      </c>
      <c r="AC424" s="1">
        <v>40</v>
      </c>
      <c r="AD424" s="1">
        <v>0</v>
      </c>
      <c r="AE424" s="1">
        <v>115</v>
      </c>
      <c r="AF424" s="1">
        <v>100</v>
      </c>
      <c r="AG424" s="1">
        <v>900880</v>
      </c>
      <c r="AH424" s="1">
        <v>900882</v>
      </c>
      <c r="AI424" s="1">
        <v>900883</v>
      </c>
      <c r="AJ424" s="1" t="s">
        <v>1477</v>
      </c>
      <c r="AK424" s="1" t="s">
        <v>1478</v>
      </c>
      <c r="AL424" s="1">
        <v>13</v>
      </c>
      <c r="AM424" s="1" t="s">
        <v>4822</v>
      </c>
      <c r="AN424" s="1" t="s">
        <v>5449</v>
      </c>
      <c r="AO424" s="1" t="s">
        <v>4892</v>
      </c>
      <c r="AP424" s="1">
        <v>0</v>
      </c>
      <c r="AQ424" s="1" t="s">
        <v>1168</v>
      </c>
      <c r="AR424" s="1" t="s">
        <v>4895</v>
      </c>
      <c r="AS424" s="1" t="s">
        <v>1170</v>
      </c>
      <c r="AT424" s="1" t="s">
        <v>329</v>
      </c>
      <c r="AU424" s="1">
        <v>124</v>
      </c>
      <c r="AV424" s="1">
        <v>0</v>
      </c>
      <c r="AW424" s="1" t="s">
        <v>5069</v>
      </c>
      <c r="AX424" s="1" t="s">
        <v>5476</v>
      </c>
      <c r="AY424" s="1">
        <v>4</v>
      </c>
      <c r="AZ424" s="1">
        <v>3124</v>
      </c>
      <c r="BA424" s="1" t="s">
        <v>329</v>
      </c>
      <c r="BB424" s="1" t="s">
        <v>5070</v>
      </c>
      <c r="BC424" s="1" t="s">
        <v>4780</v>
      </c>
      <c r="BD424" s="1">
        <v>0</v>
      </c>
      <c r="BE424" s="1"/>
    </row>
    <row r="425" spans="1:57" x14ac:dyDescent="0.25">
      <c r="A425" s="1">
        <v>20125</v>
      </c>
      <c r="B425" s="1" t="s">
        <v>4456</v>
      </c>
      <c r="C425" s="9" t="s">
        <v>934</v>
      </c>
      <c r="D425" s="1" t="s">
        <v>934</v>
      </c>
      <c r="E425" s="1"/>
      <c r="F425" s="1"/>
      <c r="G425" s="1" t="s">
        <v>4457</v>
      </c>
      <c r="H425" s="1" t="s">
        <v>4458</v>
      </c>
      <c r="I425" s="1" t="s">
        <v>4459</v>
      </c>
      <c r="J425" s="1">
        <v>5</v>
      </c>
      <c r="K425" s="1">
        <v>6</v>
      </c>
      <c r="L425" s="1">
        <v>24000</v>
      </c>
      <c r="M425" s="1">
        <v>40</v>
      </c>
      <c r="N425" s="1">
        <v>30</v>
      </c>
      <c r="O425" s="1">
        <v>25</v>
      </c>
      <c r="P425" s="1">
        <v>15</v>
      </c>
      <c r="Q425" s="1">
        <v>5</v>
      </c>
      <c r="R425" s="1">
        <v>5</v>
      </c>
      <c r="S425" s="1">
        <v>2</v>
      </c>
      <c r="T425" s="1">
        <v>5</v>
      </c>
      <c r="U425" s="1">
        <v>110</v>
      </c>
      <c r="V425" s="1">
        <v>102</v>
      </c>
      <c r="W425" s="1">
        <v>125</v>
      </c>
      <c r="X425" s="1">
        <v>100</v>
      </c>
      <c r="Y425" s="1">
        <v>130</v>
      </c>
      <c r="Z425" s="1">
        <v>120</v>
      </c>
      <c r="AA425" s="1">
        <v>0</v>
      </c>
      <c r="AB425" s="1">
        <v>15</v>
      </c>
      <c r="AC425" s="1">
        <v>5</v>
      </c>
      <c r="AD425" s="1">
        <v>10</v>
      </c>
      <c r="AE425" s="1">
        <v>135</v>
      </c>
      <c r="AF425" s="1">
        <v>100</v>
      </c>
      <c r="AG425" s="1">
        <v>803901</v>
      </c>
      <c r="AH425" s="1">
        <v>803904</v>
      </c>
      <c r="AI425" s="1">
        <v>803925</v>
      </c>
      <c r="AJ425" s="1" t="s">
        <v>1194</v>
      </c>
      <c r="AK425" s="1" t="s">
        <v>1479</v>
      </c>
      <c r="AL425" s="1">
        <v>18</v>
      </c>
      <c r="AM425" s="1" t="s">
        <v>4918</v>
      </c>
      <c r="AN425" s="1" t="s">
        <v>5044</v>
      </c>
      <c r="AO425" s="1" t="s">
        <v>5505</v>
      </c>
      <c r="AP425" s="1">
        <v>0</v>
      </c>
      <c r="AQ425" s="1" t="s">
        <v>5072</v>
      </c>
      <c r="AR425" s="1" t="s">
        <v>4971</v>
      </c>
      <c r="AS425" s="1" t="s">
        <v>1197</v>
      </c>
      <c r="AT425" s="1" t="s">
        <v>329</v>
      </c>
      <c r="AU425" s="1">
        <v>125</v>
      </c>
      <c r="AV425" s="1">
        <v>0</v>
      </c>
      <c r="AW425" s="1" t="s">
        <v>4902</v>
      </c>
      <c r="AX425" s="1" t="s">
        <v>5476</v>
      </c>
      <c r="AY425" s="1">
        <v>6</v>
      </c>
      <c r="AZ425" s="1">
        <v>3125</v>
      </c>
      <c r="BA425" s="1" t="s">
        <v>329</v>
      </c>
      <c r="BB425" s="1" t="s">
        <v>329</v>
      </c>
      <c r="BC425" s="1" t="s">
        <v>4829</v>
      </c>
      <c r="BD425" s="1">
        <v>0</v>
      </c>
      <c r="BE425" s="1"/>
    </row>
    <row r="426" spans="1:57" x14ac:dyDescent="0.25">
      <c r="A426" s="1">
        <v>20136</v>
      </c>
      <c r="B426" s="1" t="s">
        <v>4460</v>
      </c>
      <c r="C426" s="9" t="s">
        <v>1713</v>
      </c>
      <c r="D426" s="1" t="s">
        <v>1713</v>
      </c>
      <c r="E426" s="1"/>
      <c r="F426" s="1"/>
      <c r="G426" s="1" t="s">
        <v>4461</v>
      </c>
      <c r="H426" s="1" t="s">
        <v>4462</v>
      </c>
      <c r="I426" s="1" t="s">
        <v>4463</v>
      </c>
      <c r="J426" s="1">
        <v>2</v>
      </c>
      <c r="K426" s="1">
        <v>5</v>
      </c>
      <c r="L426" s="1">
        <v>8400</v>
      </c>
      <c r="M426" s="1">
        <v>25</v>
      </c>
      <c r="N426" s="1">
        <v>20</v>
      </c>
      <c r="O426" s="1">
        <v>15</v>
      </c>
      <c r="P426" s="1">
        <v>10</v>
      </c>
      <c r="Q426" s="1">
        <v>5</v>
      </c>
      <c r="R426" s="1">
        <v>5</v>
      </c>
      <c r="S426" s="1">
        <v>2</v>
      </c>
      <c r="T426" s="1">
        <v>0</v>
      </c>
      <c r="U426" s="1">
        <v>105</v>
      </c>
      <c r="V426" s="1">
        <v>103</v>
      </c>
      <c r="W426" s="1">
        <v>115</v>
      </c>
      <c r="X426" s="1">
        <v>100</v>
      </c>
      <c r="Y426" s="1">
        <v>115</v>
      </c>
      <c r="Z426" s="1">
        <v>125</v>
      </c>
      <c r="AA426" s="1">
        <v>0</v>
      </c>
      <c r="AB426" s="1">
        <v>15</v>
      </c>
      <c r="AC426" s="1">
        <v>5</v>
      </c>
      <c r="AD426" s="1">
        <v>0</v>
      </c>
      <c r="AE426" s="1">
        <v>110</v>
      </c>
      <c r="AF426" s="1">
        <v>100</v>
      </c>
      <c r="AG426" s="1">
        <v>902137</v>
      </c>
      <c r="AH426" s="1">
        <v>902148</v>
      </c>
      <c r="AI426" s="1">
        <v>300102</v>
      </c>
      <c r="AJ426" s="1" t="s">
        <v>1480</v>
      </c>
      <c r="AK426" s="1" t="s">
        <v>1481</v>
      </c>
      <c r="AL426" s="1">
        <v>13</v>
      </c>
      <c r="AM426" s="1" t="s">
        <v>4850</v>
      </c>
      <c r="AN426" s="1" t="s">
        <v>5053</v>
      </c>
      <c r="AO426" s="1" t="s">
        <v>5506</v>
      </c>
      <c r="AP426" s="1">
        <v>0</v>
      </c>
      <c r="AQ426" s="1" t="s">
        <v>1157</v>
      </c>
      <c r="AR426" s="1" t="s">
        <v>1147</v>
      </c>
      <c r="AS426" s="1" t="s">
        <v>1774</v>
      </c>
      <c r="AT426" s="1" t="s">
        <v>329</v>
      </c>
      <c r="AU426" s="1">
        <v>136</v>
      </c>
      <c r="AV426" s="1">
        <v>0</v>
      </c>
      <c r="AW426" s="1" t="s">
        <v>4868</v>
      </c>
      <c r="AX426" s="1" t="s">
        <v>5476</v>
      </c>
      <c r="AY426" s="1">
        <v>5</v>
      </c>
      <c r="AZ426" s="1">
        <v>3136</v>
      </c>
      <c r="BA426" s="1" t="s">
        <v>329</v>
      </c>
      <c r="BB426" s="1" t="s">
        <v>4853</v>
      </c>
      <c r="BC426" s="1" t="s">
        <v>4817</v>
      </c>
      <c r="BD426" s="1">
        <v>0</v>
      </c>
      <c r="BE426" s="1"/>
    </row>
    <row r="427" spans="1:57" x14ac:dyDescent="0.25">
      <c r="A427" s="1">
        <v>20143</v>
      </c>
      <c r="B427" s="1" t="s">
        <v>4464</v>
      </c>
      <c r="C427" s="9" t="s">
        <v>828</v>
      </c>
      <c r="D427" s="1" t="s">
        <v>828</v>
      </c>
      <c r="E427" s="1"/>
      <c r="F427" s="1"/>
      <c r="G427" s="1" t="s">
        <v>4465</v>
      </c>
      <c r="H427" s="1" t="s">
        <v>4466</v>
      </c>
      <c r="I427" s="1" t="s">
        <v>4467</v>
      </c>
      <c r="J427" s="1">
        <v>2</v>
      </c>
      <c r="K427" s="1">
        <v>6</v>
      </c>
      <c r="L427" s="1">
        <v>9300</v>
      </c>
      <c r="M427" s="1">
        <v>25</v>
      </c>
      <c r="N427" s="1">
        <v>20</v>
      </c>
      <c r="O427" s="1">
        <v>15</v>
      </c>
      <c r="P427" s="1">
        <v>10</v>
      </c>
      <c r="Q427" s="1">
        <v>5</v>
      </c>
      <c r="R427" s="1">
        <v>5</v>
      </c>
      <c r="S427" s="1">
        <v>2</v>
      </c>
      <c r="T427" s="1">
        <v>0</v>
      </c>
      <c r="U427" s="1">
        <v>115</v>
      </c>
      <c r="V427" s="1">
        <v>110</v>
      </c>
      <c r="W427" s="1">
        <v>125</v>
      </c>
      <c r="X427" s="1">
        <v>100</v>
      </c>
      <c r="Y427" s="1">
        <v>130</v>
      </c>
      <c r="Z427" s="1">
        <v>125</v>
      </c>
      <c r="AA427" s="1">
        <v>0</v>
      </c>
      <c r="AB427" s="1">
        <v>15</v>
      </c>
      <c r="AC427" s="1">
        <v>5</v>
      </c>
      <c r="AD427" s="1">
        <v>0</v>
      </c>
      <c r="AE427" s="1">
        <v>105</v>
      </c>
      <c r="AF427" s="1">
        <v>100</v>
      </c>
      <c r="AG427" s="1">
        <v>803501</v>
      </c>
      <c r="AH427" s="1">
        <v>803502</v>
      </c>
      <c r="AI427" s="1">
        <v>803504</v>
      </c>
      <c r="AJ427" s="1" t="s">
        <v>1482</v>
      </c>
      <c r="AK427" s="1" t="s">
        <v>1483</v>
      </c>
      <c r="AL427" s="1">
        <v>13</v>
      </c>
      <c r="AM427" s="1" t="s">
        <v>4850</v>
      </c>
      <c r="AN427" s="1" t="s">
        <v>5007</v>
      </c>
      <c r="AO427" s="1" t="s">
        <v>5507</v>
      </c>
      <c r="AP427" s="1">
        <v>0</v>
      </c>
      <c r="AQ427" s="1" t="s">
        <v>1773</v>
      </c>
      <c r="AR427" s="1" t="s">
        <v>1147</v>
      </c>
      <c r="AS427" s="1" t="s">
        <v>1158</v>
      </c>
      <c r="AT427" s="1" t="s">
        <v>329</v>
      </c>
      <c r="AU427" s="1">
        <v>143</v>
      </c>
      <c r="AV427" s="1">
        <v>0</v>
      </c>
      <c r="AW427" s="1" t="s">
        <v>5097</v>
      </c>
      <c r="AX427" s="1" t="s">
        <v>5476</v>
      </c>
      <c r="AY427" s="1">
        <v>6</v>
      </c>
      <c r="AZ427" s="1">
        <v>3143</v>
      </c>
      <c r="BA427" s="1" t="s">
        <v>329</v>
      </c>
      <c r="BB427" s="1" t="s">
        <v>5107</v>
      </c>
      <c r="BC427" s="1" t="s">
        <v>4920</v>
      </c>
      <c r="BD427" s="1">
        <v>0</v>
      </c>
      <c r="BE427" s="1"/>
    </row>
    <row r="428" spans="1:57" x14ac:dyDescent="0.25">
      <c r="A428" s="1">
        <v>20152</v>
      </c>
      <c r="B428" s="1" t="s">
        <v>4468</v>
      </c>
      <c r="C428" s="9" t="s">
        <v>725</v>
      </c>
      <c r="D428" s="1" t="s">
        <v>725</v>
      </c>
      <c r="E428" s="1"/>
      <c r="F428" s="1"/>
      <c r="G428" s="1" t="s">
        <v>4469</v>
      </c>
      <c r="H428" s="1" t="s">
        <v>4470</v>
      </c>
      <c r="I428" s="1" t="s">
        <v>4471</v>
      </c>
      <c r="J428" s="1">
        <v>6</v>
      </c>
      <c r="K428" s="1">
        <v>4</v>
      </c>
      <c r="L428" s="1">
        <v>27000</v>
      </c>
      <c r="M428" s="1">
        <v>30</v>
      </c>
      <c r="N428" s="1">
        <v>40</v>
      </c>
      <c r="O428" s="1">
        <v>15</v>
      </c>
      <c r="P428" s="1">
        <v>25</v>
      </c>
      <c r="Q428" s="1">
        <v>5</v>
      </c>
      <c r="R428" s="1">
        <v>2</v>
      </c>
      <c r="S428" s="1">
        <v>5</v>
      </c>
      <c r="T428" s="1">
        <v>5</v>
      </c>
      <c r="U428" s="1">
        <v>120</v>
      </c>
      <c r="V428" s="1">
        <v>125</v>
      </c>
      <c r="W428" s="1">
        <v>100</v>
      </c>
      <c r="X428" s="1">
        <v>100</v>
      </c>
      <c r="Y428" s="1">
        <v>108</v>
      </c>
      <c r="Z428" s="1">
        <v>95</v>
      </c>
      <c r="AA428" s="1">
        <v>115</v>
      </c>
      <c r="AB428" s="1">
        <v>15</v>
      </c>
      <c r="AC428" s="1">
        <v>40</v>
      </c>
      <c r="AD428" s="1">
        <v>4</v>
      </c>
      <c r="AE428" s="1">
        <v>100</v>
      </c>
      <c r="AF428" s="1">
        <v>100</v>
      </c>
      <c r="AG428" s="1">
        <v>103203</v>
      </c>
      <c r="AH428" s="1">
        <v>902142</v>
      </c>
      <c r="AI428" s="1">
        <v>902140</v>
      </c>
      <c r="AJ428" s="1" t="s">
        <v>1484</v>
      </c>
      <c r="AK428" s="1" t="s">
        <v>329</v>
      </c>
      <c r="AL428" s="1">
        <v>8</v>
      </c>
      <c r="AM428" s="1" t="s">
        <v>4776</v>
      </c>
      <c r="AN428" s="1" t="s">
        <v>5508</v>
      </c>
      <c r="AO428" s="1" t="s">
        <v>5509</v>
      </c>
      <c r="AP428" s="1">
        <v>0</v>
      </c>
      <c r="AQ428" s="1" t="s">
        <v>1228</v>
      </c>
      <c r="AR428" s="1" t="s">
        <v>5120</v>
      </c>
      <c r="AS428" s="1" t="s">
        <v>1230</v>
      </c>
      <c r="AT428" s="1" t="s">
        <v>329</v>
      </c>
      <c r="AU428" s="1">
        <v>152</v>
      </c>
      <c r="AV428" s="1">
        <v>0</v>
      </c>
      <c r="AW428" s="1" t="s">
        <v>5121</v>
      </c>
      <c r="AX428" s="1" t="s">
        <v>5476</v>
      </c>
      <c r="AY428" s="1">
        <v>4</v>
      </c>
      <c r="AZ428" s="1">
        <v>3152</v>
      </c>
      <c r="BA428" s="1" t="s">
        <v>329</v>
      </c>
      <c r="BB428" s="1" t="s">
        <v>329</v>
      </c>
      <c r="BC428" s="1" t="s">
        <v>4780</v>
      </c>
      <c r="BD428" s="1">
        <v>0</v>
      </c>
      <c r="BE428" s="1"/>
    </row>
    <row r="429" spans="1:57" x14ac:dyDescent="0.25">
      <c r="A429" s="1">
        <v>20154</v>
      </c>
      <c r="B429" s="1" t="s">
        <v>4472</v>
      </c>
      <c r="C429" s="9" t="s">
        <v>716</v>
      </c>
      <c r="D429" s="1" t="s">
        <v>716</v>
      </c>
      <c r="E429" s="1"/>
      <c r="F429" s="1"/>
      <c r="G429" s="1" t="s">
        <v>4473</v>
      </c>
      <c r="H429" s="1" t="s">
        <v>4474</v>
      </c>
      <c r="I429" s="1" t="s">
        <v>4475</v>
      </c>
      <c r="J429" s="1">
        <v>6</v>
      </c>
      <c r="K429" s="1">
        <v>4</v>
      </c>
      <c r="L429" s="1">
        <v>26400</v>
      </c>
      <c r="M429" s="1">
        <v>30</v>
      </c>
      <c r="N429" s="1">
        <v>40</v>
      </c>
      <c r="O429" s="1">
        <v>15</v>
      </c>
      <c r="P429" s="1">
        <v>25</v>
      </c>
      <c r="Q429" s="1">
        <v>5</v>
      </c>
      <c r="R429" s="1">
        <v>2</v>
      </c>
      <c r="S429" s="1">
        <v>5</v>
      </c>
      <c r="T429" s="1">
        <v>5</v>
      </c>
      <c r="U429" s="1">
        <v>120</v>
      </c>
      <c r="V429" s="1">
        <v>115</v>
      </c>
      <c r="W429" s="1">
        <v>115</v>
      </c>
      <c r="X429" s="1">
        <v>100</v>
      </c>
      <c r="Y429" s="1">
        <v>110</v>
      </c>
      <c r="Z429" s="1">
        <v>90</v>
      </c>
      <c r="AA429" s="1">
        <v>115</v>
      </c>
      <c r="AB429" s="1">
        <v>15</v>
      </c>
      <c r="AC429" s="1">
        <v>40</v>
      </c>
      <c r="AD429" s="1">
        <v>4</v>
      </c>
      <c r="AE429" s="1">
        <v>95</v>
      </c>
      <c r="AF429" s="1">
        <v>100</v>
      </c>
      <c r="AG429" s="1">
        <v>803301</v>
      </c>
      <c r="AH429" s="1">
        <v>803302</v>
      </c>
      <c r="AI429" s="1">
        <v>300106</v>
      </c>
      <c r="AJ429" s="1" t="s">
        <v>1485</v>
      </c>
      <c r="AK429" s="1" t="s">
        <v>1486</v>
      </c>
      <c r="AL429" s="1">
        <v>7</v>
      </c>
      <c r="AM429" s="1" t="s">
        <v>4776</v>
      </c>
      <c r="AN429" s="1" t="s">
        <v>471</v>
      </c>
      <c r="AO429" s="1" t="s">
        <v>5510</v>
      </c>
      <c r="AP429" s="1">
        <v>0</v>
      </c>
      <c r="AQ429" s="1" t="s">
        <v>1228</v>
      </c>
      <c r="AR429" s="1" t="s">
        <v>1229</v>
      </c>
      <c r="AS429" s="1" t="s">
        <v>5122</v>
      </c>
      <c r="AT429" s="1" t="s">
        <v>329</v>
      </c>
      <c r="AU429" s="1">
        <v>154</v>
      </c>
      <c r="AV429" s="1">
        <v>0</v>
      </c>
      <c r="AW429" s="1" t="s">
        <v>5097</v>
      </c>
      <c r="AX429" s="1" t="s">
        <v>5476</v>
      </c>
      <c r="AY429" s="1">
        <v>4</v>
      </c>
      <c r="AZ429" s="1">
        <v>3154</v>
      </c>
      <c r="BA429" s="1" t="s">
        <v>329</v>
      </c>
      <c r="BB429" s="1" t="s">
        <v>329</v>
      </c>
      <c r="BC429" s="1" t="s">
        <v>4780</v>
      </c>
      <c r="BD429" s="1">
        <v>0</v>
      </c>
      <c r="BE429" s="1"/>
    </row>
    <row r="430" spans="1:57" x14ac:dyDescent="0.25">
      <c r="A430" s="1">
        <v>20159</v>
      </c>
      <c r="B430" s="1" t="s">
        <v>4476</v>
      </c>
      <c r="C430" s="9" t="s">
        <v>935</v>
      </c>
      <c r="D430" s="1" t="s">
        <v>935</v>
      </c>
      <c r="E430" s="1"/>
      <c r="F430" s="1"/>
      <c r="G430" s="1" t="s">
        <v>4477</v>
      </c>
      <c r="H430" s="1" t="s">
        <v>4478</v>
      </c>
      <c r="I430" s="1" t="s">
        <v>4479</v>
      </c>
      <c r="J430" s="1">
        <v>6</v>
      </c>
      <c r="K430" s="1">
        <v>4</v>
      </c>
      <c r="L430" s="1">
        <v>27000</v>
      </c>
      <c r="M430" s="1">
        <v>30</v>
      </c>
      <c r="N430" s="1">
        <v>40</v>
      </c>
      <c r="O430" s="1">
        <v>15</v>
      </c>
      <c r="P430" s="1">
        <v>25</v>
      </c>
      <c r="Q430" s="1">
        <v>5</v>
      </c>
      <c r="R430" s="1">
        <v>2</v>
      </c>
      <c r="S430" s="1">
        <v>5</v>
      </c>
      <c r="T430" s="1">
        <v>5</v>
      </c>
      <c r="U430" s="1">
        <v>110</v>
      </c>
      <c r="V430" s="1">
        <v>112</v>
      </c>
      <c r="W430" s="1">
        <v>110</v>
      </c>
      <c r="X430" s="1">
        <v>100</v>
      </c>
      <c r="Y430" s="1">
        <v>106</v>
      </c>
      <c r="Z430" s="1">
        <v>120</v>
      </c>
      <c r="AA430" s="1">
        <v>120</v>
      </c>
      <c r="AB430" s="1">
        <v>15</v>
      </c>
      <c r="AC430" s="1">
        <v>40</v>
      </c>
      <c r="AD430" s="1">
        <v>4</v>
      </c>
      <c r="AE430" s="1">
        <v>100</v>
      </c>
      <c r="AF430" s="1">
        <v>100</v>
      </c>
      <c r="AG430" s="1">
        <v>803701</v>
      </c>
      <c r="AH430" s="1">
        <v>803702</v>
      </c>
      <c r="AI430" s="1">
        <v>300106</v>
      </c>
      <c r="AJ430" s="1" t="s">
        <v>1487</v>
      </c>
      <c r="AK430" s="1" t="s">
        <v>1488</v>
      </c>
      <c r="AL430" s="1">
        <v>9</v>
      </c>
      <c r="AM430" s="1" t="s">
        <v>4776</v>
      </c>
      <c r="AN430" s="1" t="s">
        <v>366</v>
      </c>
      <c r="AO430" s="1" t="s">
        <v>5511</v>
      </c>
      <c r="AP430" s="1">
        <v>0</v>
      </c>
      <c r="AQ430" s="1" t="s">
        <v>5127</v>
      </c>
      <c r="AR430" s="1" t="s">
        <v>1229</v>
      </c>
      <c r="AS430" s="1" t="s">
        <v>1230</v>
      </c>
      <c r="AT430" s="1" t="s">
        <v>329</v>
      </c>
      <c r="AU430" s="1">
        <v>159</v>
      </c>
      <c r="AV430" s="1">
        <v>0</v>
      </c>
      <c r="AW430" s="1" t="s">
        <v>5097</v>
      </c>
      <c r="AX430" s="1" t="s">
        <v>5476</v>
      </c>
      <c r="AY430" s="1">
        <v>4</v>
      </c>
      <c r="AZ430" s="1">
        <v>3159</v>
      </c>
      <c r="BA430" s="1" t="s">
        <v>329</v>
      </c>
      <c r="BB430" s="1" t="s">
        <v>329</v>
      </c>
      <c r="BC430" s="1" t="s">
        <v>4817</v>
      </c>
      <c r="BD430" s="1">
        <v>0</v>
      </c>
      <c r="BE430" s="1"/>
    </row>
    <row r="431" spans="1:57" x14ac:dyDescent="0.25">
      <c r="A431" s="1">
        <v>20161</v>
      </c>
      <c r="B431" s="1" t="s">
        <v>4480</v>
      </c>
      <c r="C431" s="9" t="s">
        <v>734</v>
      </c>
      <c r="D431" s="1" t="s">
        <v>4481</v>
      </c>
      <c r="E431" s="1"/>
      <c r="F431" s="1"/>
      <c r="G431" s="1" t="s">
        <v>4482</v>
      </c>
      <c r="H431" s="1" t="s">
        <v>4483</v>
      </c>
      <c r="I431" s="1" t="s">
        <v>4484</v>
      </c>
      <c r="J431" s="1">
        <v>6</v>
      </c>
      <c r="K431" s="1">
        <v>5</v>
      </c>
      <c r="L431" s="1">
        <v>27000</v>
      </c>
      <c r="M431" s="1">
        <v>30</v>
      </c>
      <c r="N431" s="1">
        <v>40</v>
      </c>
      <c r="O431" s="1">
        <v>15</v>
      </c>
      <c r="P431" s="1">
        <v>25</v>
      </c>
      <c r="Q431" s="1">
        <v>5</v>
      </c>
      <c r="R431" s="1">
        <v>2</v>
      </c>
      <c r="S431" s="1">
        <v>5</v>
      </c>
      <c r="T431" s="1">
        <v>5</v>
      </c>
      <c r="U431" s="1">
        <v>120</v>
      </c>
      <c r="V431" s="1">
        <v>120</v>
      </c>
      <c r="W431" s="1">
        <v>105</v>
      </c>
      <c r="X431" s="1">
        <v>100</v>
      </c>
      <c r="Y431" s="1">
        <v>110</v>
      </c>
      <c r="Z431" s="1">
        <v>115</v>
      </c>
      <c r="AA431" s="1">
        <v>115</v>
      </c>
      <c r="AB431" s="1">
        <v>15</v>
      </c>
      <c r="AC431" s="1">
        <v>40</v>
      </c>
      <c r="AD431" s="1">
        <v>3</v>
      </c>
      <c r="AE431" s="1">
        <v>105</v>
      </c>
      <c r="AF431" s="1">
        <v>100</v>
      </c>
      <c r="AG431" s="1">
        <v>900886</v>
      </c>
      <c r="AH431" s="1">
        <v>900887</v>
      </c>
      <c r="AI431" s="1">
        <v>900888</v>
      </c>
      <c r="AJ431" s="1" t="s">
        <v>1489</v>
      </c>
      <c r="AK431" s="1" t="s">
        <v>329</v>
      </c>
      <c r="AL431" s="1">
        <v>8</v>
      </c>
      <c r="AM431" s="1" t="s">
        <v>4776</v>
      </c>
      <c r="AN431" s="1" t="s">
        <v>5512</v>
      </c>
      <c r="AO431" s="1" t="s">
        <v>5128</v>
      </c>
      <c r="AP431" s="1">
        <v>0</v>
      </c>
      <c r="AQ431" s="1" t="s">
        <v>5127</v>
      </c>
      <c r="AR431" s="1" t="s">
        <v>1229</v>
      </c>
      <c r="AS431" s="1" t="s">
        <v>1230</v>
      </c>
      <c r="AT431" s="1" t="s">
        <v>329</v>
      </c>
      <c r="AU431" s="1">
        <v>161</v>
      </c>
      <c r="AV431" s="1">
        <v>0</v>
      </c>
      <c r="AW431" s="1" t="s">
        <v>5097</v>
      </c>
      <c r="AX431" s="1" t="s">
        <v>5476</v>
      </c>
      <c r="AY431" s="1">
        <v>5</v>
      </c>
      <c r="AZ431" s="1">
        <v>3161</v>
      </c>
      <c r="BA431" s="1" t="s">
        <v>329</v>
      </c>
      <c r="BB431" s="1" t="s">
        <v>5012</v>
      </c>
      <c r="BC431" s="1" t="s">
        <v>4843</v>
      </c>
      <c r="BD431" s="1">
        <v>0</v>
      </c>
      <c r="BE431" s="1"/>
    </row>
    <row r="432" spans="1:57" x14ac:dyDescent="0.25">
      <c r="A432" s="1">
        <v>20171</v>
      </c>
      <c r="B432" s="1" t="s">
        <v>4511</v>
      </c>
      <c r="C432" s="9" t="s">
        <v>1783</v>
      </c>
      <c r="D432" s="1" t="s">
        <v>4512</v>
      </c>
      <c r="E432" s="1"/>
      <c r="F432" s="1"/>
      <c r="G432" s="1" t="s">
        <v>4513</v>
      </c>
      <c r="H432" s="1" t="s">
        <v>4514</v>
      </c>
      <c r="I432" s="1" t="s">
        <v>4515</v>
      </c>
      <c r="J432" s="1">
        <v>4</v>
      </c>
      <c r="K432" s="1">
        <v>5</v>
      </c>
      <c r="L432" s="1">
        <v>13200</v>
      </c>
      <c r="M432" s="1">
        <v>20</v>
      </c>
      <c r="N432" s="1">
        <v>20</v>
      </c>
      <c r="O432" s="1">
        <v>10</v>
      </c>
      <c r="P432" s="1">
        <v>10</v>
      </c>
      <c r="Q432" s="1">
        <v>2</v>
      </c>
      <c r="R432" s="1">
        <v>5</v>
      </c>
      <c r="S432" s="1">
        <v>5</v>
      </c>
      <c r="T432" s="1">
        <v>0</v>
      </c>
      <c r="U432" s="1">
        <v>105</v>
      </c>
      <c r="V432" s="1">
        <v>130</v>
      </c>
      <c r="W432" s="1">
        <v>96</v>
      </c>
      <c r="X432" s="1">
        <v>100</v>
      </c>
      <c r="Y432" s="1">
        <v>100</v>
      </c>
      <c r="Z432" s="1">
        <v>85</v>
      </c>
      <c r="AA432" s="1">
        <v>0</v>
      </c>
      <c r="AB432" s="1">
        <v>15</v>
      </c>
      <c r="AC432" s="1">
        <v>20</v>
      </c>
      <c r="AD432" s="1">
        <v>0</v>
      </c>
      <c r="AE432" s="1">
        <v>135</v>
      </c>
      <c r="AF432" s="1">
        <v>100</v>
      </c>
      <c r="AG432" s="1">
        <v>804001</v>
      </c>
      <c r="AH432" s="1">
        <v>804002</v>
      </c>
      <c r="AI432" s="1">
        <v>300103</v>
      </c>
      <c r="AJ432" s="1" t="s">
        <v>1776</v>
      </c>
      <c r="AK432" s="1" t="s">
        <v>329</v>
      </c>
      <c r="AL432" s="1">
        <v>13</v>
      </c>
      <c r="AM432" s="1" t="s">
        <v>4850</v>
      </c>
      <c r="AN432" s="1" t="s">
        <v>465</v>
      </c>
      <c r="AO432" s="1" t="s">
        <v>5418</v>
      </c>
      <c r="AP432" s="1">
        <v>0</v>
      </c>
      <c r="AQ432" s="1" t="s">
        <v>1774</v>
      </c>
      <c r="AR432" s="1" t="s">
        <v>1182</v>
      </c>
      <c r="AS432" s="1" t="s">
        <v>1157</v>
      </c>
      <c r="AT432" s="1" t="s">
        <v>329</v>
      </c>
      <c r="AU432" s="1">
        <v>171</v>
      </c>
      <c r="AV432" s="1">
        <v>0</v>
      </c>
      <c r="AW432" s="1" t="s">
        <v>5144</v>
      </c>
      <c r="AX432" s="1" t="s">
        <v>5476</v>
      </c>
      <c r="AY432" s="1">
        <v>5</v>
      </c>
      <c r="AZ432" s="1">
        <v>3171</v>
      </c>
      <c r="BA432" s="1" t="s">
        <v>329</v>
      </c>
      <c r="BB432" s="1" t="s">
        <v>5149</v>
      </c>
      <c r="BC432" s="1" t="s">
        <v>329</v>
      </c>
      <c r="BD432" s="1">
        <v>0</v>
      </c>
      <c r="BE432" s="1"/>
    </row>
    <row r="433" spans="1:57" x14ac:dyDescent="0.25">
      <c r="A433" s="1">
        <v>20178</v>
      </c>
      <c r="B433" s="1" t="s">
        <v>4485</v>
      </c>
      <c r="C433" s="9" t="s">
        <v>829</v>
      </c>
      <c r="D433" s="1" t="s">
        <v>829</v>
      </c>
      <c r="E433" s="1"/>
      <c r="F433" s="1"/>
      <c r="G433" s="1" t="s">
        <v>4486</v>
      </c>
      <c r="H433" s="1" t="s">
        <v>4487</v>
      </c>
      <c r="I433" s="1" t="s">
        <v>4488</v>
      </c>
      <c r="J433" s="1">
        <v>2</v>
      </c>
      <c r="K433" s="1">
        <v>4</v>
      </c>
      <c r="L433" s="1">
        <v>6600</v>
      </c>
      <c r="M433" s="1">
        <v>25</v>
      </c>
      <c r="N433" s="1">
        <v>20</v>
      </c>
      <c r="O433" s="1">
        <v>15</v>
      </c>
      <c r="P433" s="1">
        <v>10</v>
      </c>
      <c r="Q433" s="1">
        <v>5</v>
      </c>
      <c r="R433" s="1">
        <v>5</v>
      </c>
      <c r="S433" s="1">
        <v>2</v>
      </c>
      <c r="T433" s="1">
        <v>0</v>
      </c>
      <c r="U433" s="1">
        <v>120</v>
      </c>
      <c r="V433" s="1">
        <v>102</v>
      </c>
      <c r="W433" s="1">
        <v>100</v>
      </c>
      <c r="X433" s="1">
        <v>100</v>
      </c>
      <c r="Y433" s="1">
        <v>110</v>
      </c>
      <c r="Z433" s="1">
        <v>98</v>
      </c>
      <c r="AA433" s="1">
        <v>0</v>
      </c>
      <c r="AB433" s="1">
        <v>15</v>
      </c>
      <c r="AC433" s="1">
        <v>5</v>
      </c>
      <c r="AD433" s="1">
        <v>0</v>
      </c>
      <c r="AE433" s="1">
        <v>112</v>
      </c>
      <c r="AF433" s="1">
        <v>100</v>
      </c>
      <c r="AG433" s="1">
        <v>902234</v>
      </c>
      <c r="AH433" s="1">
        <v>902235</v>
      </c>
      <c r="AI433" s="1">
        <v>300102</v>
      </c>
      <c r="AJ433" s="1" t="s">
        <v>329</v>
      </c>
      <c r="AK433" s="1" t="s">
        <v>329</v>
      </c>
      <c r="AL433" s="1">
        <v>13</v>
      </c>
      <c r="AM433" s="1" t="s">
        <v>399</v>
      </c>
      <c r="AN433" s="1" t="s">
        <v>5513</v>
      </c>
      <c r="AO433" s="1" t="s">
        <v>5514</v>
      </c>
      <c r="AP433" s="1">
        <v>0</v>
      </c>
      <c r="AQ433" s="1" t="s">
        <v>1773</v>
      </c>
      <c r="AR433" s="1" t="s">
        <v>1147</v>
      </c>
      <c r="AS433" s="1" t="s">
        <v>1158</v>
      </c>
      <c r="AT433" s="1" t="s">
        <v>329</v>
      </c>
      <c r="AU433" s="1">
        <v>178</v>
      </c>
      <c r="AV433" s="1">
        <v>0</v>
      </c>
      <c r="AW433" s="1" t="s">
        <v>5027</v>
      </c>
      <c r="AX433" s="1" t="s">
        <v>5476</v>
      </c>
      <c r="AY433" s="1">
        <v>4</v>
      </c>
      <c r="AZ433" s="1">
        <v>3178</v>
      </c>
      <c r="BA433" s="1" t="s">
        <v>329</v>
      </c>
      <c r="BB433" s="1" t="s">
        <v>5164</v>
      </c>
      <c r="BC433" s="1" t="s">
        <v>329</v>
      </c>
      <c r="BD433" s="1">
        <v>0</v>
      </c>
      <c r="BE433" s="1">
        <v>0</v>
      </c>
    </row>
    <row r="434" spans="1:57" x14ac:dyDescent="0.25">
      <c r="A434" s="1">
        <v>20199</v>
      </c>
      <c r="B434" s="1" t="s">
        <v>4489</v>
      </c>
      <c r="C434" s="9" t="s">
        <v>836</v>
      </c>
      <c r="D434" s="1" t="s">
        <v>4490</v>
      </c>
      <c r="E434" s="1"/>
      <c r="F434" s="1"/>
      <c r="G434" s="1" t="s">
        <v>4491</v>
      </c>
      <c r="H434" s="1" t="s">
        <v>4492</v>
      </c>
      <c r="I434" s="1" t="s">
        <v>4493</v>
      </c>
      <c r="J434" s="1">
        <v>5</v>
      </c>
      <c r="K434" s="1">
        <v>5</v>
      </c>
      <c r="L434" s="1">
        <v>22500</v>
      </c>
      <c r="M434" s="1">
        <v>40</v>
      </c>
      <c r="N434" s="1">
        <v>30</v>
      </c>
      <c r="O434" s="1">
        <v>25</v>
      </c>
      <c r="P434" s="1">
        <v>15</v>
      </c>
      <c r="Q434" s="1">
        <v>5</v>
      </c>
      <c r="R434" s="1">
        <v>5</v>
      </c>
      <c r="S434" s="1">
        <v>2</v>
      </c>
      <c r="T434" s="1">
        <v>5</v>
      </c>
      <c r="U434" s="1">
        <v>108</v>
      </c>
      <c r="V434" s="1">
        <v>128</v>
      </c>
      <c r="W434" s="1">
        <v>115</v>
      </c>
      <c r="X434" s="1">
        <v>100</v>
      </c>
      <c r="Y434" s="1">
        <v>122</v>
      </c>
      <c r="Z434" s="1">
        <v>105</v>
      </c>
      <c r="AA434" s="1">
        <v>0</v>
      </c>
      <c r="AB434" s="1">
        <v>15</v>
      </c>
      <c r="AC434" s="1">
        <v>5</v>
      </c>
      <c r="AD434" s="1">
        <v>10</v>
      </c>
      <c r="AE434" s="1">
        <v>105</v>
      </c>
      <c r="AF434" s="1">
        <v>100</v>
      </c>
      <c r="AG434" s="1">
        <v>902236</v>
      </c>
      <c r="AH434" s="1">
        <v>902237</v>
      </c>
      <c r="AI434" s="1">
        <v>902238</v>
      </c>
      <c r="AJ434" s="1" t="s">
        <v>1490</v>
      </c>
      <c r="AK434" s="1" t="s">
        <v>1254</v>
      </c>
      <c r="AL434" s="1">
        <v>19</v>
      </c>
      <c r="AM434" s="1" t="s">
        <v>388</v>
      </c>
      <c r="AN434" s="1" t="s">
        <v>5515</v>
      </c>
      <c r="AO434" s="1" t="s">
        <v>5327</v>
      </c>
      <c r="AP434" s="1">
        <v>0</v>
      </c>
      <c r="AQ434" s="1" t="s">
        <v>5072</v>
      </c>
      <c r="AR434" s="1" t="s">
        <v>1196</v>
      </c>
      <c r="AS434" s="1" t="s">
        <v>1197</v>
      </c>
      <c r="AT434" s="1" t="s">
        <v>329</v>
      </c>
      <c r="AU434" s="1">
        <v>199</v>
      </c>
      <c r="AV434" s="1">
        <v>0</v>
      </c>
      <c r="AW434" s="1" t="s">
        <v>5093</v>
      </c>
      <c r="AX434" s="1" t="s">
        <v>5476</v>
      </c>
      <c r="AY434" s="1">
        <v>5</v>
      </c>
      <c r="AZ434" s="1">
        <v>3199</v>
      </c>
      <c r="BA434" s="1" t="s">
        <v>329</v>
      </c>
      <c r="BB434" s="1" t="s">
        <v>5197</v>
      </c>
      <c r="BC434" s="1" t="s">
        <v>4843</v>
      </c>
      <c r="BD434" s="1">
        <v>0</v>
      </c>
      <c r="BE434" s="1">
        <v>0</v>
      </c>
    </row>
    <row r="435" spans="1:57" x14ac:dyDescent="0.25">
      <c r="A435" s="1">
        <v>20200</v>
      </c>
      <c r="B435" s="1" t="s">
        <v>4494</v>
      </c>
      <c r="C435" s="9" t="s">
        <v>936</v>
      </c>
      <c r="D435" s="1" t="s">
        <v>936</v>
      </c>
      <c r="E435" s="1"/>
      <c r="F435" s="1"/>
      <c r="G435" s="1" t="s">
        <v>4495</v>
      </c>
      <c r="H435" s="1" t="s">
        <v>4496</v>
      </c>
      <c r="I435" s="1" t="s">
        <v>4497</v>
      </c>
      <c r="J435" s="1">
        <v>3</v>
      </c>
      <c r="K435" s="1">
        <v>5</v>
      </c>
      <c r="L435" s="1">
        <v>15600</v>
      </c>
      <c r="M435" s="1">
        <v>15</v>
      </c>
      <c r="N435" s="1">
        <v>30</v>
      </c>
      <c r="O435" s="1">
        <v>10</v>
      </c>
      <c r="P435" s="1">
        <v>15</v>
      </c>
      <c r="Q435" s="1">
        <v>5</v>
      </c>
      <c r="R435" s="1">
        <v>2</v>
      </c>
      <c r="S435" s="1">
        <v>5</v>
      </c>
      <c r="T435" s="1">
        <v>0</v>
      </c>
      <c r="U435" s="1">
        <v>95</v>
      </c>
      <c r="V435" s="1">
        <v>120</v>
      </c>
      <c r="W435" s="1">
        <v>105</v>
      </c>
      <c r="X435" s="1">
        <v>100</v>
      </c>
      <c r="Y435" s="1">
        <v>128</v>
      </c>
      <c r="Z435" s="1">
        <v>88</v>
      </c>
      <c r="AA435" s="1">
        <v>0</v>
      </c>
      <c r="AB435" s="1">
        <v>15</v>
      </c>
      <c r="AC435" s="1">
        <v>40</v>
      </c>
      <c r="AD435" s="1">
        <v>0</v>
      </c>
      <c r="AE435" s="1">
        <v>128</v>
      </c>
      <c r="AF435" s="1">
        <v>100</v>
      </c>
      <c r="AG435" s="1">
        <v>803801</v>
      </c>
      <c r="AH435" s="1">
        <v>803802</v>
      </c>
      <c r="AI435" s="1">
        <v>803803</v>
      </c>
      <c r="AJ435" s="1" t="s">
        <v>1491</v>
      </c>
      <c r="AK435" s="1" t="s">
        <v>329</v>
      </c>
      <c r="AL435" s="1">
        <v>13</v>
      </c>
      <c r="AM435" s="1" t="s">
        <v>4822</v>
      </c>
      <c r="AN435" s="1" t="s">
        <v>4889</v>
      </c>
      <c r="AO435" s="1" t="s">
        <v>4905</v>
      </c>
      <c r="AP435" s="1">
        <v>0</v>
      </c>
      <c r="AQ435" s="1" t="s">
        <v>1775</v>
      </c>
      <c r="AR435" s="1" t="s">
        <v>1169</v>
      </c>
      <c r="AS435" s="1" t="s">
        <v>1170</v>
      </c>
      <c r="AT435" s="1" t="s">
        <v>329</v>
      </c>
      <c r="AU435" s="1">
        <v>200</v>
      </c>
      <c r="AV435" s="1">
        <v>0</v>
      </c>
      <c r="AW435" s="1" t="s">
        <v>5191</v>
      </c>
      <c r="AX435" s="1" t="s">
        <v>5476</v>
      </c>
      <c r="AY435" s="1">
        <v>5</v>
      </c>
      <c r="AZ435" s="1">
        <v>3200</v>
      </c>
      <c r="BA435" s="1" t="s">
        <v>329</v>
      </c>
      <c r="BB435" s="1" t="s">
        <v>329</v>
      </c>
      <c r="BC435" s="1" t="s">
        <v>4780</v>
      </c>
      <c r="BD435" s="1">
        <v>0</v>
      </c>
      <c r="BE435" s="1">
        <v>0</v>
      </c>
    </row>
    <row r="436" spans="1:57" x14ac:dyDescent="0.25">
      <c r="A436" s="1">
        <v>20201</v>
      </c>
      <c r="B436" s="1" t="s">
        <v>4516</v>
      </c>
      <c r="C436" s="9" t="s">
        <v>1784</v>
      </c>
      <c r="D436" s="1" t="s">
        <v>4517</v>
      </c>
      <c r="E436" s="1"/>
      <c r="F436" s="1"/>
      <c r="G436" s="1" t="s">
        <v>4518</v>
      </c>
      <c r="H436" s="1" t="s">
        <v>4519</v>
      </c>
      <c r="I436" s="1" t="s">
        <v>4520</v>
      </c>
      <c r="J436" s="1">
        <v>3</v>
      </c>
      <c r="K436" s="1">
        <v>4</v>
      </c>
      <c r="L436" s="1">
        <v>15600</v>
      </c>
      <c r="M436" s="1">
        <v>15</v>
      </c>
      <c r="N436" s="1">
        <v>30</v>
      </c>
      <c r="O436" s="1">
        <v>10</v>
      </c>
      <c r="P436" s="1">
        <v>15</v>
      </c>
      <c r="Q436" s="1">
        <v>5</v>
      </c>
      <c r="R436" s="1">
        <v>2</v>
      </c>
      <c r="S436" s="1">
        <v>5</v>
      </c>
      <c r="T436" s="1">
        <v>0</v>
      </c>
      <c r="U436" s="1">
        <v>100</v>
      </c>
      <c r="V436" s="1">
        <v>140</v>
      </c>
      <c r="W436" s="1">
        <v>85</v>
      </c>
      <c r="X436" s="1">
        <v>100</v>
      </c>
      <c r="Y436" s="1">
        <v>120</v>
      </c>
      <c r="Z436" s="1">
        <v>82</v>
      </c>
      <c r="AA436" s="1">
        <v>0</v>
      </c>
      <c r="AB436" s="1">
        <v>15</v>
      </c>
      <c r="AC436" s="1">
        <v>40</v>
      </c>
      <c r="AD436" s="1">
        <v>0</v>
      </c>
      <c r="AE436" s="1">
        <v>120</v>
      </c>
      <c r="AF436" s="1">
        <v>100</v>
      </c>
      <c r="AG436" s="1">
        <v>740008</v>
      </c>
      <c r="AH436" s="1">
        <v>740009</v>
      </c>
      <c r="AI436" s="1">
        <v>740012</v>
      </c>
      <c r="AJ436" s="1" t="s">
        <v>1780</v>
      </c>
      <c r="AK436" s="1" t="s">
        <v>1781</v>
      </c>
      <c r="AL436" s="1">
        <v>13</v>
      </c>
      <c r="AM436" s="1" t="s">
        <v>4822</v>
      </c>
      <c r="AN436" s="1" t="s">
        <v>4944</v>
      </c>
      <c r="AO436" s="1" t="s">
        <v>4892</v>
      </c>
      <c r="AP436" s="1">
        <v>0</v>
      </c>
      <c r="AQ436" s="1" t="s">
        <v>1775</v>
      </c>
      <c r="AR436" s="1" t="s">
        <v>1169</v>
      </c>
      <c r="AS436" s="1" t="s">
        <v>1170</v>
      </c>
      <c r="AT436" s="1" t="s">
        <v>329</v>
      </c>
      <c r="AU436" s="1">
        <v>201</v>
      </c>
      <c r="AV436" s="1">
        <v>0</v>
      </c>
      <c r="AW436" s="1" t="s">
        <v>5199</v>
      </c>
      <c r="AX436" s="1" t="s">
        <v>5476</v>
      </c>
      <c r="AY436" s="1">
        <v>4</v>
      </c>
      <c r="AZ436" s="1">
        <v>3201</v>
      </c>
      <c r="BA436" s="1" t="s">
        <v>329</v>
      </c>
      <c r="BB436" s="1" t="s">
        <v>354</v>
      </c>
      <c r="BC436" s="1" t="s">
        <v>329</v>
      </c>
      <c r="BD436" s="1">
        <v>0</v>
      </c>
      <c r="BE436" s="1">
        <v>0</v>
      </c>
    </row>
    <row r="437" spans="1:57" x14ac:dyDescent="0.25">
      <c r="A437" s="1">
        <v>20205</v>
      </c>
      <c r="B437" s="1" t="s">
        <v>5790</v>
      </c>
      <c r="C437" s="9" t="s">
        <v>5791</v>
      </c>
      <c r="D437" s="1" t="s">
        <v>5791</v>
      </c>
      <c r="E437" s="1"/>
      <c r="F437" s="1"/>
      <c r="G437" s="1" t="s">
        <v>5792</v>
      </c>
      <c r="H437" s="1" t="s">
        <v>5793</v>
      </c>
      <c r="I437" s="1" t="s">
        <v>5794</v>
      </c>
      <c r="J437" s="1">
        <v>4</v>
      </c>
      <c r="K437" s="1">
        <v>6</v>
      </c>
      <c r="L437" s="1">
        <v>14940</v>
      </c>
      <c r="M437" s="1">
        <v>20</v>
      </c>
      <c r="N437" s="1">
        <v>20</v>
      </c>
      <c r="O437" s="1">
        <v>10</v>
      </c>
      <c r="P437" s="1">
        <v>10</v>
      </c>
      <c r="Q437" s="1">
        <v>2</v>
      </c>
      <c r="R437" s="1">
        <v>5</v>
      </c>
      <c r="S437" s="1">
        <v>5</v>
      </c>
      <c r="T437" s="1">
        <v>0</v>
      </c>
      <c r="U437" s="1">
        <v>105</v>
      </c>
      <c r="V437" s="1">
        <v>112</v>
      </c>
      <c r="W437" s="1">
        <v>110</v>
      </c>
      <c r="X437" s="1">
        <v>100</v>
      </c>
      <c r="Y437" s="1">
        <v>135</v>
      </c>
      <c r="Z437" s="1">
        <v>95</v>
      </c>
      <c r="AA437" s="1">
        <v>0</v>
      </c>
      <c r="AB437" s="1">
        <v>15</v>
      </c>
      <c r="AC437" s="1">
        <v>20</v>
      </c>
      <c r="AD437" s="1">
        <v>0</v>
      </c>
      <c r="AE437" s="1">
        <v>148</v>
      </c>
      <c r="AF437" s="1">
        <v>100</v>
      </c>
      <c r="AG437" s="1">
        <v>750334</v>
      </c>
      <c r="AH437" s="1">
        <v>750340</v>
      </c>
      <c r="AI437" s="1">
        <v>750339</v>
      </c>
      <c r="AJ437" s="1" t="s">
        <v>5795</v>
      </c>
      <c r="AK437" s="1" t="s">
        <v>329</v>
      </c>
      <c r="AL437" s="1">
        <v>12</v>
      </c>
      <c r="AM437" s="1" t="s">
        <v>4779</v>
      </c>
      <c r="AN437" s="1" t="s">
        <v>5207</v>
      </c>
      <c r="AO437" s="1" t="s">
        <v>5796</v>
      </c>
      <c r="AP437" s="1">
        <v>0</v>
      </c>
      <c r="AQ437" s="1" t="s">
        <v>1774</v>
      </c>
      <c r="AR437" s="1" t="s">
        <v>1182</v>
      </c>
      <c r="AS437" s="1" t="s">
        <v>1157</v>
      </c>
      <c r="AT437" s="1" t="s">
        <v>329</v>
      </c>
      <c r="AU437" s="1">
        <v>205</v>
      </c>
      <c r="AV437" s="1">
        <v>0</v>
      </c>
      <c r="AW437" s="1" t="s">
        <v>4878</v>
      </c>
      <c r="AX437" s="1" t="s">
        <v>5476</v>
      </c>
      <c r="AY437" s="1">
        <v>6</v>
      </c>
      <c r="AZ437" s="1">
        <v>3205</v>
      </c>
      <c r="BA437" s="1" t="s">
        <v>329</v>
      </c>
      <c r="BB437" s="1" t="s">
        <v>354</v>
      </c>
      <c r="BC437" s="1" t="s">
        <v>5209</v>
      </c>
      <c r="BD437" s="1">
        <v>0</v>
      </c>
      <c r="BE437" s="1">
        <v>0</v>
      </c>
    </row>
    <row r="438" spans="1:57" x14ac:dyDescent="0.25">
      <c r="A438" s="1">
        <v>20216</v>
      </c>
      <c r="B438" s="1" t="s">
        <v>5797</v>
      </c>
      <c r="C438" s="9" t="s">
        <v>5798</v>
      </c>
      <c r="D438" s="1" t="s">
        <v>5798</v>
      </c>
      <c r="E438" s="1"/>
      <c r="F438" s="1"/>
      <c r="G438" s="1" t="s">
        <v>5799</v>
      </c>
      <c r="H438" s="1" t="s">
        <v>5800</v>
      </c>
      <c r="I438" s="1" t="s">
        <v>5801</v>
      </c>
      <c r="J438" s="1">
        <v>4</v>
      </c>
      <c r="K438" s="1">
        <v>5</v>
      </c>
      <c r="L438" s="1">
        <v>12300</v>
      </c>
      <c r="M438" s="1">
        <v>20</v>
      </c>
      <c r="N438" s="1">
        <v>20</v>
      </c>
      <c r="O438" s="1">
        <v>10</v>
      </c>
      <c r="P438" s="1">
        <v>10</v>
      </c>
      <c r="Q438" s="1">
        <v>2</v>
      </c>
      <c r="R438" s="1">
        <v>5</v>
      </c>
      <c r="S438" s="1">
        <v>5</v>
      </c>
      <c r="T438" s="1">
        <v>0</v>
      </c>
      <c r="U438" s="1">
        <v>98</v>
      </c>
      <c r="V438" s="1">
        <v>115</v>
      </c>
      <c r="W438" s="1">
        <v>120</v>
      </c>
      <c r="X438" s="1">
        <v>100</v>
      </c>
      <c r="Y438" s="1">
        <v>118</v>
      </c>
      <c r="Z438" s="1">
        <v>110</v>
      </c>
      <c r="AA438" s="1">
        <v>0</v>
      </c>
      <c r="AB438" s="1">
        <v>15</v>
      </c>
      <c r="AC438" s="1">
        <v>20</v>
      </c>
      <c r="AD438" s="1">
        <v>0</v>
      </c>
      <c r="AE438" s="1">
        <v>120</v>
      </c>
      <c r="AF438" s="1">
        <v>100</v>
      </c>
      <c r="AG438" s="1">
        <v>750301</v>
      </c>
      <c r="AH438" s="1">
        <v>750300</v>
      </c>
      <c r="AI438" s="1">
        <v>300103</v>
      </c>
      <c r="AJ438" s="1" t="s">
        <v>5802</v>
      </c>
      <c r="AK438" s="1" t="s">
        <v>5803</v>
      </c>
      <c r="AL438" s="1">
        <v>14</v>
      </c>
      <c r="AM438" s="1" t="s">
        <v>4779</v>
      </c>
      <c r="AN438" s="1" t="s">
        <v>5804</v>
      </c>
      <c r="AO438" s="1" t="s">
        <v>5805</v>
      </c>
      <c r="AP438" s="1">
        <v>0</v>
      </c>
      <c r="AQ438" s="1" t="s">
        <v>1774</v>
      </c>
      <c r="AR438" s="1" t="s">
        <v>1182</v>
      </c>
      <c r="AS438" s="1" t="s">
        <v>1157</v>
      </c>
      <c r="AT438" s="1" t="s">
        <v>329</v>
      </c>
      <c r="AU438" s="1">
        <v>216</v>
      </c>
      <c r="AV438" s="1">
        <v>0</v>
      </c>
      <c r="AW438" s="1" t="s">
        <v>5222</v>
      </c>
      <c r="AX438" s="1" t="s">
        <v>5476</v>
      </c>
      <c r="AY438" s="1">
        <v>5</v>
      </c>
      <c r="AZ438" s="1">
        <v>3216</v>
      </c>
      <c r="BA438" s="1" t="s">
        <v>329</v>
      </c>
      <c r="BB438" s="1" t="s">
        <v>5230</v>
      </c>
      <c r="BC438" s="1" t="s">
        <v>4829</v>
      </c>
      <c r="BD438" s="1">
        <v>0</v>
      </c>
      <c r="BE438" s="1">
        <v>0</v>
      </c>
    </row>
    <row r="439" spans="1:57" x14ac:dyDescent="0.25">
      <c r="A439" s="1">
        <v>20220</v>
      </c>
      <c r="B439" s="1" t="s">
        <v>4521</v>
      </c>
      <c r="C439" s="9" t="s">
        <v>1782</v>
      </c>
      <c r="D439" s="1" t="s">
        <v>1782</v>
      </c>
      <c r="E439" s="1"/>
      <c r="F439" s="1"/>
      <c r="G439" s="1" t="s">
        <v>4522</v>
      </c>
      <c r="H439" s="1" t="s">
        <v>4523</v>
      </c>
      <c r="I439" s="1" t="s">
        <v>4524</v>
      </c>
      <c r="J439" s="1">
        <v>1</v>
      </c>
      <c r="K439" s="1">
        <v>4</v>
      </c>
      <c r="L439" s="1">
        <v>2700</v>
      </c>
      <c r="M439" s="1">
        <v>10</v>
      </c>
      <c r="N439" s="1">
        <v>10</v>
      </c>
      <c r="O439" s="1">
        <v>5</v>
      </c>
      <c r="P439" s="1">
        <v>5</v>
      </c>
      <c r="Q439" s="1">
        <v>2</v>
      </c>
      <c r="R439" s="1">
        <v>2</v>
      </c>
      <c r="S439" s="1">
        <v>2</v>
      </c>
      <c r="T439" s="1">
        <v>0</v>
      </c>
      <c r="U439" s="1">
        <v>115</v>
      </c>
      <c r="V439" s="1">
        <v>120</v>
      </c>
      <c r="W439" s="1">
        <v>110</v>
      </c>
      <c r="X439" s="1">
        <v>100</v>
      </c>
      <c r="Y439" s="1">
        <v>105</v>
      </c>
      <c r="Z439" s="1">
        <v>105</v>
      </c>
      <c r="AA439" s="1">
        <v>0</v>
      </c>
      <c r="AB439" s="1">
        <v>15</v>
      </c>
      <c r="AC439" s="1">
        <v>20</v>
      </c>
      <c r="AD439" s="1">
        <v>0</v>
      </c>
      <c r="AE439" s="1">
        <v>122</v>
      </c>
      <c r="AF439" s="1">
        <v>100</v>
      </c>
      <c r="AG439" s="1">
        <v>740001</v>
      </c>
      <c r="AH439" s="1">
        <v>740002</v>
      </c>
      <c r="AI439" s="1">
        <v>300101</v>
      </c>
      <c r="AJ439" s="1" t="s">
        <v>329</v>
      </c>
      <c r="AK439" s="1" t="s">
        <v>329</v>
      </c>
      <c r="AL439" s="1">
        <v>13</v>
      </c>
      <c r="AM439" s="1" t="s">
        <v>1866</v>
      </c>
      <c r="AN439" s="1" t="s">
        <v>4921</v>
      </c>
      <c r="AO439" s="1" t="s">
        <v>5014</v>
      </c>
      <c r="AP439" s="1">
        <v>0</v>
      </c>
      <c r="AQ439" s="1" t="s">
        <v>1146</v>
      </c>
      <c r="AR439" s="1" t="s">
        <v>1772</v>
      </c>
      <c r="AS439" s="1" t="s">
        <v>1148</v>
      </c>
      <c r="AT439" s="1" t="s">
        <v>329</v>
      </c>
      <c r="AU439" s="1">
        <v>220</v>
      </c>
      <c r="AV439" s="1">
        <v>0</v>
      </c>
      <c r="AW439" s="1" t="s">
        <v>5234</v>
      </c>
      <c r="AX439" s="1" t="s">
        <v>5476</v>
      </c>
      <c r="AY439" s="1">
        <v>4</v>
      </c>
      <c r="AZ439" s="1">
        <v>3220</v>
      </c>
      <c r="BA439" s="1" t="s">
        <v>329</v>
      </c>
      <c r="BB439" s="1" t="s">
        <v>468</v>
      </c>
      <c r="BC439" s="1" t="s">
        <v>4817</v>
      </c>
      <c r="BD439" s="1">
        <v>0</v>
      </c>
      <c r="BE439" s="1">
        <v>0</v>
      </c>
    </row>
    <row r="440" spans="1:57" x14ac:dyDescent="0.25">
      <c r="A440" s="1">
        <v>20221</v>
      </c>
      <c r="B440" s="1" t="s">
        <v>4498</v>
      </c>
      <c r="C440" s="9" t="s">
        <v>1714</v>
      </c>
      <c r="D440" s="1" t="s">
        <v>4499</v>
      </c>
      <c r="E440" s="1"/>
      <c r="F440" s="1"/>
      <c r="G440" s="1" t="s">
        <v>4500</v>
      </c>
      <c r="H440" s="1" t="s">
        <v>4501</v>
      </c>
      <c r="I440" s="1" t="s">
        <v>4502</v>
      </c>
      <c r="J440" s="1">
        <v>1</v>
      </c>
      <c r="K440" s="1">
        <v>4</v>
      </c>
      <c r="L440" s="1">
        <v>2700</v>
      </c>
      <c r="M440" s="1">
        <v>10</v>
      </c>
      <c r="N440" s="1">
        <v>10</v>
      </c>
      <c r="O440" s="1">
        <v>5</v>
      </c>
      <c r="P440" s="1">
        <v>5</v>
      </c>
      <c r="Q440" s="1">
        <v>2</v>
      </c>
      <c r="R440" s="1">
        <v>2</v>
      </c>
      <c r="S440" s="1">
        <v>2</v>
      </c>
      <c r="T440" s="1">
        <v>0</v>
      </c>
      <c r="U440" s="1">
        <v>108</v>
      </c>
      <c r="V440" s="1">
        <v>130</v>
      </c>
      <c r="W440" s="1">
        <v>111</v>
      </c>
      <c r="X440" s="1">
        <v>100</v>
      </c>
      <c r="Y440" s="1">
        <v>115</v>
      </c>
      <c r="Z440" s="1">
        <v>130</v>
      </c>
      <c r="AA440" s="1">
        <v>0</v>
      </c>
      <c r="AB440" s="1">
        <v>15</v>
      </c>
      <c r="AC440" s="1">
        <v>20</v>
      </c>
      <c r="AD440" s="1">
        <v>0</v>
      </c>
      <c r="AE440" s="1">
        <v>105</v>
      </c>
      <c r="AF440" s="1">
        <v>100</v>
      </c>
      <c r="AG440" s="1">
        <v>803201</v>
      </c>
      <c r="AH440" s="1">
        <v>803205</v>
      </c>
      <c r="AI440" s="1">
        <v>803203</v>
      </c>
      <c r="AJ440" s="1" t="s">
        <v>1188</v>
      </c>
      <c r="AK440" s="1" t="s">
        <v>1492</v>
      </c>
      <c r="AL440" s="1">
        <v>13</v>
      </c>
      <c r="AM440" s="1" t="s">
        <v>1866</v>
      </c>
      <c r="AN440" s="1" t="s">
        <v>5516</v>
      </c>
      <c r="AO440" s="1" t="s">
        <v>5123</v>
      </c>
      <c r="AP440" s="1">
        <v>0</v>
      </c>
      <c r="AQ440" s="1" t="s">
        <v>1146</v>
      </c>
      <c r="AR440" s="1" t="s">
        <v>1772</v>
      </c>
      <c r="AS440" s="1" t="s">
        <v>1148</v>
      </c>
      <c r="AT440" s="1" t="s">
        <v>329</v>
      </c>
      <c r="AU440" s="1">
        <v>221</v>
      </c>
      <c r="AV440" s="1">
        <v>0</v>
      </c>
      <c r="AW440" s="1" t="s">
        <v>5236</v>
      </c>
      <c r="AX440" s="1" t="s">
        <v>5476</v>
      </c>
      <c r="AY440" s="1">
        <v>4</v>
      </c>
      <c r="AZ440" s="1">
        <v>3221</v>
      </c>
      <c r="BA440" s="1" t="s">
        <v>329</v>
      </c>
      <c r="BB440" s="1" t="s">
        <v>5237</v>
      </c>
      <c r="BC440" s="1" t="s">
        <v>4817</v>
      </c>
      <c r="BD440" s="1">
        <v>0</v>
      </c>
      <c r="BE440" s="1">
        <v>0</v>
      </c>
    </row>
    <row r="441" spans="1:57" x14ac:dyDescent="0.25">
      <c r="A441" s="1">
        <v>20252</v>
      </c>
      <c r="B441" s="1" t="s">
        <v>4503</v>
      </c>
      <c r="C441" s="9" t="s">
        <v>266</v>
      </c>
      <c r="D441" s="1" t="s">
        <v>266</v>
      </c>
      <c r="E441" s="1"/>
      <c r="F441" s="1"/>
      <c r="G441" s="1" t="s">
        <v>4504</v>
      </c>
      <c r="H441" s="1" t="s">
        <v>4505</v>
      </c>
      <c r="I441" s="1" t="s">
        <v>4506</v>
      </c>
      <c r="J441" s="1">
        <v>3</v>
      </c>
      <c r="K441" s="1">
        <v>5</v>
      </c>
      <c r="L441" s="1">
        <v>15000</v>
      </c>
      <c r="M441" s="1">
        <v>15</v>
      </c>
      <c r="N441" s="1">
        <v>30</v>
      </c>
      <c r="O441" s="1">
        <v>10</v>
      </c>
      <c r="P441" s="1">
        <v>15</v>
      </c>
      <c r="Q441" s="1">
        <v>5</v>
      </c>
      <c r="R441" s="1">
        <v>2</v>
      </c>
      <c r="S441" s="1">
        <v>5</v>
      </c>
      <c r="T441" s="1">
        <v>0</v>
      </c>
      <c r="U441" s="1">
        <v>100</v>
      </c>
      <c r="V441" s="1">
        <v>142</v>
      </c>
      <c r="W441" s="1">
        <v>92</v>
      </c>
      <c r="X441" s="1">
        <v>100</v>
      </c>
      <c r="Y441" s="1">
        <v>118</v>
      </c>
      <c r="Z441" s="1">
        <v>82</v>
      </c>
      <c r="AA441" s="1">
        <v>0</v>
      </c>
      <c r="AB441" s="1">
        <v>15</v>
      </c>
      <c r="AC441" s="1">
        <v>40</v>
      </c>
      <c r="AD441" s="1">
        <v>0</v>
      </c>
      <c r="AE441" s="1">
        <v>128</v>
      </c>
      <c r="AF441" s="1">
        <v>100</v>
      </c>
      <c r="AG441" s="1">
        <v>900623</v>
      </c>
      <c r="AH441" s="1">
        <v>900622</v>
      </c>
      <c r="AI441" s="1">
        <v>900621</v>
      </c>
      <c r="AJ441" s="1" t="s">
        <v>1493</v>
      </c>
      <c r="AK441" s="1" t="s">
        <v>329</v>
      </c>
      <c r="AL441" s="1">
        <v>18</v>
      </c>
      <c r="AM441" s="1" t="s">
        <v>5517</v>
      </c>
      <c r="AN441" s="1" t="s">
        <v>5518</v>
      </c>
      <c r="AO441" s="1" t="s">
        <v>4892</v>
      </c>
      <c r="AP441" s="1">
        <v>0</v>
      </c>
      <c r="AQ441" s="1" t="s">
        <v>1775</v>
      </c>
      <c r="AR441" s="1" t="s">
        <v>1169</v>
      </c>
      <c r="AS441" s="1" t="s">
        <v>1170</v>
      </c>
      <c r="AT441" s="1" t="s">
        <v>329</v>
      </c>
      <c r="AU441" s="1">
        <v>184</v>
      </c>
      <c r="AV441" s="1">
        <v>0</v>
      </c>
      <c r="AW441" s="1" t="s">
        <v>5249</v>
      </c>
      <c r="AX441" s="1" t="s">
        <v>5476</v>
      </c>
      <c r="AY441" s="1">
        <v>5</v>
      </c>
      <c r="AZ441" s="1">
        <v>3252</v>
      </c>
      <c r="BA441" s="1" t="s">
        <v>329</v>
      </c>
      <c r="BB441" s="1" t="s">
        <v>329</v>
      </c>
      <c r="BC441" s="1" t="s">
        <v>4817</v>
      </c>
      <c r="BD441" s="1">
        <v>0</v>
      </c>
      <c r="BE441" s="1">
        <v>0</v>
      </c>
    </row>
    <row r="442" spans="1:57" x14ac:dyDescent="0.25">
      <c r="A442" s="1">
        <v>20293</v>
      </c>
      <c r="B442" s="1" t="s">
        <v>5806</v>
      </c>
      <c r="C442" s="9" t="s">
        <v>5807</v>
      </c>
      <c r="D442" s="1" t="s">
        <v>5807</v>
      </c>
      <c r="E442" s="1"/>
      <c r="F442" s="1"/>
      <c r="G442" s="1" t="s">
        <v>5808</v>
      </c>
      <c r="H442" s="1" t="s">
        <v>5809</v>
      </c>
      <c r="I442" s="1" t="s">
        <v>5810</v>
      </c>
      <c r="J442" s="1">
        <v>4</v>
      </c>
      <c r="K442" s="1">
        <v>6</v>
      </c>
      <c r="L442" s="1">
        <v>15300</v>
      </c>
      <c r="M442" s="1">
        <v>20</v>
      </c>
      <c r="N442" s="1">
        <v>20</v>
      </c>
      <c r="O442" s="1">
        <v>10</v>
      </c>
      <c r="P442" s="1">
        <v>10</v>
      </c>
      <c r="Q442" s="1">
        <v>2</v>
      </c>
      <c r="R442" s="1">
        <v>5</v>
      </c>
      <c r="S442" s="1">
        <v>5</v>
      </c>
      <c r="T442" s="1">
        <v>0</v>
      </c>
      <c r="U442" s="1">
        <v>105</v>
      </c>
      <c r="V442" s="1">
        <v>125</v>
      </c>
      <c r="W442" s="1">
        <v>110</v>
      </c>
      <c r="X442" s="1">
        <v>100</v>
      </c>
      <c r="Y442" s="1">
        <v>112</v>
      </c>
      <c r="Z442" s="1">
        <v>110</v>
      </c>
      <c r="AA442" s="1">
        <v>0</v>
      </c>
      <c r="AB442" s="1">
        <v>15</v>
      </c>
      <c r="AC442" s="1">
        <v>20</v>
      </c>
      <c r="AD442" s="1">
        <v>0</v>
      </c>
      <c r="AE442" s="1">
        <v>136</v>
      </c>
      <c r="AF442" s="1">
        <v>100</v>
      </c>
      <c r="AG442" s="1">
        <v>750323</v>
      </c>
      <c r="AH442" s="1">
        <v>750324</v>
      </c>
      <c r="AI442" s="1">
        <v>900415</v>
      </c>
      <c r="AJ442" s="1" t="s">
        <v>5811</v>
      </c>
      <c r="AK442" s="1" t="s">
        <v>5812</v>
      </c>
      <c r="AL442" s="1">
        <v>13</v>
      </c>
      <c r="AM442" s="1" t="s">
        <v>4779</v>
      </c>
      <c r="AN442" s="1" t="s">
        <v>4924</v>
      </c>
      <c r="AO442" s="1" t="s">
        <v>5813</v>
      </c>
      <c r="AP442" s="1">
        <v>0</v>
      </c>
      <c r="AQ442" s="1" t="s">
        <v>1158</v>
      </c>
      <c r="AR442" s="1" t="s">
        <v>1182</v>
      </c>
      <c r="AS442" s="1" t="s">
        <v>1773</v>
      </c>
      <c r="AT442" s="1" t="s">
        <v>329</v>
      </c>
      <c r="AU442" s="1">
        <v>215</v>
      </c>
      <c r="AV442" s="1">
        <v>0</v>
      </c>
      <c r="AW442" s="1" t="s">
        <v>5342</v>
      </c>
      <c r="AX442" s="1" t="s">
        <v>5476</v>
      </c>
      <c r="AY442" s="1">
        <v>6</v>
      </c>
      <c r="AZ442" s="1">
        <v>3293</v>
      </c>
      <c r="BA442" s="1" t="s">
        <v>329</v>
      </c>
      <c r="BB442" s="1" t="s">
        <v>329</v>
      </c>
      <c r="BC442" s="1" t="s">
        <v>5209</v>
      </c>
      <c r="BD442" s="1">
        <v>0</v>
      </c>
      <c r="BE442" s="1">
        <v>0</v>
      </c>
    </row>
    <row r="443" spans="1:57" x14ac:dyDescent="0.25">
      <c r="A443" s="1">
        <v>9001</v>
      </c>
      <c r="B443" s="1" t="s">
        <v>5845</v>
      </c>
      <c r="C443" s="9" t="s">
        <v>5846</v>
      </c>
      <c r="D443" s="1" t="s">
        <v>5847</v>
      </c>
      <c r="E443" s="1"/>
      <c r="F443" s="1"/>
      <c r="G443" s="1" t="s">
        <v>5848</v>
      </c>
      <c r="H443" s="1" t="s">
        <v>5849</v>
      </c>
      <c r="I443" s="1" t="s">
        <v>5850</v>
      </c>
      <c r="J443" s="1">
        <v>4</v>
      </c>
      <c r="K443" s="1">
        <v>5</v>
      </c>
      <c r="L443" s="1">
        <v>22500</v>
      </c>
      <c r="M443" s="1">
        <v>40</v>
      </c>
      <c r="N443" s="1">
        <v>30</v>
      </c>
      <c r="O443" s="1">
        <v>25</v>
      </c>
      <c r="P443" s="1">
        <v>15</v>
      </c>
      <c r="Q443" s="1">
        <v>5</v>
      </c>
      <c r="R443" s="1">
        <v>5</v>
      </c>
      <c r="S443" s="1">
        <v>2</v>
      </c>
      <c r="T443" s="1">
        <v>5</v>
      </c>
      <c r="U443" s="1">
        <v>100</v>
      </c>
      <c r="V443" s="1">
        <v>0</v>
      </c>
      <c r="W443" s="1">
        <v>0</v>
      </c>
      <c r="X443" s="1">
        <v>100</v>
      </c>
      <c r="Y443" s="1">
        <v>0</v>
      </c>
      <c r="Z443" s="1">
        <v>0</v>
      </c>
      <c r="AA443" s="1">
        <v>0</v>
      </c>
      <c r="AB443" s="1">
        <v>15</v>
      </c>
      <c r="AC443" s="1">
        <v>0</v>
      </c>
      <c r="AD443" s="1">
        <v>0</v>
      </c>
      <c r="AE443" s="1">
        <v>100</v>
      </c>
      <c r="AF443" s="1">
        <v>100</v>
      </c>
      <c r="AG443" s="1">
        <v>402606</v>
      </c>
      <c r="AH443" s="1">
        <v>0</v>
      </c>
      <c r="AI443" s="1">
        <v>300103</v>
      </c>
      <c r="AJ443" s="1" t="s">
        <v>5851</v>
      </c>
      <c r="AK443" s="1" t="s">
        <v>329</v>
      </c>
      <c r="AL443" s="1">
        <v>19</v>
      </c>
      <c r="AM443" s="1" t="s">
        <v>4822</v>
      </c>
      <c r="AN443" s="1" t="s">
        <v>329</v>
      </c>
      <c r="AO443" s="1" t="s">
        <v>329</v>
      </c>
      <c r="AP443" s="1">
        <v>0</v>
      </c>
      <c r="AQ443" s="1" t="s">
        <v>1168</v>
      </c>
      <c r="AR443" s="1" t="s">
        <v>5852</v>
      </c>
      <c r="AS443" s="1" t="s">
        <v>5853</v>
      </c>
      <c r="AT443" s="1" t="s">
        <v>329</v>
      </c>
      <c r="AU443" s="1">
        <v>10</v>
      </c>
      <c r="AV443" s="1">
        <v>1</v>
      </c>
      <c r="AW443" s="1" t="s">
        <v>5854</v>
      </c>
      <c r="AX443" s="1" t="s">
        <v>1866</v>
      </c>
      <c r="AY443" s="1">
        <v>5</v>
      </c>
      <c r="AZ443" s="1">
        <v>0</v>
      </c>
      <c r="BA443" s="1" t="s">
        <v>329</v>
      </c>
      <c r="BB443" s="1" t="s">
        <v>329</v>
      </c>
      <c r="BC443" s="1" t="s">
        <v>329</v>
      </c>
      <c r="BD443" s="1">
        <v>0</v>
      </c>
      <c r="BE443" s="1">
        <v>0</v>
      </c>
    </row>
    <row r="444" spans="1:57" x14ac:dyDescent="0.25">
      <c r="A444" s="1">
        <v>9002</v>
      </c>
      <c r="B444" s="1" t="s">
        <v>5855</v>
      </c>
      <c r="C444" s="9" t="s">
        <v>5856</v>
      </c>
      <c r="D444" s="1" t="s">
        <v>5857</v>
      </c>
      <c r="E444" s="1"/>
      <c r="F444" s="1"/>
      <c r="G444" s="1" t="s">
        <v>5858</v>
      </c>
      <c r="H444" s="1" t="s">
        <v>5859</v>
      </c>
      <c r="I444" s="1" t="s">
        <v>5860</v>
      </c>
      <c r="J444" s="1">
        <v>6</v>
      </c>
      <c r="K444" s="1">
        <v>5</v>
      </c>
      <c r="L444" s="1">
        <v>22500</v>
      </c>
      <c r="M444" s="1">
        <v>40</v>
      </c>
      <c r="N444" s="1">
        <v>30</v>
      </c>
      <c r="O444" s="1">
        <v>25</v>
      </c>
      <c r="P444" s="1">
        <v>15</v>
      </c>
      <c r="Q444" s="1">
        <v>5</v>
      </c>
      <c r="R444" s="1">
        <v>5</v>
      </c>
      <c r="S444" s="1">
        <v>2</v>
      </c>
      <c r="T444" s="1">
        <v>5</v>
      </c>
      <c r="U444" s="1">
        <v>100</v>
      </c>
      <c r="V444" s="1">
        <v>0</v>
      </c>
      <c r="W444" s="1">
        <v>0</v>
      </c>
      <c r="X444" s="1">
        <v>100</v>
      </c>
      <c r="Y444" s="1">
        <v>0</v>
      </c>
      <c r="Z444" s="1">
        <v>0</v>
      </c>
      <c r="AA444" s="1">
        <v>0</v>
      </c>
      <c r="AB444" s="1">
        <v>15</v>
      </c>
      <c r="AC444" s="1">
        <v>0</v>
      </c>
      <c r="AD444" s="1">
        <v>0</v>
      </c>
      <c r="AE444" s="1">
        <v>100</v>
      </c>
      <c r="AF444" s="1">
        <v>100</v>
      </c>
      <c r="AG444" s="1">
        <v>402606</v>
      </c>
      <c r="AH444" s="1">
        <v>0</v>
      </c>
      <c r="AI444" s="1">
        <v>300103</v>
      </c>
      <c r="AJ444" s="1" t="s">
        <v>5851</v>
      </c>
      <c r="AK444" s="1" t="s">
        <v>329</v>
      </c>
      <c r="AL444" s="1">
        <v>19</v>
      </c>
      <c r="AM444" s="1" t="s">
        <v>4822</v>
      </c>
      <c r="AN444" s="1" t="s">
        <v>329</v>
      </c>
      <c r="AO444" s="1" t="s">
        <v>329</v>
      </c>
      <c r="AP444" s="1">
        <v>0</v>
      </c>
      <c r="AQ444" s="1" t="s">
        <v>1168</v>
      </c>
      <c r="AR444" s="1" t="s">
        <v>5852</v>
      </c>
      <c r="AS444" s="1" t="s">
        <v>5853</v>
      </c>
      <c r="AT444" s="1" t="s">
        <v>329</v>
      </c>
      <c r="AU444" s="1">
        <v>10</v>
      </c>
      <c r="AV444" s="1">
        <v>1</v>
      </c>
      <c r="AW444" s="1" t="s">
        <v>5854</v>
      </c>
      <c r="AX444" s="1" t="s">
        <v>1866</v>
      </c>
      <c r="AY444" s="1">
        <v>5</v>
      </c>
      <c r="AZ444" s="1">
        <v>0</v>
      </c>
      <c r="BA444" s="1" t="s">
        <v>329</v>
      </c>
      <c r="BB444" s="1" t="s">
        <v>329</v>
      </c>
      <c r="BC444" s="1" t="s">
        <v>329</v>
      </c>
      <c r="BD444" s="1">
        <v>0</v>
      </c>
      <c r="BE444" s="1">
        <v>0</v>
      </c>
    </row>
    <row r="445" spans="1:57" x14ac:dyDescent="0.25">
      <c r="A445" s="1">
        <v>9003</v>
      </c>
      <c r="B445" s="1" t="s">
        <v>5861</v>
      </c>
      <c r="C445" s="9" t="s">
        <v>5862</v>
      </c>
      <c r="D445" s="1" t="s">
        <v>5863</v>
      </c>
      <c r="E445" s="1"/>
      <c r="F445" s="1"/>
      <c r="G445" s="1" t="s">
        <v>5864</v>
      </c>
      <c r="H445" s="1" t="s">
        <v>5865</v>
      </c>
      <c r="I445" s="1" t="s">
        <v>5866</v>
      </c>
      <c r="J445" s="1">
        <v>5</v>
      </c>
      <c r="K445" s="1">
        <v>5</v>
      </c>
      <c r="L445" s="1">
        <v>22500</v>
      </c>
      <c r="M445" s="1">
        <v>40</v>
      </c>
      <c r="N445" s="1">
        <v>30</v>
      </c>
      <c r="O445" s="1">
        <v>25</v>
      </c>
      <c r="P445" s="1">
        <v>15</v>
      </c>
      <c r="Q445" s="1">
        <v>5</v>
      </c>
      <c r="R445" s="1">
        <v>5</v>
      </c>
      <c r="S445" s="1">
        <v>2</v>
      </c>
      <c r="T445" s="1">
        <v>5</v>
      </c>
      <c r="U445" s="1">
        <v>150</v>
      </c>
      <c r="V445" s="1">
        <v>0</v>
      </c>
      <c r="W445" s="1">
        <v>0</v>
      </c>
      <c r="X445" s="1">
        <v>100</v>
      </c>
      <c r="Y445" s="1">
        <v>0</v>
      </c>
      <c r="Z445" s="1">
        <v>0</v>
      </c>
      <c r="AA445" s="1">
        <v>0</v>
      </c>
      <c r="AB445" s="1">
        <v>15</v>
      </c>
      <c r="AC445" s="1">
        <v>0</v>
      </c>
      <c r="AD445" s="1">
        <v>0</v>
      </c>
      <c r="AE445" s="1">
        <v>100</v>
      </c>
      <c r="AF445" s="1">
        <v>100</v>
      </c>
      <c r="AG445" s="1">
        <v>105902</v>
      </c>
      <c r="AH445" s="1">
        <v>0</v>
      </c>
      <c r="AI445" s="1">
        <v>300103</v>
      </c>
      <c r="AJ445" s="1" t="s">
        <v>329</v>
      </c>
      <c r="AK445" s="1" t="s">
        <v>329</v>
      </c>
      <c r="AL445" s="1">
        <v>19</v>
      </c>
      <c r="AM445" s="1" t="s">
        <v>4822</v>
      </c>
      <c r="AN445" s="1" t="s">
        <v>329</v>
      </c>
      <c r="AO445" s="1" t="s">
        <v>329</v>
      </c>
      <c r="AP445" s="1">
        <v>0</v>
      </c>
      <c r="AQ445" s="1" t="s">
        <v>1168</v>
      </c>
      <c r="AR445" s="1" t="s">
        <v>5852</v>
      </c>
      <c r="AS445" s="1" t="s">
        <v>5853</v>
      </c>
      <c r="AT445" s="1" t="s">
        <v>329</v>
      </c>
      <c r="AU445" s="1">
        <v>10</v>
      </c>
      <c r="AV445" s="1">
        <v>1</v>
      </c>
      <c r="AW445" s="1" t="s">
        <v>5854</v>
      </c>
      <c r="AX445" s="1" t="s">
        <v>1866</v>
      </c>
      <c r="AY445" s="1">
        <v>5</v>
      </c>
      <c r="AZ445" s="1">
        <v>0</v>
      </c>
      <c r="BA445" s="1" t="s">
        <v>329</v>
      </c>
      <c r="BB445" s="1" t="s">
        <v>329</v>
      </c>
      <c r="BC445" s="1" t="s">
        <v>329</v>
      </c>
      <c r="BD445" s="1">
        <v>0</v>
      </c>
      <c r="BE445" s="1">
        <v>0</v>
      </c>
    </row>
    <row r="446" spans="1:57" x14ac:dyDescent="0.25">
      <c r="A446" s="1">
        <v>9004</v>
      </c>
      <c r="B446" s="1" t="s">
        <v>5867</v>
      </c>
      <c r="C446" s="9" t="s">
        <v>5868</v>
      </c>
      <c r="D446" s="1" t="s">
        <v>5869</v>
      </c>
      <c r="E446" s="1"/>
      <c r="F446" s="1"/>
      <c r="G446" s="1" t="s">
        <v>5870</v>
      </c>
      <c r="H446" s="1" t="s">
        <v>5871</v>
      </c>
      <c r="I446" s="1" t="s">
        <v>5872</v>
      </c>
      <c r="J446" s="1">
        <v>5</v>
      </c>
      <c r="K446" s="1">
        <v>5</v>
      </c>
      <c r="L446" s="1">
        <v>22500</v>
      </c>
      <c r="M446" s="1">
        <v>40</v>
      </c>
      <c r="N446" s="1">
        <v>30</v>
      </c>
      <c r="O446" s="1">
        <v>25</v>
      </c>
      <c r="P446" s="1">
        <v>15</v>
      </c>
      <c r="Q446" s="1">
        <v>5</v>
      </c>
      <c r="R446" s="1">
        <v>5</v>
      </c>
      <c r="S446" s="1">
        <v>2</v>
      </c>
      <c r="T446" s="1">
        <v>5</v>
      </c>
      <c r="U446" s="1">
        <v>200</v>
      </c>
      <c r="V446" s="1">
        <v>0</v>
      </c>
      <c r="W446" s="1">
        <v>0</v>
      </c>
      <c r="X446" s="1">
        <v>100</v>
      </c>
      <c r="Y446" s="1">
        <v>0</v>
      </c>
      <c r="Z446" s="1">
        <v>0</v>
      </c>
      <c r="AA446" s="1">
        <v>0</v>
      </c>
      <c r="AB446" s="1">
        <v>15</v>
      </c>
      <c r="AC446" s="1">
        <v>0</v>
      </c>
      <c r="AD446" s="1">
        <v>0</v>
      </c>
      <c r="AE446" s="1">
        <v>100</v>
      </c>
      <c r="AF446" s="1">
        <v>100</v>
      </c>
      <c r="AG446" s="1">
        <v>402606</v>
      </c>
      <c r="AH446" s="1">
        <v>0</v>
      </c>
      <c r="AI446" s="1">
        <v>402601</v>
      </c>
      <c r="AJ446" s="1" t="s">
        <v>5873</v>
      </c>
      <c r="AK446" s="1" t="s">
        <v>329</v>
      </c>
      <c r="AL446" s="1">
        <v>19</v>
      </c>
      <c r="AM446" s="1" t="s">
        <v>4822</v>
      </c>
      <c r="AN446" s="1" t="s">
        <v>329</v>
      </c>
      <c r="AO446" s="1" t="s">
        <v>329</v>
      </c>
      <c r="AP446" s="1">
        <v>0</v>
      </c>
      <c r="AQ446" s="1" t="s">
        <v>1168</v>
      </c>
      <c r="AR446" s="1" t="s">
        <v>5852</v>
      </c>
      <c r="AS446" s="1" t="s">
        <v>5853</v>
      </c>
      <c r="AT446" s="1" t="s">
        <v>329</v>
      </c>
      <c r="AU446" s="1">
        <v>10</v>
      </c>
      <c r="AV446" s="1">
        <v>1</v>
      </c>
      <c r="AW446" s="1" t="s">
        <v>5854</v>
      </c>
      <c r="AX446" s="1" t="s">
        <v>1866</v>
      </c>
      <c r="AY446" s="1">
        <v>5</v>
      </c>
      <c r="AZ446" s="1">
        <v>0</v>
      </c>
      <c r="BA446" s="1" t="s">
        <v>329</v>
      </c>
      <c r="BB446" s="1" t="s">
        <v>329</v>
      </c>
      <c r="BC446" s="1" t="s">
        <v>329</v>
      </c>
      <c r="BD446" s="1">
        <v>0</v>
      </c>
      <c r="BE446" s="1">
        <v>0</v>
      </c>
    </row>
    <row r="447" spans="1:57" x14ac:dyDescent="0.25">
      <c r="A447" s="1">
        <v>9005</v>
      </c>
      <c r="B447" s="1" t="s">
        <v>5874</v>
      </c>
      <c r="C447" s="9" t="s">
        <v>5875</v>
      </c>
      <c r="D447" s="1" t="s">
        <v>5876</v>
      </c>
      <c r="E447" s="1"/>
      <c r="F447" s="1"/>
      <c r="G447" s="1" t="s">
        <v>5877</v>
      </c>
      <c r="H447" s="1" t="s">
        <v>5878</v>
      </c>
      <c r="I447" s="1" t="s">
        <v>5879</v>
      </c>
      <c r="J447" s="1">
        <v>6</v>
      </c>
      <c r="K447" s="1">
        <v>5</v>
      </c>
      <c r="L447" s="1">
        <v>22500</v>
      </c>
      <c r="M447" s="1">
        <v>40</v>
      </c>
      <c r="N447" s="1">
        <v>30</v>
      </c>
      <c r="O447" s="1">
        <v>25</v>
      </c>
      <c r="P447" s="1">
        <v>15</v>
      </c>
      <c r="Q447" s="1">
        <v>5</v>
      </c>
      <c r="R447" s="1">
        <v>5</v>
      </c>
      <c r="S447" s="1">
        <v>2</v>
      </c>
      <c r="T447" s="1">
        <v>5</v>
      </c>
      <c r="U447" s="1">
        <v>100</v>
      </c>
      <c r="V447" s="1">
        <v>0</v>
      </c>
      <c r="W447" s="1">
        <v>0</v>
      </c>
      <c r="X447" s="1">
        <v>100</v>
      </c>
      <c r="Y447" s="1">
        <v>0</v>
      </c>
      <c r="Z447" s="1">
        <v>0</v>
      </c>
      <c r="AA447" s="1">
        <v>0</v>
      </c>
      <c r="AB447" s="1">
        <v>15</v>
      </c>
      <c r="AC447" s="1">
        <v>0</v>
      </c>
      <c r="AD447" s="1">
        <v>0</v>
      </c>
      <c r="AE447" s="1">
        <v>100</v>
      </c>
      <c r="AF447" s="1">
        <v>100</v>
      </c>
      <c r="AG447" s="1">
        <v>105902</v>
      </c>
      <c r="AH447" s="1">
        <v>0</v>
      </c>
      <c r="AI447" s="1">
        <v>300103</v>
      </c>
      <c r="AJ447" s="1" t="s">
        <v>329</v>
      </c>
      <c r="AK447" s="1" t="s">
        <v>329</v>
      </c>
      <c r="AL447" s="1">
        <v>19</v>
      </c>
      <c r="AM447" s="1" t="s">
        <v>4822</v>
      </c>
      <c r="AN447" s="1" t="s">
        <v>329</v>
      </c>
      <c r="AO447" s="1" t="s">
        <v>329</v>
      </c>
      <c r="AP447" s="1">
        <v>0</v>
      </c>
      <c r="AQ447" s="1" t="s">
        <v>1168</v>
      </c>
      <c r="AR447" s="1" t="s">
        <v>5852</v>
      </c>
      <c r="AS447" s="1" t="s">
        <v>5853</v>
      </c>
      <c r="AT447" s="1" t="s">
        <v>329</v>
      </c>
      <c r="AU447" s="1">
        <v>10</v>
      </c>
      <c r="AV447" s="1">
        <v>1</v>
      </c>
      <c r="AW447" s="1" t="s">
        <v>5854</v>
      </c>
      <c r="AX447" s="1" t="s">
        <v>1866</v>
      </c>
      <c r="AY447" s="1">
        <v>5</v>
      </c>
      <c r="AZ447" s="1">
        <v>0</v>
      </c>
      <c r="BA447" s="1" t="s">
        <v>329</v>
      </c>
      <c r="BB447" s="1" t="s">
        <v>329</v>
      </c>
      <c r="BC447" s="1" t="s">
        <v>329</v>
      </c>
      <c r="BD447" s="1">
        <v>0</v>
      </c>
      <c r="BE447" s="1">
        <v>0</v>
      </c>
    </row>
    <row r="448" spans="1:57" x14ac:dyDescent="0.25">
      <c r="A448" s="1">
        <v>9006</v>
      </c>
      <c r="B448" s="1" t="s">
        <v>5880</v>
      </c>
      <c r="C448" s="9" t="s">
        <v>5846</v>
      </c>
      <c r="D448" s="1" t="s">
        <v>5847</v>
      </c>
      <c r="E448" s="1"/>
      <c r="F448" s="1"/>
      <c r="G448" s="1" t="s">
        <v>5881</v>
      </c>
      <c r="H448" s="1" t="s">
        <v>5882</v>
      </c>
      <c r="I448" s="1" t="s">
        <v>5883</v>
      </c>
      <c r="J448" s="1">
        <v>4</v>
      </c>
      <c r="K448" s="1">
        <v>5</v>
      </c>
      <c r="L448" s="1">
        <v>22500</v>
      </c>
      <c r="M448" s="1">
        <v>40</v>
      </c>
      <c r="N448" s="1">
        <v>30</v>
      </c>
      <c r="O448" s="1">
        <v>25</v>
      </c>
      <c r="P448" s="1">
        <v>15</v>
      </c>
      <c r="Q448" s="1">
        <v>5</v>
      </c>
      <c r="R448" s="1">
        <v>5</v>
      </c>
      <c r="S448" s="1">
        <v>2</v>
      </c>
      <c r="T448" s="1">
        <v>5</v>
      </c>
      <c r="U448" s="1">
        <v>100</v>
      </c>
      <c r="V448" s="1">
        <v>0</v>
      </c>
      <c r="W448" s="1">
        <v>0</v>
      </c>
      <c r="X448" s="1">
        <v>100</v>
      </c>
      <c r="Y448" s="1">
        <v>0</v>
      </c>
      <c r="Z448" s="1">
        <v>0</v>
      </c>
      <c r="AA448" s="1">
        <v>0</v>
      </c>
      <c r="AB448" s="1">
        <v>15</v>
      </c>
      <c r="AC448" s="1">
        <v>0</v>
      </c>
      <c r="AD448" s="1">
        <v>0</v>
      </c>
      <c r="AE448" s="1">
        <v>100</v>
      </c>
      <c r="AF448" s="1">
        <v>100</v>
      </c>
      <c r="AG448" s="1">
        <v>402606</v>
      </c>
      <c r="AH448" s="1">
        <v>0</v>
      </c>
      <c r="AI448" s="1">
        <v>300103</v>
      </c>
      <c r="AJ448" s="1" t="s">
        <v>5851</v>
      </c>
      <c r="AK448" s="1" t="s">
        <v>329</v>
      </c>
      <c r="AL448" s="1">
        <v>19</v>
      </c>
      <c r="AM448" s="1" t="s">
        <v>4822</v>
      </c>
      <c r="AN448" s="1" t="s">
        <v>329</v>
      </c>
      <c r="AO448" s="1" t="s">
        <v>329</v>
      </c>
      <c r="AP448" s="1">
        <v>0</v>
      </c>
      <c r="AQ448" s="1" t="s">
        <v>1168</v>
      </c>
      <c r="AR448" s="1" t="s">
        <v>5852</v>
      </c>
      <c r="AS448" s="1" t="s">
        <v>5853</v>
      </c>
      <c r="AT448" s="1" t="s">
        <v>329</v>
      </c>
      <c r="AU448" s="1">
        <v>10</v>
      </c>
      <c r="AV448" s="1">
        <v>1</v>
      </c>
      <c r="AW448" s="1" t="s">
        <v>5854</v>
      </c>
      <c r="AX448" s="1" t="s">
        <v>1866</v>
      </c>
      <c r="AY448" s="1">
        <v>5</v>
      </c>
      <c r="AZ448" s="1">
        <v>0</v>
      </c>
      <c r="BA448" s="1" t="s">
        <v>329</v>
      </c>
      <c r="BB448" s="1" t="s">
        <v>329</v>
      </c>
      <c r="BC448" s="1" t="s">
        <v>329</v>
      </c>
      <c r="BD448" s="1">
        <v>0</v>
      </c>
      <c r="BE448" s="1">
        <v>0</v>
      </c>
    </row>
    <row r="449" spans="1:57" x14ac:dyDescent="0.25">
      <c r="A449" s="1">
        <v>9007</v>
      </c>
      <c r="B449" s="1" t="s">
        <v>5884</v>
      </c>
      <c r="C449" s="9" t="s">
        <v>5846</v>
      </c>
      <c r="D449" s="1" t="s">
        <v>5847</v>
      </c>
      <c r="E449" s="1"/>
      <c r="F449" s="1"/>
      <c r="G449" s="1" t="s">
        <v>5885</v>
      </c>
      <c r="H449" s="1" t="s">
        <v>5886</v>
      </c>
      <c r="I449" s="1" t="s">
        <v>5887</v>
      </c>
      <c r="J449" s="1">
        <v>4</v>
      </c>
      <c r="K449" s="1">
        <v>5</v>
      </c>
      <c r="L449" s="1">
        <v>22500</v>
      </c>
      <c r="M449" s="1">
        <v>40</v>
      </c>
      <c r="N449" s="1">
        <v>30</v>
      </c>
      <c r="O449" s="1">
        <v>25</v>
      </c>
      <c r="P449" s="1">
        <v>15</v>
      </c>
      <c r="Q449" s="1">
        <v>5</v>
      </c>
      <c r="R449" s="1">
        <v>5</v>
      </c>
      <c r="S449" s="1">
        <v>2</v>
      </c>
      <c r="T449" s="1">
        <v>5</v>
      </c>
      <c r="U449" s="1">
        <v>100</v>
      </c>
      <c r="V449" s="1">
        <v>0</v>
      </c>
      <c r="W449" s="1">
        <v>0</v>
      </c>
      <c r="X449" s="1">
        <v>100</v>
      </c>
      <c r="Y449" s="1">
        <v>0</v>
      </c>
      <c r="Z449" s="1">
        <v>0</v>
      </c>
      <c r="AA449" s="1">
        <v>0</v>
      </c>
      <c r="AB449" s="1">
        <v>15</v>
      </c>
      <c r="AC449" s="1">
        <v>0</v>
      </c>
      <c r="AD449" s="1">
        <v>0</v>
      </c>
      <c r="AE449" s="1">
        <v>100</v>
      </c>
      <c r="AF449" s="1">
        <v>100</v>
      </c>
      <c r="AG449" s="1">
        <v>402606</v>
      </c>
      <c r="AH449" s="1">
        <v>0</v>
      </c>
      <c r="AI449" s="1">
        <v>300103</v>
      </c>
      <c r="AJ449" s="1" t="s">
        <v>5851</v>
      </c>
      <c r="AK449" s="1" t="s">
        <v>329</v>
      </c>
      <c r="AL449" s="1">
        <v>19</v>
      </c>
      <c r="AM449" s="1" t="s">
        <v>4822</v>
      </c>
      <c r="AN449" s="1" t="s">
        <v>329</v>
      </c>
      <c r="AO449" s="1" t="s">
        <v>329</v>
      </c>
      <c r="AP449" s="1">
        <v>0</v>
      </c>
      <c r="AQ449" s="1" t="s">
        <v>1168</v>
      </c>
      <c r="AR449" s="1" t="s">
        <v>5852</v>
      </c>
      <c r="AS449" s="1" t="s">
        <v>5853</v>
      </c>
      <c r="AT449" s="1" t="s">
        <v>329</v>
      </c>
      <c r="AU449" s="1">
        <v>10</v>
      </c>
      <c r="AV449" s="1">
        <v>1</v>
      </c>
      <c r="AW449" s="1" t="s">
        <v>5854</v>
      </c>
      <c r="AX449" s="1" t="s">
        <v>1866</v>
      </c>
      <c r="AY449" s="1">
        <v>5</v>
      </c>
      <c r="AZ449" s="1">
        <v>0</v>
      </c>
      <c r="BA449" s="1" t="s">
        <v>329</v>
      </c>
      <c r="BB449" s="1" t="s">
        <v>329</v>
      </c>
      <c r="BC449" s="1" t="s">
        <v>329</v>
      </c>
      <c r="BD449" s="1">
        <v>0</v>
      </c>
      <c r="BE449" s="1">
        <v>0</v>
      </c>
    </row>
    <row r="450" spans="1:57" x14ac:dyDescent="0.25">
      <c r="A450" s="1">
        <v>9008</v>
      </c>
      <c r="B450" s="1" t="s">
        <v>5888</v>
      </c>
      <c r="C450" s="9" t="s">
        <v>5856</v>
      </c>
      <c r="D450" s="1" t="s">
        <v>5857</v>
      </c>
      <c r="E450" s="1"/>
      <c r="F450" s="1"/>
      <c r="G450" s="1" t="s">
        <v>5889</v>
      </c>
      <c r="H450" s="1" t="s">
        <v>5890</v>
      </c>
      <c r="I450" s="1" t="s">
        <v>5891</v>
      </c>
      <c r="J450" s="1">
        <v>6</v>
      </c>
      <c r="K450" s="1">
        <v>5</v>
      </c>
      <c r="L450" s="1">
        <v>22500</v>
      </c>
      <c r="M450" s="1">
        <v>40</v>
      </c>
      <c r="N450" s="1">
        <v>30</v>
      </c>
      <c r="O450" s="1">
        <v>25</v>
      </c>
      <c r="P450" s="1">
        <v>15</v>
      </c>
      <c r="Q450" s="1">
        <v>5</v>
      </c>
      <c r="R450" s="1">
        <v>5</v>
      </c>
      <c r="S450" s="1">
        <v>2</v>
      </c>
      <c r="T450" s="1">
        <v>5</v>
      </c>
      <c r="U450" s="1">
        <v>100</v>
      </c>
      <c r="V450" s="1">
        <v>0</v>
      </c>
      <c r="W450" s="1">
        <v>0</v>
      </c>
      <c r="X450" s="1">
        <v>100</v>
      </c>
      <c r="Y450" s="1">
        <v>0</v>
      </c>
      <c r="Z450" s="1">
        <v>0</v>
      </c>
      <c r="AA450" s="1">
        <v>0</v>
      </c>
      <c r="AB450" s="1">
        <v>15</v>
      </c>
      <c r="AC450" s="1">
        <v>0</v>
      </c>
      <c r="AD450" s="1">
        <v>0</v>
      </c>
      <c r="AE450" s="1">
        <v>100</v>
      </c>
      <c r="AF450" s="1">
        <v>100</v>
      </c>
      <c r="AG450" s="1">
        <v>402606</v>
      </c>
      <c r="AH450" s="1">
        <v>0</v>
      </c>
      <c r="AI450" s="1">
        <v>300103</v>
      </c>
      <c r="AJ450" s="1" t="s">
        <v>5851</v>
      </c>
      <c r="AK450" s="1" t="s">
        <v>329</v>
      </c>
      <c r="AL450" s="1">
        <v>19</v>
      </c>
      <c r="AM450" s="1" t="s">
        <v>4822</v>
      </c>
      <c r="AN450" s="1" t="s">
        <v>329</v>
      </c>
      <c r="AO450" s="1" t="s">
        <v>329</v>
      </c>
      <c r="AP450" s="1">
        <v>0</v>
      </c>
      <c r="AQ450" s="1" t="s">
        <v>1168</v>
      </c>
      <c r="AR450" s="1" t="s">
        <v>5852</v>
      </c>
      <c r="AS450" s="1" t="s">
        <v>5853</v>
      </c>
      <c r="AT450" s="1" t="s">
        <v>329</v>
      </c>
      <c r="AU450" s="1">
        <v>10</v>
      </c>
      <c r="AV450" s="1">
        <v>1</v>
      </c>
      <c r="AW450" s="1" t="s">
        <v>5854</v>
      </c>
      <c r="AX450" s="1" t="s">
        <v>1866</v>
      </c>
      <c r="AY450" s="1">
        <v>5</v>
      </c>
      <c r="AZ450" s="1">
        <v>0</v>
      </c>
      <c r="BA450" s="1" t="s">
        <v>329</v>
      </c>
      <c r="BB450" s="1" t="s">
        <v>329</v>
      </c>
      <c r="BC450" s="1" t="s">
        <v>329</v>
      </c>
      <c r="BD450" s="1">
        <v>0</v>
      </c>
      <c r="BE450" s="1">
        <v>0</v>
      </c>
    </row>
    <row r="451" spans="1:57" x14ac:dyDescent="0.25">
      <c r="A451" s="1">
        <v>9009</v>
      </c>
      <c r="B451" s="1" t="s">
        <v>5892</v>
      </c>
      <c r="C451" s="9" t="s">
        <v>5856</v>
      </c>
      <c r="D451" s="1" t="s">
        <v>5857</v>
      </c>
      <c r="E451" s="1"/>
      <c r="F451" s="1"/>
      <c r="G451" s="1" t="s">
        <v>5893</v>
      </c>
      <c r="H451" s="1" t="s">
        <v>5894</v>
      </c>
      <c r="I451" s="1" t="s">
        <v>5895</v>
      </c>
      <c r="J451" s="1">
        <v>6</v>
      </c>
      <c r="K451" s="1">
        <v>5</v>
      </c>
      <c r="L451" s="1">
        <v>22500</v>
      </c>
      <c r="M451" s="1">
        <v>40</v>
      </c>
      <c r="N451" s="1">
        <v>30</v>
      </c>
      <c r="O451" s="1">
        <v>25</v>
      </c>
      <c r="P451" s="1">
        <v>15</v>
      </c>
      <c r="Q451" s="1">
        <v>5</v>
      </c>
      <c r="R451" s="1">
        <v>5</v>
      </c>
      <c r="S451" s="1">
        <v>2</v>
      </c>
      <c r="T451" s="1">
        <v>5</v>
      </c>
      <c r="U451" s="1">
        <v>100</v>
      </c>
      <c r="V451" s="1">
        <v>0</v>
      </c>
      <c r="W451" s="1">
        <v>0</v>
      </c>
      <c r="X451" s="1">
        <v>100</v>
      </c>
      <c r="Y451" s="1">
        <v>0</v>
      </c>
      <c r="Z451" s="1">
        <v>0</v>
      </c>
      <c r="AA451" s="1">
        <v>0</v>
      </c>
      <c r="AB451" s="1">
        <v>15</v>
      </c>
      <c r="AC451" s="1">
        <v>0</v>
      </c>
      <c r="AD451" s="1">
        <v>0</v>
      </c>
      <c r="AE451" s="1">
        <v>100</v>
      </c>
      <c r="AF451" s="1">
        <v>100</v>
      </c>
      <c r="AG451" s="1">
        <v>402606</v>
      </c>
      <c r="AH451" s="1">
        <v>0</v>
      </c>
      <c r="AI451" s="1">
        <v>300103</v>
      </c>
      <c r="AJ451" s="1" t="s">
        <v>5851</v>
      </c>
      <c r="AK451" s="1" t="s">
        <v>329</v>
      </c>
      <c r="AL451" s="1">
        <v>19</v>
      </c>
      <c r="AM451" s="1" t="s">
        <v>4822</v>
      </c>
      <c r="AN451" s="1" t="s">
        <v>329</v>
      </c>
      <c r="AO451" s="1" t="s">
        <v>329</v>
      </c>
      <c r="AP451" s="1">
        <v>0</v>
      </c>
      <c r="AQ451" s="1" t="s">
        <v>1168</v>
      </c>
      <c r="AR451" s="1" t="s">
        <v>5852</v>
      </c>
      <c r="AS451" s="1" t="s">
        <v>5853</v>
      </c>
      <c r="AT451" s="1" t="s">
        <v>329</v>
      </c>
      <c r="AU451" s="1">
        <v>10</v>
      </c>
      <c r="AV451" s="1">
        <v>1</v>
      </c>
      <c r="AW451" s="1" t="s">
        <v>5854</v>
      </c>
      <c r="AX451" s="1" t="s">
        <v>1866</v>
      </c>
      <c r="AY451" s="1">
        <v>5</v>
      </c>
      <c r="AZ451" s="1">
        <v>0</v>
      </c>
      <c r="BA451" s="1" t="s">
        <v>329</v>
      </c>
      <c r="BB451" s="1" t="s">
        <v>329</v>
      </c>
      <c r="BC451" s="1" t="s">
        <v>329</v>
      </c>
      <c r="BD451" s="1">
        <v>0</v>
      </c>
      <c r="BE451" s="1">
        <v>0</v>
      </c>
    </row>
    <row r="452" spans="1:57" x14ac:dyDescent="0.25">
      <c r="A452" s="1">
        <v>9010</v>
      </c>
      <c r="B452" s="1" t="s">
        <v>5896</v>
      </c>
      <c r="C452" s="9" t="s">
        <v>5868</v>
      </c>
      <c r="D452" s="1" t="s">
        <v>5869</v>
      </c>
      <c r="E452" s="1"/>
      <c r="F452" s="1"/>
      <c r="G452" s="1" t="s">
        <v>5897</v>
      </c>
      <c r="H452" s="1" t="s">
        <v>5898</v>
      </c>
      <c r="I452" s="1" t="s">
        <v>5899</v>
      </c>
      <c r="J452" s="1">
        <v>5</v>
      </c>
      <c r="K452" s="1">
        <v>5</v>
      </c>
      <c r="L452" s="1">
        <v>22500</v>
      </c>
      <c r="M452" s="1">
        <v>40</v>
      </c>
      <c r="N452" s="1">
        <v>30</v>
      </c>
      <c r="O452" s="1">
        <v>25</v>
      </c>
      <c r="P452" s="1">
        <v>15</v>
      </c>
      <c r="Q452" s="1">
        <v>5</v>
      </c>
      <c r="R452" s="1">
        <v>5</v>
      </c>
      <c r="S452" s="1">
        <v>2</v>
      </c>
      <c r="T452" s="1">
        <v>5</v>
      </c>
      <c r="U452" s="1">
        <v>200</v>
      </c>
      <c r="V452" s="1">
        <v>0</v>
      </c>
      <c r="W452" s="1">
        <v>0</v>
      </c>
      <c r="X452" s="1">
        <v>100</v>
      </c>
      <c r="Y452" s="1">
        <v>0</v>
      </c>
      <c r="Z452" s="1">
        <v>0</v>
      </c>
      <c r="AA452" s="1">
        <v>0</v>
      </c>
      <c r="AB452" s="1">
        <v>15</v>
      </c>
      <c r="AC452" s="1">
        <v>0</v>
      </c>
      <c r="AD452" s="1">
        <v>0</v>
      </c>
      <c r="AE452" s="1">
        <v>100</v>
      </c>
      <c r="AF452" s="1">
        <v>100</v>
      </c>
      <c r="AG452" s="1">
        <v>402606</v>
      </c>
      <c r="AH452" s="1">
        <v>0</v>
      </c>
      <c r="AI452" s="1">
        <v>402601</v>
      </c>
      <c r="AJ452" s="1" t="s">
        <v>5873</v>
      </c>
      <c r="AK452" s="1" t="s">
        <v>329</v>
      </c>
      <c r="AL452" s="1">
        <v>19</v>
      </c>
      <c r="AM452" s="1" t="s">
        <v>4822</v>
      </c>
      <c r="AN452" s="1" t="s">
        <v>329</v>
      </c>
      <c r="AO452" s="1" t="s">
        <v>329</v>
      </c>
      <c r="AP452" s="1">
        <v>0</v>
      </c>
      <c r="AQ452" s="1" t="s">
        <v>1168</v>
      </c>
      <c r="AR452" s="1" t="s">
        <v>5852</v>
      </c>
      <c r="AS452" s="1" t="s">
        <v>5853</v>
      </c>
      <c r="AT452" s="1" t="s">
        <v>329</v>
      </c>
      <c r="AU452" s="1">
        <v>10</v>
      </c>
      <c r="AV452" s="1">
        <v>1</v>
      </c>
      <c r="AW452" s="1" t="s">
        <v>5854</v>
      </c>
      <c r="AX452" s="1" t="s">
        <v>1866</v>
      </c>
      <c r="AY452" s="1">
        <v>5</v>
      </c>
      <c r="AZ452" s="1">
        <v>0</v>
      </c>
      <c r="BA452" s="1" t="s">
        <v>329</v>
      </c>
      <c r="BB452" s="1" t="s">
        <v>329</v>
      </c>
      <c r="BC452" s="1" t="s">
        <v>329</v>
      </c>
      <c r="BD452" s="1">
        <v>0</v>
      </c>
      <c r="BE452" s="1">
        <v>0</v>
      </c>
    </row>
    <row r="453" spans="1:57" x14ac:dyDescent="0.25">
      <c r="A453" s="1">
        <v>9011</v>
      </c>
      <c r="B453" s="1" t="s">
        <v>5900</v>
      </c>
      <c r="C453" s="9" t="s">
        <v>5868</v>
      </c>
      <c r="D453" s="1" t="s">
        <v>5869</v>
      </c>
      <c r="E453" s="1"/>
      <c r="F453" s="1"/>
      <c r="G453" s="1" t="s">
        <v>5901</v>
      </c>
      <c r="H453" s="1" t="s">
        <v>5902</v>
      </c>
      <c r="I453" s="1" t="s">
        <v>5903</v>
      </c>
      <c r="J453" s="1">
        <v>5</v>
      </c>
      <c r="K453" s="1">
        <v>5</v>
      </c>
      <c r="L453" s="1">
        <v>22500</v>
      </c>
      <c r="M453" s="1">
        <v>40</v>
      </c>
      <c r="N453" s="1">
        <v>30</v>
      </c>
      <c r="O453" s="1">
        <v>25</v>
      </c>
      <c r="P453" s="1">
        <v>15</v>
      </c>
      <c r="Q453" s="1">
        <v>5</v>
      </c>
      <c r="R453" s="1">
        <v>5</v>
      </c>
      <c r="S453" s="1">
        <v>2</v>
      </c>
      <c r="T453" s="1">
        <v>5</v>
      </c>
      <c r="U453" s="1">
        <v>200</v>
      </c>
      <c r="V453" s="1">
        <v>0</v>
      </c>
      <c r="W453" s="1">
        <v>0</v>
      </c>
      <c r="X453" s="1">
        <v>100</v>
      </c>
      <c r="Y453" s="1">
        <v>0</v>
      </c>
      <c r="Z453" s="1">
        <v>0</v>
      </c>
      <c r="AA453" s="1">
        <v>0</v>
      </c>
      <c r="AB453" s="1">
        <v>15</v>
      </c>
      <c r="AC453" s="1">
        <v>0</v>
      </c>
      <c r="AD453" s="1">
        <v>0</v>
      </c>
      <c r="AE453" s="1">
        <v>100</v>
      </c>
      <c r="AF453" s="1">
        <v>100</v>
      </c>
      <c r="AG453" s="1">
        <v>402606</v>
      </c>
      <c r="AH453" s="1">
        <v>0</v>
      </c>
      <c r="AI453" s="1">
        <v>402601</v>
      </c>
      <c r="AJ453" s="1" t="s">
        <v>5873</v>
      </c>
      <c r="AK453" s="1" t="s">
        <v>329</v>
      </c>
      <c r="AL453" s="1">
        <v>19</v>
      </c>
      <c r="AM453" s="1" t="s">
        <v>4822</v>
      </c>
      <c r="AN453" s="1" t="s">
        <v>329</v>
      </c>
      <c r="AO453" s="1" t="s">
        <v>329</v>
      </c>
      <c r="AP453" s="1">
        <v>0</v>
      </c>
      <c r="AQ453" s="1" t="s">
        <v>1168</v>
      </c>
      <c r="AR453" s="1" t="s">
        <v>5852</v>
      </c>
      <c r="AS453" s="1" t="s">
        <v>5853</v>
      </c>
      <c r="AT453" s="1" t="s">
        <v>329</v>
      </c>
      <c r="AU453" s="1">
        <v>10</v>
      </c>
      <c r="AV453" s="1">
        <v>1</v>
      </c>
      <c r="AW453" s="1" t="s">
        <v>5854</v>
      </c>
      <c r="AX453" s="1" t="s">
        <v>1866</v>
      </c>
      <c r="AY453" s="1">
        <v>5</v>
      </c>
      <c r="AZ453" s="1">
        <v>0</v>
      </c>
      <c r="BA453" s="1" t="s">
        <v>329</v>
      </c>
      <c r="BB453" s="1" t="s">
        <v>329</v>
      </c>
      <c r="BC453" s="1" t="s">
        <v>329</v>
      </c>
      <c r="BD453" s="1">
        <v>0</v>
      </c>
      <c r="BE453" s="1">
        <v>0</v>
      </c>
    </row>
    <row r="454" spans="1:57" x14ac:dyDescent="0.25">
      <c r="A454" s="1">
        <v>9012</v>
      </c>
      <c r="B454" s="1" t="s">
        <v>5904</v>
      </c>
      <c r="C454" s="9" t="s">
        <v>22</v>
      </c>
      <c r="D454" s="1" t="s">
        <v>256</v>
      </c>
      <c r="E454" s="1"/>
      <c r="F454" s="1"/>
      <c r="G454" s="1" t="s">
        <v>5905</v>
      </c>
      <c r="H454" s="1" t="s">
        <v>5906</v>
      </c>
      <c r="I454" s="1" t="s">
        <v>5907</v>
      </c>
      <c r="J454" s="1">
        <v>4</v>
      </c>
      <c r="K454" s="1">
        <v>5</v>
      </c>
      <c r="L454" s="1">
        <v>12900</v>
      </c>
      <c r="M454" s="1">
        <v>20</v>
      </c>
      <c r="N454" s="1">
        <v>20</v>
      </c>
      <c r="O454" s="1">
        <v>10</v>
      </c>
      <c r="P454" s="1">
        <v>10</v>
      </c>
      <c r="Q454" s="1">
        <v>2</v>
      </c>
      <c r="R454" s="1">
        <v>5</v>
      </c>
      <c r="S454" s="1">
        <v>5</v>
      </c>
      <c r="T454" s="1">
        <v>0</v>
      </c>
      <c r="U454" s="1">
        <v>100</v>
      </c>
      <c r="V454" s="1">
        <v>0</v>
      </c>
      <c r="W454" s="1">
        <v>0</v>
      </c>
      <c r="X454" s="1">
        <v>200</v>
      </c>
      <c r="Y454" s="1">
        <v>0</v>
      </c>
      <c r="Z454" s="1">
        <v>0</v>
      </c>
      <c r="AA454" s="1">
        <v>0</v>
      </c>
      <c r="AB454" s="1">
        <v>15</v>
      </c>
      <c r="AC454" s="1">
        <v>68</v>
      </c>
      <c r="AD454" s="1">
        <v>0</v>
      </c>
      <c r="AE454" s="1">
        <v>115</v>
      </c>
      <c r="AF454" s="1">
        <v>115</v>
      </c>
      <c r="AG454" s="1">
        <v>801201</v>
      </c>
      <c r="AH454" s="1">
        <v>0</v>
      </c>
      <c r="AI454" s="1">
        <v>801203</v>
      </c>
      <c r="AJ454" s="1" t="s">
        <v>329</v>
      </c>
      <c r="AK454" s="1" t="s">
        <v>5908</v>
      </c>
      <c r="AL454" s="1">
        <v>13</v>
      </c>
      <c r="AM454" s="1" t="s">
        <v>4850</v>
      </c>
      <c r="AN454" s="1" t="s">
        <v>4921</v>
      </c>
      <c r="AO454" s="1" t="s">
        <v>5909</v>
      </c>
      <c r="AP454" s="1">
        <v>0</v>
      </c>
      <c r="AQ454" s="1" t="s">
        <v>1158</v>
      </c>
      <c r="AR454" s="1" t="s">
        <v>1182</v>
      </c>
      <c r="AS454" s="1" t="s">
        <v>5910</v>
      </c>
      <c r="AT454" s="1" t="s">
        <v>329</v>
      </c>
      <c r="AU454" s="1">
        <v>55</v>
      </c>
      <c r="AV454" s="1">
        <v>0</v>
      </c>
      <c r="AW454" s="1" t="s">
        <v>5854</v>
      </c>
      <c r="AX454" s="1" t="s">
        <v>1866</v>
      </c>
      <c r="AY454" s="1">
        <v>5</v>
      </c>
      <c r="AZ454" s="1">
        <v>0</v>
      </c>
      <c r="BA454" s="1" t="s">
        <v>329</v>
      </c>
      <c r="BB454" s="1" t="s">
        <v>329</v>
      </c>
      <c r="BC454" s="1" t="s">
        <v>329</v>
      </c>
      <c r="BD454" s="1">
        <v>0</v>
      </c>
      <c r="BE454" s="1">
        <v>0</v>
      </c>
    </row>
    <row r="455" spans="1:57" x14ac:dyDescent="0.25">
      <c r="A455" s="1">
        <v>9013</v>
      </c>
      <c r="B455" s="1" t="s">
        <v>5911</v>
      </c>
      <c r="C455" s="9" t="s">
        <v>121</v>
      </c>
      <c r="D455" s="1" t="s">
        <v>121</v>
      </c>
      <c r="E455" s="1"/>
      <c r="F455" s="1"/>
      <c r="G455" s="1" t="s">
        <v>5912</v>
      </c>
      <c r="H455" s="1" t="s">
        <v>5913</v>
      </c>
      <c r="I455" s="1" t="s">
        <v>5914</v>
      </c>
      <c r="J455" s="1">
        <v>1</v>
      </c>
      <c r="K455" s="1">
        <v>5</v>
      </c>
      <c r="L455" s="1">
        <v>3900</v>
      </c>
      <c r="M455" s="1">
        <v>10</v>
      </c>
      <c r="N455" s="1">
        <v>10</v>
      </c>
      <c r="O455" s="1">
        <v>5</v>
      </c>
      <c r="P455" s="1">
        <v>5</v>
      </c>
      <c r="Q455" s="1">
        <v>2</v>
      </c>
      <c r="R455" s="1">
        <v>2</v>
      </c>
      <c r="S455" s="1">
        <v>2</v>
      </c>
      <c r="T455" s="1">
        <v>0</v>
      </c>
      <c r="U455" s="1">
        <v>757</v>
      </c>
      <c r="V455" s="1">
        <v>110</v>
      </c>
      <c r="W455" s="1">
        <v>135</v>
      </c>
      <c r="X455" s="1">
        <v>100</v>
      </c>
      <c r="Y455" s="1">
        <v>115</v>
      </c>
      <c r="Z455" s="1">
        <v>95</v>
      </c>
      <c r="AA455" s="1">
        <v>0</v>
      </c>
      <c r="AB455" s="1">
        <v>15</v>
      </c>
      <c r="AC455" s="1">
        <v>20</v>
      </c>
      <c r="AD455" s="1">
        <v>0</v>
      </c>
      <c r="AE455" s="1">
        <v>115</v>
      </c>
      <c r="AF455" s="1">
        <v>100</v>
      </c>
      <c r="AG455" s="1">
        <v>700201</v>
      </c>
      <c r="AH455" s="1">
        <v>0</v>
      </c>
      <c r="AI455" s="1">
        <v>700001</v>
      </c>
      <c r="AJ455" s="1" t="s">
        <v>5915</v>
      </c>
      <c r="AK455" s="1" t="s">
        <v>329</v>
      </c>
      <c r="AL455" s="1">
        <v>13</v>
      </c>
      <c r="AM455" s="1" t="s">
        <v>1866</v>
      </c>
      <c r="AN455" s="1" t="s">
        <v>4844</v>
      </c>
      <c r="AO455" s="1" t="s">
        <v>4877</v>
      </c>
      <c r="AP455" s="1">
        <v>0</v>
      </c>
      <c r="AQ455" s="1" t="s">
        <v>5916</v>
      </c>
      <c r="AR455" s="1" t="s">
        <v>1147</v>
      </c>
      <c r="AS455" s="1" t="s">
        <v>1157</v>
      </c>
      <c r="AT455" s="1" t="s">
        <v>329</v>
      </c>
      <c r="AU455" s="1">
        <v>97</v>
      </c>
      <c r="AV455" s="1">
        <v>0</v>
      </c>
      <c r="AW455" s="1" t="s">
        <v>5854</v>
      </c>
      <c r="AX455" s="1" t="s">
        <v>4822</v>
      </c>
      <c r="AY455" s="1">
        <v>5</v>
      </c>
      <c r="AZ455" s="1">
        <v>0</v>
      </c>
      <c r="BA455" s="1" t="s">
        <v>329</v>
      </c>
      <c r="BB455" s="1" t="s">
        <v>329</v>
      </c>
      <c r="BC455" s="1" t="s">
        <v>329</v>
      </c>
      <c r="BD455" s="1">
        <v>0</v>
      </c>
      <c r="BE455" s="1">
        <v>0</v>
      </c>
    </row>
    <row r="456" spans="1:57" x14ac:dyDescent="0.25">
      <c r="A456" s="1">
        <v>9014</v>
      </c>
      <c r="B456" s="1" t="s">
        <v>5917</v>
      </c>
      <c r="C456" s="9" t="s">
        <v>5918</v>
      </c>
      <c r="D456" s="1" t="s">
        <v>3545</v>
      </c>
      <c r="E456" s="1"/>
      <c r="F456" s="1"/>
      <c r="G456" s="1" t="s">
        <v>5919</v>
      </c>
      <c r="H456" s="1" t="s">
        <v>5920</v>
      </c>
      <c r="I456" s="1" t="s">
        <v>5921</v>
      </c>
      <c r="J456" s="1">
        <v>1</v>
      </c>
      <c r="K456" s="1">
        <v>4</v>
      </c>
      <c r="L456" s="1">
        <v>3600</v>
      </c>
      <c r="M456" s="1">
        <v>10</v>
      </c>
      <c r="N456" s="1">
        <v>10</v>
      </c>
      <c r="O456" s="1">
        <v>5</v>
      </c>
      <c r="P456" s="1">
        <v>5</v>
      </c>
      <c r="Q456" s="1">
        <v>2</v>
      </c>
      <c r="R456" s="1">
        <v>2</v>
      </c>
      <c r="S456" s="1">
        <v>2</v>
      </c>
      <c r="T456" s="1">
        <v>0</v>
      </c>
      <c r="U456" s="1">
        <v>757</v>
      </c>
      <c r="V456" s="1">
        <v>160</v>
      </c>
      <c r="W456" s="1">
        <v>65</v>
      </c>
      <c r="X456" s="1">
        <v>100</v>
      </c>
      <c r="Y456" s="1">
        <v>105</v>
      </c>
      <c r="Z456" s="1">
        <v>75</v>
      </c>
      <c r="AA456" s="1">
        <v>0</v>
      </c>
      <c r="AB456" s="1">
        <v>15</v>
      </c>
      <c r="AC456" s="1">
        <v>40</v>
      </c>
      <c r="AD456" s="1">
        <v>0</v>
      </c>
      <c r="AE456" s="1">
        <v>130</v>
      </c>
      <c r="AF456" s="1">
        <v>100</v>
      </c>
      <c r="AG456" s="1">
        <v>700202</v>
      </c>
      <c r="AH456" s="1">
        <v>0</v>
      </c>
      <c r="AI456" s="1">
        <v>700001</v>
      </c>
      <c r="AJ456" s="1" t="s">
        <v>5922</v>
      </c>
      <c r="AK456" s="1" t="s">
        <v>329</v>
      </c>
      <c r="AL456" s="1">
        <v>13</v>
      </c>
      <c r="AM456" s="1" t="s">
        <v>1866</v>
      </c>
      <c r="AN456" s="1" t="s">
        <v>4836</v>
      </c>
      <c r="AO456" s="1" t="s">
        <v>4884</v>
      </c>
      <c r="AP456" s="1">
        <v>0</v>
      </c>
      <c r="AQ456" s="1" t="s">
        <v>5916</v>
      </c>
      <c r="AR456" s="1" t="s">
        <v>1147</v>
      </c>
      <c r="AS456" s="1" t="s">
        <v>1157</v>
      </c>
      <c r="AT456" s="1" t="s">
        <v>329</v>
      </c>
      <c r="AU456" s="1">
        <v>202</v>
      </c>
      <c r="AV456" s="1">
        <v>0</v>
      </c>
      <c r="AW456" s="1" t="s">
        <v>5854</v>
      </c>
      <c r="AX456" s="1" t="s">
        <v>1752</v>
      </c>
      <c r="AY456" s="1">
        <v>4</v>
      </c>
      <c r="AZ456" s="1">
        <v>0</v>
      </c>
      <c r="BA456" s="1" t="s">
        <v>329</v>
      </c>
      <c r="BB456" s="1" t="s">
        <v>329</v>
      </c>
      <c r="BC456" s="1" t="s">
        <v>329</v>
      </c>
      <c r="BD456" s="1">
        <v>0</v>
      </c>
      <c r="BE456" s="1">
        <v>0</v>
      </c>
    </row>
    <row r="457" spans="1:57" x14ac:dyDescent="0.25">
      <c r="A457" s="1">
        <v>9015</v>
      </c>
      <c r="B457" s="1" t="s">
        <v>5923</v>
      </c>
      <c r="C457" s="9" t="s">
        <v>1660</v>
      </c>
      <c r="D457" s="1" t="s">
        <v>1660</v>
      </c>
      <c r="E457" s="1"/>
      <c r="F457" s="1"/>
      <c r="G457" s="1" t="s">
        <v>5924</v>
      </c>
      <c r="H457" s="1" t="s">
        <v>5925</v>
      </c>
      <c r="I457" s="1" t="s">
        <v>5926</v>
      </c>
      <c r="J457" s="1">
        <v>5</v>
      </c>
      <c r="K457" s="1">
        <v>4</v>
      </c>
      <c r="L457" s="1">
        <v>22800</v>
      </c>
      <c r="M457" s="1">
        <v>40</v>
      </c>
      <c r="N457" s="1">
        <v>30</v>
      </c>
      <c r="O457" s="1">
        <v>25</v>
      </c>
      <c r="P457" s="1">
        <v>15</v>
      </c>
      <c r="Q457" s="1">
        <v>5</v>
      </c>
      <c r="R457" s="1">
        <v>5</v>
      </c>
      <c r="S457" s="1">
        <v>2</v>
      </c>
      <c r="T457" s="1">
        <v>5</v>
      </c>
      <c r="U457" s="1">
        <v>303</v>
      </c>
      <c r="V457" s="1">
        <v>115</v>
      </c>
      <c r="W457" s="1">
        <v>115</v>
      </c>
      <c r="X457" s="1">
        <v>100</v>
      </c>
      <c r="Y457" s="1">
        <v>125</v>
      </c>
      <c r="Z457" s="1">
        <v>120</v>
      </c>
      <c r="AA457" s="1">
        <v>0</v>
      </c>
      <c r="AB457" s="1">
        <v>15</v>
      </c>
      <c r="AC457" s="1">
        <v>5</v>
      </c>
      <c r="AD457" s="1">
        <v>10</v>
      </c>
      <c r="AE457" s="1">
        <v>110</v>
      </c>
      <c r="AF457" s="1">
        <v>100</v>
      </c>
      <c r="AG457" s="1">
        <v>700203</v>
      </c>
      <c r="AH457" s="1">
        <v>0</v>
      </c>
      <c r="AI457" s="1">
        <v>700001</v>
      </c>
      <c r="AJ457" s="1" t="s">
        <v>5927</v>
      </c>
      <c r="AK457" s="1" t="s">
        <v>329</v>
      </c>
      <c r="AL457" s="1">
        <v>18</v>
      </c>
      <c r="AM457" s="1" t="s">
        <v>4918</v>
      </c>
      <c r="AN457" s="1" t="s">
        <v>4991</v>
      </c>
      <c r="AO457" s="1" t="s">
        <v>5114</v>
      </c>
      <c r="AP457" s="1">
        <v>0</v>
      </c>
      <c r="AQ457" s="1" t="s">
        <v>1168</v>
      </c>
      <c r="AR457" s="1" t="s">
        <v>5928</v>
      </c>
      <c r="AS457" s="1" t="s">
        <v>5853</v>
      </c>
      <c r="AT457" s="1" t="s">
        <v>329</v>
      </c>
      <c r="AU457" s="1">
        <v>149</v>
      </c>
      <c r="AV457" s="1">
        <v>0</v>
      </c>
      <c r="AW457" s="1" t="s">
        <v>5854</v>
      </c>
      <c r="AX457" s="1" t="s">
        <v>332</v>
      </c>
      <c r="AY457" s="1">
        <v>4</v>
      </c>
      <c r="AZ457" s="1">
        <v>0</v>
      </c>
      <c r="BA457" s="1" t="s">
        <v>329</v>
      </c>
      <c r="BB457" s="1" t="s">
        <v>329</v>
      </c>
      <c r="BC457" s="1" t="s">
        <v>329</v>
      </c>
      <c r="BD457" s="1">
        <v>0</v>
      </c>
      <c r="BE457" s="1">
        <v>0</v>
      </c>
    </row>
    <row r="458" spans="1:57" x14ac:dyDescent="0.25">
      <c r="A458" s="1">
        <v>9016</v>
      </c>
      <c r="B458" s="1" t="s">
        <v>5929</v>
      </c>
      <c r="C458" s="9" t="s">
        <v>156</v>
      </c>
      <c r="D458" s="1" t="s">
        <v>156</v>
      </c>
      <c r="E458" s="1"/>
      <c r="F458" s="1"/>
      <c r="G458" s="1" t="s">
        <v>5930</v>
      </c>
      <c r="H458" s="1" t="s">
        <v>5931</v>
      </c>
      <c r="I458" s="1" t="s">
        <v>5932</v>
      </c>
      <c r="J458" s="1">
        <v>2</v>
      </c>
      <c r="K458" s="1">
        <v>3</v>
      </c>
      <c r="L458" s="1">
        <v>7800</v>
      </c>
      <c r="M458" s="1">
        <v>25</v>
      </c>
      <c r="N458" s="1">
        <v>20</v>
      </c>
      <c r="O458" s="1">
        <v>15</v>
      </c>
      <c r="P458" s="1">
        <v>10</v>
      </c>
      <c r="Q458" s="1">
        <v>5</v>
      </c>
      <c r="R458" s="1">
        <v>5</v>
      </c>
      <c r="S458" s="1">
        <v>2</v>
      </c>
      <c r="T458" s="1">
        <v>0</v>
      </c>
      <c r="U458" s="1">
        <v>284</v>
      </c>
      <c r="V458" s="1">
        <v>110</v>
      </c>
      <c r="W458" s="1">
        <v>120</v>
      </c>
      <c r="X458" s="1">
        <v>100</v>
      </c>
      <c r="Y458" s="1">
        <v>125</v>
      </c>
      <c r="Z458" s="1">
        <v>130</v>
      </c>
      <c r="AA458" s="1">
        <v>0</v>
      </c>
      <c r="AB458" s="1">
        <v>15</v>
      </c>
      <c r="AC458" s="1">
        <v>5</v>
      </c>
      <c r="AD458" s="1">
        <v>0</v>
      </c>
      <c r="AE458" s="1">
        <v>105</v>
      </c>
      <c r="AF458" s="1">
        <v>100</v>
      </c>
      <c r="AG458" s="1">
        <v>700204</v>
      </c>
      <c r="AH458" s="1">
        <v>0</v>
      </c>
      <c r="AI458" s="1">
        <v>700001</v>
      </c>
      <c r="AJ458" s="1" t="s">
        <v>5933</v>
      </c>
      <c r="AK458" s="1" t="s">
        <v>329</v>
      </c>
      <c r="AL458" s="1">
        <v>12</v>
      </c>
      <c r="AM458" s="1" t="s">
        <v>4850</v>
      </c>
      <c r="AN458" s="1" t="s">
        <v>359</v>
      </c>
      <c r="AO458" s="1" t="s">
        <v>5123</v>
      </c>
      <c r="AP458" s="1">
        <v>0</v>
      </c>
      <c r="AQ458" s="1" t="s">
        <v>1157</v>
      </c>
      <c r="AR458" s="1" t="s">
        <v>1147</v>
      </c>
      <c r="AS458" s="1" t="s">
        <v>1158</v>
      </c>
      <c r="AT458" s="1" t="s">
        <v>329</v>
      </c>
      <c r="AU458" s="1">
        <v>176</v>
      </c>
      <c r="AV458" s="1">
        <v>0</v>
      </c>
      <c r="AW458" s="1" t="s">
        <v>5854</v>
      </c>
      <c r="AX458" s="1" t="s">
        <v>1866</v>
      </c>
      <c r="AY458" s="1">
        <v>3</v>
      </c>
      <c r="AZ458" s="1">
        <v>0</v>
      </c>
      <c r="BA458" s="1" t="s">
        <v>329</v>
      </c>
      <c r="BB458" s="1" t="s">
        <v>329</v>
      </c>
      <c r="BC458" s="1" t="s">
        <v>329</v>
      </c>
      <c r="BD458" s="1">
        <v>0</v>
      </c>
      <c r="BE458" s="1">
        <v>0</v>
      </c>
    </row>
    <row r="459" spans="1:57" x14ac:dyDescent="0.25">
      <c r="A459" s="1">
        <v>9017</v>
      </c>
      <c r="B459" s="1" t="s">
        <v>5934</v>
      </c>
      <c r="C459" s="9" t="s">
        <v>168</v>
      </c>
      <c r="D459" s="1" t="s">
        <v>168</v>
      </c>
      <c r="E459" s="1"/>
      <c r="F459" s="1"/>
      <c r="G459" s="1" t="s">
        <v>5935</v>
      </c>
      <c r="H459" s="1" t="s">
        <v>5936</v>
      </c>
      <c r="I459" s="1" t="s">
        <v>5937</v>
      </c>
      <c r="J459" s="1">
        <v>4</v>
      </c>
      <c r="K459" s="1">
        <v>5</v>
      </c>
      <c r="L459" s="1">
        <v>13920</v>
      </c>
      <c r="M459" s="1">
        <v>20</v>
      </c>
      <c r="N459" s="1">
        <v>20</v>
      </c>
      <c r="O459" s="1">
        <v>10</v>
      </c>
      <c r="P459" s="1">
        <v>10</v>
      </c>
      <c r="Q459" s="1">
        <v>2</v>
      </c>
      <c r="R459" s="1">
        <v>5</v>
      </c>
      <c r="S459" s="1">
        <v>5</v>
      </c>
      <c r="T459" s="1">
        <v>0</v>
      </c>
      <c r="U459" s="1">
        <v>454</v>
      </c>
      <c r="V459" s="1">
        <v>115</v>
      </c>
      <c r="W459" s="1">
        <v>120</v>
      </c>
      <c r="X459" s="1">
        <v>100</v>
      </c>
      <c r="Y459" s="1">
        <v>130</v>
      </c>
      <c r="Z459" s="1">
        <v>108</v>
      </c>
      <c r="AA459" s="1">
        <v>0</v>
      </c>
      <c r="AB459" s="1">
        <v>15</v>
      </c>
      <c r="AC459" s="1">
        <v>20</v>
      </c>
      <c r="AD459" s="1">
        <v>0</v>
      </c>
      <c r="AE459" s="1">
        <v>111</v>
      </c>
      <c r="AF459" s="1">
        <v>100</v>
      </c>
      <c r="AG459" s="1">
        <v>700201</v>
      </c>
      <c r="AH459" s="1">
        <v>0</v>
      </c>
      <c r="AI459" s="1">
        <v>700001</v>
      </c>
      <c r="AJ459" s="1" t="s">
        <v>5915</v>
      </c>
      <c r="AK459" s="1" t="s">
        <v>329</v>
      </c>
      <c r="AL459" s="1">
        <v>13</v>
      </c>
      <c r="AM459" s="1" t="s">
        <v>4779</v>
      </c>
      <c r="AN459" s="1" t="s">
        <v>4894</v>
      </c>
      <c r="AO459" s="1" t="s">
        <v>5062</v>
      </c>
      <c r="AP459" s="1">
        <v>0</v>
      </c>
      <c r="AQ459" s="1" t="s">
        <v>1158</v>
      </c>
      <c r="AR459" s="1" t="s">
        <v>1182</v>
      </c>
      <c r="AS459" s="1" t="s">
        <v>1157</v>
      </c>
      <c r="AT459" s="1" t="s">
        <v>329</v>
      </c>
      <c r="AU459" s="1">
        <v>194</v>
      </c>
      <c r="AV459" s="1">
        <v>0</v>
      </c>
      <c r="AW459" s="1" t="s">
        <v>5854</v>
      </c>
      <c r="AX459" s="1" t="s">
        <v>332</v>
      </c>
      <c r="AY459" s="1">
        <v>5</v>
      </c>
      <c r="AZ459" s="1">
        <v>0</v>
      </c>
      <c r="BA459" s="1" t="s">
        <v>329</v>
      </c>
      <c r="BB459" s="1" t="s">
        <v>329</v>
      </c>
      <c r="BC459" s="1" t="s">
        <v>329</v>
      </c>
      <c r="BD459" s="1">
        <v>0</v>
      </c>
      <c r="BE459" s="1">
        <v>0</v>
      </c>
    </row>
    <row r="460" spans="1:57" x14ac:dyDescent="0.25">
      <c r="A460" s="1">
        <v>9018</v>
      </c>
      <c r="B460" s="1" t="s">
        <v>5938</v>
      </c>
      <c r="C460" s="9" t="s">
        <v>5918</v>
      </c>
      <c r="D460" s="1" t="s">
        <v>3545</v>
      </c>
      <c r="E460" s="1"/>
      <c r="F460" s="1"/>
      <c r="G460" s="1" t="s">
        <v>5939</v>
      </c>
      <c r="H460" s="1" t="s">
        <v>5940</v>
      </c>
      <c r="I460" s="1" t="s">
        <v>5941</v>
      </c>
      <c r="J460" s="1">
        <v>1</v>
      </c>
      <c r="K460" s="1">
        <v>4</v>
      </c>
      <c r="L460" s="1">
        <v>3600</v>
      </c>
      <c r="M460" s="1">
        <v>10</v>
      </c>
      <c r="N460" s="1">
        <v>10</v>
      </c>
      <c r="O460" s="1">
        <v>5</v>
      </c>
      <c r="P460" s="1">
        <v>5</v>
      </c>
      <c r="Q460" s="1">
        <v>2</v>
      </c>
      <c r="R460" s="1">
        <v>2</v>
      </c>
      <c r="S460" s="1">
        <v>2</v>
      </c>
      <c r="T460" s="1">
        <v>0</v>
      </c>
      <c r="U460" s="1">
        <v>757</v>
      </c>
      <c r="V460" s="1">
        <v>160</v>
      </c>
      <c r="W460" s="1">
        <v>65</v>
      </c>
      <c r="X460" s="1">
        <v>100</v>
      </c>
      <c r="Y460" s="1">
        <v>105</v>
      </c>
      <c r="Z460" s="1">
        <v>75</v>
      </c>
      <c r="AA460" s="1">
        <v>0</v>
      </c>
      <c r="AB460" s="1">
        <v>15</v>
      </c>
      <c r="AC460" s="1">
        <v>40</v>
      </c>
      <c r="AD460" s="1">
        <v>0</v>
      </c>
      <c r="AE460" s="1">
        <v>130</v>
      </c>
      <c r="AF460" s="1">
        <v>100</v>
      </c>
      <c r="AG460" s="1">
        <v>700202</v>
      </c>
      <c r="AH460" s="1">
        <v>0</v>
      </c>
      <c r="AI460" s="1">
        <v>700001</v>
      </c>
      <c r="AJ460" s="1" t="s">
        <v>5922</v>
      </c>
      <c r="AK460" s="1" t="s">
        <v>329</v>
      </c>
      <c r="AL460" s="1">
        <v>13</v>
      </c>
      <c r="AM460" s="1" t="s">
        <v>1866</v>
      </c>
      <c r="AN460" s="1" t="s">
        <v>4836</v>
      </c>
      <c r="AO460" s="1" t="s">
        <v>4884</v>
      </c>
      <c r="AP460" s="1">
        <v>0</v>
      </c>
      <c r="AQ460" s="1" t="s">
        <v>5916</v>
      </c>
      <c r="AR460" s="1" t="s">
        <v>1147</v>
      </c>
      <c r="AS460" s="1" t="s">
        <v>1157</v>
      </c>
      <c r="AT460" s="1" t="s">
        <v>329</v>
      </c>
      <c r="AU460" s="1">
        <v>202</v>
      </c>
      <c r="AV460" s="1">
        <v>0</v>
      </c>
      <c r="AW460" s="1" t="s">
        <v>5854</v>
      </c>
      <c r="AX460" s="1" t="s">
        <v>1752</v>
      </c>
      <c r="AY460" s="1">
        <v>4</v>
      </c>
      <c r="AZ460" s="1">
        <v>0</v>
      </c>
      <c r="BA460" s="1" t="s">
        <v>329</v>
      </c>
      <c r="BB460" s="1" t="s">
        <v>329</v>
      </c>
      <c r="BC460" s="1" t="s">
        <v>329</v>
      </c>
      <c r="BD460" s="1">
        <v>0</v>
      </c>
      <c r="BE460" s="1">
        <v>0</v>
      </c>
    </row>
    <row r="461" spans="1:57" x14ac:dyDescent="0.25">
      <c r="A461" s="1">
        <v>9019</v>
      </c>
      <c r="B461" s="1" t="s">
        <v>5942</v>
      </c>
      <c r="C461" s="9" t="s">
        <v>1660</v>
      </c>
      <c r="D461" s="1" t="s">
        <v>1660</v>
      </c>
      <c r="E461" s="1"/>
      <c r="F461" s="1"/>
      <c r="G461" s="1" t="s">
        <v>5943</v>
      </c>
      <c r="H461" s="1" t="s">
        <v>5944</v>
      </c>
      <c r="I461" s="1" t="s">
        <v>5945</v>
      </c>
      <c r="J461" s="1">
        <v>5</v>
      </c>
      <c r="K461" s="1">
        <v>4</v>
      </c>
      <c r="L461" s="1">
        <v>22800</v>
      </c>
      <c r="M461" s="1">
        <v>40</v>
      </c>
      <c r="N461" s="1">
        <v>30</v>
      </c>
      <c r="O461" s="1">
        <v>25</v>
      </c>
      <c r="P461" s="1">
        <v>15</v>
      </c>
      <c r="Q461" s="1">
        <v>5</v>
      </c>
      <c r="R461" s="1">
        <v>5</v>
      </c>
      <c r="S461" s="1">
        <v>2</v>
      </c>
      <c r="T461" s="1">
        <v>5</v>
      </c>
      <c r="U461" s="1">
        <v>303</v>
      </c>
      <c r="V461" s="1">
        <v>115</v>
      </c>
      <c r="W461" s="1">
        <v>115</v>
      </c>
      <c r="X461" s="1">
        <v>100</v>
      </c>
      <c r="Y461" s="1">
        <v>125</v>
      </c>
      <c r="Z461" s="1">
        <v>120</v>
      </c>
      <c r="AA461" s="1">
        <v>0</v>
      </c>
      <c r="AB461" s="1">
        <v>15</v>
      </c>
      <c r="AC461" s="1">
        <v>5</v>
      </c>
      <c r="AD461" s="1">
        <v>10</v>
      </c>
      <c r="AE461" s="1">
        <v>110</v>
      </c>
      <c r="AF461" s="1">
        <v>100</v>
      </c>
      <c r="AG461" s="1">
        <v>700203</v>
      </c>
      <c r="AH461" s="1">
        <v>0</v>
      </c>
      <c r="AI461" s="1">
        <v>700001</v>
      </c>
      <c r="AJ461" s="1" t="s">
        <v>5927</v>
      </c>
      <c r="AK461" s="1" t="s">
        <v>329</v>
      </c>
      <c r="AL461" s="1">
        <v>18</v>
      </c>
      <c r="AM461" s="1" t="s">
        <v>4918</v>
      </c>
      <c r="AN461" s="1" t="s">
        <v>4991</v>
      </c>
      <c r="AO461" s="1" t="s">
        <v>5114</v>
      </c>
      <c r="AP461" s="1">
        <v>0</v>
      </c>
      <c r="AQ461" s="1" t="s">
        <v>1168</v>
      </c>
      <c r="AR461" s="1" t="s">
        <v>5928</v>
      </c>
      <c r="AS461" s="1" t="s">
        <v>5853</v>
      </c>
      <c r="AT461" s="1" t="s">
        <v>329</v>
      </c>
      <c r="AU461" s="1">
        <v>149</v>
      </c>
      <c r="AV461" s="1">
        <v>0</v>
      </c>
      <c r="AW461" s="1" t="s">
        <v>5854</v>
      </c>
      <c r="AX461" s="1" t="s">
        <v>332</v>
      </c>
      <c r="AY461" s="1">
        <v>4</v>
      </c>
      <c r="AZ461" s="1">
        <v>0</v>
      </c>
      <c r="BA461" s="1" t="s">
        <v>329</v>
      </c>
      <c r="BB461" s="1" t="s">
        <v>329</v>
      </c>
      <c r="BC461" s="1" t="s">
        <v>329</v>
      </c>
      <c r="BD461" s="1">
        <v>0</v>
      </c>
      <c r="BE461" s="1">
        <v>0</v>
      </c>
    </row>
    <row r="462" spans="1:57" x14ac:dyDescent="0.25">
      <c r="A462" s="1">
        <v>9020</v>
      </c>
      <c r="B462" s="1" t="s">
        <v>5946</v>
      </c>
      <c r="C462" s="9" t="s">
        <v>156</v>
      </c>
      <c r="D462" s="1" t="s">
        <v>156</v>
      </c>
      <c r="E462" s="1"/>
      <c r="F462" s="1"/>
      <c r="G462" s="1" t="s">
        <v>5947</v>
      </c>
      <c r="H462" s="1" t="s">
        <v>5948</v>
      </c>
      <c r="I462" s="1" t="s">
        <v>5949</v>
      </c>
      <c r="J462" s="1">
        <v>2</v>
      </c>
      <c r="K462" s="1">
        <v>3</v>
      </c>
      <c r="L462" s="1">
        <v>7800</v>
      </c>
      <c r="M462" s="1">
        <v>25</v>
      </c>
      <c r="N462" s="1">
        <v>20</v>
      </c>
      <c r="O462" s="1">
        <v>15</v>
      </c>
      <c r="P462" s="1">
        <v>10</v>
      </c>
      <c r="Q462" s="1">
        <v>5</v>
      </c>
      <c r="R462" s="1">
        <v>5</v>
      </c>
      <c r="S462" s="1">
        <v>2</v>
      </c>
      <c r="T462" s="1">
        <v>0</v>
      </c>
      <c r="U462" s="1">
        <v>284</v>
      </c>
      <c r="V462" s="1">
        <v>110</v>
      </c>
      <c r="W462" s="1">
        <v>120</v>
      </c>
      <c r="X462" s="1">
        <v>100</v>
      </c>
      <c r="Y462" s="1">
        <v>125</v>
      </c>
      <c r="Z462" s="1">
        <v>130</v>
      </c>
      <c r="AA462" s="1">
        <v>0</v>
      </c>
      <c r="AB462" s="1">
        <v>15</v>
      </c>
      <c r="AC462" s="1">
        <v>5</v>
      </c>
      <c r="AD462" s="1">
        <v>0</v>
      </c>
      <c r="AE462" s="1">
        <v>105</v>
      </c>
      <c r="AF462" s="1">
        <v>100</v>
      </c>
      <c r="AG462" s="1">
        <v>700204</v>
      </c>
      <c r="AH462" s="1">
        <v>0</v>
      </c>
      <c r="AI462" s="1">
        <v>700001</v>
      </c>
      <c r="AJ462" s="1" t="s">
        <v>5933</v>
      </c>
      <c r="AK462" s="1" t="s">
        <v>329</v>
      </c>
      <c r="AL462" s="1">
        <v>12</v>
      </c>
      <c r="AM462" s="1" t="s">
        <v>4850</v>
      </c>
      <c r="AN462" s="1" t="s">
        <v>359</v>
      </c>
      <c r="AO462" s="1" t="s">
        <v>5123</v>
      </c>
      <c r="AP462" s="1">
        <v>0</v>
      </c>
      <c r="AQ462" s="1" t="s">
        <v>1157</v>
      </c>
      <c r="AR462" s="1" t="s">
        <v>1147</v>
      </c>
      <c r="AS462" s="1" t="s">
        <v>1158</v>
      </c>
      <c r="AT462" s="1" t="s">
        <v>329</v>
      </c>
      <c r="AU462" s="1">
        <v>176</v>
      </c>
      <c r="AV462" s="1">
        <v>0</v>
      </c>
      <c r="AW462" s="1" t="s">
        <v>5854</v>
      </c>
      <c r="AX462" s="1" t="s">
        <v>1866</v>
      </c>
      <c r="AY462" s="1">
        <v>3</v>
      </c>
      <c r="AZ462" s="1">
        <v>0</v>
      </c>
      <c r="BA462" s="1" t="s">
        <v>329</v>
      </c>
      <c r="BB462" s="1" t="s">
        <v>329</v>
      </c>
      <c r="BC462" s="1" t="s">
        <v>329</v>
      </c>
      <c r="BD462" s="1">
        <v>0</v>
      </c>
      <c r="BE462" s="1">
        <v>0</v>
      </c>
    </row>
    <row r="463" spans="1:57" x14ac:dyDescent="0.25">
      <c r="A463" s="1">
        <v>9021</v>
      </c>
      <c r="B463" s="1" t="s">
        <v>5950</v>
      </c>
      <c r="C463" s="9" t="s">
        <v>168</v>
      </c>
      <c r="D463" s="1" t="s">
        <v>168</v>
      </c>
      <c r="E463" s="1"/>
      <c r="F463" s="1"/>
      <c r="G463" s="1" t="s">
        <v>5951</v>
      </c>
      <c r="H463" s="1" t="s">
        <v>5952</v>
      </c>
      <c r="I463" s="1" t="s">
        <v>5953</v>
      </c>
      <c r="J463" s="1">
        <v>4</v>
      </c>
      <c r="K463" s="1">
        <v>5</v>
      </c>
      <c r="L463" s="1">
        <v>13920</v>
      </c>
      <c r="M463" s="1">
        <v>20</v>
      </c>
      <c r="N463" s="1">
        <v>20</v>
      </c>
      <c r="O463" s="1">
        <v>10</v>
      </c>
      <c r="P463" s="1">
        <v>10</v>
      </c>
      <c r="Q463" s="1">
        <v>2</v>
      </c>
      <c r="R463" s="1">
        <v>5</v>
      </c>
      <c r="S463" s="1">
        <v>5</v>
      </c>
      <c r="T463" s="1">
        <v>0</v>
      </c>
      <c r="U463" s="1">
        <v>909</v>
      </c>
      <c r="V463" s="1">
        <v>115</v>
      </c>
      <c r="W463" s="1">
        <v>120</v>
      </c>
      <c r="X463" s="1">
        <v>100</v>
      </c>
      <c r="Y463" s="1">
        <v>130</v>
      </c>
      <c r="Z463" s="1">
        <v>108</v>
      </c>
      <c r="AA463" s="1">
        <v>0</v>
      </c>
      <c r="AB463" s="1">
        <v>15</v>
      </c>
      <c r="AC463" s="1">
        <v>20</v>
      </c>
      <c r="AD463" s="1">
        <v>0</v>
      </c>
      <c r="AE463" s="1">
        <v>111</v>
      </c>
      <c r="AF463" s="1">
        <v>100</v>
      </c>
      <c r="AG463" s="1">
        <v>700201</v>
      </c>
      <c r="AH463" s="1">
        <v>0</v>
      </c>
      <c r="AI463" s="1">
        <v>700001</v>
      </c>
      <c r="AJ463" s="1" t="s">
        <v>5915</v>
      </c>
      <c r="AK463" s="1" t="s">
        <v>329</v>
      </c>
      <c r="AL463" s="1">
        <v>13</v>
      </c>
      <c r="AM463" s="1" t="s">
        <v>4779</v>
      </c>
      <c r="AN463" s="1" t="s">
        <v>4894</v>
      </c>
      <c r="AO463" s="1" t="s">
        <v>5062</v>
      </c>
      <c r="AP463" s="1">
        <v>0</v>
      </c>
      <c r="AQ463" s="1" t="s">
        <v>1158</v>
      </c>
      <c r="AR463" s="1" t="s">
        <v>1182</v>
      </c>
      <c r="AS463" s="1" t="s">
        <v>1157</v>
      </c>
      <c r="AT463" s="1" t="s">
        <v>329</v>
      </c>
      <c r="AU463" s="1">
        <v>194</v>
      </c>
      <c r="AV463" s="1">
        <v>0</v>
      </c>
      <c r="AW463" s="1" t="s">
        <v>5854</v>
      </c>
      <c r="AX463" s="1" t="s">
        <v>332</v>
      </c>
      <c r="AY463" s="1">
        <v>5</v>
      </c>
      <c r="AZ463" s="1">
        <v>0</v>
      </c>
      <c r="BA463" s="1" t="s">
        <v>329</v>
      </c>
      <c r="BB463" s="1" t="s">
        <v>329</v>
      </c>
      <c r="BC463" s="1" t="s">
        <v>329</v>
      </c>
      <c r="BD463" s="1">
        <v>0</v>
      </c>
      <c r="BE463" s="1">
        <v>0</v>
      </c>
    </row>
    <row r="464" spans="1:57" x14ac:dyDescent="0.25">
      <c r="A464" s="1">
        <v>9022</v>
      </c>
      <c r="B464" s="1" t="s">
        <v>5954</v>
      </c>
      <c r="C464" s="9" t="s">
        <v>121</v>
      </c>
      <c r="D464" s="1" t="s">
        <v>121</v>
      </c>
      <c r="E464" s="1"/>
      <c r="F464" s="1"/>
      <c r="G464" s="1" t="s">
        <v>5955</v>
      </c>
      <c r="H464" s="1" t="s">
        <v>5956</v>
      </c>
      <c r="I464" s="1" t="s">
        <v>5957</v>
      </c>
      <c r="J464" s="1">
        <v>1</v>
      </c>
      <c r="K464" s="1">
        <v>5</v>
      </c>
      <c r="L464" s="1">
        <v>3900</v>
      </c>
      <c r="M464" s="1">
        <v>10</v>
      </c>
      <c r="N464" s="1">
        <v>10</v>
      </c>
      <c r="O464" s="1">
        <v>5</v>
      </c>
      <c r="P464" s="1">
        <v>5</v>
      </c>
      <c r="Q464" s="1">
        <v>2</v>
      </c>
      <c r="R464" s="1">
        <v>2</v>
      </c>
      <c r="S464" s="1">
        <v>2</v>
      </c>
      <c r="T464" s="1">
        <v>0</v>
      </c>
      <c r="U464" s="1">
        <v>1515</v>
      </c>
      <c r="V464" s="1">
        <v>110</v>
      </c>
      <c r="W464" s="1">
        <v>135</v>
      </c>
      <c r="X464" s="1">
        <v>100</v>
      </c>
      <c r="Y464" s="1">
        <v>115</v>
      </c>
      <c r="Z464" s="1">
        <v>95</v>
      </c>
      <c r="AA464" s="1">
        <v>0</v>
      </c>
      <c r="AB464" s="1">
        <v>15</v>
      </c>
      <c r="AC464" s="1">
        <v>20</v>
      </c>
      <c r="AD464" s="1">
        <v>0</v>
      </c>
      <c r="AE464" s="1">
        <v>115</v>
      </c>
      <c r="AF464" s="1">
        <v>100</v>
      </c>
      <c r="AG464" s="1">
        <v>700202</v>
      </c>
      <c r="AH464" s="1">
        <v>0</v>
      </c>
      <c r="AI464" s="1">
        <v>700001</v>
      </c>
      <c r="AJ464" s="1" t="s">
        <v>5922</v>
      </c>
      <c r="AK464" s="1" t="s">
        <v>329</v>
      </c>
      <c r="AL464" s="1">
        <v>13</v>
      </c>
      <c r="AM464" s="1" t="s">
        <v>1866</v>
      </c>
      <c r="AN464" s="1" t="s">
        <v>4844</v>
      </c>
      <c r="AO464" s="1" t="s">
        <v>4877</v>
      </c>
      <c r="AP464" s="1">
        <v>0</v>
      </c>
      <c r="AQ464" s="1" t="s">
        <v>5916</v>
      </c>
      <c r="AR464" s="1" t="s">
        <v>1147</v>
      </c>
      <c r="AS464" s="1" t="s">
        <v>1157</v>
      </c>
      <c r="AT464" s="1" t="s">
        <v>329</v>
      </c>
      <c r="AU464" s="1">
        <v>97</v>
      </c>
      <c r="AV464" s="1">
        <v>0</v>
      </c>
      <c r="AW464" s="1" t="s">
        <v>5854</v>
      </c>
      <c r="AX464" s="1" t="s">
        <v>4822</v>
      </c>
      <c r="AY464" s="1">
        <v>5</v>
      </c>
      <c r="AZ464" s="1">
        <v>0</v>
      </c>
      <c r="BA464" s="1" t="s">
        <v>329</v>
      </c>
      <c r="BB464" s="1" t="s">
        <v>329</v>
      </c>
      <c r="BC464" s="1" t="s">
        <v>329</v>
      </c>
      <c r="BD464" s="1">
        <v>0</v>
      </c>
      <c r="BE464" s="1">
        <v>0</v>
      </c>
    </row>
    <row r="465" spans="1:57" x14ac:dyDescent="0.25">
      <c r="A465" s="1">
        <v>9023</v>
      </c>
      <c r="B465" s="1" t="s">
        <v>5958</v>
      </c>
      <c r="C465" s="9" t="s">
        <v>5918</v>
      </c>
      <c r="D465" s="1" t="s">
        <v>3545</v>
      </c>
      <c r="E465" s="1"/>
      <c r="F465" s="1"/>
      <c r="G465" s="1" t="s">
        <v>5959</v>
      </c>
      <c r="H465" s="1" t="s">
        <v>5960</v>
      </c>
      <c r="I465" s="1" t="s">
        <v>5961</v>
      </c>
      <c r="J465" s="1">
        <v>1</v>
      </c>
      <c r="K465" s="1">
        <v>4</v>
      </c>
      <c r="L465" s="1">
        <v>3600</v>
      </c>
      <c r="M465" s="1">
        <v>10</v>
      </c>
      <c r="N465" s="1">
        <v>10</v>
      </c>
      <c r="O465" s="1">
        <v>5</v>
      </c>
      <c r="P465" s="1">
        <v>5</v>
      </c>
      <c r="Q465" s="1">
        <v>2</v>
      </c>
      <c r="R465" s="1">
        <v>2</v>
      </c>
      <c r="S465" s="1">
        <v>2</v>
      </c>
      <c r="T465" s="1">
        <v>0</v>
      </c>
      <c r="U465" s="1">
        <v>1515</v>
      </c>
      <c r="V465" s="1">
        <v>160</v>
      </c>
      <c r="W465" s="1">
        <v>65</v>
      </c>
      <c r="X465" s="1">
        <v>100</v>
      </c>
      <c r="Y465" s="1">
        <v>105</v>
      </c>
      <c r="Z465" s="1">
        <v>75</v>
      </c>
      <c r="AA465" s="1">
        <v>0</v>
      </c>
      <c r="AB465" s="1">
        <v>15</v>
      </c>
      <c r="AC465" s="1">
        <v>40</v>
      </c>
      <c r="AD465" s="1">
        <v>0</v>
      </c>
      <c r="AE465" s="1">
        <v>130</v>
      </c>
      <c r="AF465" s="1">
        <v>100</v>
      </c>
      <c r="AG465" s="1">
        <v>700203</v>
      </c>
      <c r="AH465" s="1">
        <v>0</v>
      </c>
      <c r="AI465" s="1">
        <v>700001</v>
      </c>
      <c r="AJ465" s="1" t="s">
        <v>5927</v>
      </c>
      <c r="AK465" s="1" t="s">
        <v>329</v>
      </c>
      <c r="AL465" s="1">
        <v>13</v>
      </c>
      <c r="AM465" s="1" t="s">
        <v>1866</v>
      </c>
      <c r="AN465" s="1" t="s">
        <v>4836</v>
      </c>
      <c r="AO465" s="1" t="s">
        <v>4884</v>
      </c>
      <c r="AP465" s="1">
        <v>0</v>
      </c>
      <c r="AQ465" s="1" t="s">
        <v>5916</v>
      </c>
      <c r="AR465" s="1" t="s">
        <v>1147</v>
      </c>
      <c r="AS465" s="1" t="s">
        <v>1157</v>
      </c>
      <c r="AT465" s="1" t="s">
        <v>329</v>
      </c>
      <c r="AU465" s="1">
        <v>202</v>
      </c>
      <c r="AV465" s="1">
        <v>0</v>
      </c>
      <c r="AW465" s="1" t="s">
        <v>5854</v>
      </c>
      <c r="AX465" s="1" t="s">
        <v>1752</v>
      </c>
      <c r="AY465" s="1">
        <v>4</v>
      </c>
      <c r="AZ465" s="1">
        <v>0</v>
      </c>
      <c r="BA465" s="1" t="s">
        <v>329</v>
      </c>
      <c r="BB465" s="1" t="s">
        <v>329</v>
      </c>
      <c r="BC465" s="1" t="s">
        <v>329</v>
      </c>
      <c r="BD465" s="1">
        <v>0</v>
      </c>
      <c r="BE465" s="1">
        <v>0</v>
      </c>
    </row>
    <row r="466" spans="1:57" x14ac:dyDescent="0.25">
      <c r="A466" s="1">
        <v>9024</v>
      </c>
      <c r="B466" s="1" t="s">
        <v>5962</v>
      </c>
      <c r="C466" s="9" t="s">
        <v>1660</v>
      </c>
      <c r="D466" s="1" t="s">
        <v>1660</v>
      </c>
      <c r="E466" s="1"/>
      <c r="F466" s="1"/>
      <c r="G466" s="1" t="s">
        <v>5963</v>
      </c>
      <c r="H466" s="1" t="s">
        <v>5964</v>
      </c>
      <c r="I466" s="1" t="s">
        <v>5965</v>
      </c>
      <c r="J466" s="1">
        <v>5</v>
      </c>
      <c r="K466" s="1">
        <v>4</v>
      </c>
      <c r="L466" s="1">
        <v>22800</v>
      </c>
      <c r="M466" s="1">
        <v>40</v>
      </c>
      <c r="N466" s="1">
        <v>30</v>
      </c>
      <c r="O466" s="1">
        <v>25</v>
      </c>
      <c r="P466" s="1">
        <v>15</v>
      </c>
      <c r="Q466" s="1">
        <v>5</v>
      </c>
      <c r="R466" s="1">
        <v>5</v>
      </c>
      <c r="S466" s="1">
        <v>2</v>
      </c>
      <c r="T466" s="1">
        <v>5</v>
      </c>
      <c r="U466" s="1">
        <v>606</v>
      </c>
      <c r="V466" s="1">
        <v>115</v>
      </c>
      <c r="W466" s="1">
        <v>115</v>
      </c>
      <c r="X466" s="1">
        <v>100</v>
      </c>
      <c r="Y466" s="1">
        <v>125</v>
      </c>
      <c r="Z466" s="1">
        <v>120</v>
      </c>
      <c r="AA466" s="1">
        <v>0</v>
      </c>
      <c r="AB466" s="1">
        <v>15</v>
      </c>
      <c r="AC466" s="1">
        <v>5</v>
      </c>
      <c r="AD466" s="1">
        <v>10</v>
      </c>
      <c r="AE466" s="1">
        <v>110</v>
      </c>
      <c r="AF466" s="1">
        <v>100</v>
      </c>
      <c r="AG466" s="1">
        <v>700204</v>
      </c>
      <c r="AH466" s="1">
        <v>0</v>
      </c>
      <c r="AI466" s="1">
        <v>700001</v>
      </c>
      <c r="AJ466" s="1" t="s">
        <v>5933</v>
      </c>
      <c r="AK466" s="1" t="s">
        <v>329</v>
      </c>
      <c r="AL466" s="1">
        <v>18</v>
      </c>
      <c r="AM466" s="1" t="s">
        <v>4918</v>
      </c>
      <c r="AN466" s="1" t="s">
        <v>4991</v>
      </c>
      <c r="AO466" s="1" t="s">
        <v>5114</v>
      </c>
      <c r="AP466" s="1">
        <v>0</v>
      </c>
      <c r="AQ466" s="1" t="s">
        <v>1168</v>
      </c>
      <c r="AR466" s="1" t="s">
        <v>5928</v>
      </c>
      <c r="AS466" s="1" t="s">
        <v>5853</v>
      </c>
      <c r="AT466" s="1" t="s">
        <v>329</v>
      </c>
      <c r="AU466" s="1">
        <v>149</v>
      </c>
      <c r="AV466" s="1">
        <v>0</v>
      </c>
      <c r="AW466" s="1" t="s">
        <v>5854</v>
      </c>
      <c r="AX466" s="1" t="s">
        <v>332</v>
      </c>
      <c r="AY466" s="1">
        <v>4</v>
      </c>
      <c r="AZ466" s="1">
        <v>0</v>
      </c>
      <c r="BA466" s="1" t="s">
        <v>329</v>
      </c>
      <c r="BB466" s="1" t="s">
        <v>329</v>
      </c>
      <c r="BC466" s="1" t="s">
        <v>329</v>
      </c>
      <c r="BD466" s="1">
        <v>0</v>
      </c>
      <c r="BE466" s="1">
        <v>0</v>
      </c>
    </row>
    <row r="467" spans="1:57" x14ac:dyDescent="0.25">
      <c r="A467" s="1">
        <v>9025</v>
      </c>
      <c r="B467" s="1" t="s">
        <v>5966</v>
      </c>
      <c r="C467" s="9" t="s">
        <v>168</v>
      </c>
      <c r="D467" s="1" t="s">
        <v>168</v>
      </c>
      <c r="E467" s="1"/>
      <c r="F467" s="1"/>
      <c r="G467" s="1" t="s">
        <v>5967</v>
      </c>
      <c r="H467" s="1" t="s">
        <v>5968</v>
      </c>
      <c r="I467" s="1" t="s">
        <v>5969</v>
      </c>
      <c r="J467" s="1">
        <v>4</v>
      </c>
      <c r="K467" s="1">
        <v>5</v>
      </c>
      <c r="L467" s="1">
        <v>13920</v>
      </c>
      <c r="M467" s="1">
        <v>20</v>
      </c>
      <c r="N467" s="1">
        <v>20</v>
      </c>
      <c r="O467" s="1">
        <v>10</v>
      </c>
      <c r="P467" s="1">
        <v>10</v>
      </c>
      <c r="Q467" s="1">
        <v>2</v>
      </c>
      <c r="R467" s="1">
        <v>5</v>
      </c>
      <c r="S467" s="1">
        <v>5</v>
      </c>
      <c r="T467" s="1">
        <v>0</v>
      </c>
      <c r="U467" s="1">
        <v>909</v>
      </c>
      <c r="V467" s="1">
        <v>115</v>
      </c>
      <c r="W467" s="1">
        <v>120</v>
      </c>
      <c r="X467" s="1">
        <v>100</v>
      </c>
      <c r="Y467" s="1">
        <v>130</v>
      </c>
      <c r="Z467" s="1">
        <v>108</v>
      </c>
      <c r="AA467" s="1">
        <v>0</v>
      </c>
      <c r="AB467" s="1">
        <v>15</v>
      </c>
      <c r="AC467" s="1">
        <v>20</v>
      </c>
      <c r="AD467" s="1">
        <v>0</v>
      </c>
      <c r="AE467" s="1">
        <v>111</v>
      </c>
      <c r="AF467" s="1">
        <v>100</v>
      </c>
      <c r="AG467" s="1">
        <v>700201</v>
      </c>
      <c r="AH467" s="1">
        <v>0</v>
      </c>
      <c r="AI467" s="1">
        <v>700001</v>
      </c>
      <c r="AJ467" s="1" t="s">
        <v>5915</v>
      </c>
      <c r="AK467" s="1" t="s">
        <v>329</v>
      </c>
      <c r="AL467" s="1">
        <v>13</v>
      </c>
      <c r="AM467" s="1" t="s">
        <v>4779</v>
      </c>
      <c r="AN467" s="1" t="s">
        <v>4894</v>
      </c>
      <c r="AO467" s="1" t="s">
        <v>5062</v>
      </c>
      <c r="AP467" s="1">
        <v>0</v>
      </c>
      <c r="AQ467" s="1" t="s">
        <v>1158</v>
      </c>
      <c r="AR467" s="1" t="s">
        <v>1182</v>
      </c>
      <c r="AS467" s="1" t="s">
        <v>1157</v>
      </c>
      <c r="AT467" s="1" t="s">
        <v>329</v>
      </c>
      <c r="AU467" s="1">
        <v>194</v>
      </c>
      <c r="AV467" s="1">
        <v>0</v>
      </c>
      <c r="AW467" s="1" t="s">
        <v>5854</v>
      </c>
      <c r="AX467" s="1" t="s">
        <v>332</v>
      </c>
      <c r="AY467" s="1">
        <v>5</v>
      </c>
      <c r="AZ467" s="1">
        <v>0</v>
      </c>
      <c r="BA467" s="1" t="s">
        <v>329</v>
      </c>
      <c r="BB467" s="1" t="s">
        <v>329</v>
      </c>
      <c r="BC467" s="1" t="s">
        <v>329</v>
      </c>
      <c r="BD467" s="1">
        <v>0</v>
      </c>
      <c r="BE467" s="1">
        <v>0</v>
      </c>
    </row>
    <row r="468" spans="1:57" x14ac:dyDescent="0.25">
      <c r="A468" s="1">
        <v>9026</v>
      </c>
      <c r="B468" s="1" t="s">
        <v>5970</v>
      </c>
      <c r="C468" s="9" t="s">
        <v>121</v>
      </c>
      <c r="D468" s="1" t="s">
        <v>121</v>
      </c>
      <c r="E468" s="1"/>
      <c r="F468" s="1"/>
      <c r="G468" s="1" t="s">
        <v>5971</v>
      </c>
      <c r="H468" s="1" t="s">
        <v>5972</v>
      </c>
      <c r="I468" s="1" t="s">
        <v>5973</v>
      </c>
      <c r="J468" s="1">
        <v>1</v>
      </c>
      <c r="K468" s="1">
        <v>5</v>
      </c>
      <c r="L468" s="1">
        <v>3900</v>
      </c>
      <c r="M468" s="1">
        <v>10</v>
      </c>
      <c r="N468" s="1">
        <v>10</v>
      </c>
      <c r="O468" s="1">
        <v>5</v>
      </c>
      <c r="P468" s="1">
        <v>5</v>
      </c>
      <c r="Q468" s="1">
        <v>2</v>
      </c>
      <c r="R468" s="1">
        <v>2</v>
      </c>
      <c r="S468" s="1">
        <v>2</v>
      </c>
      <c r="T468" s="1">
        <v>0</v>
      </c>
      <c r="U468" s="1">
        <v>1515</v>
      </c>
      <c r="V468" s="1">
        <v>110</v>
      </c>
      <c r="W468" s="1">
        <v>135</v>
      </c>
      <c r="X468" s="1">
        <v>100</v>
      </c>
      <c r="Y468" s="1">
        <v>115</v>
      </c>
      <c r="Z468" s="1">
        <v>95</v>
      </c>
      <c r="AA468" s="1">
        <v>0</v>
      </c>
      <c r="AB468" s="1">
        <v>15</v>
      </c>
      <c r="AC468" s="1">
        <v>20</v>
      </c>
      <c r="AD468" s="1">
        <v>0</v>
      </c>
      <c r="AE468" s="1">
        <v>115</v>
      </c>
      <c r="AF468" s="1">
        <v>100</v>
      </c>
      <c r="AG468" s="1">
        <v>700202</v>
      </c>
      <c r="AH468" s="1">
        <v>0</v>
      </c>
      <c r="AI468" s="1">
        <v>700001</v>
      </c>
      <c r="AJ468" s="1" t="s">
        <v>5922</v>
      </c>
      <c r="AK468" s="1" t="s">
        <v>329</v>
      </c>
      <c r="AL468" s="1">
        <v>13</v>
      </c>
      <c r="AM468" s="1" t="s">
        <v>1866</v>
      </c>
      <c r="AN468" s="1" t="s">
        <v>4844</v>
      </c>
      <c r="AO468" s="1" t="s">
        <v>4877</v>
      </c>
      <c r="AP468" s="1">
        <v>0</v>
      </c>
      <c r="AQ468" s="1" t="s">
        <v>5916</v>
      </c>
      <c r="AR468" s="1" t="s">
        <v>1147</v>
      </c>
      <c r="AS468" s="1" t="s">
        <v>1157</v>
      </c>
      <c r="AT468" s="1" t="s">
        <v>329</v>
      </c>
      <c r="AU468" s="1">
        <v>97</v>
      </c>
      <c r="AV468" s="1">
        <v>0</v>
      </c>
      <c r="AW468" s="1" t="s">
        <v>5854</v>
      </c>
      <c r="AX468" s="1" t="s">
        <v>4822</v>
      </c>
      <c r="AY468" s="1">
        <v>5</v>
      </c>
      <c r="AZ468" s="1">
        <v>0</v>
      </c>
      <c r="BA468" s="1" t="s">
        <v>329</v>
      </c>
      <c r="BB468" s="1" t="s">
        <v>329</v>
      </c>
      <c r="BC468" s="1" t="s">
        <v>329</v>
      </c>
      <c r="BD468" s="1">
        <v>0</v>
      </c>
      <c r="BE468" s="1">
        <v>0</v>
      </c>
    </row>
    <row r="469" spans="1:57" x14ac:dyDescent="0.25">
      <c r="A469" s="1">
        <v>9027</v>
      </c>
      <c r="B469" s="1" t="s">
        <v>5974</v>
      </c>
      <c r="C469" s="9" t="s">
        <v>5918</v>
      </c>
      <c r="D469" s="1" t="s">
        <v>3545</v>
      </c>
      <c r="E469" s="1"/>
      <c r="F469" s="1"/>
      <c r="G469" s="1" t="s">
        <v>5975</v>
      </c>
      <c r="H469" s="1" t="s">
        <v>5976</v>
      </c>
      <c r="I469" s="1" t="s">
        <v>5977</v>
      </c>
      <c r="J469" s="1">
        <v>1</v>
      </c>
      <c r="K469" s="1">
        <v>4</v>
      </c>
      <c r="L469" s="1">
        <v>3600</v>
      </c>
      <c r="M469" s="1">
        <v>10</v>
      </c>
      <c r="N469" s="1">
        <v>10</v>
      </c>
      <c r="O469" s="1">
        <v>5</v>
      </c>
      <c r="P469" s="1">
        <v>5</v>
      </c>
      <c r="Q469" s="1">
        <v>2</v>
      </c>
      <c r="R469" s="1">
        <v>2</v>
      </c>
      <c r="S469" s="1">
        <v>2</v>
      </c>
      <c r="T469" s="1">
        <v>0</v>
      </c>
      <c r="U469" s="1">
        <v>1515</v>
      </c>
      <c r="V469" s="1">
        <v>160</v>
      </c>
      <c r="W469" s="1">
        <v>65</v>
      </c>
      <c r="X469" s="1">
        <v>100</v>
      </c>
      <c r="Y469" s="1">
        <v>105</v>
      </c>
      <c r="Z469" s="1">
        <v>75</v>
      </c>
      <c r="AA469" s="1">
        <v>0</v>
      </c>
      <c r="AB469" s="1">
        <v>15</v>
      </c>
      <c r="AC469" s="1">
        <v>40</v>
      </c>
      <c r="AD469" s="1">
        <v>0</v>
      </c>
      <c r="AE469" s="1">
        <v>130</v>
      </c>
      <c r="AF469" s="1">
        <v>100</v>
      </c>
      <c r="AG469" s="1">
        <v>700203</v>
      </c>
      <c r="AH469" s="1">
        <v>0</v>
      </c>
      <c r="AI469" s="1">
        <v>700001</v>
      </c>
      <c r="AJ469" s="1" t="s">
        <v>5927</v>
      </c>
      <c r="AK469" s="1" t="s">
        <v>329</v>
      </c>
      <c r="AL469" s="1">
        <v>13</v>
      </c>
      <c r="AM469" s="1" t="s">
        <v>1866</v>
      </c>
      <c r="AN469" s="1" t="s">
        <v>4836</v>
      </c>
      <c r="AO469" s="1" t="s">
        <v>4884</v>
      </c>
      <c r="AP469" s="1">
        <v>0</v>
      </c>
      <c r="AQ469" s="1" t="s">
        <v>5916</v>
      </c>
      <c r="AR469" s="1" t="s">
        <v>1147</v>
      </c>
      <c r="AS469" s="1" t="s">
        <v>1157</v>
      </c>
      <c r="AT469" s="1" t="s">
        <v>329</v>
      </c>
      <c r="AU469" s="1">
        <v>202</v>
      </c>
      <c r="AV469" s="1">
        <v>0</v>
      </c>
      <c r="AW469" s="1" t="s">
        <v>5854</v>
      </c>
      <c r="AX469" s="1" t="s">
        <v>1752</v>
      </c>
      <c r="AY469" s="1">
        <v>4</v>
      </c>
      <c r="AZ469" s="1">
        <v>0</v>
      </c>
      <c r="BA469" s="1" t="s">
        <v>329</v>
      </c>
      <c r="BB469" s="1" t="s">
        <v>329</v>
      </c>
      <c r="BC469" s="1" t="s">
        <v>329</v>
      </c>
      <c r="BD469" s="1">
        <v>0</v>
      </c>
      <c r="BE469" s="1">
        <v>0</v>
      </c>
    </row>
    <row r="470" spans="1:57" x14ac:dyDescent="0.25">
      <c r="A470" s="1">
        <v>9028</v>
      </c>
      <c r="B470" s="1" t="s">
        <v>5978</v>
      </c>
      <c r="C470" s="9" t="s">
        <v>156</v>
      </c>
      <c r="D470" s="1" t="s">
        <v>156</v>
      </c>
      <c r="E470" s="1"/>
      <c r="F470" s="1"/>
      <c r="G470" s="1" t="s">
        <v>5979</v>
      </c>
      <c r="H470" s="1" t="s">
        <v>5980</v>
      </c>
      <c r="I470" s="1" t="s">
        <v>5981</v>
      </c>
      <c r="J470" s="1">
        <v>2</v>
      </c>
      <c r="K470" s="1">
        <v>3</v>
      </c>
      <c r="L470" s="1">
        <v>7800</v>
      </c>
      <c r="M470" s="1">
        <v>25</v>
      </c>
      <c r="N470" s="1">
        <v>20</v>
      </c>
      <c r="O470" s="1">
        <v>15</v>
      </c>
      <c r="P470" s="1">
        <v>10</v>
      </c>
      <c r="Q470" s="1">
        <v>5</v>
      </c>
      <c r="R470" s="1">
        <v>5</v>
      </c>
      <c r="S470" s="1">
        <v>2</v>
      </c>
      <c r="T470" s="1">
        <v>0</v>
      </c>
      <c r="U470" s="1">
        <v>568</v>
      </c>
      <c r="V470" s="1">
        <v>110</v>
      </c>
      <c r="W470" s="1">
        <v>120</v>
      </c>
      <c r="X470" s="1">
        <v>100</v>
      </c>
      <c r="Y470" s="1">
        <v>125</v>
      </c>
      <c r="Z470" s="1">
        <v>130</v>
      </c>
      <c r="AA470" s="1">
        <v>0</v>
      </c>
      <c r="AB470" s="1">
        <v>15</v>
      </c>
      <c r="AC470" s="1">
        <v>5</v>
      </c>
      <c r="AD470" s="1">
        <v>0</v>
      </c>
      <c r="AE470" s="1">
        <v>105</v>
      </c>
      <c r="AF470" s="1">
        <v>100</v>
      </c>
      <c r="AG470" s="1">
        <v>700204</v>
      </c>
      <c r="AH470" s="1">
        <v>0</v>
      </c>
      <c r="AI470" s="1">
        <v>700001</v>
      </c>
      <c r="AJ470" s="1" t="s">
        <v>5933</v>
      </c>
      <c r="AK470" s="1" t="s">
        <v>329</v>
      </c>
      <c r="AL470" s="1">
        <v>12</v>
      </c>
      <c r="AM470" s="1" t="s">
        <v>4850</v>
      </c>
      <c r="AN470" s="1" t="s">
        <v>359</v>
      </c>
      <c r="AO470" s="1" t="s">
        <v>5123</v>
      </c>
      <c r="AP470" s="1">
        <v>0</v>
      </c>
      <c r="AQ470" s="1" t="s">
        <v>1157</v>
      </c>
      <c r="AR470" s="1" t="s">
        <v>1147</v>
      </c>
      <c r="AS470" s="1" t="s">
        <v>1158</v>
      </c>
      <c r="AT470" s="1" t="s">
        <v>329</v>
      </c>
      <c r="AU470" s="1">
        <v>176</v>
      </c>
      <c r="AV470" s="1">
        <v>0</v>
      </c>
      <c r="AW470" s="1" t="s">
        <v>5854</v>
      </c>
      <c r="AX470" s="1" t="s">
        <v>1866</v>
      </c>
      <c r="AY470" s="1">
        <v>3</v>
      </c>
      <c r="AZ470" s="1">
        <v>0</v>
      </c>
      <c r="BA470" s="1" t="s">
        <v>329</v>
      </c>
      <c r="BB470" s="1" t="s">
        <v>329</v>
      </c>
      <c r="BC470" s="1" t="s">
        <v>329</v>
      </c>
      <c r="BD470" s="1">
        <v>0</v>
      </c>
      <c r="BE470" s="1">
        <v>0</v>
      </c>
    </row>
    <row r="471" spans="1:57" x14ac:dyDescent="0.25">
      <c r="A471" s="1">
        <v>9029</v>
      </c>
      <c r="B471" s="1" t="s">
        <v>5982</v>
      </c>
      <c r="C471" s="9" t="s">
        <v>168</v>
      </c>
      <c r="D471" s="1" t="s">
        <v>168</v>
      </c>
      <c r="E471" s="1"/>
      <c r="F471" s="1"/>
      <c r="G471" s="1" t="s">
        <v>5983</v>
      </c>
      <c r="H471" s="1" t="s">
        <v>5984</v>
      </c>
      <c r="I471" s="1" t="s">
        <v>5985</v>
      </c>
      <c r="J471" s="1">
        <v>4</v>
      </c>
      <c r="K471" s="1">
        <v>5</v>
      </c>
      <c r="L471" s="1">
        <v>13920</v>
      </c>
      <c r="M471" s="1">
        <v>20</v>
      </c>
      <c r="N471" s="1">
        <v>20</v>
      </c>
      <c r="O471" s="1">
        <v>10</v>
      </c>
      <c r="P471" s="1">
        <v>10</v>
      </c>
      <c r="Q471" s="1">
        <v>2</v>
      </c>
      <c r="R471" s="1">
        <v>5</v>
      </c>
      <c r="S471" s="1">
        <v>5</v>
      </c>
      <c r="T471" s="1">
        <v>0</v>
      </c>
      <c r="U471" s="1">
        <v>454</v>
      </c>
      <c r="V471" s="1">
        <v>115</v>
      </c>
      <c r="W471" s="1">
        <v>120</v>
      </c>
      <c r="X471" s="1">
        <v>100</v>
      </c>
      <c r="Y471" s="1">
        <v>130</v>
      </c>
      <c r="Z471" s="1">
        <v>108</v>
      </c>
      <c r="AA471" s="1">
        <v>0</v>
      </c>
      <c r="AB471" s="1">
        <v>15</v>
      </c>
      <c r="AC471" s="1">
        <v>20</v>
      </c>
      <c r="AD471" s="1">
        <v>0</v>
      </c>
      <c r="AE471" s="1">
        <v>111</v>
      </c>
      <c r="AF471" s="1">
        <v>100</v>
      </c>
      <c r="AG471" s="1">
        <v>700201</v>
      </c>
      <c r="AH471" s="1">
        <v>0</v>
      </c>
      <c r="AI471" s="1">
        <v>700001</v>
      </c>
      <c r="AJ471" s="1" t="s">
        <v>5915</v>
      </c>
      <c r="AK471" s="1" t="s">
        <v>329</v>
      </c>
      <c r="AL471" s="1">
        <v>13</v>
      </c>
      <c r="AM471" s="1" t="s">
        <v>4779</v>
      </c>
      <c r="AN471" s="1" t="s">
        <v>4894</v>
      </c>
      <c r="AO471" s="1" t="s">
        <v>5062</v>
      </c>
      <c r="AP471" s="1">
        <v>0</v>
      </c>
      <c r="AQ471" s="1" t="s">
        <v>1158</v>
      </c>
      <c r="AR471" s="1" t="s">
        <v>1182</v>
      </c>
      <c r="AS471" s="1" t="s">
        <v>1157</v>
      </c>
      <c r="AT471" s="1" t="s">
        <v>329</v>
      </c>
      <c r="AU471" s="1">
        <v>194</v>
      </c>
      <c r="AV471" s="1">
        <v>0</v>
      </c>
      <c r="AW471" s="1" t="s">
        <v>5854</v>
      </c>
      <c r="AX471" s="1" t="s">
        <v>332</v>
      </c>
      <c r="AY471" s="1">
        <v>5</v>
      </c>
      <c r="AZ471" s="1">
        <v>0</v>
      </c>
      <c r="BA471" s="1" t="s">
        <v>329</v>
      </c>
      <c r="BB471" s="1" t="s">
        <v>329</v>
      </c>
      <c r="BC471" s="1" t="s">
        <v>329</v>
      </c>
      <c r="BD471" s="1">
        <v>0</v>
      </c>
      <c r="BE471" s="1">
        <v>0</v>
      </c>
    </row>
    <row r="472" spans="1:57" x14ac:dyDescent="0.25">
      <c r="A472" s="1">
        <v>9030</v>
      </c>
      <c r="B472" s="1" t="s">
        <v>5986</v>
      </c>
      <c r="C472" s="9" t="s">
        <v>121</v>
      </c>
      <c r="D472" s="1" t="s">
        <v>121</v>
      </c>
      <c r="E472" s="1"/>
      <c r="F472" s="1"/>
      <c r="G472" s="1" t="s">
        <v>5987</v>
      </c>
      <c r="H472" s="1" t="s">
        <v>5988</v>
      </c>
      <c r="I472" s="1" t="s">
        <v>5989</v>
      </c>
      <c r="J472" s="1">
        <v>1</v>
      </c>
      <c r="K472" s="1">
        <v>5</v>
      </c>
      <c r="L472" s="1">
        <v>3900</v>
      </c>
      <c r="M472" s="1">
        <v>10</v>
      </c>
      <c r="N472" s="1">
        <v>10</v>
      </c>
      <c r="O472" s="1">
        <v>5</v>
      </c>
      <c r="P472" s="1">
        <v>5</v>
      </c>
      <c r="Q472" s="1">
        <v>2</v>
      </c>
      <c r="R472" s="1">
        <v>2</v>
      </c>
      <c r="S472" s="1">
        <v>2</v>
      </c>
      <c r="T472" s="1">
        <v>0</v>
      </c>
      <c r="U472" s="1">
        <v>757</v>
      </c>
      <c r="V472" s="1">
        <v>110</v>
      </c>
      <c r="W472" s="1">
        <v>135</v>
      </c>
      <c r="X472" s="1">
        <v>100</v>
      </c>
      <c r="Y472" s="1">
        <v>115</v>
      </c>
      <c r="Z472" s="1">
        <v>95</v>
      </c>
      <c r="AA472" s="1">
        <v>0</v>
      </c>
      <c r="AB472" s="1">
        <v>15</v>
      </c>
      <c r="AC472" s="1">
        <v>20</v>
      </c>
      <c r="AD472" s="1">
        <v>0</v>
      </c>
      <c r="AE472" s="1">
        <v>115</v>
      </c>
      <c r="AF472" s="1">
        <v>100</v>
      </c>
      <c r="AG472" s="1">
        <v>700202</v>
      </c>
      <c r="AH472" s="1">
        <v>0</v>
      </c>
      <c r="AI472" s="1">
        <v>700001</v>
      </c>
      <c r="AJ472" s="1" t="s">
        <v>5922</v>
      </c>
      <c r="AK472" s="1" t="s">
        <v>329</v>
      </c>
      <c r="AL472" s="1">
        <v>13</v>
      </c>
      <c r="AM472" s="1" t="s">
        <v>1866</v>
      </c>
      <c r="AN472" s="1" t="s">
        <v>4844</v>
      </c>
      <c r="AO472" s="1" t="s">
        <v>4877</v>
      </c>
      <c r="AP472" s="1">
        <v>0</v>
      </c>
      <c r="AQ472" s="1" t="s">
        <v>5916</v>
      </c>
      <c r="AR472" s="1" t="s">
        <v>1147</v>
      </c>
      <c r="AS472" s="1" t="s">
        <v>1157</v>
      </c>
      <c r="AT472" s="1" t="s">
        <v>329</v>
      </c>
      <c r="AU472" s="1">
        <v>97</v>
      </c>
      <c r="AV472" s="1">
        <v>0</v>
      </c>
      <c r="AW472" s="1" t="s">
        <v>5854</v>
      </c>
      <c r="AX472" s="1" t="s">
        <v>4822</v>
      </c>
      <c r="AY472" s="1">
        <v>5</v>
      </c>
      <c r="AZ472" s="1">
        <v>0</v>
      </c>
      <c r="BA472" s="1" t="s">
        <v>329</v>
      </c>
      <c r="BB472" s="1" t="s">
        <v>329</v>
      </c>
      <c r="BC472" s="1" t="s">
        <v>329</v>
      </c>
      <c r="BD472" s="1">
        <v>0</v>
      </c>
      <c r="BE472" s="1">
        <v>0</v>
      </c>
    </row>
    <row r="473" spans="1:57" x14ac:dyDescent="0.25">
      <c r="A473" s="1">
        <v>9031</v>
      </c>
      <c r="B473" s="1" t="s">
        <v>5990</v>
      </c>
      <c r="C473" s="9" t="s">
        <v>1660</v>
      </c>
      <c r="D473" s="1" t="s">
        <v>1660</v>
      </c>
      <c r="E473" s="1"/>
      <c r="F473" s="1"/>
      <c r="G473" s="1" t="s">
        <v>5991</v>
      </c>
      <c r="H473" s="1" t="s">
        <v>5992</v>
      </c>
      <c r="I473" s="1" t="s">
        <v>5993</v>
      </c>
      <c r="J473" s="1">
        <v>5</v>
      </c>
      <c r="K473" s="1">
        <v>4</v>
      </c>
      <c r="L473" s="1">
        <v>22800</v>
      </c>
      <c r="M473" s="1">
        <v>40</v>
      </c>
      <c r="N473" s="1">
        <v>30</v>
      </c>
      <c r="O473" s="1">
        <v>25</v>
      </c>
      <c r="P473" s="1">
        <v>15</v>
      </c>
      <c r="Q473" s="1">
        <v>5</v>
      </c>
      <c r="R473" s="1">
        <v>5</v>
      </c>
      <c r="S473" s="1">
        <v>2</v>
      </c>
      <c r="T473" s="1">
        <v>5</v>
      </c>
      <c r="U473" s="1">
        <v>303</v>
      </c>
      <c r="V473" s="1">
        <v>115</v>
      </c>
      <c r="W473" s="1">
        <v>115</v>
      </c>
      <c r="X473" s="1">
        <v>100</v>
      </c>
      <c r="Y473" s="1">
        <v>125</v>
      </c>
      <c r="Z473" s="1">
        <v>120</v>
      </c>
      <c r="AA473" s="1">
        <v>0</v>
      </c>
      <c r="AB473" s="1">
        <v>15</v>
      </c>
      <c r="AC473" s="1">
        <v>5</v>
      </c>
      <c r="AD473" s="1">
        <v>10</v>
      </c>
      <c r="AE473" s="1">
        <v>110</v>
      </c>
      <c r="AF473" s="1">
        <v>100</v>
      </c>
      <c r="AG473" s="1">
        <v>700203</v>
      </c>
      <c r="AH473" s="1">
        <v>0</v>
      </c>
      <c r="AI473" s="1">
        <v>700001</v>
      </c>
      <c r="AJ473" s="1" t="s">
        <v>5927</v>
      </c>
      <c r="AK473" s="1" t="s">
        <v>329</v>
      </c>
      <c r="AL473" s="1">
        <v>18</v>
      </c>
      <c r="AM473" s="1" t="s">
        <v>4918</v>
      </c>
      <c r="AN473" s="1" t="s">
        <v>4991</v>
      </c>
      <c r="AO473" s="1" t="s">
        <v>5114</v>
      </c>
      <c r="AP473" s="1">
        <v>0</v>
      </c>
      <c r="AQ473" s="1" t="s">
        <v>1168</v>
      </c>
      <c r="AR473" s="1" t="s">
        <v>5928</v>
      </c>
      <c r="AS473" s="1" t="s">
        <v>5853</v>
      </c>
      <c r="AT473" s="1" t="s">
        <v>329</v>
      </c>
      <c r="AU473" s="1">
        <v>149</v>
      </c>
      <c r="AV473" s="1">
        <v>0</v>
      </c>
      <c r="AW473" s="1" t="s">
        <v>5854</v>
      </c>
      <c r="AX473" s="1" t="s">
        <v>332</v>
      </c>
      <c r="AY473" s="1">
        <v>4</v>
      </c>
      <c r="AZ473" s="1">
        <v>0</v>
      </c>
      <c r="BA473" s="1" t="s">
        <v>329</v>
      </c>
      <c r="BB473" s="1" t="s">
        <v>329</v>
      </c>
      <c r="BC473" s="1" t="s">
        <v>329</v>
      </c>
      <c r="BD473" s="1">
        <v>0</v>
      </c>
      <c r="BE473" s="1">
        <v>0</v>
      </c>
    </row>
    <row r="474" spans="1:57" x14ac:dyDescent="0.25">
      <c r="A474" s="1">
        <v>9032</v>
      </c>
      <c r="B474" s="1" t="s">
        <v>5994</v>
      </c>
      <c r="C474" s="9" t="s">
        <v>156</v>
      </c>
      <c r="D474" s="1" t="s">
        <v>156</v>
      </c>
      <c r="E474" s="1"/>
      <c r="F474" s="1"/>
      <c r="G474" s="1" t="s">
        <v>5995</v>
      </c>
      <c r="H474" s="1" t="s">
        <v>5996</v>
      </c>
      <c r="I474" s="1" t="s">
        <v>5997</v>
      </c>
      <c r="J474" s="1">
        <v>2</v>
      </c>
      <c r="K474" s="1">
        <v>3</v>
      </c>
      <c r="L474" s="1">
        <v>7800</v>
      </c>
      <c r="M474" s="1">
        <v>25</v>
      </c>
      <c r="N474" s="1">
        <v>20</v>
      </c>
      <c r="O474" s="1">
        <v>15</v>
      </c>
      <c r="P474" s="1">
        <v>10</v>
      </c>
      <c r="Q474" s="1">
        <v>5</v>
      </c>
      <c r="R474" s="1">
        <v>5</v>
      </c>
      <c r="S474" s="1">
        <v>2</v>
      </c>
      <c r="T474" s="1">
        <v>0</v>
      </c>
      <c r="U474" s="1">
        <v>284</v>
      </c>
      <c r="V474" s="1">
        <v>110</v>
      </c>
      <c r="W474" s="1">
        <v>120</v>
      </c>
      <c r="X474" s="1">
        <v>100</v>
      </c>
      <c r="Y474" s="1">
        <v>125</v>
      </c>
      <c r="Z474" s="1">
        <v>130</v>
      </c>
      <c r="AA474" s="1">
        <v>0</v>
      </c>
      <c r="AB474" s="1">
        <v>15</v>
      </c>
      <c r="AC474" s="1">
        <v>5</v>
      </c>
      <c r="AD474" s="1">
        <v>0</v>
      </c>
      <c r="AE474" s="1">
        <v>105</v>
      </c>
      <c r="AF474" s="1">
        <v>100</v>
      </c>
      <c r="AG474" s="1">
        <v>700204</v>
      </c>
      <c r="AH474" s="1">
        <v>0</v>
      </c>
      <c r="AI474" s="1">
        <v>700001</v>
      </c>
      <c r="AJ474" s="1" t="s">
        <v>5933</v>
      </c>
      <c r="AK474" s="1" t="s">
        <v>329</v>
      </c>
      <c r="AL474" s="1">
        <v>12</v>
      </c>
      <c r="AM474" s="1" t="s">
        <v>4850</v>
      </c>
      <c r="AN474" s="1" t="s">
        <v>359</v>
      </c>
      <c r="AO474" s="1" t="s">
        <v>5123</v>
      </c>
      <c r="AP474" s="1">
        <v>0</v>
      </c>
      <c r="AQ474" s="1" t="s">
        <v>1157</v>
      </c>
      <c r="AR474" s="1" t="s">
        <v>1147</v>
      </c>
      <c r="AS474" s="1" t="s">
        <v>1158</v>
      </c>
      <c r="AT474" s="1" t="s">
        <v>329</v>
      </c>
      <c r="AU474" s="1">
        <v>176</v>
      </c>
      <c r="AV474" s="1">
        <v>0</v>
      </c>
      <c r="AW474" s="1" t="s">
        <v>5854</v>
      </c>
      <c r="AX474" s="1" t="s">
        <v>1866</v>
      </c>
      <c r="AY474" s="1">
        <v>3</v>
      </c>
      <c r="AZ474" s="1">
        <v>0</v>
      </c>
      <c r="BA474" s="1" t="s">
        <v>329</v>
      </c>
      <c r="BB474" s="1" t="s">
        <v>329</v>
      </c>
      <c r="BC474" s="1" t="s">
        <v>329</v>
      </c>
      <c r="BD474" s="1">
        <v>0</v>
      </c>
      <c r="BE474" s="1">
        <v>0</v>
      </c>
    </row>
    <row r="475" spans="1:57" x14ac:dyDescent="0.25">
      <c r="A475" s="1">
        <v>9034</v>
      </c>
      <c r="B475" s="1" t="s">
        <v>5998</v>
      </c>
      <c r="C475" s="9" t="s">
        <v>234</v>
      </c>
      <c r="D475" s="1" t="s">
        <v>234</v>
      </c>
      <c r="E475" s="1"/>
      <c r="F475" s="1"/>
      <c r="G475" s="1" t="s">
        <v>5999</v>
      </c>
      <c r="H475" s="1" t="s">
        <v>6000</v>
      </c>
      <c r="I475" s="1" t="s">
        <v>6001</v>
      </c>
      <c r="J475" s="1">
        <v>4</v>
      </c>
      <c r="K475" s="1">
        <v>5</v>
      </c>
      <c r="L475" s="1">
        <v>15120</v>
      </c>
      <c r="M475" s="1">
        <v>20</v>
      </c>
      <c r="N475" s="1">
        <v>20</v>
      </c>
      <c r="O475" s="1">
        <v>10</v>
      </c>
      <c r="P475" s="1">
        <v>10</v>
      </c>
      <c r="Q475" s="1">
        <v>2</v>
      </c>
      <c r="R475" s="1">
        <v>5</v>
      </c>
      <c r="S475" s="1">
        <v>5</v>
      </c>
      <c r="T475" s="1">
        <v>0</v>
      </c>
      <c r="U475" s="1">
        <v>100</v>
      </c>
      <c r="V475" s="1">
        <v>0</v>
      </c>
      <c r="W475" s="1">
        <v>0</v>
      </c>
      <c r="X475" s="1">
        <v>100</v>
      </c>
      <c r="Y475" s="1">
        <v>0</v>
      </c>
      <c r="Z475" s="1">
        <v>0</v>
      </c>
      <c r="AA475" s="1">
        <v>0</v>
      </c>
      <c r="AB475" s="1">
        <v>15</v>
      </c>
      <c r="AC475" s="1">
        <v>20</v>
      </c>
      <c r="AD475" s="1">
        <v>0</v>
      </c>
      <c r="AE475" s="1">
        <v>139</v>
      </c>
      <c r="AF475" s="1">
        <v>100</v>
      </c>
      <c r="AG475" s="1">
        <v>108501</v>
      </c>
      <c r="AH475" s="1">
        <v>0</v>
      </c>
      <c r="AI475" s="1">
        <v>108502</v>
      </c>
      <c r="AJ475" s="1" t="s">
        <v>6002</v>
      </c>
      <c r="AK475" s="1" t="s">
        <v>329</v>
      </c>
      <c r="AL475" s="1">
        <v>14</v>
      </c>
      <c r="AM475" s="1" t="s">
        <v>4779</v>
      </c>
      <c r="AN475" s="1" t="s">
        <v>5211</v>
      </c>
      <c r="AO475" s="1" t="s">
        <v>5212</v>
      </c>
      <c r="AP475" s="1">
        <v>0</v>
      </c>
      <c r="AQ475" s="1" t="s">
        <v>1158</v>
      </c>
      <c r="AR475" s="1" t="s">
        <v>1182</v>
      </c>
      <c r="AS475" s="1" t="s">
        <v>1157</v>
      </c>
      <c r="AT475" s="1" t="s">
        <v>329</v>
      </c>
      <c r="AU475" s="1">
        <v>206</v>
      </c>
      <c r="AV475" s="1">
        <v>0</v>
      </c>
      <c r="AW475" s="1" t="s">
        <v>5854</v>
      </c>
      <c r="AX475" s="1" t="s">
        <v>332</v>
      </c>
      <c r="AY475" s="1">
        <v>5</v>
      </c>
      <c r="AZ475" s="1">
        <v>0</v>
      </c>
      <c r="BA475" s="1" t="s">
        <v>329</v>
      </c>
      <c r="BB475" s="1" t="s">
        <v>329</v>
      </c>
      <c r="BC475" s="1" t="s">
        <v>329</v>
      </c>
      <c r="BD475" s="1">
        <v>0</v>
      </c>
      <c r="BE475" s="1">
        <v>0</v>
      </c>
    </row>
    <row r="476" spans="1:57" x14ac:dyDescent="0.25">
      <c r="A476" s="1">
        <v>9035</v>
      </c>
      <c r="B476" s="1" t="s">
        <v>6003</v>
      </c>
      <c r="C476" s="9" t="s">
        <v>233</v>
      </c>
      <c r="D476" s="1" t="s">
        <v>233</v>
      </c>
      <c r="E476" s="1"/>
      <c r="F476" s="1"/>
      <c r="G476" s="1" t="s">
        <v>6004</v>
      </c>
      <c r="H476" s="1" t="s">
        <v>6005</v>
      </c>
      <c r="I476" s="1" t="s">
        <v>6006</v>
      </c>
      <c r="J476" s="1">
        <v>4</v>
      </c>
      <c r="K476" s="1">
        <v>5</v>
      </c>
      <c r="L476" s="1">
        <v>14940</v>
      </c>
      <c r="M476" s="1">
        <v>20</v>
      </c>
      <c r="N476" s="1">
        <v>20</v>
      </c>
      <c r="O476" s="1">
        <v>10</v>
      </c>
      <c r="P476" s="1">
        <v>10</v>
      </c>
      <c r="Q476" s="1">
        <v>2</v>
      </c>
      <c r="R476" s="1">
        <v>5</v>
      </c>
      <c r="S476" s="1">
        <v>5</v>
      </c>
      <c r="T476" s="1">
        <v>0</v>
      </c>
      <c r="U476" s="1">
        <v>105</v>
      </c>
      <c r="V476" s="1">
        <v>0</v>
      </c>
      <c r="W476" s="1">
        <v>0</v>
      </c>
      <c r="X476" s="1">
        <v>100</v>
      </c>
      <c r="Y476" s="1">
        <v>0</v>
      </c>
      <c r="Z476" s="1">
        <v>0</v>
      </c>
      <c r="AA476" s="1">
        <v>0</v>
      </c>
      <c r="AB476" s="1">
        <v>15</v>
      </c>
      <c r="AC476" s="1">
        <v>20</v>
      </c>
      <c r="AD476" s="1">
        <v>0</v>
      </c>
      <c r="AE476" s="1">
        <v>148</v>
      </c>
      <c r="AF476" s="1">
        <v>100</v>
      </c>
      <c r="AG476" s="1">
        <v>108607</v>
      </c>
      <c r="AH476" s="1">
        <v>0</v>
      </c>
      <c r="AI476" s="1">
        <v>108612</v>
      </c>
      <c r="AJ476" s="1" t="s">
        <v>6007</v>
      </c>
      <c r="AK476" s="1" t="s">
        <v>329</v>
      </c>
      <c r="AL476" s="1">
        <v>12</v>
      </c>
      <c r="AM476" s="1" t="s">
        <v>4779</v>
      </c>
      <c r="AN476" s="1" t="s">
        <v>5207</v>
      </c>
      <c r="AO476" s="1" t="s">
        <v>5208</v>
      </c>
      <c r="AP476" s="1">
        <v>0</v>
      </c>
      <c r="AQ476" s="1" t="s">
        <v>1158</v>
      </c>
      <c r="AR476" s="1" t="s">
        <v>1182</v>
      </c>
      <c r="AS476" s="1" t="s">
        <v>1157</v>
      </c>
      <c r="AT476" s="1" t="s">
        <v>329</v>
      </c>
      <c r="AU476" s="1">
        <v>205</v>
      </c>
      <c r="AV476" s="1">
        <v>0</v>
      </c>
      <c r="AW476" s="1" t="s">
        <v>5854</v>
      </c>
      <c r="AX476" s="1" t="s">
        <v>332</v>
      </c>
      <c r="AY476" s="1">
        <v>5</v>
      </c>
      <c r="AZ476" s="1">
        <v>0</v>
      </c>
      <c r="BA476" s="1" t="s">
        <v>329</v>
      </c>
      <c r="BB476" s="1" t="s">
        <v>329</v>
      </c>
      <c r="BC476" s="1" t="s">
        <v>329</v>
      </c>
      <c r="BD476" s="1">
        <v>0</v>
      </c>
      <c r="BE476" s="1">
        <v>0</v>
      </c>
    </row>
    <row r="477" spans="1:57" x14ac:dyDescent="0.25">
      <c r="A477" s="1">
        <v>9036</v>
      </c>
      <c r="B477" s="1" t="s">
        <v>6008</v>
      </c>
      <c r="C477" s="9" t="s">
        <v>6009</v>
      </c>
      <c r="D477" s="1" t="s">
        <v>6009</v>
      </c>
      <c r="E477" s="1"/>
      <c r="F477" s="1"/>
      <c r="G477" s="1" t="s">
        <v>6010</v>
      </c>
      <c r="H477" s="1" t="s">
        <v>6011</v>
      </c>
      <c r="I477" s="1" t="s">
        <v>6012</v>
      </c>
      <c r="J477" s="1">
        <v>4</v>
      </c>
      <c r="K477" s="1">
        <v>4</v>
      </c>
      <c r="L477" s="1">
        <v>12900</v>
      </c>
      <c r="M477" s="1">
        <v>20</v>
      </c>
      <c r="N477" s="1">
        <v>20</v>
      </c>
      <c r="O477" s="1">
        <v>10</v>
      </c>
      <c r="P477" s="1">
        <v>10</v>
      </c>
      <c r="Q477" s="1">
        <v>2</v>
      </c>
      <c r="R477" s="1">
        <v>5</v>
      </c>
      <c r="S477" s="1">
        <v>5</v>
      </c>
      <c r="T477" s="1">
        <v>0</v>
      </c>
      <c r="U477" s="1">
        <v>1000</v>
      </c>
      <c r="V477" s="1">
        <v>525</v>
      </c>
      <c r="W477" s="1">
        <v>120</v>
      </c>
      <c r="X477" s="1">
        <v>100</v>
      </c>
      <c r="Y477" s="1">
        <v>120</v>
      </c>
      <c r="Z477" s="1">
        <v>120</v>
      </c>
      <c r="AA477" s="1">
        <v>0</v>
      </c>
      <c r="AB477" s="1">
        <v>15</v>
      </c>
      <c r="AC477" s="1">
        <v>20</v>
      </c>
      <c r="AD477" s="1">
        <v>0</v>
      </c>
      <c r="AE477" s="1">
        <v>115</v>
      </c>
      <c r="AF477" s="1">
        <v>115</v>
      </c>
      <c r="AG477" s="1">
        <v>501072</v>
      </c>
      <c r="AH477" s="1">
        <v>0</v>
      </c>
      <c r="AI477" s="1">
        <v>501042</v>
      </c>
      <c r="AJ477" s="1" t="s">
        <v>6013</v>
      </c>
      <c r="AK477" s="1" t="s">
        <v>329</v>
      </c>
      <c r="AL477" s="1">
        <v>13</v>
      </c>
      <c r="AM477" s="1" t="s">
        <v>4850</v>
      </c>
      <c r="AN477" s="1" t="s">
        <v>4921</v>
      </c>
      <c r="AO477" s="1" t="s">
        <v>4922</v>
      </c>
      <c r="AP477" s="1">
        <v>0</v>
      </c>
      <c r="AQ477" s="1" t="s">
        <v>1158</v>
      </c>
      <c r="AR477" s="1" t="s">
        <v>1182</v>
      </c>
      <c r="AS477" s="1" t="s">
        <v>5910</v>
      </c>
      <c r="AT477" s="1" t="s">
        <v>329</v>
      </c>
      <c r="AU477" s="1">
        <v>55</v>
      </c>
      <c r="AV477" s="1">
        <v>0</v>
      </c>
      <c r="AW477" s="1" t="s">
        <v>5854</v>
      </c>
      <c r="AX477" s="1" t="s">
        <v>4918</v>
      </c>
      <c r="AY477" s="1">
        <v>4</v>
      </c>
      <c r="AZ477" s="1">
        <v>0</v>
      </c>
      <c r="BA477" s="1" t="s">
        <v>329</v>
      </c>
      <c r="BB477" s="1" t="s">
        <v>329</v>
      </c>
      <c r="BC477" s="1" t="s">
        <v>329</v>
      </c>
      <c r="BD477" s="1">
        <v>0</v>
      </c>
      <c r="BE477" s="1">
        <v>0</v>
      </c>
    </row>
    <row r="478" spans="1:57" x14ac:dyDescent="0.25">
      <c r="A478" s="1">
        <v>9037</v>
      </c>
      <c r="B478" s="1" t="s">
        <v>6014</v>
      </c>
      <c r="C478" s="9" t="s">
        <v>6015</v>
      </c>
      <c r="D478" s="1" t="s">
        <v>6015</v>
      </c>
      <c r="E478" s="1"/>
      <c r="F478" s="1"/>
      <c r="G478" s="1" t="s">
        <v>6016</v>
      </c>
      <c r="H478" s="1" t="s">
        <v>6017</v>
      </c>
      <c r="I478" s="1" t="s">
        <v>6018</v>
      </c>
      <c r="J478" s="1">
        <v>4</v>
      </c>
      <c r="K478" s="1">
        <v>4</v>
      </c>
      <c r="L478" s="1">
        <v>12900</v>
      </c>
      <c r="M478" s="1">
        <v>20</v>
      </c>
      <c r="N478" s="1">
        <v>20</v>
      </c>
      <c r="O478" s="1">
        <v>10</v>
      </c>
      <c r="P478" s="1">
        <v>10</v>
      </c>
      <c r="Q478" s="1">
        <v>2</v>
      </c>
      <c r="R478" s="1">
        <v>5</v>
      </c>
      <c r="S478" s="1">
        <v>5</v>
      </c>
      <c r="T478" s="1">
        <v>0</v>
      </c>
      <c r="U478" s="1">
        <v>950</v>
      </c>
      <c r="V478" s="1">
        <v>525</v>
      </c>
      <c r="W478" s="1">
        <v>115</v>
      </c>
      <c r="X478" s="1">
        <v>100</v>
      </c>
      <c r="Y478" s="1">
        <v>120</v>
      </c>
      <c r="Z478" s="1">
        <v>120</v>
      </c>
      <c r="AA478" s="1">
        <v>0</v>
      </c>
      <c r="AB478" s="1">
        <v>15</v>
      </c>
      <c r="AC478" s="1">
        <v>20</v>
      </c>
      <c r="AD478" s="1">
        <v>0</v>
      </c>
      <c r="AE478" s="1">
        <v>120</v>
      </c>
      <c r="AF478" s="1">
        <v>125</v>
      </c>
      <c r="AG478" s="1">
        <v>501041</v>
      </c>
      <c r="AH478" s="1">
        <v>0</v>
      </c>
      <c r="AI478" s="1">
        <v>501043</v>
      </c>
      <c r="AJ478" s="1" t="s">
        <v>6019</v>
      </c>
      <c r="AK478" s="1" t="s">
        <v>329</v>
      </c>
      <c r="AL478" s="1">
        <v>13</v>
      </c>
      <c r="AM478" s="1" t="s">
        <v>4779</v>
      </c>
      <c r="AN478" s="1" t="s">
        <v>4924</v>
      </c>
      <c r="AO478" s="1" t="s">
        <v>4927</v>
      </c>
      <c r="AP478" s="1">
        <v>0</v>
      </c>
      <c r="AQ478" s="1" t="s">
        <v>6020</v>
      </c>
      <c r="AR478" s="1" t="s">
        <v>6020</v>
      </c>
      <c r="AS478" s="1" t="s">
        <v>1182</v>
      </c>
      <c r="AT478" s="1" t="s">
        <v>329</v>
      </c>
      <c r="AU478" s="1">
        <v>57</v>
      </c>
      <c r="AV478" s="1">
        <v>0</v>
      </c>
      <c r="AW478" s="1" t="s">
        <v>5854</v>
      </c>
      <c r="AX478" s="1" t="s">
        <v>4918</v>
      </c>
      <c r="AY478" s="1">
        <v>4</v>
      </c>
      <c r="AZ478" s="1">
        <v>0</v>
      </c>
      <c r="BA478" s="1" t="s">
        <v>329</v>
      </c>
      <c r="BB478" s="1" t="s">
        <v>329</v>
      </c>
      <c r="BC478" s="1" t="s">
        <v>329</v>
      </c>
      <c r="BD478" s="1">
        <v>0</v>
      </c>
      <c r="BE478" s="1">
        <v>0</v>
      </c>
    </row>
    <row r="479" spans="1:57" x14ac:dyDescent="0.25">
      <c r="A479" s="1">
        <v>9038</v>
      </c>
      <c r="B479" s="1" t="s">
        <v>6021</v>
      </c>
      <c r="C479" s="9" t="s">
        <v>6022</v>
      </c>
      <c r="D479" s="1" t="s">
        <v>6022</v>
      </c>
      <c r="E479" s="1"/>
      <c r="F479" s="1"/>
      <c r="G479" s="1" t="s">
        <v>6023</v>
      </c>
      <c r="H479" s="1" t="s">
        <v>6024</v>
      </c>
      <c r="I479" s="1" t="s">
        <v>6025</v>
      </c>
      <c r="J479" s="1">
        <v>4</v>
      </c>
      <c r="K479" s="1">
        <v>5</v>
      </c>
      <c r="L479" s="1">
        <v>15120</v>
      </c>
      <c r="M479" s="1">
        <v>20</v>
      </c>
      <c r="N479" s="1">
        <v>20</v>
      </c>
      <c r="O479" s="1">
        <v>10</v>
      </c>
      <c r="P479" s="1">
        <v>10</v>
      </c>
      <c r="Q479" s="1">
        <v>2</v>
      </c>
      <c r="R479" s="1">
        <v>5</v>
      </c>
      <c r="S479" s="1">
        <v>5</v>
      </c>
      <c r="T479" s="1">
        <v>0</v>
      </c>
      <c r="U479" s="1">
        <v>7200</v>
      </c>
      <c r="V479" s="1">
        <v>560</v>
      </c>
      <c r="W479" s="1">
        <v>110</v>
      </c>
      <c r="X479" s="1">
        <v>100</v>
      </c>
      <c r="Y479" s="1">
        <v>130</v>
      </c>
      <c r="Z479" s="1">
        <v>110</v>
      </c>
      <c r="AA479" s="1">
        <v>0</v>
      </c>
      <c r="AB479" s="1">
        <v>15</v>
      </c>
      <c r="AC479" s="1">
        <v>20</v>
      </c>
      <c r="AD479" s="1">
        <v>0</v>
      </c>
      <c r="AE479" s="1">
        <v>139</v>
      </c>
      <c r="AF479" s="1">
        <v>100</v>
      </c>
      <c r="AG479" s="1">
        <v>501071</v>
      </c>
      <c r="AH479" s="1">
        <v>0</v>
      </c>
      <c r="AI479" s="1">
        <v>501043</v>
      </c>
      <c r="AJ479" s="1" t="s">
        <v>6026</v>
      </c>
      <c r="AK479" s="1" t="s">
        <v>329</v>
      </c>
      <c r="AL479" s="1">
        <v>14</v>
      </c>
      <c r="AM479" s="1" t="s">
        <v>4779</v>
      </c>
      <c r="AN479" s="1" t="s">
        <v>5211</v>
      </c>
      <c r="AO479" s="1" t="s">
        <v>5212</v>
      </c>
      <c r="AP479" s="1">
        <v>0</v>
      </c>
      <c r="AQ479" s="1" t="s">
        <v>1158</v>
      </c>
      <c r="AR479" s="1" t="s">
        <v>1182</v>
      </c>
      <c r="AS479" s="1" t="s">
        <v>1157</v>
      </c>
      <c r="AT479" s="1" t="s">
        <v>329</v>
      </c>
      <c r="AU479" s="1">
        <v>206</v>
      </c>
      <c r="AV479" s="1">
        <v>0</v>
      </c>
      <c r="AW479" s="1" t="s">
        <v>5854</v>
      </c>
      <c r="AX479" s="1" t="s">
        <v>332</v>
      </c>
      <c r="AY479" s="1">
        <v>5</v>
      </c>
      <c r="AZ479" s="1">
        <v>0</v>
      </c>
      <c r="BA479" s="1" t="s">
        <v>329</v>
      </c>
      <c r="BB479" s="1" t="s">
        <v>329</v>
      </c>
      <c r="BC479" s="1" t="s">
        <v>329</v>
      </c>
      <c r="BD479" s="1">
        <v>0</v>
      </c>
      <c r="BE479" s="1">
        <v>0</v>
      </c>
    </row>
    <row r="480" spans="1:57" x14ac:dyDescent="0.25">
      <c r="A480" s="1">
        <v>9039</v>
      </c>
      <c r="B480" s="1" t="s">
        <v>6027</v>
      </c>
      <c r="C480" s="9" t="s">
        <v>6028</v>
      </c>
      <c r="D480" s="1" t="s">
        <v>6028</v>
      </c>
      <c r="E480" s="1"/>
      <c r="F480" s="1"/>
      <c r="G480" s="1" t="s">
        <v>6029</v>
      </c>
      <c r="H480" s="1" t="s">
        <v>6030</v>
      </c>
      <c r="I480" s="1" t="s">
        <v>6031</v>
      </c>
      <c r="J480" s="1">
        <v>4</v>
      </c>
      <c r="K480" s="1">
        <v>5</v>
      </c>
      <c r="L480" s="1">
        <v>14940</v>
      </c>
      <c r="M480" s="1">
        <v>20</v>
      </c>
      <c r="N480" s="1">
        <v>20</v>
      </c>
      <c r="O480" s="1">
        <v>10</v>
      </c>
      <c r="P480" s="1">
        <v>10</v>
      </c>
      <c r="Q480" s="1">
        <v>2</v>
      </c>
      <c r="R480" s="1">
        <v>5</v>
      </c>
      <c r="S480" s="1">
        <v>5</v>
      </c>
      <c r="T480" s="1">
        <v>0</v>
      </c>
      <c r="U480" s="1">
        <v>1050</v>
      </c>
      <c r="V480" s="1">
        <v>525</v>
      </c>
      <c r="W480" s="1">
        <v>105</v>
      </c>
      <c r="X480" s="1">
        <v>100</v>
      </c>
      <c r="Y480" s="1">
        <v>135</v>
      </c>
      <c r="Z480" s="1">
        <v>95</v>
      </c>
      <c r="AA480" s="1">
        <v>0</v>
      </c>
      <c r="AB480" s="1">
        <v>15</v>
      </c>
      <c r="AC480" s="1">
        <v>20</v>
      </c>
      <c r="AD480" s="1">
        <v>0</v>
      </c>
      <c r="AE480" s="1">
        <v>148</v>
      </c>
      <c r="AF480" s="1">
        <v>100</v>
      </c>
      <c r="AG480" s="1">
        <v>501040</v>
      </c>
      <c r="AH480" s="1">
        <v>0</v>
      </c>
      <c r="AI480" s="1">
        <v>501043</v>
      </c>
      <c r="AJ480" s="1" t="s">
        <v>6032</v>
      </c>
      <c r="AK480" s="1" t="s">
        <v>329</v>
      </c>
      <c r="AL480" s="1">
        <v>12</v>
      </c>
      <c r="AM480" s="1" t="s">
        <v>4779</v>
      </c>
      <c r="AN480" s="1" t="s">
        <v>5207</v>
      </c>
      <c r="AO480" s="1" t="s">
        <v>5208</v>
      </c>
      <c r="AP480" s="1">
        <v>0</v>
      </c>
      <c r="AQ480" s="1" t="s">
        <v>1158</v>
      </c>
      <c r="AR480" s="1" t="s">
        <v>1182</v>
      </c>
      <c r="AS480" s="1" t="s">
        <v>1157</v>
      </c>
      <c r="AT480" s="1" t="s">
        <v>329</v>
      </c>
      <c r="AU480" s="1">
        <v>205</v>
      </c>
      <c r="AV480" s="1">
        <v>0</v>
      </c>
      <c r="AW480" s="1" t="s">
        <v>5854</v>
      </c>
      <c r="AX480" s="1" t="s">
        <v>332</v>
      </c>
      <c r="AY480" s="1">
        <v>5</v>
      </c>
      <c r="AZ480" s="1">
        <v>0</v>
      </c>
      <c r="BA480" s="1" t="s">
        <v>329</v>
      </c>
      <c r="BB480" s="1" t="s">
        <v>329</v>
      </c>
      <c r="BC480" s="1" t="s">
        <v>329</v>
      </c>
      <c r="BD480" s="1">
        <v>0</v>
      </c>
      <c r="BE480" s="1">
        <v>0</v>
      </c>
    </row>
    <row r="481" spans="1:57" x14ac:dyDescent="0.25">
      <c r="A481" s="1">
        <v>9040</v>
      </c>
      <c r="B481" s="1" t="s">
        <v>6033</v>
      </c>
      <c r="C481" s="9" t="s">
        <v>22</v>
      </c>
      <c r="D481" s="1" t="s">
        <v>6009</v>
      </c>
      <c r="E481" s="1"/>
      <c r="F481" s="1"/>
      <c r="G481" s="1" t="s">
        <v>6034</v>
      </c>
      <c r="H481" s="1" t="s">
        <v>6035</v>
      </c>
      <c r="I481" s="1" t="s">
        <v>6036</v>
      </c>
      <c r="J481" s="1">
        <v>1</v>
      </c>
      <c r="K481" s="1">
        <v>5</v>
      </c>
      <c r="L481" s="1">
        <v>9300</v>
      </c>
      <c r="M481" s="1">
        <v>25</v>
      </c>
      <c r="N481" s="1">
        <v>20</v>
      </c>
      <c r="O481" s="1">
        <v>15</v>
      </c>
      <c r="P481" s="1">
        <v>10</v>
      </c>
      <c r="Q481" s="1">
        <v>5</v>
      </c>
      <c r="R481" s="1">
        <v>5</v>
      </c>
      <c r="S481" s="1">
        <v>2</v>
      </c>
      <c r="T481" s="1">
        <v>0</v>
      </c>
      <c r="U481" s="1">
        <v>110</v>
      </c>
      <c r="V481" s="1">
        <v>105</v>
      </c>
      <c r="W481" s="1">
        <v>125</v>
      </c>
      <c r="X481" s="1">
        <v>100</v>
      </c>
      <c r="Y481" s="1">
        <v>125</v>
      </c>
      <c r="Z481" s="1">
        <v>120</v>
      </c>
      <c r="AA481" s="1">
        <v>0</v>
      </c>
      <c r="AB481" s="1">
        <v>10</v>
      </c>
      <c r="AC481" s="1">
        <v>5</v>
      </c>
      <c r="AD481" s="1">
        <v>0</v>
      </c>
      <c r="AE481" s="1">
        <v>105</v>
      </c>
      <c r="AF481" s="1">
        <v>100</v>
      </c>
      <c r="AG481" s="1">
        <v>701001</v>
      </c>
      <c r="AH481" s="1">
        <v>0</v>
      </c>
      <c r="AI481" s="1">
        <v>700001</v>
      </c>
      <c r="AJ481" s="1" t="s">
        <v>6037</v>
      </c>
      <c r="AK481" s="1" t="s">
        <v>329</v>
      </c>
      <c r="AL481" s="1">
        <v>13</v>
      </c>
      <c r="AM481" s="1" t="s">
        <v>4850</v>
      </c>
      <c r="AN481" s="1" t="s">
        <v>5007</v>
      </c>
      <c r="AO481" s="1" t="s">
        <v>5106</v>
      </c>
      <c r="AP481" s="1">
        <v>0</v>
      </c>
      <c r="AQ481" s="1" t="s">
        <v>1157</v>
      </c>
      <c r="AR481" s="1" t="s">
        <v>1147</v>
      </c>
      <c r="AS481" s="1" t="s">
        <v>1158</v>
      </c>
      <c r="AT481" s="1" t="s">
        <v>329</v>
      </c>
      <c r="AU481" s="1">
        <v>143</v>
      </c>
      <c r="AV481" s="1">
        <v>0</v>
      </c>
      <c r="AW481" s="1" t="s">
        <v>5854</v>
      </c>
      <c r="AX481" s="1" t="s">
        <v>4918</v>
      </c>
      <c r="AY481" s="1">
        <v>4</v>
      </c>
      <c r="AZ481" s="1">
        <v>0</v>
      </c>
      <c r="BA481" s="1" t="s">
        <v>329</v>
      </c>
      <c r="BB481" s="1" t="s">
        <v>329</v>
      </c>
      <c r="BC481" s="1" t="s">
        <v>329</v>
      </c>
      <c r="BD481" s="1">
        <v>0</v>
      </c>
      <c r="BE481" s="1">
        <v>0</v>
      </c>
    </row>
    <row r="482" spans="1:57" x14ac:dyDescent="0.25">
      <c r="A482" s="1">
        <v>9041</v>
      </c>
      <c r="B482" s="1" t="s">
        <v>6038</v>
      </c>
      <c r="C482" s="9" t="s">
        <v>22</v>
      </c>
      <c r="D482" s="1" t="s">
        <v>6009</v>
      </c>
      <c r="E482" s="1"/>
      <c r="F482" s="1"/>
      <c r="G482" s="1" t="s">
        <v>6039</v>
      </c>
      <c r="H482" s="1" t="s">
        <v>6040</v>
      </c>
      <c r="I482" s="1" t="s">
        <v>6041</v>
      </c>
      <c r="J482" s="1">
        <v>1</v>
      </c>
      <c r="K482" s="1">
        <v>5</v>
      </c>
      <c r="L482" s="1">
        <v>9300</v>
      </c>
      <c r="M482" s="1">
        <v>25</v>
      </c>
      <c r="N482" s="1">
        <v>20</v>
      </c>
      <c r="O482" s="1">
        <v>15</v>
      </c>
      <c r="P482" s="1">
        <v>10</v>
      </c>
      <c r="Q482" s="1">
        <v>5</v>
      </c>
      <c r="R482" s="1">
        <v>5</v>
      </c>
      <c r="S482" s="1">
        <v>2</v>
      </c>
      <c r="T482" s="1">
        <v>0</v>
      </c>
      <c r="U482" s="1">
        <v>110</v>
      </c>
      <c r="V482" s="1">
        <v>105</v>
      </c>
      <c r="W482" s="1">
        <v>125</v>
      </c>
      <c r="X482" s="1">
        <v>100</v>
      </c>
      <c r="Y482" s="1">
        <v>125</v>
      </c>
      <c r="Z482" s="1">
        <v>120</v>
      </c>
      <c r="AA482" s="1">
        <v>0</v>
      </c>
      <c r="AB482" s="1">
        <v>10</v>
      </c>
      <c r="AC482" s="1">
        <v>5</v>
      </c>
      <c r="AD482" s="1">
        <v>0</v>
      </c>
      <c r="AE482" s="1">
        <v>105</v>
      </c>
      <c r="AF482" s="1">
        <v>100</v>
      </c>
      <c r="AG482" s="1">
        <v>701004</v>
      </c>
      <c r="AH482" s="1">
        <v>0</v>
      </c>
      <c r="AI482" s="1">
        <v>700001</v>
      </c>
      <c r="AJ482" s="1" t="s">
        <v>6042</v>
      </c>
      <c r="AK482" s="1" t="s">
        <v>329</v>
      </c>
      <c r="AL482" s="1">
        <v>13</v>
      </c>
      <c r="AM482" s="1" t="s">
        <v>4850</v>
      </c>
      <c r="AN482" s="1" t="s">
        <v>5007</v>
      </c>
      <c r="AO482" s="1" t="s">
        <v>5106</v>
      </c>
      <c r="AP482" s="1">
        <v>0</v>
      </c>
      <c r="AQ482" s="1" t="s">
        <v>1157</v>
      </c>
      <c r="AR482" s="1" t="s">
        <v>1147</v>
      </c>
      <c r="AS482" s="1" t="s">
        <v>1158</v>
      </c>
      <c r="AT482" s="1" t="s">
        <v>329</v>
      </c>
      <c r="AU482" s="1">
        <v>143</v>
      </c>
      <c r="AV482" s="1">
        <v>0</v>
      </c>
      <c r="AW482" s="1" t="s">
        <v>5854</v>
      </c>
      <c r="AX482" s="1" t="s">
        <v>332</v>
      </c>
      <c r="AY482" s="1">
        <v>5</v>
      </c>
      <c r="AZ482" s="1">
        <v>0</v>
      </c>
      <c r="BA482" s="1" t="s">
        <v>329</v>
      </c>
      <c r="BB482" s="1" t="s">
        <v>329</v>
      </c>
      <c r="BC482" s="1" t="s">
        <v>329</v>
      </c>
      <c r="BD482" s="1">
        <v>0</v>
      </c>
      <c r="BE482" s="1">
        <v>0</v>
      </c>
    </row>
    <row r="483" spans="1:57" x14ac:dyDescent="0.25">
      <c r="A483" s="1">
        <v>9042</v>
      </c>
      <c r="B483" s="1" t="s">
        <v>6043</v>
      </c>
      <c r="C483" s="9" t="s">
        <v>22</v>
      </c>
      <c r="D483" s="1" t="s">
        <v>6009</v>
      </c>
      <c r="E483" s="1"/>
      <c r="F483" s="1"/>
      <c r="G483" s="1" t="s">
        <v>6044</v>
      </c>
      <c r="H483" s="1" t="s">
        <v>6045</v>
      </c>
      <c r="I483" s="1" t="s">
        <v>6046</v>
      </c>
      <c r="J483" s="1">
        <v>1</v>
      </c>
      <c r="K483" s="1">
        <v>5</v>
      </c>
      <c r="L483" s="1">
        <v>9300</v>
      </c>
      <c r="M483" s="1">
        <v>25</v>
      </c>
      <c r="N483" s="1">
        <v>20</v>
      </c>
      <c r="O483" s="1">
        <v>15</v>
      </c>
      <c r="P483" s="1">
        <v>10</v>
      </c>
      <c r="Q483" s="1">
        <v>5</v>
      </c>
      <c r="R483" s="1">
        <v>5</v>
      </c>
      <c r="S483" s="1">
        <v>2</v>
      </c>
      <c r="T483" s="1">
        <v>0</v>
      </c>
      <c r="U483" s="1">
        <v>110</v>
      </c>
      <c r="V483" s="1">
        <v>105</v>
      </c>
      <c r="W483" s="1">
        <v>125</v>
      </c>
      <c r="X483" s="1">
        <v>100</v>
      </c>
      <c r="Y483" s="1">
        <v>125</v>
      </c>
      <c r="Z483" s="1">
        <v>120</v>
      </c>
      <c r="AA483" s="1">
        <v>0</v>
      </c>
      <c r="AB483" s="1">
        <v>10</v>
      </c>
      <c r="AC483" s="1">
        <v>5</v>
      </c>
      <c r="AD483" s="1">
        <v>0</v>
      </c>
      <c r="AE483" s="1">
        <v>105</v>
      </c>
      <c r="AF483" s="1">
        <v>100</v>
      </c>
      <c r="AG483" s="1">
        <v>701002</v>
      </c>
      <c r="AH483" s="1">
        <v>0</v>
      </c>
      <c r="AI483" s="1">
        <v>700001</v>
      </c>
      <c r="AJ483" s="1" t="s">
        <v>6042</v>
      </c>
      <c r="AK483" s="1" t="s">
        <v>329</v>
      </c>
      <c r="AL483" s="1">
        <v>13</v>
      </c>
      <c r="AM483" s="1" t="s">
        <v>4850</v>
      </c>
      <c r="AN483" s="1" t="s">
        <v>5007</v>
      </c>
      <c r="AO483" s="1" t="s">
        <v>5106</v>
      </c>
      <c r="AP483" s="1">
        <v>0</v>
      </c>
      <c r="AQ483" s="1" t="s">
        <v>1157</v>
      </c>
      <c r="AR483" s="1" t="s">
        <v>1147</v>
      </c>
      <c r="AS483" s="1" t="s">
        <v>1158</v>
      </c>
      <c r="AT483" s="1" t="s">
        <v>329</v>
      </c>
      <c r="AU483" s="1">
        <v>143</v>
      </c>
      <c r="AV483" s="1">
        <v>0</v>
      </c>
      <c r="AW483" s="1" t="s">
        <v>5854</v>
      </c>
      <c r="AX483" s="1" t="s">
        <v>4918</v>
      </c>
      <c r="AY483" s="1">
        <v>4</v>
      </c>
      <c r="AZ483" s="1">
        <v>0</v>
      </c>
      <c r="BA483" s="1" t="s">
        <v>329</v>
      </c>
      <c r="BB483" s="1" t="s">
        <v>329</v>
      </c>
      <c r="BC483" s="1" t="s">
        <v>329</v>
      </c>
      <c r="BD483" s="1">
        <v>0</v>
      </c>
      <c r="BE483" s="1">
        <v>0</v>
      </c>
    </row>
    <row r="484" spans="1:57" x14ac:dyDescent="0.25">
      <c r="A484" s="1">
        <v>9043</v>
      </c>
      <c r="B484" s="1" t="s">
        <v>6047</v>
      </c>
      <c r="C484" s="9" t="s">
        <v>22</v>
      </c>
      <c r="D484" s="1" t="s">
        <v>6009</v>
      </c>
      <c r="E484" s="1"/>
      <c r="F484" s="1"/>
      <c r="G484" s="1" t="s">
        <v>6048</v>
      </c>
      <c r="H484" s="1" t="s">
        <v>6049</v>
      </c>
      <c r="I484" s="1" t="s">
        <v>6050</v>
      </c>
      <c r="J484" s="1">
        <v>1</v>
      </c>
      <c r="K484" s="1">
        <v>5</v>
      </c>
      <c r="L484" s="1">
        <v>9300</v>
      </c>
      <c r="M484" s="1">
        <v>25</v>
      </c>
      <c r="N484" s="1">
        <v>20</v>
      </c>
      <c r="O484" s="1">
        <v>15</v>
      </c>
      <c r="P484" s="1">
        <v>10</v>
      </c>
      <c r="Q484" s="1">
        <v>5</v>
      </c>
      <c r="R484" s="1">
        <v>5</v>
      </c>
      <c r="S484" s="1">
        <v>2</v>
      </c>
      <c r="T484" s="1">
        <v>0</v>
      </c>
      <c r="U484" s="1">
        <v>110</v>
      </c>
      <c r="V484" s="1">
        <v>105</v>
      </c>
      <c r="W484" s="1">
        <v>125</v>
      </c>
      <c r="X484" s="1">
        <v>100</v>
      </c>
      <c r="Y484" s="1">
        <v>125</v>
      </c>
      <c r="Z484" s="1">
        <v>120</v>
      </c>
      <c r="AA484" s="1">
        <v>0</v>
      </c>
      <c r="AB484" s="1">
        <v>10</v>
      </c>
      <c r="AC484" s="1">
        <v>5</v>
      </c>
      <c r="AD484" s="1">
        <v>0</v>
      </c>
      <c r="AE484" s="1">
        <v>105</v>
      </c>
      <c r="AF484" s="1">
        <v>100</v>
      </c>
      <c r="AG484" s="1">
        <v>701003</v>
      </c>
      <c r="AH484" s="1">
        <v>0</v>
      </c>
      <c r="AI484" s="1">
        <v>700001</v>
      </c>
      <c r="AJ484" s="1" t="s">
        <v>6042</v>
      </c>
      <c r="AK484" s="1" t="s">
        <v>329</v>
      </c>
      <c r="AL484" s="1">
        <v>13</v>
      </c>
      <c r="AM484" s="1" t="s">
        <v>4850</v>
      </c>
      <c r="AN484" s="1" t="s">
        <v>5007</v>
      </c>
      <c r="AO484" s="1" t="s">
        <v>5106</v>
      </c>
      <c r="AP484" s="1">
        <v>0</v>
      </c>
      <c r="AQ484" s="1" t="s">
        <v>1157</v>
      </c>
      <c r="AR484" s="1" t="s">
        <v>1147</v>
      </c>
      <c r="AS484" s="1" t="s">
        <v>1158</v>
      </c>
      <c r="AT484" s="1" t="s">
        <v>329</v>
      </c>
      <c r="AU484" s="1">
        <v>143</v>
      </c>
      <c r="AV484" s="1">
        <v>0</v>
      </c>
      <c r="AW484" s="1" t="s">
        <v>5854</v>
      </c>
      <c r="AX484" s="1" t="s">
        <v>332</v>
      </c>
      <c r="AY484" s="1">
        <v>5</v>
      </c>
      <c r="AZ484" s="1">
        <v>0</v>
      </c>
      <c r="BA484" s="1" t="s">
        <v>329</v>
      </c>
      <c r="BB484" s="1" t="s">
        <v>329</v>
      </c>
      <c r="BC484" s="1" t="s">
        <v>329</v>
      </c>
      <c r="BD484" s="1">
        <v>0</v>
      </c>
      <c r="BE484" s="1">
        <v>0</v>
      </c>
    </row>
    <row r="485" spans="1:57" x14ac:dyDescent="0.25">
      <c r="A485" s="1">
        <v>9044</v>
      </c>
      <c r="B485" s="1" t="s">
        <v>6051</v>
      </c>
      <c r="C485" s="9" t="s">
        <v>98</v>
      </c>
      <c r="D485" s="1" t="s">
        <v>6052</v>
      </c>
      <c r="E485" s="1"/>
      <c r="F485" s="1"/>
      <c r="G485" s="1" t="s">
        <v>6053</v>
      </c>
      <c r="H485" s="1" t="s">
        <v>6054</v>
      </c>
      <c r="I485" s="1" t="s">
        <v>6055</v>
      </c>
      <c r="J485" s="1">
        <v>4</v>
      </c>
      <c r="K485" s="1">
        <v>4</v>
      </c>
      <c r="L485" s="1">
        <v>12900</v>
      </c>
      <c r="M485" s="1">
        <v>20</v>
      </c>
      <c r="N485" s="1">
        <v>20</v>
      </c>
      <c r="O485" s="1">
        <v>10</v>
      </c>
      <c r="P485" s="1">
        <v>10</v>
      </c>
      <c r="Q485" s="1">
        <v>2</v>
      </c>
      <c r="R485" s="1">
        <v>5</v>
      </c>
      <c r="S485" s="1">
        <v>5</v>
      </c>
      <c r="T485" s="1">
        <v>0</v>
      </c>
      <c r="U485" s="1">
        <v>1100</v>
      </c>
      <c r="V485" s="1">
        <v>440</v>
      </c>
      <c r="W485" s="1">
        <v>115</v>
      </c>
      <c r="X485" s="1">
        <v>100</v>
      </c>
      <c r="Y485" s="1">
        <v>120</v>
      </c>
      <c r="Z485" s="1">
        <v>115</v>
      </c>
      <c r="AA485" s="1">
        <v>0</v>
      </c>
      <c r="AB485" s="1">
        <v>15</v>
      </c>
      <c r="AC485" s="1">
        <v>50</v>
      </c>
      <c r="AD485" s="1">
        <v>0</v>
      </c>
      <c r="AE485" s="1">
        <v>110</v>
      </c>
      <c r="AF485" s="1">
        <v>100</v>
      </c>
      <c r="AG485" s="1">
        <v>403414</v>
      </c>
      <c r="AH485" s="1">
        <v>0</v>
      </c>
      <c r="AI485" s="1">
        <v>403402</v>
      </c>
      <c r="AJ485" s="1" t="s">
        <v>6056</v>
      </c>
      <c r="AK485" s="1" t="s">
        <v>329</v>
      </c>
      <c r="AL485" s="1">
        <v>13</v>
      </c>
      <c r="AM485" s="1" t="s">
        <v>4779</v>
      </c>
      <c r="AN485" s="1" t="s">
        <v>4807</v>
      </c>
      <c r="AO485" s="1" t="s">
        <v>4859</v>
      </c>
      <c r="AP485" s="1">
        <v>0</v>
      </c>
      <c r="AQ485" s="1" t="s">
        <v>1182</v>
      </c>
      <c r="AR485" s="1" t="s">
        <v>6057</v>
      </c>
      <c r="AS485" s="1" t="s">
        <v>6057</v>
      </c>
      <c r="AT485" s="1" t="s">
        <v>329</v>
      </c>
      <c r="AU485" s="1">
        <v>54</v>
      </c>
      <c r="AV485" s="1">
        <v>0</v>
      </c>
      <c r="AW485" s="1" t="s">
        <v>5854</v>
      </c>
      <c r="AX485" s="1" t="s">
        <v>1866</v>
      </c>
      <c r="AY485" s="1">
        <v>5</v>
      </c>
      <c r="AZ485" s="1">
        <v>0</v>
      </c>
      <c r="BA485" s="1" t="s">
        <v>329</v>
      </c>
      <c r="BB485" s="1" t="s">
        <v>329</v>
      </c>
      <c r="BC485" s="1" t="s">
        <v>329</v>
      </c>
      <c r="BD485" s="1">
        <v>0</v>
      </c>
      <c r="BE485" s="1">
        <v>0</v>
      </c>
    </row>
    <row r="486" spans="1:57" x14ac:dyDescent="0.25">
      <c r="A486" s="1">
        <v>9045</v>
      </c>
      <c r="B486" s="1" t="s">
        <v>6058</v>
      </c>
      <c r="C486" s="9" t="s">
        <v>6059</v>
      </c>
      <c r="D486" s="1" t="s">
        <v>6060</v>
      </c>
      <c r="E486" s="1"/>
      <c r="F486" s="1"/>
      <c r="G486" s="1" t="s">
        <v>6061</v>
      </c>
      <c r="H486" s="1" t="s">
        <v>6062</v>
      </c>
      <c r="I486" s="1" t="s">
        <v>6063</v>
      </c>
      <c r="J486" s="1">
        <v>4</v>
      </c>
      <c r="K486" s="1">
        <v>4</v>
      </c>
      <c r="L486" s="1">
        <v>12900</v>
      </c>
      <c r="M486" s="1">
        <v>20</v>
      </c>
      <c r="N486" s="1">
        <v>20</v>
      </c>
      <c r="O486" s="1">
        <v>10</v>
      </c>
      <c r="P486" s="1">
        <v>10</v>
      </c>
      <c r="Q486" s="1">
        <v>2</v>
      </c>
      <c r="R486" s="1">
        <v>5</v>
      </c>
      <c r="S486" s="1">
        <v>5</v>
      </c>
      <c r="T486" s="1">
        <v>0</v>
      </c>
      <c r="U486" s="1">
        <v>100</v>
      </c>
      <c r="V486" s="1">
        <v>0</v>
      </c>
      <c r="W486" s="1">
        <v>0</v>
      </c>
      <c r="X486" s="1">
        <v>100</v>
      </c>
      <c r="Y486" s="1">
        <v>0</v>
      </c>
      <c r="Z486" s="1">
        <v>0</v>
      </c>
      <c r="AA486" s="1">
        <v>0</v>
      </c>
      <c r="AB486" s="1">
        <v>15</v>
      </c>
      <c r="AC486" s="1">
        <v>50</v>
      </c>
      <c r="AD486" s="1">
        <v>0</v>
      </c>
      <c r="AE486" s="1">
        <v>110</v>
      </c>
      <c r="AF486" s="1">
        <v>100</v>
      </c>
      <c r="AG486" s="1">
        <v>403414</v>
      </c>
      <c r="AH486" s="1">
        <v>0</v>
      </c>
      <c r="AI486" s="1">
        <v>403402</v>
      </c>
      <c r="AJ486" s="1" t="s">
        <v>6056</v>
      </c>
      <c r="AK486" s="1" t="s">
        <v>329</v>
      </c>
      <c r="AL486" s="1">
        <v>13</v>
      </c>
      <c r="AM486" s="1" t="s">
        <v>4779</v>
      </c>
      <c r="AN486" s="1" t="s">
        <v>4807</v>
      </c>
      <c r="AO486" s="1" t="s">
        <v>4859</v>
      </c>
      <c r="AP486" s="1">
        <v>0</v>
      </c>
      <c r="AQ486" s="1" t="s">
        <v>1182</v>
      </c>
      <c r="AR486" s="1" t="s">
        <v>6057</v>
      </c>
      <c r="AS486" s="1" t="s">
        <v>6057</v>
      </c>
      <c r="AT486" s="1" t="s">
        <v>329</v>
      </c>
      <c r="AU486" s="1">
        <v>54</v>
      </c>
      <c r="AV486" s="1">
        <v>0</v>
      </c>
      <c r="AW486" s="1" t="s">
        <v>5854</v>
      </c>
      <c r="AX486" s="1" t="s">
        <v>1866</v>
      </c>
      <c r="AY486" s="1">
        <v>5</v>
      </c>
      <c r="AZ486" s="1">
        <v>0</v>
      </c>
      <c r="BA486" s="1" t="s">
        <v>329</v>
      </c>
      <c r="BB486" s="1" t="s">
        <v>329</v>
      </c>
      <c r="BC486" s="1" t="s">
        <v>329</v>
      </c>
      <c r="BD486" s="1">
        <v>0</v>
      </c>
      <c r="BE486" s="1">
        <v>0</v>
      </c>
    </row>
    <row r="487" spans="1:57" x14ac:dyDescent="0.25">
      <c r="A487" s="1">
        <v>9046</v>
      </c>
      <c r="B487" s="1" t="s">
        <v>6064</v>
      </c>
      <c r="C487" s="9" t="s">
        <v>6065</v>
      </c>
      <c r="D487" s="1" t="s">
        <v>6066</v>
      </c>
      <c r="E487" s="1"/>
      <c r="F487" s="1"/>
      <c r="G487" s="1" t="s">
        <v>6067</v>
      </c>
      <c r="H487" s="1" t="s">
        <v>6068</v>
      </c>
      <c r="I487" s="1" t="s">
        <v>6069</v>
      </c>
      <c r="J487" s="1">
        <v>4</v>
      </c>
      <c r="K487" s="1">
        <v>4</v>
      </c>
      <c r="L487" s="1">
        <v>12900</v>
      </c>
      <c r="M487" s="1">
        <v>20</v>
      </c>
      <c r="N487" s="1">
        <v>20</v>
      </c>
      <c r="O487" s="1">
        <v>10</v>
      </c>
      <c r="P487" s="1">
        <v>10</v>
      </c>
      <c r="Q487" s="1">
        <v>2</v>
      </c>
      <c r="R487" s="1">
        <v>5</v>
      </c>
      <c r="S487" s="1">
        <v>5</v>
      </c>
      <c r="T487" s="1">
        <v>0</v>
      </c>
      <c r="U487" s="1">
        <v>100</v>
      </c>
      <c r="V487" s="1">
        <v>0</v>
      </c>
      <c r="W487" s="1">
        <v>0</v>
      </c>
      <c r="X487" s="1">
        <v>100</v>
      </c>
      <c r="Y487" s="1">
        <v>0</v>
      </c>
      <c r="Z487" s="1">
        <v>0</v>
      </c>
      <c r="AA487" s="1">
        <v>0</v>
      </c>
      <c r="AB487" s="1">
        <v>15</v>
      </c>
      <c r="AC487" s="1">
        <v>50</v>
      </c>
      <c r="AD487" s="1">
        <v>0</v>
      </c>
      <c r="AE487" s="1">
        <v>110</v>
      </c>
      <c r="AF487" s="1">
        <v>100</v>
      </c>
      <c r="AG487" s="1">
        <v>403414</v>
      </c>
      <c r="AH487" s="1">
        <v>0</v>
      </c>
      <c r="AI487" s="1">
        <v>403402</v>
      </c>
      <c r="AJ487" s="1" t="s">
        <v>6056</v>
      </c>
      <c r="AK487" s="1" t="s">
        <v>329</v>
      </c>
      <c r="AL487" s="1">
        <v>13</v>
      </c>
      <c r="AM487" s="1" t="s">
        <v>4779</v>
      </c>
      <c r="AN487" s="1" t="s">
        <v>4807</v>
      </c>
      <c r="AO487" s="1" t="s">
        <v>4859</v>
      </c>
      <c r="AP487" s="1">
        <v>0</v>
      </c>
      <c r="AQ487" s="1" t="s">
        <v>1182</v>
      </c>
      <c r="AR487" s="1" t="s">
        <v>6057</v>
      </c>
      <c r="AS487" s="1" t="s">
        <v>6057</v>
      </c>
      <c r="AT487" s="1" t="s">
        <v>329</v>
      </c>
      <c r="AU487" s="1">
        <v>54</v>
      </c>
      <c r="AV487" s="1">
        <v>0</v>
      </c>
      <c r="AW487" s="1" t="s">
        <v>5854</v>
      </c>
      <c r="AX487" s="1" t="s">
        <v>1866</v>
      </c>
      <c r="AY487" s="1">
        <v>5</v>
      </c>
      <c r="AZ487" s="1">
        <v>0</v>
      </c>
      <c r="BA487" s="1" t="s">
        <v>329</v>
      </c>
      <c r="BB487" s="1" t="s">
        <v>329</v>
      </c>
      <c r="BC487" s="1" t="s">
        <v>329</v>
      </c>
      <c r="BD487" s="1">
        <v>0</v>
      </c>
      <c r="BE487" s="1">
        <v>0</v>
      </c>
    </row>
    <row r="488" spans="1:57" x14ac:dyDescent="0.25">
      <c r="A488" s="1">
        <v>9047</v>
      </c>
      <c r="B488" s="1" t="s">
        <v>6070</v>
      </c>
      <c r="C488" s="9" t="s">
        <v>6071</v>
      </c>
      <c r="D488" s="1" t="s">
        <v>6072</v>
      </c>
      <c r="E488" s="1"/>
      <c r="F488" s="1"/>
      <c r="G488" s="1" t="s">
        <v>6073</v>
      </c>
      <c r="H488" s="1" t="s">
        <v>6074</v>
      </c>
      <c r="I488" s="1" t="s">
        <v>6075</v>
      </c>
      <c r="J488" s="1">
        <v>4</v>
      </c>
      <c r="K488" s="1">
        <v>4</v>
      </c>
      <c r="L488" s="1">
        <v>12900</v>
      </c>
      <c r="M488" s="1">
        <v>20</v>
      </c>
      <c r="N488" s="1">
        <v>20</v>
      </c>
      <c r="O488" s="1">
        <v>10</v>
      </c>
      <c r="P488" s="1">
        <v>10</v>
      </c>
      <c r="Q488" s="1">
        <v>2</v>
      </c>
      <c r="R488" s="1">
        <v>5</v>
      </c>
      <c r="S488" s="1">
        <v>5</v>
      </c>
      <c r="T488" s="1">
        <v>0</v>
      </c>
      <c r="U488" s="1">
        <v>100</v>
      </c>
      <c r="V488" s="1">
        <v>0</v>
      </c>
      <c r="W488" s="1">
        <v>0</v>
      </c>
      <c r="X488" s="1">
        <v>100</v>
      </c>
      <c r="Y488" s="1">
        <v>0</v>
      </c>
      <c r="Z488" s="1">
        <v>0</v>
      </c>
      <c r="AA488" s="1">
        <v>0</v>
      </c>
      <c r="AB488" s="1">
        <v>15</v>
      </c>
      <c r="AC488" s="1">
        <v>50</v>
      </c>
      <c r="AD488" s="1">
        <v>0</v>
      </c>
      <c r="AE488" s="1">
        <v>110</v>
      </c>
      <c r="AF488" s="1">
        <v>100</v>
      </c>
      <c r="AG488" s="1">
        <v>403414</v>
      </c>
      <c r="AH488" s="1">
        <v>0</v>
      </c>
      <c r="AI488" s="1">
        <v>403402</v>
      </c>
      <c r="AJ488" s="1" t="s">
        <v>6056</v>
      </c>
      <c r="AK488" s="1" t="s">
        <v>329</v>
      </c>
      <c r="AL488" s="1">
        <v>13</v>
      </c>
      <c r="AM488" s="1" t="s">
        <v>4779</v>
      </c>
      <c r="AN488" s="1" t="s">
        <v>4807</v>
      </c>
      <c r="AO488" s="1" t="s">
        <v>4859</v>
      </c>
      <c r="AP488" s="1">
        <v>0</v>
      </c>
      <c r="AQ488" s="1" t="s">
        <v>1182</v>
      </c>
      <c r="AR488" s="1" t="s">
        <v>6057</v>
      </c>
      <c r="AS488" s="1" t="s">
        <v>6057</v>
      </c>
      <c r="AT488" s="1" t="s">
        <v>329</v>
      </c>
      <c r="AU488" s="1">
        <v>54</v>
      </c>
      <c r="AV488" s="1">
        <v>0</v>
      </c>
      <c r="AW488" s="1" t="s">
        <v>5854</v>
      </c>
      <c r="AX488" s="1" t="s">
        <v>1866</v>
      </c>
      <c r="AY488" s="1">
        <v>5</v>
      </c>
      <c r="AZ488" s="1">
        <v>0</v>
      </c>
      <c r="BA488" s="1" t="s">
        <v>329</v>
      </c>
      <c r="BB488" s="1" t="s">
        <v>329</v>
      </c>
      <c r="BC488" s="1" t="s">
        <v>329</v>
      </c>
      <c r="BD488" s="1">
        <v>0</v>
      </c>
      <c r="BE488" s="1">
        <v>0</v>
      </c>
    </row>
    <row r="489" spans="1:57" x14ac:dyDescent="0.25">
      <c r="A489" s="1">
        <v>9048</v>
      </c>
      <c r="B489" s="1" t="s">
        <v>6076</v>
      </c>
      <c r="C489" s="9" t="s">
        <v>22</v>
      </c>
      <c r="D489" s="1" t="s">
        <v>6077</v>
      </c>
      <c r="E489" s="1"/>
      <c r="F489" s="1"/>
      <c r="G489" s="1" t="s">
        <v>6078</v>
      </c>
      <c r="H489" s="1" t="s">
        <v>6079</v>
      </c>
      <c r="I489" s="1" t="s">
        <v>6080</v>
      </c>
      <c r="J489" s="1">
        <v>4</v>
      </c>
      <c r="K489" s="1">
        <v>5</v>
      </c>
      <c r="L489" s="1">
        <v>12900</v>
      </c>
      <c r="M489" s="1">
        <v>20</v>
      </c>
      <c r="N489" s="1">
        <v>20</v>
      </c>
      <c r="O489" s="1">
        <v>10</v>
      </c>
      <c r="P489" s="1">
        <v>10</v>
      </c>
      <c r="Q489" s="1">
        <v>2</v>
      </c>
      <c r="R489" s="1">
        <v>5</v>
      </c>
      <c r="S489" s="1">
        <v>5</v>
      </c>
      <c r="T489" s="1">
        <v>0</v>
      </c>
      <c r="U489" s="1">
        <v>1600</v>
      </c>
      <c r="V489" s="1">
        <v>180</v>
      </c>
      <c r="W489" s="1">
        <v>120</v>
      </c>
      <c r="X489" s="1">
        <v>120</v>
      </c>
      <c r="Y489" s="1">
        <v>100</v>
      </c>
      <c r="Z489" s="1">
        <v>100</v>
      </c>
      <c r="AA489" s="1">
        <v>0</v>
      </c>
      <c r="AB489" s="1">
        <v>15</v>
      </c>
      <c r="AC489" s="1">
        <v>50</v>
      </c>
      <c r="AD489" s="1">
        <v>0</v>
      </c>
      <c r="AE489" s="1">
        <v>100</v>
      </c>
      <c r="AF489" s="1">
        <v>100</v>
      </c>
      <c r="AG489" s="1">
        <v>100107</v>
      </c>
      <c r="AH489" s="1">
        <v>0</v>
      </c>
      <c r="AI489" s="1">
        <v>405401</v>
      </c>
      <c r="AJ489" s="1" t="s">
        <v>6081</v>
      </c>
      <c r="AK489" s="1" t="s">
        <v>329</v>
      </c>
      <c r="AL489" s="1">
        <v>13</v>
      </c>
      <c r="AM489" s="1" t="s">
        <v>4850</v>
      </c>
      <c r="AN489" s="1" t="s">
        <v>4921</v>
      </c>
      <c r="AO489" s="1" t="s">
        <v>4922</v>
      </c>
      <c r="AP489" s="1">
        <v>0</v>
      </c>
      <c r="AQ489" s="1" t="s">
        <v>1158</v>
      </c>
      <c r="AR489" s="1" t="s">
        <v>1182</v>
      </c>
      <c r="AS489" s="1" t="s">
        <v>5910</v>
      </c>
      <c r="AT489" s="1" t="s">
        <v>329</v>
      </c>
      <c r="AU489" s="1">
        <v>55</v>
      </c>
      <c r="AV489" s="1">
        <v>0</v>
      </c>
      <c r="AW489" s="1" t="s">
        <v>5854</v>
      </c>
      <c r="AX489" s="1" t="s">
        <v>1866</v>
      </c>
      <c r="AY489" s="1">
        <v>5</v>
      </c>
      <c r="AZ489" s="1">
        <v>0</v>
      </c>
      <c r="BA489" s="1" t="s">
        <v>329</v>
      </c>
      <c r="BB489" s="1" t="s">
        <v>329</v>
      </c>
      <c r="BC489" s="1" t="s">
        <v>329</v>
      </c>
      <c r="BD489" s="1">
        <v>0</v>
      </c>
      <c r="BE489" s="1">
        <v>0</v>
      </c>
    </row>
    <row r="490" spans="1:57" x14ac:dyDescent="0.25">
      <c r="A490" s="1">
        <v>9049</v>
      </c>
      <c r="B490" s="1" t="s">
        <v>6082</v>
      </c>
      <c r="C490" s="9" t="s">
        <v>6083</v>
      </c>
      <c r="D490" s="1" t="s">
        <v>6083</v>
      </c>
      <c r="E490" s="1"/>
      <c r="F490" s="1"/>
      <c r="G490" s="1" t="s">
        <v>6084</v>
      </c>
      <c r="H490" s="1" t="s">
        <v>6085</v>
      </c>
      <c r="I490" s="1" t="s">
        <v>6086</v>
      </c>
      <c r="J490" s="1">
        <v>1</v>
      </c>
      <c r="K490" s="1">
        <v>5</v>
      </c>
      <c r="L490" s="1">
        <v>12900</v>
      </c>
      <c r="M490" s="1">
        <v>20</v>
      </c>
      <c r="N490" s="1">
        <v>20</v>
      </c>
      <c r="O490" s="1">
        <v>10</v>
      </c>
      <c r="P490" s="1">
        <v>10</v>
      </c>
      <c r="Q490" s="1">
        <v>2</v>
      </c>
      <c r="R490" s="1">
        <v>5</v>
      </c>
      <c r="S490" s="1">
        <v>5</v>
      </c>
      <c r="T490" s="1">
        <v>0</v>
      </c>
      <c r="U490" s="1">
        <v>13000</v>
      </c>
      <c r="V490" s="1">
        <v>1800</v>
      </c>
      <c r="W490" s="1">
        <v>200</v>
      </c>
      <c r="X490" s="1">
        <v>100</v>
      </c>
      <c r="Y490" s="1">
        <v>360</v>
      </c>
      <c r="Z490" s="1">
        <v>600</v>
      </c>
      <c r="AA490" s="1">
        <v>0</v>
      </c>
      <c r="AB490" s="1">
        <v>15</v>
      </c>
      <c r="AC490" s="1">
        <v>20</v>
      </c>
      <c r="AD490" s="1">
        <v>0</v>
      </c>
      <c r="AE490" s="1">
        <v>100</v>
      </c>
      <c r="AF490" s="1">
        <v>100</v>
      </c>
      <c r="AG490" s="1">
        <v>900515</v>
      </c>
      <c r="AH490" s="1">
        <v>0</v>
      </c>
      <c r="AI490" s="1">
        <v>900510</v>
      </c>
      <c r="AJ490" s="1" t="s">
        <v>6087</v>
      </c>
      <c r="AK490" s="1" t="s">
        <v>329</v>
      </c>
      <c r="AL490" s="1">
        <v>13</v>
      </c>
      <c r="AM490" s="1" t="s">
        <v>4779</v>
      </c>
      <c r="AN490" s="1" t="s">
        <v>4807</v>
      </c>
      <c r="AO490" s="1" t="s">
        <v>4859</v>
      </c>
      <c r="AP490" s="1">
        <v>0</v>
      </c>
      <c r="AQ490" s="1" t="s">
        <v>1182</v>
      </c>
      <c r="AR490" s="1" t="s">
        <v>6057</v>
      </c>
      <c r="AS490" s="1" t="s">
        <v>6057</v>
      </c>
      <c r="AT490" s="1" t="s">
        <v>329</v>
      </c>
      <c r="AU490" s="1">
        <v>54</v>
      </c>
      <c r="AV490" s="1">
        <v>0</v>
      </c>
      <c r="AW490" s="1" t="s">
        <v>5854</v>
      </c>
      <c r="AX490" s="1" t="s">
        <v>1866</v>
      </c>
      <c r="AY490" s="1">
        <v>5</v>
      </c>
      <c r="AZ490" s="1">
        <v>0</v>
      </c>
      <c r="BA490" s="1" t="s">
        <v>329</v>
      </c>
      <c r="BB490" s="1" t="s">
        <v>329</v>
      </c>
      <c r="BC490" s="1" t="s">
        <v>329</v>
      </c>
      <c r="BD490" s="1">
        <v>0</v>
      </c>
      <c r="BE490" s="1">
        <v>0</v>
      </c>
    </row>
    <row r="491" spans="1:57" x14ac:dyDescent="0.25">
      <c r="A491" s="1">
        <v>9050</v>
      </c>
      <c r="B491" s="1" t="s">
        <v>6088</v>
      </c>
      <c r="C491" s="9" t="s">
        <v>6089</v>
      </c>
      <c r="D491" s="1" t="s">
        <v>6089</v>
      </c>
      <c r="E491" s="1"/>
      <c r="F491" s="1"/>
      <c r="G491" s="1" t="s">
        <v>6090</v>
      </c>
      <c r="H491" s="1" t="s">
        <v>6091</v>
      </c>
      <c r="I491" s="1" t="s">
        <v>6092</v>
      </c>
      <c r="J491" s="1">
        <v>1</v>
      </c>
      <c r="K491" s="1">
        <v>5</v>
      </c>
      <c r="L491" s="1">
        <v>12900</v>
      </c>
      <c r="M491" s="1">
        <v>20</v>
      </c>
      <c r="N491" s="1">
        <v>20</v>
      </c>
      <c r="O491" s="1">
        <v>10</v>
      </c>
      <c r="P491" s="1">
        <v>10</v>
      </c>
      <c r="Q491" s="1">
        <v>2</v>
      </c>
      <c r="R491" s="1">
        <v>5</v>
      </c>
      <c r="S491" s="1">
        <v>5</v>
      </c>
      <c r="T491" s="1">
        <v>0</v>
      </c>
      <c r="U491" s="1">
        <v>18000</v>
      </c>
      <c r="V491" s="1">
        <v>2400</v>
      </c>
      <c r="W491" s="1">
        <v>160</v>
      </c>
      <c r="X491" s="1">
        <v>100</v>
      </c>
      <c r="Y491" s="1">
        <v>450</v>
      </c>
      <c r="Z491" s="1">
        <v>300</v>
      </c>
      <c r="AA491" s="1">
        <v>0</v>
      </c>
      <c r="AB491" s="1">
        <v>15</v>
      </c>
      <c r="AC491" s="1">
        <v>50</v>
      </c>
      <c r="AD491" s="1">
        <v>0</v>
      </c>
      <c r="AE491" s="1">
        <v>100</v>
      </c>
      <c r="AF491" s="1">
        <v>100</v>
      </c>
      <c r="AG491" s="1">
        <v>600310</v>
      </c>
      <c r="AH491" s="1">
        <v>0</v>
      </c>
      <c r="AI491" s="1">
        <v>600311</v>
      </c>
      <c r="AJ491" s="1" t="s">
        <v>329</v>
      </c>
      <c r="AK491" s="1" t="s">
        <v>329</v>
      </c>
      <c r="AL491" s="1">
        <v>13</v>
      </c>
      <c r="AM491" s="1" t="s">
        <v>4779</v>
      </c>
      <c r="AN491" s="1" t="s">
        <v>4807</v>
      </c>
      <c r="AO491" s="1" t="s">
        <v>4859</v>
      </c>
      <c r="AP491" s="1">
        <v>0</v>
      </c>
      <c r="AQ491" s="1" t="s">
        <v>1182</v>
      </c>
      <c r="AR491" s="1" t="s">
        <v>6057</v>
      </c>
      <c r="AS491" s="1" t="s">
        <v>6057</v>
      </c>
      <c r="AT491" s="1" t="s">
        <v>329</v>
      </c>
      <c r="AU491" s="1">
        <v>54</v>
      </c>
      <c r="AV491" s="1">
        <v>0</v>
      </c>
      <c r="AW491" s="1" t="s">
        <v>5854</v>
      </c>
      <c r="AX491" s="1" t="s">
        <v>1866</v>
      </c>
      <c r="AY491" s="1">
        <v>5</v>
      </c>
      <c r="AZ491" s="1">
        <v>0</v>
      </c>
      <c r="BA491" s="1" t="s">
        <v>329</v>
      </c>
      <c r="BB491" s="1" t="s">
        <v>329</v>
      </c>
      <c r="BC491" s="1" t="s">
        <v>329</v>
      </c>
      <c r="BD491" s="1">
        <v>0</v>
      </c>
      <c r="BE491" s="1">
        <v>0</v>
      </c>
    </row>
    <row r="492" spans="1:57" x14ac:dyDescent="0.25">
      <c r="A492" s="1">
        <v>9051</v>
      </c>
      <c r="B492" s="1" t="s">
        <v>6093</v>
      </c>
      <c r="C492" s="9" t="s">
        <v>6094</v>
      </c>
      <c r="D492" s="1" t="s">
        <v>6094</v>
      </c>
      <c r="E492" s="1"/>
      <c r="F492" s="1"/>
      <c r="G492" s="1" t="s">
        <v>6095</v>
      </c>
      <c r="H492" s="1" t="s">
        <v>6096</v>
      </c>
      <c r="I492" s="1" t="s">
        <v>6097</v>
      </c>
      <c r="J492" s="1">
        <v>3</v>
      </c>
      <c r="K492" s="1">
        <v>5</v>
      </c>
      <c r="L492" s="1">
        <v>12900</v>
      </c>
      <c r="M492" s="1">
        <v>20</v>
      </c>
      <c r="N492" s="1">
        <v>20</v>
      </c>
      <c r="O492" s="1">
        <v>10</v>
      </c>
      <c r="P492" s="1">
        <v>10</v>
      </c>
      <c r="Q492" s="1">
        <v>2</v>
      </c>
      <c r="R492" s="1">
        <v>5</v>
      </c>
      <c r="S492" s="1">
        <v>5</v>
      </c>
      <c r="T492" s="1">
        <v>0</v>
      </c>
      <c r="U492" s="1">
        <v>10000</v>
      </c>
      <c r="V492" s="1">
        <v>2200</v>
      </c>
      <c r="W492" s="1">
        <v>150</v>
      </c>
      <c r="X492" s="1">
        <v>100</v>
      </c>
      <c r="Y492" s="1">
        <v>600</v>
      </c>
      <c r="Z492" s="1">
        <v>300</v>
      </c>
      <c r="AA492" s="1">
        <v>0</v>
      </c>
      <c r="AB492" s="1">
        <v>15</v>
      </c>
      <c r="AC492" s="1">
        <v>100</v>
      </c>
      <c r="AD492" s="1">
        <v>0</v>
      </c>
      <c r="AE492" s="1">
        <v>100</v>
      </c>
      <c r="AF492" s="1">
        <v>100</v>
      </c>
      <c r="AG492" s="1">
        <v>600408</v>
      </c>
      <c r="AH492" s="1">
        <v>0</v>
      </c>
      <c r="AI492" s="1">
        <v>600406</v>
      </c>
      <c r="AJ492" s="1" t="s">
        <v>329</v>
      </c>
      <c r="AK492" s="1" t="s">
        <v>329</v>
      </c>
      <c r="AL492" s="1">
        <v>13</v>
      </c>
      <c r="AM492" s="1" t="s">
        <v>4779</v>
      </c>
      <c r="AN492" s="1" t="s">
        <v>4807</v>
      </c>
      <c r="AO492" s="1" t="s">
        <v>4859</v>
      </c>
      <c r="AP492" s="1">
        <v>0</v>
      </c>
      <c r="AQ492" s="1" t="s">
        <v>1182</v>
      </c>
      <c r="AR492" s="1" t="s">
        <v>6057</v>
      </c>
      <c r="AS492" s="1" t="s">
        <v>6057</v>
      </c>
      <c r="AT492" s="1" t="s">
        <v>329</v>
      </c>
      <c r="AU492" s="1">
        <v>54</v>
      </c>
      <c r="AV492" s="1">
        <v>0</v>
      </c>
      <c r="AW492" s="1" t="s">
        <v>5854</v>
      </c>
      <c r="AX492" s="1" t="s">
        <v>1866</v>
      </c>
      <c r="AY492" s="1">
        <v>5</v>
      </c>
      <c r="AZ492" s="1">
        <v>0</v>
      </c>
      <c r="BA492" s="1" t="s">
        <v>329</v>
      </c>
      <c r="BB492" s="1" t="s">
        <v>329</v>
      </c>
      <c r="BC492" s="1" t="s">
        <v>329</v>
      </c>
      <c r="BD492" s="1">
        <v>0</v>
      </c>
      <c r="BE492" s="1">
        <v>0</v>
      </c>
    </row>
    <row r="493" spans="1:57" x14ac:dyDescent="0.25">
      <c r="A493" s="1">
        <v>9052</v>
      </c>
      <c r="B493" s="1" t="s">
        <v>6098</v>
      </c>
      <c r="C493" s="9" t="s">
        <v>6099</v>
      </c>
      <c r="D493" s="1" t="s">
        <v>6099</v>
      </c>
      <c r="E493" s="1"/>
      <c r="F493" s="1"/>
      <c r="G493" s="1" t="s">
        <v>6100</v>
      </c>
      <c r="H493" s="1" t="s">
        <v>6101</v>
      </c>
      <c r="I493" s="1" t="s">
        <v>6102</v>
      </c>
      <c r="J493" s="1">
        <v>1</v>
      </c>
      <c r="K493" s="1">
        <v>5</v>
      </c>
      <c r="L493" s="1">
        <v>12900</v>
      </c>
      <c r="M493" s="1">
        <v>20</v>
      </c>
      <c r="N493" s="1">
        <v>20</v>
      </c>
      <c r="O493" s="1">
        <v>10</v>
      </c>
      <c r="P493" s="1">
        <v>10</v>
      </c>
      <c r="Q493" s="1">
        <v>2</v>
      </c>
      <c r="R493" s="1">
        <v>5</v>
      </c>
      <c r="S493" s="1">
        <v>5</v>
      </c>
      <c r="T493" s="1">
        <v>0</v>
      </c>
      <c r="U493" s="1">
        <v>11000</v>
      </c>
      <c r="V493" s="1">
        <v>1800</v>
      </c>
      <c r="W493" s="1">
        <v>240</v>
      </c>
      <c r="X493" s="1">
        <v>100</v>
      </c>
      <c r="Y493" s="1">
        <v>450</v>
      </c>
      <c r="Z493" s="1">
        <v>450</v>
      </c>
      <c r="AA493" s="1">
        <v>0</v>
      </c>
      <c r="AB493" s="1">
        <v>15</v>
      </c>
      <c r="AC493" s="1">
        <v>50</v>
      </c>
      <c r="AD493" s="1">
        <v>0</v>
      </c>
      <c r="AE493" s="1">
        <v>100</v>
      </c>
      <c r="AF493" s="1">
        <v>100</v>
      </c>
      <c r="AG493" s="1">
        <v>600207</v>
      </c>
      <c r="AH493" s="1">
        <v>0</v>
      </c>
      <c r="AI493" s="1">
        <v>600204</v>
      </c>
      <c r="AJ493" s="1" t="s">
        <v>329</v>
      </c>
      <c r="AK493" s="1" t="s">
        <v>329</v>
      </c>
      <c r="AL493" s="1">
        <v>13</v>
      </c>
      <c r="AM493" s="1" t="s">
        <v>4779</v>
      </c>
      <c r="AN493" s="1" t="s">
        <v>4807</v>
      </c>
      <c r="AO493" s="1" t="s">
        <v>4859</v>
      </c>
      <c r="AP493" s="1">
        <v>0</v>
      </c>
      <c r="AQ493" s="1" t="s">
        <v>1182</v>
      </c>
      <c r="AR493" s="1" t="s">
        <v>6057</v>
      </c>
      <c r="AS493" s="1" t="s">
        <v>6057</v>
      </c>
      <c r="AT493" s="1" t="s">
        <v>329</v>
      </c>
      <c r="AU493" s="1">
        <v>54</v>
      </c>
      <c r="AV493" s="1">
        <v>0</v>
      </c>
      <c r="AW493" s="1" t="s">
        <v>5854</v>
      </c>
      <c r="AX493" s="1" t="s">
        <v>1866</v>
      </c>
      <c r="AY493" s="1">
        <v>5</v>
      </c>
      <c r="AZ493" s="1">
        <v>0</v>
      </c>
      <c r="BA493" s="1" t="s">
        <v>329</v>
      </c>
      <c r="BB493" s="1" t="s">
        <v>329</v>
      </c>
      <c r="BC493" s="1" t="s">
        <v>329</v>
      </c>
      <c r="BD493" s="1">
        <v>0</v>
      </c>
      <c r="BE493" s="1">
        <v>0</v>
      </c>
    </row>
    <row r="494" spans="1:57" x14ac:dyDescent="0.25">
      <c r="A494" s="1">
        <v>9053</v>
      </c>
      <c r="B494" s="1" t="s">
        <v>6103</v>
      </c>
      <c r="C494" s="9" t="s">
        <v>22</v>
      </c>
      <c r="D494" s="1" t="s">
        <v>6077</v>
      </c>
      <c r="E494" s="1"/>
      <c r="F494" s="1"/>
      <c r="G494" s="1" t="s">
        <v>6104</v>
      </c>
      <c r="H494" s="1" t="s">
        <v>6105</v>
      </c>
      <c r="I494" s="1" t="s">
        <v>6106</v>
      </c>
      <c r="J494" s="1">
        <v>4</v>
      </c>
      <c r="K494" s="1">
        <v>5</v>
      </c>
      <c r="L494" s="1">
        <v>12900</v>
      </c>
      <c r="M494" s="1">
        <v>20</v>
      </c>
      <c r="N494" s="1">
        <v>20</v>
      </c>
      <c r="O494" s="1">
        <v>10</v>
      </c>
      <c r="P494" s="1">
        <v>10</v>
      </c>
      <c r="Q494" s="1">
        <v>2</v>
      </c>
      <c r="R494" s="1">
        <v>5</v>
      </c>
      <c r="S494" s="1">
        <v>5</v>
      </c>
      <c r="T494" s="1">
        <v>0</v>
      </c>
      <c r="U494" s="1">
        <v>1800</v>
      </c>
      <c r="V494" s="1">
        <v>600</v>
      </c>
      <c r="W494" s="1">
        <v>280</v>
      </c>
      <c r="X494" s="1">
        <v>120</v>
      </c>
      <c r="Y494" s="1">
        <v>180</v>
      </c>
      <c r="Z494" s="1">
        <v>180</v>
      </c>
      <c r="AA494" s="1">
        <v>0</v>
      </c>
      <c r="AB494" s="1">
        <v>15</v>
      </c>
      <c r="AC494" s="1">
        <v>50</v>
      </c>
      <c r="AD494" s="1">
        <v>0</v>
      </c>
      <c r="AE494" s="1">
        <v>100</v>
      </c>
      <c r="AF494" s="1">
        <v>100</v>
      </c>
      <c r="AG494" s="1">
        <v>801101</v>
      </c>
      <c r="AH494" s="1">
        <v>801108</v>
      </c>
      <c r="AI494" s="1">
        <v>801102</v>
      </c>
      <c r="AJ494" s="1" t="s">
        <v>6107</v>
      </c>
      <c r="AK494" s="1" t="s">
        <v>1431</v>
      </c>
      <c r="AL494" s="1">
        <v>13</v>
      </c>
      <c r="AM494" s="1" t="s">
        <v>4850</v>
      </c>
      <c r="AN494" s="1" t="s">
        <v>4921</v>
      </c>
      <c r="AO494" s="1" t="s">
        <v>5488</v>
      </c>
      <c r="AP494" s="1">
        <v>0</v>
      </c>
      <c r="AQ494" s="1" t="s">
        <v>1158</v>
      </c>
      <c r="AR494" s="1" t="s">
        <v>1182</v>
      </c>
      <c r="AS494" s="1" t="s">
        <v>5910</v>
      </c>
      <c r="AT494" s="1" t="s">
        <v>329</v>
      </c>
      <c r="AU494" s="1">
        <v>55</v>
      </c>
      <c r="AV494" s="1">
        <v>0</v>
      </c>
      <c r="AW494" s="1" t="s">
        <v>5854</v>
      </c>
      <c r="AX494" s="1" t="s">
        <v>1866</v>
      </c>
      <c r="AY494" s="1">
        <v>5</v>
      </c>
      <c r="AZ494" s="1">
        <v>0</v>
      </c>
      <c r="BA494" s="1" t="s">
        <v>329</v>
      </c>
      <c r="BB494" s="1" t="s">
        <v>329</v>
      </c>
      <c r="BC494" s="1" t="s">
        <v>329</v>
      </c>
      <c r="BD494" s="1">
        <v>0</v>
      </c>
      <c r="BE494" s="1">
        <v>0</v>
      </c>
    </row>
    <row r="495" spans="1:57" x14ac:dyDescent="0.25">
      <c r="A495" s="1">
        <v>9054</v>
      </c>
      <c r="B495" s="1" t="s">
        <v>6108</v>
      </c>
      <c r="C495" s="9" t="s">
        <v>6109</v>
      </c>
      <c r="D495" s="1" t="s">
        <v>6109</v>
      </c>
      <c r="E495" s="1"/>
      <c r="F495" s="1"/>
      <c r="G495" s="1" t="s">
        <v>6110</v>
      </c>
      <c r="H495" s="1" t="s">
        <v>6111</v>
      </c>
      <c r="I495" s="1" t="s">
        <v>6112</v>
      </c>
      <c r="J495" s="1">
        <v>1</v>
      </c>
      <c r="K495" s="1">
        <v>5</v>
      </c>
      <c r="L495" s="1">
        <v>12900</v>
      </c>
      <c r="M495" s="1">
        <v>20</v>
      </c>
      <c r="N495" s="1">
        <v>20</v>
      </c>
      <c r="O495" s="1">
        <v>10</v>
      </c>
      <c r="P495" s="1">
        <v>10</v>
      </c>
      <c r="Q495" s="1">
        <v>2</v>
      </c>
      <c r="R495" s="1">
        <v>5</v>
      </c>
      <c r="S495" s="1">
        <v>5</v>
      </c>
      <c r="T495" s="1">
        <v>0</v>
      </c>
      <c r="U495" s="1">
        <v>100</v>
      </c>
      <c r="V495" s="1">
        <v>100</v>
      </c>
      <c r="W495" s="1">
        <v>100</v>
      </c>
      <c r="X495" s="1">
        <v>100</v>
      </c>
      <c r="Y495" s="1">
        <v>100</v>
      </c>
      <c r="Z495" s="1">
        <v>100</v>
      </c>
      <c r="AA495" s="1">
        <v>0</v>
      </c>
      <c r="AB495" s="1">
        <v>15</v>
      </c>
      <c r="AC495" s="1">
        <v>20</v>
      </c>
      <c r="AD495" s="1">
        <v>0</v>
      </c>
      <c r="AE495" s="1">
        <v>100</v>
      </c>
      <c r="AF495" s="1">
        <v>100</v>
      </c>
      <c r="AG495" s="1">
        <v>900515</v>
      </c>
      <c r="AH495" s="1">
        <v>0</v>
      </c>
      <c r="AI495" s="1">
        <v>900510</v>
      </c>
      <c r="AJ495" s="1" t="s">
        <v>6087</v>
      </c>
      <c r="AK495" s="1" t="s">
        <v>329</v>
      </c>
      <c r="AL495" s="1">
        <v>13</v>
      </c>
      <c r="AM495" s="1" t="s">
        <v>4779</v>
      </c>
      <c r="AN495" s="1" t="s">
        <v>4807</v>
      </c>
      <c r="AO495" s="1" t="s">
        <v>4859</v>
      </c>
      <c r="AP495" s="1">
        <v>0</v>
      </c>
      <c r="AQ495" s="1" t="s">
        <v>1182</v>
      </c>
      <c r="AR495" s="1" t="s">
        <v>6057</v>
      </c>
      <c r="AS495" s="1" t="s">
        <v>6057</v>
      </c>
      <c r="AT495" s="1" t="s">
        <v>329</v>
      </c>
      <c r="AU495" s="1">
        <v>54</v>
      </c>
      <c r="AV495" s="1">
        <v>0</v>
      </c>
      <c r="AW495" s="1" t="s">
        <v>5854</v>
      </c>
      <c r="AX495" s="1" t="s">
        <v>1866</v>
      </c>
      <c r="AY495" s="1">
        <v>5</v>
      </c>
      <c r="AZ495" s="1">
        <v>0</v>
      </c>
      <c r="BA495" s="1" t="s">
        <v>329</v>
      </c>
      <c r="BB495" s="1" t="s">
        <v>329</v>
      </c>
      <c r="BC495" s="1" t="s">
        <v>329</v>
      </c>
      <c r="BD495" s="1">
        <v>0</v>
      </c>
      <c r="BE495" s="1">
        <v>0</v>
      </c>
    </row>
    <row r="496" spans="1:57" x14ac:dyDescent="0.25">
      <c r="A496" s="1">
        <v>9055</v>
      </c>
      <c r="B496" s="1" t="s">
        <v>6113</v>
      </c>
      <c r="C496" s="9" t="s">
        <v>6114</v>
      </c>
      <c r="D496" s="1" t="s">
        <v>6114</v>
      </c>
      <c r="E496" s="1"/>
      <c r="F496" s="1"/>
      <c r="G496" s="1" t="s">
        <v>6115</v>
      </c>
      <c r="H496" s="1" t="s">
        <v>6116</v>
      </c>
      <c r="I496" s="1" t="s">
        <v>6117</v>
      </c>
      <c r="J496" s="1">
        <v>1</v>
      </c>
      <c r="K496" s="1">
        <v>3</v>
      </c>
      <c r="L496" s="1">
        <v>2700</v>
      </c>
      <c r="M496" s="1">
        <v>10</v>
      </c>
      <c r="N496" s="1">
        <v>10</v>
      </c>
      <c r="O496" s="1">
        <v>5</v>
      </c>
      <c r="P496" s="1">
        <v>5</v>
      </c>
      <c r="Q496" s="1">
        <v>2</v>
      </c>
      <c r="R496" s="1">
        <v>2</v>
      </c>
      <c r="S496" s="1">
        <v>2</v>
      </c>
      <c r="T496" s="1">
        <v>0</v>
      </c>
      <c r="U496" s="1">
        <v>650</v>
      </c>
      <c r="V496" s="1">
        <v>120</v>
      </c>
      <c r="W496" s="1">
        <v>100</v>
      </c>
      <c r="X496" s="1">
        <v>100</v>
      </c>
      <c r="Y496" s="1">
        <v>105</v>
      </c>
      <c r="Z496" s="1">
        <v>100</v>
      </c>
      <c r="AA496" s="1">
        <v>0</v>
      </c>
      <c r="AB496" s="1">
        <v>15</v>
      </c>
      <c r="AC496" s="1">
        <v>20</v>
      </c>
      <c r="AD496" s="1">
        <v>0</v>
      </c>
      <c r="AE496" s="1">
        <v>105</v>
      </c>
      <c r="AF496" s="1">
        <v>120</v>
      </c>
      <c r="AG496" s="1">
        <v>100602</v>
      </c>
      <c r="AH496" s="1">
        <v>0</v>
      </c>
      <c r="AI496" s="1">
        <v>300101</v>
      </c>
      <c r="AJ496" s="1" t="s">
        <v>329</v>
      </c>
      <c r="AK496" s="1" t="s">
        <v>329</v>
      </c>
      <c r="AL496" s="1">
        <v>13</v>
      </c>
      <c r="AM496" s="1" t="s">
        <v>1866</v>
      </c>
      <c r="AN496" s="1" t="s">
        <v>4807</v>
      </c>
      <c r="AO496" s="1" t="s">
        <v>4804</v>
      </c>
      <c r="AP496" s="1">
        <v>0</v>
      </c>
      <c r="AQ496" s="1" t="s">
        <v>5916</v>
      </c>
      <c r="AR496" s="1" t="s">
        <v>1147</v>
      </c>
      <c r="AS496" s="1" t="s">
        <v>1157</v>
      </c>
      <c r="AT496" s="1" t="s">
        <v>329</v>
      </c>
      <c r="AU496" s="1">
        <v>6</v>
      </c>
      <c r="AV496" s="1">
        <v>0</v>
      </c>
      <c r="AW496" s="1" t="s">
        <v>5854</v>
      </c>
      <c r="AX496" s="1" t="s">
        <v>1866</v>
      </c>
      <c r="AY496" s="1">
        <v>3</v>
      </c>
      <c r="AZ496" s="1">
        <v>0</v>
      </c>
      <c r="BA496" s="1" t="s">
        <v>329</v>
      </c>
      <c r="BB496" s="1" t="s">
        <v>329</v>
      </c>
      <c r="BC496" s="1" t="s">
        <v>329</v>
      </c>
      <c r="BD496" s="1">
        <v>0</v>
      </c>
      <c r="BE496" s="1">
        <v>0</v>
      </c>
    </row>
    <row r="497" spans="1:57" x14ac:dyDescent="0.25">
      <c r="A497" s="1">
        <v>9056</v>
      </c>
      <c r="B497" s="1" t="s">
        <v>6118</v>
      </c>
      <c r="C497" s="9" t="s">
        <v>249</v>
      </c>
      <c r="D497" s="1" t="s">
        <v>249</v>
      </c>
      <c r="E497" s="1"/>
      <c r="F497" s="1"/>
      <c r="G497" s="1" t="s">
        <v>6119</v>
      </c>
      <c r="H497" s="1" t="s">
        <v>6120</v>
      </c>
      <c r="I497" s="1" t="s">
        <v>6121</v>
      </c>
      <c r="J497" s="1">
        <v>3</v>
      </c>
      <c r="K497" s="1">
        <v>5</v>
      </c>
      <c r="L497" s="1">
        <v>17400</v>
      </c>
      <c r="M497" s="1">
        <v>15</v>
      </c>
      <c r="N497" s="1">
        <v>30</v>
      </c>
      <c r="O497" s="1">
        <v>10</v>
      </c>
      <c r="P497" s="1">
        <v>15</v>
      </c>
      <c r="Q497" s="1">
        <v>5</v>
      </c>
      <c r="R497" s="1">
        <v>2</v>
      </c>
      <c r="S497" s="1">
        <v>5</v>
      </c>
      <c r="T497" s="1">
        <v>0</v>
      </c>
      <c r="U497" s="1">
        <v>90</v>
      </c>
      <c r="V497" s="1">
        <v>120</v>
      </c>
      <c r="W497" s="1">
        <v>110</v>
      </c>
      <c r="X497" s="1">
        <v>100</v>
      </c>
      <c r="Y497" s="1">
        <v>120</v>
      </c>
      <c r="Z497" s="1">
        <v>100</v>
      </c>
      <c r="AA497" s="1">
        <v>0</v>
      </c>
      <c r="AB497" s="1">
        <v>15</v>
      </c>
      <c r="AC497" s="1">
        <v>40</v>
      </c>
      <c r="AD497" s="1">
        <v>0</v>
      </c>
      <c r="AE497" s="1">
        <v>120</v>
      </c>
      <c r="AF497" s="1">
        <v>100</v>
      </c>
      <c r="AG497" s="1">
        <v>406601</v>
      </c>
      <c r="AH497" s="1">
        <v>0</v>
      </c>
      <c r="AI497" s="1">
        <v>900107</v>
      </c>
      <c r="AJ497" s="1" t="s">
        <v>6122</v>
      </c>
      <c r="AK497" s="1" t="s">
        <v>329</v>
      </c>
      <c r="AL497" s="1">
        <v>17</v>
      </c>
      <c r="AM497" s="1" t="s">
        <v>4822</v>
      </c>
      <c r="AN497" s="1" t="s">
        <v>5464</v>
      </c>
      <c r="AO497" s="1" t="s">
        <v>4905</v>
      </c>
      <c r="AP497" s="1">
        <v>0</v>
      </c>
      <c r="AQ497" s="1" t="s">
        <v>1168</v>
      </c>
      <c r="AR497" s="1" t="s">
        <v>1169</v>
      </c>
      <c r="AS497" s="1" t="s">
        <v>6123</v>
      </c>
      <c r="AT497" s="1" t="s">
        <v>329</v>
      </c>
      <c r="AU497" s="1">
        <v>1005</v>
      </c>
      <c r="AV497" s="1">
        <v>1</v>
      </c>
      <c r="AW497" s="1" t="s">
        <v>5854</v>
      </c>
      <c r="AX497" s="1" t="s">
        <v>1400</v>
      </c>
      <c r="AY497" s="1">
        <v>7</v>
      </c>
      <c r="AZ497" s="1">
        <v>0</v>
      </c>
      <c r="BA497" s="1" t="s">
        <v>329</v>
      </c>
      <c r="BB497" s="1" t="s">
        <v>329</v>
      </c>
      <c r="BC497" s="1" t="s">
        <v>5446</v>
      </c>
      <c r="BD497" s="1">
        <v>0</v>
      </c>
      <c r="BE497" s="1">
        <v>0</v>
      </c>
    </row>
    <row r="498" spans="1:57" x14ac:dyDescent="0.25">
      <c r="A498" s="1">
        <v>9057</v>
      </c>
      <c r="B498" s="1" t="s">
        <v>6124</v>
      </c>
      <c r="C498" s="9" t="s">
        <v>249</v>
      </c>
      <c r="D498" s="1" t="s">
        <v>249</v>
      </c>
      <c r="E498" s="1"/>
      <c r="F498" s="1"/>
      <c r="G498" s="1" t="s">
        <v>6125</v>
      </c>
      <c r="H498" s="1" t="s">
        <v>6126</v>
      </c>
      <c r="I498" s="1" t="s">
        <v>6127</v>
      </c>
      <c r="J498" s="1">
        <v>3</v>
      </c>
      <c r="K498" s="1">
        <v>5</v>
      </c>
      <c r="L498" s="1">
        <v>17400</v>
      </c>
      <c r="M498" s="1">
        <v>15</v>
      </c>
      <c r="N498" s="1">
        <v>30</v>
      </c>
      <c r="O498" s="1">
        <v>10</v>
      </c>
      <c r="P498" s="1">
        <v>15</v>
      </c>
      <c r="Q498" s="1">
        <v>5</v>
      </c>
      <c r="R498" s="1">
        <v>2</v>
      </c>
      <c r="S498" s="1">
        <v>5</v>
      </c>
      <c r="T498" s="1">
        <v>0</v>
      </c>
      <c r="U498" s="1">
        <v>90</v>
      </c>
      <c r="V498" s="1">
        <v>120</v>
      </c>
      <c r="W498" s="1">
        <v>110</v>
      </c>
      <c r="X498" s="1">
        <v>100</v>
      </c>
      <c r="Y498" s="1">
        <v>120</v>
      </c>
      <c r="Z498" s="1">
        <v>100</v>
      </c>
      <c r="AA498" s="1">
        <v>0</v>
      </c>
      <c r="AB498" s="1">
        <v>15</v>
      </c>
      <c r="AC498" s="1">
        <v>40</v>
      </c>
      <c r="AD498" s="1">
        <v>0</v>
      </c>
      <c r="AE498" s="1">
        <v>120</v>
      </c>
      <c r="AF498" s="1">
        <v>100</v>
      </c>
      <c r="AG498" s="1">
        <v>406601</v>
      </c>
      <c r="AH498" s="1">
        <v>0</v>
      </c>
      <c r="AI498" s="1">
        <v>900107</v>
      </c>
      <c r="AJ498" s="1" t="s">
        <v>6128</v>
      </c>
      <c r="AK498" s="1" t="s">
        <v>329</v>
      </c>
      <c r="AL498" s="1">
        <v>17</v>
      </c>
      <c r="AM498" s="1" t="s">
        <v>4822</v>
      </c>
      <c r="AN498" s="1" t="s">
        <v>5464</v>
      </c>
      <c r="AO498" s="1" t="s">
        <v>4905</v>
      </c>
      <c r="AP498" s="1">
        <v>0</v>
      </c>
      <c r="AQ498" s="1" t="s">
        <v>1168</v>
      </c>
      <c r="AR498" s="1" t="s">
        <v>1169</v>
      </c>
      <c r="AS498" s="1" t="s">
        <v>6123</v>
      </c>
      <c r="AT498" s="1" t="s">
        <v>329</v>
      </c>
      <c r="AU498" s="1">
        <v>1005</v>
      </c>
      <c r="AV498" s="1">
        <v>1</v>
      </c>
      <c r="AW498" s="1" t="s">
        <v>5854</v>
      </c>
      <c r="AX498" s="1" t="s">
        <v>1400</v>
      </c>
      <c r="AY498" s="1">
        <v>7</v>
      </c>
      <c r="AZ498" s="1">
        <v>0</v>
      </c>
      <c r="BA498" s="1" t="s">
        <v>329</v>
      </c>
      <c r="BB498" s="1" t="s">
        <v>329</v>
      </c>
      <c r="BC498" s="1" t="s">
        <v>5446</v>
      </c>
      <c r="BD498" s="1">
        <v>0</v>
      </c>
      <c r="BE498" s="1">
        <v>0</v>
      </c>
    </row>
    <row r="499" spans="1:57" x14ac:dyDescent="0.25">
      <c r="A499" s="1">
        <v>9058</v>
      </c>
      <c r="B499" s="1" t="s">
        <v>6129</v>
      </c>
      <c r="C499" s="9" t="s">
        <v>5868</v>
      </c>
      <c r="D499" s="1" t="s">
        <v>5869</v>
      </c>
      <c r="E499" s="1"/>
      <c r="F499" s="1"/>
      <c r="G499" s="1" t="s">
        <v>6130</v>
      </c>
      <c r="H499" s="1" t="s">
        <v>6131</v>
      </c>
      <c r="I499" s="1" t="s">
        <v>6132</v>
      </c>
      <c r="J499" s="1">
        <v>5</v>
      </c>
      <c r="K499" s="1">
        <v>5</v>
      </c>
      <c r="L499" s="1">
        <v>22500</v>
      </c>
      <c r="M499" s="1">
        <v>40</v>
      </c>
      <c r="N499" s="1">
        <v>30</v>
      </c>
      <c r="O499" s="1">
        <v>25</v>
      </c>
      <c r="P499" s="1">
        <v>15</v>
      </c>
      <c r="Q499" s="1">
        <v>5</v>
      </c>
      <c r="R499" s="1">
        <v>5</v>
      </c>
      <c r="S499" s="1">
        <v>2</v>
      </c>
      <c r="T499" s="1">
        <v>5</v>
      </c>
      <c r="U499" s="1">
        <v>400</v>
      </c>
      <c r="V499" s="1">
        <v>0</v>
      </c>
      <c r="W499" s="1">
        <v>0</v>
      </c>
      <c r="X499" s="1">
        <v>100</v>
      </c>
      <c r="Y499" s="1">
        <v>0</v>
      </c>
      <c r="Z499" s="1">
        <v>0</v>
      </c>
      <c r="AA499" s="1">
        <v>0</v>
      </c>
      <c r="AB499" s="1">
        <v>15</v>
      </c>
      <c r="AC499" s="1">
        <v>0</v>
      </c>
      <c r="AD499" s="1">
        <v>0</v>
      </c>
      <c r="AE499" s="1">
        <v>100</v>
      </c>
      <c r="AF499" s="1">
        <v>100</v>
      </c>
      <c r="AG499" s="1">
        <v>402606</v>
      </c>
      <c r="AH499" s="1">
        <v>0</v>
      </c>
      <c r="AI499" s="1">
        <v>402601</v>
      </c>
      <c r="AJ499" s="1" t="s">
        <v>5873</v>
      </c>
      <c r="AK499" s="1" t="s">
        <v>329</v>
      </c>
      <c r="AL499" s="1">
        <v>19</v>
      </c>
      <c r="AM499" s="1" t="s">
        <v>4822</v>
      </c>
      <c r="AN499" s="1" t="s">
        <v>329</v>
      </c>
      <c r="AO499" s="1" t="s">
        <v>329</v>
      </c>
      <c r="AP499" s="1">
        <v>0</v>
      </c>
      <c r="AQ499" s="1" t="s">
        <v>1168</v>
      </c>
      <c r="AR499" s="1" t="s">
        <v>5852</v>
      </c>
      <c r="AS499" s="1" t="s">
        <v>5853</v>
      </c>
      <c r="AT499" s="1" t="s">
        <v>329</v>
      </c>
      <c r="AU499" s="1">
        <v>10</v>
      </c>
      <c r="AV499" s="1">
        <v>1</v>
      </c>
      <c r="AW499" s="1" t="s">
        <v>5854</v>
      </c>
      <c r="AX499" s="1" t="s">
        <v>1866</v>
      </c>
      <c r="AY499" s="1">
        <v>5</v>
      </c>
      <c r="AZ499" s="1">
        <v>0</v>
      </c>
      <c r="BA499" s="1" t="s">
        <v>329</v>
      </c>
      <c r="BB499" s="1" t="s">
        <v>329</v>
      </c>
      <c r="BC499" s="1" t="s">
        <v>329</v>
      </c>
      <c r="BD499" s="1">
        <v>0</v>
      </c>
      <c r="BE499" s="1">
        <v>0</v>
      </c>
    </row>
    <row r="500" spans="1:57" x14ac:dyDescent="0.25">
      <c r="A500" s="1">
        <v>9059</v>
      </c>
      <c r="B500" s="1" t="s">
        <v>6133</v>
      </c>
      <c r="C500" s="9" t="s">
        <v>5868</v>
      </c>
      <c r="D500" s="1" t="s">
        <v>5869</v>
      </c>
      <c r="E500" s="1"/>
      <c r="F500" s="1"/>
      <c r="G500" s="1" t="s">
        <v>6134</v>
      </c>
      <c r="H500" s="1" t="s">
        <v>6135</v>
      </c>
      <c r="I500" s="1" t="s">
        <v>6136</v>
      </c>
      <c r="J500" s="1">
        <v>5</v>
      </c>
      <c r="K500" s="1">
        <v>5</v>
      </c>
      <c r="L500" s="1">
        <v>22500</v>
      </c>
      <c r="M500" s="1">
        <v>40</v>
      </c>
      <c r="N500" s="1">
        <v>30</v>
      </c>
      <c r="O500" s="1">
        <v>25</v>
      </c>
      <c r="P500" s="1">
        <v>15</v>
      </c>
      <c r="Q500" s="1">
        <v>5</v>
      </c>
      <c r="R500" s="1">
        <v>5</v>
      </c>
      <c r="S500" s="1">
        <v>2</v>
      </c>
      <c r="T500" s="1">
        <v>5</v>
      </c>
      <c r="U500" s="1">
        <v>400</v>
      </c>
      <c r="V500" s="1">
        <v>0</v>
      </c>
      <c r="W500" s="1">
        <v>0</v>
      </c>
      <c r="X500" s="1">
        <v>100</v>
      </c>
      <c r="Y500" s="1">
        <v>0</v>
      </c>
      <c r="Z500" s="1">
        <v>0</v>
      </c>
      <c r="AA500" s="1">
        <v>0</v>
      </c>
      <c r="AB500" s="1">
        <v>15</v>
      </c>
      <c r="AC500" s="1">
        <v>0</v>
      </c>
      <c r="AD500" s="1">
        <v>0</v>
      </c>
      <c r="AE500" s="1">
        <v>100</v>
      </c>
      <c r="AF500" s="1">
        <v>100</v>
      </c>
      <c r="AG500" s="1">
        <v>402606</v>
      </c>
      <c r="AH500" s="1">
        <v>0</v>
      </c>
      <c r="AI500" s="1">
        <v>402601</v>
      </c>
      <c r="AJ500" s="1" t="s">
        <v>5873</v>
      </c>
      <c r="AK500" s="1" t="s">
        <v>329</v>
      </c>
      <c r="AL500" s="1">
        <v>19</v>
      </c>
      <c r="AM500" s="1" t="s">
        <v>4822</v>
      </c>
      <c r="AN500" s="1" t="s">
        <v>329</v>
      </c>
      <c r="AO500" s="1" t="s">
        <v>329</v>
      </c>
      <c r="AP500" s="1">
        <v>0</v>
      </c>
      <c r="AQ500" s="1" t="s">
        <v>1168</v>
      </c>
      <c r="AR500" s="1" t="s">
        <v>5852</v>
      </c>
      <c r="AS500" s="1" t="s">
        <v>5853</v>
      </c>
      <c r="AT500" s="1" t="s">
        <v>329</v>
      </c>
      <c r="AU500" s="1">
        <v>10</v>
      </c>
      <c r="AV500" s="1">
        <v>1</v>
      </c>
      <c r="AW500" s="1" t="s">
        <v>5854</v>
      </c>
      <c r="AX500" s="1" t="s">
        <v>1866</v>
      </c>
      <c r="AY500" s="1">
        <v>5</v>
      </c>
      <c r="AZ500" s="1">
        <v>0</v>
      </c>
      <c r="BA500" s="1" t="s">
        <v>329</v>
      </c>
      <c r="BB500" s="1" t="s">
        <v>329</v>
      </c>
      <c r="BC500" s="1" t="s">
        <v>329</v>
      </c>
      <c r="BD500" s="1">
        <v>0</v>
      </c>
      <c r="BE500" s="1">
        <v>0</v>
      </c>
    </row>
    <row r="501" spans="1:57" x14ac:dyDescent="0.25">
      <c r="A501" s="1">
        <v>9060</v>
      </c>
      <c r="B501" s="1" t="s">
        <v>6137</v>
      </c>
      <c r="C501" s="9" t="s">
        <v>6138</v>
      </c>
      <c r="D501" s="1" t="s">
        <v>6138</v>
      </c>
      <c r="E501" s="1"/>
      <c r="F501" s="1"/>
      <c r="G501" s="1" t="s">
        <v>6139</v>
      </c>
      <c r="H501" s="1" t="s">
        <v>6140</v>
      </c>
      <c r="I501" s="1" t="s">
        <v>6141</v>
      </c>
      <c r="J501" s="1">
        <v>4</v>
      </c>
      <c r="K501" s="1">
        <v>5</v>
      </c>
      <c r="L501" s="1">
        <v>12900</v>
      </c>
      <c r="M501" s="1">
        <v>20</v>
      </c>
      <c r="N501" s="1">
        <v>20</v>
      </c>
      <c r="O501" s="1">
        <v>10</v>
      </c>
      <c r="P501" s="1">
        <v>10</v>
      </c>
      <c r="Q501" s="1">
        <v>2</v>
      </c>
      <c r="R501" s="1">
        <v>5</v>
      </c>
      <c r="S501" s="1">
        <v>5</v>
      </c>
      <c r="T501" s="1">
        <v>0</v>
      </c>
      <c r="U501" s="1">
        <v>1800</v>
      </c>
      <c r="V501" s="1">
        <v>600</v>
      </c>
      <c r="W501" s="1">
        <v>280</v>
      </c>
      <c r="X501" s="1">
        <v>0</v>
      </c>
      <c r="Y501" s="1">
        <v>180</v>
      </c>
      <c r="Z501" s="1">
        <v>180</v>
      </c>
      <c r="AA501" s="1">
        <v>0</v>
      </c>
      <c r="AB501" s="1">
        <v>15</v>
      </c>
      <c r="AC501" s="1">
        <v>50</v>
      </c>
      <c r="AD501" s="1">
        <v>0</v>
      </c>
      <c r="AE501" s="1">
        <v>100</v>
      </c>
      <c r="AF501" s="1">
        <v>100</v>
      </c>
      <c r="AG501" s="1">
        <v>900107</v>
      </c>
      <c r="AH501" s="1">
        <v>0</v>
      </c>
      <c r="AI501" s="1">
        <v>900107</v>
      </c>
      <c r="AJ501" s="1" t="s">
        <v>6142</v>
      </c>
      <c r="AK501" s="1" t="s">
        <v>329</v>
      </c>
      <c r="AL501" s="1">
        <v>13</v>
      </c>
      <c r="AM501" s="1" t="s">
        <v>4850</v>
      </c>
      <c r="AN501" s="1" t="s">
        <v>4921</v>
      </c>
      <c r="AO501" s="1" t="s">
        <v>5488</v>
      </c>
      <c r="AP501" s="1">
        <v>0</v>
      </c>
      <c r="AQ501" s="1" t="s">
        <v>1158</v>
      </c>
      <c r="AR501" s="1" t="s">
        <v>1182</v>
      </c>
      <c r="AS501" s="1" t="s">
        <v>5910</v>
      </c>
      <c r="AT501" s="1" t="s">
        <v>329</v>
      </c>
      <c r="AU501" s="1">
        <v>55</v>
      </c>
      <c r="AV501" s="1">
        <v>0</v>
      </c>
      <c r="AW501" s="1" t="s">
        <v>5854</v>
      </c>
      <c r="AX501" s="1" t="s">
        <v>1866</v>
      </c>
      <c r="AY501" s="1">
        <v>5</v>
      </c>
      <c r="AZ501" s="1">
        <v>0</v>
      </c>
      <c r="BA501" s="1" t="s">
        <v>329</v>
      </c>
      <c r="BB501" s="1" t="s">
        <v>329</v>
      </c>
      <c r="BC501" s="1" t="s">
        <v>329</v>
      </c>
      <c r="BD501" s="1">
        <v>0</v>
      </c>
      <c r="BE501" s="1">
        <v>0</v>
      </c>
    </row>
    <row r="502" spans="1:57" x14ac:dyDescent="0.25">
      <c r="A502" s="1">
        <v>9061</v>
      </c>
      <c r="B502" s="1" t="s">
        <v>6143</v>
      </c>
      <c r="C502" s="9" t="s">
        <v>6144</v>
      </c>
      <c r="D502" s="1" t="s">
        <v>6144</v>
      </c>
      <c r="E502" s="1"/>
      <c r="F502" s="1"/>
      <c r="G502" s="1" t="s">
        <v>6145</v>
      </c>
      <c r="H502" s="1" t="s">
        <v>6146</v>
      </c>
      <c r="I502" s="1" t="s">
        <v>6147</v>
      </c>
      <c r="J502" s="1">
        <v>1</v>
      </c>
      <c r="K502" s="1">
        <v>4</v>
      </c>
      <c r="L502" s="1">
        <v>3000</v>
      </c>
      <c r="M502" s="1">
        <v>10</v>
      </c>
      <c r="N502" s="1">
        <v>10</v>
      </c>
      <c r="O502" s="1">
        <v>5</v>
      </c>
      <c r="P502" s="1">
        <v>5</v>
      </c>
      <c r="Q502" s="1">
        <v>2</v>
      </c>
      <c r="R502" s="1">
        <v>2</v>
      </c>
      <c r="S502" s="1">
        <v>2</v>
      </c>
      <c r="T502" s="1">
        <v>0</v>
      </c>
      <c r="U502" s="1">
        <v>120</v>
      </c>
      <c r="V502" s="1">
        <v>125</v>
      </c>
      <c r="W502" s="1">
        <v>85</v>
      </c>
      <c r="X502" s="1">
        <v>100</v>
      </c>
      <c r="Y502" s="1">
        <v>90</v>
      </c>
      <c r="Z502" s="1">
        <v>95</v>
      </c>
      <c r="AA502" s="1">
        <v>0</v>
      </c>
      <c r="AB502" s="1">
        <v>15</v>
      </c>
      <c r="AC502" s="1">
        <v>20</v>
      </c>
      <c r="AD502" s="1">
        <v>0</v>
      </c>
      <c r="AE502" s="1">
        <v>130</v>
      </c>
      <c r="AF502" s="1">
        <v>95</v>
      </c>
      <c r="AG502" s="1">
        <v>100503</v>
      </c>
      <c r="AH502" s="1">
        <v>0</v>
      </c>
      <c r="AI502" s="1">
        <v>300115</v>
      </c>
      <c r="AJ502" s="1" t="s">
        <v>329</v>
      </c>
      <c r="AK502" s="1" t="s">
        <v>329</v>
      </c>
      <c r="AL502" s="1">
        <v>13</v>
      </c>
      <c r="AM502" s="1" t="s">
        <v>1866</v>
      </c>
      <c r="AN502" s="1" t="s">
        <v>4800</v>
      </c>
      <c r="AO502" s="1" t="s">
        <v>4801</v>
      </c>
      <c r="AP502" s="1">
        <v>0</v>
      </c>
      <c r="AQ502" s="1" t="s">
        <v>1168</v>
      </c>
      <c r="AR502" s="1" t="s">
        <v>5852</v>
      </c>
      <c r="AS502" s="1" t="s">
        <v>5853</v>
      </c>
      <c r="AT502" s="1" t="s">
        <v>329</v>
      </c>
      <c r="AU502" s="1">
        <v>1</v>
      </c>
      <c r="AV502" s="1">
        <v>0</v>
      </c>
      <c r="AW502" s="1" t="s">
        <v>5854</v>
      </c>
      <c r="AX502" s="1" t="s">
        <v>1866</v>
      </c>
      <c r="AY502" s="1">
        <v>4</v>
      </c>
      <c r="AZ502" s="1">
        <v>0</v>
      </c>
      <c r="BA502" s="1" t="s">
        <v>329</v>
      </c>
      <c r="BB502" s="1" t="s">
        <v>329</v>
      </c>
      <c r="BC502" s="1" t="s">
        <v>329</v>
      </c>
      <c r="BD502" s="1">
        <v>0</v>
      </c>
      <c r="BE502" s="1">
        <v>0</v>
      </c>
    </row>
    <row r="503" spans="1:57" x14ac:dyDescent="0.25">
      <c r="A503" s="1">
        <v>9062</v>
      </c>
      <c r="B503" s="1" t="s">
        <v>6148</v>
      </c>
      <c r="C503" s="9" t="s">
        <v>6149</v>
      </c>
      <c r="D503" s="1" t="s">
        <v>6149</v>
      </c>
      <c r="E503" s="1"/>
      <c r="F503" s="1"/>
      <c r="G503" s="1" t="s">
        <v>6150</v>
      </c>
      <c r="H503" s="1" t="s">
        <v>6151</v>
      </c>
      <c r="I503" s="1" t="s">
        <v>6152</v>
      </c>
      <c r="J503" s="1">
        <v>1</v>
      </c>
      <c r="K503" s="1">
        <v>4</v>
      </c>
      <c r="L503" s="1">
        <v>3000</v>
      </c>
      <c r="M503" s="1">
        <v>10</v>
      </c>
      <c r="N503" s="1">
        <v>10</v>
      </c>
      <c r="O503" s="1">
        <v>5</v>
      </c>
      <c r="P503" s="1">
        <v>5</v>
      </c>
      <c r="Q503" s="1">
        <v>2</v>
      </c>
      <c r="R503" s="1">
        <v>2</v>
      </c>
      <c r="S503" s="1">
        <v>2</v>
      </c>
      <c r="T503" s="1">
        <v>0</v>
      </c>
      <c r="U503" s="1">
        <v>120</v>
      </c>
      <c r="V503" s="1">
        <v>125</v>
      </c>
      <c r="W503" s="1">
        <v>85</v>
      </c>
      <c r="X503" s="1">
        <v>100</v>
      </c>
      <c r="Y503" s="1">
        <v>90</v>
      </c>
      <c r="Z503" s="1">
        <v>95</v>
      </c>
      <c r="AA503" s="1">
        <v>0</v>
      </c>
      <c r="AB503" s="1">
        <v>15</v>
      </c>
      <c r="AC503" s="1">
        <v>20</v>
      </c>
      <c r="AD503" s="1">
        <v>0</v>
      </c>
      <c r="AE503" s="1">
        <v>130</v>
      </c>
      <c r="AF503" s="1">
        <v>95</v>
      </c>
      <c r="AG503" s="1">
        <v>100503</v>
      </c>
      <c r="AH503" s="1">
        <v>0</v>
      </c>
      <c r="AI503" s="1">
        <v>300115</v>
      </c>
      <c r="AJ503" s="1" t="s">
        <v>329</v>
      </c>
      <c r="AK503" s="1" t="s">
        <v>329</v>
      </c>
      <c r="AL503" s="1">
        <v>13</v>
      </c>
      <c r="AM503" s="1" t="s">
        <v>1866</v>
      </c>
      <c r="AN503" s="1" t="s">
        <v>4800</v>
      </c>
      <c r="AO503" s="1" t="s">
        <v>4801</v>
      </c>
      <c r="AP503" s="1">
        <v>0</v>
      </c>
      <c r="AQ503" s="1" t="s">
        <v>1168</v>
      </c>
      <c r="AR503" s="1" t="s">
        <v>5852</v>
      </c>
      <c r="AS503" s="1" t="s">
        <v>5853</v>
      </c>
      <c r="AT503" s="1" t="s">
        <v>329</v>
      </c>
      <c r="AU503" s="1">
        <v>1</v>
      </c>
      <c r="AV503" s="1">
        <v>0</v>
      </c>
      <c r="AW503" s="1" t="s">
        <v>5854</v>
      </c>
      <c r="AX503" s="1" t="s">
        <v>1866</v>
      </c>
      <c r="AY503" s="1">
        <v>4</v>
      </c>
      <c r="AZ503" s="1">
        <v>0</v>
      </c>
      <c r="BA503" s="1" t="s">
        <v>329</v>
      </c>
      <c r="BB503" s="1" t="s">
        <v>329</v>
      </c>
      <c r="BC503" s="1" t="s">
        <v>329</v>
      </c>
      <c r="BD503" s="1">
        <v>0</v>
      </c>
      <c r="BE503" s="1">
        <v>0</v>
      </c>
    </row>
    <row r="504" spans="1:57" x14ac:dyDescent="0.25">
      <c r="A504" s="1">
        <v>9063</v>
      </c>
      <c r="B504" s="1" t="s">
        <v>6153</v>
      </c>
      <c r="C504" s="9" t="s">
        <v>6154</v>
      </c>
      <c r="D504" s="1" t="s">
        <v>6154</v>
      </c>
      <c r="E504" s="1"/>
      <c r="F504" s="1"/>
      <c r="G504" s="1" t="s">
        <v>6155</v>
      </c>
      <c r="H504" s="1" t="s">
        <v>6156</v>
      </c>
      <c r="I504" s="1" t="s">
        <v>6157</v>
      </c>
      <c r="J504" s="1">
        <v>1</v>
      </c>
      <c r="K504" s="1">
        <v>5</v>
      </c>
      <c r="L504" s="1">
        <v>12900</v>
      </c>
      <c r="M504" s="1">
        <v>20</v>
      </c>
      <c r="N504" s="1">
        <v>20</v>
      </c>
      <c r="O504" s="1">
        <v>10</v>
      </c>
      <c r="P504" s="1">
        <v>10</v>
      </c>
      <c r="Q504" s="1">
        <v>2</v>
      </c>
      <c r="R504" s="1">
        <v>5</v>
      </c>
      <c r="S504" s="1">
        <v>5</v>
      </c>
      <c r="T504" s="1">
        <v>0</v>
      </c>
      <c r="U504" s="1">
        <v>1800</v>
      </c>
      <c r="V504" s="1">
        <v>600</v>
      </c>
      <c r="W504" s="1">
        <v>280</v>
      </c>
      <c r="X504" s="1">
        <v>100</v>
      </c>
      <c r="Y504" s="1">
        <v>180</v>
      </c>
      <c r="Z504" s="1">
        <v>180</v>
      </c>
      <c r="AA504" s="1">
        <v>0</v>
      </c>
      <c r="AB504" s="1">
        <v>15</v>
      </c>
      <c r="AC504" s="1">
        <v>50</v>
      </c>
      <c r="AD504" s="1">
        <v>0</v>
      </c>
      <c r="AE504" s="1">
        <v>100</v>
      </c>
      <c r="AF504" s="1">
        <v>100</v>
      </c>
      <c r="AG504" s="1">
        <v>900943</v>
      </c>
      <c r="AH504" s="1">
        <v>0</v>
      </c>
      <c r="AI504" s="1">
        <v>900944</v>
      </c>
      <c r="AJ504" s="1" t="s">
        <v>6158</v>
      </c>
      <c r="AK504" s="1" t="s">
        <v>329</v>
      </c>
      <c r="AL504" s="1">
        <v>13</v>
      </c>
      <c r="AM504" s="1" t="s">
        <v>4850</v>
      </c>
      <c r="AN504" s="1" t="s">
        <v>4921</v>
      </c>
      <c r="AO504" s="1" t="s">
        <v>5488</v>
      </c>
      <c r="AP504" s="1">
        <v>0</v>
      </c>
      <c r="AQ504" s="1" t="s">
        <v>1158</v>
      </c>
      <c r="AR504" s="1" t="s">
        <v>1182</v>
      </c>
      <c r="AS504" s="1" t="s">
        <v>5910</v>
      </c>
      <c r="AT504" s="1" t="s">
        <v>329</v>
      </c>
      <c r="AU504" s="1">
        <v>55</v>
      </c>
      <c r="AV504" s="1">
        <v>0</v>
      </c>
      <c r="AW504" s="1" t="s">
        <v>5854</v>
      </c>
      <c r="AX504" s="1" t="s">
        <v>1866</v>
      </c>
      <c r="AY504" s="1">
        <v>5</v>
      </c>
      <c r="AZ504" s="1">
        <v>0</v>
      </c>
      <c r="BA504" s="1" t="s">
        <v>329</v>
      </c>
      <c r="BB504" s="1" t="s">
        <v>329</v>
      </c>
      <c r="BC504" s="1" t="s">
        <v>329</v>
      </c>
      <c r="BD504" s="1">
        <v>0</v>
      </c>
      <c r="BE504" s="1">
        <v>0</v>
      </c>
    </row>
    <row r="505" spans="1:57" x14ac:dyDescent="0.25">
      <c r="A505" s="1">
        <v>9064</v>
      </c>
      <c r="B505" s="1" t="s">
        <v>6159</v>
      </c>
      <c r="C505" s="9" t="s">
        <v>223</v>
      </c>
      <c r="D505" s="1" t="s">
        <v>4260</v>
      </c>
      <c r="E505" s="1"/>
      <c r="F505" s="1"/>
      <c r="G505" s="1" t="s">
        <v>6160</v>
      </c>
      <c r="H505" s="1" t="s">
        <v>6161</v>
      </c>
      <c r="I505" s="1" t="s">
        <v>6162</v>
      </c>
      <c r="J505" s="1">
        <v>4</v>
      </c>
      <c r="K505" s="1">
        <v>5</v>
      </c>
      <c r="L505" s="1">
        <v>14100</v>
      </c>
      <c r="M505" s="1">
        <v>20</v>
      </c>
      <c r="N505" s="1">
        <v>20</v>
      </c>
      <c r="O505" s="1">
        <v>10</v>
      </c>
      <c r="P505" s="1">
        <v>10</v>
      </c>
      <c r="Q505" s="1">
        <v>2</v>
      </c>
      <c r="R505" s="1">
        <v>5</v>
      </c>
      <c r="S505" s="1">
        <v>5</v>
      </c>
      <c r="T505" s="1">
        <v>0</v>
      </c>
      <c r="U505" s="1">
        <v>108</v>
      </c>
      <c r="V505" s="1">
        <v>120</v>
      </c>
      <c r="W505" s="1">
        <v>112</v>
      </c>
      <c r="X505" s="1">
        <v>60</v>
      </c>
      <c r="Y505" s="1">
        <v>120</v>
      </c>
      <c r="Z505" s="1">
        <v>98</v>
      </c>
      <c r="AA505" s="1">
        <v>0</v>
      </c>
      <c r="AB505" s="1">
        <v>15</v>
      </c>
      <c r="AC505" s="1">
        <v>20</v>
      </c>
      <c r="AD505" s="1">
        <v>0</v>
      </c>
      <c r="AE505" s="1">
        <v>122</v>
      </c>
      <c r="AF505" s="1">
        <v>999</v>
      </c>
      <c r="AG505" s="1">
        <v>901087</v>
      </c>
      <c r="AH505" s="1">
        <v>0</v>
      </c>
      <c r="AI505" s="1">
        <v>901087</v>
      </c>
      <c r="AJ505" s="1" t="s">
        <v>6163</v>
      </c>
      <c r="AK505" s="1" t="s">
        <v>329</v>
      </c>
      <c r="AL505" s="1">
        <v>13</v>
      </c>
      <c r="AM505" s="1" t="s">
        <v>4779</v>
      </c>
      <c r="AN505" s="1" t="s">
        <v>476</v>
      </c>
      <c r="AO505" s="1" t="s">
        <v>4947</v>
      </c>
      <c r="AP505" s="1">
        <v>0</v>
      </c>
      <c r="AQ505" s="1" t="s">
        <v>1158</v>
      </c>
      <c r="AR505" s="1" t="s">
        <v>1182</v>
      </c>
      <c r="AS505" s="1" t="s">
        <v>5910</v>
      </c>
      <c r="AT505" s="1" t="s">
        <v>329</v>
      </c>
      <c r="AU505" s="1">
        <v>65</v>
      </c>
      <c r="AV505" s="1">
        <v>0</v>
      </c>
      <c r="AW505" s="1" t="s">
        <v>5854</v>
      </c>
      <c r="AX505" s="1" t="s">
        <v>1866</v>
      </c>
      <c r="AY505" s="1">
        <v>5</v>
      </c>
      <c r="AZ505" s="1">
        <v>0</v>
      </c>
      <c r="BA505" s="1" t="s">
        <v>329</v>
      </c>
      <c r="BB505" s="1" t="s">
        <v>329</v>
      </c>
      <c r="BC505" s="1" t="s">
        <v>329</v>
      </c>
      <c r="BD505" s="1">
        <v>0</v>
      </c>
      <c r="BE505" s="1">
        <v>0</v>
      </c>
    </row>
    <row r="506" spans="1:57" x14ac:dyDescent="0.25">
      <c r="A506" s="1">
        <v>9065</v>
      </c>
      <c r="B506" s="1" t="s">
        <v>6164</v>
      </c>
      <c r="C506" s="9" t="s">
        <v>79</v>
      </c>
      <c r="D506" s="1" t="s">
        <v>4255</v>
      </c>
      <c r="E506" s="1"/>
      <c r="F506" s="1"/>
      <c r="G506" s="1" t="s">
        <v>6165</v>
      </c>
      <c r="H506" s="1" t="s">
        <v>6166</v>
      </c>
      <c r="I506" s="1" t="s">
        <v>6167</v>
      </c>
      <c r="J506" s="1">
        <v>2</v>
      </c>
      <c r="K506" s="1">
        <v>5</v>
      </c>
      <c r="L506" s="1">
        <v>9300</v>
      </c>
      <c r="M506" s="1">
        <v>20</v>
      </c>
      <c r="N506" s="1">
        <v>20</v>
      </c>
      <c r="O506" s="1">
        <v>10</v>
      </c>
      <c r="P506" s="1">
        <v>10</v>
      </c>
      <c r="Q506" s="1">
        <v>2</v>
      </c>
      <c r="R506" s="1">
        <v>5</v>
      </c>
      <c r="S506" s="1">
        <v>5</v>
      </c>
      <c r="T506" s="1">
        <v>0</v>
      </c>
      <c r="U506" s="1">
        <v>68</v>
      </c>
      <c r="V506" s="1">
        <v>120</v>
      </c>
      <c r="W506" s="1">
        <v>112</v>
      </c>
      <c r="X506" s="1">
        <v>60</v>
      </c>
      <c r="Y506" s="1">
        <v>120</v>
      </c>
      <c r="Z506" s="1">
        <v>98</v>
      </c>
      <c r="AA506" s="1">
        <v>0</v>
      </c>
      <c r="AB506" s="1">
        <v>15</v>
      </c>
      <c r="AC506" s="1">
        <v>20</v>
      </c>
      <c r="AD506" s="1">
        <v>0</v>
      </c>
      <c r="AE506" s="1">
        <v>100</v>
      </c>
      <c r="AF506" s="1">
        <v>999</v>
      </c>
      <c r="AG506" s="1">
        <v>901087</v>
      </c>
      <c r="AH506" s="1">
        <v>0</v>
      </c>
      <c r="AI506" s="1">
        <v>901087</v>
      </c>
      <c r="AJ506" s="1" t="s">
        <v>6168</v>
      </c>
      <c r="AK506" s="1" t="s">
        <v>329</v>
      </c>
      <c r="AL506" s="1">
        <v>13</v>
      </c>
      <c r="AM506" s="1" t="s">
        <v>4850</v>
      </c>
      <c r="AN506" s="1" t="s">
        <v>4853</v>
      </c>
      <c r="AO506" s="1" t="s">
        <v>4862</v>
      </c>
      <c r="AP506" s="1">
        <v>0</v>
      </c>
      <c r="AQ506" s="1" t="s">
        <v>1157</v>
      </c>
      <c r="AR506" s="1" t="s">
        <v>1147</v>
      </c>
      <c r="AS506" s="1" t="s">
        <v>1158</v>
      </c>
      <c r="AT506" s="1" t="s">
        <v>329</v>
      </c>
      <c r="AU506" s="1">
        <v>20</v>
      </c>
      <c r="AV506" s="1">
        <v>0</v>
      </c>
      <c r="AW506" s="1" t="s">
        <v>5854</v>
      </c>
      <c r="AX506" s="1" t="s">
        <v>1866</v>
      </c>
      <c r="AY506" s="1">
        <v>5</v>
      </c>
      <c r="AZ506" s="1">
        <v>0</v>
      </c>
      <c r="BA506" s="1" t="s">
        <v>329</v>
      </c>
      <c r="BB506" s="1" t="s">
        <v>329</v>
      </c>
      <c r="BC506" s="1" t="s">
        <v>329</v>
      </c>
      <c r="BD506" s="1">
        <v>0</v>
      </c>
      <c r="BE506" s="1">
        <v>0</v>
      </c>
    </row>
    <row r="507" spans="1:57" x14ac:dyDescent="0.25">
      <c r="A507" s="1">
        <v>9066</v>
      </c>
      <c r="B507" s="1" t="s">
        <v>6169</v>
      </c>
      <c r="C507" s="9" t="s">
        <v>6170</v>
      </c>
      <c r="D507" s="1" t="s">
        <v>6170</v>
      </c>
      <c r="E507" s="1"/>
      <c r="F507" s="1"/>
      <c r="G507" s="1" t="s">
        <v>6171</v>
      </c>
      <c r="H507" s="1" t="s">
        <v>6172</v>
      </c>
      <c r="I507" s="1" t="s">
        <v>6173</v>
      </c>
      <c r="J507" s="1">
        <v>4</v>
      </c>
      <c r="K507" s="1">
        <v>5</v>
      </c>
      <c r="L507" s="1">
        <v>14100</v>
      </c>
      <c r="M507" s="1">
        <v>20</v>
      </c>
      <c r="N507" s="1">
        <v>20</v>
      </c>
      <c r="O507" s="1">
        <v>10</v>
      </c>
      <c r="P507" s="1">
        <v>10</v>
      </c>
      <c r="Q507" s="1">
        <v>2</v>
      </c>
      <c r="R507" s="1">
        <v>5</v>
      </c>
      <c r="S507" s="1">
        <v>5</v>
      </c>
      <c r="T507" s="1">
        <v>0</v>
      </c>
      <c r="U507" s="1">
        <v>108</v>
      </c>
      <c r="V507" s="1">
        <v>120</v>
      </c>
      <c r="W507" s="1">
        <v>112</v>
      </c>
      <c r="X507" s="1">
        <v>60</v>
      </c>
      <c r="Y507" s="1">
        <v>120</v>
      </c>
      <c r="Z507" s="1">
        <v>98</v>
      </c>
      <c r="AA507" s="1">
        <v>0</v>
      </c>
      <c r="AB507" s="1">
        <v>15</v>
      </c>
      <c r="AC507" s="1">
        <v>20</v>
      </c>
      <c r="AD507" s="1">
        <v>0</v>
      </c>
      <c r="AE507" s="1">
        <v>122</v>
      </c>
      <c r="AF507" s="1">
        <v>999</v>
      </c>
      <c r="AG507" s="1">
        <v>901087</v>
      </c>
      <c r="AH507" s="1">
        <v>0</v>
      </c>
      <c r="AI507" s="1">
        <v>901087</v>
      </c>
      <c r="AJ507" s="1" t="s">
        <v>6163</v>
      </c>
      <c r="AK507" s="1" t="s">
        <v>329</v>
      </c>
      <c r="AL507" s="1">
        <v>13</v>
      </c>
      <c r="AM507" s="1" t="s">
        <v>4779</v>
      </c>
      <c r="AN507" s="1" t="s">
        <v>476</v>
      </c>
      <c r="AO507" s="1" t="s">
        <v>4947</v>
      </c>
      <c r="AP507" s="1">
        <v>0</v>
      </c>
      <c r="AQ507" s="1" t="s">
        <v>1158</v>
      </c>
      <c r="AR507" s="1" t="s">
        <v>1182</v>
      </c>
      <c r="AS507" s="1" t="s">
        <v>5910</v>
      </c>
      <c r="AT507" s="1" t="s">
        <v>329</v>
      </c>
      <c r="AU507" s="1">
        <v>65</v>
      </c>
      <c r="AV507" s="1">
        <v>0</v>
      </c>
      <c r="AW507" s="1" t="s">
        <v>5854</v>
      </c>
      <c r="AX507" s="1" t="s">
        <v>1866</v>
      </c>
      <c r="AY507" s="1">
        <v>5</v>
      </c>
      <c r="AZ507" s="1">
        <v>0</v>
      </c>
      <c r="BA507" s="1" t="s">
        <v>329</v>
      </c>
      <c r="BB507" s="1" t="s">
        <v>329</v>
      </c>
      <c r="BC507" s="1" t="s">
        <v>329</v>
      </c>
      <c r="BD507" s="1">
        <v>0</v>
      </c>
      <c r="BE507" s="1">
        <v>0</v>
      </c>
    </row>
    <row r="508" spans="1:57" x14ac:dyDescent="0.25">
      <c r="A508" s="1">
        <v>9067</v>
      </c>
      <c r="B508" s="1" t="s">
        <v>6174</v>
      </c>
      <c r="C508" s="9" t="s">
        <v>6175</v>
      </c>
      <c r="D508" s="1" t="s">
        <v>6175</v>
      </c>
      <c r="E508" s="1"/>
      <c r="F508" s="1"/>
      <c r="G508" s="1" t="s">
        <v>6176</v>
      </c>
      <c r="H508" s="1" t="s">
        <v>6177</v>
      </c>
      <c r="I508" s="1" t="s">
        <v>6178</v>
      </c>
      <c r="J508" s="1">
        <v>2</v>
      </c>
      <c r="K508" s="1">
        <v>5</v>
      </c>
      <c r="L508" s="1">
        <v>9300</v>
      </c>
      <c r="M508" s="1">
        <v>20</v>
      </c>
      <c r="N508" s="1">
        <v>20</v>
      </c>
      <c r="O508" s="1">
        <v>10</v>
      </c>
      <c r="P508" s="1">
        <v>10</v>
      </c>
      <c r="Q508" s="1">
        <v>2</v>
      </c>
      <c r="R508" s="1">
        <v>5</v>
      </c>
      <c r="S508" s="1">
        <v>5</v>
      </c>
      <c r="T508" s="1">
        <v>0</v>
      </c>
      <c r="U508" s="1">
        <v>68</v>
      </c>
      <c r="V508" s="1">
        <v>120</v>
      </c>
      <c r="W508" s="1">
        <v>112</v>
      </c>
      <c r="X508" s="1">
        <v>60</v>
      </c>
      <c r="Y508" s="1">
        <v>120</v>
      </c>
      <c r="Z508" s="1">
        <v>98</v>
      </c>
      <c r="AA508" s="1">
        <v>0</v>
      </c>
      <c r="AB508" s="1">
        <v>15</v>
      </c>
      <c r="AC508" s="1">
        <v>20</v>
      </c>
      <c r="AD508" s="1">
        <v>0</v>
      </c>
      <c r="AE508" s="1">
        <v>100</v>
      </c>
      <c r="AF508" s="1">
        <v>999</v>
      </c>
      <c r="AG508" s="1">
        <v>901087</v>
      </c>
      <c r="AH508" s="1">
        <v>0</v>
      </c>
      <c r="AI508" s="1">
        <v>901087</v>
      </c>
      <c r="AJ508" s="1" t="s">
        <v>6168</v>
      </c>
      <c r="AK508" s="1" t="s">
        <v>329</v>
      </c>
      <c r="AL508" s="1">
        <v>13</v>
      </c>
      <c r="AM508" s="1" t="s">
        <v>4850</v>
      </c>
      <c r="AN508" s="1" t="s">
        <v>4853</v>
      </c>
      <c r="AO508" s="1" t="s">
        <v>4862</v>
      </c>
      <c r="AP508" s="1">
        <v>0</v>
      </c>
      <c r="AQ508" s="1" t="s">
        <v>1157</v>
      </c>
      <c r="AR508" s="1" t="s">
        <v>1147</v>
      </c>
      <c r="AS508" s="1" t="s">
        <v>1158</v>
      </c>
      <c r="AT508" s="1" t="s">
        <v>329</v>
      </c>
      <c r="AU508" s="1">
        <v>20</v>
      </c>
      <c r="AV508" s="1">
        <v>0</v>
      </c>
      <c r="AW508" s="1" t="s">
        <v>5854</v>
      </c>
      <c r="AX508" s="1" t="s">
        <v>1866</v>
      </c>
      <c r="AY508" s="1">
        <v>5</v>
      </c>
      <c r="AZ508" s="1">
        <v>0</v>
      </c>
      <c r="BA508" s="1" t="s">
        <v>329</v>
      </c>
      <c r="BB508" s="1" t="s">
        <v>329</v>
      </c>
      <c r="BC508" s="1" t="s">
        <v>329</v>
      </c>
      <c r="BD508" s="1">
        <v>0</v>
      </c>
      <c r="BE508" s="1">
        <v>0</v>
      </c>
    </row>
    <row r="509" spans="1:57" x14ac:dyDescent="0.25">
      <c r="A509" s="1">
        <v>9068</v>
      </c>
      <c r="B509" s="1" t="s">
        <v>6179</v>
      </c>
      <c r="C509" s="9" t="s">
        <v>6175</v>
      </c>
      <c r="D509" s="1" t="s">
        <v>6175</v>
      </c>
      <c r="E509" s="1"/>
      <c r="F509" s="1"/>
      <c r="G509" s="1" t="s">
        <v>6180</v>
      </c>
      <c r="H509" s="1" t="s">
        <v>6181</v>
      </c>
      <c r="I509" s="1" t="s">
        <v>6182</v>
      </c>
      <c r="J509" s="1">
        <v>1</v>
      </c>
      <c r="K509" s="1">
        <v>5</v>
      </c>
      <c r="L509" s="1">
        <v>3000</v>
      </c>
      <c r="M509" s="1">
        <v>10</v>
      </c>
      <c r="N509" s="1">
        <v>10</v>
      </c>
      <c r="O509" s="1">
        <v>5</v>
      </c>
      <c r="P509" s="1">
        <v>5</v>
      </c>
      <c r="Q509" s="1">
        <v>2</v>
      </c>
      <c r="R509" s="1">
        <v>2</v>
      </c>
      <c r="S509" s="1">
        <v>2</v>
      </c>
      <c r="T509" s="1">
        <v>0</v>
      </c>
      <c r="U509" s="1">
        <v>226</v>
      </c>
      <c r="V509" s="1">
        <v>100</v>
      </c>
      <c r="W509" s="1">
        <v>98</v>
      </c>
      <c r="X509" s="1">
        <v>100</v>
      </c>
      <c r="Y509" s="1">
        <v>100</v>
      </c>
      <c r="Z509" s="1">
        <v>0</v>
      </c>
      <c r="AA509" s="1">
        <v>0</v>
      </c>
      <c r="AB509" s="1">
        <v>0</v>
      </c>
      <c r="AC509" s="1">
        <v>0</v>
      </c>
      <c r="AD509" s="1">
        <v>0</v>
      </c>
      <c r="AE509" s="1">
        <v>98</v>
      </c>
      <c r="AF509" s="1">
        <v>999</v>
      </c>
      <c r="AG509" s="1">
        <v>901087</v>
      </c>
      <c r="AH509" s="1">
        <v>0</v>
      </c>
      <c r="AI509" s="1">
        <v>903101</v>
      </c>
      <c r="AJ509" s="1" t="s">
        <v>6183</v>
      </c>
      <c r="AK509" s="1" t="s">
        <v>329</v>
      </c>
      <c r="AL509" s="1">
        <v>13</v>
      </c>
      <c r="AM509" s="1" t="s">
        <v>4850</v>
      </c>
      <c r="AN509" s="1" t="s">
        <v>4853</v>
      </c>
      <c r="AO509" s="1" t="s">
        <v>4862</v>
      </c>
      <c r="AP509" s="1">
        <v>0</v>
      </c>
      <c r="AQ509" s="1" t="s">
        <v>1157</v>
      </c>
      <c r="AR509" s="1" t="s">
        <v>1147</v>
      </c>
      <c r="AS509" s="1" t="s">
        <v>1158</v>
      </c>
      <c r="AT509" s="1" t="s">
        <v>329</v>
      </c>
      <c r="AU509" s="1">
        <v>20</v>
      </c>
      <c r="AV509" s="1">
        <v>0</v>
      </c>
      <c r="AW509" s="1" t="s">
        <v>5854</v>
      </c>
      <c r="AX509" s="1" t="s">
        <v>1866</v>
      </c>
      <c r="AY509" s="1">
        <v>5</v>
      </c>
      <c r="AZ509" s="1">
        <v>0</v>
      </c>
      <c r="BA509" s="1" t="s">
        <v>329</v>
      </c>
      <c r="BB509" s="1" t="s">
        <v>329</v>
      </c>
      <c r="BC509" s="1" t="s">
        <v>329</v>
      </c>
      <c r="BD509" s="1">
        <v>0</v>
      </c>
      <c r="BE509" s="1">
        <v>0</v>
      </c>
    </row>
    <row r="510" spans="1:57" x14ac:dyDescent="0.25">
      <c r="A510" s="1">
        <v>9069</v>
      </c>
      <c r="B510" s="1" t="s">
        <v>6184</v>
      </c>
      <c r="C510" s="9" t="s">
        <v>6185</v>
      </c>
      <c r="D510" s="1" t="s">
        <v>6185</v>
      </c>
      <c r="E510" s="1"/>
      <c r="F510" s="1"/>
      <c r="G510" s="1" t="s">
        <v>6186</v>
      </c>
      <c r="H510" s="1" t="s">
        <v>6187</v>
      </c>
      <c r="I510" s="1" t="s">
        <v>6188</v>
      </c>
      <c r="J510" s="1">
        <v>1</v>
      </c>
      <c r="K510" s="1">
        <v>5</v>
      </c>
      <c r="L510" s="1">
        <v>2700</v>
      </c>
      <c r="M510" s="1">
        <v>10</v>
      </c>
      <c r="N510" s="1">
        <v>10</v>
      </c>
      <c r="O510" s="1">
        <v>5</v>
      </c>
      <c r="P510" s="1">
        <v>5</v>
      </c>
      <c r="Q510" s="1">
        <v>2</v>
      </c>
      <c r="R510" s="1">
        <v>2</v>
      </c>
      <c r="S510" s="1">
        <v>2</v>
      </c>
      <c r="T510" s="1">
        <v>0</v>
      </c>
      <c r="U510" s="1">
        <v>650</v>
      </c>
      <c r="V510" s="1">
        <v>120</v>
      </c>
      <c r="W510" s="1">
        <v>100</v>
      </c>
      <c r="X510" s="1">
        <v>100</v>
      </c>
      <c r="Y510" s="1">
        <v>105</v>
      </c>
      <c r="Z510" s="1">
        <v>100</v>
      </c>
      <c r="AA510" s="1">
        <v>0</v>
      </c>
      <c r="AB510" s="1">
        <v>15</v>
      </c>
      <c r="AC510" s="1">
        <v>20</v>
      </c>
      <c r="AD510" s="1">
        <v>0</v>
      </c>
      <c r="AE510" s="1">
        <v>105</v>
      </c>
      <c r="AF510" s="1">
        <v>120</v>
      </c>
      <c r="AG510" s="1">
        <v>100602</v>
      </c>
      <c r="AH510" s="1">
        <v>0</v>
      </c>
      <c r="AI510" s="1">
        <v>300101</v>
      </c>
      <c r="AJ510" s="1" t="s">
        <v>329</v>
      </c>
      <c r="AK510" s="1" t="s">
        <v>329</v>
      </c>
      <c r="AL510" s="1">
        <v>13</v>
      </c>
      <c r="AM510" s="1" t="s">
        <v>1866</v>
      </c>
      <c r="AN510" s="1" t="s">
        <v>4807</v>
      </c>
      <c r="AO510" s="1" t="s">
        <v>4804</v>
      </c>
      <c r="AP510" s="1">
        <v>0</v>
      </c>
      <c r="AQ510" s="1" t="s">
        <v>5916</v>
      </c>
      <c r="AR510" s="1" t="s">
        <v>1147</v>
      </c>
      <c r="AS510" s="1" t="s">
        <v>1157</v>
      </c>
      <c r="AT510" s="1" t="s">
        <v>329</v>
      </c>
      <c r="AU510" s="1">
        <v>6</v>
      </c>
      <c r="AV510" s="1">
        <v>0</v>
      </c>
      <c r="AW510" s="1" t="s">
        <v>5854</v>
      </c>
      <c r="AX510" s="1" t="s">
        <v>1866</v>
      </c>
      <c r="AY510" s="1">
        <v>5</v>
      </c>
      <c r="AZ510" s="1">
        <v>0</v>
      </c>
      <c r="BA510" s="1" t="s">
        <v>329</v>
      </c>
      <c r="BB510" s="1" t="s">
        <v>329</v>
      </c>
      <c r="BC510" s="1" t="s">
        <v>329</v>
      </c>
      <c r="BD510" s="1">
        <v>0</v>
      </c>
      <c r="BE510" s="1">
        <v>0</v>
      </c>
    </row>
    <row r="511" spans="1:57" x14ac:dyDescent="0.25">
      <c r="A511" s="1">
        <v>9070</v>
      </c>
      <c r="B511" s="1" t="s">
        <v>6189</v>
      </c>
      <c r="C511" s="9" t="s">
        <v>5844</v>
      </c>
      <c r="D511" s="1" t="s">
        <v>4265</v>
      </c>
      <c r="E511" s="1"/>
      <c r="F511" s="1"/>
      <c r="G511" s="1" t="s">
        <v>6190</v>
      </c>
      <c r="H511" s="1" t="s">
        <v>6191</v>
      </c>
      <c r="I511" s="1" t="s">
        <v>6192</v>
      </c>
      <c r="J511" s="1">
        <v>2</v>
      </c>
      <c r="K511" s="1">
        <v>5</v>
      </c>
      <c r="L511" s="1">
        <v>8880</v>
      </c>
      <c r="M511" s="1">
        <v>25</v>
      </c>
      <c r="N511" s="1">
        <v>20</v>
      </c>
      <c r="O511" s="1">
        <v>15</v>
      </c>
      <c r="P511" s="1">
        <v>10</v>
      </c>
      <c r="Q511" s="1">
        <v>5</v>
      </c>
      <c r="R511" s="1">
        <v>5</v>
      </c>
      <c r="S511" s="1">
        <v>2</v>
      </c>
      <c r="T511" s="1">
        <v>0</v>
      </c>
      <c r="U511" s="1">
        <v>115</v>
      </c>
      <c r="V511" s="1">
        <v>90</v>
      </c>
      <c r="W511" s="1">
        <v>100</v>
      </c>
      <c r="X511" s="1">
        <v>100</v>
      </c>
      <c r="Y511" s="1">
        <v>95</v>
      </c>
      <c r="Z511" s="1">
        <v>110</v>
      </c>
      <c r="AA511" s="1">
        <v>0</v>
      </c>
      <c r="AB511" s="1">
        <v>15</v>
      </c>
      <c r="AC511" s="1">
        <v>5</v>
      </c>
      <c r="AD511" s="1">
        <v>0</v>
      </c>
      <c r="AE511" s="1">
        <v>125</v>
      </c>
      <c r="AF511" s="1">
        <v>100</v>
      </c>
      <c r="AG511" s="1">
        <v>116401</v>
      </c>
      <c r="AH511" s="1">
        <v>0</v>
      </c>
      <c r="AI511" s="1">
        <v>116402</v>
      </c>
      <c r="AJ511" s="1" t="s">
        <v>6193</v>
      </c>
      <c r="AK511" s="1" t="s">
        <v>329</v>
      </c>
      <c r="AL511" s="1">
        <v>13</v>
      </c>
      <c r="AM511" s="1" t="s">
        <v>399</v>
      </c>
      <c r="AN511" s="1" t="s">
        <v>4855</v>
      </c>
      <c r="AO511" s="1" t="s">
        <v>5471</v>
      </c>
      <c r="AP511" s="1">
        <v>0</v>
      </c>
      <c r="AQ511" s="1" t="s">
        <v>1157</v>
      </c>
      <c r="AR511" s="1" t="s">
        <v>1147</v>
      </c>
      <c r="AS511" s="1" t="s">
        <v>1158</v>
      </c>
      <c r="AT511" s="1" t="s">
        <v>329</v>
      </c>
      <c r="AU511" s="1">
        <v>48</v>
      </c>
      <c r="AV511" s="1">
        <v>0</v>
      </c>
      <c r="AW511" s="1" t="s">
        <v>5854</v>
      </c>
      <c r="AX511" s="1" t="s">
        <v>1866</v>
      </c>
      <c r="AY511" s="1">
        <v>5</v>
      </c>
      <c r="AZ511" s="1">
        <v>0</v>
      </c>
      <c r="BA511" s="1" t="s">
        <v>329</v>
      </c>
      <c r="BB511" s="1" t="s">
        <v>329</v>
      </c>
      <c r="BC511" s="1" t="s">
        <v>5446</v>
      </c>
      <c r="BD511" s="1">
        <v>0</v>
      </c>
      <c r="BE511" s="1">
        <v>0</v>
      </c>
    </row>
    <row r="512" spans="1:57" x14ac:dyDescent="0.25">
      <c r="A512" s="1">
        <v>9071</v>
      </c>
      <c r="B512" s="1" t="s">
        <v>6194</v>
      </c>
      <c r="C512" s="9" t="s">
        <v>6195</v>
      </c>
      <c r="D512" s="1" t="s">
        <v>6195</v>
      </c>
      <c r="E512" s="1"/>
      <c r="F512" s="1"/>
      <c r="G512" s="1" t="s">
        <v>6196</v>
      </c>
      <c r="H512" s="1" t="s">
        <v>6197</v>
      </c>
      <c r="I512" s="1" t="s">
        <v>6198</v>
      </c>
      <c r="J512" s="1">
        <v>1</v>
      </c>
      <c r="K512" s="1">
        <v>5</v>
      </c>
      <c r="L512" s="1">
        <v>12900</v>
      </c>
      <c r="M512" s="1">
        <v>20</v>
      </c>
      <c r="N512" s="1">
        <v>20</v>
      </c>
      <c r="O512" s="1">
        <v>10</v>
      </c>
      <c r="P512" s="1">
        <v>10</v>
      </c>
      <c r="Q512" s="1">
        <v>2</v>
      </c>
      <c r="R512" s="1">
        <v>5</v>
      </c>
      <c r="S512" s="1">
        <v>5</v>
      </c>
      <c r="T512" s="1">
        <v>0</v>
      </c>
      <c r="U512" s="1">
        <v>1800</v>
      </c>
      <c r="V512" s="1">
        <v>600</v>
      </c>
      <c r="W512" s="1">
        <v>280</v>
      </c>
      <c r="X512" s="1">
        <v>100</v>
      </c>
      <c r="Y512" s="1">
        <v>180</v>
      </c>
      <c r="Z512" s="1">
        <v>180</v>
      </c>
      <c r="AA512" s="1">
        <v>0</v>
      </c>
      <c r="AB512" s="1">
        <v>15</v>
      </c>
      <c r="AC512" s="1">
        <v>50</v>
      </c>
      <c r="AD512" s="1">
        <v>0</v>
      </c>
      <c r="AE512" s="1">
        <v>100</v>
      </c>
      <c r="AF512" s="1">
        <v>100</v>
      </c>
      <c r="AG512" s="1">
        <v>100107</v>
      </c>
      <c r="AH512" s="1">
        <v>0</v>
      </c>
      <c r="AI512" s="1">
        <v>759009</v>
      </c>
      <c r="AJ512" s="1" t="s">
        <v>329</v>
      </c>
      <c r="AK512" s="1" t="s">
        <v>329</v>
      </c>
      <c r="AL512" s="1">
        <v>13</v>
      </c>
      <c r="AM512" s="1" t="s">
        <v>4850</v>
      </c>
      <c r="AN512" s="1" t="s">
        <v>4921</v>
      </c>
      <c r="AO512" s="1" t="s">
        <v>5488</v>
      </c>
      <c r="AP512" s="1">
        <v>0</v>
      </c>
      <c r="AQ512" s="1" t="s">
        <v>1158</v>
      </c>
      <c r="AR512" s="1" t="s">
        <v>1182</v>
      </c>
      <c r="AS512" s="1" t="s">
        <v>5910</v>
      </c>
      <c r="AT512" s="1" t="s">
        <v>329</v>
      </c>
      <c r="AU512" s="1">
        <v>55</v>
      </c>
      <c r="AV512" s="1">
        <v>0</v>
      </c>
      <c r="AW512" s="1" t="s">
        <v>5854</v>
      </c>
      <c r="AX512" s="1" t="s">
        <v>1866</v>
      </c>
      <c r="AY512" s="1">
        <v>5</v>
      </c>
      <c r="AZ512" s="1">
        <v>0</v>
      </c>
      <c r="BA512" s="1" t="s">
        <v>329</v>
      </c>
      <c r="BB512" s="1" t="s">
        <v>329</v>
      </c>
      <c r="BC512" s="1" t="s">
        <v>329</v>
      </c>
      <c r="BD512" s="1">
        <v>0</v>
      </c>
      <c r="BE512" s="1">
        <v>0</v>
      </c>
    </row>
    <row r="513" spans="1:57" x14ac:dyDescent="0.25">
      <c r="A513" s="1">
        <v>9072</v>
      </c>
      <c r="B513" s="1" t="s">
        <v>6199</v>
      </c>
      <c r="C513" s="9" t="s">
        <v>6200</v>
      </c>
      <c r="D513" s="1" t="s">
        <v>6200</v>
      </c>
      <c r="E513" s="1"/>
      <c r="F513" s="1"/>
      <c r="G513" s="1" t="s">
        <v>6201</v>
      </c>
      <c r="H513" s="1" t="s">
        <v>6202</v>
      </c>
      <c r="I513" s="1" t="s">
        <v>6203</v>
      </c>
      <c r="J513" s="1">
        <v>1</v>
      </c>
      <c r="K513" s="1">
        <v>5</v>
      </c>
      <c r="L513" s="1">
        <v>12900</v>
      </c>
      <c r="M513" s="1">
        <v>20</v>
      </c>
      <c r="N513" s="1">
        <v>20</v>
      </c>
      <c r="O513" s="1">
        <v>10</v>
      </c>
      <c r="P513" s="1">
        <v>10</v>
      </c>
      <c r="Q513" s="1">
        <v>2</v>
      </c>
      <c r="R513" s="1">
        <v>5</v>
      </c>
      <c r="S513" s="1">
        <v>5</v>
      </c>
      <c r="T513" s="1">
        <v>0</v>
      </c>
      <c r="U513" s="1">
        <v>1800</v>
      </c>
      <c r="V513" s="1">
        <v>600</v>
      </c>
      <c r="W513" s="1">
        <v>280</v>
      </c>
      <c r="X513" s="1">
        <v>100</v>
      </c>
      <c r="Y513" s="1">
        <v>180</v>
      </c>
      <c r="Z513" s="1">
        <v>180</v>
      </c>
      <c r="AA513" s="1">
        <v>0</v>
      </c>
      <c r="AB513" s="1">
        <v>15</v>
      </c>
      <c r="AC513" s="1">
        <v>50</v>
      </c>
      <c r="AD513" s="1">
        <v>0</v>
      </c>
      <c r="AE513" s="1">
        <v>100</v>
      </c>
      <c r="AF513" s="1">
        <v>100</v>
      </c>
      <c r="AG513" s="1">
        <v>100107</v>
      </c>
      <c r="AH513" s="1">
        <v>0</v>
      </c>
      <c r="AI513" s="1">
        <v>300103</v>
      </c>
      <c r="AJ513" s="1" t="s">
        <v>329</v>
      </c>
      <c r="AK513" s="1" t="s">
        <v>329</v>
      </c>
      <c r="AL513" s="1">
        <v>13</v>
      </c>
      <c r="AM513" s="1" t="s">
        <v>4850</v>
      </c>
      <c r="AN513" s="1" t="s">
        <v>4921</v>
      </c>
      <c r="AO513" s="1" t="s">
        <v>5488</v>
      </c>
      <c r="AP513" s="1">
        <v>0</v>
      </c>
      <c r="AQ513" s="1" t="s">
        <v>1158</v>
      </c>
      <c r="AR513" s="1" t="s">
        <v>1182</v>
      </c>
      <c r="AS513" s="1" t="s">
        <v>5910</v>
      </c>
      <c r="AT513" s="1" t="s">
        <v>329</v>
      </c>
      <c r="AU513" s="1">
        <v>55</v>
      </c>
      <c r="AV513" s="1">
        <v>0</v>
      </c>
      <c r="AW513" s="1" t="s">
        <v>5854</v>
      </c>
      <c r="AX513" s="1" t="s">
        <v>1866</v>
      </c>
      <c r="AY513" s="1">
        <v>5</v>
      </c>
      <c r="AZ513" s="1">
        <v>0</v>
      </c>
      <c r="BA513" s="1" t="s">
        <v>329</v>
      </c>
      <c r="BB513" s="1" t="s">
        <v>329</v>
      </c>
      <c r="BC513" s="1" t="s">
        <v>329</v>
      </c>
      <c r="BD513" s="1">
        <v>0</v>
      </c>
      <c r="BE513" s="1">
        <v>0</v>
      </c>
    </row>
    <row r="514" spans="1:57" x14ac:dyDescent="0.25">
      <c r="A514" s="1">
        <v>9073</v>
      </c>
      <c r="B514" s="1" t="s">
        <v>6204</v>
      </c>
      <c r="C514" s="9" t="s">
        <v>6205</v>
      </c>
      <c r="D514" s="1" t="s">
        <v>6205</v>
      </c>
      <c r="E514" s="1"/>
      <c r="F514" s="1"/>
      <c r="G514" s="1" t="s">
        <v>6206</v>
      </c>
      <c r="H514" s="1" t="s">
        <v>6207</v>
      </c>
      <c r="I514" s="1" t="s">
        <v>6208</v>
      </c>
      <c r="J514" s="1">
        <v>6</v>
      </c>
      <c r="K514" s="1">
        <v>5</v>
      </c>
      <c r="L514" s="1">
        <v>22500</v>
      </c>
      <c r="M514" s="1">
        <v>40</v>
      </c>
      <c r="N514" s="1">
        <v>30</v>
      </c>
      <c r="O514" s="1">
        <v>25</v>
      </c>
      <c r="P514" s="1">
        <v>15</v>
      </c>
      <c r="Q514" s="1">
        <v>5</v>
      </c>
      <c r="R514" s="1">
        <v>5</v>
      </c>
      <c r="S514" s="1">
        <v>2</v>
      </c>
      <c r="T514" s="1">
        <v>5</v>
      </c>
      <c r="U514" s="1">
        <v>100</v>
      </c>
      <c r="V514" s="1">
        <v>100</v>
      </c>
      <c r="W514" s="1">
        <v>100</v>
      </c>
      <c r="X514" s="1">
        <v>100</v>
      </c>
      <c r="Y514" s="1">
        <v>100</v>
      </c>
      <c r="Z514" s="1">
        <v>100</v>
      </c>
      <c r="AA514" s="1">
        <v>100</v>
      </c>
      <c r="AB514" s="1">
        <v>15</v>
      </c>
      <c r="AC514" s="1">
        <v>0</v>
      </c>
      <c r="AD514" s="1">
        <v>1</v>
      </c>
      <c r="AE514" s="1">
        <v>100</v>
      </c>
      <c r="AF514" s="1">
        <v>100</v>
      </c>
      <c r="AG514" s="1">
        <v>100107</v>
      </c>
      <c r="AH514" s="1">
        <v>0</v>
      </c>
      <c r="AI514" s="1">
        <v>300103</v>
      </c>
      <c r="AJ514" s="1" t="s">
        <v>329</v>
      </c>
      <c r="AK514" s="1" t="s">
        <v>329</v>
      </c>
      <c r="AL514" s="1">
        <v>19</v>
      </c>
      <c r="AM514" s="1" t="s">
        <v>4822</v>
      </c>
      <c r="AN514" s="1" t="s">
        <v>329</v>
      </c>
      <c r="AO514" s="1" t="s">
        <v>329</v>
      </c>
      <c r="AP514" s="1">
        <v>0</v>
      </c>
      <c r="AQ514" s="1" t="s">
        <v>1168</v>
      </c>
      <c r="AR514" s="1" t="s">
        <v>5852</v>
      </c>
      <c r="AS514" s="1" t="s">
        <v>5853</v>
      </c>
      <c r="AT514" s="1" t="s">
        <v>329</v>
      </c>
      <c r="AU514" s="1">
        <v>10</v>
      </c>
      <c r="AV514" s="1">
        <v>1</v>
      </c>
      <c r="AW514" s="1" t="s">
        <v>5854</v>
      </c>
      <c r="AX514" s="1" t="s">
        <v>1866</v>
      </c>
      <c r="AY514" s="1">
        <v>5</v>
      </c>
      <c r="AZ514" s="1">
        <v>0</v>
      </c>
      <c r="BA514" s="1" t="s">
        <v>329</v>
      </c>
      <c r="BB514" s="1" t="s">
        <v>329</v>
      </c>
      <c r="BC514" s="1" t="s">
        <v>329</v>
      </c>
      <c r="BD514" s="1">
        <v>0</v>
      </c>
      <c r="BE514" s="1">
        <v>0</v>
      </c>
    </row>
    <row r="515" spans="1:57" x14ac:dyDescent="0.25">
      <c r="A515" s="1">
        <v>9074</v>
      </c>
      <c r="B515" s="1" t="s">
        <v>6209</v>
      </c>
      <c r="C515" s="9" t="s">
        <v>6210</v>
      </c>
      <c r="D515" s="1" t="s">
        <v>6210</v>
      </c>
      <c r="E515" s="1"/>
      <c r="F515" s="1"/>
      <c r="G515" s="1" t="s">
        <v>6211</v>
      </c>
      <c r="H515" s="1" t="s">
        <v>6212</v>
      </c>
      <c r="I515" s="1" t="s">
        <v>6213</v>
      </c>
      <c r="J515" s="1">
        <v>6</v>
      </c>
      <c r="K515" s="1">
        <v>5</v>
      </c>
      <c r="L515" s="1">
        <v>22500</v>
      </c>
      <c r="M515" s="1">
        <v>40</v>
      </c>
      <c r="N515" s="1">
        <v>30</v>
      </c>
      <c r="O515" s="1">
        <v>25</v>
      </c>
      <c r="P515" s="1">
        <v>15</v>
      </c>
      <c r="Q515" s="1">
        <v>5</v>
      </c>
      <c r="R515" s="1">
        <v>5</v>
      </c>
      <c r="S515" s="1">
        <v>2</v>
      </c>
      <c r="T515" s="1">
        <v>5</v>
      </c>
      <c r="U515" s="1">
        <v>500</v>
      </c>
      <c r="V515" s="1">
        <v>120</v>
      </c>
      <c r="W515" s="1">
        <v>100</v>
      </c>
      <c r="X515" s="1">
        <v>100</v>
      </c>
      <c r="Y515" s="1">
        <v>100</v>
      </c>
      <c r="Z515" s="1">
        <v>100</v>
      </c>
      <c r="AA515" s="1">
        <v>120</v>
      </c>
      <c r="AB515" s="1">
        <v>15</v>
      </c>
      <c r="AC515" s="1">
        <v>0</v>
      </c>
      <c r="AD515" s="1">
        <v>1</v>
      </c>
      <c r="AE515" s="1">
        <v>100</v>
      </c>
      <c r="AF515" s="1">
        <v>100</v>
      </c>
      <c r="AG515" s="1">
        <v>100107</v>
      </c>
      <c r="AH515" s="1">
        <v>0</v>
      </c>
      <c r="AI515" s="1">
        <v>756122</v>
      </c>
      <c r="AJ515" s="1" t="s">
        <v>1227</v>
      </c>
      <c r="AK515" s="1" t="s">
        <v>329</v>
      </c>
      <c r="AL515" s="1">
        <v>19</v>
      </c>
      <c r="AM515" s="1" t="s">
        <v>4822</v>
      </c>
      <c r="AN515" s="1" t="s">
        <v>329</v>
      </c>
      <c r="AO515" s="1" t="s">
        <v>329</v>
      </c>
      <c r="AP515" s="1">
        <v>0</v>
      </c>
      <c r="AQ515" s="1" t="s">
        <v>1168</v>
      </c>
      <c r="AR515" s="1" t="s">
        <v>5852</v>
      </c>
      <c r="AS515" s="1" t="s">
        <v>5853</v>
      </c>
      <c r="AT515" s="1" t="s">
        <v>329</v>
      </c>
      <c r="AU515" s="1">
        <v>10</v>
      </c>
      <c r="AV515" s="1">
        <v>1</v>
      </c>
      <c r="AW515" s="1" t="s">
        <v>5854</v>
      </c>
      <c r="AX515" s="1" t="s">
        <v>1866</v>
      </c>
      <c r="AY515" s="1">
        <v>5</v>
      </c>
      <c r="AZ515" s="1">
        <v>0</v>
      </c>
      <c r="BA515" s="1" t="s">
        <v>329</v>
      </c>
      <c r="BB515" s="1" t="s">
        <v>329</v>
      </c>
      <c r="BC515" s="1" t="s">
        <v>329</v>
      </c>
      <c r="BD515" s="1">
        <v>0</v>
      </c>
      <c r="BE515" s="1">
        <v>0</v>
      </c>
    </row>
    <row r="516" spans="1:57" x14ac:dyDescent="0.25">
      <c r="A516" s="1">
        <v>9075</v>
      </c>
      <c r="B516" s="1" t="s">
        <v>6214</v>
      </c>
      <c r="C516" s="9" t="s">
        <v>6215</v>
      </c>
      <c r="D516" s="1" t="s">
        <v>6215</v>
      </c>
      <c r="E516" s="1"/>
      <c r="F516" s="1"/>
      <c r="G516" s="1" t="s">
        <v>6216</v>
      </c>
      <c r="H516" s="1" t="s">
        <v>6217</v>
      </c>
      <c r="I516" s="1" t="s">
        <v>6218</v>
      </c>
      <c r="J516" s="1">
        <v>1</v>
      </c>
      <c r="K516" s="1">
        <v>5</v>
      </c>
      <c r="L516" s="1">
        <v>3000</v>
      </c>
      <c r="M516" s="1">
        <v>10</v>
      </c>
      <c r="N516" s="1">
        <v>10</v>
      </c>
      <c r="O516" s="1">
        <v>5</v>
      </c>
      <c r="P516" s="1">
        <v>5</v>
      </c>
      <c r="Q516" s="1">
        <v>2</v>
      </c>
      <c r="R516" s="1">
        <v>2</v>
      </c>
      <c r="S516" s="1">
        <v>2</v>
      </c>
      <c r="T516" s="1">
        <v>0</v>
      </c>
      <c r="U516" s="1">
        <v>226</v>
      </c>
      <c r="V516" s="1">
        <v>100</v>
      </c>
      <c r="W516" s="1">
        <v>98</v>
      </c>
      <c r="X516" s="1">
        <v>100</v>
      </c>
      <c r="Y516" s="1">
        <v>100</v>
      </c>
      <c r="Z516" s="1">
        <v>100</v>
      </c>
      <c r="AA516" s="1">
        <v>0</v>
      </c>
      <c r="AB516" s="1">
        <v>0</v>
      </c>
      <c r="AC516" s="1">
        <v>0</v>
      </c>
      <c r="AD516" s="1">
        <v>0</v>
      </c>
      <c r="AE516" s="1">
        <v>98</v>
      </c>
      <c r="AF516" s="1">
        <v>100</v>
      </c>
      <c r="AG516" s="1">
        <v>100107</v>
      </c>
      <c r="AH516" s="1">
        <v>0</v>
      </c>
      <c r="AI516" s="1">
        <v>300103</v>
      </c>
      <c r="AJ516" s="1" t="s">
        <v>329</v>
      </c>
      <c r="AK516" s="1" t="s">
        <v>329</v>
      </c>
      <c r="AL516" s="1">
        <v>13</v>
      </c>
      <c r="AM516" s="1" t="s">
        <v>4850</v>
      </c>
      <c r="AN516" s="1" t="s">
        <v>4853</v>
      </c>
      <c r="AO516" s="1" t="s">
        <v>4862</v>
      </c>
      <c r="AP516" s="1">
        <v>0</v>
      </c>
      <c r="AQ516" s="1" t="s">
        <v>1157</v>
      </c>
      <c r="AR516" s="1" t="s">
        <v>1147</v>
      </c>
      <c r="AS516" s="1" t="s">
        <v>1158</v>
      </c>
      <c r="AT516" s="1" t="s">
        <v>329</v>
      </c>
      <c r="AU516" s="1">
        <v>20</v>
      </c>
      <c r="AV516" s="1">
        <v>0</v>
      </c>
      <c r="AW516" s="1" t="s">
        <v>5854</v>
      </c>
      <c r="AX516" s="1" t="s">
        <v>1866</v>
      </c>
      <c r="AY516" s="1">
        <v>5</v>
      </c>
      <c r="AZ516" s="1">
        <v>0</v>
      </c>
      <c r="BA516" s="1" t="s">
        <v>329</v>
      </c>
      <c r="BB516" s="1" t="s">
        <v>329</v>
      </c>
      <c r="BC516" s="1" t="s">
        <v>329</v>
      </c>
      <c r="BD516" s="1">
        <v>0</v>
      </c>
      <c r="BE516" s="1">
        <v>0</v>
      </c>
    </row>
    <row r="517" spans="1:57" x14ac:dyDescent="0.25">
      <c r="A517" s="1">
        <v>9076</v>
      </c>
      <c r="B517" s="1" t="s">
        <v>6219</v>
      </c>
      <c r="C517" s="9" t="s">
        <v>6220</v>
      </c>
      <c r="D517" s="1" t="s">
        <v>6220</v>
      </c>
      <c r="E517" s="1"/>
      <c r="F517" s="1"/>
      <c r="G517" s="1" t="s">
        <v>6221</v>
      </c>
      <c r="H517" s="1" t="s">
        <v>6222</v>
      </c>
      <c r="I517" s="1" t="s">
        <v>6223</v>
      </c>
      <c r="J517" s="1">
        <v>1</v>
      </c>
      <c r="K517" s="1">
        <v>5</v>
      </c>
      <c r="L517" s="1">
        <v>3000</v>
      </c>
      <c r="M517" s="1">
        <v>10</v>
      </c>
      <c r="N517" s="1">
        <v>10</v>
      </c>
      <c r="O517" s="1">
        <v>5</v>
      </c>
      <c r="P517" s="1">
        <v>5</v>
      </c>
      <c r="Q517" s="1">
        <v>2</v>
      </c>
      <c r="R517" s="1">
        <v>2</v>
      </c>
      <c r="S517" s="1">
        <v>2</v>
      </c>
      <c r="T517" s="1">
        <v>0</v>
      </c>
      <c r="U517" s="1">
        <v>226</v>
      </c>
      <c r="V517" s="1">
        <v>100</v>
      </c>
      <c r="W517" s="1">
        <v>98</v>
      </c>
      <c r="X517" s="1">
        <v>100</v>
      </c>
      <c r="Y517" s="1">
        <v>100</v>
      </c>
      <c r="Z517" s="1">
        <v>100</v>
      </c>
      <c r="AA517" s="1">
        <v>0</v>
      </c>
      <c r="AB517" s="1">
        <v>0</v>
      </c>
      <c r="AC517" s="1">
        <v>0</v>
      </c>
      <c r="AD517" s="1">
        <v>0</v>
      </c>
      <c r="AE517" s="1">
        <v>98</v>
      </c>
      <c r="AF517" s="1">
        <v>100</v>
      </c>
      <c r="AG517" s="1">
        <v>100107</v>
      </c>
      <c r="AH517" s="1">
        <v>0</v>
      </c>
      <c r="AI517" s="1">
        <v>300103</v>
      </c>
      <c r="AJ517" s="1" t="s">
        <v>329</v>
      </c>
      <c r="AK517" s="1" t="s">
        <v>329</v>
      </c>
      <c r="AL517" s="1">
        <v>13</v>
      </c>
      <c r="AM517" s="1" t="s">
        <v>4850</v>
      </c>
      <c r="AN517" s="1" t="s">
        <v>4853</v>
      </c>
      <c r="AO517" s="1" t="s">
        <v>4862</v>
      </c>
      <c r="AP517" s="1">
        <v>0</v>
      </c>
      <c r="AQ517" s="1" t="s">
        <v>1157</v>
      </c>
      <c r="AR517" s="1" t="s">
        <v>1147</v>
      </c>
      <c r="AS517" s="1" t="s">
        <v>1158</v>
      </c>
      <c r="AT517" s="1" t="s">
        <v>329</v>
      </c>
      <c r="AU517" s="1">
        <v>20</v>
      </c>
      <c r="AV517" s="1">
        <v>0</v>
      </c>
      <c r="AW517" s="1" t="s">
        <v>5854</v>
      </c>
      <c r="AX517" s="1" t="s">
        <v>1866</v>
      </c>
      <c r="AY517" s="1">
        <v>5</v>
      </c>
      <c r="AZ517" s="1">
        <v>0</v>
      </c>
      <c r="BA517" s="1" t="s">
        <v>329</v>
      </c>
      <c r="BB517" s="1" t="s">
        <v>329</v>
      </c>
      <c r="BC517" s="1" t="s">
        <v>329</v>
      </c>
      <c r="BD517" s="1">
        <v>0</v>
      </c>
      <c r="BE517" s="1">
        <v>0</v>
      </c>
    </row>
    <row r="518" spans="1:57" x14ac:dyDescent="0.25">
      <c r="A518" s="1">
        <v>9077</v>
      </c>
      <c r="B518" s="1" t="s">
        <v>6224</v>
      </c>
      <c r="C518" s="9" t="s">
        <v>6225</v>
      </c>
      <c r="D518" s="1" t="s">
        <v>6225</v>
      </c>
      <c r="E518" s="1"/>
      <c r="F518" s="1"/>
      <c r="G518" s="1" t="s">
        <v>6226</v>
      </c>
      <c r="H518" s="1" t="s">
        <v>6227</v>
      </c>
      <c r="I518" s="1" t="s">
        <v>6228</v>
      </c>
      <c r="J518" s="1">
        <v>2</v>
      </c>
      <c r="K518" s="1">
        <v>5</v>
      </c>
      <c r="L518" s="1">
        <v>9300</v>
      </c>
      <c r="M518" s="1">
        <v>20</v>
      </c>
      <c r="N518" s="1">
        <v>20</v>
      </c>
      <c r="O518" s="1">
        <v>10</v>
      </c>
      <c r="P518" s="1">
        <v>10</v>
      </c>
      <c r="Q518" s="1">
        <v>2</v>
      </c>
      <c r="R518" s="1">
        <v>5</v>
      </c>
      <c r="S518" s="1">
        <v>5</v>
      </c>
      <c r="T518" s="1">
        <v>0</v>
      </c>
      <c r="U518" s="1">
        <v>500</v>
      </c>
      <c r="V518" s="1">
        <v>120</v>
      </c>
      <c r="W518" s="1">
        <v>112</v>
      </c>
      <c r="X518" s="1">
        <v>60</v>
      </c>
      <c r="Y518" s="1">
        <v>120</v>
      </c>
      <c r="Z518" s="1">
        <v>150</v>
      </c>
      <c r="AA518" s="1">
        <v>0</v>
      </c>
      <c r="AB518" s="1">
        <v>15</v>
      </c>
      <c r="AC518" s="1">
        <v>20</v>
      </c>
      <c r="AD518" s="1">
        <v>0</v>
      </c>
      <c r="AE518" s="1">
        <v>100</v>
      </c>
      <c r="AF518" s="1">
        <v>100</v>
      </c>
      <c r="AG518" s="1">
        <v>100107</v>
      </c>
      <c r="AH518" s="1">
        <v>0</v>
      </c>
      <c r="AI518" s="1">
        <v>300103</v>
      </c>
      <c r="AJ518" s="1" t="s">
        <v>329</v>
      </c>
      <c r="AK518" s="1" t="s">
        <v>329</v>
      </c>
      <c r="AL518" s="1">
        <v>13</v>
      </c>
      <c r="AM518" s="1" t="s">
        <v>4850</v>
      </c>
      <c r="AN518" s="1" t="s">
        <v>4853</v>
      </c>
      <c r="AO518" s="1" t="s">
        <v>4862</v>
      </c>
      <c r="AP518" s="1">
        <v>0</v>
      </c>
      <c r="AQ518" s="1" t="s">
        <v>1157</v>
      </c>
      <c r="AR518" s="1" t="s">
        <v>1147</v>
      </c>
      <c r="AS518" s="1" t="s">
        <v>1158</v>
      </c>
      <c r="AT518" s="1" t="s">
        <v>329</v>
      </c>
      <c r="AU518" s="1">
        <v>20</v>
      </c>
      <c r="AV518" s="1">
        <v>0</v>
      </c>
      <c r="AW518" s="1" t="s">
        <v>5854</v>
      </c>
      <c r="AX518" s="1" t="s">
        <v>1866</v>
      </c>
      <c r="AY518" s="1">
        <v>5</v>
      </c>
      <c r="AZ518" s="1">
        <v>0</v>
      </c>
      <c r="BA518" s="1" t="s">
        <v>329</v>
      </c>
      <c r="BB518" s="1" t="s">
        <v>329</v>
      </c>
      <c r="BC518" s="1" t="s">
        <v>329</v>
      </c>
      <c r="BD518" s="1">
        <v>0</v>
      </c>
      <c r="BE518" s="1">
        <v>0</v>
      </c>
    </row>
    <row r="519" spans="1:57" x14ac:dyDescent="0.25">
      <c r="A519" s="1">
        <v>9078</v>
      </c>
      <c r="B519" s="1" t="s">
        <v>6229</v>
      </c>
      <c r="C519" s="9" t="s">
        <v>6230</v>
      </c>
      <c r="D519" s="1" t="s">
        <v>6230</v>
      </c>
      <c r="E519" s="1"/>
      <c r="F519" s="1"/>
      <c r="G519" s="1" t="s">
        <v>6231</v>
      </c>
      <c r="H519" s="1" t="s">
        <v>6232</v>
      </c>
      <c r="I519" s="1" t="s">
        <v>6233</v>
      </c>
      <c r="J519" s="1">
        <v>1</v>
      </c>
      <c r="K519" s="1">
        <v>5</v>
      </c>
      <c r="L519" s="1">
        <v>12900</v>
      </c>
      <c r="M519" s="1">
        <v>20</v>
      </c>
      <c r="N519" s="1">
        <v>20</v>
      </c>
      <c r="O519" s="1">
        <v>10</v>
      </c>
      <c r="P519" s="1">
        <v>10</v>
      </c>
      <c r="Q519" s="1">
        <v>2</v>
      </c>
      <c r="R519" s="1">
        <v>5</v>
      </c>
      <c r="S519" s="1">
        <v>5</v>
      </c>
      <c r="T519" s="1">
        <v>0</v>
      </c>
      <c r="U519" s="1">
        <v>100</v>
      </c>
      <c r="V519" s="1">
        <v>100</v>
      </c>
      <c r="W519" s="1">
        <v>100</v>
      </c>
      <c r="X519" s="1">
        <v>100</v>
      </c>
      <c r="Y519" s="1">
        <v>100</v>
      </c>
      <c r="Z519" s="1">
        <v>100</v>
      </c>
      <c r="AA519" s="1">
        <v>0</v>
      </c>
      <c r="AB519" s="1">
        <v>15</v>
      </c>
      <c r="AC519" s="1">
        <v>50</v>
      </c>
      <c r="AD519" s="1">
        <v>0</v>
      </c>
      <c r="AE519" s="1">
        <v>100</v>
      </c>
      <c r="AF519" s="1">
        <v>100</v>
      </c>
      <c r="AG519" s="1">
        <v>100107</v>
      </c>
      <c r="AH519" s="1">
        <v>0</v>
      </c>
      <c r="AI519" s="1">
        <v>900944</v>
      </c>
      <c r="AJ519" s="1" t="s">
        <v>6158</v>
      </c>
      <c r="AK519" s="1" t="s">
        <v>329</v>
      </c>
      <c r="AL519" s="1">
        <v>13</v>
      </c>
      <c r="AM519" s="1" t="s">
        <v>4850</v>
      </c>
      <c r="AN519" s="1" t="s">
        <v>4921</v>
      </c>
      <c r="AO519" s="1" t="s">
        <v>5488</v>
      </c>
      <c r="AP519" s="1">
        <v>0</v>
      </c>
      <c r="AQ519" s="1" t="s">
        <v>1158</v>
      </c>
      <c r="AR519" s="1" t="s">
        <v>1182</v>
      </c>
      <c r="AS519" s="1" t="s">
        <v>5910</v>
      </c>
      <c r="AT519" s="1" t="s">
        <v>329</v>
      </c>
      <c r="AU519" s="1">
        <v>55</v>
      </c>
      <c r="AV519" s="1">
        <v>0</v>
      </c>
      <c r="AW519" s="1" t="s">
        <v>5854</v>
      </c>
      <c r="AX519" s="1" t="s">
        <v>1866</v>
      </c>
      <c r="AY519" s="1">
        <v>5</v>
      </c>
      <c r="AZ519" s="1">
        <v>0</v>
      </c>
      <c r="BA519" s="1" t="s">
        <v>329</v>
      </c>
      <c r="BB519" s="1" t="s">
        <v>329</v>
      </c>
      <c r="BC519" s="1" t="s">
        <v>329</v>
      </c>
      <c r="BD519" s="1">
        <v>0</v>
      </c>
      <c r="BE519" s="1">
        <v>0</v>
      </c>
    </row>
    <row r="520" spans="1:57" x14ac:dyDescent="0.25">
      <c r="A520" s="1">
        <v>9079</v>
      </c>
      <c r="B520" s="1" t="s">
        <v>6234</v>
      </c>
      <c r="C520" s="9" t="s">
        <v>6235</v>
      </c>
      <c r="D520" s="1" t="s">
        <v>6235</v>
      </c>
      <c r="E520" s="1"/>
      <c r="F520" s="1"/>
      <c r="G520" s="1" t="s">
        <v>6236</v>
      </c>
      <c r="H520" s="1" t="s">
        <v>6237</v>
      </c>
      <c r="I520" s="1" t="s">
        <v>6238</v>
      </c>
      <c r="J520" s="1">
        <v>1</v>
      </c>
      <c r="K520" s="1">
        <v>5</v>
      </c>
      <c r="L520" s="1">
        <v>2700</v>
      </c>
      <c r="M520" s="1">
        <v>10</v>
      </c>
      <c r="N520" s="1">
        <v>10</v>
      </c>
      <c r="O520" s="1">
        <v>5</v>
      </c>
      <c r="P520" s="1">
        <v>5</v>
      </c>
      <c r="Q520" s="1">
        <v>2</v>
      </c>
      <c r="R520" s="1">
        <v>2</v>
      </c>
      <c r="S520" s="1">
        <v>2</v>
      </c>
      <c r="T520" s="1">
        <v>0</v>
      </c>
      <c r="U520" s="1">
        <v>75</v>
      </c>
      <c r="V520" s="1">
        <v>120</v>
      </c>
      <c r="W520" s="1">
        <v>100</v>
      </c>
      <c r="X520" s="1">
        <v>17</v>
      </c>
      <c r="Y520" s="1">
        <v>105</v>
      </c>
      <c r="Z520" s="1">
        <v>100</v>
      </c>
      <c r="AA520" s="1">
        <v>0</v>
      </c>
      <c r="AB520" s="1">
        <v>15</v>
      </c>
      <c r="AC520" s="1">
        <v>20</v>
      </c>
      <c r="AD520" s="1">
        <v>0</v>
      </c>
      <c r="AE520" s="1">
        <v>105</v>
      </c>
      <c r="AF520" s="1">
        <v>120</v>
      </c>
      <c r="AG520" s="1">
        <v>117602</v>
      </c>
      <c r="AH520" s="1">
        <v>0</v>
      </c>
      <c r="AI520" s="1">
        <v>900107</v>
      </c>
      <c r="AJ520" s="1" t="s">
        <v>6239</v>
      </c>
      <c r="AK520" s="1" t="s">
        <v>329</v>
      </c>
      <c r="AL520" s="1">
        <v>13</v>
      </c>
      <c r="AM520" s="1" t="s">
        <v>1866</v>
      </c>
      <c r="AN520" s="1" t="s">
        <v>4807</v>
      </c>
      <c r="AO520" s="1" t="s">
        <v>4804</v>
      </c>
      <c r="AP520" s="1">
        <v>0</v>
      </c>
      <c r="AQ520" s="1" t="s">
        <v>5916</v>
      </c>
      <c r="AR520" s="1" t="s">
        <v>1147</v>
      </c>
      <c r="AS520" s="1" t="s">
        <v>1157</v>
      </c>
      <c r="AT520" s="1" t="s">
        <v>329</v>
      </c>
      <c r="AU520" s="1">
        <v>6</v>
      </c>
      <c r="AV520" s="1">
        <v>0</v>
      </c>
      <c r="AW520" s="1" t="s">
        <v>5854</v>
      </c>
      <c r="AX520" s="1" t="s">
        <v>1866</v>
      </c>
      <c r="AY520" s="1">
        <v>5</v>
      </c>
      <c r="AZ520" s="1">
        <v>0</v>
      </c>
      <c r="BA520" s="1" t="s">
        <v>329</v>
      </c>
      <c r="BB520" s="1" t="s">
        <v>329</v>
      </c>
      <c r="BC520" s="1" t="s">
        <v>329</v>
      </c>
      <c r="BD520" s="1">
        <v>0</v>
      </c>
      <c r="BE520" s="1">
        <v>0</v>
      </c>
    </row>
    <row r="521" spans="1:57" x14ac:dyDescent="0.25">
      <c r="A521" s="1">
        <v>9080</v>
      </c>
      <c r="B521" s="1" t="s">
        <v>6240</v>
      </c>
      <c r="C521" s="9" t="s">
        <v>6235</v>
      </c>
      <c r="D521" s="1" t="s">
        <v>6235</v>
      </c>
      <c r="E521" s="1"/>
      <c r="F521" s="1"/>
      <c r="G521" s="1" t="s">
        <v>6241</v>
      </c>
      <c r="H521" s="1" t="s">
        <v>6242</v>
      </c>
      <c r="I521" s="1" t="s">
        <v>6243</v>
      </c>
      <c r="J521" s="1">
        <v>1</v>
      </c>
      <c r="K521" s="1">
        <v>5</v>
      </c>
      <c r="L521" s="1">
        <v>2700</v>
      </c>
      <c r="M521" s="1">
        <v>10</v>
      </c>
      <c r="N521" s="1">
        <v>10</v>
      </c>
      <c r="O521" s="1">
        <v>5</v>
      </c>
      <c r="P521" s="1">
        <v>5</v>
      </c>
      <c r="Q521" s="1">
        <v>2</v>
      </c>
      <c r="R521" s="1">
        <v>2</v>
      </c>
      <c r="S521" s="1">
        <v>2</v>
      </c>
      <c r="T521" s="1">
        <v>0</v>
      </c>
      <c r="U521" s="1">
        <v>650</v>
      </c>
      <c r="V521" s="1">
        <v>120</v>
      </c>
      <c r="W521" s="1">
        <v>100</v>
      </c>
      <c r="X521" s="1">
        <v>100</v>
      </c>
      <c r="Y521" s="1">
        <v>105</v>
      </c>
      <c r="Z521" s="1">
        <v>100</v>
      </c>
      <c r="AA521" s="1">
        <v>0</v>
      </c>
      <c r="AB521" s="1">
        <v>15</v>
      </c>
      <c r="AC521" s="1">
        <v>20</v>
      </c>
      <c r="AD521" s="1">
        <v>0</v>
      </c>
      <c r="AE521" s="1">
        <v>105</v>
      </c>
      <c r="AF521" s="1">
        <v>120</v>
      </c>
      <c r="AG521" s="1">
        <v>100602</v>
      </c>
      <c r="AH521" s="1">
        <v>0</v>
      </c>
      <c r="AI521" s="1">
        <v>300101</v>
      </c>
      <c r="AJ521" s="1" t="s">
        <v>329</v>
      </c>
      <c r="AK521" s="1" t="s">
        <v>329</v>
      </c>
      <c r="AL521" s="1">
        <v>13</v>
      </c>
      <c r="AM521" s="1" t="s">
        <v>1866</v>
      </c>
      <c r="AN521" s="1" t="s">
        <v>4807</v>
      </c>
      <c r="AO521" s="1" t="s">
        <v>4804</v>
      </c>
      <c r="AP521" s="1">
        <v>0</v>
      </c>
      <c r="AQ521" s="1" t="s">
        <v>5916</v>
      </c>
      <c r="AR521" s="1" t="s">
        <v>1147</v>
      </c>
      <c r="AS521" s="1" t="s">
        <v>1157</v>
      </c>
      <c r="AT521" s="1" t="s">
        <v>329</v>
      </c>
      <c r="AU521" s="1">
        <v>6</v>
      </c>
      <c r="AV521" s="1">
        <v>0</v>
      </c>
      <c r="AW521" s="1" t="s">
        <v>5854</v>
      </c>
      <c r="AX521" s="1" t="s">
        <v>1866</v>
      </c>
      <c r="AY521" s="1">
        <v>5</v>
      </c>
      <c r="AZ521" s="1">
        <v>0</v>
      </c>
      <c r="BA521" s="1" t="s">
        <v>329</v>
      </c>
      <c r="BB521" s="1" t="s">
        <v>329</v>
      </c>
      <c r="BC521" s="1" t="s">
        <v>329</v>
      </c>
      <c r="BD521" s="1">
        <v>0</v>
      </c>
      <c r="BE521" s="1">
        <v>0</v>
      </c>
    </row>
    <row r="522" spans="1:57" x14ac:dyDescent="0.25">
      <c r="A522" s="1">
        <v>9081</v>
      </c>
      <c r="B522" s="1" t="s">
        <v>6244</v>
      </c>
      <c r="C522" s="9" t="s">
        <v>6245</v>
      </c>
      <c r="D522" s="1" t="s">
        <v>6245</v>
      </c>
      <c r="E522" s="1"/>
      <c r="F522" s="1"/>
      <c r="G522" s="1" t="s">
        <v>6246</v>
      </c>
      <c r="H522" s="1" t="s">
        <v>6247</v>
      </c>
      <c r="I522" s="1" t="s">
        <v>6248</v>
      </c>
      <c r="J522" s="1">
        <v>1</v>
      </c>
      <c r="K522" s="1">
        <v>5</v>
      </c>
      <c r="L522" s="1">
        <v>9300</v>
      </c>
      <c r="M522" s="1">
        <v>25</v>
      </c>
      <c r="N522" s="1">
        <v>20</v>
      </c>
      <c r="O522" s="1">
        <v>15</v>
      </c>
      <c r="P522" s="1">
        <v>10</v>
      </c>
      <c r="Q522" s="1">
        <v>5</v>
      </c>
      <c r="R522" s="1">
        <v>5</v>
      </c>
      <c r="S522" s="1">
        <v>2</v>
      </c>
      <c r="T522" s="1">
        <v>0</v>
      </c>
      <c r="U522" s="1">
        <v>110</v>
      </c>
      <c r="V522" s="1">
        <v>105</v>
      </c>
      <c r="W522" s="1">
        <v>125</v>
      </c>
      <c r="X522" s="1">
        <v>100</v>
      </c>
      <c r="Y522" s="1">
        <v>125</v>
      </c>
      <c r="Z522" s="1">
        <v>120</v>
      </c>
      <c r="AA522" s="1">
        <v>0</v>
      </c>
      <c r="AB522" s="1">
        <v>10</v>
      </c>
      <c r="AC522" s="1">
        <v>5</v>
      </c>
      <c r="AD522" s="1">
        <v>0</v>
      </c>
      <c r="AE522" s="1">
        <v>105</v>
      </c>
      <c r="AF522" s="1">
        <v>100</v>
      </c>
      <c r="AG522" s="1">
        <v>701001</v>
      </c>
      <c r="AH522" s="1">
        <v>0</v>
      </c>
      <c r="AI522" s="1">
        <v>700001</v>
      </c>
      <c r="AJ522" s="1" t="s">
        <v>6249</v>
      </c>
      <c r="AK522" s="1" t="s">
        <v>329</v>
      </c>
      <c r="AL522" s="1">
        <v>13</v>
      </c>
      <c r="AM522" s="1" t="s">
        <v>4850</v>
      </c>
      <c r="AN522" s="1" t="s">
        <v>5007</v>
      </c>
      <c r="AO522" s="1" t="s">
        <v>5106</v>
      </c>
      <c r="AP522" s="1">
        <v>0</v>
      </c>
      <c r="AQ522" s="1" t="s">
        <v>1157</v>
      </c>
      <c r="AR522" s="1" t="s">
        <v>1147</v>
      </c>
      <c r="AS522" s="1" t="s">
        <v>1158</v>
      </c>
      <c r="AT522" s="1" t="s">
        <v>329</v>
      </c>
      <c r="AU522" s="1">
        <v>143</v>
      </c>
      <c r="AV522" s="1">
        <v>0</v>
      </c>
      <c r="AW522" s="1" t="s">
        <v>5854</v>
      </c>
      <c r="AX522" s="1" t="s">
        <v>1866</v>
      </c>
      <c r="AY522" s="1">
        <v>4</v>
      </c>
      <c r="AZ522" s="1">
        <v>0</v>
      </c>
      <c r="BA522" s="1" t="s">
        <v>329</v>
      </c>
      <c r="BB522" s="1" t="s">
        <v>329</v>
      </c>
      <c r="BC522" s="1" t="s">
        <v>329</v>
      </c>
      <c r="BD522" s="1">
        <v>0</v>
      </c>
      <c r="BE522" s="1">
        <v>0</v>
      </c>
    </row>
    <row r="523" spans="1:57" x14ac:dyDescent="0.25">
      <c r="A523" s="1">
        <v>9082</v>
      </c>
      <c r="B523" s="1" t="s">
        <v>6250</v>
      </c>
      <c r="C523" s="9" t="s">
        <v>6245</v>
      </c>
      <c r="D523" s="1" t="s">
        <v>6245</v>
      </c>
      <c r="E523" s="1"/>
      <c r="F523" s="1"/>
      <c r="G523" s="1" t="s">
        <v>6251</v>
      </c>
      <c r="H523" s="1" t="s">
        <v>6252</v>
      </c>
      <c r="I523" s="1" t="s">
        <v>6253</v>
      </c>
      <c r="J523" s="1">
        <v>1</v>
      </c>
      <c r="K523" s="1">
        <v>5</v>
      </c>
      <c r="L523" s="1">
        <v>9300</v>
      </c>
      <c r="M523" s="1">
        <v>25</v>
      </c>
      <c r="N523" s="1">
        <v>20</v>
      </c>
      <c r="O523" s="1">
        <v>15</v>
      </c>
      <c r="P523" s="1">
        <v>10</v>
      </c>
      <c r="Q523" s="1">
        <v>5</v>
      </c>
      <c r="R523" s="1">
        <v>5</v>
      </c>
      <c r="S523" s="1">
        <v>2</v>
      </c>
      <c r="T523" s="1">
        <v>0</v>
      </c>
      <c r="U523" s="1">
        <v>110</v>
      </c>
      <c r="V523" s="1">
        <v>105</v>
      </c>
      <c r="W523" s="1">
        <v>125</v>
      </c>
      <c r="X523" s="1">
        <v>100</v>
      </c>
      <c r="Y523" s="1">
        <v>125</v>
      </c>
      <c r="Z523" s="1">
        <v>120</v>
      </c>
      <c r="AA523" s="1">
        <v>0</v>
      </c>
      <c r="AB523" s="1">
        <v>10</v>
      </c>
      <c r="AC523" s="1">
        <v>5</v>
      </c>
      <c r="AD523" s="1">
        <v>0</v>
      </c>
      <c r="AE523" s="1">
        <v>105</v>
      </c>
      <c r="AF523" s="1">
        <v>100</v>
      </c>
      <c r="AG523" s="1">
        <v>701004</v>
      </c>
      <c r="AH523" s="1">
        <v>0</v>
      </c>
      <c r="AI523" s="1">
        <v>700001</v>
      </c>
      <c r="AJ523" s="1" t="s">
        <v>6042</v>
      </c>
      <c r="AK523" s="1" t="s">
        <v>329</v>
      </c>
      <c r="AL523" s="1">
        <v>13</v>
      </c>
      <c r="AM523" s="1" t="s">
        <v>4850</v>
      </c>
      <c r="AN523" s="1" t="s">
        <v>5007</v>
      </c>
      <c r="AO523" s="1" t="s">
        <v>5106</v>
      </c>
      <c r="AP523" s="1">
        <v>0</v>
      </c>
      <c r="AQ523" s="1" t="s">
        <v>1157</v>
      </c>
      <c r="AR523" s="1" t="s">
        <v>1147</v>
      </c>
      <c r="AS523" s="1" t="s">
        <v>1158</v>
      </c>
      <c r="AT523" s="1" t="s">
        <v>329</v>
      </c>
      <c r="AU523" s="1">
        <v>143</v>
      </c>
      <c r="AV523" s="1">
        <v>0</v>
      </c>
      <c r="AW523" s="1" t="s">
        <v>5854</v>
      </c>
      <c r="AX523" s="1" t="s">
        <v>1866</v>
      </c>
      <c r="AY523" s="1">
        <v>5</v>
      </c>
      <c r="AZ523" s="1">
        <v>0</v>
      </c>
      <c r="BA523" s="1" t="s">
        <v>329</v>
      </c>
      <c r="BB523" s="1" t="s">
        <v>329</v>
      </c>
      <c r="BC523" s="1" t="s">
        <v>329</v>
      </c>
      <c r="BD523" s="1">
        <v>0</v>
      </c>
      <c r="BE523" s="1">
        <v>0</v>
      </c>
    </row>
    <row r="524" spans="1:57" x14ac:dyDescent="0.25">
      <c r="A524" s="1">
        <v>9083</v>
      </c>
      <c r="B524" s="1" t="s">
        <v>6254</v>
      </c>
      <c r="C524" s="9" t="s">
        <v>6245</v>
      </c>
      <c r="D524" s="1" t="s">
        <v>6245</v>
      </c>
      <c r="E524" s="1"/>
      <c r="F524" s="1"/>
      <c r="G524" s="1" t="s">
        <v>6255</v>
      </c>
      <c r="H524" s="1" t="s">
        <v>6256</v>
      </c>
      <c r="I524" s="1" t="s">
        <v>6257</v>
      </c>
      <c r="J524" s="1">
        <v>1</v>
      </c>
      <c r="K524" s="1">
        <v>5</v>
      </c>
      <c r="L524" s="1">
        <v>9300</v>
      </c>
      <c r="M524" s="1">
        <v>25</v>
      </c>
      <c r="N524" s="1">
        <v>20</v>
      </c>
      <c r="O524" s="1">
        <v>15</v>
      </c>
      <c r="P524" s="1">
        <v>10</v>
      </c>
      <c r="Q524" s="1">
        <v>5</v>
      </c>
      <c r="R524" s="1">
        <v>5</v>
      </c>
      <c r="S524" s="1">
        <v>2</v>
      </c>
      <c r="T524" s="1">
        <v>0</v>
      </c>
      <c r="U524" s="1">
        <v>110</v>
      </c>
      <c r="V524" s="1">
        <v>105</v>
      </c>
      <c r="W524" s="1">
        <v>125</v>
      </c>
      <c r="X524" s="1">
        <v>100</v>
      </c>
      <c r="Y524" s="1">
        <v>125</v>
      </c>
      <c r="Z524" s="1">
        <v>120</v>
      </c>
      <c r="AA524" s="1">
        <v>0</v>
      </c>
      <c r="AB524" s="1">
        <v>10</v>
      </c>
      <c r="AC524" s="1">
        <v>5</v>
      </c>
      <c r="AD524" s="1">
        <v>0</v>
      </c>
      <c r="AE524" s="1">
        <v>105</v>
      </c>
      <c r="AF524" s="1">
        <v>100</v>
      </c>
      <c r="AG524" s="1">
        <v>701002</v>
      </c>
      <c r="AH524" s="1">
        <v>0</v>
      </c>
      <c r="AI524" s="1">
        <v>700001</v>
      </c>
      <c r="AJ524" s="1" t="s">
        <v>6042</v>
      </c>
      <c r="AK524" s="1" t="s">
        <v>329</v>
      </c>
      <c r="AL524" s="1">
        <v>13</v>
      </c>
      <c r="AM524" s="1" t="s">
        <v>4850</v>
      </c>
      <c r="AN524" s="1" t="s">
        <v>5007</v>
      </c>
      <c r="AO524" s="1" t="s">
        <v>5106</v>
      </c>
      <c r="AP524" s="1">
        <v>0</v>
      </c>
      <c r="AQ524" s="1" t="s">
        <v>1157</v>
      </c>
      <c r="AR524" s="1" t="s">
        <v>1147</v>
      </c>
      <c r="AS524" s="1" t="s">
        <v>1158</v>
      </c>
      <c r="AT524" s="1" t="s">
        <v>329</v>
      </c>
      <c r="AU524" s="1">
        <v>143</v>
      </c>
      <c r="AV524" s="1">
        <v>0</v>
      </c>
      <c r="AW524" s="1" t="s">
        <v>5854</v>
      </c>
      <c r="AX524" s="1" t="s">
        <v>1866</v>
      </c>
      <c r="AY524" s="1">
        <v>4</v>
      </c>
      <c r="AZ524" s="1">
        <v>0</v>
      </c>
      <c r="BA524" s="1" t="s">
        <v>329</v>
      </c>
      <c r="BB524" s="1" t="s">
        <v>329</v>
      </c>
      <c r="BC524" s="1" t="s">
        <v>329</v>
      </c>
      <c r="BD524" s="1">
        <v>0</v>
      </c>
      <c r="BE524" s="1">
        <v>0</v>
      </c>
    </row>
    <row r="525" spans="1:57" x14ac:dyDescent="0.25">
      <c r="A525" s="1">
        <v>9084</v>
      </c>
      <c r="B525" s="1" t="s">
        <v>6258</v>
      </c>
      <c r="C525" s="9" t="s">
        <v>6245</v>
      </c>
      <c r="D525" s="1" t="s">
        <v>6245</v>
      </c>
      <c r="E525" s="1"/>
      <c r="F525" s="1"/>
      <c r="G525" s="1" t="s">
        <v>6259</v>
      </c>
      <c r="H525" s="1" t="s">
        <v>6260</v>
      </c>
      <c r="I525" s="1" t="s">
        <v>6261</v>
      </c>
      <c r="J525" s="1">
        <v>1</v>
      </c>
      <c r="K525" s="1">
        <v>5</v>
      </c>
      <c r="L525" s="1">
        <v>9300</v>
      </c>
      <c r="M525" s="1">
        <v>25</v>
      </c>
      <c r="N525" s="1">
        <v>20</v>
      </c>
      <c r="O525" s="1">
        <v>15</v>
      </c>
      <c r="P525" s="1">
        <v>10</v>
      </c>
      <c r="Q525" s="1">
        <v>5</v>
      </c>
      <c r="R525" s="1">
        <v>5</v>
      </c>
      <c r="S525" s="1">
        <v>2</v>
      </c>
      <c r="T525" s="1">
        <v>0</v>
      </c>
      <c r="U525" s="1">
        <v>110</v>
      </c>
      <c r="V525" s="1">
        <v>105</v>
      </c>
      <c r="W525" s="1">
        <v>125</v>
      </c>
      <c r="X525" s="1">
        <v>100</v>
      </c>
      <c r="Y525" s="1">
        <v>125</v>
      </c>
      <c r="Z525" s="1">
        <v>120</v>
      </c>
      <c r="AA525" s="1">
        <v>0</v>
      </c>
      <c r="AB525" s="1">
        <v>10</v>
      </c>
      <c r="AC525" s="1">
        <v>5</v>
      </c>
      <c r="AD525" s="1">
        <v>0</v>
      </c>
      <c r="AE525" s="1">
        <v>105</v>
      </c>
      <c r="AF525" s="1">
        <v>100</v>
      </c>
      <c r="AG525" s="1">
        <v>701003</v>
      </c>
      <c r="AH525" s="1">
        <v>0</v>
      </c>
      <c r="AI525" s="1">
        <v>700001</v>
      </c>
      <c r="AJ525" s="1" t="s">
        <v>6042</v>
      </c>
      <c r="AK525" s="1" t="s">
        <v>329</v>
      </c>
      <c r="AL525" s="1">
        <v>13</v>
      </c>
      <c r="AM525" s="1" t="s">
        <v>4850</v>
      </c>
      <c r="AN525" s="1" t="s">
        <v>5007</v>
      </c>
      <c r="AO525" s="1" t="s">
        <v>5106</v>
      </c>
      <c r="AP525" s="1">
        <v>0</v>
      </c>
      <c r="AQ525" s="1" t="s">
        <v>1157</v>
      </c>
      <c r="AR525" s="1" t="s">
        <v>1147</v>
      </c>
      <c r="AS525" s="1" t="s">
        <v>1158</v>
      </c>
      <c r="AT525" s="1" t="s">
        <v>329</v>
      </c>
      <c r="AU525" s="1">
        <v>143</v>
      </c>
      <c r="AV525" s="1">
        <v>0</v>
      </c>
      <c r="AW525" s="1" t="s">
        <v>5854</v>
      </c>
      <c r="AX525" s="1" t="s">
        <v>1866</v>
      </c>
      <c r="AY525" s="1">
        <v>5</v>
      </c>
      <c r="AZ525" s="1">
        <v>0</v>
      </c>
      <c r="BA525" s="1" t="s">
        <v>329</v>
      </c>
      <c r="BB525" s="1" t="s">
        <v>329</v>
      </c>
      <c r="BC525" s="1" t="s">
        <v>329</v>
      </c>
      <c r="BD525" s="1">
        <v>0</v>
      </c>
      <c r="BE525" s="1">
        <v>0</v>
      </c>
    </row>
    <row r="526" spans="1:57" x14ac:dyDescent="0.25">
      <c r="A526" s="1">
        <v>9085</v>
      </c>
      <c r="B526" s="1" t="s">
        <v>6262</v>
      </c>
      <c r="C526" s="9" t="s">
        <v>6225</v>
      </c>
      <c r="D526" s="1" t="s">
        <v>6225</v>
      </c>
      <c r="E526" s="1"/>
      <c r="F526" s="1"/>
      <c r="G526" s="1" t="s">
        <v>6263</v>
      </c>
      <c r="H526" s="1" t="s">
        <v>6264</v>
      </c>
      <c r="I526" s="1" t="s">
        <v>6265</v>
      </c>
      <c r="J526" s="1">
        <v>2</v>
      </c>
      <c r="K526" s="1">
        <v>5</v>
      </c>
      <c r="L526" s="1">
        <v>9300</v>
      </c>
      <c r="M526" s="1">
        <v>20</v>
      </c>
      <c r="N526" s="1">
        <v>20</v>
      </c>
      <c r="O526" s="1">
        <v>10</v>
      </c>
      <c r="P526" s="1">
        <v>10</v>
      </c>
      <c r="Q526" s="1">
        <v>2</v>
      </c>
      <c r="R526" s="1">
        <v>5</v>
      </c>
      <c r="S526" s="1">
        <v>5</v>
      </c>
      <c r="T526" s="1">
        <v>0</v>
      </c>
      <c r="U526" s="1">
        <v>800</v>
      </c>
      <c r="V526" s="1">
        <v>120</v>
      </c>
      <c r="W526" s="1">
        <v>112</v>
      </c>
      <c r="X526" s="1">
        <v>60</v>
      </c>
      <c r="Y526" s="1">
        <v>250</v>
      </c>
      <c r="Z526" s="1">
        <v>60</v>
      </c>
      <c r="AA526" s="1">
        <v>0</v>
      </c>
      <c r="AB526" s="1">
        <v>0</v>
      </c>
      <c r="AC526" s="1">
        <v>0</v>
      </c>
      <c r="AD526" s="1">
        <v>0</v>
      </c>
      <c r="AE526" s="1">
        <v>100</v>
      </c>
      <c r="AF526" s="1">
        <v>100</v>
      </c>
      <c r="AG526" s="1">
        <v>100107</v>
      </c>
      <c r="AH526" s="1">
        <v>0</v>
      </c>
      <c r="AI526" s="1">
        <v>300103</v>
      </c>
      <c r="AJ526" s="1" t="s">
        <v>329</v>
      </c>
      <c r="AK526" s="1" t="s">
        <v>329</v>
      </c>
      <c r="AL526" s="1">
        <v>13</v>
      </c>
      <c r="AM526" s="1" t="s">
        <v>4850</v>
      </c>
      <c r="AN526" s="1" t="s">
        <v>4853</v>
      </c>
      <c r="AO526" s="1" t="s">
        <v>4862</v>
      </c>
      <c r="AP526" s="1">
        <v>0</v>
      </c>
      <c r="AQ526" s="1" t="s">
        <v>1157</v>
      </c>
      <c r="AR526" s="1" t="s">
        <v>1147</v>
      </c>
      <c r="AS526" s="1" t="s">
        <v>1158</v>
      </c>
      <c r="AT526" s="1" t="s">
        <v>329</v>
      </c>
      <c r="AU526" s="1">
        <v>20</v>
      </c>
      <c r="AV526" s="1">
        <v>0</v>
      </c>
      <c r="AW526" s="1" t="s">
        <v>5854</v>
      </c>
      <c r="AX526" s="1" t="s">
        <v>1866</v>
      </c>
      <c r="AY526" s="1">
        <v>5</v>
      </c>
      <c r="AZ526" s="1">
        <v>0</v>
      </c>
      <c r="BA526" s="1" t="s">
        <v>329</v>
      </c>
      <c r="BB526" s="1" t="s">
        <v>329</v>
      </c>
      <c r="BC526" s="1" t="s">
        <v>329</v>
      </c>
      <c r="BD526" s="1">
        <v>0</v>
      </c>
      <c r="BE526" s="1">
        <v>0</v>
      </c>
    </row>
    <row r="527" spans="1:57" x14ac:dyDescent="0.25">
      <c r="A527" s="1">
        <v>9086</v>
      </c>
      <c r="B527" s="1" t="s">
        <v>6266</v>
      </c>
      <c r="C527" s="9" t="s">
        <v>862</v>
      </c>
      <c r="D527" s="1" t="s">
        <v>6267</v>
      </c>
      <c r="E527" s="1"/>
      <c r="F527" s="1"/>
      <c r="G527" s="1" t="s">
        <v>6268</v>
      </c>
      <c r="H527" s="1" t="s">
        <v>6269</v>
      </c>
      <c r="I527" s="1" t="s">
        <v>6270</v>
      </c>
      <c r="J527" s="1">
        <v>4</v>
      </c>
      <c r="K527" s="1">
        <v>4</v>
      </c>
      <c r="L527" s="1">
        <v>12900</v>
      </c>
      <c r="M527" s="1">
        <v>20</v>
      </c>
      <c r="N527" s="1">
        <v>20</v>
      </c>
      <c r="O527" s="1">
        <v>10</v>
      </c>
      <c r="P527" s="1">
        <v>10</v>
      </c>
      <c r="Q527" s="1">
        <v>2</v>
      </c>
      <c r="R527" s="1">
        <v>5</v>
      </c>
      <c r="S527" s="1">
        <v>5</v>
      </c>
      <c r="T527" s="1">
        <v>0</v>
      </c>
      <c r="U527" s="1">
        <v>100</v>
      </c>
      <c r="V527" s="1">
        <v>0</v>
      </c>
      <c r="W527" s="1">
        <v>0</v>
      </c>
      <c r="X527" s="1">
        <v>100</v>
      </c>
      <c r="Y527" s="1">
        <v>0</v>
      </c>
      <c r="Z527" s="1">
        <v>0</v>
      </c>
      <c r="AA527" s="1">
        <v>0</v>
      </c>
      <c r="AB527" s="1">
        <v>15</v>
      </c>
      <c r="AC527" s="1">
        <v>50</v>
      </c>
      <c r="AD527" s="1">
        <v>0</v>
      </c>
      <c r="AE527" s="1">
        <v>110</v>
      </c>
      <c r="AF527" s="1">
        <v>100</v>
      </c>
      <c r="AG527" s="1">
        <v>403414</v>
      </c>
      <c r="AH527" s="1">
        <v>0</v>
      </c>
      <c r="AI527" s="1">
        <v>403402</v>
      </c>
      <c r="AJ527" s="1" t="s">
        <v>6056</v>
      </c>
      <c r="AK527" s="1" t="s">
        <v>329</v>
      </c>
      <c r="AL527" s="1">
        <v>13</v>
      </c>
      <c r="AM527" s="1" t="s">
        <v>4779</v>
      </c>
      <c r="AN527" s="1" t="s">
        <v>4807</v>
      </c>
      <c r="AO527" s="1" t="s">
        <v>4859</v>
      </c>
      <c r="AP527" s="1">
        <v>0</v>
      </c>
      <c r="AQ527" s="1" t="s">
        <v>1182</v>
      </c>
      <c r="AR527" s="1" t="s">
        <v>6057</v>
      </c>
      <c r="AS527" s="1" t="s">
        <v>6057</v>
      </c>
      <c r="AT527" s="1" t="s">
        <v>329</v>
      </c>
      <c r="AU527" s="1">
        <v>54</v>
      </c>
      <c r="AV527" s="1">
        <v>0</v>
      </c>
      <c r="AW527" s="1" t="s">
        <v>5854</v>
      </c>
      <c r="AX527" s="1" t="s">
        <v>1866</v>
      </c>
      <c r="AY527" s="1">
        <v>5</v>
      </c>
      <c r="AZ527" s="1">
        <v>0</v>
      </c>
      <c r="BA527" s="1" t="s">
        <v>329</v>
      </c>
      <c r="BB527" s="1" t="s">
        <v>329</v>
      </c>
      <c r="BC527" s="1" t="s">
        <v>329</v>
      </c>
      <c r="BD527" s="1">
        <v>0</v>
      </c>
      <c r="BE527" s="1">
        <v>0</v>
      </c>
    </row>
    <row r="528" spans="1:57" x14ac:dyDescent="0.25">
      <c r="A528" s="1">
        <v>9087</v>
      </c>
      <c r="B528" s="1" t="s">
        <v>6271</v>
      </c>
      <c r="C528" s="9" t="s">
        <v>1770</v>
      </c>
      <c r="D528" s="1" t="s">
        <v>6272</v>
      </c>
      <c r="E528" s="1"/>
      <c r="F528" s="1"/>
      <c r="G528" s="1" t="s">
        <v>6273</v>
      </c>
      <c r="H528" s="1" t="s">
        <v>6274</v>
      </c>
      <c r="I528" s="1" t="s">
        <v>6275</v>
      </c>
      <c r="J528" s="1">
        <v>4</v>
      </c>
      <c r="K528" s="1">
        <v>4</v>
      </c>
      <c r="L528" s="1">
        <v>12900</v>
      </c>
      <c r="M528" s="1">
        <v>20</v>
      </c>
      <c r="N528" s="1">
        <v>20</v>
      </c>
      <c r="O528" s="1">
        <v>10</v>
      </c>
      <c r="P528" s="1">
        <v>10</v>
      </c>
      <c r="Q528" s="1">
        <v>2</v>
      </c>
      <c r="R528" s="1">
        <v>5</v>
      </c>
      <c r="S528" s="1">
        <v>5</v>
      </c>
      <c r="T528" s="1">
        <v>0</v>
      </c>
      <c r="U528" s="1">
        <v>100</v>
      </c>
      <c r="V528" s="1">
        <v>0</v>
      </c>
      <c r="W528" s="1">
        <v>0</v>
      </c>
      <c r="X528" s="1">
        <v>100</v>
      </c>
      <c r="Y528" s="1">
        <v>0</v>
      </c>
      <c r="Z528" s="1">
        <v>0</v>
      </c>
      <c r="AA528" s="1">
        <v>0</v>
      </c>
      <c r="AB528" s="1">
        <v>15</v>
      </c>
      <c r="AC528" s="1">
        <v>50</v>
      </c>
      <c r="AD528" s="1">
        <v>0</v>
      </c>
      <c r="AE528" s="1">
        <v>110</v>
      </c>
      <c r="AF528" s="1">
        <v>100</v>
      </c>
      <c r="AG528" s="1">
        <v>403414</v>
      </c>
      <c r="AH528" s="1">
        <v>0</v>
      </c>
      <c r="AI528" s="1">
        <v>403402</v>
      </c>
      <c r="AJ528" s="1" t="s">
        <v>6056</v>
      </c>
      <c r="AK528" s="1" t="s">
        <v>329</v>
      </c>
      <c r="AL528" s="1">
        <v>13</v>
      </c>
      <c r="AM528" s="1" t="s">
        <v>4779</v>
      </c>
      <c r="AN528" s="1" t="s">
        <v>4807</v>
      </c>
      <c r="AO528" s="1" t="s">
        <v>4859</v>
      </c>
      <c r="AP528" s="1">
        <v>0</v>
      </c>
      <c r="AQ528" s="1" t="s">
        <v>1182</v>
      </c>
      <c r="AR528" s="1" t="s">
        <v>6057</v>
      </c>
      <c r="AS528" s="1" t="s">
        <v>6057</v>
      </c>
      <c r="AT528" s="1" t="s">
        <v>329</v>
      </c>
      <c r="AU528" s="1">
        <v>54</v>
      </c>
      <c r="AV528" s="1">
        <v>0</v>
      </c>
      <c r="AW528" s="1" t="s">
        <v>5854</v>
      </c>
      <c r="AX528" s="1" t="s">
        <v>1866</v>
      </c>
      <c r="AY528" s="1">
        <v>5</v>
      </c>
      <c r="AZ528" s="1">
        <v>0</v>
      </c>
      <c r="BA528" s="1" t="s">
        <v>329</v>
      </c>
      <c r="BB528" s="1" t="s">
        <v>329</v>
      </c>
      <c r="BC528" s="1" t="s">
        <v>329</v>
      </c>
      <c r="BD528" s="1">
        <v>0</v>
      </c>
      <c r="BE528" s="1">
        <v>0</v>
      </c>
    </row>
    <row r="529" spans="1:57" x14ac:dyDescent="0.25">
      <c r="A529" s="1">
        <v>9088</v>
      </c>
      <c r="B529" s="1" t="s">
        <v>6276</v>
      </c>
      <c r="C529" s="9" t="s">
        <v>867</v>
      </c>
      <c r="D529" s="1" t="s">
        <v>6277</v>
      </c>
      <c r="E529" s="1"/>
      <c r="F529" s="1"/>
      <c r="G529" s="1" t="s">
        <v>6278</v>
      </c>
      <c r="H529" s="1" t="s">
        <v>6279</v>
      </c>
      <c r="I529" s="1" t="s">
        <v>6280</v>
      </c>
      <c r="J529" s="1">
        <v>4</v>
      </c>
      <c r="K529" s="1">
        <v>4</v>
      </c>
      <c r="L529" s="1">
        <v>12900</v>
      </c>
      <c r="M529" s="1">
        <v>20</v>
      </c>
      <c r="N529" s="1">
        <v>20</v>
      </c>
      <c r="O529" s="1">
        <v>10</v>
      </c>
      <c r="P529" s="1">
        <v>10</v>
      </c>
      <c r="Q529" s="1">
        <v>2</v>
      </c>
      <c r="R529" s="1">
        <v>5</v>
      </c>
      <c r="S529" s="1">
        <v>5</v>
      </c>
      <c r="T529" s="1">
        <v>0</v>
      </c>
      <c r="U529" s="1">
        <v>100</v>
      </c>
      <c r="V529" s="1">
        <v>0</v>
      </c>
      <c r="W529" s="1">
        <v>0</v>
      </c>
      <c r="X529" s="1">
        <v>100</v>
      </c>
      <c r="Y529" s="1">
        <v>0</v>
      </c>
      <c r="Z529" s="1">
        <v>0</v>
      </c>
      <c r="AA529" s="1">
        <v>0</v>
      </c>
      <c r="AB529" s="1">
        <v>15</v>
      </c>
      <c r="AC529" s="1">
        <v>50</v>
      </c>
      <c r="AD529" s="1">
        <v>0</v>
      </c>
      <c r="AE529" s="1">
        <v>110</v>
      </c>
      <c r="AF529" s="1">
        <v>100</v>
      </c>
      <c r="AG529" s="1">
        <v>403414</v>
      </c>
      <c r="AH529" s="1">
        <v>0</v>
      </c>
      <c r="AI529" s="1">
        <v>403402</v>
      </c>
      <c r="AJ529" s="1" t="s">
        <v>6056</v>
      </c>
      <c r="AK529" s="1" t="s">
        <v>329</v>
      </c>
      <c r="AL529" s="1">
        <v>13</v>
      </c>
      <c r="AM529" s="1" t="s">
        <v>4779</v>
      </c>
      <c r="AN529" s="1" t="s">
        <v>4807</v>
      </c>
      <c r="AO529" s="1" t="s">
        <v>4859</v>
      </c>
      <c r="AP529" s="1">
        <v>0</v>
      </c>
      <c r="AQ529" s="1" t="s">
        <v>1182</v>
      </c>
      <c r="AR529" s="1" t="s">
        <v>6057</v>
      </c>
      <c r="AS529" s="1" t="s">
        <v>6057</v>
      </c>
      <c r="AT529" s="1" t="s">
        <v>329</v>
      </c>
      <c r="AU529" s="1">
        <v>54</v>
      </c>
      <c r="AV529" s="1">
        <v>0</v>
      </c>
      <c r="AW529" s="1" t="s">
        <v>5854</v>
      </c>
      <c r="AX529" s="1" t="s">
        <v>1866</v>
      </c>
      <c r="AY529" s="1">
        <v>5</v>
      </c>
      <c r="AZ529" s="1">
        <v>0</v>
      </c>
      <c r="BA529" s="1" t="s">
        <v>329</v>
      </c>
      <c r="BB529" s="1" t="s">
        <v>329</v>
      </c>
      <c r="BC529" s="1" t="s">
        <v>329</v>
      </c>
      <c r="BD529" s="1">
        <v>0</v>
      </c>
      <c r="BE529" s="1">
        <v>0</v>
      </c>
    </row>
    <row r="530" spans="1:57" x14ac:dyDescent="0.25">
      <c r="A530" s="1">
        <v>9089</v>
      </c>
      <c r="B530" s="1" t="s">
        <v>6281</v>
      </c>
      <c r="C530" s="9" t="s">
        <v>6114</v>
      </c>
      <c r="D530" s="1" t="s">
        <v>6282</v>
      </c>
      <c r="E530" s="1"/>
      <c r="F530" s="1"/>
      <c r="G530" s="1" t="s">
        <v>6283</v>
      </c>
      <c r="H530" s="1" t="s">
        <v>6284</v>
      </c>
      <c r="I530" s="1" t="s">
        <v>6285</v>
      </c>
      <c r="J530" s="1">
        <v>1</v>
      </c>
      <c r="K530" s="1">
        <v>3</v>
      </c>
      <c r="L530" s="1">
        <v>2700</v>
      </c>
      <c r="M530" s="1">
        <v>10</v>
      </c>
      <c r="N530" s="1">
        <v>10</v>
      </c>
      <c r="O530" s="1">
        <v>5</v>
      </c>
      <c r="P530" s="1">
        <v>5</v>
      </c>
      <c r="Q530" s="1">
        <v>2</v>
      </c>
      <c r="R530" s="1">
        <v>2</v>
      </c>
      <c r="S530" s="1">
        <v>2</v>
      </c>
      <c r="T530" s="1">
        <v>0</v>
      </c>
      <c r="U530" s="1">
        <v>650</v>
      </c>
      <c r="V530" s="1">
        <v>120</v>
      </c>
      <c r="W530" s="1">
        <v>100</v>
      </c>
      <c r="X530" s="1">
        <v>100</v>
      </c>
      <c r="Y530" s="1">
        <v>105</v>
      </c>
      <c r="Z530" s="1">
        <v>100</v>
      </c>
      <c r="AA530" s="1">
        <v>0</v>
      </c>
      <c r="AB530" s="1">
        <v>15</v>
      </c>
      <c r="AC530" s="1">
        <v>20</v>
      </c>
      <c r="AD530" s="1">
        <v>0</v>
      </c>
      <c r="AE530" s="1">
        <v>105</v>
      </c>
      <c r="AF530" s="1">
        <v>120</v>
      </c>
      <c r="AG530" s="1">
        <v>100602</v>
      </c>
      <c r="AH530" s="1">
        <v>0</v>
      </c>
      <c r="AI530" s="1">
        <v>900107</v>
      </c>
      <c r="AJ530" s="1" t="s">
        <v>6286</v>
      </c>
      <c r="AK530" s="1" t="s">
        <v>329</v>
      </c>
      <c r="AL530" s="1">
        <v>13</v>
      </c>
      <c r="AM530" s="1" t="s">
        <v>1866</v>
      </c>
      <c r="AN530" s="1" t="s">
        <v>4807</v>
      </c>
      <c r="AO530" s="1" t="s">
        <v>4804</v>
      </c>
      <c r="AP530" s="1">
        <v>0</v>
      </c>
      <c r="AQ530" s="1" t="s">
        <v>5916</v>
      </c>
      <c r="AR530" s="1" t="s">
        <v>1147</v>
      </c>
      <c r="AS530" s="1" t="s">
        <v>1157</v>
      </c>
      <c r="AT530" s="1" t="s">
        <v>329</v>
      </c>
      <c r="AU530" s="1">
        <v>6</v>
      </c>
      <c r="AV530" s="1">
        <v>0</v>
      </c>
      <c r="AW530" s="1" t="s">
        <v>5854</v>
      </c>
      <c r="AX530" s="1" t="s">
        <v>1866</v>
      </c>
      <c r="AY530" s="1">
        <v>3</v>
      </c>
      <c r="AZ530" s="1">
        <v>0</v>
      </c>
      <c r="BA530" s="1" t="s">
        <v>329</v>
      </c>
      <c r="BB530" s="1" t="s">
        <v>329</v>
      </c>
      <c r="BC530" s="1" t="s">
        <v>329</v>
      </c>
      <c r="BD530" s="1">
        <v>0</v>
      </c>
      <c r="BE530" s="1">
        <v>0</v>
      </c>
    </row>
    <row r="531" spans="1:57" x14ac:dyDescent="0.25">
      <c r="A531" s="1">
        <v>9090</v>
      </c>
      <c r="B531" s="1" t="s">
        <v>6287</v>
      </c>
      <c r="C531" s="9" t="s">
        <v>4118</v>
      </c>
      <c r="D531" s="1" t="s">
        <v>4118</v>
      </c>
      <c r="E531" s="1"/>
      <c r="F531" s="1"/>
      <c r="G531" s="1" t="s">
        <v>6288</v>
      </c>
      <c r="H531" s="1" t="s">
        <v>6289</v>
      </c>
      <c r="I531" s="1" t="s">
        <v>6290</v>
      </c>
      <c r="J531" s="1">
        <v>4</v>
      </c>
      <c r="K531" s="1">
        <v>5</v>
      </c>
      <c r="L531" s="1">
        <v>14100</v>
      </c>
      <c r="M531" s="1">
        <v>20</v>
      </c>
      <c r="N531" s="1">
        <v>20</v>
      </c>
      <c r="O531" s="1">
        <v>10</v>
      </c>
      <c r="P531" s="1">
        <v>10</v>
      </c>
      <c r="Q531" s="1">
        <v>2</v>
      </c>
      <c r="R531" s="1">
        <v>5</v>
      </c>
      <c r="S531" s="1">
        <v>5</v>
      </c>
      <c r="T531" s="1">
        <v>0</v>
      </c>
      <c r="U531" s="1">
        <v>272</v>
      </c>
      <c r="V531" s="1">
        <v>107</v>
      </c>
      <c r="W531" s="1">
        <v>148</v>
      </c>
      <c r="X531" s="1">
        <v>100</v>
      </c>
      <c r="Y531" s="1">
        <v>132</v>
      </c>
      <c r="Z531" s="1">
        <v>0</v>
      </c>
      <c r="AA531" s="1">
        <v>0</v>
      </c>
      <c r="AB531" s="1">
        <v>0</v>
      </c>
      <c r="AC531" s="1">
        <v>0</v>
      </c>
      <c r="AD531" s="1">
        <v>0</v>
      </c>
      <c r="AE531" s="1">
        <v>124</v>
      </c>
      <c r="AF531" s="1">
        <v>400</v>
      </c>
      <c r="AG531" s="1">
        <v>118106</v>
      </c>
      <c r="AH531" s="1">
        <v>118105</v>
      </c>
      <c r="AI531" s="1">
        <v>118104</v>
      </c>
      <c r="AJ531" s="1" t="s">
        <v>6291</v>
      </c>
      <c r="AK531" s="1" t="s">
        <v>329</v>
      </c>
      <c r="AL531" s="1">
        <v>13</v>
      </c>
      <c r="AM531" s="1" t="s">
        <v>4779</v>
      </c>
      <c r="AN531" s="1" t="s">
        <v>4889</v>
      </c>
      <c r="AO531" s="1" t="s">
        <v>6292</v>
      </c>
      <c r="AP531" s="1">
        <v>0</v>
      </c>
      <c r="AQ531" s="1" t="s">
        <v>1774</v>
      </c>
      <c r="AR531" s="1" t="s">
        <v>4928</v>
      </c>
      <c r="AS531" s="1" t="s">
        <v>1773</v>
      </c>
      <c r="AT531" s="1" t="s">
        <v>329</v>
      </c>
      <c r="AU531" s="1">
        <v>1029</v>
      </c>
      <c r="AV531" s="1">
        <v>0</v>
      </c>
      <c r="AW531" s="1" t="s">
        <v>5854</v>
      </c>
      <c r="AX531" s="1" t="s">
        <v>1866</v>
      </c>
      <c r="AY531" s="1">
        <v>5</v>
      </c>
      <c r="AZ531" s="1">
        <v>0</v>
      </c>
      <c r="BA531" s="1" t="s">
        <v>329</v>
      </c>
      <c r="BB531" s="1" t="s">
        <v>329</v>
      </c>
      <c r="BC531" s="1" t="s">
        <v>5446</v>
      </c>
      <c r="BD531" s="1">
        <v>0</v>
      </c>
      <c r="BE531" s="1">
        <v>0</v>
      </c>
    </row>
    <row r="532" spans="1:57" x14ac:dyDescent="0.25">
      <c r="A532" s="1">
        <v>9091</v>
      </c>
      <c r="B532" s="1" t="s">
        <v>6293</v>
      </c>
      <c r="C532" s="9" t="s">
        <v>5843</v>
      </c>
      <c r="D532" s="1" t="s">
        <v>4006</v>
      </c>
      <c r="E532" s="1"/>
      <c r="F532" s="1"/>
      <c r="G532" s="1" t="s">
        <v>6294</v>
      </c>
      <c r="H532" s="1" t="s">
        <v>6295</v>
      </c>
      <c r="I532" s="1" t="s">
        <v>6296</v>
      </c>
      <c r="J532" s="1">
        <v>3</v>
      </c>
      <c r="K532" s="1">
        <v>5</v>
      </c>
      <c r="L532" s="1">
        <v>16980</v>
      </c>
      <c r="M532" s="1">
        <v>15</v>
      </c>
      <c r="N532" s="1">
        <v>30</v>
      </c>
      <c r="O532" s="1">
        <v>10</v>
      </c>
      <c r="P532" s="1">
        <v>15</v>
      </c>
      <c r="Q532" s="1">
        <v>5</v>
      </c>
      <c r="R532" s="1">
        <v>2</v>
      </c>
      <c r="S532" s="1">
        <v>5</v>
      </c>
      <c r="T532" s="1">
        <v>0</v>
      </c>
      <c r="U532" s="1">
        <v>113</v>
      </c>
      <c r="V532" s="1">
        <v>391</v>
      </c>
      <c r="W532" s="1">
        <v>40</v>
      </c>
      <c r="X532" s="1">
        <v>100</v>
      </c>
      <c r="Y532" s="1">
        <v>110</v>
      </c>
      <c r="Z532" s="1">
        <v>0</v>
      </c>
      <c r="AA532" s="1">
        <v>0</v>
      </c>
      <c r="AB532" s="1">
        <v>15</v>
      </c>
      <c r="AC532" s="1">
        <v>0</v>
      </c>
      <c r="AD532" s="1">
        <v>0</v>
      </c>
      <c r="AE532" s="1">
        <v>155</v>
      </c>
      <c r="AF532" s="1">
        <v>800</v>
      </c>
      <c r="AG532" s="1">
        <v>118129</v>
      </c>
      <c r="AH532" s="1">
        <v>118128</v>
      </c>
      <c r="AI532" s="1">
        <v>118143</v>
      </c>
      <c r="AJ532" s="1" t="s">
        <v>6297</v>
      </c>
      <c r="AK532" s="1" t="s">
        <v>329</v>
      </c>
      <c r="AL532" s="1">
        <v>13</v>
      </c>
      <c r="AM532" s="1" t="s">
        <v>4822</v>
      </c>
      <c r="AN532" s="1" t="s">
        <v>5173</v>
      </c>
      <c r="AO532" s="1" t="s">
        <v>6298</v>
      </c>
      <c r="AP532" s="1">
        <v>0</v>
      </c>
      <c r="AQ532" s="1" t="s">
        <v>1168</v>
      </c>
      <c r="AR532" s="1" t="s">
        <v>1169</v>
      </c>
      <c r="AS532" s="1" t="s">
        <v>1170</v>
      </c>
      <c r="AT532" s="1" t="s">
        <v>329</v>
      </c>
      <c r="AU532" s="1">
        <v>222</v>
      </c>
      <c r="AV532" s="1">
        <v>0</v>
      </c>
      <c r="AW532" s="1" t="s">
        <v>5854</v>
      </c>
      <c r="AX532" s="1" t="s">
        <v>1866</v>
      </c>
      <c r="AY532" s="1">
        <v>5</v>
      </c>
      <c r="AZ532" s="1">
        <v>0</v>
      </c>
      <c r="BA532" s="1" t="s">
        <v>329</v>
      </c>
      <c r="BB532" s="1" t="s">
        <v>329</v>
      </c>
      <c r="BC532" s="1" t="s">
        <v>4817</v>
      </c>
      <c r="BD532" s="1">
        <v>0</v>
      </c>
      <c r="BE532" s="1">
        <v>0</v>
      </c>
    </row>
    <row r="533" spans="1:57" x14ac:dyDescent="0.25">
      <c r="A533" s="1">
        <v>9092</v>
      </c>
      <c r="B533" s="1" t="s">
        <v>6299</v>
      </c>
      <c r="C533" s="9" t="s">
        <v>190</v>
      </c>
      <c r="D533" s="1" t="s">
        <v>190</v>
      </c>
      <c r="E533" s="1"/>
      <c r="F533" s="1"/>
      <c r="G533" s="1" t="s">
        <v>6300</v>
      </c>
      <c r="H533" s="1" t="s">
        <v>6301</v>
      </c>
      <c r="I533" s="1" t="s">
        <v>6302</v>
      </c>
      <c r="J533" s="1">
        <v>2</v>
      </c>
      <c r="K533" s="1">
        <v>5</v>
      </c>
      <c r="L533" s="1">
        <v>8940</v>
      </c>
      <c r="M533" s="1">
        <v>25</v>
      </c>
      <c r="N533" s="1">
        <v>20</v>
      </c>
      <c r="O533" s="1">
        <v>15</v>
      </c>
      <c r="P533" s="1">
        <v>10</v>
      </c>
      <c r="Q533" s="1">
        <v>5</v>
      </c>
      <c r="R533" s="1">
        <v>5</v>
      </c>
      <c r="S533" s="1">
        <v>2</v>
      </c>
      <c r="T533" s="1">
        <v>0</v>
      </c>
      <c r="U533" s="1">
        <v>341</v>
      </c>
      <c r="V533" s="1">
        <v>112</v>
      </c>
      <c r="W533" s="1">
        <v>145</v>
      </c>
      <c r="X533" s="1">
        <v>100</v>
      </c>
      <c r="Y533" s="1">
        <v>120</v>
      </c>
      <c r="Z533" s="1">
        <v>0</v>
      </c>
      <c r="AA533" s="1">
        <v>0</v>
      </c>
      <c r="AB533" s="1">
        <v>0</v>
      </c>
      <c r="AC533" s="1">
        <v>0</v>
      </c>
      <c r="AD533" s="1">
        <v>0</v>
      </c>
      <c r="AE533" s="1">
        <v>118</v>
      </c>
      <c r="AF533" s="1">
        <v>300</v>
      </c>
      <c r="AG533" s="1">
        <v>118134</v>
      </c>
      <c r="AH533" s="1">
        <v>118133</v>
      </c>
      <c r="AI533" s="1">
        <v>118135</v>
      </c>
      <c r="AJ533" s="1" t="s">
        <v>6303</v>
      </c>
      <c r="AK533" s="1" t="s">
        <v>329</v>
      </c>
      <c r="AL533" s="1">
        <v>13</v>
      </c>
      <c r="AM533" s="1" t="s">
        <v>4850</v>
      </c>
      <c r="AN533" s="1" t="s">
        <v>4855</v>
      </c>
      <c r="AO533" s="1" t="s">
        <v>6304</v>
      </c>
      <c r="AP533" s="1">
        <v>0</v>
      </c>
      <c r="AQ533" s="1" t="s">
        <v>1157</v>
      </c>
      <c r="AR533" s="1" t="s">
        <v>1147</v>
      </c>
      <c r="AS533" s="1" t="s">
        <v>1158</v>
      </c>
      <c r="AT533" s="1" t="s">
        <v>329</v>
      </c>
      <c r="AU533" s="1">
        <v>28</v>
      </c>
      <c r="AV533" s="1">
        <v>0</v>
      </c>
      <c r="AW533" s="1" t="s">
        <v>5854</v>
      </c>
      <c r="AX533" s="1" t="s">
        <v>1866</v>
      </c>
      <c r="AY533" s="1">
        <v>5</v>
      </c>
      <c r="AZ533" s="1">
        <v>0</v>
      </c>
      <c r="BA533" s="1" t="s">
        <v>329</v>
      </c>
      <c r="BB533" s="1" t="s">
        <v>5277</v>
      </c>
      <c r="BC533" s="1" t="s">
        <v>4913</v>
      </c>
      <c r="BD533" s="1">
        <v>0</v>
      </c>
      <c r="BE533" s="1">
        <v>0</v>
      </c>
    </row>
    <row r="534" spans="1:57" x14ac:dyDescent="0.25">
      <c r="A534" s="1">
        <v>9093</v>
      </c>
      <c r="B534" s="1" t="s">
        <v>6305</v>
      </c>
      <c r="C534" s="9" t="s">
        <v>3832</v>
      </c>
      <c r="D534" s="1" t="s">
        <v>6306</v>
      </c>
      <c r="E534" s="1"/>
      <c r="F534" s="1"/>
      <c r="G534" s="1" t="s">
        <v>6307</v>
      </c>
      <c r="H534" s="1" t="s">
        <v>6308</v>
      </c>
      <c r="I534" s="1" t="s">
        <v>6309</v>
      </c>
      <c r="J534" s="1">
        <v>1</v>
      </c>
      <c r="K534" s="1">
        <v>5</v>
      </c>
      <c r="L534" s="1">
        <v>3180</v>
      </c>
      <c r="M534" s="1">
        <v>10</v>
      </c>
      <c r="N534" s="1">
        <v>10</v>
      </c>
      <c r="O534" s="1">
        <v>5</v>
      </c>
      <c r="P534" s="1">
        <v>5</v>
      </c>
      <c r="Q534" s="1">
        <v>2</v>
      </c>
      <c r="R534" s="1">
        <v>2</v>
      </c>
      <c r="S534" s="1">
        <v>2</v>
      </c>
      <c r="T534" s="1">
        <v>0</v>
      </c>
      <c r="U534" s="1">
        <v>227</v>
      </c>
      <c r="V534" s="1">
        <v>170</v>
      </c>
      <c r="W534" s="1">
        <v>89</v>
      </c>
      <c r="X534" s="1">
        <v>100</v>
      </c>
      <c r="Y534" s="1">
        <v>105</v>
      </c>
      <c r="Z534" s="1">
        <v>0</v>
      </c>
      <c r="AA534" s="1">
        <v>0</v>
      </c>
      <c r="AB534" s="1">
        <v>0</v>
      </c>
      <c r="AC534" s="1">
        <v>0</v>
      </c>
      <c r="AD534" s="1">
        <v>0</v>
      </c>
      <c r="AE534" s="1">
        <v>132</v>
      </c>
      <c r="AF534" s="1">
        <v>300</v>
      </c>
      <c r="AG534" s="1">
        <v>118154</v>
      </c>
      <c r="AH534" s="1">
        <v>118155</v>
      </c>
      <c r="AI534" s="1">
        <v>118148</v>
      </c>
      <c r="AJ534" s="1" t="s">
        <v>6310</v>
      </c>
      <c r="AK534" s="1" t="s">
        <v>329</v>
      </c>
      <c r="AL534" s="1">
        <v>17</v>
      </c>
      <c r="AM534" s="1" t="s">
        <v>1866</v>
      </c>
      <c r="AN534" s="1" t="s">
        <v>5309</v>
      </c>
      <c r="AO534" s="1" t="s">
        <v>6311</v>
      </c>
      <c r="AP534" s="1">
        <v>0</v>
      </c>
      <c r="AQ534" s="1" t="s">
        <v>1146</v>
      </c>
      <c r="AR534" s="1" t="s">
        <v>1147</v>
      </c>
      <c r="AS534" s="1" t="s">
        <v>1148</v>
      </c>
      <c r="AT534" s="1" t="s">
        <v>329</v>
      </c>
      <c r="AU534" s="1">
        <v>4</v>
      </c>
      <c r="AV534" s="1">
        <v>0</v>
      </c>
      <c r="AW534" s="1" t="s">
        <v>5854</v>
      </c>
      <c r="AX534" s="1" t="s">
        <v>1866</v>
      </c>
      <c r="AY534" s="1">
        <v>5</v>
      </c>
      <c r="AZ534" s="1">
        <v>0</v>
      </c>
      <c r="BA534" s="1" t="s">
        <v>329</v>
      </c>
      <c r="BB534" s="1" t="s">
        <v>329</v>
      </c>
      <c r="BC534" s="1" t="s">
        <v>329</v>
      </c>
      <c r="BD534" s="1">
        <v>0</v>
      </c>
      <c r="BE534" s="1">
        <v>0</v>
      </c>
    </row>
    <row r="535" spans="1:57" x14ac:dyDescent="0.25">
      <c r="A535" s="1">
        <v>9094</v>
      </c>
      <c r="B535" s="1" t="s">
        <v>6312</v>
      </c>
      <c r="C535" s="9" t="s">
        <v>300</v>
      </c>
      <c r="D535" s="1" t="s">
        <v>300</v>
      </c>
      <c r="E535" s="1"/>
      <c r="F535" s="1"/>
      <c r="G535" s="1" t="s">
        <v>6313</v>
      </c>
      <c r="H535" s="1" t="s">
        <v>6314</v>
      </c>
      <c r="I535" s="1" t="s">
        <v>6315</v>
      </c>
      <c r="J535" s="1">
        <v>5</v>
      </c>
      <c r="K535" s="1">
        <v>5</v>
      </c>
      <c r="L535" s="1">
        <v>24000</v>
      </c>
      <c r="M535" s="1">
        <v>40</v>
      </c>
      <c r="N535" s="1">
        <v>30</v>
      </c>
      <c r="O535" s="1">
        <v>25</v>
      </c>
      <c r="P535" s="1">
        <v>15</v>
      </c>
      <c r="Q535" s="1">
        <v>5</v>
      </c>
      <c r="R535" s="1">
        <v>5</v>
      </c>
      <c r="S535" s="1">
        <v>2</v>
      </c>
      <c r="T535" s="1">
        <v>5</v>
      </c>
      <c r="U535" s="1">
        <v>242</v>
      </c>
      <c r="V535" s="1">
        <v>56</v>
      </c>
      <c r="W535" s="1">
        <v>125</v>
      </c>
      <c r="X535" s="1">
        <v>100</v>
      </c>
      <c r="Y535" s="1">
        <v>0</v>
      </c>
      <c r="Z535" s="1">
        <v>0</v>
      </c>
      <c r="AA535" s="1">
        <v>0</v>
      </c>
      <c r="AB535" s="1">
        <v>15</v>
      </c>
      <c r="AC535" s="1">
        <v>0</v>
      </c>
      <c r="AD535" s="1">
        <v>9</v>
      </c>
      <c r="AE535" s="1">
        <v>135</v>
      </c>
      <c r="AF535" s="1">
        <v>600</v>
      </c>
      <c r="AG535" s="1">
        <v>118169</v>
      </c>
      <c r="AH535" s="1">
        <v>118168</v>
      </c>
      <c r="AI535" s="1">
        <v>118161</v>
      </c>
      <c r="AJ535" s="1" t="s">
        <v>6316</v>
      </c>
      <c r="AK535" s="1" t="s">
        <v>329</v>
      </c>
      <c r="AL535" s="1">
        <v>18</v>
      </c>
      <c r="AM535" s="1" t="s">
        <v>4918</v>
      </c>
      <c r="AN535" s="1" t="s">
        <v>4991</v>
      </c>
      <c r="AO535" s="1" t="s">
        <v>6317</v>
      </c>
      <c r="AP535" s="1">
        <v>0</v>
      </c>
      <c r="AQ535" s="1" t="s">
        <v>5072</v>
      </c>
      <c r="AR535" s="1" t="s">
        <v>4971</v>
      </c>
      <c r="AS535" s="1" t="s">
        <v>1197</v>
      </c>
      <c r="AT535" s="1" t="s">
        <v>329</v>
      </c>
      <c r="AU535" s="1">
        <v>125</v>
      </c>
      <c r="AV535" s="1">
        <v>0</v>
      </c>
      <c r="AW535" s="1" t="s">
        <v>5854</v>
      </c>
      <c r="AX535" s="1" t="s">
        <v>1866</v>
      </c>
      <c r="AY535" s="1">
        <v>5</v>
      </c>
      <c r="AZ535" s="1">
        <v>0</v>
      </c>
      <c r="BA535" s="1" t="s">
        <v>329</v>
      </c>
      <c r="BB535" s="1" t="s">
        <v>329</v>
      </c>
      <c r="BC535" s="1" t="s">
        <v>329</v>
      </c>
      <c r="BD535" s="1">
        <v>0</v>
      </c>
      <c r="BE535" s="1">
        <v>0</v>
      </c>
    </row>
    <row r="536" spans="1:57" x14ac:dyDescent="0.25">
      <c r="A536" s="1">
        <v>9095</v>
      </c>
      <c r="B536" s="1" t="s">
        <v>6318</v>
      </c>
      <c r="C536" s="9" t="s">
        <v>6114</v>
      </c>
      <c r="D536" s="1" t="s">
        <v>6282</v>
      </c>
      <c r="E536" s="1"/>
      <c r="F536" s="1"/>
      <c r="G536" s="1" t="s">
        <v>6319</v>
      </c>
      <c r="H536" s="1" t="s">
        <v>6320</v>
      </c>
      <c r="I536" s="1" t="s">
        <v>6321</v>
      </c>
      <c r="J536" s="1">
        <v>1</v>
      </c>
      <c r="K536" s="1">
        <v>3</v>
      </c>
      <c r="L536" s="1">
        <v>2700</v>
      </c>
      <c r="M536" s="1">
        <v>10</v>
      </c>
      <c r="N536" s="1">
        <v>10</v>
      </c>
      <c r="O536" s="1">
        <v>5</v>
      </c>
      <c r="P536" s="1">
        <v>5</v>
      </c>
      <c r="Q536" s="1">
        <v>2</v>
      </c>
      <c r="R536" s="1">
        <v>2</v>
      </c>
      <c r="S536" s="1">
        <v>2</v>
      </c>
      <c r="T536" s="1">
        <v>0</v>
      </c>
      <c r="U536" s="1">
        <v>650</v>
      </c>
      <c r="V536" s="1">
        <v>120</v>
      </c>
      <c r="W536" s="1">
        <v>100</v>
      </c>
      <c r="X536" s="1">
        <v>100</v>
      </c>
      <c r="Y536" s="1">
        <v>105</v>
      </c>
      <c r="Z536" s="1">
        <v>100</v>
      </c>
      <c r="AA536" s="1">
        <v>0</v>
      </c>
      <c r="AB536" s="1">
        <v>15</v>
      </c>
      <c r="AC536" s="1">
        <v>20</v>
      </c>
      <c r="AD536" s="1">
        <v>0</v>
      </c>
      <c r="AE536" s="1">
        <v>105</v>
      </c>
      <c r="AF536" s="1">
        <v>120</v>
      </c>
      <c r="AG536" s="1">
        <v>100602</v>
      </c>
      <c r="AH536" s="1">
        <v>0</v>
      </c>
      <c r="AI536" s="1">
        <v>900107</v>
      </c>
      <c r="AJ536" s="1" t="s">
        <v>6322</v>
      </c>
      <c r="AK536" s="1" t="s">
        <v>329</v>
      </c>
      <c r="AL536" s="1">
        <v>13</v>
      </c>
      <c r="AM536" s="1" t="s">
        <v>1866</v>
      </c>
      <c r="AN536" s="1" t="s">
        <v>4807</v>
      </c>
      <c r="AO536" s="1" t="s">
        <v>4804</v>
      </c>
      <c r="AP536" s="1">
        <v>0</v>
      </c>
      <c r="AQ536" s="1" t="s">
        <v>5916</v>
      </c>
      <c r="AR536" s="1" t="s">
        <v>1147</v>
      </c>
      <c r="AS536" s="1" t="s">
        <v>1157</v>
      </c>
      <c r="AT536" s="1" t="s">
        <v>329</v>
      </c>
      <c r="AU536" s="1">
        <v>6</v>
      </c>
      <c r="AV536" s="1">
        <v>0</v>
      </c>
      <c r="AW536" s="1" t="s">
        <v>5854</v>
      </c>
      <c r="AX536" s="1" t="s">
        <v>1866</v>
      </c>
      <c r="AY536" s="1">
        <v>3</v>
      </c>
      <c r="AZ536" s="1">
        <v>0</v>
      </c>
      <c r="BA536" s="1" t="s">
        <v>329</v>
      </c>
      <c r="BB536" s="1" t="s">
        <v>329</v>
      </c>
      <c r="BC536" s="1" t="s">
        <v>329</v>
      </c>
      <c r="BD536" s="1">
        <v>0</v>
      </c>
      <c r="BE536" s="1">
        <v>0</v>
      </c>
    </row>
    <row r="537" spans="1:57" x14ac:dyDescent="0.25">
      <c r="A537" s="1">
        <v>9096</v>
      </c>
      <c r="B537" s="1" t="s">
        <v>6323</v>
      </c>
      <c r="C537" s="9" t="s">
        <v>6114</v>
      </c>
      <c r="D537" s="1" t="s">
        <v>6282</v>
      </c>
      <c r="E537" s="1"/>
      <c r="F537" s="1"/>
      <c r="G537" s="1" t="s">
        <v>6324</v>
      </c>
      <c r="H537" s="1" t="s">
        <v>6325</v>
      </c>
      <c r="I537" s="1" t="s">
        <v>6326</v>
      </c>
      <c r="J537" s="1">
        <v>1</v>
      </c>
      <c r="K537" s="1">
        <v>3</v>
      </c>
      <c r="L537" s="1">
        <v>2700</v>
      </c>
      <c r="M537" s="1">
        <v>10</v>
      </c>
      <c r="N537" s="1">
        <v>10</v>
      </c>
      <c r="O537" s="1">
        <v>5</v>
      </c>
      <c r="P537" s="1">
        <v>5</v>
      </c>
      <c r="Q537" s="1">
        <v>2</v>
      </c>
      <c r="R537" s="1">
        <v>2</v>
      </c>
      <c r="S537" s="1">
        <v>2</v>
      </c>
      <c r="T537" s="1">
        <v>0</v>
      </c>
      <c r="U537" s="1">
        <v>650</v>
      </c>
      <c r="V537" s="1">
        <v>120</v>
      </c>
      <c r="W537" s="1">
        <v>100</v>
      </c>
      <c r="X537" s="1">
        <v>100</v>
      </c>
      <c r="Y537" s="1">
        <v>105</v>
      </c>
      <c r="Z537" s="1">
        <v>100</v>
      </c>
      <c r="AA537" s="1">
        <v>0</v>
      </c>
      <c r="AB537" s="1">
        <v>15</v>
      </c>
      <c r="AC537" s="1">
        <v>20</v>
      </c>
      <c r="AD537" s="1">
        <v>0</v>
      </c>
      <c r="AE537" s="1">
        <v>105</v>
      </c>
      <c r="AF537" s="1">
        <v>120</v>
      </c>
      <c r="AG537" s="1">
        <v>100602</v>
      </c>
      <c r="AH537" s="1">
        <v>0</v>
      </c>
      <c r="AI537" s="1">
        <v>900107</v>
      </c>
      <c r="AJ537" s="1" t="s">
        <v>6327</v>
      </c>
      <c r="AK537" s="1" t="s">
        <v>329</v>
      </c>
      <c r="AL537" s="1">
        <v>13</v>
      </c>
      <c r="AM537" s="1" t="s">
        <v>1866</v>
      </c>
      <c r="AN537" s="1" t="s">
        <v>4807</v>
      </c>
      <c r="AO537" s="1" t="s">
        <v>4804</v>
      </c>
      <c r="AP537" s="1">
        <v>0</v>
      </c>
      <c r="AQ537" s="1" t="s">
        <v>5916</v>
      </c>
      <c r="AR537" s="1" t="s">
        <v>1147</v>
      </c>
      <c r="AS537" s="1" t="s">
        <v>1157</v>
      </c>
      <c r="AT537" s="1" t="s">
        <v>329</v>
      </c>
      <c r="AU537" s="1">
        <v>6</v>
      </c>
      <c r="AV537" s="1">
        <v>0</v>
      </c>
      <c r="AW537" s="1" t="s">
        <v>5854</v>
      </c>
      <c r="AX537" s="1" t="s">
        <v>1866</v>
      </c>
      <c r="AY537" s="1">
        <v>3</v>
      </c>
      <c r="AZ537" s="1">
        <v>0</v>
      </c>
      <c r="BA537" s="1" t="s">
        <v>329</v>
      </c>
      <c r="BB537" s="1" t="s">
        <v>329</v>
      </c>
      <c r="BC537" s="1" t="s">
        <v>329</v>
      </c>
      <c r="BD537" s="1">
        <v>0</v>
      </c>
      <c r="BE537" s="1">
        <v>0</v>
      </c>
    </row>
    <row r="538" spans="1:57" x14ac:dyDescent="0.25">
      <c r="A538" s="1">
        <v>9097</v>
      </c>
      <c r="B538" s="1" t="s">
        <v>6328</v>
      </c>
      <c r="C538" s="9" t="s">
        <v>6114</v>
      </c>
      <c r="D538" s="1" t="s">
        <v>6282</v>
      </c>
      <c r="E538" s="1"/>
      <c r="F538" s="1"/>
      <c r="G538" s="1" t="s">
        <v>6329</v>
      </c>
      <c r="H538" s="1" t="s">
        <v>6330</v>
      </c>
      <c r="I538" s="1" t="s">
        <v>6331</v>
      </c>
      <c r="J538" s="1">
        <v>1</v>
      </c>
      <c r="K538" s="1">
        <v>3</v>
      </c>
      <c r="L538" s="1">
        <v>2700</v>
      </c>
      <c r="M538" s="1">
        <v>10</v>
      </c>
      <c r="N538" s="1">
        <v>10</v>
      </c>
      <c r="O538" s="1">
        <v>5</v>
      </c>
      <c r="P538" s="1">
        <v>5</v>
      </c>
      <c r="Q538" s="1">
        <v>2</v>
      </c>
      <c r="R538" s="1">
        <v>2</v>
      </c>
      <c r="S538" s="1">
        <v>2</v>
      </c>
      <c r="T538" s="1">
        <v>0</v>
      </c>
      <c r="U538" s="1">
        <v>650</v>
      </c>
      <c r="V538" s="1">
        <v>120</v>
      </c>
      <c r="W538" s="1">
        <v>100</v>
      </c>
      <c r="X538" s="1">
        <v>100</v>
      </c>
      <c r="Y538" s="1">
        <v>105</v>
      </c>
      <c r="Z538" s="1">
        <v>100</v>
      </c>
      <c r="AA538" s="1">
        <v>0</v>
      </c>
      <c r="AB538" s="1">
        <v>15</v>
      </c>
      <c r="AC538" s="1">
        <v>20</v>
      </c>
      <c r="AD538" s="1">
        <v>0</v>
      </c>
      <c r="AE538" s="1">
        <v>105</v>
      </c>
      <c r="AF538" s="1">
        <v>120</v>
      </c>
      <c r="AG538" s="1">
        <v>100602</v>
      </c>
      <c r="AH538" s="1">
        <v>0</v>
      </c>
      <c r="AI538" s="1">
        <v>900107</v>
      </c>
      <c r="AJ538" s="1" t="s">
        <v>6332</v>
      </c>
      <c r="AK538" s="1" t="s">
        <v>329</v>
      </c>
      <c r="AL538" s="1">
        <v>13</v>
      </c>
      <c r="AM538" s="1" t="s">
        <v>1866</v>
      </c>
      <c r="AN538" s="1" t="s">
        <v>4807</v>
      </c>
      <c r="AO538" s="1" t="s">
        <v>4804</v>
      </c>
      <c r="AP538" s="1">
        <v>0</v>
      </c>
      <c r="AQ538" s="1" t="s">
        <v>5916</v>
      </c>
      <c r="AR538" s="1" t="s">
        <v>1147</v>
      </c>
      <c r="AS538" s="1" t="s">
        <v>1157</v>
      </c>
      <c r="AT538" s="1" t="s">
        <v>329</v>
      </c>
      <c r="AU538" s="1">
        <v>6</v>
      </c>
      <c r="AV538" s="1">
        <v>0</v>
      </c>
      <c r="AW538" s="1" t="s">
        <v>5854</v>
      </c>
      <c r="AX538" s="1" t="s">
        <v>1866</v>
      </c>
      <c r="AY538" s="1">
        <v>3</v>
      </c>
      <c r="AZ538" s="1">
        <v>0</v>
      </c>
      <c r="BA538" s="1" t="s">
        <v>329</v>
      </c>
      <c r="BB538" s="1" t="s">
        <v>329</v>
      </c>
      <c r="BC538" s="1" t="s">
        <v>329</v>
      </c>
      <c r="BD538" s="1">
        <v>0</v>
      </c>
      <c r="BE538" s="1">
        <v>0</v>
      </c>
    </row>
    <row r="539" spans="1:57" x14ac:dyDescent="0.25">
      <c r="A539" s="1">
        <v>9098</v>
      </c>
      <c r="B539" s="1" t="s">
        <v>6333</v>
      </c>
      <c r="C539" s="9" t="s">
        <v>98</v>
      </c>
      <c r="D539" s="1" t="s">
        <v>6052</v>
      </c>
      <c r="E539" s="1"/>
      <c r="F539" s="1"/>
      <c r="G539" s="1" t="s">
        <v>6334</v>
      </c>
      <c r="H539" s="1" t="s">
        <v>6335</v>
      </c>
      <c r="I539" s="1" t="s">
        <v>6336</v>
      </c>
      <c r="J539" s="1">
        <v>4</v>
      </c>
      <c r="K539" s="1">
        <v>4</v>
      </c>
      <c r="L539" s="1">
        <v>12900</v>
      </c>
      <c r="M539" s="1">
        <v>20</v>
      </c>
      <c r="N539" s="1">
        <v>20</v>
      </c>
      <c r="O539" s="1">
        <v>10</v>
      </c>
      <c r="P539" s="1">
        <v>10</v>
      </c>
      <c r="Q539" s="1">
        <v>2</v>
      </c>
      <c r="R539" s="1">
        <v>5</v>
      </c>
      <c r="S539" s="1">
        <v>5</v>
      </c>
      <c r="T539" s="1">
        <v>0</v>
      </c>
      <c r="U539" s="1">
        <v>1100</v>
      </c>
      <c r="V539" s="1">
        <v>440</v>
      </c>
      <c r="W539" s="1">
        <v>115</v>
      </c>
      <c r="X539" s="1">
        <v>100</v>
      </c>
      <c r="Y539" s="1">
        <v>120</v>
      </c>
      <c r="Z539" s="1">
        <v>115</v>
      </c>
      <c r="AA539" s="1">
        <v>0</v>
      </c>
      <c r="AB539" s="1">
        <v>15</v>
      </c>
      <c r="AC539" s="1">
        <v>50</v>
      </c>
      <c r="AD539" s="1">
        <v>0</v>
      </c>
      <c r="AE539" s="1">
        <v>110</v>
      </c>
      <c r="AF539" s="1">
        <v>100</v>
      </c>
      <c r="AG539" s="1">
        <v>403414</v>
      </c>
      <c r="AH539" s="1">
        <v>0</v>
      </c>
      <c r="AI539" s="1">
        <v>403402</v>
      </c>
      <c r="AJ539" s="1" t="s">
        <v>6337</v>
      </c>
      <c r="AK539" s="1" t="s">
        <v>329</v>
      </c>
      <c r="AL539" s="1">
        <v>13</v>
      </c>
      <c r="AM539" s="1" t="s">
        <v>4779</v>
      </c>
      <c r="AN539" s="1" t="s">
        <v>4807</v>
      </c>
      <c r="AO539" s="1" t="s">
        <v>4859</v>
      </c>
      <c r="AP539" s="1">
        <v>0</v>
      </c>
      <c r="AQ539" s="1" t="s">
        <v>1182</v>
      </c>
      <c r="AR539" s="1" t="s">
        <v>6057</v>
      </c>
      <c r="AS539" s="1" t="s">
        <v>6057</v>
      </c>
      <c r="AT539" s="1" t="s">
        <v>329</v>
      </c>
      <c r="AU539" s="1">
        <v>54</v>
      </c>
      <c r="AV539" s="1">
        <v>0</v>
      </c>
      <c r="AW539" s="1" t="s">
        <v>5854</v>
      </c>
      <c r="AX539" s="1" t="s">
        <v>1866</v>
      </c>
      <c r="AY539" s="1">
        <v>5</v>
      </c>
      <c r="AZ539" s="1">
        <v>0</v>
      </c>
      <c r="BA539" s="1" t="s">
        <v>329</v>
      </c>
      <c r="BB539" s="1" t="s">
        <v>329</v>
      </c>
      <c r="BC539" s="1" t="s">
        <v>329</v>
      </c>
      <c r="BD539" s="1">
        <v>0</v>
      </c>
      <c r="BE539" s="1">
        <v>0</v>
      </c>
    </row>
    <row r="540" spans="1:57" x14ac:dyDescent="0.25">
      <c r="A540" s="1">
        <v>9099</v>
      </c>
      <c r="B540" s="1" t="s">
        <v>6338</v>
      </c>
      <c r="C540" s="9" t="s">
        <v>6339</v>
      </c>
      <c r="D540" s="1" t="s">
        <v>6339</v>
      </c>
      <c r="E540" s="1"/>
      <c r="F540" s="1"/>
      <c r="G540" s="1" t="s">
        <v>6340</v>
      </c>
      <c r="H540" s="1" t="s">
        <v>6341</v>
      </c>
      <c r="I540" s="1" t="s">
        <v>6342</v>
      </c>
      <c r="J540" s="1">
        <v>6</v>
      </c>
      <c r="K540" s="1">
        <v>5</v>
      </c>
      <c r="L540" s="1">
        <v>12900</v>
      </c>
      <c r="M540" s="1">
        <v>20</v>
      </c>
      <c r="N540" s="1">
        <v>20</v>
      </c>
      <c r="O540" s="1">
        <v>10</v>
      </c>
      <c r="P540" s="1">
        <v>10</v>
      </c>
      <c r="Q540" s="1">
        <v>2</v>
      </c>
      <c r="R540" s="1">
        <v>5</v>
      </c>
      <c r="S540" s="1">
        <v>5</v>
      </c>
      <c r="T540" s="1">
        <v>0</v>
      </c>
      <c r="U540" s="1">
        <v>1100</v>
      </c>
      <c r="V540" s="1">
        <v>440</v>
      </c>
      <c r="W540" s="1">
        <v>230</v>
      </c>
      <c r="X540" s="1">
        <v>100</v>
      </c>
      <c r="Y540" s="1">
        <v>120</v>
      </c>
      <c r="Z540" s="1">
        <v>115</v>
      </c>
      <c r="AA540" s="1">
        <v>0</v>
      </c>
      <c r="AB540" s="1">
        <v>15</v>
      </c>
      <c r="AC540" s="1">
        <v>50</v>
      </c>
      <c r="AD540" s="1">
        <v>6</v>
      </c>
      <c r="AE540" s="1">
        <v>110</v>
      </c>
      <c r="AF540" s="1">
        <v>100</v>
      </c>
      <c r="AG540" s="1">
        <v>106004</v>
      </c>
      <c r="AH540" s="1">
        <v>0</v>
      </c>
      <c r="AI540" s="1">
        <v>300106</v>
      </c>
      <c r="AJ540" s="1" t="s">
        <v>1227</v>
      </c>
      <c r="AK540" s="1" t="s">
        <v>329</v>
      </c>
      <c r="AL540" s="1">
        <v>13</v>
      </c>
      <c r="AM540" s="1" t="s">
        <v>4779</v>
      </c>
      <c r="AN540" s="1" t="s">
        <v>4807</v>
      </c>
      <c r="AO540" s="1" t="s">
        <v>4859</v>
      </c>
      <c r="AP540" s="1">
        <v>0</v>
      </c>
      <c r="AQ540" s="1" t="s">
        <v>1182</v>
      </c>
      <c r="AR540" s="1" t="s">
        <v>6057</v>
      </c>
      <c r="AS540" s="1" t="s">
        <v>6057</v>
      </c>
      <c r="AT540" s="1" t="s">
        <v>329</v>
      </c>
      <c r="AU540" s="1">
        <v>54</v>
      </c>
      <c r="AV540" s="1">
        <v>0</v>
      </c>
      <c r="AW540" s="1" t="s">
        <v>5854</v>
      </c>
      <c r="AX540" s="1" t="s">
        <v>1866</v>
      </c>
      <c r="AY540" s="1">
        <v>5</v>
      </c>
      <c r="AZ540" s="1">
        <v>0</v>
      </c>
      <c r="BA540" s="1" t="s">
        <v>329</v>
      </c>
      <c r="BB540" s="1" t="s">
        <v>329</v>
      </c>
      <c r="BC540" s="1" t="s">
        <v>329</v>
      </c>
      <c r="BD540" s="1">
        <v>0</v>
      </c>
      <c r="BE540" s="1">
        <v>0</v>
      </c>
    </row>
    <row r="541" spans="1:57" x14ac:dyDescent="0.25">
      <c r="A541" s="1">
        <v>9100</v>
      </c>
      <c r="B541" s="1" t="s">
        <v>6343</v>
      </c>
      <c r="C541" s="9" t="s">
        <v>6344</v>
      </c>
      <c r="D541" s="1" t="s">
        <v>6344</v>
      </c>
      <c r="E541" s="1"/>
      <c r="F541" s="1"/>
      <c r="G541" s="1" t="s">
        <v>6345</v>
      </c>
      <c r="H541" s="1" t="s">
        <v>6346</v>
      </c>
      <c r="I541" s="1" t="s">
        <v>6347</v>
      </c>
      <c r="J541" s="1">
        <v>2</v>
      </c>
      <c r="K541" s="1">
        <v>5</v>
      </c>
      <c r="L541" s="1">
        <v>9300</v>
      </c>
      <c r="M541" s="1">
        <v>20</v>
      </c>
      <c r="N541" s="1">
        <v>20</v>
      </c>
      <c r="O541" s="1">
        <v>10</v>
      </c>
      <c r="P541" s="1">
        <v>10</v>
      </c>
      <c r="Q541" s="1">
        <v>2</v>
      </c>
      <c r="R541" s="1">
        <v>5</v>
      </c>
      <c r="S541" s="1">
        <v>5</v>
      </c>
      <c r="T541" s="1">
        <v>0</v>
      </c>
      <c r="U541" s="1">
        <v>500</v>
      </c>
      <c r="V541" s="1">
        <v>120</v>
      </c>
      <c r="W541" s="1">
        <v>112</v>
      </c>
      <c r="X541" s="1">
        <v>60</v>
      </c>
      <c r="Y541" s="1">
        <v>120</v>
      </c>
      <c r="Z541" s="1">
        <v>150</v>
      </c>
      <c r="AA541" s="1">
        <v>0</v>
      </c>
      <c r="AB541" s="1">
        <v>15</v>
      </c>
      <c r="AC541" s="1">
        <v>20</v>
      </c>
      <c r="AD541" s="1">
        <v>0</v>
      </c>
      <c r="AE541" s="1">
        <v>100</v>
      </c>
      <c r="AF541" s="1">
        <v>100</v>
      </c>
      <c r="AG541" s="1">
        <v>100107</v>
      </c>
      <c r="AH541" s="1">
        <v>0</v>
      </c>
      <c r="AI541" s="1">
        <v>300103</v>
      </c>
      <c r="AJ541" s="1" t="s">
        <v>329</v>
      </c>
      <c r="AK541" s="1" t="s">
        <v>329</v>
      </c>
      <c r="AL541" s="1">
        <v>13</v>
      </c>
      <c r="AM541" s="1" t="s">
        <v>4850</v>
      </c>
      <c r="AN541" s="1" t="s">
        <v>4853</v>
      </c>
      <c r="AO541" s="1" t="s">
        <v>4862</v>
      </c>
      <c r="AP541" s="1">
        <v>0</v>
      </c>
      <c r="AQ541" s="1" t="s">
        <v>1157</v>
      </c>
      <c r="AR541" s="1" t="s">
        <v>1147</v>
      </c>
      <c r="AS541" s="1" t="s">
        <v>1158</v>
      </c>
      <c r="AT541" s="1" t="s">
        <v>329</v>
      </c>
      <c r="AU541" s="1">
        <v>20</v>
      </c>
      <c r="AV541" s="1">
        <v>0</v>
      </c>
      <c r="AW541" s="1" t="s">
        <v>5854</v>
      </c>
      <c r="AX541" s="1" t="s">
        <v>1866</v>
      </c>
      <c r="AY541" s="1">
        <v>5</v>
      </c>
      <c r="AZ541" s="1">
        <v>0</v>
      </c>
      <c r="BA541" s="1" t="s">
        <v>329</v>
      </c>
      <c r="BB541" s="1" t="s">
        <v>329</v>
      </c>
      <c r="BC541" s="1" t="s">
        <v>329</v>
      </c>
      <c r="BD541" s="1">
        <v>0</v>
      </c>
      <c r="BE541" s="1">
        <v>0</v>
      </c>
    </row>
    <row r="542" spans="1:57" x14ac:dyDescent="0.25">
      <c r="A542" s="1">
        <v>30156</v>
      </c>
      <c r="B542" s="1" t="s">
        <v>6348</v>
      </c>
      <c r="C542" s="9" t="s">
        <v>5841</v>
      </c>
      <c r="D542" s="1" t="s">
        <v>6349</v>
      </c>
      <c r="E542" s="1"/>
      <c r="F542" s="1"/>
      <c r="G542" s="1" t="s">
        <v>6350</v>
      </c>
      <c r="H542" s="1" t="s">
        <v>6351</v>
      </c>
      <c r="I542" s="1" t="s">
        <v>6352</v>
      </c>
      <c r="J542" s="1">
        <v>6</v>
      </c>
      <c r="K542" s="1">
        <v>4</v>
      </c>
      <c r="L542" s="1">
        <v>28200</v>
      </c>
      <c r="M542" s="1">
        <v>30</v>
      </c>
      <c r="N542" s="1">
        <v>40</v>
      </c>
      <c r="O542" s="1">
        <v>15</v>
      </c>
      <c r="P542" s="1">
        <v>25</v>
      </c>
      <c r="Q542" s="1">
        <v>5</v>
      </c>
      <c r="R542" s="1">
        <v>2</v>
      </c>
      <c r="S542" s="1">
        <v>5</v>
      </c>
      <c r="T542" s="1">
        <v>5</v>
      </c>
      <c r="U542" s="1">
        <v>110</v>
      </c>
      <c r="V542" s="1">
        <v>85</v>
      </c>
      <c r="W542" s="1">
        <v>110</v>
      </c>
      <c r="X542" s="1">
        <v>100</v>
      </c>
      <c r="Y542" s="1">
        <v>105</v>
      </c>
      <c r="Z542" s="1">
        <v>135</v>
      </c>
      <c r="AA542" s="1">
        <v>110</v>
      </c>
      <c r="AB542" s="1">
        <v>15</v>
      </c>
      <c r="AC542" s="1">
        <v>40</v>
      </c>
      <c r="AD542" s="1">
        <v>3</v>
      </c>
      <c r="AE542" s="1">
        <v>125</v>
      </c>
      <c r="AF542" s="1">
        <v>100</v>
      </c>
      <c r="AG542" s="1">
        <v>105403</v>
      </c>
      <c r="AH542" s="1">
        <v>0</v>
      </c>
      <c r="AI542" s="1">
        <v>300106</v>
      </c>
      <c r="AJ542" s="1" t="s">
        <v>1232</v>
      </c>
      <c r="AK542" s="1" t="s">
        <v>329</v>
      </c>
      <c r="AL542" s="1">
        <v>8</v>
      </c>
      <c r="AM542" s="1" t="s">
        <v>4776</v>
      </c>
      <c r="AN542" s="1" t="s">
        <v>477</v>
      </c>
      <c r="AO542" s="1" t="s">
        <v>5123</v>
      </c>
      <c r="AP542" s="1">
        <v>0</v>
      </c>
      <c r="AQ542" s="1" t="s">
        <v>5852</v>
      </c>
      <c r="AR542" s="1" t="s">
        <v>1229</v>
      </c>
      <c r="AS542" s="1" t="s">
        <v>1230</v>
      </c>
      <c r="AT542" s="1" t="s">
        <v>329</v>
      </c>
      <c r="AU542" s="1">
        <v>156</v>
      </c>
      <c r="AV542" s="1">
        <v>0</v>
      </c>
      <c r="AW542" s="1" t="s">
        <v>5854</v>
      </c>
      <c r="AX542" s="1" t="s">
        <v>1866</v>
      </c>
      <c r="AY542" s="1">
        <v>4</v>
      </c>
      <c r="AZ542" s="1">
        <v>0</v>
      </c>
      <c r="BA542" s="1" t="s">
        <v>329</v>
      </c>
      <c r="BB542" s="1" t="s">
        <v>329</v>
      </c>
      <c r="BC542" s="1" t="s">
        <v>329</v>
      </c>
      <c r="BD542" s="1">
        <v>0</v>
      </c>
      <c r="BE542" s="1">
        <v>0</v>
      </c>
    </row>
    <row r="543" spans="1:57" x14ac:dyDescent="0.25">
      <c r="A543" s="1">
        <v>30164</v>
      </c>
      <c r="B543" s="1" t="s">
        <v>6353</v>
      </c>
      <c r="C543" s="9" t="s">
        <v>5842</v>
      </c>
      <c r="D543" s="1" t="s">
        <v>6354</v>
      </c>
      <c r="E543" s="1"/>
      <c r="F543" s="1"/>
      <c r="G543" s="1" t="s">
        <v>6355</v>
      </c>
      <c r="H543" s="1" t="s">
        <v>6356</v>
      </c>
      <c r="I543" s="1" t="s">
        <v>6357</v>
      </c>
      <c r="J543" s="1">
        <v>6</v>
      </c>
      <c r="K543" s="1">
        <v>5</v>
      </c>
      <c r="L543" s="1">
        <v>29160</v>
      </c>
      <c r="M543" s="1">
        <v>30</v>
      </c>
      <c r="N543" s="1">
        <v>40</v>
      </c>
      <c r="O543" s="1">
        <v>15</v>
      </c>
      <c r="P543" s="1">
        <v>25</v>
      </c>
      <c r="Q543" s="1">
        <v>5</v>
      </c>
      <c r="R543" s="1">
        <v>2</v>
      </c>
      <c r="S543" s="1">
        <v>5</v>
      </c>
      <c r="T543" s="1">
        <v>5</v>
      </c>
      <c r="U543" s="1">
        <v>118</v>
      </c>
      <c r="V543" s="1">
        <v>109</v>
      </c>
      <c r="W543" s="1">
        <v>110</v>
      </c>
      <c r="X543" s="1">
        <v>100</v>
      </c>
      <c r="Y543" s="1">
        <v>118</v>
      </c>
      <c r="Z543" s="1">
        <v>108</v>
      </c>
      <c r="AA543" s="1">
        <v>130</v>
      </c>
      <c r="AB543" s="1">
        <v>15</v>
      </c>
      <c r="AC543" s="1">
        <v>40</v>
      </c>
      <c r="AD543" s="1">
        <v>4</v>
      </c>
      <c r="AE543" s="1">
        <v>96</v>
      </c>
      <c r="AF543" s="1">
        <v>100</v>
      </c>
      <c r="AG543" s="1">
        <v>110022</v>
      </c>
      <c r="AH543" s="1">
        <v>0</v>
      </c>
      <c r="AI543" s="1">
        <v>300106</v>
      </c>
      <c r="AJ543" s="1" t="s">
        <v>6358</v>
      </c>
      <c r="AK543" s="1" t="s">
        <v>1238</v>
      </c>
      <c r="AL543" s="1">
        <v>7</v>
      </c>
      <c r="AM543" s="1" t="s">
        <v>4776</v>
      </c>
      <c r="AN543" s="1" t="s">
        <v>5133</v>
      </c>
      <c r="AO543" s="1" t="s">
        <v>5134</v>
      </c>
      <c r="AP543" s="1">
        <v>0</v>
      </c>
      <c r="AQ543" s="1" t="s">
        <v>5852</v>
      </c>
      <c r="AR543" s="1" t="s">
        <v>1229</v>
      </c>
      <c r="AS543" s="1" t="s">
        <v>1230</v>
      </c>
      <c r="AT543" s="1" t="s">
        <v>329</v>
      </c>
      <c r="AU543" s="1">
        <v>164</v>
      </c>
      <c r="AV543" s="1">
        <v>0</v>
      </c>
      <c r="AW543" s="1" t="s">
        <v>5854</v>
      </c>
      <c r="AX543" s="1" t="s">
        <v>1866</v>
      </c>
      <c r="AY543" s="1">
        <v>5</v>
      </c>
      <c r="AZ543" s="1">
        <v>0</v>
      </c>
      <c r="BA543" s="1" t="s">
        <v>329</v>
      </c>
      <c r="BB543" s="1" t="s">
        <v>329</v>
      </c>
      <c r="BC543" s="1" t="s">
        <v>329</v>
      </c>
      <c r="BD543" s="1">
        <v>0</v>
      </c>
      <c r="BE543" s="1">
        <v>0</v>
      </c>
    </row>
    <row r="544" spans="1:57" x14ac:dyDescent="0.25">
      <c r="A544" s="1">
        <v>30229</v>
      </c>
      <c r="B544" s="1" t="s">
        <v>6359</v>
      </c>
      <c r="C544" s="9" t="s">
        <v>237</v>
      </c>
      <c r="D544" s="1" t="s">
        <v>6360</v>
      </c>
      <c r="E544" s="1"/>
      <c r="F544" s="1"/>
      <c r="G544" s="1" t="s">
        <v>6361</v>
      </c>
      <c r="H544" s="1" t="s">
        <v>6362</v>
      </c>
      <c r="I544" s="1" t="s">
        <v>6363</v>
      </c>
      <c r="J544" s="1">
        <v>6</v>
      </c>
      <c r="K544" s="1">
        <v>5</v>
      </c>
      <c r="L544" s="1">
        <v>29160</v>
      </c>
      <c r="M544" s="1">
        <v>30</v>
      </c>
      <c r="N544" s="1">
        <v>40</v>
      </c>
      <c r="O544" s="1">
        <v>15</v>
      </c>
      <c r="P544" s="1">
        <v>25</v>
      </c>
      <c r="Q544" s="1">
        <v>5</v>
      </c>
      <c r="R544" s="1">
        <v>2</v>
      </c>
      <c r="S544" s="1">
        <v>5</v>
      </c>
      <c r="T544" s="1">
        <v>5</v>
      </c>
      <c r="U544" s="1">
        <v>120</v>
      </c>
      <c r="V544" s="1">
        <v>112</v>
      </c>
      <c r="W544" s="1">
        <v>110</v>
      </c>
      <c r="X544" s="1">
        <v>100</v>
      </c>
      <c r="Y544" s="1">
        <v>115</v>
      </c>
      <c r="Z544" s="1">
        <v>105</v>
      </c>
      <c r="AA544" s="1">
        <v>125</v>
      </c>
      <c r="AB544" s="1">
        <v>15</v>
      </c>
      <c r="AC544" s="1">
        <v>40</v>
      </c>
      <c r="AD544" s="1">
        <v>4</v>
      </c>
      <c r="AE544" s="1">
        <v>105</v>
      </c>
      <c r="AF544" s="1">
        <v>100</v>
      </c>
      <c r="AG544" s="1">
        <v>110041</v>
      </c>
      <c r="AH544" s="1">
        <v>0</v>
      </c>
      <c r="AI544" s="1">
        <v>300106</v>
      </c>
      <c r="AJ544" s="1" t="s">
        <v>6364</v>
      </c>
      <c r="AK544" s="1" t="s">
        <v>1272</v>
      </c>
      <c r="AL544" s="1">
        <v>9</v>
      </c>
      <c r="AM544" s="1" t="s">
        <v>4776</v>
      </c>
      <c r="AN544" s="1" t="s">
        <v>355</v>
      </c>
      <c r="AO544" s="1" t="s">
        <v>5250</v>
      </c>
      <c r="AP544" s="1">
        <v>0</v>
      </c>
      <c r="AQ544" s="1" t="s">
        <v>5852</v>
      </c>
      <c r="AR544" s="1" t="s">
        <v>1229</v>
      </c>
      <c r="AS544" s="1" t="s">
        <v>1230</v>
      </c>
      <c r="AT544" s="1" t="s">
        <v>329</v>
      </c>
      <c r="AU544" s="1">
        <v>229</v>
      </c>
      <c r="AV544" s="1">
        <v>0</v>
      </c>
      <c r="AW544" s="1" t="s">
        <v>5854</v>
      </c>
      <c r="AX544" s="1" t="s">
        <v>1866</v>
      </c>
      <c r="AY544" s="1">
        <v>5</v>
      </c>
      <c r="AZ544" s="1">
        <v>0</v>
      </c>
      <c r="BA544" s="1" t="s">
        <v>329</v>
      </c>
      <c r="BB544" s="1" t="s">
        <v>329</v>
      </c>
      <c r="BC544" s="1" t="s">
        <v>329</v>
      </c>
      <c r="BD544" s="1">
        <v>0</v>
      </c>
      <c r="BE544" s="1">
        <v>0</v>
      </c>
    </row>
    <row r="545" spans="1:57" x14ac:dyDescent="0.25">
      <c r="A545" s="1">
        <v>90001</v>
      </c>
      <c r="B545" s="1" t="s">
        <v>6365</v>
      </c>
      <c r="C545" s="9" t="s">
        <v>5840</v>
      </c>
      <c r="D545" s="1" t="s">
        <v>6366</v>
      </c>
      <c r="E545" s="1"/>
      <c r="F545" s="1"/>
      <c r="G545" s="1" t="s">
        <v>6367</v>
      </c>
      <c r="H545" s="1" t="s">
        <v>6368</v>
      </c>
      <c r="I545" s="1" t="s">
        <v>6369</v>
      </c>
      <c r="J545" s="1">
        <v>2</v>
      </c>
      <c r="K545" s="1">
        <v>2</v>
      </c>
      <c r="L545" s="1">
        <v>6600</v>
      </c>
      <c r="M545" s="1">
        <v>25</v>
      </c>
      <c r="N545" s="1">
        <v>20</v>
      </c>
      <c r="O545" s="1">
        <v>15</v>
      </c>
      <c r="P545" s="1">
        <v>10</v>
      </c>
      <c r="Q545" s="1">
        <v>5</v>
      </c>
      <c r="R545" s="1">
        <v>5</v>
      </c>
      <c r="S545" s="1">
        <v>2</v>
      </c>
      <c r="T545" s="1">
        <v>0</v>
      </c>
      <c r="U545" s="1">
        <v>110</v>
      </c>
      <c r="V545" s="1">
        <v>100</v>
      </c>
      <c r="W545" s="1">
        <v>120</v>
      </c>
      <c r="X545" s="1">
        <v>100</v>
      </c>
      <c r="Y545" s="1">
        <v>85</v>
      </c>
      <c r="Z545" s="1">
        <v>95</v>
      </c>
      <c r="AA545" s="1">
        <v>0</v>
      </c>
      <c r="AB545" s="1">
        <v>15</v>
      </c>
      <c r="AC545" s="1">
        <v>5</v>
      </c>
      <c r="AD545" s="1">
        <v>0</v>
      </c>
      <c r="AE545" s="1">
        <v>105</v>
      </c>
      <c r="AF545" s="1">
        <v>135</v>
      </c>
      <c r="AG545" s="1">
        <v>102101</v>
      </c>
      <c r="AH545" s="1">
        <v>0</v>
      </c>
      <c r="AI545" s="1">
        <v>300102</v>
      </c>
      <c r="AJ545" s="1" t="s">
        <v>1149</v>
      </c>
      <c r="AK545" s="1" t="s">
        <v>329</v>
      </c>
      <c r="AL545" s="1">
        <v>13</v>
      </c>
      <c r="AM545" s="1" t="s">
        <v>4850</v>
      </c>
      <c r="AN545" s="1" t="s">
        <v>465</v>
      </c>
      <c r="AO545" s="1" t="s">
        <v>4864</v>
      </c>
      <c r="AP545" s="1">
        <v>0</v>
      </c>
      <c r="AQ545" s="1" t="s">
        <v>1157</v>
      </c>
      <c r="AR545" s="1" t="s">
        <v>1147</v>
      </c>
      <c r="AS545" s="1" t="s">
        <v>1774</v>
      </c>
      <c r="AT545" s="1" t="s">
        <v>329</v>
      </c>
      <c r="AU545" s="1">
        <v>21</v>
      </c>
      <c r="AV545" s="1">
        <v>0</v>
      </c>
      <c r="AW545" s="1" t="s">
        <v>5854</v>
      </c>
      <c r="AX545" s="1" t="s">
        <v>1866</v>
      </c>
      <c r="AY545" s="1">
        <v>5</v>
      </c>
      <c r="AZ545" s="1">
        <v>0</v>
      </c>
      <c r="BA545" s="1" t="s">
        <v>329</v>
      </c>
      <c r="BB545" s="1" t="s">
        <v>329</v>
      </c>
      <c r="BC545" s="1" t="s">
        <v>329</v>
      </c>
      <c r="BD545" s="1">
        <v>0</v>
      </c>
      <c r="BE545" s="1">
        <v>0</v>
      </c>
    </row>
    <row r="546" spans="1:57" x14ac:dyDescent="0.25">
      <c r="A546" s="1">
        <v>363</v>
      </c>
      <c r="B546" s="1" t="s">
        <v>6456</v>
      </c>
      <c r="C546" s="9" t="s">
        <v>2195</v>
      </c>
      <c r="D546" s="1" t="s">
        <v>2195</v>
      </c>
      <c r="E546" s="1" t="s">
        <v>329</v>
      </c>
      <c r="F546" s="1" t="s">
        <v>329</v>
      </c>
      <c r="G546" s="1" t="s">
        <v>6457</v>
      </c>
      <c r="H546" s="1" t="s">
        <v>6458</v>
      </c>
      <c r="I546" s="1" t="s">
        <v>6459</v>
      </c>
      <c r="J546" s="1">
        <v>2</v>
      </c>
      <c r="K546" s="1">
        <v>4</v>
      </c>
      <c r="L546" s="1">
        <v>8400</v>
      </c>
      <c r="M546" s="1">
        <v>25</v>
      </c>
      <c r="N546" s="1">
        <v>20</v>
      </c>
      <c r="O546" s="1">
        <v>15</v>
      </c>
      <c r="P546" s="1">
        <v>10</v>
      </c>
      <c r="Q546" s="1">
        <v>5</v>
      </c>
      <c r="R546" s="1">
        <v>5</v>
      </c>
      <c r="S546" s="1">
        <v>2</v>
      </c>
      <c r="T546" s="1">
        <v>0</v>
      </c>
      <c r="U546" s="1">
        <v>105</v>
      </c>
      <c r="V546" s="1">
        <v>110</v>
      </c>
      <c r="W546" s="1">
        <v>95</v>
      </c>
      <c r="X546" s="1">
        <v>100</v>
      </c>
      <c r="Y546" s="1">
        <v>90</v>
      </c>
      <c r="Z546" s="1">
        <v>105</v>
      </c>
      <c r="AA546" s="1">
        <v>0</v>
      </c>
      <c r="AB546" s="1">
        <v>15</v>
      </c>
      <c r="AC546" s="1">
        <v>5</v>
      </c>
      <c r="AD546" s="1">
        <v>0</v>
      </c>
      <c r="AE546" s="1">
        <v>125</v>
      </c>
      <c r="AF546" s="1">
        <v>100</v>
      </c>
      <c r="AG546" s="1">
        <v>119301</v>
      </c>
      <c r="AH546" s="1">
        <v>0</v>
      </c>
      <c r="AI546" s="1">
        <v>300102</v>
      </c>
      <c r="AJ546" s="1" t="s">
        <v>6460</v>
      </c>
      <c r="AK546" s="1" t="s">
        <v>6461</v>
      </c>
      <c r="AL546" s="1">
        <v>13</v>
      </c>
      <c r="AM546" s="1" t="s">
        <v>399</v>
      </c>
      <c r="AN546" s="1" t="s">
        <v>6462</v>
      </c>
      <c r="AO546" s="1" t="s">
        <v>5229</v>
      </c>
      <c r="AP546" s="1">
        <v>0</v>
      </c>
      <c r="AQ546" s="1" t="s">
        <v>1157</v>
      </c>
      <c r="AR546" s="1" t="s">
        <v>1147</v>
      </c>
      <c r="AS546" s="1" t="s">
        <v>1158</v>
      </c>
      <c r="AT546" s="1" t="s">
        <v>329</v>
      </c>
      <c r="AU546" s="1">
        <v>150</v>
      </c>
      <c r="AV546" s="1">
        <v>0</v>
      </c>
      <c r="AW546" s="1" t="s">
        <v>6463</v>
      </c>
      <c r="AX546" s="1" t="s">
        <v>332</v>
      </c>
      <c r="AY546" s="1">
        <v>4</v>
      </c>
      <c r="AZ546" s="1">
        <v>0</v>
      </c>
      <c r="BA546" s="1" t="s">
        <v>329</v>
      </c>
      <c r="BB546" s="1" t="s">
        <v>329</v>
      </c>
      <c r="BC546" s="1" t="s">
        <v>4829</v>
      </c>
      <c r="BD546" s="1">
        <v>10301</v>
      </c>
      <c r="BE546" s="1">
        <v>0</v>
      </c>
    </row>
    <row r="547" spans="1:57" x14ac:dyDescent="0.25">
      <c r="A547" s="1">
        <v>364</v>
      </c>
      <c r="B547" s="1" t="s">
        <v>6464</v>
      </c>
      <c r="C547" s="9" t="s">
        <v>6465</v>
      </c>
      <c r="D547" s="1" t="s">
        <v>6465</v>
      </c>
      <c r="E547" s="1" t="s">
        <v>329</v>
      </c>
      <c r="F547" s="1" t="s">
        <v>329</v>
      </c>
      <c r="G547" s="1" t="s">
        <v>6466</v>
      </c>
      <c r="H547" s="1" t="s">
        <v>6467</v>
      </c>
      <c r="I547" s="1" t="s">
        <v>6468</v>
      </c>
      <c r="J547" s="1">
        <v>2</v>
      </c>
      <c r="K547" s="1">
        <v>4</v>
      </c>
      <c r="L547" s="1">
        <v>8400</v>
      </c>
      <c r="M547" s="1">
        <v>25</v>
      </c>
      <c r="N547" s="1">
        <v>20</v>
      </c>
      <c r="O547" s="1">
        <v>15</v>
      </c>
      <c r="P547" s="1">
        <v>10</v>
      </c>
      <c r="Q547" s="1">
        <v>5</v>
      </c>
      <c r="R547" s="1">
        <v>5</v>
      </c>
      <c r="S547" s="1">
        <v>2</v>
      </c>
      <c r="T547" s="1">
        <v>0</v>
      </c>
      <c r="U547" s="1">
        <v>105</v>
      </c>
      <c r="V547" s="1">
        <v>105</v>
      </c>
      <c r="W547" s="1">
        <v>95</v>
      </c>
      <c r="X547" s="1">
        <v>100</v>
      </c>
      <c r="Y547" s="1">
        <v>90</v>
      </c>
      <c r="Z547" s="1">
        <v>110</v>
      </c>
      <c r="AA547" s="1">
        <v>0</v>
      </c>
      <c r="AB547" s="1">
        <v>15</v>
      </c>
      <c r="AC547" s="1">
        <v>5</v>
      </c>
      <c r="AD547" s="1">
        <v>0</v>
      </c>
      <c r="AE547" s="1">
        <v>125</v>
      </c>
      <c r="AF547" s="1">
        <v>100</v>
      </c>
      <c r="AG547" s="1">
        <v>119201</v>
      </c>
      <c r="AH547" s="1">
        <v>0</v>
      </c>
      <c r="AI547" s="1">
        <v>300102</v>
      </c>
      <c r="AJ547" s="1" t="s">
        <v>6469</v>
      </c>
      <c r="AK547" s="1" t="s">
        <v>6470</v>
      </c>
      <c r="AL547" s="1">
        <v>8</v>
      </c>
      <c r="AM547" s="1" t="s">
        <v>399</v>
      </c>
      <c r="AN547" s="1" t="s">
        <v>6471</v>
      </c>
      <c r="AO547" s="1" t="s">
        <v>5229</v>
      </c>
      <c r="AP547" s="1">
        <v>0</v>
      </c>
      <c r="AQ547" s="1" t="s">
        <v>1157</v>
      </c>
      <c r="AR547" s="1" t="s">
        <v>1147</v>
      </c>
      <c r="AS547" s="1" t="s">
        <v>1158</v>
      </c>
      <c r="AT547" s="1" t="s">
        <v>329</v>
      </c>
      <c r="AU547" s="1">
        <v>150</v>
      </c>
      <c r="AV547" s="1">
        <v>0</v>
      </c>
      <c r="AW547" s="1" t="s">
        <v>6463</v>
      </c>
      <c r="AX547" s="1" t="s">
        <v>332</v>
      </c>
      <c r="AY547" s="1">
        <v>4</v>
      </c>
      <c r="AZ547" s="1">
        <v>0</v>
      </c>
      <c r="BA547" s="1" t="s">
        <v>329</v>
      </c>
      <c r="BB547" s="1" t="s">
        <v>329</v>
      </c>
      <c r="BC547" s="1" t="s">
        <v>4829</v>
      </c>
      <c r="BD547" s="1">
        <v>10302</v>
      </c>
      <c r="BE547" s="1">
        <v>0</v>
      </c>
    </row>
    <row r="548" spans="1:57" x14ac:dyDescent="0.25">
      <c r="A548" s="1">
        <v>365</v>
      </c>
      <c r="B548" s="1" t="s">
        <v>6472</v>
      </c>
      <c r="C548" s="9" t="s">
        <v>6473</v>
      </c>
      <c r="D548" s="1" t="s">
        <v>6473</v>
      </c>
      <c r="E548" s="1" t="s">
        <v>329</v>
      </c>
      <c r="F548" s="1" t="s">
        <v>329</v>
      </c>
      <c r="G548" s="1" t="s">
        <v>6474</v>
      </c>
      <c r="H548" s="1" t="s">
        <v>6475</v>
      </c>
      <c r="I548" s="1" t="s">
        <v>6476</v>
      </c>
      <c r="J548" s="1">
        <v>4</v>
      </c>
      <c r="K548" s="1">
        <v>5</v>
      </c>
      <c r="L548" s="1">
        <v>15120</v>
      </c>
      <c r="M548" s="1">
        <v>20</v>
      </c>
      <c r="N548" s="1">
        <v>20</v>
      </c>
      <c r="O548" s="1">
        <v>10</v>
      </c>
      <c r="P548" s="1">
        <v>10</v>
      </c>
      <c r="Q548" s="1">
        <v>2</v>
      </c>
      <c r="R548" s="1">
        <v>5</v>
      </c>
      <c r="S548" s="1">
        <v>5</v>
      </c>
      <c r="T548" s="1">
        <v>0</v>
      </c>
      <c r="U548" s="1">
        <v>100</v>
      </c>
      <c r="V548" s="1">
        <v>105</v>
      </c>
      <c r="W548" s="1">
        <v>112</v>
      </c>
      <c r="X548" s="1">
        <v>100</v>
      </c>
      <c r="Y548" s="1">
        <v>120</v>
      </c>
      <c r="Z548" s="1">
        <v>115</v>
      </c>
      <c r="AA548" s="1">
        <v>0</v>
      </c>
      <c r="AB548" s="1">
        <v>15</v>
      </c>
      <c r="AC548" s="1">
        <v>20</v>
      </c>
      <c r="AD548" s="1">
        <v>0</v>
      </c>
      <c r="AE548" s="1">
        <v>135</v>
      </c>
      <c r="AF548" s="1">
        <v>100</v>
      </c>
      <c r="AG548" s="1">
        <v>750382</v>
      </c>
      <c r="AH548" s="1">
        <v>0</v>
      </c>
      <c r="AI548" s="1">
        <v>750383</v>
      </c>
      <c r="AJ548" s="1" t="s">
        <v>6477</v>
      </c>
      <c r="AK548" s="1" t="s">
        <v>329</v>
      </c>
      <c r="AL548" s="1">
        <v>13</v>
      </c>
      <c r="AM548" s="1" t="s">
        <v>4779</v>
      </c>
      <c r="AN548" s="1" t="s">
        <v>4889</v>
      </c>
      <c r="AO548" s="1" t="s">
        <v>6478</v>
      </c>
      <c r="AP548" s="1">
        <v>0</v>
      </c>
      <c r="AQ548" s="1" t="s">
        <v>1158</v>
      </c>
      <c r="AR548" s="1" t="s">
        <v>1182</v>
      </c>
      <c r="AS548" s="1" t="s">
        <v>1157</v>
      </c>
      <c r="AT548" s="1" t="s">
        <v>329</v>
      </c>
      <c r="AU548" s="1">
        <v>48</v>
      </c>
      <c r="AV548" s="1">
        <v>0</v>
      </c>
      <c r="AW548" s="1" t="s">
        <v>6463</v>
      </c>
      <c r="AX548" s="1" t="s">
        <v>332</v>
      </c>
      <c r="AY548" s="1">
        <v>5</v>
      </c>
      <c r="AZ548" s="1">
        <v>0</v>
      </c>
      <c r="BA548" s="1" t="s">
        <v>329</v>
      </c>
      <c r="BB548" s="1" t="s">
        <v>329</v>
      </c>
      <c r="BC548" s="1" t="s">
        <v>4780</v>
      </c>
      <c r="BD548" s="1">
        <v>10704</v>
      </c>
      <c r="BE548" s="1">
        <v>0</v>
      </c>
    </row>
    <row r="549" spans="1:57" x14ac:dyDescent="0.25">
      <c r="A549" s="1">
        <v>20010</v>
      </c>
      <c r="B549" s="1" t="s">
        <v>6541</v>
      </c>
      <c r="C549" s="9" t="s">
        <v>6542</v>
      </c>
      <c r="D549" s="1" t="s">
        <v>6542</v>
      </c>
      <c r="E549" s="1"/>
      <c r="F549" s="1"/>
      <c r="G549" s="1" t="s">
        <v>6543</v>
      </c>
      <c r="H549" s="1" t="s">
        <v>6544</v>
      </c>
      <c r="I549" s="1" t="s">
        <v>6545</v>
      </c>
      <c r="J549" s="1">
        <v>1</v>
      </c>
      <c r="K549" s="1">
        <v>4</v>
      </c>
      <c r="L549" s="1">
        <v>1320</v>
      </c>
      <c r="M549" s="1">
        <v>10</v>
      </c>
      <c r="N549" s="1">
        <v>10</v>
      </c>
      <c r="O549" s="1">
        <v>5</v>
      </c>
      <c r="P549" s="1">
        <v>5</v>
      </c>
      <c r="Q549" s="1">
        <v>2</v>
      </c>
      <c r="R549" s="1">
        <v>2</v>
      </c>
      <c r="S549" s="1">
        <v>2</v>
      </c>
      <c r="T549" s="1">
        <v>0</v>
      </c>
      <c r="U549" s="1">
        <v>100</v>
      </c>
      <c r="V549" s="1">
        <v>95</v>
      </c>
      <c r="W549" s="1">
        <v>115</v>
      </c>
      <c r="X549" s="1">
        <v>100</v>
      </c>
      <c r="Y549" s="1">
        <v>115</v>
      </c>
      <c r="Z549" s="1">
        <v>130</v>
      </c>
      <c r="AA549" s="1">
        <v>0</v>
      </c>
      <c r="AB549" s="1">
        <v>15</v>
      </c>
      <c r="AC549" s="1">
        <v>20</v>
      </c>
      <c r="AD549" s="1">
        <v>0</v>
      </c>
      <c r="AE549" s="1">
        <v>125</v>
      </c>
      <c r="AF549" s="1">
        <v>95</v>
      </c>
      <c r="AG549" s="1">
        <v>804101</v>
      </c>
      <c r="AH549" s="1">
        <v>804102</v>
      </c>
      <c r="AI549" s="1">
        <v>300101</v>
      </c>
      <c r="AJ549" s="1" t="s">
        <v>329</v>
      </c>
      <c r="AK549" s="1" t="s">
        <v>6546</v>
      </c>
      <c r="AL549" s="1">
        <v>13</v>
      </c>
      <c r="AM549" s="1" t="s">
        <v>1866</v>
      </c>
      <c r="AN549" s="1" t="s">
        <v>6547</v>
      </c>
      <c r="AO549" s="1" t="s">
        <v>6548</v>
      </c>
      <c r="AP549" s="1">
        <v>0</v>
      </c>
      <c r="AQ549" s="1" t="s">
        <v>4802</v>
      </c>
      <c r="AR549" s="1" t="s">
        <v>1772</v>
      </c>
      <c r="AS549" s="1" t="s">
        <v>1148</v>
      </c>
      <c r="AT549" s="1" t="s">
        <v>329</v>
      </c>
      <c r="AU549" s="1">
        <v>10</v>
      </c>
      <c r="AV549" s="1">
        <v>0</v>
      </c>
      <c r="AW549" s="1" t="s">
        <v>4552</v>
      </c>
      <c r="AX549" s="1" t="s">
        <v>5476</v>
      </c>
      <c r="AY549" s="1">
        <v>4</v>
      </c>
      <c r="AZ549" s="1">
        <v>3010</v>
      </c>
      <c r="BA549" s="1" t="s">
        <v>329</v>
      </c>
      <c r="BB549" s="1" t="s">
        <v>4832</v>
      </c>
      <c r="BC549" s="1" t="s">
        <v>4829</v>
      </c>
      <c r="BD549" s="1">
        <v>0</v>
      </c>
      <c r="BE549" s="1">
        <v>0</v>
      </c>
    </row>
    <row r="550" spans="1:57" x14ac:dyDescent="0.25">
      <c r="A550" s="1">
        <v>20088</v>
      </c>
      <c r="B550" s="1" t="s">
        <v>6549</v>
      </c>
      <c r="C550" s="9" t="s">
        <v>6550</v>
      </c>
      <c r="D550" s="1" t="s">
        <v>6550</v>
      </c>
      <c r="E550" s="1"/>
      <c r="F550" s="1"/>
      <c r="G550" s="1" t="s">
        <v>6551</v>
      </c>
      <c r="H550" s="1" t="s">
        <v>6552</v>
      </c>
      <c r="I550" s="1" t="s">
        <v>6553</v>
      </c>
      <c r="J550" s="1">
        <v>5</v>
      </c>
      <c r="K550" s="1">
        <v>5</v>
      </c>
      <c r="L550" s="1">
        <v>23400</v>
      </c>
      <c r="M550" s="1">
        <v>40</v>
      </c>
      <c r="N550" s="1">
        <v>30</v>
      </c>
      <c r="O550" s="1">
        <v>25</v>
      </c>
      <c r="P550" s="1">
        <v>15</v>
      </c>
      <c r="Q550" s="1">
        <v>5</v>
      </c>
      <c r="R550" s="1">
        <v>5</v>
      </c>
      <c r="S550" s="1">
        <v>2</v>
      </c>
      <c r="T550" s="1">
        <v>5</v>
      </c>
      <c r="U550" s="1">
        <v>120</v>
      </c>
      <c r="V550" s="1">
        <v>115</v>
      </c>
      <c r="W550" s="1">
        <v>125</v>
      </c>
      <c r="X550" s="1">
        <v>100</v>
      </c>
      <c r="Y550" s="1">
        <v>110</v>
      </c>
      <c r="Z550" s="1">
        <v>95</v>
      </c>
      <c r="AA550" s="1">
        <v>0</v>
      </c>
      <c r="AB550" s="1">
        <v>15</v>
      </c>
      <c r="AC550" s="1">
        <v>5</v>
      </c>
      <c r="AD550" s="1">
        <v>10</v>
      </c>
      <c r="AE550" s="1">
        <v>110</v>
      </c>
      <c r="AF550" s="1">
        <v>100</v>
      </c>
      <c r="AG550" s="1">
        <v>740025</v>
      </c>
      <c r="AH550" s="1">
        <v>740027</v>
      </c>
      <c r="AI550" s="1">
        <v>740030</v>
      </c>
      <c r="AJ550" s="1" t="s">
        <v>6540</v>
      </c>
      <c r="AK550" s="1" t="s">
        <v>6554</v>
      </c>
      <c r="AL550" s="1">
        <v>18</v>
      </c>
      <c r="AM550" s="1" t="s">
        <v>4918</v>
      </c>
      <c r="AN550" s="1" t="s">
        <v>5044</v>
      </c>
      <c r="AO550" s="1" t="s">
        <v>5327</v>
      </c>
      <c r="AP550" s="1">
        <v>0</v>
      </c>
      <c r="AQ550" s="1" t="s">
        <v>1195</v>
      </c>
      <c r="AR550" s="1" t="s">
        <v>4971</v>
      </c>
      <c r="AS550" s="1" t="s">
        <v>4972</v>
      </c>
      <c r="AT550" s="1" t="s">
        <v>329</v>
      </c>
      <c r="AU550" s="1">
        <v>88</v>
      </c>
      <c r="AV550" s="1">
        <v>0</v>
      </c>
      <c r="AW550" s="1" t="s">
        <v>4552</v>
      </c>
      <c r="AX550" s="1" t="s">
        <v>5476</v>
      </c>
      <c r="AY550" s="1">
        <v>5</v>
      </c>
      <c r="AZ550" s="1">
        <v>3088</v>
      </c>
      <c r="BA550" s="1" t="s">
        <v>329</v>
      </c>
      <c r="BB550" s="1" t="s">
        <v>5003</v>
      </c>
      <c r="BC550" s="1" t="s">
        <v>4829</v>
      </c>
      <c r="BD550" s="1">
        <v>0</v>
      </c>
      <c r="BE550" s="1">
        <v>0</v>
      </c>
    </row>
    <row r="551" spans="1:57" x14ac:dyDescent="0.25">
      <c r="A551" s="1">
        <v>20115</v>
      </c>
      <c r="B551" s="1" t="s">
        <v>6555</v>
      </c>
      <c r="C551" s="9" t="s">
        <v>6588</v>
      </c>
      <c r="D551" s="1" t="s">
        <v>6556</v>
      </c>
      <c r="E551" s="1"/>
      <c r="F551" s="1"/>
      <c r="G551" s="1" t="s">
        <v>6557</v>
      </c>
      <c r="H551" s="1" t="s">
        <v>6558</v>
      </c>
      <c r="I551" s="1" t="s">
        <v>6559</v>
      </c>
      <c r="J551" s="1">
        <v>2</v>
      </c>
      <c r="K551" s="1">
        <v>6</v>
      </c>
      <c r="L551" s="1">
        <v>8700</v>
      </c>
      <c r="M551" s="1">
        <v>25</v>
      </c>
      <c r="N551" s="1">
        <v>20</v>
      </c>
      <c r="O551" s="1">
        <v>15</v>
      </c>
      <c r="P551" s="1">
        <v>10</v>
      </c>
      <c r="Q551" s="1">
        <v>5</v>
      </c>
      <c r="R551" s="1">
        <v>5</v>
      </c>
      <c r="S551" s="1">
        <v>2</v>
      </c>
      <c r="T551" s="1">
        <v>0</v>
      </c>
      <c r="U551" s="1">
        <v>125</v>
      </c>
      <c r="V551" s="1">
        <v>118</v>
      </c>
      <c r="W551" s="1">
        <v>120</v>
      </c>
      <c r="X551" s="1">
        <v>100</v>
      </c>
      <c r="Y551" s="1">
        <v>130</v>
      </c>
      <c r="Z551" s="1">
        <v>115</v>
      </c>
      <c r="AA551" s="1">
        <v>0</v>
      </c>
      <c r="AB551" s="1">
        <v>15</v>
      </c>
      <c r="AC551" s="1">
        <v>5</v>
      </c>
      <c r="AD551" s="1">
        <v>0</v>
      </c>
      <c r="AE551" s="1">
        <v>108</v>
      </c>
      <c r="AF551" s="1">
        <v>100</v>
      </c>
      <c r="AG551" s="1">
        <v>804201</v>
      </c>
      <c r="AH551" s="1">
        <v>804203</v>
      </c>
      <c r="AI551" s="1">
        <v>804207</v>
      </c>
      <c r="AJ551" s="1" t="s">
        <v>6560</v>
      </c>
      <c r="AK551" s="1" t="s">
        <v>6561</v>
      </c>
      <c r="AL551" s="1">
        <v>13</v>
      </c>
      <c r="AM551" s="1" t="s">
        <v>4850</v>
      </c>
      <c r="AN551" s="1" t="s">
        <v>4855</v>
      </c>
      <c r="AO551" s="1" t="s">
        <v>5038</v>
      </c>
      <c r="AP551" s="1">
        <v>0</v>
      </c>
      <c r="AQ551" s="1" t="s">
        <v>1773</v>
      </c>
      <c r="AR551" s="1" t="s">
        <v>1772</v>
      </c>
      <c r="AS551" s="1" t="s">
        <v>1158</v>
      </c>
      <c r="AT551" s="1" t="s">
        <v>329</v>
      </c>
      <c r="AU551" s="1">
        <v>115</v>
      </c>
      <c r="AV551" s="1">
        <v>0</v>
      </c>
      <c r="AW551" s="1" t="s">
        <v>5029</v>
      </c>
      <c r="AX551" s="1" t="s">
        <v>5476</v>
      </c>
      <c r="AY551" s="1">
        <v>6</v>
      </c>
      <c r="AZ551" s="1">
        <v>3115</v>
      </c>
      <c r="BA551" s="1" t="s">
        <v>329</v>
      </c>
      <c r="BB551" s="1" t="s">
        <v>5052</v>
      </c>
      <c r="BC551" s="1" t="s">
        <v>329</v>
      </c>
      <c r="BD551" s="1">
        <v>0</v>
      </c>
      <c r="BE551" s="1">
        <v>0</v>
      </c>
    </row>
    <row r="552" spans="1:57" x14ac:dyDescent="0.25">
      <c r="A552" s="1">
        <v>20230</v>
      </c>
      <c r="B552" s="1" t="s">
        <v>6562</v>
      </c>
      <c r="C552" s="9" t="s">
        <v>6563</v>
      </c>
      <c r="D552" s="1" t="s">
        <v>6563</v>
      </c>
      <c r="E552" s="1"/>
      <c r="F552" s="1"/>
      <c r="G552" s="1" t="s">
        <v>6564</v>
      </c>
      <c r="H552" s="1" t="s">
        <v>6565</v>
      </c>
      <c r="I552" s="1" t="s">
        <v>6566</v>
      </c>
      <c r="J552" s="1">
        <v>3</v>
      </c>
      <c r="K552" s="1">
        <v>4</v>
      </c>
      <c r="L552" s="1">
        <v>15600</v>
      </c>
      <c r="M552" s="1">
        <v>15</v>
      </c>
      <c r="N552" s="1">
        <v>30</v>
      </c>
      <c r="O552" s="1">
        <v>10</v>
      </c>
      <c r="P552" s="1">
        <v>15</v>
      </c>
      <c r="Q552" s="1">
        <v>5</v>
      </c>
      <c r="R552" s="1">
        <v>2</v>
      </c>
      <c r="S552" s="1">
        <v>5</v>
      </c>
      <c r="T552" s="1">
        <v>0</v>
      </c>
      <c r="U552" s="1">
        <v>95</v>
      </c>
      <c r="V552" s="1">
        <v>112</v>
      </c>
      <c r="W552" s="1">
        <v>110</v>
      </c>
      <c r="X552" s="1">
        <v>100</v>
      </c>
      <c r="Y552" s="1">
        <v>125</v>
      </c>
      <c r="Z552" s="1">
        <v>95</v>
      </c>
      <c r="AA552" s="1">
        <v>0</v>
      </c>
      <c r="AB552" s="1">
        <v>15</v>
      </c>
      <c r="AC552" s="1">
        <v>40</v>
      </c>
      <c r="AD552" s="1">
        <v>0</v>
      </c>
      <c r="AE552" s="1">
        <v>120</v>
      </c>
      <c r="AF552" s="1">
        <v>100</v>
      </c>
      <c r="AG552" s="1">
        <v>740026</v>
      </c>
      <c r="AH552" s="1">
        <v>740034</v>
      </c>
      <c r="AI552" s="1">
        <v>740032</v>
      </c>
      <c r="AJ552" s="1" t="s">
        <v>6567</v>
      </c>
      <c r="AK552" s="1" t="s">
        <v>6568</v>
      </c>
      <c r="AL552" s="1">
        <v>13</v>
      </c>
      <c r="AM552" s="1" t="s">
        <v>4822</v>
      </c>
      <c r="AN552" s="1" t="s">
        <v>4894</v>
      </c>
      <c r="AO552" s="1" t="s">
        <v>4892</v>
      </c>
      <c r="AP552" s="1">
        <v>0</v>
      </c>
      <c r="AQ552" s="1" t="s">
        <v>1168</v>
      </c>
      <c r="AR552" s="1" t="s">
        <v>4895</v>
      </c>
      <c r="AS552" s="1" t="s">
        <v>1170</v>
      </c>
      <c r="AT552" s="1" t="s">
        <v>329</v>
      </c>
      <c r="AU552" s="1">
        <v>230</v>
      </c>
      <c r="AV552" s="1">
        <v>0</v>
      </c>
      <c r="AW552" s="1" t="s">
        <v>5251</v>
      </c>
      <c r="AX552" s="1" t="s">
        <v>5476</v>
      </c>
      <c r="AY552" s="1">
        <v>4</v>
      </c>
      <c r="AZ552" s="1">
        <v>3230</v>
      </c>
      <c r="BA552" s="1" t="s">
        <v>329</v>
      </c>
      <c r="BB552" s="1" t="s">
        <v>5252</v>
      </c>
      <c r="BC552" s="1" t="s">
        <v>4780</v>
      </c>
      <c r="BD552" s="1">
        <v>0</v>
      </c>
      <c r="BE552" s="1">
        <v>0</v>
      </c>
    </row>
  </sheetData>
  <autoFilter ref="A1:BD429" xr:uid="{758A8C06-F23F-4131-92FF-72A91D6332E2}">
    <sortState ref="A2:BD442">
      <sortCondition ref="A1:A429"/>
    </sortState>
  </autoFilter>
  <pageMargins left="0.7" right="0.7" top="0.75" bottom="0.75" header="0.3" footer="0.3"/>
  <pageSetup orientation="portrait" horizontalDpi="0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F37D32-2069-40C2-9A92-99F1BB300981}">
  <sheetPr codeName="Sheet20">
    <tabColor theme="8" tint="0.79998168889431442"/>
  </sheetPr>
  <dimension ref="A1:BI48"/>
  <sheetViews>
    <sheetView workbookViewId="0">
      <pane ySplit="1" topLeftCell="A5" activePane="bottomLeft" state="frozen"/>
      <selection pane="bottomLeft" activeCell="C19" sqref="C19"/>
    </sheetView>
  </sheetViews>
  <sheetFormatPr defaultRowHeight="15" x14ac:dyDescent="0.25"/>
  <cols>
    <col min="1" max="1" width="7.28515625" bestFit="1" customWidth="1"/>
    <col min="2" max="2" width="16.28515625" bestFit="1" customWidth="1"/>
    <col min="3" max="3" width="19.140625" bestFit="1" customWidth="1"/>
    <col min="4" max="4" width="21.85546875" bestFit="1" customWidth="1"/>
    <col min="5" max="5" width="16.28515625" bestFit="1" customWidth="1"/>
    <col min="6" max="6" width="13.28515625" bestFit="1" customWidth="1"/>
    <col min="7" max="7" width="10.140625" bestFit="1" customWidth="1"/>
    <col min="8" max="8" width="17.42578125" bestFit="1" customWidth="1"/>
    <col min="9" max="9" width="11" bestFit="1" customWidth="1"/>
    <col min="10" max="10" width="9.5703125" bestFit="1" customWidth="1"/>
    <col min="11" max="11" width="13.7109375" bestFit="1" customWidth="1"/>
    <col min="12" max="12" width="14.42578125" bestFit="1" customWidth="1"/>
    <col min="13" max="13" width="14.7109375" bestFit="1" customWidth="1"/>
    <col min="14" max="14" width="16.28515625" bestFit="1" customWidth="1"/>
    <col min="15" max="15" width="12.28515625" bestFit="1" customWidth="1"/>
    <col min="16" max="16" width="12" bestFit="1" customWidth="1"/>
    <col min="17" max="17" width="9.42578125" bestFit="1" customWidth="1"/>
    <col min="18" max="18" width="10.140625" bestFit="1" customWidth="1"/>
    <col min="19" max="19" width="15.140625" bestFit="1" customWidth="1"/>
    <col min="20" max="21" width="10.140625" bestFit="1" customWidth="1"/>
    <col min="22" max="22" width="17.42578125" bestFit="1" customWidth="1"/>
    <col min="23" max="23" width="19.42578125" bestFit="1" customWidth="1"/>
    <col min="24" max="24" width="47.7109375" bestFit="1" customWidth="1"/>
    <col min="25" max="25" width="34.140625" bestFit="1" customWidth="1"/>
    <col min="26" max="26" width="18.28515625" bestFit="1" customWidth="1"/>
    <col min="27" max="27" width="15.28515625" bestFit="1" customWidth="1"/>
    <col min="28" max="28" width="13.28515625" bestFit="1" customWidth="1"/>
    <col min="29" max="29" width="27.85546875" bestFit="1" customWidth="1"/>
    <col min="30" max="30" width="25.7109375" bestFit="1" customWidth="1"/>
    <col min="31" max="31" width="13" bestFit="1" customWidth="1"/>
    <col min="32" max="32" width="14.5703125" bestFit="1" customWidth="1"/>
    <col min="33" max="33" width="14.28515625" bestFit="1" customWidth="1"/>
    <col min="34" max="34" width="13.140625" bestFit="1" customWidth="1"/>
    <col min="35" max="35" width="16.28515625" bestFit="1" customWidth="1"/>
    <col min="36" max="36" width="16" bestFit="1" customWidth="1"/>
    <col min="37" max="37" width="19.140625" bestFit="1" customWidth="1"/>
    <col min="38" max="38" width="8.42578125" bestFit="1" customWidth="1"/>
    <col min="39" max="39" width="13.28515625" bestFit="1" customWidth="1"/>
    <col min="40" max="40" width="13.5703125" bestFit="1" customWidth="1"/>
    <col min="41" max="41" width="13.85546875" bestFit="1" customWidth="1"/>
    <col min="42" max="42" width="9.42578125" bestFit="1" customWidth="1"/>
    <col min="43" max="43" width="19.85546875" bestFit="1" customWidth="1"/>
    <col min="44" max="44" width="20.7109375" bestFit="1" customWidth="1"/>
    <col min="45" max="45" width="13.42578125" bestFit="1" customWidth="1"/>
    <col min="46" max="46" width="15" bestFit="1" customWidth="1"/>
    <col min="47" max="47" width="29.42578125" bestFit="1" customWidth="1"/>
    <col min="48" max="50" width="13" bestFit="1" customWidth="1"/>
    <col min="51" max="51" width="15.85546875" bestFit="1" customWidth="1"/>
    <col min="52" max="52" width="6" bestFit="1" customWidth="1"/>
    <col min="53" max="53" width="14.7109375" bestFit="1" customWidth="1"/>
    <col min="54" max="54" width="18.28515625" bestFit="1" customWidth="1"/>
    <col min="55" max="55" width="12.5703125" bestFit="1" customWidth="1"/>
    <col min="56" max="56" width="22.5703125" bestFit="1" customWidth="1"/>
    <col min="57" max="57" width="16" bestFit="1" customWidth="1"/>
    <col min="58" max="58" width="15" bestFit="1" customWidth="1"/>
    <col min="59" max="59" width="13.42578125" bestFit="1" customWidth="1"/>
    <col min="60" max="60" width="8.85546875" bestFit="1" customWidth="1"/>
  </cols>
  <sheetData>
    <row r="1" spans="1:61" x14ac:dyDescent="0.25">
      <c r="A1" s="43" t="s">
        <v>25</v>
      </c>
      <c r="B1" s="43" t="s">
        <v>1837</v>
      </c>
      <c r="C1" s="43" t="s">
        <v>219</v>
      </c>
      <c r="D1" s="43" t="s">
        <v>322</v>
      </c>
      <c r="E1" s="43" t="s">
        <v>2665</v>
      </c>
      <c r="F1" s="43" t="s">
        <v>2666</v>
      </c>
      <c r="G1" s="43" t="s">
        <v>2667</v>
      </c>
      <c r="H1" s="43" t="s">
        <v>2668</v>
      </c>
      <c r="I1" s="43" t="s">
        <v>4525</v>
      </c>
      <c r="J1" s="43" t="s">
        <v>61</v>
      </c>
      <c r="K1" s="43" t="s">
        <v>981</v>
      </c>
      <c r="L1" s="43" t="s">
        <v>982</v>
      </c>
      <c r="M1" s="43" t="s">
        <v>983</v>
      </c>
      <c r="N1" s="43" t="s">
        <v>984</v>
      </c>
      <c r="O1" s="43" t="s">
        <v>985</v>
      </c>
      <c r="P1" s="43" t="s">
        <v>4526</v>
      </c>
      <c r="Q1" s="43" t="s">
        <v>220</v>
      </c>
      <c r="R1" s="43" t="s">
        <v>41</v>
      </c>
      <c r="S1" s="43" t="s">
        <v>4527</v>
      </c>
      <c r="T1" s="43" t="s">
        <v>42</v>
      </c>
      <c r="U1" s="43" t="s">
        <v>886</v>
      </c>
      <c r="V1" s="43" t="s">
        <v>986</v>
      </c>
      <c r="W1" s="43" t="s">
        <v>4528</v>
      </c>
      <c r="X1" s="43" t="s">
        <v>4529</v>
      </c>
      <c r="Y1" s="43" t="s">
        <v>1142</v>
      </c>
      <c r="Z1" s="43" t="s">
        <v>1141</v>
      </c>
      <c r="AA1" s="43" t="s">
        <v>2669</v>
      </c>
      <c r="AB1" s="43" t="s">
        <v>2670</v>
      </c>
      <c r="AC1" s="43" t="s">
        <v>2671</v>
      </c>
      <c r="AD1" s="43" t="s">
        <v>2672</v>
      </c>
      <c r="AE1" s="43" t="s">
        <v>1725</v>
      </c>
      <c r="AF1" s="43" t="s">
        <v>1135</v>
      </c>
      <c r="AG1" s="43" t="s">
        <v>1136</v>
      </c>
      <c r="AH1" s="43" t="s">
        <v>1137</v>
      </c>
      <c r="AI1" s="43" t="s">
        <v>1138</v>
      </c>
      <c r="AJ1" s="43" t="s">
        <v>1139</v>
      </c>
      <c r="AK1" s="43" t="s">
        <v>221</v>
      </c>
      <c r="AL1" s="43" t="s">
        <v>2678</v>
      </c>
      <c r="AM1" s="43" t="s">
        <v>4530</v>
      </c>
      <c r="AN1" s="43" t="s">
        <v>1140</v>
      </c>
      <c r="AO1" s="10" t="s">
        <v>2677</v>
      </c>
      <c r="AP1" s="10" t="s">
        <v>2679</v>
      </c>
      <c r="AQ1" s="10" t="s">
        <v>4531</v>
      </c>
      <c r="AR1" s="10" t="s">
        <v>4532</v>
      </c>
      <c r="AS1" s="10" t="s">
        <v>2680</v>
      </c>
      <c r="AT1" s="10" t="s">
        <v>4533</v>
      </c>
      <c r="AU1" s="10" t="s">
        <v>2684</v>
      </c>
      <c r="AV1" s="10" t="s">
        <v>4534</v>
      </c>
      <c r="AW1" s="10" t="s">
        <v>4535</v>
      </c>
      <c r="AX1" s="10" t="s">
        <v>4536</v>
      </c>
      <c r="AY1" s="10" t="s">
        <v>4537</v>
      </c>
      <c r="AZ1" s="10" t="s">
        <v>2687</v>
      </c>
      <c r="BA1" s="10" t="s">
        <v>583</v>
      </c>
      <c r="BB1" s="10" t="s">
        <v>2688</v>
      </c>
      <c r="BC1" s="10" t="s">
        <v>2689</v>
      </c>
      <c r="BD1" s="10" t="s">
        <v>4538</v>
      </c>
      <c r="BE1" s="10" t="s">
        <v>4539</v>
      </c>
      <c r="BF1" s="10" t="s">
        <v>4540</v>
      </c>
      <c r="BG1" s="10" t="s">
        <v>4541</v>
      </c>
      <c r="BH1" s="10" t="s">
        <v>2695</v>
      </c>
    </row>
    <row r="2" spans="1:61" x14ac:dyDescent="0.25">
      <c r="A2">
        <v>1012</v>
      </c>
      <c r="B2" t="s">
        <v>4560</v>
      </c>
      <c r="C2" t="s">
        <v>1001</v>
      </c>
      <c r="D2" t="s">
        <v>1001</v>
      </c>
      <c r="E2" t="s">
        <v>4561</v>
      </c>
      <c r="G2" t="s">
        <v>4545</v>
      </c>
      <c r="H2" t="s">
        <v>4562</v>
      </c>
      <c r="I2">
        <v>1</v>
      </c>
      <c r="J2">
        <v>1</v>
      </c>
      <c r="K2" t="s">
        <v>988</v>
      </c>
      <c r="L2">
        <v>1</v>
      </c>
      <c r="M2">
        <v>112</v>
      </c>
      <c r="N2" t="s">
        <v>989</v>
      </c>
      <c r="O2">
        <v>10</v>
      </c>
      <c r="P2">
        <v>0</v>
      </c>
      <c r="Q2">
        <v>5</v>
      </c>
      <c r="R2">
        <v>902162</v>
      </c>
      <c r="S2">
        <v>2</v>
      </c>
      <c r="T2">
        <v>30010</v>
      </c>
      <c r="U2">
        <v>902165</v>
      </c>
      <c r="V2">
        <v>902166</v>
      </c>
      <c r="W2" t="s">
        <v>4563</v>
      </c>
      <c r="X2" t="s">
        <v>329</v>
      </c>
      <c r="Y2" t="s">
        <v>4564</v>
      </c>
      <c r="Z2">
        <v>902164</v>
      </c>
      <c r="AA2">
        <v>10</v>
      </c>
      <c r="AB2">
        <v>10</v>
      </c>
      <c r="AC2">
        <v>5</v>
      </c>
      <c r="AD2">
        <v>5</v>
      </c>
      <c r="AE2">
        <v>115</v>
      </c>
      <c r="AF2">
        <v>130</v>
      </c>
      <c r="AG2">
        <v>95</v>
      </c>
      <c r="AH2">
        <v>120</v>
      </c>
      <c r="AI2">
        <v>100</v>
      </c>
      <c r="AJ2">
        <v>0</v>
      </c>
      <c r="AK2">
        <v>50</v>
      </c>
      <c r="AL2">
        <v>30</v>
      </c>
      <c r="AM2">
        <v>150</v>
      </c>
      <c r="AN2">
        <v>100</v>
      </c>
      <c r="AO2">
        <v>15</v>
      </c>
      <c r="AP2">
        <v>0</v>
      </c>
      <c r="AQ2">
        <v>2</v>
      </c>
      <c r="AR2">
        <v>15</v>
      </c>
      <c r="AS2">
        <v>500</v>
      </c>
      <c r="AT2">
        <v>7</v>
      </c>
      <c r="AU2" t="s">
        <v>4565</v>
      </c>
      <c r="AV2" t="s">
        <v>4551</v>
      </c>
      <c r="AW2" t="s">
        <v>4551</v>
      </c>
      <c r="AX2" t="s">
        <v>4551</v>
      </c>
      <c r="AY2">
        <v>45</v>
      </c>
      <c r="AZ2">
        <v>11002</v>
      </c>
      <c r="BA2">
        <v>1</v>
      </c>
      <c r="BB2" t="s">
        <v>4552</v>
      </c>
      <c r="BC2" t="s">
        <v>1866</v>
      </c>
      <c r="BD2">
        <v>930012</v>
      </c>
      <c r="BE2" t="s">
        <v>4553</v>
      </c>
      <c r="BF2" t="s">
        <v>4554</v>
      </c>
      <c r="BG2">
        <v>100</v>
      </c>
      <c r="BH2">
        <v>10604</v>
      </c>
    </row>
    <row r="3" spans="1:61" x14ac:dyDescent="0.25">
      <c r="A3">
        <v>1008</v>
      </c>
      <c r="B3" t="s">
        <v>4566</v>
      </c>
      <c r="C3" t="s">
        <v>996</v>
      </c>
      <c r="D3" t="s">
        <v>996</v>
      </c>
      <c r="E3" t="s">
        <v>4567</v>
      </c>
      <c r="G3" t="s">
        <v>4545</v>
      </c>
      <c r="H3" t="s">
        <v>4568</v>
      </c>
      <c r="I3">
        <v>1</v>
      </c>
      <c r="J3">
        <v>1</v>
      </c>
      <c r="K3" t="s">
        <v>991</v>
      </c>
      <c r="L3">
        <v>1</v>
      </c>
      <c r="M3">
        <v>108</v>
      </c>
      <c r="N3" t="s">
        <v>989</v>
      </c>
      <c r="O3">
        <v>10</v>
      </c>
      <c r="P3">
        <v>0</v>
      </c>
      <c r="Q3">
        <v>5</v>
      </c>
      <c r="R3">
        <v>900921</v>
      </c>
      <c r="S3">
        <v>1</v>
      </c>
      <c r="T3">
        <v>900922</v>
      </c>
      <c r="U3">
        <v>900923</v>
      </c>
      <c r="V3">
        <v>900928</v>
      </c>
      <c r="W3" t="s">
        <v>4569</v>
      </c>
      <c r="X3" t="s">
        <v>4570</v>
      </c>
      <c r="Y3" t="s">
        <v>4571</v>
      </c>
      <c r="Z3">
        <v>900920</v>
      </c>
      <c r="AA3">
        <v>10</v>
      </c>
      <c r="AB3">
        <v>10</v>
      </c>
      <c r="AC3">
        <v>5</v>
      </c>
      <c r="AD3">
        <v>5</v>
      </c>
      <c r="AE3">
        <v>105</v>
      </c>
      <c r="AF3">
        <v>100</v>
      </c>
      <c r="AG3">
        <v>115</v>
      </c>
      <c r="AH3">
        <v>115</v>
      </c>
      <c r="AI3">
        <v>110</v>
      </c>
      <c r="AJ3">
        <v>0</v>
      </c>
      <c r="AK3">
        <v>60</v>
      </c>
      <c r="AL3">
        <v>40</v>
      </c>
      <c r="AM3">
        <v>150</v>
      </c>
      <c r="AN3">
        <v>100</v>
      </c>
      <c r="AO3">
        <v>18</v>
      </c>
      <c r="AP3">
        <v>0</v>
      </c>
      <c r="AQ3">
        <v>1</v>
      </c>
      <c r="AR3">
        <v>15</v>
      </c>
      <c r="AS3">
        <v>500</v>
      </c>
      <c r="AT3">
        <v>3</v>
      </c>
      <c r="AU3" t="s">
        <v>4572</v>
      </c>
      <c r="AV3" t="s">
        <v>4551</v>
      </c>
      <c r="AW3" t="s">
        <v>4551</v>
      </c>
      <c r="AX3" t="s">
        <v>4551</v>
      </c>
      <c r="AY3">
        <v>23</v>
      </c>
      <c r="AZ3">
        <v>11002</v>
      </c>
      <c r="BA3">
        <v>2</v>
      </c>
      <c r="BB3" t="s">
        <v>4552</v>
      </c>
      <c r="BC3" t="s">
        <v>1866</v>
      </c>
      <c r="BD3">
        <v>930008</v>
      </c>
      <c r="BE3" t="s">
        <v>4553</v>
      </c>
      <c r="BF3" t="s">
        <v>4554</v>
      </c>
      <c r="BG3">
        <v>100</v>
      </c>
      <c r="BH3">
        <v>10602</v>
      </c>
    </row>
    <row r="4" spans="1:61" x14ac:dyDescent="0.25">
      <c r="A4">
        <v>1006</v>
      </c>
      <c r="B4" t="s">
        <v>4573</v>
      </c>
      <c r="C4" t="s">
        <v>1724</v>
      </c>
      <c r="D4" t="s">
        <v>4574</v>
      </c>
      <c r="E4" t="s">
        <v>4575</v>
      </c>
      <c r="G4" t="s">
        <v>4545</v>
      </c>
      <c r="H4" t="s">
        <v>4576</v>
      </c>
      <c r="I4">
        <v>1</v>
      </c>
      <c r="J4">
        <v>1</v>
      </c>
      <c r="K4" t="s">
        <v>988</v>
      </c>
      <c r="L4">
        <v>1</v>
      </c>
      <c r="M4">
        <v>106</v>
      </c>
      <c r="N4" t="s">
        <v>989</v>
      </c>
      <c r="O4">
        <v>10</v>
      </c>
      <c r="P4">
        <v>0</v>
      </c>
      <c r="Q4">
        <v>5</v>
      </c>
      <c r="R4">
        <v>900783</v>
      </c>
      <c r="S4">
        <v>3</v>
      </c>
      <c r="T4">
        <v>1011</v>
      </c>
      <c r="U4">
        <v>900785</v>
      </c>
      <c r="V4">
        <v>900786</v>
      </c>
      <c r="W4" t="s">
        <v>4577</v>
      </c>
      <c r="X4" t="s">
        <v>4578</v>
      </c>
      <c r="Y4" t="s">
        <v>329</v>
      </c>
      <c r="Z4">
        <v>900780</v>
      </c>
      <c r="AA4">
        <v>10</v>
      </c>
      <c r="AB4">
        <v>10</v>
      </c>
      <c r="AC4">
        <v>5</v>
      </c>
      <c r="AD4">
        <v>5</v>
      </c>
      <c r="AE4">
        <v>110</v>
      </c>
      <c r="AF4">
        <v>120</v>
      </c>
      <c r="AG4">
        <v>110</v>
      </c>
      <c r="AH4">
        <v>105</v>
      </c>
      <c r="AI4">
        <v>70</v>
      </c>
      <c r="AJ4">
        <v>0</v>
      </c>
      <c r="AK4">
        <v>15</v>
      </c>
      <c r="AL4">
        <v>20</v>
      </c>
      <c r="AM4">
        <v>150</v>
      </c>
      <c r="AN4">
        <v>100</v>
      </c>
      <c r="AO4">
        <v>15</v>
      </c>
      <c r="AP4">
        <v>0</v>
      </c>
      <c r="AQ4">
        <v>2</v>
      </c>
      <c r="AR4">
        <v>15</v>
      </c>
      <c r="AS4">
        <v>500</v>
      </c>
      <c r="AT4">
        <v>7</v>
      </c>
      <c r="AU4" t="s">
        <v>4579</v>
      </c>
      <c r="AV4" t="s">
        <v>4551</v>
      </c>
      <c r="AW4" t="s">
        <v>4551</v>
      </c>
      <c r="AX4" t="s">
        <v>4551</v>
      </c>
      <c r="AY4">
        <v>27</v>
      </c>
      <c r="AZ4">
        <v>11002</v>
      </c>
      <c r="BA4">
        <v>1</v>
      </c>
      <c r="BB4" t="s">
        <v>4552</v>
      </c>
      <c r="BC4" t="s">
        <v>1866</v>
      </c>
      <c r="BD4">
        <v>930006</v>
      </c>
      <c r="BE4" t="s">
        <v>4553</v>
      </c>
      <c r="BF4" t="s">
        <v>4554</v>
      </c>
      <c r="BG4">
        <v>100</v>
      </c>
      <c r="BH4">
        <v>10603</v>
      </c>
    </row>
    <row r="5" spans="1:61" x14ac:dyDescent="0.25">
      <c r="A5">
        <v>1015</v>
      </c>
      <c r="B5" t="s">
        <v>4580</v>
      </c>
      <c r="C5" t="s">
        <v>1726</v>
      </c>
      <c r="D5" t="s">
        <v>4581</v>
      </c>
      <c r="E5" t="s">
        <v>4582</v>
      </c>
      <c r="G5" t="s">
        <v>4545</v>
      </c>
      <c r="H5" t="s">
        <v>4583</v>
      </c>
      <c r="I5">
        <v>1</v>
      </c>
      <c r="J5">
        <v>1</v>
      </c>
      <c r="K5" t="s">
        <v>988</v>
      </c>
      <c r="L5">
        <v>1</v>
      </c>
      <c r="M5">
        <v>115</v>
      </c>
      <c r="N5" t="s">
        <v>989</v>
      </c>
      <c r="O5">
        <v>10</v>
      </c>
      <c r="P5">
        <v>0</v>
      </c>
      <c r="Q5">
        <v>5</v>
      </c>
      <c r="R5">
        <v>750001</v>
      </c>
      <c r="S5">
        <v>1</v>
      </c>
      <c r="T5">
        <v>750003</v>
      </c>
      <c r="U5">
        <v>750008</v>
      </c>
      <c r="V5">
        <v>750009</v>
      </c>
      <c r="W5" t="s">
        <v>4584</v>
      </c>
      <c r="X5" t="s">
        <v>4585</v>
      </c>
      <c r="Y5" t="s">
        <v>4586</v>
      </c>
      <c r="Z5">
        <v>750007</v>
      </c>
      <c r="AA5">
        <v>10</v>
      </c>
      <c r="AB5">
        <v>10</v>
      </c>
      <c r="AC5">
        <v>5</v>
      </c>
      <c r="AD5">
        <v>5</v>
      </c>
      <c r="AE5">
        <v>120</v>
      </c>
      <c r="AF5">
        <v>140</v>
      </c>
      <c r="AG5">
        <v>85</v>
      </c>
      <c r="AH5">
        <v>135</v>
      </c>
      <c r="AI5">
        <v>60</v>
      </c>
      <c r="AJ5">
        <v>0</v>
      </c>
      <c r="AK5">
        <v>100</v>
      </c>
      <c r="AL5">
        <v>30</v>
      </c>
      <c r="AM5">
        <v>200</v>
      </c>
      <c r="AN5">
        <v>100</v>
      </c>
      <c r="AO5">
        <v>15</v>
      </c>
      <c r="AP5">
        <v>0</v>
      </c>
      <c r="AQ5">
        <v>2</v>
      </c>
      <c r="AR5">
        <v>15</v>
      </c>
      <c r="AS5">
        <v>500</v>
      </c>
      <c r="AT5">
        <v>7</v>
      </c>
      <c r="AU5" t="s">
        <v>4587</v>
      </c>
      <c r="AV5" t="s">
        <v>4551</v>
      </c>
      <c r="AW5" t="s">
        <v>4551</v>
      </c>
      <c r="AX5" t="s">
        <v>4551</v>
      </c>
      <c r="AY5">
        <v>126</v>
      </c>
      <c r="AZ5">
        <v>11002</v>
      </c>
      <c r="BA5">
        <v>1</v>
      </c>
      <c r="BB5" t="s">
        <v>4552</v>
      </c>
      <c r="BC5" t="s">
        <v>1866</v>
      </c>
      <c r="BD5">
        <v>930016</v>
      </c>
      <c r="BE5" t="s">
        <v>4553</v>
      </c>
      <c r="BF5" t="s">
        <v>4554</v>
      </c>
      <c r="BG5">
        <v>100</v>
      </c>
      <c r="BH5">
        <v>10603</v>
      </c>
    </row>
    <row r="6" spans="1:61" x14ac:dyDescent="0.25">
      <c r="A6">
        <v>1019</v>
      </c>
      <c r="B6" t="s">
        <v>6528</v>
      </c>
      <c r="C6" t="s">
        <v>6529</v>
      </c>
      <c r="D6" t="s">
        <v>6530</v>
      </c>
      <c r="E6" t="s">
        <v>6531</v>
      </c>
      <c r="G6" t="s">
        <v>4545</v>
      </c>
      <c r="H6" t="s">
        <v>6532</v>
      </c>
      <c r="I6">
        <v>1</v>
      </c>
      <c r="J6">
        <v>1</v>
      </c>
      <c r="K6" t="s">
        <v>1009</v>
      </c>
      <c r="L6">
        <v>1</v>
      </c>
      <c r="M6">
        <v>119</v>
      </c>
      <c r="N6" t="s">
        <v>989</v>
      </c>
      <c r="O6">
        <v>10</v>
      </c>
      <c r="P6">
        <v>0</v>
      </c>
      <c r="Q6">
        <v>5</v>
      </c>
      <c r="R6">
        <v>750397</v>
      </c>
      <c r="S6">
        <v>1</v>
      </c>
      <c r="T6">
        <v>750399</v>
      </c>
      <c r="U6">
        <v>750400</v>
      </c>
      <c r="V6">
        <v>750401</v>
      </c>
      <c r="W6" t="s">
        <v>6533</v>
      </c>
      <c r="X6" t="s">
        <v>6534</v>
      </c>
      <c r="Y6" t="s">
        <v>329</v>
      </c>
      <c r="Z6">
        <v>750407</v>
      </c>
      <c r="AA6">
        <v>10</v>
      </c>
      <c r="AB6">
        <v>10</v>
      </c>
      <c r="AC6">
        <v>5</v>
      </c>
      <c r="AD6">
        <v>5</v>
      </c>
      <c r="AE6">
        <v>165</v>
      </c>
      <c r="AF6">
        <v>118</v>
      </c>
      <c r="AG6">
        <v>80</v>
      </c>
      <c r="AH6">
        <v>110</v>
      </c>
      <c r="AI6">
        <v>50</v>
      </c>
      <c r="AJ6">
        <v>75</v>
      </c>
      <c r="AK6">
        <v>180</v>
      </c>
      <c r="AL6">
        <v>20</v>
      </c>
      <c r="AM6">
        <v>150</v>
      </c>
      <c r="AN6">
        <v>100</v>
      </c>
      <c r="AO6">
        <v>10</v>
      </c>
      <c r="AP6">
        <v>0</v>
      </c>
      <c r="AQ6">
        <v>2</v>
      </c>
      <c r="AR6">
        <v>15</v>
      </c>
      <c r="AS6">
        <v>500</v>
      </c>
      <c r="AT6">
        <v>6</v>
      </c>
      <c r="AU6" t="s">
        <v>6535</v>
      </c>
      <c r="AV6" t="s">
        <v>4551</v>
      </c>
      <c r="AW6" t="s">
        <v>4551</v>
      </c>
      <c r="AX6" t="s">
        <v>4551</v>
      </c>
      <c r="AY6">
        <v>33</v>
      </c>
      <c r="AZ6">
        <v>11002</v>
      </c>
      <c r="BA6">
        <v>1</v>
      </c>
      <c r="BB6" t="s">
        <v>4552</v>
      </c>
      <c r="BC6" t="s">
        <v>1866</v>
      </c>
      <c r="BD6">
        <v>930020</v>
      </c>
      <c r="BE6" t="s">
        <v>4553</v>
      </c>
      <c r="BF6" t="s">
        <v>4554</v>
      </c>
      <c r="BG6">
        <v>100</v>
      </c>
      <c r="BH6">
        <v>10603</v>
      </c>
      <c r="BI6">
        <v>0</v>
      </c>
    </row>
    <row r="7" spans="1:61" x14ac:dyDescent="0.25">
      <c r="A7">
        <v>1005</v>
      </c>
      <c r="B7" t="s">
        <v>4588</v>
      </c>
      <c r="C7" t="s">
        <v>994</v>
      </c>
      <c r="D7" t="s">
        <v>994</v>
      </c>
      <c r="E7" t="s">
        <v>4589</v>
      </c>
      <c r="G7" t="s">
        <v>4545</v>
      </c>
      <c r="H7" t="s">
        <v>4590</v>
      </c>
      <c r="I7">
        <v>1</v>
      </c>
      <c r="J7">
        <v>1</v>
      </c>
      <c r="K7" t="s">
        <v>988</v>
      </c>
      <c r="L7">
        <v>1</v>
      </c>
      <c r="M7">
        <v>105</v>
      </c>
      <c r="N7" t="s">
        <v>989</v>
      </c>
      <c r="O7">
        <v>10</v>
      </c>
      <c r="P7">
        <v>0</v>
      </c>
      <c r="Q7">
        <v>5</v>
      </c>
      <c r="R7">
        <v>900737</v>
      </c>
      <c r="S7">
        <v>3</v>
      </c>
      <c r="T7">
        <v>1010</v>
      </c>
      <c r="U7">
        <v>900733</v>
      </c>
      <c r="V7">
        <v>900734</v>
      </c>
      <c r="W7" t="s">
        <v>4591</v>
      </c>
      <c r="X7" t="s">
        <v>4592</v>
      </c>
      <c r="Y7" t="s">
        <v>4593</v>
      </c>
      <c r="Z7">
        <v>900730</v>
      </c>
      <c r="AA7">
        <v>10</v>
      </c>
      <c r="AB7">
        <v>10</v>
      </c>
      <c r="AC7">
        <v>5</v>
      </c>
      <c r="AD7">
        <v>5</v>
      </c>
      <c r="AE7">
        <v>110</v>
      </c>
      <c r="AF7">
        <v>135</v>
      </c>
      <c r="AG7">
        <v>70</v>
      </c>
      <c r="AH7">
        <v>100</v>
      </c>
      <c r="AI7">
        <v>95</v>
      </c>
      <c r="AJ7">
        <v>0</v>
      </c>
      <c r="AK7">
        <v>15</v>
      </c>
      <c r="AL7">
        <v>20</v>
      </c>
      <c r="AM7">
        <v>150</v>
      </c>
      <c r="AN7">
        <v>100</v>
      </c>
      <c r="AO7">
        <v>15</v>
      </c>
      <c r="AP7">
        <v>0</v>
      </c>
      <c r="AQ7">
        <v>2</v>
      </c>
      <c r="AR7">
        <v>15</v>
      </c>
      <c r="AS7">
        <v>500</v>
      </c>
      <c r="AT7">
        <v>7</v>
      </c>
      <c r="AU7" t="s">
        <v>4594</v>
      </c>
      <c r="AV7" t="s">
        <v>4551</v>
      </c>
      <c r="AW7" t="s">
        <v>4551</v>
      </c>
      <c r="AX7" t="s">
        <v>4551</v>
      </c>
      <c r="AY7">
        <v>18</v>
      </c>
      <c r="AZ7">
        <v>11002</v>
      </c>
      <c r="BA7">
        <v>1</v>
      </c>
      <c r="BB7" t="s">
        <v>4552</v>
      </c>
      <c r="BC7" t="s">
        <v>1866</v>
      </c>
      <c r="BD7">
        <v>930005</v>
      </c>
      <c r="BE7" t="s">
        <v>4553</v>
      </c>
      <c r="BF7" t="s">
        <v>4554</v>
      </c>
      <c r="BG7">
        <v>100</v>
      </c>
      <c r="BH7">
        <v>10603</v>
      </c>
    </row>
    <row r="8" spans="1:61" x14ac:dyDescent="0.25">
      <c r="A8">
        <v>1017</v>
      </c>
      <c r="B8" t="s">
        <v>5713</v>
      </c>
      <c r="C8" t="s">
        <v>5714</v>
      </c>
      <c r="D8" t="s">
        <v>5714</v>
      </c>
      <c r="E8" t="s">
        <v>5715</v>
      </c>
      <c r="G8" t="s">
        <v>4545</v>
      </c>
      <c r="H8" t="s">
        <v>5716</v>
      </c>
      <c r="I8">
        <v>1</v>
      </c>
      <c r="J8">
        <v>1</v>
      </c>
      <c r="K8" t="s">
        <v>988</v>
      </c>
      <c r="L8">
        <v>1</v>
      </c>
      <c r="M8">
        <v>117</v>
      </c>
      <c r="N8" t="s">
        <v>989</v>
      </c>
      <c r="O8">
        <v>10</v>
      </c>
      <c r="P8">
        <v>0</v>
      </c>
      <c r="Q8">
        <v>5</v>
      </c>
      <c r="R8">
        <v>750276</v>
      </c>
      <c r="S8">
        <v>1</v>
      </c>
      <c r="T8">
        <v>750278</v>
      </c>
      <c r="U8">
        <v>750279</v>
      </c>
      <c r="V8">
        <v>750280</v>
      </c>
      <c r="W8" t="s">
        <v>5717</v>
      </c>
      <c r="X8" t="s">
        <v>5718</v>
      </c>
      <c r="Y8" t="s">
        <v>5719</v>
      </c>
      <c r="Z8">
        <v>750294</v>
      </c>
      <c r="AA8">
        <v>10</v>
      </c>
      <c r="AB8">
        <v>10</v>
      </c>
      <c r="AC8">
        <v>5</v>
      </c>
      <c r="AD8">
        <v>5</v>
      </c>
      <c r="AE8">
        <v>120</v>
      </c>
      <c r="AF8">
        <v>130</v>
      </c>
      <c r="AG8">
        <v>80</v>
      </c>
      <c r="AH8">
        <v>80</v>
      </c>
      <c r="AI8">
        <v>110</v>
      </c>
      <c r="AJ8">
        <v>0</v>
      </c>
      <c r="AK8">
        <v>15</v>
      </c>
      <c r="AL8">
        <v>20</v>
      </c>
      <c r="AM8">
        <v>150</v>
      </c>
      <c r="AN8">
        <v>100</v>
      </c>
      <c r="AO8">
        <v>15</v>
      </c>
      <c r="AP8">
        <v>0</v>
      </c>
      <c r="AQ8">
        <v>2</v>
      </c>
      <c r="AR8">
        <v>15</v>
      </c>
      <c r="AS8">
        <v>500</v>
      </c>
      <c r="AT8">
        <v>7</v>
      </c>
      <c r="AU8" t="s">
        <v>5720</v>
      </c>
      <c r="AV8" t="s">
        <v>4551</v>
      </c>
      <c r="AW8" t="s">
        <v>4551</v>
      </c>
      <c r="AX8" t="s">
        <v>4551</v>
      </c>
      <c r="AY8">
        <v>147</v>
      </c>
      <c r="AZ8">
        <v>11002</v>
      </c>
      <c r="BA8">
        <v>1</v>
      </c>
      <c r="BB8" t="s">
        <v>4552</v>
      </c>
      <c r="BC8" t="s">
        <v>329</v>
      </c>
      <c r="BD8">
        <v>930018</v>
      </c>
      <c r="BE8" t="s">
        <v>4553</v>
      </c>
      <c r="BF8" t="s">
        <v>4554</v>
      </c>
      <c r="BG8">
        <v>100</v>
      </c>
      <c r="BH8">
        <v>10603</v>
      </c>
    </row>
    <row r="9" spans="1:61" x14ac:dyDescent="0.25">
      <c r="A9">
        <v>1009</v>
      </c>
      <c r="B9" t="s">
        <v>4595</v>
      </c>
      <c r="C9" t="s">
        <v>997</v>
      </c>
      <c r="D9" t="s">
        <v>997</v>
      </c>
      <c r="E9" t="s">
        <v>4596</v>
      </c>
      <c r="G9" t="s">
        <v>4545</v>
      </c>
      <c r="H9" t="s">
        <v>4597</v>
      </c>
      <c r="I9">
        <v>1</v>
      </c>
      <c r="J9">
        <v>1</v>
      </c>
      <c r="K9" t="s">
        <v>988</v>
      </c>
      <c r="L9">
        <v>1</v>
      </c>
      <c r="M9">
        <v>109</v>
      </c>
      <c r="N9" t="s">
        <v>989</v>
      </c>
      <c r="O9">
        <v>10</v>
      </c>
      <c r="P9">
        <v>0</v>
      </c>
      <c r="Q9">
        <v>5</v>
      </c>
      <c r="R9">
        <v>900960</v>
      </c>
      <c r="S9">
        <v>3</v>
      </c>
      <c r="T9">
        <v>1012</v>
      </c>
      <c r="U9">
        <v>900962</v>
      </c>
      <c r="V9">
        <v>900963</v>
      </c>
      <c r="W9" t="s">
        <v>4598</v>
      </c>
      <c r="X9" t="s">
        <v>4599</v>
      </c>
      <c r="Y9" t="s">
        <v>329</v>
      </c>
      <c r="Z9">
        <v>900965</v>
      </c>
      <c r="AA9">
        <v>10</v>
      </c>
      <c r="AB9">
        <v>10</v>
      </c>
      <c r="AC9">
        <v>5</v>
      </c>
      <c r="AD9">
        <v>5</v>
      </c>
      <c r="AE9">
        <v>95</v>
      </c>
      <c r="AF9">
        <v>125</v>
      </c>
      <c r="AG9">
        <v>100</v>
      </c>
      <c r="AH9">
        <v>110</v>
      </c>
      <c r="AI9">
        <v>100</v>
      </c>
      <c r="AJ9">
        <v>0</v>
      </c>
      <c r="AK9">
        <v>15</v>
      </c>
      <c r="AL9">
        <v>20</v>
      </c>
      <c r="AM9">
        <v>150</v>
      </c>
      <c r="AN9">
        <v>100</v>
      </c>
      <c r="AO9">
        <v>15</v>
      </c>
      <c r="AP9">
        <v>0</v>
      </c>
      <c r="AQ9">
        <v>2</v>
      </c>
      <c r="AR9">
        <v>15</v>
      </c>
      <c r="AS9">
        <v>500</v>
      </c>
      <c r="AT9">
        <v>7</v>
      </c>
      <c r="AU9" t="s">
        <v>4600</v>
      </c>
      <c r="AV9" t="s">
        <v>4551</v>
      </c>
      <c r="AW9" t="s">
        <v>4551</v>
      </c>
      <c r="AX9" t="s">
        <v>4551</v>
      </c>
      <c r="AY9">
        <v>24</v>
      </c>
      <c r="AZ9">
        <v>11002</v>
      </c>
      <c r="BA9">
        <v>1</v>
      </c>
      <c r="BB9" t="s">
        <v>4601</v>
      </c>
      <c r="BC9" t="s">
        <v>1866</v>
      </c>
      <c r="BD9">
        <v>930009</v>
      </c>
      <c r="BE9" t="s">
        <v>4553</v>
      </c>
      <c r="BF9" t="s">
        <v>4554</v>
      </c>
      <c r="BG9">
        <v>100</v>
      </c>
      <c r="BH9">
        <v>10604</v>
      </c>
    </row>
    <row r="10" spans="1:61" x14ac:dyDescent="0.25">
      <c r="A10">
        <v>1002</v>
      </c>
      <c r="B10" t="s">
        <v>4602</v>
      </c>
      <c r="C10" t="s">
        <v>990</v>
      </c>
      <c r="D10" t="s">
        <v>990</v>
      </c>
      <c r="E10" t="s">
        <v>4603</v>
      </c>
      <c r="G10" t="s">
        <v>4545</v>
      </c>
      <c r="H10" t="s">
        <v>4604</v>
      </c>
      <c r="I10">
        <v>1</v>
      </c>
      <c r="J10">
        <v>1</v>
      </c>
      <c r="K10" t="s">
        <v>991</v>
      </c>
      <c r="L10">
        <v>1</v>
      </c>
      <c r="M10">
        <v>102</v>
      </c>
      <c r="N10" t="s">
        <v>989</v>
      </c>
      <c r="O10">
        <v>10</v>
      </c>
      <c r="P10">
        <v>0</v>
      </c>
      <c r="Q10">
        <v>5</v>
      </c>
      <c r="R10">
        <v>600301</v>
      </c>
      <c r="S10">
        <v>1</v>
      </c>
      <c r="T10">
        <v>600302</v>
      </c>
      <c r="U10">
        <v>600303</v>
      </c>
      <c r="V10">
        <v>600304</v>
      </c>
      <c r="W10" t="s">
        <v>4605</v>
      </c>
      <c r="X10" t="s">
        <v>4606</v>
      </c>
      <c r="Y10" t="s">
        <v>4607</v>
      </c>
      <c r="Z10">
        <v>600309</v>
      </c>
      <c r="AA10">
        <v>10</v>
      </c>
      <c r="AB10">
        <v>10</v>
      </c>
      <c r="AC10">
        <v>5</v>
      </c>
      <c r="AD10">
        <v>5</v>
      </c>
      <c r="AE10">
        <v>125</v>
      </c>
      <c r="AF10">
        <v>105</v>
      </c>
      <c r="AG10">
        <v>88</v>
      </c>
      <c r="AH10">
        <v>95</v>
      </c>
      <c r="AI10">
        <v>95</v>
      </c>
      <c r="AJ10">
        <v>0</v>
      </c>
      <c r="AK10">
        <v>15</v>
      </c>
      <c r="AL10">
        <v>40</v>
      </c>
      <c r="AM10">
        <v>150</v>
      </c>
      <c r="AN10">
        <v>100</v>
      </c>
      <c r="AO10">
        <v>15</v>
      </c>
      <c r="AP10">
        <v>0</v>
      </c>
      <c r="AQ10">
        <v>2</v>
      </c>
      <c r="AR10">
        <v>15</v>
      </c>
      <c r="AS10">
        <v>500</v>
      </c>
      <c r="AT10">
        <v>5</v>
      </c>
      <c r="AU10" t="s">
        <v>4572</v>
      </c>
      <c r="AV10" t="s">
        <v>4551</v>
      </c>
      <c r="AW10" t="s">
        <v>4551</v>
      </c>
      <c r="AX10" t="s">
        <v>4551</v>
      </c>
      <c r="AY10">
        <v>8</v>
      </c>
      <c r="AZ10">
        <v>11002</v>
      </c>
      <c r="BA10">
        <v>2</v>
      </c>
      <c r="BB10" t="s">
        <v>4552</v>
      </c>
      <c r="BC10" t="s">
        <v>1866</v>
      </c>
      <c r="BD10">
        <v>930002</v>
      </c>
      <c r="BE10" t="s">
        <v>4553</v>
      </c>
      <c r="BF10" t="s">
        <v>4554</v>
      </c>
      <c r="BG10">
        <v>100</v>
      </c>
      <c r="BH10">
        <v>10602</v>
      </c>
    </row>
    <row r="11" spans="1:61" x14ac:dyDescent="0.25">
      <c r="A11">
        <v>1010</v>
      </c>
      <c r="B11" t="s">
        <v>4608</v>
      </c>
      <c r="C11" t="s">
        <v>998</v>
      </c>
      <c r="D11" t="s">
        <v>4609</v>
      </c>
      <c r="E11" t="s">
        <v>4610</v>
      </c>
      <c r="G11" t="s">
        <v>4545</v>
      </c>
      <c r="H11" t="s">
        <v>4611</v>
      </c>
      <c r="I11">
        <v>1</v>
      </c>
      <c r="J11">
        <v>1</v>
      </c>
      <c r="K11" t="s">
        <v>988</v>
      </c>
      <c r="L11">
        <v>1</v>
      </c>
      <c r="M11">
        <v>110</v>
      </c>
      <c r="N11" t="s">
        <v>989</v>
      </c>
      <c r="O11">
        <v>10</v>
      </c>
      <c r="P11">
        <v>0</v>
      </c>
      <c r="Q11">
        <v>5</v>
      </c>
      <c r="R11">
        <v>901031</v>
      </c>
      <c r="S11">
        <v>1</v>
      </c>
      <c r="T11">
        <v>901032</v>
      </c>
      <c r="U11">
        <v>901033</v>
      </c>
      <c r="V11">
        <v>901034</v>
      </c>
      <c r="W11" t="s">
        <v>4612</v>
      </c>
      <c r="X11" t="s">
        <v>4613</v>
      </c>
      <c r="Y11" t="s">
        <v>4614</v>
      </c>
      <c r="Z11">
        <v>901035</v>
      </c>
      <c r="AA11">
        <v>10</v>
      </c>
      <c r="AB11">
        <v>10</v>
      </c>
      <c r="AC11">
        <v>5</v>
      </c>
      <c r="AD11">
        <v>5</v>
      </c>
      <c r="AE11">
        <v>105</v>
      </c>
      <c r="AF11">
        <v>100</v>
      </c>
      <c r="AG11">
        <v>120</v>
      </c>
      <c r="AH11">
        <v>125</v>
      </c>
      <c r="AI11">
        <v>95</v>
      </c>
      <c r="AJ11">
        <v>0</v>
      </c>
      <c r="AK11">
        <v>15</v>
      </c>
      <c r="AL11">
        <v>20</v>
      </c>
      <c r="AM11">
        <v>150</v>
      </c>
      <c r="AN11">
        <v>100</v>
      </c>
      <c r="AO11">
        <v>15</v>
      </c>
      <c r="AP11">
        <v>0</v>
      </c>
      <c r="AQ11">
        <v>2</v>
      </c>
      <c r="AR11">
        <v>15</v>
      </c>
      <c r="AS11">
        <v>500</v>
      </c>
      <c r="AT11">
        <v>7</v>
      </c>
      <c r="AU11" t="s">
        <v>4615</v>
      </c>
      <c r="AV11" t="s">
        <v>4551</v>
      </c>
      <c r="AW11" t="s">
        <v>4551</v>
      </c>
      <c r="AX11" t="s">
        <v>4551</v>
      </c>
      <c r="AY11">
        <v>26</v>
      </c>
      <c r="AZ11">
        <v>11002</v>
      </c>
      <c r="BA11">
        <v>1</v>
      </c>
      <c r="BB11" t="s">
        <v>4552</v>
      </c>
      <c r="BC11" t="s">
        <v>1866</v>
      </c>
      <c r="BD11">
        <v>930010</v>
      </c>
      <c r="BE11" t="s">
        <v>4553</v>
      </c>
      <c r="BF11" t="s">
        <v>4554</v>
      </c>
      <c r="BG11">
        <v>100</v>
      </c>
      <c r="BH11">
        <v>10602</v>
      </c>
    </row>
    <row r="12" spans="1:61" x14ac:dyDescent="0.25">
      <c r="A12">
        <v>1003</v>
      </c>
      <c r="B12" t="s">
        <v>4616</v>
      </c>
      <c r="C12" t="s">
        <v>992</v>
      </c>
      <c r="D12" t="s">
        <v>992</v>
      </c>
      <c r="E12" t="s">
        <v>4617</v>
      </c>
      <c r="G12" t="s">
        <v>4545</v>
      </c>
      <c r="H12" t="s">
        <v>4618</v>
      </c>
      <c r="I12">
        <v>1</v>
      </c>
      <c r="J12">
        <v>1</v>
      </c>
      <c r="K12" t="s">
        <v>988</v>
      </c>
      <c r="L12">
        <v>1</v>
      </c>
      <c r="M12">
        <v>103</v>
      </c>
      <c r="N12" t="s">
        <v>989</v>
      </c>
      <c r="O12">
        <v>10</v>
      </c>
      <c r="P12">
        <v>0</v>
      </c>
      <c r="Q12">
        <v>5</v>
      </c>
      <c r="R12">
        <v>900592</v>
      </c>
      <c r="S12">
        <v>1</v>
      </c>
      <c r="T12">
        <v>900594</v>
      </c>
      <c r="U12">
        <v>900596</v>
      </c>
      <c r="V12">
        <v>900597</v>
      </c>
      <c r="W12" t="s">
        <v>4619</v>
      </c>
      <c r="X12" t="s">
        <v>329</v>
      </c>
      <c r="Y12" t="s">
        <v>4620</v>
      </c>
      <c r="Z12">
        <v>900591</v>
      </c>
      <c r="AA12">
        <v>10</v>
      </c>
      <c r="AB12">
        <v>10</v>
      </c>
      <c r="AC12">
        <v>5</v>
      </c>
      <c r="AD12">
        <v>5</v>
      </c>
      <c r="AE12">
        <v>100</v>
      </c>
      <c r="AF12">
        <v>100</v>
      </c>
      <c r="AG12">
        <v>110</v>
      </c>
      <c r="AH12">
        <v>105</v>
      </c>
      <c r="AI12">
        <v>105</v>
      </c>
      <c r="AJ12">
        <v>0</v>
      </c>
      <c r="AK12">
        <v>15</v>
      </c>
      <c r="AL12">
        <v>30</v>
      </c>
      <c r="AM12">
        <v>150</v>
      </c>
      <c r="AN12">
        <v>100</v>
      </c>
      <c r="AO12">
        <v>15</v>
      </c>
      <c r="AP12">
        <v>0</v>
      </c>
      <c r="AQ12">
        <v>2</v>
      </c>
      <c r="AR12">
        <v>15</v>
      </c>
      <c r="AS12">
        <v>500</v>
      </c>
      <c r="AT12">
        <v>7</v>
      </c>
      <c r="AU12" t="s">
        <v>4621</v>
      </c>
      <c r="AV12" t="s">
        <v>4551</v>
      </c>
      <c r="AW12" t="s">
        <v>4551</v>
      </c>
      <c r="AX12" t="s">
        <v>4551</v>
      </c>
      <c r="AY12">
        <v>11</v>
      </c>
      <c r="AZ12">
        <v>11002</v>
      </c>
      <c r="BA12">
        <v>1</v>
      </c>
      <c r="BB12" t="s">
        <v>4552</v>
      </c>
      <c r="BC12" t="s">
        <v>1866</v>
      </c>
      <c r="BD12">
        <v>930003</v>
      </c>
      <c r="BE12" t="s">
        <v>4553</v>
      </c>
      <c r="BF12" t="s">
        <v>4554</v>
      </c>
      <c r="BG12">
        <v>100</v>
      </c>
      <c r="BH12">
        <v>10602</v>
      </c>
    </row>
    <row r="13" spans="1:61" x14ac:dyDescent="0.25">
      <c r="A13">
        <v>1018</v>
      </c>
      <c r="B13" t="s">
        <v>6414</v>
      </c>
      <c r="C13" t="s">
        <v>6415</v>
      </c>
      <c r="D13" t="s">
        <v>6415</v>
      </c>
      <c r="E13" t="s">
        <v>6416</v>
      </c>
      <c r="G13" t="s">
        <v>4545</v>
      </c>
      <c r="H13" t="s">
        <v>6417</v>
      </c>
      <c r="I13">
        <v>1</v>
      </c>
      <c r="J13">
        <v>1</v>
      </c>
      <c r="K13" t="s">
        <v>988</v>
      </c>
      <c r="L13">
        <v>1</v>
      </c>
      <c r="M13">
        <v>118</v>
      </c>
      <c r="N13" t="s">
        <v>989</v>
      </c>
      <c r="O13">
        <v>10</v>
      </c>
      <c r="P13">
        <v>0</v>
      </c>
      <c r="Q13">
        <v>5</v>
      </c>
      <c r="R13">
        <v>750363</v>
      </c>
      <c r="S13">
        <v>1</v>
      </c>
      <c r="T13">
        <v>750365</v>
      </c>
      <c r="U13">
        <v>750366</v>
      </c>
      <c r="V13">
        <v>750367</v>
      </c>
      <c r="W13" t="s">
        <v>6418</v>
      </c>
      <c r="X13" t="s">
        <v>6419</v>
      </c>
      <c r="Y13" t="s">
        <v>6420</v>
      </c>
      <c r="Z13">
        <v>750370</v>
      </c>
      <c r="AA13">
        <v>10</v>
      </c>
      <c r="AB13">
        <v>10</v>
      </c>
      <c r="AC13">
        <v>5</v>
      </c>
      <c r="AD13">
        <v>5</v>
      </c>
      <c r="AE13">
        <v>80</v>
      </c>
      <c r="AF13">
        <v>100</v>
      </c>
      <c r="AG13">
        <v>95</v>
      </c>
      <c r="AH13">
        <v>150</v>
      </c>
      <c r="AI13">
        <v>125</v>
      </c>
      <c r="AJ13">
        <v>0</v>
      </c>
      <c r="AK13">
        <v>200</v>
      </c>
      <c r="AL13">
        <v>40</v>
      </c>
      <c r="AM13">
        <v>150</v>
      </c>
      <c r="AN13">
        <v>100</v>
      </c>
      <c r="AO13">
        <v>15</v>
      </c>
      <c r="AP13">
        <v>0</v>
      </c>
      <c r="AQ13">
        <v>2</v>
      </c>
      <c r="AR13">
        <v>15</v>
      </c>
      <c r="AS13">
        <v>500</v>
      </c>
      <c r="AT13">
        <v>7</v>
      </c>
      <c r="AU13" t="s">
        <v>6421</v>
      </c>
      <c r="AV13" t="s">
        <v>4551</v>
      </c>
      <c r="AW13" t="s">
        <v>4551</v>
      </c>
      <c r="AX13" t="s">
        <v>4551</v>
      </c>
      <c r="AY13">
        <v>157</v>
      </c>
      <c r="AZ13">
        <v>11002</v>
      </c>
      <c r="BA13">
        <v>1</v>
      </c>
      <c r="BB13" t="s">
        <v>4552</v>
      </c>
      <c r="BC13" t="s">
        <v>1866</v>
      </c>
      <c r="BD13">
        <v>930019</v>
      </c>
      <c r="BE13" t="s">
        <v>4553</v>
      </c>
      <c r="BF13" t="s">
        <v>4554</v>
      </c>
      <c r="BG13">
        <v>100</v>
      </c>
      <c r="BH13">
        <v>10602</v>
      </c>
      <c r="BI13">
        <v>0</v>
      </c>
    </row>
    <row r="14" spans="1:61" x14ac:dyDescent="0.25">
      <c r="A14">
        <v>1004</v>
      </c>
      <c r="B14" t="s">
        <v>4622</v>
      </c>
      <c r="C14" t="s">
        <v>993</v>
      </c>
      <c r="D14" t="s">
        <v>993</v>
      </c>
      <c r="E14" t="s">
        <v>4623</v>
      </c>
      <c r="G14" t="s">
        <v>4545</v>
      </c>
      <c r="H14" t="s">
        <v>4624</v>
      </c>
      <c r="I14">
        <v>1</v>
      </c>
      <c r="J14">
        <v>1</v>
      </c>
      <c r="K14" t="s">
        <v>988</v>
      </c>
      <c r="L14">
        <v>1</v>
      </c>
      <c r="M14">
        <v>104</v>
      </c>
      <c r="N14" t="s">
        <v>989</v>
      </c>
      <c r="O14">
        <v>10</v>
      </c>
      <c r="P14">
        <v>0</v>
      </c>
      <c r="Q14">
        <v>5</v>
      </c>
      <c r="R14">
        <v>900667</v>
      </c>
      <c r="S14">
        <v>2</v>
      </c>
      <c r="T14">
        <v>30007</v>
      </c>
      <c r="U14">
        <v>900644</v>
      </c>
      <c r="V14">
        <v>900645</v>
      </c>
      <c r="W14" t="s">
        <v>4625</v>
      </c>
      <c r="X14" t="s">
        <v>329</v>
      </c>
      <c r="Y14" t="s">
        <v>329</v>
      </c>
      <c r="Z14">
        <v>900536</v>
      </c>
      <c r="AA14">
        <v>10</v>
      </c>
      <c r="AB14">
        <v>10</v>
      </c>
      <c r="AC14">
        <v>5</v>
      </c>
      <c r="AD14">
        <v>5</v>
      </c>
      <c r="AE14">
        <v>120</v>
      </c>
      <c r="AF14">
        <v>105</v>
      </c>
      <c r="AG14">
        <v>95</v>
      </c>
      <c r="AH14">
        <v>95</v>
      </c>
      <c r="AI14">
        <v>95</v>
      </c>
      <c r="AJ14">
        <v>0</v>
      </c>
      <c r="AK14">
        <v>15</v>
      </c>
      <c r="AL14">
        <v>20</v>
      </c>
      <c r="AM14">
        <v>150</v>
      </c>
      <c r="AN14">
        <v>100</v>
      </c>
      <c r="AO14">
        <v>15</v>
      </c>
      <c r="AP14">
        <v>0</v>
      </c>
      <c r="AQ14">
        <v>2</v>
      </c>
      <c r="AR14">
        <v>15</v>
      </c>
      <c r="AS14">
        <v>500</v>
      </c>
      <c r="AT14">
        <v>7</v>
      </c>
      <c r="AU14" t="s">
        <v>4626</v>
      </c>
      <c r="AV14" t="s">
        <v>4551</v>
      </c>
      <c r="AW14" t="s">
        <v>4551</v>
      </c>
      <c r="AX14" t="s">
        <v>4551</v>
      </c>
      <c r="AY14">
        <v>17</v>
      </c>
      <c r="AZ14">
        <v>11002</v>
      </c>
      <c r="BA14">
        <v>1</v>
      </c>
      <c r="BB14" t="s">
        <v>4552</v>
      </c>
      <c r="BC14" t="s">
        <v>1866</v>
      </c>
      <c r="BD14">
        <v>930004</v>
      </c>
      <c r="BE14" t="s">
        <v>4553</v>
      </c>
      <c r="BF14" t="s">
        <v>4554</v>
      </c>
      <c r="BG14">
        <v>100</v>
      </c>
      <c r="BH14">
        <v>10602</v>
      </c>
    </row>
    <row r="15" spans="1:61" x14ac:dyDescent="0.25">
      <c r="A15">
        <v>1016</v>
      </c>
      <c r="B15" t="s">
        <v>4542</v>
      </c>
      <c r="C15" t="s">
        <v>4543</v>
      </c>
      <c r="D15" t="s">
        <v>4543</v>
      </c>
      <c r="E15" t="s">
        <v>4544</v>
      </c>
      <c r="G15" t="s">
        <v>4545</v>
      </c>
      <c r="H15" t="s">
        <v>4546</v>
      </c>
      <c r="I15">
        <v>1</v>
      </c>
      <c r="J15">
        <v>1</v>
      </c>
      <c r="K15" t="s">
        <v>988</v>
      </c>
      <c r="L15">
        <v>1</v>
      </c>
      <c r="M15">
        <v>116</v>
      </c>
      <c r="N15" t="s">
        <v>989</v>
      </c>
      <c r="O15">
        <v>10</v>
      </c>
      <c r="P15">
        <v>0</v>
      </c>
      <c r="Q15">
        <v>5</v>
      </c>
      <c r="R15">
        <v>750126</v>
      </c>
      <c r="S15">
        <v>1</v>
      </c>
      <c r="T15">
        <v>750081</v>
      </c>
      <c r="U15">
        <v>750082</v>
      </c>
      <c r="V15">
        <v>750086</v>
      </c>
      <c r="W15" t="s">
        <v>4547</v>
      </c>
      <c r="X15" t="s">
        <v>4548</v>
      </c>
      <c r="Y15" t="s">
        <v>4549</v>
      </c>
      <c r="Z15">
        <v>900536</v>
      </c>
      <c r="AA15">
        <v>10</v>
      </c>
      <c r="AB15">
        <v>10</v>
      </c>
      <c r="AC15">
        <v>5</v>
      </c>
      <c r="AD15">
        <v>5</v>
      </c>
      <c r="AE15">
        <v>125</v>
      </c>
      <c r="AF15">
        <v>98</v>
      </c>
      <c r="AG15">
        <v>108</v>
      </c>
      <c r="AH15">
        <v>85</v>
      </c>
      <c r="AI15">
        <v>105</v>
      </c>
      <c r="AJ15">
        <v>0</v>
      </c>
      <c r="AK15">
        <v>15</v>
      </c>
      <c r="AL15">
        <v>20</v>
      </c>
      <c r="AM15">
        <v>150</v>
      </c>
      <c r="AN15">
        <v>100</v>
      </c>
      <c r="AO15">
        <v>15</v>
      </c>
      <c r="AP15">
        <v>0</v>
      </c>
      <c r="AQ15">
        <v>2</v>
      </c>
      <c r="AR15">
        <v>15</v>
      </c>
      <c r="AS15">
        <v>500</v>
      </c>
      <c r="AT15">
        <v>7</v>
      </c>
      <c r="AU15" t="s">
        <v>4550</v>
      </c>
      <c r="AV15" t="s">
        <v>4551</v>
      </c>
      <c r="AW15" t="s">
        <v>4551</v>
      </c>
      <c r="AX15" t="s">
        <v>4551</v>
      </c>
      <c r="AY15">
        <v>140</v>
      </c>
      <c r="AZ15">
        <v>11002</v>
      </c>
      <c r="BA15">
        <v>1</v>
      </c>
      <c r="BB15" t="s">
        <v>4552</v>
      </c>
      <c r="BC15" t="s">
        <v>1866</v>
      </c>
      <c r="BD15">
        <v>930017</v>
      </c>
      <c r="BE15" t="s">
        <v>4553</v>
      </c>
      <c r="BF15" t="s">
        <v>4554</v>
      </c>
      <c r="BG15">
        <v>100</v>
      </c>
      <c r="BH15">
        <v>10602</v>
      </c>
    </row>
    <row r="16" spans="1:61" x14ac:dyDescent="0.25">
      <c r="A16">
        <v>1011</v>
      </c>
      <c r="B16" t="s">
        <v>4627</v>
      </c>
      <c r="C16" t="s">
        <v>999</v>
      </c>
      <c r="D16" t="s">
        <v>999</v>
      </c>
      <c r="E16" t="s">
        <v>4628</v>
      </c>
      <c r="G16" t="s">
        <v>4545</v>
      </c>
      <c r="H16" t="s">
        <v>4629</v>
      </c>
      <c r="I16">
        <v>1</v>
      </c>
      <c r="J16">
        <v>1</v>
      </c>
      <c r="K16" t="s">
        <v>1000</v>
      </c>
      <c r="L16">
        <v>1</v>
      </c>
      <c r="M16">
        <v>111</v>
      </c>
      <c r="N16" t="s">
        <v>989</v>
      </c>
      <c r="O16">
        <v>10</v>
      </c>
      <c r="P16">
        <v>0</v>
      </c>
      <c r="Q16">
        <v>5</v>
      </c>
      <c r="R16">
        <v>901200</v>
      </c>
      <c r="S16">
        <v>2</v>
      </c>
      <c r="T16">
        <v>30009</v>
      </c>
      <c r="U16">
        <v>901225</v>
      </c>
      <c r="V16">
        <v>901226</v>
      </c>
      <c r="W16" t="s">
        <v>4630</v>
      </c>
      <c r="X16" t="s">
        <v>4631</v>
      </c>
      <c r="Y16" t="s">
        <v>4632</v>
      </c>
      <c r="Z16">
        <v>901223</v>
      </c>
      <c r="AA16">
        <v>10</v>
      </c>
      <c r="AB16">
        <v>10</v>
      </c>
      <c r="AC16">
        <v>5</v>
      </c>
      <c r="AD16">
        <v>5</v>
      </c>
      <c r="AE16">
        <v>130</v>
      </c>
      <c r="AF16">
        <v>95</v>
      </c>
      <c r="AG16">
        <v>110</v>
      </c>
      <c r="AH16">
        <v>110</v>
      </c>
      <c r="AI16">
        <v>80</v>
      </c>
      <c r="AJ16">
        <v>48</v>
      </c>
      <c r="AK16">
        <v>15</v>
      </c>
      <c r="AL16">
        <v>20</v>
      </c>
      <c r="AM16">
        <v>150</v>
      </c>
      <c r="AN16">
        <v>100</v>
      </c>
      <c r="AO16">
        <v>15</v>
      </c>
      <c r="AP16">
        <v>0</v>
      </c>
      <c r="AQ16">
        <v>2</v>
      </c>
      <c r="AR16">
        <v>15</v>
      </c>
      <c r="AS16">
        <v>500</v>
      </c>
      <c r="AT16">
        <v>7</v>
      </c>
      <c r="AU16" t="s">
        <v>4633</v>
      </c>
      <c r="AV16" t="s">
        <v>4551</v>
      </c>
      <c r="AW16" t="s">
        <v>4551</v>
      </c>
      <c r="AX16" t="s">
        <v>4551</v>
      </c>
      <c r="AY16">
        <v>35</v>
      </c>
      <c r="AZ16">
        <v>11002</v>
      </c>
      <c r="BA16">
        <v>1</v>
      </c>
      <c r="BB16" t="s">
        <v>4552</v>
      </c>
      <c r="BC16" t="s">
        <v>1866</v>
      </c>
      <c r="BD16">
        <v>930011</v>
      </c>
      <c r="BE16" t="s">
        <v>4553</v>
      </c>
      <c r="BF16" t="s">
        <v>4554</v>
      </c>
      <c r="BG16">
        <v>100</v>
      </c>
      <c r="BH16">
        <v>10604</v>
      </c>
    </row>
    <row r="17" spans="1:61" x14ac:dyDescent="0.25">
      <c r="A17">
        <v>1013</v>
      </c>
      <c r="B17" t="s">
        <v>4634</v>
      </c>
      <c r="C17" t="s">
        <v>1002</v>
      </c>
      <c r="D17" t="s">
        <v>1002</v>
      </c>
      <c r="E17" t="s">
        <v>4635</v>
      </c>
      <c r="G17" t="s">
        <v>4545</v>
      </c>
      <c r="H17" t="s">
        <v>4636</v>
      </c>
      <c r="I17">
        <v>3</v>
      </c>
      <c r="J17">
        <v>1</v>
      </c>
      <c r="K17" t="s">
        <v>988</v>
      </c>
      <c r="L17">
        <v>1</v>
      </c>
      <c r="M17">
        <v>113</v>
      </c>
      <c r="N17" t="s">
        <v>989</v>
      </c>
      <c r="O17">
        <v>8</v>
      </c>
      <c r="P17">
        <v>0</v>
      </c>
      <c r="Q17">
        <v>5</v>
      </c>
      <c r="R17">
        <v>902356</v>
      </c>
      <c r="S17">
        <v>3</v>
      </c>
      <c r="T17">
        <v>1013</v>
      </c>
      <c r="U17">
        <v>902358</v>
      </c>
      <c r="V17">
        <v>902359</v>
      </c>
      <c r="W17" t="s">
        <v>4637</v>
      </c>
      <c r="X17" t="s">
        <v>329</v>
      </c>
      <c r="Y17" t="s">
        <v>4638</v>
      </c>
      <c r="Z17">
        <v>902361</v>
      </c>
      <c r="AA17">
        <v>10</v>
      </c>
      <c r="AB17">
        <v>10</v>
      </c>
      <c r="AC17">
        <v>5</v>
      </c>
      <c r="AD17">
        <v>5</v>
      </c>
      <c r="AE17">
        <v>90</v>
      </c>
      <c r="AF17">
        <v>132</v>
      </c>
      <c r="AG17">
        <v>72</v>
      </c>
      <c r="AH17">
        <v>128</v>
      </c>
      <c r="AI17">
        <v>55</v>
      </c>
      <c r="AJ17">
        <v>0</v>
      </c>
      <c r="AK17">
        <v>180</v>
      </c>
      <c r="AL17">
        <v>40</v>
      </c>
      <c r="AM17">
        <v>150</v>
      </c>
      <c r="AN17">
        <v>100</v>
      </c>
      <c r="AO17">
        <v>15</v>
      </c>
      <c r="AP17">
        <v>0</v>
      </c>
      <c r="AQ17">
        <v>2</v>
      </c>
      <c r="AR17">
        <v>15</v>
      </c>
      <c r="AS17">
        <v>500</v>
      </c>
      <c r="AT17">
        <v>7</v>
      </c>
      <c r="AU17" t="s">
        <v>4639</v>
      </c>
      <c r="AV17" t="s">
        <v>4551</v>
      </c>
      <c r="AW17" t="s">
        <v>4551</v>
      </c>
      <c r="AX17" t="s">
        <v>4551</v>
      </c>
      <c r="AY17">
        <v>50</v>
      </c>
      <c r="AZ17">
        <v>11002</v>
      </c>
      <c r="BA17">
        <v>1</v>
      </c>
      <c r="BB17" t="s">
        <v>4552</v>
      </c>
      <c r="BC17" t="s">
        <v>1866</v>
      </c>
      <c r="BD17">
        <v>930013</v>
      </c>
      <c r="BE17" t="s">
        <v>4553</v>
      </c>
      <c r="BF17" t="s">
        <v>4554</v>
      </c>
      <c r="BG17">
        <v>100</v>
      </c>
      <c r="BH17">
        <v>10603</v>
      </c>
    </row>
    <row r="18" spans="1:61" x14ac:dyDescent="0.25">
      <c r="A18">
        <v>1014</v>
      </c>
      <c r="B18" t="s">
        <v>4640</v>
      </c>
      <c r="C18" t="s">
        <v>1003</v>
      </c>
      <c r="D18" t="s">
        <v>1003</v>
      </c>
      <c r="E18" t="s">
        <v>4641</v>
      </c>
      <c r="G18" t="s">
        <v>4545</v>
      </c>
      <c r="H18" t="s">
        <v>4642</v>
      </c>
      <c r="I18">
        <v>3</v>
      </c>
      <c r="J18">
        <v>1</v>
      </c>
      <c r="K18" t="s">
        <v>991</v>
      </c>
      <c r="L18">
        <v>1</v>
      </c>
      <c r="M18">
        <v>114</v>
      </c>
      <c r="N18" t="s">
        <v>989</v>
      </c>
      <c r="O18">
        <v>8</v>
      </c>
      <c r="P18">
        <v>0</v>
      </c>
      <c r="Q18">
        <v>5</v>
      </c>
      <c r="R18">
        <v>902431</v>
      </c>
      <c r="S18">
        <v>3</v>
      </c>
      <c r="T18">
        <v>1014</v>
      </c>
      <c r="U18">
        <v>902433</v>
      </c>
      <c r="V18">
        <v>902434</v>
      </c>
      <c r="W18" t="s">
        <v>4643</v>
      </c>
      <c r="X18" t="s">
        <v>4644</v>
      </c>
      <c r="Y18" t="s">
        <v>4645</v>
      </c>
      <c r="Z18">
        <v>902436</v>
      </c>
      <c r="AA18">
        <v>10</v>
      </c>
      <c r="AB18">
        <v>10</v>
      </c>
      <c r="AC18">
        <v>5</v>
      </c>
      <c r="AD18">
        <v>5</v>
      </c>
      <c r="AE18">
        <v>105</v>
      </c>
      <c r="AF18">
        <v>135</v>
      </c>
      <c r="AG18">
        <v>55</v>
      </c>
      <c r="AH18">
        <v>110</v>
      </c>
      <c r="AI18">
        <v>90</v>
      </c>
      <c r="AJ18">
        <v>0</v>
      </c>
      <c r="AK18">
        <v>180</v>
      </c>
      <c r="AL18">
        <v>40</v>
      </c>
      <c r="AM18">
        <v>150</v>
      </c>
      <c r="AN18">
        <v>100</v>
      </c>
      <c r="AO18">
        <v>15</v>
      </c>
      <c r="AP18">
        <v>0</v>
      </c>
      <c r="AQ18">
        <v>1</v>
      </c>
      <c r="AR18">
        <v>15</v>
      </c>
      <c r="AS18">
        <v>500</v>
      </c>
      <c r="AT18">
        <v>4</v>
      </c>
      <c r="AU18" t="s">
        <v>4646</v>
      </c>
      <c r="AV18" t="s">
        <v>4551</v>
      </c>
      <c r="AW18" t="s">
        <v>4551</v>
      </c>
      <c r="AX18" t="s">
        <v>4551</v>
      </c>
      <c r="AY18">
        <v>51</v>
      </c>
      <c r="AZ18">
        <v>11002</v>
      </c>
      <c r="BA18">
        <v>1</v>
      </c>
      <c r="BB18" t="s">
        <v>4552</v>
      </c>
      <c r="BC18" t="s">
        <v>1866</v>
      </c>
      <c r="BD18">
        <v>930014</v>
      </c>
      <c r="BE18" t="s">
        <v>4553</v>
      </c>
      <c r="BF18" t="s">
        <v>4554</v>
      </c>
      <c r="BG18">
        <v>100</v>
      </c>
      <c r="BH18">
        <v>10603</v>
      </c>
    </row>
    <row r="19" spans="1:61" x14ac:dyDescent="0.25">
      <c r="A19">
        <v>1020</v>
      </c>
      <c r="B19" t="s">
        <v>6602</v>
      </c>
      <c r="C19" t="s">
        <v>6603</v>
      </c>
      <c r="D19" t="s">
        <v>6603</v>
      </c>
      <c r="E19" t="s">
        <v>6604</v>
      </c>
      <c r="G19" t="s">
        <v>4545</v>
      </c>
      <c r="H19" t="s">
        <v>6605</v>
      </c>
      <c r="I19">
        <v>3</v>
      </c>
      <c r="J19">
        <v>1</v>
      </c>
      <c r="K19" t="s">
        <v>991</v>
      </c>
      <c r="L19">
        <v>1</v>
      </c>
      <c r="M19">
        <v>120</v>
      </c>
      <c r="N19" t="s">
        <v>989</v>
      </c>
      <c r="O19">
        <v>8</v>
      </c>
      <c r="P19">
        <v>0</v>
      </c>
      <c r="Q19">
        <v>5</v>
      </c>
      <c r="R19">
        <v>750409</v>
      </c>
      <c r="S19">
        <v>1</v>
      </c>
      <c r="T19">
        <v>750411</v>
      </c>
      <c r="U19">
        <v>750412</v>
      </c>
      <c r="V19">
        <v>750413</v>
      </c>
      <c r="W19" t="s">
        <v>6606</v>
      </c>
      <c r="X19" t="s">
        <v>6607</v>
      </c>
      <c r="Y19" t="s">
        <v>6608</v>
      </c>
      <c r="Z19">
        <v>750414</v>
      </c>
      <c r="AA19">
        <v>10</v>
      </c>
      <c r="AB19">
        <v>10</v>
      </c>
      <c r="AC19">
        <v>5</v>
      </c>
      <c r="AD19">
        <v>5</v>
      </c>
      <c r="AE19">
        <v>140</v>
      </c>
      <c r="AF19">
        <v>90</v>
      </c>
      <c r="AG19">
        <v>55</v>
      </c>
      <c r="AH19">
        <v>130</v>
      </c>
      <c r="AI19">
        <v>95</v>
      </c>
      <c r="AJ19">
        <v>0</v>
      </c>
      <c r="AK19">
        <v>180</v>
      </c>
      <c r="AL19">
        <v>40</v>
      </c>
      <c r="AM19">
        <v>150</v>
      </c>
      <c r="AN19">
        <v>100</v>
      </c>
      <c r="AO19">
        <v>18</v>
      </c>
      <c r="AP19">
        <v>0</v>
      </c>
      <c r="AQ19">
        <v>1</v>
      </c>
      <c r="AR19">
        <v>15</v>
      </c>
      <c r="AS19">
        <v>500</v>
      </c>
      <c r="AT19">
        <v>4</v>
      </c>
      <c r="AU19" t="s">
        <v>6609</v>
      </c>
      <c r="AV19" t="s">
        <v>4551</v>
      </c>
      <c r="AW19" t="s">
        <v>4551</v>
      </c>
      <c r="AX19" t="s">
        <v>4551</v>
      </c>
      <c r="AY19">
        <v>166</v>
      </c>
      <c r="AZ19">
        <v>11002</v>
      </c>
      <c r="BA19">
        <v>1</v>
      </c>
      <c r="BB19" t="s">
        <v>4552</v>
      </c>
      <c r="BC19" t="s">
        <v>1866</v>
      </c>
      <c r="BD19">
        <v>930021</v>
      </c>
      <c r="BE19" t="s">
        <v>4553</v>
      </c>
      <c r="BF19" t="s">
        <v>4554</v>
      </c>
      <c r="BG19">
        <v>100</v>
      </c>
      <c r="BH19">
        <v>10603</v>
      </c>
      <c r="BI19">
        <v>0</v>
      </c>
    </row>
    <row r="20" spans="1:61" x14ac:dyDescent="0.25">
      <c r="A20">
        <v>1001</v>
      </c>
      <c r="B20" t="s">
        <v>4647</v>
      </c>
      <c r="C20" t="s">
        <v>987</v>
      </c>
      <c r="D20" t="s">
        <v>987</v>
      </c>
      <c r="E20" t="s">
        <v>4648</v>
      </c>
      <c r="G20" t="s">
        <v>4545</v>
      </c>
      <c r="H20" t="s">
        <v>4649</v>
      </c>
      <c r="I20">
        <v>1</v>
      </c>
      <c r="J20">
        <v>1</v>
      </c>
      <c r="K20" t="s">
        <v>988</v>
      </c>
      <c r="L20">
        <v>1</v>
      </c>
      <c r="M20">
        <v>101</v>
      </c>
      <c r="N20" t="s">
        <v>989</v>
      </c>
      <c r="O20">
        <v>10</v>
      </c>
      <c r="P20">
        <v>0</v>
      </c>
      <c r="Q20">
        <v>5</v>
      </c>
      <c r="R20">
        <v>900515</v>
      </c>
      <c r="S20">
        <v>2</v>
      </c>
      <c r="T20">
        <v>30006</v>
      </c>
      <c r="U20">
        <v>900511</v>
      </c>
      <c r="V20">
        <v>900512</v>
      </c>
      <c r="W20" t="s">
        <v>4650</v>
      </c>
      <c r="X20" t="s">
        <v>329</v>
      </c>
      <c r="Y20" t="s">
        <v>4651</v>
      </c>
      <c r="Z20">
        <v>900510</v>
      </c>
      <c r="AA20">
        <v>10</v>
      </c>
      <c r="AB20">
        <v>10</v>
      </c>
      <c r="AC20">
        <v>5</v>
      </c>
      <c r="AD20">
        <v>5</v>
      </c>
      <c r="AE20">
        <v>95</v>
      </c>
      <c r="AF20">
        <v>95</v>
      </c>
      <c r="AG20">
        <v>116</v>
      </c>
      <c r="AH20">
        <v>90</v>
      </c>
      <c r="AI20">
        <v>120</v>
      </c>
      <c r="AJ20">
        <v>0</v>
      </c>
      <c r="AK20">
        <v>15</v>
      </c>
      <c r="AL20">
        <v>20</v>
      </c>
      <c r="AM20">
        <v>150</v>
      </c>
      <c r="AN20">
        <v>100</v>
      </c>
      <c r="AO20">
        <v>12</v>
      </c>
      <c r="AP20">
        <v>0</v>
      </c>
      <c r="AQ20">
        <v>2</v>
      </c>
      <c r="AR20">
        <v>15</v>
      </c>
      <c r="AS20">
        <v>500</v>
      </c>
      <c r="AT20">
        <v>7</v>
      </c>
      <c r="AU20" t="s">
        <v>4652</v>
      </c>
      <c r="AV20" t="s">
        <v>4551</v>
      </c>
      <c r="AW20" t="s">
        <v>4551</v>
      </c>
      <c r="AX20" t="s">
        <v>4551</v>
      </c>
      <c r="AY20">
        <v>5</v>
      </c>
      <c r="AZ20">
        <v>11001</v>
      </c>
      <c r="BA20">
        <v>1</v>
      </c>
      <c r="BB20" t="s">
        <v>4552</v>
      </c>
      <c r="BC20" t="s">
        <v>1866</v>
      </c>
      <c r="BD20">
        <v>930001</v>
      </c>
      <c r="BE20" t="s">
        <v>4553</v>
      </c>
      <c r="BF20" t="s">
        <v>4554</v>
      </c>
      <c r="BG20">
        <v>100</v>
      </c>
      <c r="BH20">
        <v>10604</v>
      </c>
    </row>
    <row r="21" spans="1:61" x14ac:dyDescent="0.25">
      <c r="A21">
        <v>1007</v>
      </c>
      <c r="B21" t="s">
        <v>4653</v>
      </c>
      <c r="C21" t="s">
        <v>995</v>
      </c>
      <c r="D21" t="s">
        <v>995</v>
      </c>
      <c r="E21" t="s">
        <v>4654</v>
      </c>
      <c r="G21" t="s">
        <v>4545</v>
      </c>
      <c r="H21" t="s">
        <v>4655</v>
      </c>
      <c r="I21">
        <v>1</v>
      </c>
      <c r="J21">
        <v>1</v>
      </c>
      <c r="K21" t="s">
        <v>988</v>
      </c>
      <c r="L21">
        <v>1</v>
      </c>
      <c r="M21">
        <v>107</v>
      </c>
      <c r="N21" t="s">
        <v>989</v>
      </c>
      <c r="O21">
        <v>10</v>
      </c>
      <c r="P21">
        <v>0</v>
      </c>
      <c r="Q21">
        <v>5</v>
      </c>
      <c r="R21">
        <v>900833</v>
      </c>
      <c r="S21">
        <v>2</v>
      </c>
      <c r="T21">
        <v>30008</v>
      </c>
      <c r="U21">
        <v>900831</v>
      </c>
      <c r="V21">
        <v>900832</v>
      </c>
      <c r="W21" t="s">
        <v>4656</v>
      </c>
      <c r="X21" t="s">
        <v>329</v>
      </c>
      <c r="Y21" t="s">
        <v>4657</v>
      </c>
      <c r="Z21">
        <v>900830</v>
      </c>
      <c r="AA21">
        <v>10</v>
      </c>
      <c r="AB21">
        <v>10</v>
      </c>
      <c r="AC21">
        <v>5</v>
      </c>
      <c r="AD21">
        <v>5</v>
      </c>
      <c r="AE21">
        <v>105</v>
      </c>
      <c r="AF21">
        <v>105</v>
      </c>
      <c r="AG21">
        <v>105</v>
      </c>
      <c r="AH21">
        <v>105</v>
      </c>
      <c r="AI21">
        <v>105</v>
      </c>
      <c r="AJ21">
        <v>0</v>
      </c>
      <c r="AK21">
        <v>15</v>
      </c>
      <c r="AL21">
        <v>40</v>
      </c>
      <c r="AM21">
        <v>150</v>
      </c>
      <c r="AN21">
        <v>100</v>
      </c>
      <c r="AO21">
        <v>15</v>
      </c>
      <c r="AP21">
        <v>0</v>
      </c>
      <c r="AQ21">
        <v>2</v>
      </c>
      <c r="AR21">
        <v>15</v>
      </c>
      <c r="AS21">
        <v>500</v>
      </c>
      <c r="AT21">
        <v>7</v>
      </c>
      <c r="AU21" t="s">
        <v>4658</v>
      </c>
      <c r="AV21" t="s">
        <v>4551</v>
      </c>
      <c r="AW21" t="s">
        <v>4551</v>
      </c>
      <c r="AX21" t="s">
        <v>4551</v>
      </c>
      <c r="AY21">
        <v>21</v>
      </c>
      <c r="AZ21">
        <v>11002</v>
      </c>
      <c r="BA21">
        <v>1</v>
      </c>
      <c r="BB21" t="s">
        <v>4552</v>
      </c>
      <c r="BC21" t="s">
        <v>1866</v>
      </c>
      <c r="BD21">
        <v>930007</v>
      </c>
      <c r="BE21" t="s">
        <v>4553</v>
      </c>
      <c r="BF21" t="s">
        <v>4554</v>
      </c>
      <c r="BG21">
        <v>88</v>
      </c>
      <c r="BH21">
        <v>10603</v>
      </c>
    </row>
    <row r="22" spans="1:61" x14ac:dyDescent="0.25">
      <c r="A22">
        <v>2003</v>
      </c>
      <c r="B22" t="s">
        <v>4659</v>
      </c>
      <c r="C22" t="s">
        <v>1006</v>
      </c>
      <c r="D22" t="s">
        <v>1006</v>
      </c>
      <c r="E22" t="s">
        <v>4660</v>
      </c>
      <c r="G22" t="s">
        <v>4545</v>
      </c>
      <c r="H22" t="s">
        <v>4661</v>
      </c>
      <c r="I22">
        <v>1</v>
      </c>
      <c r="J22">
        <v>2</v>
      </c>
      <c r="K22" t="s">
        <v>1007</v>
      </c>
      <c r="L22">
        <v>5</v>
      </c>
      <c r="M22">
        <v>203</v>
      </c>
      <c r="N22" t="s">
        <v>989</v>
      </c>
      <c r="O22">
        <v>6</v>
      </c>
      <c r="P22">
        <v>0</v>
      </c>
      <c r="Q22">
        <v>4</v>
      </c>
      <c r="R22">
        <v>0</v>
      </c>
      <c r="S22">
        <v>1</v>
      </c>
      <c r="T22">
        <v>0</v>
      </c>
      <c r="U22">
        <v>600701</v>
      </c>
      <c r="V22">
        <v>600703</v>
      </c>
      <c r="W22" t="s">
        <v>1866</v>
      </c>
      <c r="X22" t="s">
        <v>4559</v>
      </c>
      <c r="Y22" t="s">
        <v>4662</v>
      </c>
      <c r="Z22">
        <v>600704</v>
      </c>
      <c r="AA22">
        <v>10</v>
      </c>
      <c r="AB22">
        <v>10</v>
      </c>
      <c r="AC22">
        <v>5</v>
      </c>
      <c r="AD22">
        <v>5</v>
      </c>
      <c r="AE22">
        <v>140</v>
      </c>
      <c r="AF22">
        <v>90</v>
      </c>
      <c r="AG22">
        <v>75</v>
      </c>
      <c r="AH22">
        <v>110</v>
      </c>
      <c r="AI22">
        <v>40</v>
      </c>
      <c r="AJ22">
        <v>100</v>
      </c>
      <c r="AK22">
        <v>15</v>
      </c>
      <c r="AL22">
        <v>20</v>
      </c>
      <c r="AM22">
        <v>150</v>
      </c>
      <c r="AN22">
        <v>95</v>
      </c>
      <c r="AO22">
        <v>8</v>
      </c>
      <c r="AP22">
        <v>0</v>
      </c>
      <c r="AQ22">
        <v>1</v>
      </c>
      <c r="AR22">
        <v>15</v>
      </c>
      <c r="AS22">
        <v>500</v>
      </c>
      <c r="AT22">
        <v>3</v>
      </c>
      <c r="AU22" t="s">
        <v>329</v>
      </c>
      <c r="AV22" t="s">
        <v>329</v>
      </c>
      <c r="AW22" t="s">
        <v>329</v>
      </c>
      <c r="AX22" t="s">
        <v>329</v>
      </c>
      <c r="AY22">
        <v>15</v>
      </c>
      <c r="AZ22">
        <v>3045</v>
      </c>
      <c r="BA22">
        <v>9</v>
      </c>
      <c r="BB22" t="s">
        <v>4552</v>
      </c>
      <c r="BC22" t="s">
        <v>1866</v>
      </c>
      <c r="BD22">
        <v>910015</v>
      </c>
      <c r="BE22" t="s">
        <v>4553</v>
      </c>
      <c r="BF22" t="s">
        <v>4554</v>
      </c>
      <c r="BG22">
        <v>100</v>
      </c>
      <c r="BH22">
        <v>0</v>
      </c>
    </row>
    <row r="23" spans="1:61" x14ac:dyDescent="0.25">
      <c r="A23">
        <v>2014</v>
      </c>
      <c r="B23" t="s">
        <v>4663</v>
      </c>
      <c r="C23" t="s">
        <v>1020</v>
      </c>
      <c r="D23" t="s">
        <v>1020</v>
      </c>
      <c r="E23" t="s">
        <v>4664</v>
      </c>
      <c r="G23" t="s">
        <v>4545</v>
      </c>
      <c r="H23" t="s">
        <v>4665</v>
      </c>
      <c r="I23">
        <v>1</v>
      </c>
      <c r="J23">
        <v>2</v>
      </c>
      <c r="K23" t="s">
        <v>1007</v>
      </c>
      <c r="L23">
        <v>5</v>
      </c>
      <c r="M23">
        <v>214</v>
      </c>
      <c r="N23" t="s">
        <v>989</v>
      </c>
      <c r="O23">
        <v>6</v>
      </c>
      <c r="P23">
        <v>0</v>
      </c>
      <c r="Q23">
        <v>4</v>
      </c>
      <c r="R23">
        <v>0</v>
      </c>
      <c r="S23">
        <v>1</v>
      </c>
      <c r="T23">
        <v>0</v>
      </c>
      <c r="U23">
        <v>902200</v>
      </c>
      <c r="V23">
        <v>902201</v>
      </c>
      <c r="W23" t="s">
        <v>1866</v>
      </c>
      <c r="X23" t="s">
        <v>4559</v>
      </c>
      <c r="Y23" t="s">
        <v>329</v>
      </c>
      <c r="Z23">
        <v>600704</v>
      </c>
      <c r="AA23">
        <v>10</v>
      </c>
      <c r="AB23">
        <v>10</v>
      </c>
      <c r="AC23">
        <v>5</v>
      </c>
      <c r="AD23">
        <v>5</v>
      </c>
      <c r="AE23">
        <v>180</v>
      </c>
      <c r="AF23">
        <v>75</v>
      </c>
      <c r="AG23">
        <v>50</v>
      </c>
      <c r="AH23">
        <v>110</v>
      </c>
      <c r="AI23">
        <v>50</v>
      </c>
      <c r="AJ23">
        <v>105</v>
      </c>
      <c r="AK23">
        <v>15</v>
      </c>
      <c r="AL23">
        <v>20</v>
      </c>
      <c r="AM23">
        <v>150</v>
      </c>
      <c r="AN23">
        <v>95</v>
      </c>
      <c r="AO23">
        <v>8</v>
      </c>
      <c r="AP23">
        <v>0</v>
      </c>
      <c r="AQ23">
        <v>1</v>
      </c>
      <c r="AR23">
        <v>15</v>
      </c>
      <c r="AS23">
        <v>500</v>
      </c>
      <c r="AT23">
        <v>3</v>
      </c>
      <c r="AU23" t="s">
        <v>329</v>
      </c>
      <c r="AV23" t="s">
        <v>329</v>
      </c>
      <c r="AW23" t="s">
        <v>329</v>
      </c>
      <c r="AX23" t="s">
        <v>329</v>
      </c>
      <c r="AY23">
        <v>60</v>
      </c>
      <c r="AZ23">
        <v>3045</v>
      </c>
      <c r="BA23">
        <v>9</v>
      </c>
      <c r="BB23" t="s">
        <v>4552</v>
      </c>
      <c r="BC23" t="s">
        <v>1866</v>
      </c>
      <c r="BD23">
        <v>911011</v>
      </c>
      <c r="BE23" t="s">
        <v>4553</v>
      </c>
      <c r="BF23" t="s">
        <v>4554</v>
      </c>
      <c r="BG23">
        <v>95</v>
      </c>
      <c r="BH23">
        <v>0</v>
      </c>
    </row>
    <row r="24" spans="1:61" x14ac:dyDescent="0.25">
      <c r="A24">
        <v>2001</v>
      </c>
      <c r="B24" t="s">
        <v>4666</v>
      </c>
      <c r="C24" t="s">
        <v>1004</v>
      </c>
      <c r="D24" t="s">
        <v>1004</v>
      </c>
      <c r="E24" t="s">
        <v>4667</v>
      </c>
      <c r="G24" t="s">
        <v>4545</v>
      </c>
      <c r="H24" t="s">
        <v>4668</v>
      </c>
      <c r="I24">
        <v>1</v>
      </c>
      <c r="J24">
        <v>2</v>
      </c>
      <c r="K24" t="s">
        <v>991</v>
      </c>
      <c r="L24">
        <v>5</v>
      </c>
      <c r="M24">
        <v>201</v>
      </c>
      <c r="N24" t="s">
        <v>989</v>
      </c>
      <c r="O24">
        <v>4</v>
      </c>
      <c r="P24">
        <v>0</v>
      </c>
      <c r="Q24">
        <v>4</v>
      </c>
      <c r="R24">
        <v>0</v>
      </c>
      <c r="S24">
        <v>1</v>
      </c>
      <c r="T24">
        <v>0</v>
      </c>
      <c r="U24">
        <v>900578</v>
      </c>
      <c r="V24">
        <v>900579</v>
      </c>
      <c r="W24" t="s">
        <v>1866</v>
      </c>
      <c r="X24" t="s">
        <v>4559</v>
      </c>
      <c r="Y24" t="s">
        <v>4669</v>
      </c>
      <c r="Z24">
        <v>900577</v>
      </c>
      <c r="AA24">
        <v>10</v>
      </c>
      <c r="AB24">
        <v>10</v>
      </c>
      <c r="AC24">
        <v>5</v>
      </c>
      <c r="AD24">
        <v>5</v>
      </c>
      <c r="AE24">
        <v>75</v>
      </c>
      <c r="AF24">
        <v>62</v>
      </c>
      <c r="AG24">
        <v>80</v>
      </c>
      <c r="AH24">
        <v>100</v>
      </c>
      <c r="AI24">
        <v>90</v>
      </c>
      <c r="AJ24">
        <v>0</v>
      </c>
      <c r="AK24">
        <v>180</v>
      </c>
      <c r="AL24">
        <v>10</v>
      </c>
      <c r="AM24">
        <v>150</v>
      </c>
      <c r="AN24">
        <v>95</v>
      </c>
      <c r="AO24">
        <v>20</v>
      </c>
      <c r="AP24">
        <v>0</v>
      </c>
      <c r="AQ24">
        <v>1</v>
      </c>
      <c r="AR24">
        <v>15</v>
      </c>
      <c r="AS24">
        <v>500</v>
      </c>
      <c r="AT24">
        <v>3</v>
      </c>
      <c r="AU24" t="s">
        <v>329</v>
      </c>
      <c r="AV24" t="s">
        <v>329</v>
      </c>
      <c r="AW24" t="s">
        <v>329</v>
      </c>
      <c r="AX24" t="s">
        <v>329</v>
      </c>
      <c r="AY24">
        <v>28</v>
      </c>
      <c r="AZ24">
        <v>3045</v>
      </c>
      <c r="BA24">
        <v>7</v>
      </c>
      <c r="BB24" t="s">
        <v>4552</v>
      </c>
      <c r="BC24" t="s">
        <v>1866</v>
      </c>
      <c r="BD24">
        <v>910017</v>
      </c>
      <c r="BE24" t="s">
        <v>4553</v>
      </c>
      <c r="BF24" t="s">
        <v>4554</v>
      </c>
      <c r="BG24">
        <v>75</v>
      </c>
      <c r="BH24">
        <v>0</v>
      </c>
    </row>
    <row r="25" spans="1:61" x14ac:dyDescent="0.25">
      <c r="A25">
        <v>2002</v>
      </c>
      <c r="B25" t="s">
        <v>4670</v>
      </c>
      <c r="C25" t="s">
        <v>1005</v>
      </c>
      <c r="D25" t="s">
        <v>1005</v>
      </c>
      <c r="E25" t="s">
        <v>4671</v>
      </c>
      <c r="G25" t="s">
        <v>4545</v>
      </c>
      <c r="H25" t="s">
        <v>4672</v>
      </c>
      <c r="I25">
        <v>1</v>
      </c>
      <c r="J25">
        <v>2</v>
      </c>
      <c r="K25" t="s">
        <v>991</v>
      </c>
      <c r="L25">
        <v>5</v>
      </c>
      <c r="M25">
        <v>202</v>
      </c>
      <c r="N25" t="s">
        <v>989</v>
      </c>
      <c r="O25">
        <v>6</v>
      </c>
      <c r="P25">
        <v>0</v>
      </c>
      <c r="Q25">
        <v>4</v>
      </c>
      <c r="R25">
        <v>0</v>
      </c>
      <c r="S25">
        <v>1</v>
      </c>
      <c r="T25">
        <v>0</v>
      </c>
      <c r="U25">
        <v>900520</v>
      </c>
      <c r="V25">
        <v>900527</v>
      </c>
      <c r="W25" t="s">
        <v>1866</v>
      </c>
      <c r="X25" t="s">
        <v>4673</v>
      </c>
      <c r="Y25" t="s">
        <v>329</v>
      </c>
      <c r="Z25">
        <v>900519</v>
      </c>
      <c r="AA25">
        <v>10</v>
      </c>
      <c r="AB25">
        <v>10</v>
      </c>
      <c r="AC25">
        <v>5</v>
      </c>
      <c r="AD25">
        <v>5</v>
      </c>
      <c r="AE25">
        <v>132</v>
      </c>
      <c r="AF25">
        <v>105</v>
      </c>
      <c r="AG25">
        <v>65</v>
      </c>
      <c r="AH25">
        <v>105</v>
      </c>
      <c r="AI25">
        <v>75</v>
      </c>
      <c r="AJ25">
        <v>0</v>
      </c>
      <c r="AK25">
        <v>50</v>
      </c>
      <c r="AL25">
        <v>20</v>
      </c>
      <c r="AM25">
        <v>150</v>
      </c>
      <c r="AN25">
        <v>95</v>
      </c>
      <c r="AO25">
        <v>16</v>
      </c>
      <c r="AP25">
        <v>0</v>
      </c>
      <c r="AQ25">
        <v>1</v>
      </c>
      <c r="AR25">
        <v>15</v>
      </c>
      <c r="AS25">
        <v>500</v>
      </c>
      <c r="AT25">
        <v>4</v>
      </c>
      <c r="AU25" t="s">
        <v>329</v>
      </c>
      <c r="AV25" t="s">
        <v>329</v>
      </c>
      <c r="AW25" t="s">
        <v>329</v>
      </c>
      <c r="AX25" t="s">
        <v>329</v>
      </c>
      <c r="AY25">
        <v>12</v>
      </c>
      <c r="AZ25">
        <v>3045</v>
      </c>
      <c r="BA25">
        <v>8</v>
      </c>
      <c r="BB25" t="s">
        <v>4552</v>
      </c>
      <c r="BC25" t="s">
        <v>1866</v>
      </c>
      <c r="BD25">
        <v>910008</v>
      </c>
      <c r="BE25" t="s">
        <v>4553</v>
      </c>
      <c r="BF25" t="s">
        <v>4554</v>
      </c>
      <c r="BG25">
        <v>90</v>
      </c>
      <c r="BH25">
        <v>0</v>
      </c>
    </row>
    <row r="26" spans="1:61" x14ac:dyDescent="0.25">
      <c r="A26">
        <v>2012</v>
      </c>
      <c r="B26" t="s">
        <v>4674</v>
      </c>
      <c r="C26" t="s">
        <v>1018</v>
      </c>
      <c r="D26" t="s">
        <v>1018</v>
      </c>
      <c r="E26" t="s">
        <v>4675</v>
      </c>
      <c r="G26" t="s">
        <v>4545</v>
      </c>
      <c r="H26" t="s">
        <v>4676</v>
      </c>
      <c r="I26">
        <v>1</v>
      </c>
      <c r="J26">
        <v>2</v>
      </c>
      <c r="K26" t="s">
        <v>991</v>
      </c>
      <c r="L26">
        <v>5</v>
      </c>
      <c r="M26">
        <v>212</v>
      </c>
      <c r="N26" t="s">
        <v>989</v>
      </c>
      <c r="O26">
        <v>6</v>
      </c>
      <c r="P26">
        <v>0</v>
      </c>
      <c r="Q26">
        <v>4</v>
      </c>
      <c r="R26">
        <v>0</v>
      </c>
      <c r="S26">
        <v>1</v>
      </c>
      <c r="T26">
        <v>0</v>
      </c>
      <c r="U26">
        <v>900982</v>
      </c>
      <c r="V26">
        <v>900981</v>
      </c>
      <c r="W26" t="s">
        <v>1866</v>
      </c>
      <c r="X26" t="s">
        <v>4559</v>
      </c>
      <c r="Y26" t="s">
        <v>4677</v>
      </c>
      <c r="Z26">
        <v>900980</v>
      </c>
      <c r="AA26">
        <v>10</v>
      </c>
      <c r="AB26">
        <v>10</v>
      </c>
      <c r="AC26">
        <v>5</v>
      </c>
      <c r="AD26">
        <v>5</v>
      </c>
      <c r="AE26">
        <v>135</v>
      </c>
      <c r="AF26">
        <v>122</v>
      </c>
      <c r="AG26">
        <v>65</v>
      </c>
      <c r="AH26">
        <v>115</v>
      </c>
      <c r="AI26">
        <v>80</v>
      </c>
      <c r="AJ26">
        <v>0</v>
      </c>
      <c r="AK26">
        <v>50</v>
      </c>
      <c r="AL26">
        <v>20</v>
      </c>
      <c r="AM26">
        <v>150</v>
      </c>
      <c r="AN26">
        <v>95</v>
      </c>
      <c r="AO26">
        <v>16</v>
      </c>
      <c r="AP26">
        <v>0</v>
      </c>
      <c r="AQ26">
        <v>1</v>
      </c>
      <c r="AR26">
        <v>15</v>
      </c>
      <c r="AS26">
        <v>500</v>
      </c>
      <c r="AT26">
        <v>4</v>
      </c>
      <c r="AU26" t="s">
        <v>329</v>
      </c>
      <c r="AV26" t="s">
        <v>329</v>
      </c>
      <c r="AW26" t="s">
        <v>329</v>
      </c>
      <c r="AX26" t="s">
        <v>329</v>
      </c>
      <c r="AY26">
        <v>58</v>
      </c>
      <c r="AZ26">
        <v>3045</v>
      </c>
      <c r="BA26">
        <v>8</v>
      </c>
      <c r="BB26" t="s">
        <v>4552</v>
      </c>
      <c r="BC26" t="s">
        <v>1866</v>
      </c>
      <c r="BD26">
        <v>911008</v>
      </c>
      <c r="BE26" t="s">
        <v>4553</v>
      </c>
      <c r="BF26" t="s">
        <v>4554</v>
      </c>
      <c r="BG26">
        <v>90</v>
      </c>
      <c r="BH26">
        <v>0</v>
      </c>
    </row>
    <row r="27" spans="1:61" x14ac:dyDescent="0.25">
      <c r="A27">
        <v>2016</v>
      </c>
      <c r="B27" t="s">
        <v>5721</v>
      </c>
      <c r="C27" t="s">
        <v>5725</v>
      </c>
      <c r="D27" t="s">
        <v>5722</v>
      </c>
      <c r="E27" t="s">
        <v>5723</v>
      </c>
      <c r="G27" t="s">
        <v>4545</v>
      </c>
      <c r="H27" t="s">
        <v>5724</v>
      </c>
      <c r="I27">
        <v>1</v>
      </c>
      <c r="J27">
        <v>2</v>
      </c>
      <c r="K27" t="s">
        <v>991</v>
      </c>
      <c r="L27">
        <v>5</v>
      </c>
      <c r="M27">
        <v>216</v>
      </c>
      <c r="N27" t="s">
        <v>989</v>
      </c>
      <c r="O27">
        <v>6</v>
      </c>
      <c r="P27">
        <v>0</v>
      </c>
      <c r="Q27">
        <v>4</v>
      </c>
      <c r="R27">
        <v>0</v>
      </c>
      <c r="S27">
        <v>1</v>
      </c>
      <c r="T27">
        <v>0</v>
      </c>
      <c r="U27">
        <v>900746</v>
      </c>
      <c r="V27">
        <v>750298</v>
      </c>
      <c r="W27" t="s">
        <v>1866</v>
      </c>
      <c r="X27" t="s">
        <v>4559</v>
      </c>
      <c r="Y27" t="s">
        <v>4681</v>
      </c>
      <c r="Z27">
        <v>900745</v>
      </c>
      <c r="AA27">
        <v>10</v>
      </c>
      <c r="AB27">
        <v>10</v>
      </c>
      <c r="AC27">
        <v>5</v>
      </c>
      <c r="AD27">
        <v>5</v>
      </c>
      <c r="AE27">
        <v>200</v>
      </c>
      <c r="AF27">
        <v>115</v>
      </c>
      <c r="AG27">
        <v>75</v>
      </c>
      <c r="AH27">
        <v>165</v>
      </c>
      <c r="AI27">
        <v>40</v>
      </c>
      <c r="AJ27">
        <v>0</v>
      </c>
      <c r="AK27">
        <v>15</v>
      </c>
      <c r="AL27">
        <v>20</v>
      </c>
      <c r="AM27">
        <v>150</v>
      </c>
      <c r="AN27">
        <v>95</v>
      </c>
      <c r="AO27">
        <v>16</v>
      </c>
      <c r="AP27">
        <v>0</v>
      </c>
      <c r="AQ27">
        <v>1</v>
      </c>
      <c r="AR27">
        <v>15</v>
      </c>
      <c r="AS27">
        <v>500</v>
      </c>
      <c r="AT27">
        <v>3</v>
      </c>
      <c r="AU27" t="s">
        <v>329</v>
      </c>
      <c r="AV27" t="s">
        <v>329</v>
      </c>
      <c r="AW27" t="s">
        <v>329</v>
      </c>
      <c r="AX27" t="s">
        <v>329</v>
      </c>
      <c r="AY27">
        <v>108</v>
      </c>
      <c r="AZ27">
        <v>3045</v>
      </c>
      <c r="BA27">
        <v>8</v>
      </c>
      <c r="BB27" t="s">
        <v>4552</v>
      </c>
      <c r="BC27" t="s">
        <v>1866</v>
      </c>
      <c r="BD27">
        <v>913124</v>
      </c>
      <c r="BE27" t="s">
        <v>4553</v>
      </c>
      <c r="BF27" t="s">
        <v>4554</v>
      </c>
      <c r="BG27">
        <v>95</v>
      </c>
      <c r="BH27">
        <v>0</v>
      </c>
    </row>
    <row r="28" spans="1:61" x14ac:dyDescent="0.25">
      <c r="A28">
        <v>2008</v>
      </c>
      <c r="B28" t="s">
        <v>4678</v>
      </c>
      <c r="C28" t="s">
        <v>1013</v>
      </c>
      <c r="D28" t="s">
        <v>1013</v>
      </c>
      <c r="E28" t="s">
        <v>4679</v>
      </c>
      <c r="G28" t="s">
        <v>4545</v>
      </c>
      <c r="H28" t="s">
        <v>4680</v>
      </c>
      <c r="I28">
        <v>1</v>
      </c>
      <c r="J28">
        <v>2</v>
      </c>
      <c r="K28" t="s">
        <v>991</v>
      </c>
      <c r="L28">
        <v>5</v>
      </c>
      <c r="M28">
        <v>208</v>
      </c>
      <c r="N28" t="s">
        <v>989</v>
      </c>
      <c r="O28">
        <v>6</v>
      </c>
      <c r="P28">
        <v>0</v>
      </c>
      <c r="Q28">
        <v>4</v>
      </c>
      <c r="R28">
        <v>0</v>
      </c>
      <c r="S28">
        <v>1</v>
      </c>
      <c r="T28">
        <v>0</v>
      </c>
      <c r="U28">
        <v>900746</v>
      </c>
      <c r="V28">
        <v>900744</v>
      </c>
      <c r="W28" t="s">
        <v>1866</v>
      </c>
      <c r="X28" t="s">
        <v>4559</v>
      </c>
      <c r="Y28" t="s">
        <v>4681</v>
      </c>
      <c r="Z28">
        <v>900745</v>
      </c>
      <c r="AA28">
        <v>10</v>
      </c>
      <c r="AB28">
        <v>10</v>
      </c>
      <c r="AC28">
        <v>5</v>
      </c>
      <c r="AD28">
        <v>5</v>
      </c>
      <c r="AE28">
        <v>140</v>
      </c>
      <c r="AF28">
        <v>100</v>
      </c>
      <c r="AG28">
        <v>75</v>
      </c>
      <c r="AH28">
        <v>130</v>
      </c>
      <c r="AI28">
        <v>80</v>
      </c>
      <c r="AJ28">
        <v>0</v>
      </c>
      <c r="AK28">
        <v>50</v>
      </c>
      <c r="AL28">
        <v>20</v>
      </c>
      <c r="AM28">
        <v>150</v>
      </c>
      <c r="AN28">
        <v>95</v>
      </c>
      <c r="AO28">
        <v>16</v>
      </c>
      <c r="AP28">
        <v>0</v>
      </c>
      <c r="AQ28">
        <v>1</v>
      </c>
      <c r="AR28">
        <v>15</v>
      </c>
      <c r="AS28">
        <v>500</v>
      </c>
      <c r="AT28">
        <v>3</v>
      </c>
      <c r="AU28" t="s">
        <v>329</v>
      </c>
      <c r="AV28" t="s">
        <v>329</v>
      </c>
      <c r="AW28" t="s">
        <v>329</v>
      </c>
      <c r="AX28" t="s">
        <v>329</v>
      </c>
      <c r="AY28">
        <v>57</v>
      </c>
      <c r="AZ28">
        <v>3045</v>
      </c>
      <c r="BA28">
        <v>8</v>
      </c>
      <c r="BB28" t="s">
        <v>4552</v>
      </c>
      <c r="BC28" t="s">
        <v>1866</v>
      </c>
      <c r="BD28">
        <v>911007</v>
      </c>
      <c r="BE28" t="s">
        <v>4553</v>
      </c>
      <c r="BF28" t="s">
        <v>4554</v>
      </c>
      <c r="BG28">
        <v>90</v>
      </c>
      <c r="BH28">
        <v>0</v>
      </c>
    </row>
    <row r="29" spans="1:61" x14ac:dyDescent="0.25">
      <c r="A29">
        <v>2015</v>
      </c>
      <c r="B29" t="s">
        <v>4555</v>
      </c>
      <c r="C29" t="s">
        <v>4556</v>
      </c>
      <c r="D29" t="s">
        <v>4556</v>
      </c>
      <c r="E29" t="s">
        <v>4557</v>
      </c>
      <c r="G29" t="s">
        <v>4545</v>
      </c>
      <c r="H29" t="s">
        <v>4558</v>
      </c>
      <c r="I29">
        <v>1</v>
      </c>
      <c r="J29">
        <v>2</v>
      </c>
      <c r="K29" t="s">
        <v>988</v>
      </c>
      <c r="L29">
        <v>5</v>
      </c>
      <c r="M29">
        <v>215</v>
      </c>
      <c r="N29" t="s">
        <v>989</v>
      </c>
      <c r="O29">
        <v>6</v>
      </c>
      <c r="P29">
        <v>0</v>
      </c>
      <c r="Q29">
        <v>4</v>
      </c>
      <c r="R29">
        <v>0</v>
      </c>
      <c r="S29">
        <v>1</v>
      </c>
      <c r="T29">
        <v>0</v>
      </c>
      <c r="U29">
        <v>750056</v>
      </c>
      <c r="V29">
        <v>750058</v>
      </c>
      <c r="W29" t="s">
        <v>1866</v>
      </c>
      <c r="X29" t="s">
        <v>4559</v>
      </c>
      <c r="Y29" t="s">
        <v>329</v>
      </c>
      <c r="Z29">
        <v>750057</v>
      </c>
      <c r="AA29">
        <v>10</v>
      </c>
      <c r="AB29">
        <v>10</v>
      </c>
      <c r="AC29">
        <v>5</v>
      </c>
      <c r="AD29">
        <v>5</v>
      </c>
      <c r="AE29">
        <v>80</v>
      </c>
      <c r="AF29">
        <v>140</v>
      </c>
      <c r="AG29">
        <v>70</v>
      </c>
      <c r="AH29">
        <v>130</v>
      </c>
      <c r="AI29">
        <v>55</v>
      </c>
      <c r="AJ29">
        <v>0</v>
      </c>
      <c r="AK29">
        <v>180</v>
      </c>
      <c r="AL29">
        <v>50</v>
      </c>
      <c r="AM29">
        <v>200</v>
      </c>
      <c r="AN29">
        <v>95</v>
      </c>
      <c r="AO29">
        <v>6</v>
      </c>
      <c r="AP29">
        <v>0</v>
      </c>
      <c r="AQ29">
        <v>2</v>
      </c>
      <c r="AR29">
        <v>15</v>
      </c>
      <c r="AS29">
        <v>500</v>
      </c>
      <c r="AT29">
        <v>9</v>
      </c>
      <c r="AU29" t="s">
        <v>329</v>
      </c>
      <c r="AV29" t="s">
        <v>329</v>
      </c>
      <c r="AW29" t="s">
        <v>329</v>
      </c>
      <c r="AX29" t="s">
        <v>329</v>
      </c>
      <c r="AY29">
        <v>56</v>
      </c>
      <c r="AZ29">
        <v>3045</v>
      </c>
      <c r="BA29">
        <v>17</v>
      </c>
      <c r="BB29" t="s">
        <v>4552</v>
      </c>
      <c r="BC29" t="s">
        <v>1866</v>
      </c>
      <c r="BD29">
        <v>911006</v>
      </c>
      <c r="BE29" t="s">
        <v>4553</v>
      </c>
      <c r="BF29" t="s">
        <v>4554</v>
      </c>
      <c r="BG29">
        <v>95</v>
      </c>
      <c r="BH29">
        <v>0</v>
      </c>
    </row>
    <row r="30" spans="1:61" x14ac:dyDescent="0.25">
      <c r="A30">
        <v>2006</v>
      </c>
      <c r="B30" t="s">
        <v>4682</v>
      </c>
      <c r="C30" t="s">
        <v>1012</v>
      </c>
      <c r="D30" t="s">
        <v>1012</v>
      </c>
      <c r="E30" t="s">
        <v>4683</v>
      </c>
      <c r="G30" t="s">
        <v>4545</v>
      </c>
      <c r="H30" t="s">
        <v>4684</v>
      </c>
      <c r="I30">
        <v>1</v>
      </c>
      <c r="J30">
        <v>2</v>
      </c>
      <c r="K30" t="s">
        <v>1009</v>
      </c>
      <c r="L30">
        <v>1</v>
      </c>
      <c r="M30">
        <v>206</v>
      </c>
      <c r="N30" t="s">
        <v>989</v>
      </c>
      <c r="O30">
        <v>10</v>
      </c>
      <c r="P30">
        <v>0</v>
      </c>
      <c r="Q30">
        <v>4</v>
      </c>
      <c r="R30">
        <v>0</v>
      </c>
      <c r="S30">
        <v>1</v>
      </c>
      <c r="T30">
        <v>0</v>
      </c>
      <c r="U30">
        <v>900617</v>
      </c>
      <c r="V30">
        <v>900618</v>
      </c>
      <c r="W30" t="s">
        <v>1866</v>
      </c>
      <c r="X30" t="s">
        <v>4685</v>
      </c>
      <c r="Y30" t="s">
        <v>4686</v>
      </c>
      <c r="Z30">
        <v>900615</v>
      </c>
      <c r="AA30">
        <v>10</v>
      </c>
      <c r="AB30">
        <v>10</v>
      </c>
      <c r="AC30">
        <v>5</v>
      </c>
      <c r="AD30">
        <v>5</v>
      </c>
      <c r="AE30">
        <v>165</v>
      </c>
      <c r="AF30">
        <v>130</v>
      </c>
      <c r="AG30">
        <v>85</v>
      </c>
      <c r="AH30">
        <v>110</v>
      </c>
      <c r="AI30">
        <v>50</v>
      </c>
      <c r="AJ30">
        <v>120</v>
      </c>
      <c r="AK30">
        <v>180</v>
      </c>
      <c r="AL30">
        <v>20</v>
      </c>
      <c r="AM30">
        <v>150</v>
      </c>
      <c r="AN30">
        <v>75</v>
      </c>
      <c r="AO30">
        <v>8</v>
      </c>
      <c r="AP30">
        <v>0</v>
      </c>
      <c r="AQ30">
        <v>2</v>
      </c>
      <c r="AR30">
        <v>15</v>
      </c>
      <c r="AS30">
        <v>500</v>
      </c>
      <c r="AT30">
        <v>5</v>
      </c>
      <c r="AU30" t="s">
        <v>329</v>
      </c>
      <c r="AV30" t="s">
        <v>329</v>
      </c>
      <c r="AW30" t="s">
        <v>329</v>
      </c>
      <c r="AX30" t="s">
        <v>329</v>
      </c>
      <c r="AY30">
        <v>16</v>
      </c>
      <c r="AZ30">
        <v>3045</v>
      </c>
      <c r="BA30">
        <v>9</v>
      </c>
      <c r="BB30" t="s">
        <v>4552</v>
      </c>
      <c r="BC30" t="s">
        <v>1866</v>
      </c>
      <c r="BD30">
        <v>910010</v>
      </c>
      <c r="BE30" t="s">
        <v>4553</v>
      </c>
      <c r="BF30" t="s">
        <v>4554</v>
      </c>
      <c r="BG30">
        <v>100</v>
      </c>
      <c r="BH30">
        <v>0</v>
      </c>
    </row>
    <row r="31" spans="1:61" x14ac:dyDescent="0.25">
      <c r="A31">
        <v>2004</v>
      </c>
      <c r="B31" t="s">
        <v>4687</v>
      </c>
      <c r="C31" t="s">
        <v>1008</v>
      </c>
      <c r="D31" t="s">
        <v>1008</v>
      </c>
      <c r="E31" t="s">
        <v>4688</v>
      </c>
      <c r="G31" t="s">
        <v>4545</v>
      </c>
      <c r="H31" t="s">
        <v>4689</v>
      </c>
      <c r="I31">
        <v>1</v>
      </c>
      <c r="J31">
        <v>2</v>
      </c>
      <c r="K31" t="s">
        <v>1009</v>
      </c>
      <c r="L31">
        <v>5</v>
      </c>
      <c r="M31">
        <v>204</v>
      </c>
      <c r="N31" t="s">
        <v>989</v>
      </c>
      <c r="O31">
        <v>6</v>
      </c>
      <c r="P31">
        <v>0</v>
      </c>
      <c r="Q31">
        <v>4</v>
      </c>
      <c r="R31">
        <v>0</v>
      </c>
      <c r="S31">
        <v>1</v>
      </c>
      <c r="T31">
        <v>0</v>
      </c>
      <c r="U31">
        <v>900612</v>
      </c>
      <c r="V31">
        <v>900613</v>
      </c>
      <c r="W31" t="s">
        <v>1866</v>
      </c>
      <c r="X31" t="s">
        <v>4559</v>
      </c>
      <c r="Y31" t="s">
        <v>329</v>
      </c>
      <c r="Z31">
        <v>900611</v>
      </c>
      <c r="AA31">
        <v>10</v>
      </c>
      <c r="AB31">
        <v>10</v>
      </c>
      <c r="AC31">
        <v>5</v>
      </c>
      <c r="AD31">
        <v>5</v>
      </c>
      <c r="AE31">
        <v>98</v>
      </c>
      <c r="AF31">
        <v>165</v>
      </c>
      <c r="AG31">
        <v>60</v>
      </c>
      <c r="AH31">
        <v>110</v>
      </c>
      <c r="AI31">
        <v>30</v>
      </c>
      <c r="AJ31">
        <v>50</v>
      </c>
      <c r="AK31">
        <v>100</v>
      </c>
      <c r="AL31">
        <v>20</v>
      </c>
      <c r="AM31">
        <v>150</v>
      </c>
      <c r="AN31">
        <v>95</v>
      </c>
      <c r="AO31">
        <v>8</v>
      </c>
      <c r="AP31">
        <v>0</v>
      </c>
      <c r="AQ31">
        <v>2</v>
      </c>
      <c r="AR31">
        <v>15</v>
      </c>
      <c r="AS31">
        <v>500</v>
      </c>
      <c r="AT31">
        <v>3</v>
      </c>
      <c r="AU31" t="s">
        <v>329</v>
      </c>
      <c r="AV31" t="s">
        <v>329</v>
      </c>
      <c r="AW31" t="s">
        <v>329</v>
      </c>
      <c r="AX31" t="s">
        <v>329</v>
      </c>
      <c r="AY31">
        <v>14</v>
      </c>
      <c r="AZ31">
        <v>3045</v>
      </c>
      <c r="BA31">
        <v>9</v>
      </c>
      <c r="BB31" t="s">
        <v>4552</v>
      </c>
      <c r="BC31" t="s">
        <v>1866</v>
      </c>
      <c r="BD31">
        <v>910016</v>
      </c>
      <c r="BE31" t="s">
        <v>4553</v>
      </c>
      <c r="BF31" t="s">
        <v>4554</v>
      </c>
      <c r="BG31">
        <v>100</v>
      </c>
      <c r="BH31">
        <v>0</v>
      </c>
    </row>
    <row r="32" spans="1:61" x14ac:dyDescent="0.25">
      <c r="A32">
        <v>2011</v>
      </c>
      <c r="B32" t="s">
        <v>4690</v>
      </c>
      <c r="C32" t="s">
        <v>1016</v>
      </c>
      <c r="D32" t="s">
        <v>1016</v>
      </c>
      <c r="E32" t="s">
        <v>4691</v>
      </c>
      <c r="G32" t="s">
        <v>4545</v>
      </c>
      <c r="H32" t="s">
        <v>4692</v>
      </c>
      <c r="I32">
        <v>1</v>
      </c>
      <c r="J32">
        <v>2</v>
      </c>
      <c r="K32" t="s">
        <v>1017</v>
      </c>
      <c r="L32">
        <v>5</v>
      </c>
      <c r="M32">
        <v>211</v>
      </c>
      <c r="N32" t="s">
        <v>989</v>
      </c>
      <c r="O32">
        <v>4</v>
      </c>
      <c r="P32">
        <v>0</v>
      </c>
      <c r="Q32">
        <v>4</v>
      </c>
      <c r="R32">
        <v>0</v>
      </c>
      <c r="S32">
        <v>1</v>
      </c>
      <c r="T32">
        <v>0</v>
      </c>
      <c r="U32">
        <v>900934</v>
      </c>
      <c r="V32">
        <v>900937</v>
      </c>
      <c r="W32" t="s">
        <v>1866</v>
      </c>
      <c r="X32" t="s">
        <v>4559</v>
      </c>
      <c r="Y32" t="s">
        <v>4693</v>
      </c>
      <c r="Z32">
        <v>900574</v>
      </c>
      <c r="AA32">
        <v>10</v>
      </c>
      <c r="AB32">
        <v>10</v>
      </c>
      <c r="AC32">
        <v>5</v>
      </c>
      <c r="AD32">
        <v>5</v>
      </c>
      <c r="AE32">
        <v>95</v>
      </c>
      <c r="AF32">
        <v>75</v>
      </c>
      <c r="AG32">
        <v>120</v>
      </c>
      <c r="AH32">
        <v>110</v>
      </c>
      <c r="AI32">
        <v>95</v>
      </c>
      <c r="AJ32">
        <v>0</v>
      </c>
      <c r="AK32">
        <v>15</v>
      </c>
      <c r="AL32">
        <v>20</v>
      </c>
      <c r="AM32">
        <v>150</v>
      </c>
      <c r="AN32">
        <v>95</v>
      </c>
      <c r="AO32">
        <v>12</v>
      </c>
      <c r="AP32">
        <v>0</v>
      </c>
      <c r="AQ32">
        <v>1</v>
      </c>
      <c r="AR32">
        <v>15</v>
      </c>
      <c r="AS32">
        <v>500</v>
      </c>
      <c r="AT32">
        <v>4</v>
      </c>
      <c r="AU32" t="s">
        <v>329</v>
      </c>
      <c r="AV32" t="s">
        <v>329</v>
      </c>
      <c r="AW32" t="s">
        <v>329</v>
      </c>
      <c r="AX32" t="s">
        <v>329</v>
      </c>
      <c r="AY32">
        <v>55</v>
      </c>
      <c r="AZ32">
        <v>3045</v>
      </c>
      <c r="BA32">
        <v>21</v>
      </c>
      <c r="BB32" t="s">
        <v>4552</v>
      </c>
      <c r="BC32" t="s">
        <v>1866</v>
      </c>
      <c r="BD32">
        <v>911001</v>
      </c>
      <c r="BE32" t="s">
        <v>4553</v>
      </c>
      <c r="BF32" t="s">
        <v>4554</v>
      </c>
      <c r="BG32">
        <v>80</v>
      </c>
      <c r="BH32">
        <v>0</v>
      </c>
    </row>
    <row r="33" spans="1:61" x14ac:dyDescent="0.25">
      <c r="A33">
        <v>2018</v>
      </c>
      <c r="B33" t="s">
        <v>6610</v>
      </c>
      <c r="C33" t="s">
        <v>6618</v>
      </c>
      <c r="D33" t="s">
        <v>6611</v>
      </c>
      <c r="E33" t="s">
        <v>6612</v>
      </c>
      <c r="G33" t="s">
        <v>4545</v>
      </c>
      <c r="H33" t="s">
        <v>6613</v>
      </c>
      <c r="I33">
        <v>1</v>
      </c>
      <c r="J33">
        <v>2</v>
      </c>
      <c r="K33" t="s">
        <v>1009</v>
      </c>
      <c r="L33">
        <v>1</v>
      </c>
      <c r="M33">
        <v>218</v>
      </c>
      <c r="N33" t="s">
        <v>6614</v>
      </c>
      <c r="O33">
        <v>8</v>
      </c>
      <c r="P33">
        <v>0</v>
      </c>
      <c r="Q33">
        <v>4</v>
      </c>
      <c r="R33">
        <v>0</v>
      </c>
      <c r="S33">
        <v>1</v>
      </c>
      <c r="T33">
        <v>0</v>
      </c>
      <c r="U33">
        <v>750433</v>
      </c>
      <c r="V33">
        <v>750444</v>
      </c>
      <c r="W33" t="s">
        <v>1866</v>
      </c>
      <c r="X33" t="s">
        <v>6615</v>
      </c>
      <c r="Y33" t="s">
        <v>6616</v>
      </c>
      <c r="Z33">
        <v>900107</v>
      </c>
      <c r="AA33">
        <v>10</v>
      </c>
      <c r="AB33">
        <v>10</v>
      </c>
      <c r="AC33">
        <v>5</v>
      </c>
      <c r="AD33">
        <v>5</v>
      </c>
      <c r="AE33">
        <v>100</v>
      </c>
      <c r="AF33">
        <v>330</v>
      </c>
      <c r="AG33">
        <v>95</v>
      </c>
      <c r="AH33">
        <v>300</v>
      </c>
      <c r="AI33">
        <v>0</v>
      </c>
      <c r="AJ33">
        <v>85</v>
      </c>
      <c r="AK33">
        <v>100</v>
      </c>
      <c r="AL33">
        <v>5</v>
      </c>
      <c r="AM33">
        <v>150</v>
      </c>
      <c r="AN33">
        <v>75</v>
      </c>
      <c r="AO33">
        <v>3</v>
      </c>
      <c r="AP33">
        <v>0</v>
      </c>
      <c r="AQ33">
        <v>2</v>
      </c>
      <c r="AR33">
        <v>15</v>
      </c>
      <c r="AS33">
        <v>500</v>
      </c>
      <c r="AT33">
        <v>5</v>
      </c>
      <c r="AU33" t="s">
        <v>329</v>
      </c>
      <c r="AV33" t="s">
        <v>329</v>
      </c>
      <c r="AW33" t="s">
        <v>329</v>
      </c>
      <c r="AX33" t="s">
        <v>329</v>
      </c>
      <c r="AY33">
        <v>123</v>
      </c>
      <c r="AZ33">
        <v>3045</v>
      </c>
      <c r="BA33">
        <v>21</v>
      </c>
      <c r="BB33" t="s">
        <v>4552</v>
      </c>
      <c r="BC33" t="s">
        <v>1866</v>
      </c>
      <c r="BD33">
        <v>913217</v>
      </c>
      <c r="BE33" t="s">
        <v>4553</v>
      </c>
      <c r="BF33" t="s">
        <v>4554</v>
      </c>
      <c r="BG33">
        <v>100</v>
      </c>
      <c r="BH33">
        <v>0</v>
      </c>
      <c r="BI33">
        <v>0</v>
      </c>
    </row>
    <row r="34" spans="1:61" x14ac:dyDescent="0.25">
      <c r="A34">
        <v>2009</v>
      </c>
      <c r="B34" t="s">
        <v>4694</v>
      </c>
      <c r="C34" t="s">
        <v>1014</v>
      </c>
      <c r="D34" t="s">
        <v>1014</v>
      </c>
      <c r="E34" t="s">
        <v>4695</v>
      </c>
      <c r="G34" t="s">
        <v>4545</v>
      </c>
      <c r="H34" t="s">
        <v>4696</v>
      </c>
      <c r="I34">
        <v>1</v>
      </c>
      <c r="J34">
        <v>2</v>
      </c>
      <c r="K34" t="s">
        <v>988</v>
      </c>
      <c r="L34">
        <v>5</v>
      </c>
      <c r="M34">
        <v>209</v>
      </c>
      <c r="N34" t="s">
        <v>989</v>
      </c>
      <c r="O34">
        <v>6</v>
      </c>
      <c r="P34">
        <v>0</v>
      </c>
      <c r="Q34">
        <v>4</v>
      </c>
      <c r="R34">
        <v>0</v>
      </c>
      <c r="S34">
        <v>1</v>
      </c>
      <c r="T34">
        <v>0</v>
      </c>
      <c r="U34">
        <v>900770</v>
      </c>
      <c r="V34">
        <v>910774</v>
      </c>
      <c r="W34" t="s">
        <v>1866</v>
      </c>
      <c r="X34" t="s">
        <v>4697</v>
      </c>
      <c r="Y34" t="s">
        <v>4698</v>
      </c>
      <c r="Z34">
        <v>900772</v>
      </c>
      <c r="AA34">
        <v>10</v>
      </c>
      <c r="AB34">
        <v>10</v>
      </c>
      <c r="AC34">
        <v>5</v>
      </c>
      <c r="AD34">
        <v>5</v>
      </c>
      <c r="AE34">
        <v>115</v>
      </c>
      <c r="AF34">
        <v>72</v>
      </c>
      <c r="AG34">
        <v>100</v>
      </c>
      <c r="AH34">
        <v>85</v>
      </c>
      <c r="AI34">
        <v>140</v>
      </c>
      <c r="AJ34">
        <v>0</v>
      </c>
      <c r="AK34">
        <v>15</v>
      </c>
      <c r="AL34">
        <v>10</v>
      </c>
      <c r="AM34">
        <v>150</v>
      </c>
      <c r="AN34">
        <v>95</v>
      </c>
      <c r="AO34">
        <v>15</v>
      </c>
      <c r="AP34">
        <v>0</v>
      </c>
      <c r="AQ34">
        <v>2</v>
      </c>
      <c r="AR34">
        <v>15</v>
      </c>
      <c r="AS34">
        <v>500</v>
      </c>
      <c r="AT34">
        <v>7</v>
      </c>
      <c r="AU34" t="s">
        <v>329</v>
      </c>
      <c r="AV34" t="s">
        <v>329</v>
      </c>
      <c r="AW34" t="s">
        <v>329</v>
      </c>
      <c r="AX34" t="s">
        <v>329</v>
      </c>
      <c r="AY34">
        <v>86</v>
      </c>
      <c r="AZ34">
        <v>3045</v>
      </c>
      <c r="BA34">
        <v>8</v>
      </c>
      <c r="BB34" t="s">
        <v>4552</v>
      </c>
      <c r="BC34" t="s">
        <v>1866</v>
      </c>
      <c r="BD34">
        <v>911104</v>
      </c>
      <c r="BE34" t="s">
        <v>4553</v>
      </c>
      <c r="BF34" t="s">
        <v>4554</v>
      </c>
      <c r="BG34">
        <v>90</v>
      </c>
      <c r="BH34">
        <v>0</v>
      </c>
    </row>
    <row r="35" spans="1:61" x14ac:dyDescent="0.25">
      <c r="A35">
        <v>2013</v>
      </c>
      <c r="B35" t="s">
        <v>4699</v>
      </c>
      <c r="C35" t="s">
        <v>1019</v>
      </c>
      <c r="D35" t="s">
        <v>1019</v>
      </c>
      <c r="E35" t="s">
        <v>4700</v>
      </c>
      <c r="G35" t="s">
        <v>4545</v>
      </c>
      <c r="H35" t="s">
        <v>4701</v>
      </c>
      <c r="I35">
        <v>1</v>
      </c>
      <c r="J35">
        <v>2</v>
      </c>
      <c r="K35" t="s">
        <v>988</v>
      </c>
      <c r="L35">
        <v>5</v>
      </c>
      <c r="M35">
        <v>213</v>
      </c>
      <c r="N35" t="s">
        <v>989</v>
      </c>
      <c r="O35">
        <v>6</v>
      </c>
      <c r="P35">
        <v>0</v>
      </c>
      <c r="Q35">
        <v>4</v>
      </c>
      <c r="R35">
        <v>0</v>
      </c>
      <c r="S35">
        <v>1</v>
      </c>
      <c r="T35">
        <v>0</v>
      </c>
      <c r="U35">
        <v>901251</v>
      </c>
      <c r="V35">
        <v>901253</v>
      </c>
      <c r="W35" t="s">
        <v>1866</v>
      </c>
      <c r="X35" t="s">
        <v>4702</v>
      </c>
      <c r="Y35" t="s">
        <v>4703</v>
      </c>
      <c r="Z35">
        <v>901250</v>
      </c>
      <c r="AA35">
        <v>10</v>
      </c>
      <c r="AB35">
        <v>10</v>
      </c>
      <c r="AC35">
        <v>5</v>
      </c>
      <c r="AD35">
        <v>5</v>
      </c>
      <c r="AE35">
        <v>100</v>
      </c>
      <c r="AF35">
        <v>100</v>
      </c>
      <c r="AG35">
        <v>115</v>
      </c>
      <c r="AH35">
        <v>80</v>
      </c>
      <c r="AI35">
        <v>45</v>
      </c>
      <c r="AJ35">
        <v>0</v>
      </c>
      <c r="AK35">
        <v>180</v>
      </c>
      <c r="AL35">
        <v>5</v>
      </c>
      <c r="AM35">
        <v>150</v>
      </c>
      <c r="AN35">
        <v>95</v>
      </c>
      <c r="AO35">
        <v>5</v>
      </c>
      <c r="AP35">
        <v>0</v>
      </c>
      <c r="AQ35">
        <v>2</v>
      </c>
      <c r="AR35">
        <v>15</v>
      </c>
      <c r="AS35">
        <v>500</v>
      </c>
      <c r="AT35">
        <v>9</v>
      </c>
      <c r="AU35" t="s">
        <v>329</v>
      </c>
      <c r="AV35" t="s">
        <v>329</v>
      </c>
      <c r="AW35" t="s">
        <v>329</v>
      </c>
      <c r="AX35" t="s">
        <v>329</v>
      </c>
      <c r="AY35">
        <v>59</v>
      </c>
      <c r="AZ35">
        <v>3045</v>
      </c>
      <c r="BA35">
        <v>18</v>
      </c>
      <c r="BB35" t="s">
        <v>4552</v>
      </c>
      <c r="BC35" t="s">
        <v>1866</v>
      </c>
      <c r="BD35">
        <v>911012</v>
      </c>
      <c r="BE35" t="s">
        <v>4553</v>
      </c>
      <c r="BF35" t="s">
        <v>4554</v>
      </c>
      <c r="BG35">
        <v>95</v>
      </c>
      <c r="BH35">
        <v>0</v>
      </c>
    </row>
    <row r="36" spans="1:61" x14ac:dyDescent="0.25">
      <c r="A36">
        <v>2005</v>
      </c>
      <c r="B36" t="s">
        <v>4704</v>
      </c>
      <c r="C36" t="s">
        <v>1010</v>
      </c>
      <c r="D36" t="s">
        <v>1010</v>
      </c>
      <c r="E36" t="s">
        <v>4705</v>
      </c>
      <c r="G36" t="s">
        <v>4545</v>
      </c>
      <c r="H36" t="s">
        <v>4706</v>
      </c>
      <c r="I36">
        <v>1</v>
      </c>
      <c r="J36">
        <v>2</v>
      </c>
      <c r="K36" t="s">
        <v>1011</v>
      </c>
      <c r="L36">
        <v>5</v>
      </c>
      <c r="M36">
        <v>205</v>
      </c>
      <c r="N36" t="s">
        <v>989</v>
      </c>
      <c r="O36">
        <v>3</v>
      </c>
      <c r="P36">
        <v>0</v>
      </c>
      <c r="Q36">
        <v>4</v>
      </c>
      <c r="R36">
        <v>0</v>
      </c>
      <c r="S36">
        <v>1</v>
      </c>
      <c r="T36">
        <v>0</v>
      </c>
      <c r="U36">
        <v>900653</v>
      </c>
      <c r="V36">
        <v>900661</v>
      </c>
      <c r="W36" t="s">
        <v>1866</v>
      </c>
      <c r="X36" t="s">
        <v>4707</v>
      </c>
      <c r="Y36" t="s">
        <v>4708</v>
      </c>
      <c r="Z36">
        <v>900655</v>
      </c>
      <c r="AA36">
        <v>10</v>
      </c>
      <c r="AB36">
        <v>10</v>
      </c>
      <c r="AC36">
        <v>5</v>
      </c>
      <c r="AD36">
        <v>5</v>
      </c>
      <c r="AE36">
        <v>36</v>
      </c>
      <c r="AF36">
        <v>100</v>
      </c>
      <c r="AG36">
        <v>105</v>
      </c>
      <c r="AH36">
        <v>105</v>
      </c>
      <c r="AI36">
        <v>50</v>
      </c>
      <c r="AJ36">
        <v>60</v>
      </c>
      <c r="AK36">
        <v>15</v>
      </c>
      <c r="AL36">
        <v>20</v>
      </c>
      <c r="AM36">
        <v>150</v>
      </c>
      <c r="AN36">
        <v>95</v>
      </c>
      <c r="AO36">
        <v>10</v>
      </c>
      <c r="AP36">
        <v>0</v>
      </c>
      <c r="AQ36">
        <v>1</v>
      </c>
      <c r="AR36">
        <v>15</v>
      </c>
      <c r="AS36">
        <v>500</v>
      </c>
      <c r="AT36">
        <v>3</v>
      </c>
      <c r="AU36" t="s">
        <v>329</v>
      </c>
      <c r="AV36" t="s">
        <v>329</v>
      </c>
      <c r="AW36" t="s">
        <v>329</v>
      </c>
      <c r="AX36" t="s">
        <v>329</v>
      </c>
      <c r="AY36">
        <v>30</v>
      </c>
      <c r="AZ36">
        <v>3045</v>
      </c>
      <c r="BA36">
        <v>9</v>
      </c>
      <c r="BB36" t="s">
        <v>4552</v>
      </c>
      <c r="BC36" t="s">
        <v>1866</v>
      </c>
      <c r="BD36">
        <v>910018</v>
      </c>
      <c r="BE36" t="s">
        <v>4553</v>
      </c>
      <c r="BF36" t="s">
        <v>4554</v>
      </c>
      <c r="BG36">
        <v>100</v>
      </c>
      <c r="BH36">
        <v>0</v>
      </c>
    </row>
    <row r="37" spans="1:61" x14ac:dyDescent="0.25">
      <c r="A37">
        <v>2017</v>
      </c>
      <c r="B37" t="s">
        <v>6422</v>
      </c>
      <c r="C37" t="s">
        <v>6429</v>
      </c>
      <c r="D37" t="s">
        <v>6423</v>
      </c>
      <c r="E37" t="s">
        <v>6424</v>
      </c>
      <c r="G37" t="s">
        <v>4545</v>
      </c>
      <c r="H37" t="s">
        <v>6425</v>
      </c>
      <c r="I37">
        <v>1</v>
      </c>
      <c r="J37">
        <v>2</v>
      </c>
      <c r="K37" t="s">
        <v>988</v>
      </c>
      <c r="L37">
        <v>5</v>
      </c>
      <c r="M37">
        <v>217</v>
      </c>
      <c r="N37" t="s">
        <v>989</v>
      </c>
      <c r="O37">
        <v>6</v>
      </c>
      <c r="P37">
        <v>0</v>
      </c>
      <c r="Q37">
        <v>4</v>
      </c>
      <c r="R37">
        <v>0</v>
      </c>
      <c r="S37">
        <v>1</v>
      </c>
      <c r="T37">
        <v>0</v>
      </c>
      <c r="U37">
        <v>900841</v>
      </c>
      <c r="V37">
        <v>750377</v>
      </c>
      <c r="W37" t="s">
        <v>1866</v>
      </c>
      <c r="X37" t="s">
        <v>4559</v>
      </c>
      <c r="Y37" t="s">
        <v>329</v>
      </c>
      <c r="Z37">
        <v>750378</v>
      </c>
      <c r="AA37">
        <v>10</v>
      </c>
      <c r="AB37">
        <v>10</v>
      </c>
      <c r="AC37">
        <v>5</v>
      </c>
      <c r="AD37">
        <v>5</v>
      </c>
      <c r="AE37">
        <v>110</v>
      </c>
      <c r="AF37">
        <v>80</v>
      </c>
      <c r="AG37">
        <v>110</v>
      </c>
      <c r="AH37">
        <v>125</v>
      </c>
      <c r="AI37">
        <v>100</v>
      </c>
      <c r="AJ37">
        <v>0</v>
      </c>
      <c r="AK37">
        <v>15</v>
      </c>
      <c r="AL37">
        <v>20</v>
      </c>
      <c r="AM37">
        <v>150</v>
      </c>
      <c r="AN37">
        <v>95</v>
      </c>
      <c r="AO37">
        <v>15</v>
      </c>
      <c r="AP37">
        <v>0</v>
      </c>
      <c r="AQ37">
        <v>2</v>
      </c>
      <c r="AR37">
        <v>15</v>
      </c>
      <c r="AS37">
        <v>500</v>
      </c>
      <c r="AT37">
        <v>7</v>
      </c>
      <c r="AU37" t="s">
        <v>329</v>
      </c>
      <c r="AV37" t="s">
        <v>329</v>
      </c>
      <c r="AW37" t="s">
        <v>329</v>
      </c>
      <c r="AX37" t="s">
        <v>329</v>
      </c>
      <c r="AY37">
        <v>121</v>
      </c>
      <c r="AZ37">
        <v>3045</v>
      </c>
      <c r="BA37">
        <v>8</v>
      </c>
      <c r="BB37" t="s">
        <v>4552</v>
      </c>
      <c r="BC37" t="s">
        <v>1866</v>
      </c>
      <c r="BD37">
        <v>913101</v>
      </c>
      <c r="BE37" t="s">
        <v>4553</v>
      </c>
      <c r="BF37" t="s">
        <v>4554</v>
      </c>
      <c r="BG37">
        <v>90</v>
      </c>
      <c r="BH37">
        <v>0</v>
      </c>
      <c r="BI37">
        <v>0</v>
      </c>
    </row>
    <row r="38" spans="1:61" x14ac:dyDescent="0.25">
      <c r="A38">
        <v>2010</v>
      </c>
      <c r="B38" t="s">
        <v>4709</v>
      </c>
      <c r="C38" t="s">
        <v>1015</v>
      </c>
      <c r="D38" t="s">
        <v>1015</v>
      </c>
      <c r="E38" t="s">
        <v>4710</v>
      </c>
      <c r="G38" t="s">
        <v>4545</v>
      </c>
      <c r="H38" t="s">
        <v>4711</v>
      </c>
      <c r="I38">
        <v>1</v>
      </c>
      <c r="J38">
        <v>2</v>
      </c>
      <c r="K38" t="s">
        <v>988</v>
      </c>
      <c r="L38">
        <v>5</v>
      </c>
      <c r="M38">
        <v>210</v>
      </c>
      <c r="N38" t="s">
        <v>989</v>
      </c>
      <c r="O38">
        <v>6</v>
      </c>
      <c r="P38">
        <v>0</v>
      </c>
      <c r="Q38">
        <v>4</v>
      </c>
      <c r="R38">
        <v>0</v>
      </c>
      <c r="S38">
        <v>1</v>
      </c>
      <c r="T38">
        <v>0</v>
      </c>
      <c r="U38">
        <v>900841</v>
      </c>
      <c r="V38">
        <v>900842</v>
      </c>
      <c r="W38" t="s">
        <v>1866</v>
      </c>
      <c r="X38" t="s">
        <v>4559</v>
      </c>
      <c r="Y38" t="s">
        <v>4712</v>
      </c>
      <c r="Z38">
        <v>900840</v>
      </c>
      <c r="AA38">
        <v>10</v>
      </c>
      <c r="AB38">
        <v>10</v>
      </c>
      <c r="AC38">
        <v>5</v>
      </c>
      <c r="AD38">
        <v>5</v>
      </c>
      <c r="AE38">
        <v>95</v>
      </c>
      <c r="AF38">
        <v>95</v>
      </c>
      <c r="AG38">
        <v>105</v>
      </c>
      <c r="AH38">
        <v>115</v>
      </c>
      <c r="AI38">
        <v>95</v>
      </c>
      <c r="AJ38">
        <v>0</v>
      </c>
      <c r="AK38">
        <v>15</v>
      </c>
      <c r="AL38">
        <v>20</v>
      </c>
      <c r="AM38">
        <v>150</v>
      </c>
      <c r="AN38">
        <v>95</v>
      </c>
      <c r="AO38">
        <v>15</v>
      </c>
      <c r="AP38">
        <v>0</v>
      </c>
      <c r="AQ38">
        <v>2</v>
      </c>
      <c r="AR38">
        <v>15</v>
      </c>
      <c r="AS38">
        <v>500</v>
      </c>
      <c r="AT38">
        <v>7</v>
      </c>
      <c r="AU38" t="s">
        <v>329</v>
      </c>
      <c r="AV38" t="s">
        <v>329</v>
      </c>
      <c r="AW38" t="s">
        <v>329</v>
      </c>
      <c r="AX38" t="s">
        <v>329</v>
      </c>
      <c r="AY38">
        <v>94</v>
      </c>
      <c r="AZ38">
        <v>3045</v>
      </c>
      <c r="BA38">
        <v>8</v>
      </c>
      <c r="BB38" t="s">
        <v>4552</v>
      </c>
      <c r="BC38" t="s">
        <v>1866</v>
      </c>
      <c r="BD38">
        <v>911105</v>
      </c>
      <c r="BE38" t="s">
        <v>4553</v>
      </c>
      <c r="BF38" t="s">
        <v>4554</v>
      </c>
      <c r="BG38">
        <v>90</v>
      </c>
      <c r="BH38">
        <v>0</v>
      </c>
    </row>
    <row r="39" spans="1:61" x14ac:dyDescent="0.25">
      <c r="A39">
        <v>3006</v>
      </c>
      <c r="B39" t="s">
        <v>4713</v>
      </c>
      <c r="C39" t="s">
        <v>1026</v>
      </c>
      <c r="D39" t="s">
        <v>1026</v>
      </c>
      <c r="E39" t="s">
        <v>4714</v>
      </c>
      <c r="G39" t="s">
        <v>4545</v>
      </c>
      <c r="H39" t="s">
        <v>4715</v>
      </c>
      <c r="I39">
        <v>1</v>
      </c>
      <c r="J39">
        <v>3</v>
      </c>
      <c r="K39" t="s">
        <v>1017</v>
      </c>
      <c r="L39">
        <v>5</v>
      </c>
      <c r="M39">
        <v>306</v>
      </c>
      <c r="N39" t="s">
        <v>989</v>
      </c>
      <c r="O39">
        <v>2</v>
      </c>
      <c r="P39">
        <v>0</v>
      </c>
      <c r="Q39">
        <v>3</v>
      </c>
      <c r="R39">
        <v>0</v>
      </c>
      <c r="S39">
        <v>1</v>
      </c>
      <c r="T39">
        <v>0</v>
      </c>
      <c r="U39">
        <v>0</v>
      </c>
      <c r="V39">
        <v>900676</v>
      </c>
      <c r="W39" t="s">
        <v>1866</v>
      </c>
      <c r="X39" t="s">
        <v>4707</v>
      </c>
      <c r="Y39" t="s">
        <v>4716</v>
      </c>
      <c r="Z39">
        <v>900654</v>
      </c>
      <c r="AA39">
        <v>10</v>
      </c>
      <c r="AB39">
        <v>10</v>
      </c>
      <c r="AC39">
        <v>5</v>
      </c>
      <c r="AD39">
        <v>5</v>
      </c>
      <c r="AE39">
        <v>36</v>
      </c>
      <c r="AF39">
        <v>90</v>
      </c>
      <c r="AG39">
        <v>100</v>
      </c>
      <c r="AH39">
        <v>100</v>
      </c>
      <c r="AI39">
        <v>100</v>
      </c>
      <c r="AJ39">
        <v>0</v>
      </c>
      <c r="AK39">
        <v>15</v>
      </c>
      <c r="AL39">
        <v>20</v>
      </c>
      <c r="AM39">
        <v>150</v>
      </c>
      <c r="AN39">
        <v>95</v>
      </c>
      <c r="AO39">
        <v>15</v>
      </c>
      <c r="AP39">
        <v>0</v>
      </c>
      <c r="AQ39">
        <v>1</v>
      </c>
      <c r="AR39">
        <v>15</v>
      </c>
      <c r="AS39">
        <v>500</v>
      </c>
      <c r="AT39">
        <v>3</v>
      </c>
      <c r="AU39" t="s">
        <v>329</v>
      </c>
      <c r="AV39" t="s">
        <v>329</v>
      </c>
      <c r="AW39" t="s">
        <v>329</v>
      </c>
      <c r="AX39" t="s">
        <v>329</v>
      </c>
      <c r="AY39">
        <v>6</v>
      </c>
      <c r="AZ39">
        <v>3045</v>
      </c>
      <c r="BA39">
        <v>18</v>
      </c>
      <c r="BB39" t="s">
        <v>4552</v>
      </c>
      <c r="BC39" t="s">
        <v>1866</v>
      </c>
      <c r="BD39">
        <v>910003</v>
      </c>
      <c r="BE39" t="s">
        <v>4553</v>
      </c>
      <c r="BF39" t="s">
        <v>4554</v>
      </c>
      <c r="BG39">
        <v>95</v>
      </c>
      <c r="BH39">
        <v>0</v>
      </c>
    </row>
    <row r="40" spans="1:61" x14ac:dyDescent="0.25">
      <c r="A40">
        <v>3010</v>
      </c>
      <c r="B40" t="s">
        <v>4717</v>
      </c>
      <c r="C40" t="s">
        <v>1031</v>
      </c>
      <c r="D40" t="s">
        <v>1031</v>
      </c>
      <c r="E40" t="s">
        <v>4718</v>
      </c>
      <c r="G40" t="s">
        <v>4545</v>
      </c>
      <c r="H40" t="s">
        <v>4719</v>
      </c>
      <c r="I40">
        <v>1</v>
      </c>
      <c r="J40">
        <v>3</v>
      </c>
      <c r="K40" t="s">
        <v>1009</v>
      </c>
      <c r="L40">
        <v>1</v>
      </c>
      <c r="M40">
        <v>310</v>
      </c>
      <c r="N40" t="s">
        <v>989</v>
      </c>
      <c r="O40">
        <v>8</v>
      </c>
      <c r="P40">
        <v>0</v>
      </c>
      <c r="Q40">
        <v>3</v>
      </c>
      <c r="R40">
        <v>0</v>
      </c>
      <c r="S40">
        <v>1</v>
      </c>
      <c r="T40">
        <v>0</v>
      </c>
      <c r="U40">
        <v>0</v>
      </c>
      <c r="V40">
        <v>901041</v>
      </c>
      <c r="W40" t="s">
        <v>1866</v>
      </c>
      <c r="X40" t="s">
        <v>4720</v>
      </c>
      <c r="Y40" t="s">
        <v>329</v>
      </c>
      <c r="Z40">
        <v>900107</v>
      </c>
      <c r="AA40">
        <v>10</v>
      </c>
      <c r="AB40">
        <v>10</v>
      </c>
      <c r="AC40">
        <v>5</v>
      </c>
      <c r="AD40">
        <v>5</v>
      </c>
      <c r="AE40">
        <v>160</v>
      </c>
      <c r="AF40">
        <v>320</v>
      </c>
      <c r="AG40">
        <v>90</v>
      </c>
      <c r="AH40">
        <v>350</v>
      </c>
      <c r="AI40">
        <v>0</v>
      </c>
      <c r="AJ40">
        <v>90</v>
      </c>
      <c r="AK40">
        <v>100</v>
      </c>
      <c r="AL40">
        <v>5</v>
      </c>
      <c r="AM40">
        <v>150</v>
      </c>
      <c r="AN40">
        <v>75</v>
      </c>
      <c r="AO40">
        <v>3</v>
      </c>
      <c r="AP40">
        <v>0</v>
      </c>
      <c r="AQ40">
        <v>2</v>
      </c>
      <c r="AR40">
        <v>15</v>
      </c>
      <c r="AS40">
        <v>500</v>
      </c>
      <c r="AT40">
        <v>5</v>
      </c>
      <c r="AU40" t="s">
        <v>329</v>
      </c>
      <c r="AV40" t="s">
        <v>329</v>
      </c>
      <c r="AW40" t="s">
        <v>329</v>
      </c>
      <c r="AX40" t="s">
        <v>329</v>
      </c>
      <c r="AY40">
        <v>99</v>
      </c>
      <c r="AZ40">
        <v>3045</v>
      </c>
      <c r="BA40">
        <v>21</v>
      </c>
      <c r="BB40" t="s">
        <v>4552</v>
      </c>
      <c r="BC40" t="s">
        <v>1866</v>
      </c>
      <c r="BD40">
        <v>910021</v>
      </c>
      <c r="BE40" t="s">
        <v>4553</v>
      </c>
      <c r="BF40" t="s">
        <v>4554</v>
      </c>
      <c r="BG40">
        <v>100</v>
      </c>
      <c r="BH40">
        <v>0</v>
      </c>
    </row>
    <row r="41" spans="1:61" x14ac:dyDescent="0.25">
      <c r="A41">
        <v>3003</v>
      </c>
      <c r="B41" t="s">
        <v>4721</v>
      </c>
      <c r="C41" t="s">
        <v>1023</v>
      </c>
      <c r="D41" t="s">
        <v>1023</v>
      </c>
      <c r="E41" t="s">
        <v>4722</v>
      </c>
      <c r="G41" t="s">
        <v>4545</v>
      </c>
      <c r="H41" t="s">
        <v>4723</v>
      </c>
      <c r="I41">
        <v>1</v>
      </c>
      <c r="J41">
        <v>3</v>
      </c>
      <c r="K41" t="s">
        <v>991</v>
      </c>
      <c r="L41">
        <v>5</v>
      </c>
      <c r="M41">
        <v>303</v>
      </c>
      <c r="N41" t="s">
        <v>989</v>
      </c>
      <c r="O41">
        <v>4</v>
      </c>
      <c r="P41">
        <v>0</v>
      </c>
      <c r="Q41">
        <v>3</v>
      </c>
      <c r="R41">
        <v>0</v>
      </c>
      <c r="S41">
        <v>1</v>
      </c>
      <c r="T41">
        <v>0</v>
      </c>
      <c r="U41">
        <v>0</v>
      </c>
      <c r="V41">
        <v>900525</v>
      </c>
      <c r="W41" t="s">
        <v>1866</v>
      </c>
      <c r="X41" t="s">
        <v>4559</v>
      </c>
      <c r="Y41" t="s">
        <v>4724</v>
      </c>
      <c r="Z41">
        <v>900524</v>
      </c>
      <c r="AA41">
        <v>10</v>
      </c>
      <c r="AB41">
        <v>10</v>
      </c>
      <c r="AC41">
        <v>5</v>
      </c>
      <c r="AD41">
        <v>5</v>
      </c>
      <c r="AE41">
        <v>135</v>
      </c>
      <c r="AF41">
        <v>80</v>
      </c>
      <c r="AG41">
        <v>75</v>
      </c>
      <c r="AH41">
        <v>120</v>
      </c>
      <c r="AI41">
        <v>80</v>
      </c>
      <c r="AJ41">
        <v>0</v>
      </c>
      <c r="AK41">
        <v>15</v>
      </c>
      <c r="AL41">
        <v>20</v>
      </c>
      <c r="AM41">
        <v>150</v>
      </c>
      <c r="AN41">
        <v>95</v>
      </c>
      <c r="AO41">
        <v>12</v>
      </c>
      <c r="AP41">
        <v>0</v>
      </c>
      <c r="AQ41">
        <v>1</v>
      </c>
      <c r="AR41">
        <v>15</v>
      </c>
      <c r="AS41">
        <v>500</v>
      </c>
      <c r="AT41">
        <v>3</v>
      </c>
      <c r="AU41" t="s">
        <v>329</v>
      </c>
      <c r="AV41" t="s">
        <v>329</v>
      </c>
      <c r="AW41" t="s">
        <v>329</v>
      </c>
      <c r="AX41" t="s">
        <v>329</v>
      </c>
      <c r="AY41">
        <v>10</v>
      </c>
      <c r="AZ41">
        <v>3045</v>
      </c>
      <c r="BA41">
        <v>16</v>
      </c>
      <c r="BB41" t="s">
        <v>4552</v>
      </c>
      <c r="BC41" t="s">
        <v>1866</v>
      </c>
      <c r="BD41">
        <v>910007</v>
      </c>
      <c r="BE41" t="s">
        <v>4553</v>
      </c>
      <c r="BF41" t="s">
        <v>4554</v>
      </c>
      <c r="BG41">
        <v>92</v>
      </c>
      <c r="BH41">
        <v>0</v>
      </c>
    </row>
    <row r="42" spans="1:61" x14ac:dyDescent="0.25">
      <c r="A42">
        <v>3004</v>
      </c>
      <c r="B42" t="s">
        <v>4725</v>
      </c>
      <c r="C42" t="s">
        <v>1024</v>
      </c>
      <c r="D42" t="s">
        <v>1024</v>
      </c>
      <c r="E42" t="s">
        <v>4726</v>
      </c>
      <c r="G42" t="s">
        <v>4545</v>
      </c>
      <c r="H42" t="s">
        <v>4727</v>
      </c>
      <c r="I42">
        <v>1</v>
      </c>
      <c r="J42">
        <v>3</v>
      </c>
      <c r="K42" t="s">
        <v>988</v>
      </c>
      <c r="L42">
        <v>5</v>
      </c>
      <c r="M42">
        <v>304</v>
      </c>
      <c r="N42" t="s">
        <v>989</v>
      </c>
      <c r="O42">
        <v>4</v>
      </c>
      <c r="P42">
        <v>0</v>
      </c>
      <c r="Q42">
        <v>3</v>
      </c>
      <c r="R42">
        <v>0</v>
      </c>
      <c r="S42">
        <v>1</v>
      </c>
      <c r="T42">
        <v>0</v>
      </c>
      <c r="U42">
        <v>0</v>
      </c>
      <c r="V42">
        <v>900523</v>
      </c>
      <c r="W42" t="s">
        <v>1866</v>
      </c>
      <c r="X42" t="s">
        <v>4559</v>
      </c>
      <c r="Y42" t="s">
        <v>329</v>
      </c>
      <c r="Z42">
        <v>900522</v>
      </c>
      <c r="AA42">
        <v>10</v>
      </c>
      <c r="AB42">
        <v>10</v>
      </c>
      <c r="AC42">
        <v>5</v>
      </c>
      <c r="AD42">
        <v>5</v>
      </c>
      <c r="AE42">
        <v>65</v>
      </c>
      <c r="AF42">
        <v>105</v>
      </c>
      <c r="AG42">
        <v>65</v>
      </c>
      <c r="AH42">
        <v>125</v>
      </c>
      <c r="AI42">
        <v>55</v>
      </c>
      <c r="AJ42">
        <v>0</v>
      </c>
      <c r="AK42">
        <v>180</v>
      </c>
      <c r="AL42">
        <v>50</v>
      </c>
      <c r="AM42">
        <v>200</v>
      </c>
      <c r="AN42">
        <v>95</v>
      </c>
      <c r="AO42">
        <v>6</v>
      </c>
      <c r="AP42">
        <v>0</v>
      </c>
      <c r="AQ42">
        <v>2</v>
      </c>
      <c r="AR42">
        <v>15</v>
      </c>
      <c r="AS42">
        <v>500</v>
      </c>
      <c r="AT42">
        <v>9</v>
      </c>
      <c r="AU42" t="s">
        <v>329</v>
      </c>
      <c r="AV42" t="s">
        <v>329</v>
      </c>
      <c r="AW42" t="s">
        <v>329</v>
      </c>
      <c r="AX42" t="s">
        <v>329</v>
      </c>
      <c r="AY42">
        <v>9</v>
      </c>
      <c r="AZ42">
        <v>3045</v>
      </c>
      <c r="BA42">
        <v>17</v>
      </c>
      <c r="BB42" t="s">
        <v>4552</v>
      </c>
      <c r="BC42" t="s">
        <v>1866</v>
      </c>
      <c r="BD42">
        <v>910006</v>
      </c>
      <c r="BE42" t="s">
        <v>4553</v>
      </c>
      <c r="BF42" t="s">
        <v>4554</v>
      </c>
      <c r="BG42">
        <v>100</v>
      </c>
      <c r="BH42">
        <v>0</v>
      </c>
    </row>
    <row r="43" spans="1:61" x14ac:dyDescent="0.25">
      <c r="A43">
        <v>3009</v>
      </c>
      <c r="B43" t="s">
        <v>4728</v>
      </c>
      <c r="C43" t="s">
        <v>1029</v>
      </c>
      <c r="D43" t="s">
        <v>1029</v>
      </c>
      <c r="E43" t="s">
        <v>4729</v>
      </c>
      <c r="G43" t="s">
        <v>4545</v>
      </c>
      <c r="H43" t="s">
        <v>4730</v>
      </c>
      <c r="I43">
        <v>1</v>
      </c>
      <c r="J43">
        <v>3</v>
      </c>
      <c r="K43" t="s">
        <v>1030</v>
      </c>
      <c r="L43">
        <v>5</v>
      </c>
      <c r="M43">
        <v>309</v>
      </c>
      <c r="N43" t="s">
        <v>989</v>
      </c>
      <c r="O43">
        <v>4</v>
      </c>
      <c r="P43">
        <v>0</v>
      </c>
      <c r="Q43">
        <v>3</v>
      </c>
      <c r="R43">
        <v>0</v>
      </c>
      <c r="S43">
        <v>1</v>
      </c>
      <c r="T43">
        <v>0</v>
      </c>
      <c r="U43">
        <v>0</v>
      </c>
      <c r="V43">
        <v>900741</v>
      </c>
      <c r="W43" t="s">
        <v>1866</v>
      </c>
      <c r="X43" t="s">
        <v>4559</v>
      </c>
      <c r="Y43" t="s">
        <v>329</v>
      </c>
      <c r="Z43">
        <v>900740</v>
      </c>
      <c r="AA43">
        <v>10</v>
      </c>
      <c r="AB43">
        <v>10</v>
      </c>
      <c r="AC43">
        <v>5</v>
      </c>
      <c r="AD43">
        <v>5</v>
      </c>
      <c r="AE43">
        <v>55</v>
      </c>
      <c r="AF43">
        <v>72</v>
      </c>
      <c r="AG43">
        <v>50</v>
      </c>
      <c r="AH43">
        <v>130</v>
      </c>
      <c r="AI43">
        <v>90</v>
      </c>
      <c r="AJ43">
        <v>0</v>
      </c>
      <c r="AK43">
        <v>100</v>
      </c>
      <c r="AL43">
        <v>20</v>
      </c>
      <c r="AM43">
        <v>150</v>
      </c>
      <c r="AN43">
        <v>95</v>
      </c>
      <c r="AO43">
        <v>12</v>
      </c>
      <c r="AP43">
        <v>0</v>
      </c>
      <c r="AQ43">
        <v>2</v>
      </c>
      <c r="AR43">
        <v>15</v>
      </c>
      <c r="AS43">
        <v>500</v>
      </c>
      <c r="AT43">
        <v>9</v>
      </c>
      <c r="AU43" t="s">
        <v>329</v>
      </c>
      <c r="AV43" t="s">
        <v>329</v>
      </c>
      <c r="AW43" t="s">
        <v>329</v>
      </c>
      <c r="AX43" t="s">
        <v>329</v>
      </c>
      <c r="AY43">
        <v>13</v>
      </c>
      <c r="AZ43">
        <v>3045</v>
      </c>
      <c r="BA43">
        <v>21</v>
      </c>
      <c r="BB43" t="s">
        <v>4552</v>
      </c>
      <c r="BC43" t="s">
        <v>1866</v>
      </c>
      <c r="BD43">
        <v>910009</v>
      </c>
      <c r="BE43" t="s">
        <v>4553</v>
      </c>
      <c r="BF43" t="s">
        <v>4554</v>
      </c>
      <c r="BG43">
        <v>80</v>
      </c>
      <c r="BH43">
        <v>0</v>
      </c>
    </row>
    <row r="44" spans="1:61" x14ac:dyDescent="0.25">
      <c r="A44">
        <v>3008</v>
      </c>
      <c r="B44" t="s">
        <v>4731</v>
      </c>
      <c r="C44" t="s">
        <v>1028</v>
      </c>
      <c r="D44" t="s">
        <v>1028</v>
      </c>
      <c r="E44" t="s">
        <v>4732</v>
      </c>
      <c r="G44" t="s">
        <v>4545</v>
      </c>
      <c r="H44" t="s">
        <v>4733</v>
      </c>
      <c r="I44">
        <v>1</v>
      </c>
      <c r="J44">
        <v>3</v>
      </c>
      <c r="K44" t="s">
        <v>1017</v>
      </c>
      <c r="L44">
        <v>5</v>
      </c>
      <c r="M44">
        <v>308</v>
      </c>
      <c r="N44" t="s">
        <v>989</v>
      </c>
      <c r="O44">
        <v>4</v>
      </c>
      <c r="P44">
        <v>0</v>
      </c>
      <c r="Q44">
        <v>3</v>
      </c>
      <c r="R44">
        <v>0</v>
      </c>
      <c r="S44">
        <v>1</v>
      </c>
      <c r="T44">
        <v>0</v>
      </c>
      <c r="U44">
        <v>0</v>
      </c>
      <c r="V44">
        <v>900575</v>
      </c>
      <c r="W44" t="s">
        <v>1866</v>
      </c>
      <c r="X44" t="s">
        <v>4559</v>
      </c>
      <c r="Y44" t="s">
        <v>4734</v>
      </c>
      <c r="Z44">
        <v>900574</v>
      </c>
      <c r="AA44">
        <v>10</v>
      </c>
      <c r="AB44">
        <v>10</v>
      </c>
      <c r="AC44">
        <v>5</v>
      </c>
      <c r="AD44">
        <v>5</v>
      </c>
      <c r="AE44">
        <v>90</v>
      </c>
      <c r="AF44">
        <v>68</v>
      </c>
      <c r="AG44">
        <v>120</v>
      </c>
      <c r="AH44">
        <v>110</v>
      </c>
      <c r="AI44">
        <v>95</v>
      </c>
      <c r="AJ44">
        <v>0</v>
      </c>
      <c r="AK44">
        <v>15</v>
      </c>
      <c r="AL44">
        <v>20</v>
      </c>
      <c r="AM44">
        <v>150</v>
      </c>
      <c r="AN44">
        <v>95</v>
      </c>
      <c r="AO44">
        <v>12</v>
      </c>
      <c r="AP44">
        <v>0</v>
      </c>
      <c r="AQ44">
        <v>1</v>
      </c>
      <c r="AR44">
        <v>15</v>
      </c>
      <c r="AS44">
        <v>500</v>
      </c>
      <c r="AT44">
        <v>4</v>
      </c>
      <c r="AU44" t="s">
        <v>329</v>
      </c>
      <c r="AV44" t="s">
        <v>329</v>
      </c>
      <c r="AW44" t="s">
        <v>329</v>
      </c>
      <c r="AX44" t="s">
        <v>329</v>
      </c>
      <c r="AY44">
        <v>2</v>
      </c>
      <c r="AZ44">
        <v>3045</v>
      </c>
      <c r="BA44">
        <v>21</v>
      </c>
      <c r="BB44" t="s">
        <v>4552</v>
      </c>
      <c r="BC44" t="s">
        <v>1866</v>
      </c>
      <c r="BD44">
        <v>910001</v>
      </c>
      <c r="BE44" t="s">
        <v>4553</v>
      </c>
      <c r="BF44" t="s">
        <v>4554</v>
      </c>
      <c r="BG44">
        <v>80</v>
      </c>
      <c r="BH44">
        <v>0</v>
      </c>
    </row>
    <row r="45" spans="1:61" x14ac:dyDescent="0.25">
      <c r="A45">
        <v>3001</v>
      </c>
      <c r="B45" t="s">
        <v>4735</v>
      </c>
      <c r="C45" t="s">
        <v>1021</v>
      </c>
      <c r="D45" t="s">
        <v>1021</v>
      </c>
      <c r="E45" t="s">
        <v>4736</v>
      </c>
      <c r="G45" t="s">
        <v>4545</v>
      </c>
      <c r="H45" t="s">
        <v>4737</v>
      </c>
      <c r="I45">
        <v>1</v>
      </c>
      <c r="J45">
        <v>3</v>
      </c>
      <c r="K45" t="s">
        <v>988</v>
      </c>
      <c r="L45">
        <v>5</v>
      </c>
      <c r="M45">
        <v>301</v>
      </c>
      <c r="N45" t="s">
        <v>989</v>
      </c>
      <c r="O45">
        <v>4</v>
      </c>
      <c r="P45">
        <v>0</v>
      </c>
      <c r="Q45">
        <v>3</v>
      </c>
      <c r="R45">
        <v>0</v>
      </c>
      <c r="S45">
        <v>1</v>
      </c>
      <c r="T45">
        <v>0</v>
      </c>
      <c r="U45">
        <v>0</v>
      </c>
      <c r="V45">
        <v>600501</v>
      </c>
      <c r="W45" t="s">
        <v>1866</v>
      </c>
      <c r="X45" t="s">
        <v>4559</v>
      </c>
      <c r="Y45" t="s">
        <v>4738</v>
      </c>
      <c r="Z45">
        <v>600503</v>
      </c>
      <c r="AA45">
        <v>10</v>
      </c>
      <c r="AB45">
        <v>10</v>
      </c>
      <c r="AC45">
        <v>5</v>
      </c>
      <c r="AD45">
        <v>5</v>
      </c>
      <c r="AE45">
        <v>100</v>
      </c>
      <c r="AF45">
        <v>62</v>
      </c>
      <c r="AG45">
        <v>100</v>
      </c>
      <c r="AH45">
        <v>65</v>
      </c>
      <c r="AI45">
        <v>130</v>
      </c>
      <c r="AJ45">
        <v>0</v>
      </c>
      <c r="AK45">
        <v>15</v>
      </c>
      <c r="AL45">
        <v>10</v>
      </c>
      <c r="AM45">
        <v>150</v>
      </c>
      <c r="AN45">
        <v>95</v>
      </c>
      <c r="AO45">
        <v>15</v>
      </c>
      <c r="AP45">
        <v>0</v>
      </c>
      <c r="AQ45">
        <v>2</v>
      </c>
      <c r="AR45">
        <v>15</v>
      </c>
      <c r="AS45">
        <v>500</v>
      </c>
      <c r="AT45">
        <v>7</v>
      </c>
      <c r="AU45" t="s">
        <v>329</v>
      </c>
      <c r="AV45" t="s">
        <v>329</v>
      </c>
      <c r="AW45" t="s">
        <v>329</v>
      </c>
      <c r="AX45" t="s">
        <v>329</v>
      </c>
      <c r="AY45">
        <v>4</v>
      </c>
      <c r="AZ45">
        <v>3045</v>
      </c>
      <c r="BA45">
        <v>14</v>
      </c>
      <c r="BB45" t="s">
        <v>4552</v>
      </c>
      <c r="BC45" t="s">
        <v>1866</v>
      </c>
      <c r="BD45">
        <v>910004</v>
      </c>
      <c r="BE45" t="s">
        <v>4553</v>
      </c>
      <c r="BF45" t="s">
        <v>4554</v>
      </c>
      <c r="BG45">
        <v>95</v>
      </c>
      <c r="BH45">
        <v>0</v>
      </c>
    </row>
    <row r="46" spans="1:61" x14ac:dyDescent="0.25">
      <c r="A46">
        <v>3007</v>
      </c>
      <c r="B46" t="s">
        <v>4739</v>
      </c>
      <c r="C46" t="s">
        <v>1027</v>
      </c>
      <c r="D46" t="s">
        <v>1027</v>
      </c>
      <c r="E46" t="s">
        <v>4740</v>
      </c>
      <c r="G46" t="s">
        <v>4545</v>
      </c>
      <c r="H46" t="s">
        <v>4741</v>
      </c>
      <c r="I46">
        <v>1</v>
      </c>
      <c r="J46">
        <v>3</v>
      </c>
      <c r="K46" t="s">
        <v>1017</v>
      </c>
      <c r="L46">
        <v>5</v>
      </c>
      <c r="M46">
        <v>307</v>
      </c>
      <c r="N46" t="s">
        <v>989</v>
      </c>
      <c r="O46">
        <v>4</v>
      </c>
      <c r="P46">
        <v>0</v>
      </c>
      <c r="Q46">
        <v>3</v>
      </c>
      <c r="R46">
        <v>0</v>
      </c>
      <c r="S46">
        <v>1</v>
      </c>
      <c r="T46">
        <v>0</v>
      </c>
      <c r="U46">
        <v>0</v>
      </c>
      <c r="V46">
        <v>900573</v>
      </c>
      <c r="W46" t="s">
        <v>1866</v>
      </c>
      <c r="X46" t="s">
        <v>4559</v>
      </c>
      <c r="Y46" t="s">
        <v>329</v>
      </c>
      <c r="Z46">
        <v>900572</v>
      </c>
      <c r="AA46">
        <v>10</v>
      </c>
      <c r="AB46">
        <v>10</v>
      </c>
      <c r="AC46">
        <v>5</v>
      </c>
      <c r="AD46">
        <v>5</v>
      </c>
      <c r="AE46">
        <v>75</v>
      </c>
      <c r="AF46">
        <v>72</v>
      </c>
      <c r="AG46">
        <v>100</v>
      </c>
      <c r="AH46">
        <v>100</v>
      </c>
      <c r="AI46">
        <v>140</v>
      </c>
      <c r="AJ46">
        <v>0</v>
      </c>
      <c r="AK46">
        <v>15</v>
      </c>
      <c r="AL46">
        <v>20</v>
      </c>
      <c r="AM46">
        <v>150</v>
      </c>
      <c r="AN46">
        <v>95</v>
      </c>
      <c r="AO46">
        <v>12</v>
      </c>
      <c r="AP46">
        <v>0</v>
      </c>
      <c r="AQ46">
        <v>2</v>
      </c>
      <c r="AR46">
        <v>15</v>
      </c>
      <c r="AS46">
        <v>500</v>
      </c>
      <c r="AT46">
        <v>5</v>
      </c>
      <c r="AU46" t="s">
        <v>329</v>
      </c>
      <c r="AV46" t="s">
        <v>329</v>
      </c>
      <c r="AW46" t="s">
        <v>329</v>
      </c>
      <c r="AX46" t="s">
        <v>329</v>
      </c>
      <c r="AY46">
        <v>3</v>
      </c>
      <c r="AZ46">
        <v>3045</v>
      </c>
      <c r="BA46">
        <v>20</v>
      </c>
      <c r="BB46" t="s">
        <v>4552</v>
      </c>
      <c r="BC46" t="s">
        <v>1866</v>
      </c>
      <c r="BD46">
        <v>910002</v>
      </c>
      <c r="BE46" t="s">
        <v>4553</v>
      </c>
      <c r="BF46" t="s">
        <v>4554</v>
      </c>
      <c r="BG46">
        <v>80</v>
      </c>
      <c r="BH46">
        <v>0</v>
      </c>
    </row>
    <row r="47" spans="1:61" x14ac:dyDescent="0.25">
      <c r="A47">
        <v>3005</v>
      </c>
      <c r="B47" t="s">
        <v>4742</v>
      </c>
      <c r="C47" t="s">
        <v>1025</v>
      </c>
      <c r="D47" t="s">
        <v>1025</v>
      </c>
      <c r="E47" t="s">
        <v>4743</v>
      </c>
      <c r="G47" t="s">
        <v>4545</v>
      </c>
      <c r="H47" t="s">
        <v>4744</v>
      </c>
      <c r="I47">
        <v>1</v>
      </c>
      <c r="J47">
        <v>3</v>
      </c>
      <c r="K47" t="s">
        <v>988</v>
      </c>
      <c r="L47">
        <v>5</v>
      </c>
      <c r="M47">
        <v>305</v>
      </c>
      <c r="N47" t="s">
        <v>989</v>
      </c>
      <c r="O47">
        <v>4</v>
      </c>
      <c r="P47">
        <v>0</v>
      </c>
      <c r="Q47">
        <v>3</v>
      </c>
      <c r="R47">
        <v>0</v>
      </c>
      <c r="S47">
        <v>1</v>
      </c>
      <c r="T47">
        <v>0</v>
      </c>
      <c r="U47">
        <v>0</v>
      </c>
      <c r="V47">
        <v>900571</v>
      </c>
      <c r="W47" t="s">
        <v>1866</v>
      </c>
      <c r="X47" t="s">
        <v>4559</v>
      </c>
      <c r="Y47" t="s">
        <v>4745</v>
      </c>
      <c r="Z47">
        <v>900570</v>
      </c>
      <c r="AA47">
        <v>10</v>
      </c>
      <c r="AB47">
        <v>10</v>
      </c>
      <c r="AC47">
        <v>5</v>
      </c>
      <c r="AD47">
        <v>5</v>
      </c>
      <c r="AE47">
        <v>80</v>
      </c>
      <c r="AF47">
        <v>80</v>
      </c>
      <c r="AG47">
        <v>115</v>
      </c>
      <c r="AH47">
        <v>50</v>
      </c>
      <c r="AI47">
        <v>45</v>
      </c>
      <c r="AJ47">
        <v>0</v>
      </c>
      <c r="AK47">
        <v>180</v>
      </c>
      <c r="AL47">
        <v>5</v>
      </c>
      <c r="AM47">
        <v>150</v>
      </c>
      <c r="AN47">
        <v>95</v>
      </c>
      <c r="AO47">
        <v>5</v>
      </c>
      <c r="AP47">
        <v>0</v>
      </c>
      <c r="AQ47">
        <v>2</v>
      </c>
      <c r="AR47">
        <v>15</v>
      </c>
      <c r="AS47">
        <v>500</v>
      </c>
      <c r="AT47">
        <v>9</v>
      </c>
      <c r="AU47" t="s">
        <v>329</v>
      </c>
      <c r="AV47" t="s">
        <v>329</v>
      </c>
      <c r="AW47" t="s">
        <v>329</v>
      </c>
      <c r="AX47" t="s">
        <v>329</v>
      </c>
      <c r="AY47">
        <v>29</v>
      </c>
      <c r="AZ47">
        <v>3045</v>
      </c>
      <c r="BA47">
        <v>18</v>
      </c>
      <c r="BB47" t="s">
        <v>4552</v>
      </c>
      <c r="BC47" t="s">
        <v>1866</v>
      </c>
      <c r="BD47">
        <v>910012</v>
      </c>
      <c r="BE47" t="s">
        <v>4553</v>
      </c>
      <c r="BF47" t="s">
        <v>4554</v>
      </c>
      <c r="BG47">
        <v>95</v>
      </c>
      <c r="BH47">
        <v>0</v>
      </c>
    </row>
    <row r="48" spans="1:61" x14ac:dyDescent="0.25">
      <c r="A48">
        <v>3002</v>
      </c>
      <c r="B48" t="s">
        <v>4746</v>
      </c>
      <c r="C48" t="s">
        <v>1022</v>
      </c>
      <c r="D48" t="s">
        <v>1022</v>
      </c>
      <c r="E48" t="s">
        <v>4747</v>
      </c>
      <c r="G48" t="s">
        <v>4545</v>
      </c>
      <c r="H48" t="s">
        <v>4748</v>
      </c>
      <c r="I48">
        <v>1</v>
      </c>
      <c r="J48">
        <v>3</v>
      </c>
      <c r="K48" t="s">
        <v>988</v>
      </c>
      <c r="L48">
        <v>5</v>
      </c>
      <c r="M48">
        <v>302</v>
      </c>
      <c r="N48" t="s">
        <v>989</v>
      </c>
      <c r="O48">
        <v>4</v>
      </c>
      <c r="P48">
        <v>0</v>
      </c>
      <c r="Q48">
        <v>3</v>
      </c>
      <c r="R48">
        <v>0</v>
      </c>
      <c r="S48">
        <v>1</v>
      </c>
      <c r="T48">
        <v>0</v>
      </c>
      <c r="U48">
        <v>0</v>
      </c>
      <c r="V48">
        <v>600601</v>
      </c>
      <c r="W48" t="s">
        <v>1866</v>
      </c>
      <c r="X48" t="s">
        <v>4559</v>
      </c>
      <c r="Y48" t="s">
        <v>329</v>
      </c>
      <c r="Z48">
        <v>600602</v>
      </c>
      <c r="AA48">
        <v>10</v>
      </c>
      <c r="AB48">
        <v>10</v>
      </c>
      <c r="AC48">
        <v>5</v>
      </c>
      <c r="AD48">
        <v>5</v>
      </c>
      <c r="AE48">
        <v>92</v>
      </c>
      <c r="AF48">
        <v>85</v>
      </c>
      <c r="AG48">
        <v>100</v>
      </c>
      <c r="AH48">
        <v>110</v>
      </c>
      <c r="AI48">
        <v>90</v>
      </c>
      <c r="AJ48">
        <v>0</v>
      </c>
      <c r="AK48">
        <v>15</v>
      </c>
      <c r="AL48">
        <v>20</v>
      </c>
      <c r="AM48">
        <v>150</v>
      </c>
      <c r="AN48">
        <v>95</v>
      </c>
      <c r="AO48">
        <v>12</v>
      </c>
      <c r="AP48">
        <v>0</v>
      </c>
      <c r="AQ48">
        <v>2</v>
      </c>
      <c r="AR48">
        <v>15</v>
      </c>
      <c r="AS48">
        <v>500</v>
      </c>
      <c r="AT48">
        <v>7</v>
      </c>
      <c r="AU48" t="s">
        <v>329</v>
      </c>
      <c r="AV48" t="s">
        <v>329</v>
      </c>
      <c r="AW48" t="s">
        <v>329</v>
      </c>
      <c r="AX48" t="s">
        <v>329</v>
      </c>
      <c r="AY48">
        <v>7</v>
      </c>
      <c r="AZ48">
        <v>3045</v>
      </c>
      <c r="BA48">
        <v>15</v>
      </c>
      <c r="BB48" t="s">
        <v>4552</v>
      </c>
      <c r="BC48" t="s">
        <v>1866</v>
      </c>
      <c r="BD48">
        <v>910005</v>
      </c>
      <c r="BE48" t="s">
        <v>4553</v>
      </c>
      <c r="BF48" t="s">
        <v>4554</v>
      </c>
      <c r="BG48">
        <v>100</v>
      </c>
      <c r="BH48">
        <v>0</v>
      </c>
    </row>
  </sheetData>
  <autoFilter ref="A1:BH42" xr:uid="{B73B56D9-BCE9-49D8-8E2C-1557546D251C}">
    <sortState ref="A2:BH42">
      <sortCondition ref="J2:J42"/>
      <sortCondition ref="C2:C42"/>
    </sortState>
  </autoFilter>
  <sortState ref="A2:BI48">
    <sortCondition ref="J2:J48"/>
    <sortCondition ref="C2:C48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6243FB-670E-4AA7-8796-94C86D6221D5}">
  <sheetPr codeName="Sheet21">
    <tabColor theme="8" tint="0.79998168889431442"/>
  </sheetPr>
  <dimension ref="A1:C14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2" max="2" width="17.42578125" customWidth="1"/>
  </cols>
  <sheetData>
    <row r="1" spans="1:3" x14ac:dyDescent="0.25">
      <c r="A1" s="43" t="s">
        <v>25</v>
      </c>
      <c r="B1" s="43" t="s">
        <v>322</v>
      </c>
      <c r="C1" s="43" t="s">
        <v>1097</v>
      </c>
    </row>
    <row r="2" spans="1:3" x14ac:dyDescent="0.25">
      <c r="A2" s="1">
        <v>1001</v>
      </c>
      <c r="B2" t="s">
        <v>1100</v>
      </c>
      <c r="C2" t="s">
        <v>1098</v>
      </c>
    </row>
    <row r="3" spans="1:3" x14ac:dyDescent="0.25">
      <c r="A3" s="1">
        <v>1002</v>
      </c>
      <c r="B3" t="s">
        <v>1095</v>
      </c>
      <c r="C3" t="s">
        <v>1099</v>
      </c>
    </row>
    <row r="4" spans="1:3" x14ac:dyDescent="0.25">
      <c r="A4" s="1">
        <v>1003</v>
      </c>
      <c r="B4" t="s">
        <v>1096</v>
      </c>
      <c r="C4" t="s">
        <v>1107</v>
      </c>
    </row>
    <row r="5" spans="1:3" x14ac:dyDescent="0.25">
      <c r="A5" s="1">
        <v>1004</v>
      </c>
      <c r="B5" t="s">
        <v>1033</v>
      </c>
      <c r="C5" t="s">
        <v>1108</v>
      </c>
    </row>
    <row r="6" spans="1:3" x14ac:dyDescent="0.25">
      <c r="A6" s="1">
        <v>1005</v>
      </c>
      <c r="B6" t="s">
        <v>1034</v>
      </c>
      <c r="C6" t="s">
        <v>1109</v>
      </c>
    </row>
    <row r="7" spans="1:3" x14ac:dyDescent="0.25">
      <c r="A7" s="1">
        <v>2003</v>
      </c>
      <c r="B7" t="s">
        <v>1101</v>
      </c>
      <c r="C7" t="s">
        <v>1110</v>
      </c>
    </row>
    <row r="8" spans="1:3" x14ac:dyDescent="0.25">
      <c r="A8" s="1">
        <v>2004</v>
      </c>
      <c r="B8" t="s">
        <v>1102</v>
      </c>
      <c r="C8" t="s">
        <v>1111</v>
      </c>
    </row>
    <row r="9" spans="1:3" x14ac:dyDescent="0.25">
      <c r="A9" s="1">
        <v>3001</v>
      </c>
      <c r="B9" t="s">
        <v>1103</v>
      </c>
      <c r="C9" t="s">
        <v>1112</v>
      </c>
    </row>
    <row r="10" spans="1:3" x14ac:dyDescent="0.25">
      <c r="A10" s="1">
        <v>3002</v>
      </c>
      <c r="B10" t="s">
        <v>1105</v>
      </c>
      <c r="C10" t="s">
        <v>1113</v>
      </c>
    </row>
    <row r="11" spans="1:3" x14ac:dyDescent="0.25">
      <c r="A11" s="1">
        <v>3003</v>
      </c>
      <c r="B11" t="s">
        <v>1106</v>
      </c>
      <c r="C11" t="s">
        <v>1114</v>
      </c>
    </row>
    <row r="12" spans="1:3" x14ac:dyDescent="0.25">
      <c r="A12" s="1">
        <v>3004</v>
      </c>
      <c r="B12" t="s">
        <v>1104</v>
      </c>
      <c r="C12" t="s">
        <v>1115</v>
      </c>
    </row>
    <row r="13" spans="1:3" x14ac:dyDescent="0.25">
      <c r="A13" s="1">
        <v>3005</v>
      </c>
      <c r="B13" t="s">
        <v>1035</v>
      </c>
      <c r="C13" t="s">
        <v>1116</v>
      </c>
    </row>
    <row r="14" spans="1:3" x14ac:dyDescent="0.25">
      <c r="A14" s="1">
        <v>3006</v>
      </c>
      <c r="B14" t="s">
        <v>1036</v>
      </c>
      <c r="C14" t="s">
        <v>1117</v>
      </c>
    </row>
  </sheetData>
  <pageMargins left="0.7" right="0.7" top="0.75" bottom="0.75" header="0.3" footer="0.3"/>
  <pageSetup orientation="portrait" horizontalDpi="0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16BDAF-2AEF-4D6E-8B96-CBC6A7C71C75}">
  <sheetPr codeName="Sheet23">
    <tabColor theme="8" tint="0.79998168889431442"/>
  </sheetPr>
  <dimension ref="A1:Y281"/>
  <sheetViews>
    <sheetView workbookViewId="0">
      <pane ySplit="1" topLeftCell="A2" activePane="bottomLeft" state="frozen"/>
      <selection pane="bottomLeft" activeCell="A272" sqref="A272:Y281"/>
    </sheetView>
  </sheetViews>
  <sheetFormatPr defaultRowHeight="15" x14ac:dyDescent="0.25"/>
  <cols>
    <col min="1" max="1" width="7.28515625" bestFit="1" customWidth="1"/>
    <col min="2" max="2" width="13.42578125" bestFit="1" customWidth="1"/>
    <col min="3" max="3" width="7.140625" bestFit="1" customWidth="1"/>
    <col min="4" max="4" width="16.42578125" bestFit="1" customWidth="1"/>
    <col min="5" max="5" width="14.7109375" bestFit="1" customWidth="1"/>
    <col min="6" max="6" width="23" bestFit="1" customWidth="1"/>
    <col min="7" max="7" width="18.140625" bestFit="1" customWidth="1"/>
    <col min="8" max="8" width="19.7109375" bestFit="1" customWidth="1"/>
    <col min="9" max="9" width="19.42578125" bestFit="1" customWidth="1"/>
    <col min="10" max="10" width="18.28515625" bestFit="1" customWidth="1"/>
    <col min="11" max="11" width="21.42578125" bestFit="1" customWidth="1"/>
    <col min="12" max="12" width="21.140625" bestFit="1" customWidth="1"/>
    <col min="13" max="13" width="29.5703125" bestFit="1" customWidth="1"/>
    <col min="14" max="14" width="18.7109375" bestFit="1" customWidth="1"/>
    <col min="15" max="15" width="23.7109375" bestFit="1" customWidth="1"/>
    <col min="16" max="16" width="21.28515625" bestFit="1" customWidth="1"/>
    <col min="17" max="17" width="21.140625" bestFit="1" customWidth="1"/>
    <col min="18" max="18" width="29.42578125" bestFit="1" customWidth="1"/>
    <col min="19" max="19" width="9.7109375" bestFit="1" customWidth="1"/>
    <col min="20" max="20" width="14" bestFit="1" customWidth="1"/>
    <col min="21" max="23" width="7.85546875" bestFit="1" customWidth="1"/>
    <col min="24" max="24" width="15.140625" bestFit="1" customWidth="1"/>
  </cols>
  <sheetData>
    <row r="1" spans="1:24" x14ac:dyDescent="0.25">
      <c r="A1" s="43" t="s">
        <v>25</v>
      </c>
      <c r="B1" s="43" t="s">
        <v>1048</v>
      </c>
      <c r="C1" s="43" t="s">
        <v>1055</v>
      </c>
      <c r="D1" s="43" t="s">
        <v>4749</v>
      </c>
      <c r="E1" s="43" t="s">
        <v>1070</v>
      </c>
      <c r="F1" s="43" t="s">
        <v>1071</v>
      </c>
      <c r="G1" s="43" t="s">
        <v>1072</v>
      </c>
      <c r="H1" s="43" t="s">
        <v>1073</v>
      </c>
      <c r="I1" s="43" t="s">
        <v>1074</v>
      </c>
      <c r="J1" s="43" t="s">
        <v>1075</v>
      </c>
      <c r="K1" s="43" t="s">
        <v>1076</v>
      </c>
      <c r="L1" s="43" t="s">
        <v>1077</v>
      </c>
      <c r="M1" s="43" t="s">
        <v>1078</v>
      </c>
      <c r="N1" s="43" t="s">
        <v>1079</v>
      </c>
      <c r="O1" s="43" t="s">
        <v>1080</v>
      </c>
      <c r="P1" s="43" t="s">
        <v>1081</v>
      </c>
      <c r="Q1" s="43" t="s">
        <v>1082</v>
      </c>
      <c r="R1" s="10" t="s">
        <v>2684</v>
      </c>
      <c r="S1" s="10" t="s">
        <v>4526</v>
      </c>
      <c r="T1" s="10" t="s">
        <v>4750</v>
      </c>
      <c r="U1" s="10" t="s">
        <v>41</v>
      </c>
      <c r="V1" s="10" t="s">
        <v>42</v>
      </c>
      <c r="W1" s="10" t="s">
        <v>886</v>
      </c>
      <c r="X1" s="10" t="s">
        <v>986</v>
      </c>
    </row>
    <row r="2" spans="1:24" x14ac:dyDescent="0.25">
      <c r="A2" s="1">
        <v>10000</v>
      </c>
      <c r="B2" s="1">
        <v>100</v>
      </c>
      <c r="C2" s="1">
        <v>0</v>
      </c>
      <c r="D2" s="1">
        <v>0</v>
      </c>
      <c r="E2" s="1">
        <v>0</v>
      </c>
      <c r="F2" s="1">
        <v>1</v>
      </c>
      <c r="G2" s="1">
        <v>366</v>
      </c>
      <c r="H2" s="1">
        <v>44</v>
      </c>
      <c r="I2" s="1">
        <v>38</v>
      </c>
      <c r="J2" s="1">
        <v>23</v>
      </c>
      <c r="K2" s="1">
        <v>48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 t="s">
        <v>4751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</row>
    <row r="3" spans="1:24" x14ac:dyDescent="0.25">
      <c r="A3" s="1">
        <v>10001</v>
      </c>
      <c r="B3" s="1">
        <v>100</v>
      </c>
      <c r="C3" s="1">
        <v>1</v>
      </c>
      <c r="D3" s="1">
        <v>1</v>
      </c>
      <c r="E3" s="1">
        <v>0</v>
      </c>
      <c r="F3" s="1">
        <v>1</v>
      </c>
      <c r="G3" s="1">
        <v>366</v>
      </c>
      <c r="H3" s="1">
        <v>44</v>
      </c>
      <c r="I3" s="1">
        <v>38</v>
      </c>
      <c r="J3" s="1">
        <v>23</v>
      </c>
      <c r="K3" s="1">
        <v>48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200</v>
      </c>
      <c r="R3" s="1" t="s">
        <v>4751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</row>
    <row r="4" spans="1:24" x14ac:dyDescent="0.25">
      <c r="A4" s="1">
        <v>10002</v>
      </c>
      <c r="B4" s="1">
        <v>100</v>
      </c>
      <c r="C4" s="1">
        <v>2</v>
      </c>
      <c r="D4" s="1">
        <v>1</v>
      </c>
      <c r="E4" s="1">
        <v>0</v>
      </c>
      <c r="F4" s="1">
        <v>1</v>
      </c>
      <c r="G4" s="1">
        <v>366</v>
      </c>
      <c r="H4" s="1">
        <v>80</v>
      </c>
      <c r="I4" s="1">
        <v>38</v>
      </c>
      <c r="J4" s="1">
        <v>23</v>
      </c>
      <c r="K4" s="1">
        <v>48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200</v>
      </c>
      <c r="R4" s="1" t="s">
        <v>4752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</row>
    <row r="5" spans="1:24" x14ac:dyDescent="0.25">
      <c r="A5" s="1">
        <v>10003</v>
      </c>
      <c r="B5" s="1">
        <v>100</v>
      </c>
      <c r="C5" s="1">
        <v>3</v>
      </c>
      <c r="D5" s="1">
        <v>1</v>
      </c>
      <c r="E5" s="1">
        <v>0</v>
      </c>
      <c r="F5" s="1">
        <v>1</v>
      </c>
      <c r="G5" s="1">
        <v>366</v>
      </c>
      <c r="H5" s="1">
        <v>80</v>
      </c>
      <c r="I5" s="1">
        <v>38</v>
      </c>
      <c r="J5" s="1">
        <v>33</v>
      </c>
      <c r="K5" s="1">
        <v>63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200</v>
      </c>
      <c r="R5" s="1" t="s">
        <v>4652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</row>
    <row r="6" spans="1:24" x14ac:dyDescent="0.25">
      <c r="A6" s="1">
        <v>10004</v>
      </c>
      <c r="B6" s="1">
        <v>100</v>
      </c>
      <c r="C6" s="1">
        <v>4</v>
      </c>
      <c r="D6" s="1">
        <v>1</v>
      </c>
      <c r="E6" s="1">
        <v>1</v>
      </c>
      <c r="F6" s="1">
        <v>1</v>
      </c>
      <c r="G6" s="1">
        <v>366</v>
      </c>
      <c r="H6" s="1">
        <v>80</v>
      </c>
      <c r="I6" s="1">
        <v>38</v>
      </c>
      <c r="J6" s="1">
        <v>33</v>
      </c>
      <c r="K6" s="1">
        <v>63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200</v>
      </c>
      <c r="R6" s="1" t="s">
        <v>4652</v>
      </c>
      <c r="S6" s="1">
        <v>0</v>
      </c>
      <c r="T6" s="1">
        <v>0</v>
      </c>
      <c r="U6" s="1">
        <v>901585</v>
      </c>
      <c r="V6" s="1">
        <v>0</v>
      </c>
      <c r="W6" s="1">
        <v>0</v>
      </c>
      <c r="X6" s="1">
        <v>0</v>
      </c>
    </row>
    <row r="7" spans="1:24" x14ac:dyDescent="0.25">
      <c r="A7" s="1">
        <v>10100</v>
      </c>
      <c r="B7" s="1">
        <v>101</v>
      </c>
      <c r="C7" s="1">
        <v>0</v>
      </c>
      <c r="D7" s="1">
        <v>0</v>
      </c>
      <c r="E7" s="1">
        <v>0</v>
      </c>
      <c r="F7" s="1">
        <v>1</v>
      </c>
      <c r="G7" s="1">
        <v>331</v>
      </c>
      <c r="H7" s="1">
        <v>42</v>
      </c>
      <c r="I7" s="1">
        <v>36</v>
      </c>
      <c r="J7" s="1">
        <v>19</v>
      </c>
      <c r="K7" s="1">
        <v>58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0</v>
      </c>
      <c r="R7" s="1" t="s">
        <v>4751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</row>
    <row r="8" spans="1:24" x14ac:dyDescent="0.25">
      <c r="A8" s="1">
        <v>10101</v>
      </c>
      <c r="B8" s="1">
        <v>101</v>
      </c>
      <c r="C8" s="1">
        <v>1</v>
      </c>
      <c r="D8" s="1">
        <v>1</v>
      </c>
      <c r="E8" s="1">
        <v>0</v>
      </c>
      <c r="F8" s="1">
        <v>1</v>
      </c>
      <c r="G8" s="1">
        <v>331</v>
      </c>
      <c r="H8" s="1">
        <v>42</v>
      </c>
      <c r="I8" s="1">
        <v>36</v>
      </c>
      <c r="J8" s="1">
        <v>19</v>
      </c>
      <c r="K8" s="1">
        <v>58</v>
      </c>
      <c r="L8" s="1">
        <v>0</v>
      </c>
      <c r="M8" s="1">
        <v>0</v>
      </c>
      <c r="N8" s="1">
        <v>0</v>
      </c>
      <c r="O8" s="1">
        <v>0</v>
      </c>
      <c r="P8" s="1">
        <v>0</v>
      </c>
      <c r="Q8" s="1">
        <v>200</v>
      </c>
      <c r="R8" s="1" t="s">
        <v>4652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</row>
    <row r="9" spans="1:24" x14ac:dyDescent="0.25">
      <c r="A9" s="1">
        <v>10102</v>
      </c>
      <c r="B9" s="1">
        <v>101</v>
      </c>
      <c r="C9" s="1">
        <v>2</v>
      </c>
      <c r="D9" s="1">
        <v>1</v>
      </c>
      <c r="E9" s="1">
        <v>0</v>
      </c>
      <c r="F9" s="1">
        <v>1</v>
      </c>
      <c r="G9" s="1">
        <v>331</v>
      </c>
      <c r="H9" s="1">
        <v>72</v>
      </c>
      <c r="I9" s="1">
        <v>36</v>
      </c>
      <c r="J9" s="1">
        <v>29</v>
      </c>
      <c r="K9" s="1">
        <v>58</v>
      </c>
      <c r="L9" s="1">
        <v>0</v>
      </c>
      <c r="M9" s="1">
        <v>0</v>
      </c>
      <c r="N9" s="1">
        <v>0</v>
      </c>
      <c r="O9" s="1">
        <v>0</v>
      </c>
      <c r="P9" s="1">
        <v>0</v>
      </c>
      <c r="Q9" s="1">
        <v>200</v>
      </c>
      <c r="R9" s="1" t="s">
        <v>4652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</row>
    <row r="10" spans="1:24" x14ac:dyDescent="0.25">
      <c r="A10" s="1">
        <v>10103</v>
      </c>
      <c r="B10" s="1">
        <v>101</v>
      </c>
      <c r="C10" s="1">
        <v>3</v>
      </c>
      <c r="D10" s="1">
        <v>1</v>
      </c>
      <c r="E10" s="1">
        <v>0</v>
      </c>
      <c r="F10" s="1">
        <v>1</v>
      </c>
      <c r="G10" s="1">
        <v>331</v>
      </c>
      <c r="H10" s="1">
        <v>72</v>
      </c>
      <c r="I10" s="1">
        <v>42</v>
      </c>
      <c r="J10" s="1">
        <v>29</v>
      </c>
      <c r="K10" s="1">
        <v>73</v>
      </c>
      <c r="L10" s="1">
        <v>0</v>
      </c>
      <c r="M10" s="1">
        <v>0</v>
      </c>
      <c r="N10" s="1">
        <v>0</v>
      </c>
      <c r="O10" s="1">
        <v>0</v>
      </c>
      <c r="P10" s="1">
        <v>0</v>
      </c>
      <c r="Q10" s="1">
        <v>200</v>
      </c>
      <c r="R10" s="1" t="s">
        <v>4652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</row>
    <row r="11" spans="1:24" x14ac:dyDescent="0.25">
      <c r="A11" s="1">
        <v>10104</v>
      </c>
      <c r="B11" s="1">
        <v>101</v>
      </c>
      <c r="C11" s="1">
        <v>4</v>
      </c>
      <c r="D11" s="1">
        <v>1</v>
      </c>
      <c r="E11" s="1">
        <v>1</v>
      </c>
      <c r="F11" s="1">
        <v>1</v>
      </c>
      <c r="G11" s="1">
        <v>331</v>
      </c>
      <c r="H11" s="1">
        <v>72</v>
      </c>
      <c r="I11" s="1">
        <v>42</v>
      </c>
      <c r="J11" s="1">
        <v>29</v>
      </c>
      <c r="K11" s="1">
        <v>73</v>
      </c>
      <c r="L11" s="1">
        <v>0</v>
      </c>
      <c r="M11" s="1">
        <v>0</v>
      </c>
      <c r="N11" s="1">
        <v>0</v>
      </c>
      <c r="O11" s="1">
        <v>0</v>
      </c>
      <c r="P11" s="1">
        <v>0</v>
      </c>
      <c r="Q11" s="1">
        <v>200</v>
      </c>
      <c r="R11" s="1" t="s">
        <v>4652</v>
      </c>
      <c r="S11" s="1">
        <v>0</v>
      </c>
      <c r="T11" s="1">
        <v>0</v>
      </c>
      <c r="U11" s="1">
        <v>900526</v>
      </c>
      <c r="V11" s="1">
        <v>0</v>
      </c>
      <c r="W11" s="1">
        <v>0</v>
      </c>
      <c r="X11" s="1">
        <v>0</v>
      </c>
    </row>
    <row r="12" spans="1:24" x14ac:dyDescent="0.25">
      <c r="A12" s="1">
        <v>10200</v>
      </c>
      <c r="B12" s="1">
        <v>102</v>
      </c>
      <c r="C12" s="1">
        <v>0</v>
      </c>
      <c r="D12" s="1">
        <v>0</v>
      </c>
      <c r="E12" s="1">
        <v>0</v>
      </c>
      <c r="F12" s="1">
        <v>1</v>
      </c>
      <c r="G12" s="1">
        <v>319</v>
      </c>
      <c r="H12" s="1">
        <v>42</v>
      </c>
      <c r="I12" s="1">
        <v>32</v>
      </c>
      <c r="J12" s="1">
        <v>31</v>
      </c>
      <c r="K12" s="1">
        <v>42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 t="s">
        <v>4753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1">
        <v>0</v>
      </c>
    </row>
    <row r="13" spans="1:24" x14ac:dyDescent="0.25">
      <c r="A13" s="1">
        <v>10201</v>
      </c>
      <c r="B13" s="1">
        <v>102</v>
      </c>
      <c r="C13" s="1">
        <v>1</v>
      </c>
      <c r="D13" s="1">
        <v>1</v>
      </c>
      <c r="E13" s="1">
        <v>0</v>
      </c>
      <c r="F13" s="1">
        <v>1</v>
      </c>
      <c r="G13" s="1">
        <v>319</v>
      </c>
      <c r="H13" s="1">
        <v>42</v>
      </c>
      <c r="I13" s="1">
        <v>32</v>
      </c>
      <c r="J13" s="1">
        <v>31</v>
      </c>
      <c r="K13" s="1">
        <v>42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200</v>
      </c>
      <c r="R13" s="1" t="s">
        <v>4572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</row>
    <row r="14" spans="1:24" x14ac:dyDescent="0.25">
      <c r="A14" s="1">
        <v>10202</v>
      </c>
      <c r="B14" s="1">
        <v>102</v>
      </c>
      <c r="C14" s="1">
        <v>2</v>
      </c>
      <c r="D14" s="1">
        <v>1</v>
      </c>
      <c r="E14" s="1">
        <v>0</v>
      </c>
      <c r="F14" s="1">
        <v>1</v>
      </c>
      <c r="G14" s="1">
        <v>319</v>
      </c>
      <c r="H14" s="1">
        <v>82</v>
      </c>
      <c r="I14" s="1">
        <v>32</v>
      </c>
      <c r="J14" s="1">
        <v>31</v>
      </c>
      <c r="K14" s="1">
        <v>42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200</v>
      </c>
      <c r="R14" s="1" t="s">
        <v>4572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</row>
    <row r="15" spans="1:24" x14ac:dyDescent="0.25">
      <c r="A15" s="1">
        <v>10203</v>
      </c>
      <c r="B15" s="1">
        <v>102</v>
      </c>
      <c r="C15" s="1">
        <v>3</v>
      </c>
      <c r="D15" s="1">
        <v>1</v>
      </c>
      <c r="E15" s="1">
        <v>0</v>
      </c>
      <c r="F15" s="1">
        <v>1</v>
      </c>
      <c r="G15" s="1">
        <v>439</v>
      </c>
      <c r="H15" s="1">
        <v>82</v>
      </c>
      <c r="I15" s="1">
        <v>32</v>
      </c>
      <c r="J15" s="1">
        <v>31</v>
      </c>
      <c r="K15" s="1">
        <v>57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200</v>
      </c>
      <c r="R15" s="1" t="s">
        <v>4572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</row>
    <row r="16" spans="1:24" x14ac:dyDescent="0.25">
      <c r="A16" s="1">
        <v>10204</v>
      </c>
      <c r="B16" s="1">
        <v>102</v>
      </c>
      <c r="C16" s="1">
        <v>4</v>
      </c>
      <c r="D16" s="1">
        <v>1</v>
      </c>
      <c r="E16" s="1">
        <v>1</v>
      </c>
      <c r="F16" s="1">
        <v>1</v>
      </c>
      <c r="G16" s="1">
        <v>439</v>
      </c>
      <c r="H16" s="1">
        <v>82</v>
      </c>
      <c r="I16" s="1">
        <v>32</v>
      </c>
      <c r="J16" s="1">
        <v>31</v>
      </c>
      <c r="K16" s="1">
        <v>57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200</v>
      </c>
      <c r="R16" s="1" t="s">
        <v>4572</v>
      </c>
      <c r="S16" s="1">
        <v>0</v>
      </c>
      <c r="T16" s="1">
        <v>0</v>
      </c>
      <c r="U16" s="1">
        <v>600308</v>
      </c>
      <c r="V16" s="1">
        <v>0</v>
      </c>
      <c r="W16" s="1">
        <v>0</v>
      </c>
      <c r="X16" s="1">
        <v>0</v>
      </c>
    </row>
    <row r="17" spans="1:24" x14ac:dyDescent="0.25">
      <c r="A17" s="1">
        <v>10300</v>
      </c>
      <c r="B17" s="1">
        <v>103</v>
      </c>
      <c r="C17" s="1">
        <v>0</v>
      </c>
      <c r="D17" s="1">
        <v>0</v>
      </c>
      <c r="E17" s="1">
        <v>0</v>
      </c>
      <c r="F17" s="1">
        <v>1</v>
      </c>
      <c r="G17" s="1">
        <v>348</v>
      </c>
      <c r="H17" s="1">
        <v>57</v>
      </c>
      <c r="I17" s="1">
        <v>39</v>
      </c>
      <c r="J17" s="1">
        <v>17</v>
      </c>
      <c r="K17" s="1">
        <v>32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 t="s">
        <v>4754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</row>
    <row r="18" spans="1:24" x14ac:dyDescent="0.25">
      <c r="A18" s="1">
        <v>10301</v>
      </c>
      <c r="B18" s="1">
        <v>103</v>
      </c>
      <c r="C18" s="1">
        <v>1</v>
      </c>
      <c r="D18" s="1">
        <v>1</v>
      </c>
      <c r="E18" s="1">
        <v>0</v>
      </c>
      <c r="F18" s="1">
        <v>1</v>
      </c>
      <c r="G18" s="1">
        <v>348</v>
      </c>
      <c r="H18" s="1">
        <v>57</v>
      </c>
      <c r="I18" s="1">
        <v>39</v>
      </c>
      <c r="J18" s="1">
        <v>17</v>
      </c>
      <c r="K18" s="1">
        <v>32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200</v>
      </c>
      <c r="R18" s="1" t="s">
        <v>4621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</row>
    <row r="19" spans="1:24" x14ac:dyDescent="0.25">
      <c r="A19" s="1">
        <v>10302</v>
      </c>
      <c r="B19" s="1">
        <v>103</v>
      </c>
      <c r="C19" s="1">
        <v>2</v>
      </c>
      <c r="D19" s="1">
        <v>1</v>
      </c>
      <c r="E19" s="1">
        <v>0</v>
      </c>
      <c r="F19" s="1">
        <v>1</v>
      </c>
      <c r="G19" s="1">
        <v>348</v>
      </c>
      <c r="H19" s="1">
        <v>77</v>
      </c>
      <c r="I19" s="1">
        <v>39</v>
      </c>
      <c r="J19" s="1">
        <v>17</v>
      </c>
      <c r="K19" s="1">
        <v>47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200</v>
      </c>
      <c r="R19" s="1" t="s">
        <v>4621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</row>
    <row r="20" spans="1:24" x14ac:dyDescent="0.25">
      <c r="A20" s="1">
        <v>10303</v>
      </c>
      <c r="B20" s="1">
        <v>103</v>
      </c>
      <c r="C20" s="1">
        <v>3</v>
      </c>
      <c r="D20" s="1">
        <v>1</v>
      </c>
      <c r="E20" s="1">
        <v>0</v>
      </c>
      <c r="F20" s="1">
        <v>1</v>
      </c>
      <c r="G20" s="1">
        <v>348</v>
      </c>
      <c r="H20" s="1">
        <v>77</v>
      </c>
      <c r="I20" s="1">
        <v>39</v>
      </c>
      <c r="J20" s="1">
        <v>33</v>
      </c>
      <c r="K20" s="1">
        <v>63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200</v>
      </c>
      <c r="R20" s="1" t="s">
        <v>4621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</row>
    <row r="21" spans="1:24" x14ac:dyDescent="0.25">
      <c r="A21" s="1">
        <v>10304</v>
      </c>
      <c r="B21" s="1">
        <v>103</v>
      </c>
      <c r="C21" s="1">
        <v>4</v>
      </c>
      <c r="D21" s="1">
        <v>1</v>
      </c>
      <c r="E21" s="1">
        <v>1</v>
      </c>
      <c r="F21" s="1">
        <v>1</v>
      </c>
      <c r="G21" s="1">
        <v>348</v>
      </c>
      <c r="H21" s="1">
        <v>77</v>
      </c>
      <c r="I21" s="1">
        <v>39</v>
      </c>
      <c r="J21" s="1">
        <v>33</v>
      </c>
      <c r="K21" s="1">
        <v>63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200</v>
      </c>
      <c r="R21" s="1" t="s">
        <v>4621</v>
      </c>
      <c r="S21" s="1">
        <v>0</v>
      </c>
      <c r="T21" s="1">
        <v>0</v>
      </c>
      <c r="U21" s="1">
        <v>900598</v>
      </c>
      <c r="V21" s="1">
        <v>0</v>
      </c>
      <c r="W21" s="1">
        <v>0</v>
      </c>
      <c r="X21" s="1">
        <v>0</v>
      </c>
    </row>
    <row r="22" spans="1:24" x14ac:dyDescent="0.25">
      <c r="A22" s="1">
        <v>10400</v>
      </c>
      <c r="B22" s="1">
        <v>104</v>
      </c>
      <c r="C22" s="1">
        <v>0</v>
      </c>
      <c r="D22" s="1">
        <v>0</v>
      </c>
      <c r="E22" s="1">
        <v>0</v>
      </c>
      <c r="F22" s="1">
        <v>1</v>
      </c>
      <c r="G22" s="1">
        <v>419</v>
      </c>
      <c r="H22" s="1">
        <v>55</v>
      </c>
      <c r="I22" s="1">
        <v>30</v>
      </c>
      <c r="J22" s="1">
        <v>15</v>
      </c>
      <c r="K22" s="1">
        <v>27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 t="s">
        <v>4755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</row>
    <row r="23" spans="1:24" x14ac:dyDescent="0.25">
      <c r="A23" s="1">
        <v>10401</v>
      </c>
      <c r="B23" s="1">
        <v>104</v>
      </c>
      <c r="C23" s="1">
        <v>1</v>
      </c>
      <c r="D23" s="1">
        <v>1</v>
      </c>
      <c r="E23" s="1">
        <v>0</v>
      </c>
      <c r="F23" s="1">
        <v>1</v>
      </c>
      <c r="G23" s="1">
        <v>419</v>
      </c>
      <c r="H23" s="1">
        <v>55</v>
      </c>
      <c r="I23" s="1">
        <v>30</v>
      </c>
      <c r="J23" s="1">
        <v>15</v>
      </c>
      <c r="K23" s="1">
        <v>27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200</v>
      </c>
      <c r="R23" s="1" t="s">
        <v>4626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</row>
    <row r="24" spans="1:24" x14ac:dyDescent="0.25">
      <c r="A24" s="1">
        <v>10402</v>
      </c>
      <c r="B24" s="1">
        <v>104</v>
      </c>
      <c r="C24" s="1">
        <v>2</v>
      </c>
      <c r="D24" s="1">
        <v>1</v>
      </c>
      <c r="E24" s="1">
        <v>0</v>
      </c>
      <c r="F24" s="1">
        <v>1</v>
      </c>
      <c r="G24" s="1">
        <v>419</v>
      </c>
      <c r="H24" s="1">
        <v>80</v>
      </c>
      <c r="I24" s="1">
        <v>35</v>
      </c>
      <c r="J24" s="1">
        <v>15</v>
      </c>
      <c r="K24" s="1">
        <v>27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200</v>
      </c>
      <c r="R24" s="1" t="s">
        <v>4626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</row>
    <row r="25" spans="1:24" x14ac:dyDescent="0.25">
      <c r="A25" s="1">
        <v>10403</v>
      </c>
      <c r="B25" s="1">
        <v>104</v>
      </c>
      <c r="C25" s="1">
        <v>3</v>
      </c>
      <c r="D25" s="1">
        <v>1</v>
      </c>
      <c r="E25" s="1">
        <v>0</v>
      </c>
      <c r="F25" s="1">
        <v>1</v>
      </c>
      <c r="G25" s="1">
        <v>419</v>
      </c>
      <c r="H25" s="1">
        <v>80</v>
      </c>
      <c r="I25" s="1">
        <v>35</v>
      </c>
      <c r="J25" s="1">
        <v>30</v>
      </c>
      <c r="K25" s="1">
        <v>57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200</v>
      </c>
      <c r="R25" s="1" t="s">
        <v>4626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</row>
    <row r="26" spans="1:24" x14ac:dyDescent="0.25">
      <c r="A26" s="1">
        <v>10404</v>
      </c>
      <c r="B26" s="1">
        <v>104</v>
      </c>
      <c r="C26" s="1">
        <v>4</v>
      </c>
      <c r="D26" s="1">
        <v>1</v>
      </c>
      <c r="E26" s="1">
        <v>1</v>
      </c>
      <c r="F26" s="1">
        <v>1</v>
      </c>
      <c r="G26" s="1">
        <v>419</v>
      </c>
      <c r="H26" s="1">
        <v>80</v>
      </c>
      <c r="I26" s="1">
        <v>35</v>
      </c>
      <c r="J26" s="1">
        <v>30</v>
      </c>
      <c r="K26" s="1">
        <v>57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200</v>
      </c>
      <c r="R26" s="1" t="s">
        <v>4626</v>
      </c>
      <c r="S26" s="1">
        <v>0</v>
      </c>
      <c r="T26" s="1">
        <v>0</v>
      </c>
      <c r="U26" s="1">
        <v>900674</v>
      </c>
      <c r="V26" s="1">
        <v>0</v>
      </c>
      <c r="W26" s="1">
        <v>0</v>
      </c>
      <c r="X26" s="1">
        <v>0</v>
      </c>
    </row>
    <row r="27" spans="1:24" x14ac:dyDescent="0.25">
      <c r="A27" s="1">
        <v>10500</v>
      </c>
      <c r="B27" s="1">
        <v>105</v>
      </c>
      <c r="C27" s="1">
        <v>0</v>
      </c>
      <c r="D27" s="1">
        <v>0</v>
      </c>
      <c r="E27" s="1">
        <v>0</v>
      </c>
      <c r="F27" s="1">
        <v>1</v>
      </c>
      <c r="G27" s="1">
        <v>384</v>
      </c>
      <c r="H27" s="1">
        <v>53</v>
      </c>
      <c r="I27" s="1">
        <v>20</v>
      </c>
      <c r="J27" s="1">
        <v>17</v>
      </c>
      <c r="K27" s="1">
        <v>27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 t="s">
        <v>4756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</row>
    <row r="28" spans="1:24" x14ac:dyDescent="0.25">
      <c r="A28" s="1">
        <v>10501</v>
      </c>
      <c r="B28" s="1">
        <v>105</v>
      </c>
      <c r="C28" s="1">
        <v>1</v>
      </c>
      <c r="D28" s="1">
        <v>1</v>
      </c>
      <c r="E28" s="1">
        <v>0</v>
      </c>
      <c r="F28" s="1">
        <v>1</v>
      </c>
      <c r="G28" s="1">
        <v>384</v>
      </c>
      <c r="H28" s="1">
        <v>53</v>
      </c>
      <c r="I28" s="1">
        <v>20</v>
      </c>
      <c r="J28" s="1">
        <v>17</v>
      </c>
      <c r="K28" s="1">
        <v>27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200</v>
      </c>
      <c r="R28" s="1" t="s">
        <v>4594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</row>
    <row r="29" spans="1:24" x14ac:dyDescent="0.25">
      <c r="A29" s="1">
        <v>10502</v>
      </c>
      <c r="B29" s="1">
        <v>105</v>
      </c>
      <c r="C29" s="1">
        <v>2</v>
      </c>
      <c r="D29" s="1">
        <v>1</v>
      </c>
      <c r="E29" s="1">
        <v>0</v>
      </c>
      <c r="F29" s="1">
        <v>1</v>
      </c>
      <c r="G29" s="1">
        <v>384</v>
      </c>
      <c r="H29" s="1">
        <v>78</v>
      </c>
      <c r="I29" s="1">
        <v>25</v>
      </c>
      <c r="J29" s="1">
        <v>17</v>
      </c>
      <c r="K29" s="1">
        <v>27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200</v>
      </c>
      <c r="R29" s="1" t="s">
        <v>4594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</row>
    <row r="30" spans="1:24" x14ac:dyDescent="0.25">
      <c r="A30" s="1">
        <v>10503</v>
      </c>
      <c r="B30" s="1">
        <v>105</v>
      </c>
      <c r="C30" s="1">
        <v>3</v>
      </c>
      <c r="D30" s="1">
        <v>1</v>
      </c>
      <c r="E30" s="1">
        <v>0</v>
      </c>
      <c r="F30" s="1">
        <v>1</v>
      </c>
      <c r="G30" s="1">
        <v>384</v>
      </c>
      <c r="H30" s="1">
        <v>103</v>
      </c>
      <c r="I30" s="1">
        <v>25</v>
      </c>
      <c r="J30" s="1">
        <v>32</v>
      </c>
      <c r="K30" s="1">
        <v>57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200</v>
      </c>
      <c r="R30" s="1" t="s">
        <v>4594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</row>
    <row r="31" spans="1:24" x14ac:dyDescent="0.25">
      <c r="A31" s="1">
        <v>10504</v>
      </c>
      <c r="B31" s="1">
        <v>105</v>
      </c>
      <c r="C31" s="1">
        <v>4</v>
      </c>
      <c r="D31" s="1">
        <v>1</v>
      </c>
      <c r="E31" s="1">
        <v>1</v>
      </c>
      <c r="F31" s="1">
        <v>1</v>
      </c>
      <c r="G31" s="1">
        <v>384</v>
      </c>
      <c r="H31" s="1">
        <v>103</v>
      </c>
      <c r="I31" s="1">
        <v>25</v>
      </c>
      <c r="J31" s="1">
        <v>32</v>
      </c>
      <c r="K31" s="1">
        <v>57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200</v>
      </c>
      <c r="R31" s="1" t="s">
        <v>4594</v>
      </c>
      <c r="S31" s="1">
        <v>0</v>
      </c>
      <c r="T31" s="1">
        <v>0</v>
      </c>
      <c r="U31" s="1">
        <v>900738</v>
      </c>
      <c r="V31" s="1">
        <v>0</v>
      </c>
      <c r="W31" s="1">
        <v>0</v>
      </c>
      <c r="X31" s="1">
        <v>0</v>
      </c>
    </row>
    <row r="32" spans="1:24" x14ac:dyDescent="0.25">
      <c r="A32" s="1">
        <v>10600</v>
      </c>
      <c r="B32" s="1">
        <v>106</v>
      </c>
      <c r="C32" s="1">
        <v>0</v>
      </c>
      <c r="D32" s="1">
        <v>0</v>
      </c>
      <c r="E32" s="1">
        <v>0</v>
      </c>
      <c r="F32" s="1">
        <v>1</v>
      </c>
      <c r="G32" s="1">
        <v>384</v>
      </c>
      <c r="H32" s="1">
        <v>51</v>
      </c>
      <c r="I32" s="1">
        <v>29</v>
      </c>
      <c r="J32" s="1">
        <v>18</v>
      </c>
      <c r="K32" s="1">
        <v>27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 t="s">
        <v>4757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</row>
    <row r="33" spans="1:24" x14ac:dyDescent="0.25">
      <c r="A33" s="1">
        <v>10601</v>
      </c>
      <c r="B33" s="1">
        <v>106</v>
      </c>
      <c r="C33" s="1">
        <v>1</v>
      </c>
      <c r="D33" s="1">
        <v>1</v>
      </c>
      <c r="E33" s="1">
        <v>0</v>
      </c>
      <c r="F33" s="1">
        <v>1</v>
      </c>
      <c r="G33" s="1">
        <v>384</v>
      </c>
      <c r="H33" s="1">
        <v>51</v>
      </c>
      <c r="I33" s="1">
        <v>29</v>
      </c>
      <c r="J33" s="1">
        <v>18</v>
      </c>
      <c r="K33" s="1">
        <v>27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200</v>
      </c>
      <c r="R33" s="1" t="s">
        <v>4579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</row>
    <row r="34" spans="1:24" x14ac:dyDescent="0.25">
      <c r="A34" s="1">
        <v>10602</v>
      </c>
      <c r="B34" s="1">
        <v>106</v>
      </c>
      <c r="C34" s="1">
        <v>2</v>
      </c>
      <c r="D34" s="1">
        <v>1</v>
      </c>
      <c r="E34" s="1">
        <v>0</v>
      </c>
      <c r="F34" s="1">
        <v>1</v>
      </c>
      <c r="G34" s="1">
        <v>384</v>
      </c>
      <c r="H34" s="1">
        <v>71</v>
      </c>
      <c r="I34" s="1">
        <v>29</v>
      </c>
      <c r="J34" s="1">
        <v>33</v>
      </c>
      <c r="K34" s="1">
        <v>42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200</v>
      </c>
      <c r="R34" s="1" t="s">
        <v>4579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</row>
    <row r="35" spans="1:24" x14ac:dyDescent="0.25">
      <c r="A35" s="1">
        <v>10603</v>
      </c>
      <c r="B35" s="1">
        <v>106</v>
      </c>
      <c r="C35" s="1">
        <v>3</v>
      </c>
      <c r="D35" s="1">
        <v>1</v>
      </c>
      <c r="E35" s="1">
        <v>0</v>
      </c>
      <c r="F35" s="1">
        <v>1</v>
      </c>
      <c r="G35" s="1">
        <v>384</v>
      </c>
      <c r="H35" s="1">
        <v>91</v>
      </c>
      <c r="I35" s="1">
        <v>39</v>
      </c>
      <c r="J35" s="1">
        <v>33</v>
      </c>
      <c r="K35" s="1">
        <v>42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200</v>
      </c>
      <c r="R35" s="1" t="s">
        <v>4579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</row>
    <row r="36" spans="1:24" x14ac:dyDescent="0.25">
      <c r="A36" s="1">
        <v>10604</v>
      </c>
      <c r="B36" s="1">
        <v>106</v>
      </c>
      <c r="C36" s="1">
        <v>4</v>
      </c>
      <c r="D36" s="1">
        <v>1</v>
      </c>
      <c r="E36" s="1">
        <v>1</v>
      </c>
      <c r="F36" s="1">
        <v>1</v>
      </c>
      <c r="G36" s="1">
        <v>384</v>
      </c>
      <c r="H36" s="1">
        <v>91</v>
      </c>
      <c r="I36" s="1">
        <v>39</v>
      </c>
      <c r="J36" s="1">
        <v>33</v>
      </c>
      <c r="K36" s="1">
        <v>42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200</v>
      </c>
      <c r="R36" s="1" t="s">
        <v>4579</v>
      </c>
      <c r="S36" s="1">
        <v>0</v>
      </c>
      <c r="T36" s="1">
        <v>0</v>
      </c>
      <c r="U36" s="1">
        <v>900784</v>
      </c>
      <c r="V36" s="1">
        <v>0</v>
      </c>
      <c r="W36" s="1">
        <v>0</v>
      </c>
      <c r="X36" s="1">
        <v>0</v>
      </c>
    </row>
    <row r="37" spans="1:24" x14ac:dyDescent="0.25">
      <c r="A37" s="1">
        <v>10700</v>
      </c>
      <c r="B37" s="1">
        <v>107</v>
      </c>
      <c r="C37" s="1">
        <v>0</v>
      </c>
      <c r="D37" s="1">
        <v>0</v>
      </c>
      <c r="E37" s="1">
        <v>0</v>
      </c>
      <c r="F37" s="1">
        <v>1</v>
      </c>
      <c r="G37" s="1">
        <v>366</v>
      </c>
      <c r="H37" s="1">
        <v>50</v>
      </c>
      <c r="I37" s="1">
        <v>23</v>
      </c>
      <c r="J37" s="1">
        <v>18</v>
      </c>
      <c r="K37" s="1">
        <v>33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 t="s">
        <v>4758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</row>
    <row r="38" spans="1:24" x14ac:dyDescent="0.25">
      <c r="A38" s="1">
        <v>10701</v>
      </c>
      <c r="B38" s="1">
        <v>107</v>
      </c>
      <c r="C38" s="1">
        <v>1</v>
      </c>
      <c r="D38" s="1">
        <v>1</v>
      </c>
      <c r="E38" s="1">
        <v>0</v>
      </c>
      <c r="F38" s="1">
        <v>1</v>
      </c>
      <c r="G38" s="1">
        <v>366</v>
      </c>
      <c r="H38" s="1">
        <v>50</v>
      </c>
      <c r="I38" s="1">
        <v>23</v>
      </c>
      <c r="J38" s="1">
        <v>18</v>
      </c>
      <c r="K38" s="1">
        <v>33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200</v>
      </c>
      <c r="R38" s="1" t="s">
        <v>4658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</row>
    <row r="39" spans="1:24" x14ac:dyDescent="0.25">
      <c r="A39" s="1">
        <v>10702</v>
      </c>
      <c r="B39" s="1">
        <v>107</v>
      </c>
      <c r="C39" s="1">
        <v>2</v>
      </c>
      <c r="D39" s="1">
        <v>1</v>
      </c>
      <c r="E39" s="1">
        <v>0</v>
      </c>
      <c r="F39" s="1">
        <v>1</v>
      </c>
      <c r="G39" s="1">
        <v>366</v>
      </c>
      <c r="H39" s="1">
        <v>80</v>
      </c>
      <c r="I39" s="1">
        <v>23</v>
      </c>
      <c r="J39" s="1">
        <v>18</v>
      </c>
      <c r="K39" s="1">
        <v>63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200</v>
      </c>
      <c r="R39" s="1" t="s">
        <v>4658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</row>
    <row r="40" spans="1:24" x14ac:dyDescent="0.25">
      <c r="A40" s="1">
        <v>10703</v>
      </c>
      <c r="B40" s="1">
        <v>107</v>
      </c>
      <c r="C40" s="1">
        <v>3</v>
      </c>
      <c r="D40" s="1">
        <v>1</v>
      </c>
      <c r="E40" s="1">
        <v>0</v>
      </c>
      <c r="F40" s="1">
        <v>1</v>
      </c>
      <c r="G40" s="1">
        <v>366</v>
      </c>
      <c r="H40" s="1">
        <v>80</v>
      </c>
      <c r="I40" s="1">
        <v>38</v>
      </c>
      <c r="J40" s="1">
        <v>33</v>
      </c>
      <c r="K40" s="1">
        <v>63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200</v>
      </c>
      <c r="R40" s="1" t="s">
        <v>4658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</row>
    <row r="41" spans="1:24" x14ac:dyDescent="0.25">
      <c r="A41" s="1">
        <v>10704</v>
      </c>
      <c r="B41" s="1">
        <v>107</v>
      </c>
      <c r="C41" s="1">
        <v>4</v>
      </c>
      <c r="D41" s="1">
        <v>1</v>
      </c>
      <c r="E41" s="1">
        <v>1</v>
      </c>
      <c r="F41" s="1">
        <v>1</v>
      </c>
      <c r="G41" s="1">
        <v>366</v>
      </c>
      <c r="H41" s="1">
        <v>80</v>
      </c>
      <c r="I41" s="1">
        <v>38</v>
      </c>
      <c r="J41" s="1">
        <v>33</v>
      </c>
      <c r="K41" s="1">
        <v>63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200</v>
      </c>
      <c r="R41" s="1" t="s">
        <v>4658</v>
      </c>
      <c r="S41" s="1">
        <v>0</v>
      </c>
      <c r="T41" s="1">
        <v>0</v>
      </c>
      <c r="U41" s="1">
        <v>900834</v>
      </c>
      <c r="V41" s="1">
        <v>0</v>
      </c>
      <c r="W41" s="1">
        <v>0</v>
      </c>
      <c r="X41" s="1">
        <v>0</v>
      </c>
    </row>
    <row r="42" spans="1:24" x14ac:dyDescent="0.25">
      <c r="A42" s="1">
        <v>10800</v>
      </c>
      <c r="B42" s="1">
        <v>108</v>
      </c>
      <c r="C42" s="1">
        <v>0</v>
      </c>
      <c r="D42" s="1">
        <v>0</v>
      </c>
      <c r="E42" s="1">
        <v>0</v>
      </c>
      <c r="F42" s="1">
        <v>1</v>
      </c>
      <c r="G42" s="1">
        <v>246</v>
      </c>
      <c r="H42" s="1">
        <v>47</v>
      </c>
      <c r="I42" s="1">
        <v>22</v>
      </c>
      <c r="J42" s="1">
        <v>36</v>
      </c>
      <c r="K42" s="1">
        <v>26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 t="s">
        <v>4759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</row>
    <row r="43" spans="1:24" x14ac:dyDescent="0.25">
      <c r="A43" s="1">
        <v>10801</v>
      </c>
      <c r="B43" s="1">
        <v>108</v>
      </c>
      <c r="C43" s="1">
        <v>1</v>
      </c>
      <c r="D43" s="1">
        <v>1</v>
      </c>
      <c r="E43" s="1">
        <v>0</v>
      </c>
      <c r="F43" s="1">
        <v>1</v>
      </c>
      <c r="G43" s="1">
        <v>246</v>
      </c>
      <c r="H43" s="1">
        <v>47</v>
      </c>
      <c r="I43" s="1">
        <v>22</v>
      </c>
      <c r="J43" s="1">
        <v>36</v>
      </c>
      <c r="K43" s="1">
        <v>26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200</v>
      </c>
      <c r="R43" s="1" t="s">
        <v>4760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</row>
    <row r="44" spans="1:24" x14ac:dyDescent="0.25">
      <c r="A44" s="1">
        <v>10802</v>
      </c>
      <c r="B44" s="1">
        <v>108</v>
      </c>
      <c r="C44" s="1">
        <v>2</v>
      </c>
      <c r="D44" s="1">
        <v>1</v>
      </c>
      <c r="E44" s="1">
        <v>0</v>
      </c>
      <c r="F44" s="1">
        <v>1</v>
      </c>
      <c r="G44" s="1">
        <v>246</v>
      </c>
      <c r="H44" s="1">
        <v>77</v>
      </c>
      <c r="I44" s="1">
        <v>42</v>
      </c>
      <c r="J44" s="1">
        <v>36</v>
      </c>
      <c r="K44" s="1">
        <v>26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200</v>
      </c>
      <c r="R44" s="1" t="s">
        <v>4760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</row>
    <row r="45" spans="1:24" x14ac:dyDescent="0.25">
      <c r="A45" s="1">
        <v>10803</v>
      </c>
      <c r="B45" s="1">
        <v>108</v>
      </c>
      <c r="C45" s="1">
        <v>3</v>
      </c>
      <c r="D45" s="1">
        <v>1</v>
      </c>
      <c r="E45" s="1">
        <v>0</v>
      </c>
      <c r="F45" s="1">
        <v>1</v>
      </c>
      <c r="G45" s="1">
        <v>366</v>
      </c>
      <c r="H45" s="1">
        <v>77</v>
      </c>
      <c r="I45" s="1">
        <v>42</v>
      </c>
      <c r="J45" s="1">
        <v>36</v>
      </c>
      <c r="K45" s="1">
        <v>66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200</v>
      </c>
      <c r="R45" s="1" t="s">
        <v>4760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</row>
    <row r="46" spans="1:24" x14ac:dyDescent="0.25">
      <c r="A46" s="1">
        <v>10804</v>
      </c>
      <c r="B46" s="1">
        <v>108</v>
      </c>
      <c r="C46" s="1">
        <v>4</v>
      </c>
      <c r="D46" s="1">
        <v>1</v>
      </c>
      <c r="E46" s="1">
        <v>1</v>
      </c>
      <c r="F46" s="1">
        <v>1</v>
      </c>
      <c r="G46" s="1">
        <v>366</v>
      </c>
      <c r="H46" s="1">
        <v>77</v>
      </c>
      <c r="I46" s="1">
        <v>42</v>
      </c>
      <c r="J46" s="1">
        <v>36</v>
      </c>
      <c r="K46" s="1">
        <v>66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200</v>
      </c>
      <c r="R46" s="1" t="s">
        <v>4760</v>
      </c>
      <c r="S46" s="1">
        <v>0</v>
      </c>
      <c r="T46" s="1">
        <v>0</v>
      </c>
      <c r="U46" s="1">
        <v>900926</v>
      </c>
      <c r="V46" s="1">
        <v>0</v>
      </c>
      <c r="W46" s="1">
        <v>0</v>
      </c>
      <c r="X46" s="1">
        <v>0</v>
      </c>
    </row>
    <row r="47" spans="1:24" x14ac:dyDescent="0.25">
      <c r="A47" s="1">
        <v>10900</v>
      </c>
      <c r="B47" s="1">
        <v>109</v>
      </c>
      <c r="C47" s="1">
        <v>0</v>
      </c>
      <c r="D47" s="1">
        <v>0</v>
      </c>
      <c r="E47" s="1">
        <v>0</v>
      </c>
      <c r="F47" s="1">
        <v>1</v>
      </c>
      <c r="G47" s="1">
        <v>331</v>
      </c>
      <c r="H47" s="1">
        <v>56</v>
      </c>
      <c r="I47" s="1">
        <v>24</v>
      </c>
      <c r="J47" s="1">
        <v>20</v>
      </c>
      <c r="K47" s="1">
        <v>44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 t="s">
        <v>4761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</row>
    <row r="48" spans="1:24" x14ac:dyDescent="0.25">
      <c r="A48" s="1">
        <v>10901</v>
      </c>
      <c r="B48" s="1">
        <v>109</v>
      </c>
      <c r="C48" s="1">
        <v>1</v>
      </c>
      <c r="D48" s="1">
        <v>1</v>
      </c>
      <c r="E48" s="1">
        <v>0</v>
      </c>
      <c r="F48" s="1">
        <v>1</v>
      </c>
      <c r="G48" s="1">
        <v>331</v>
      </c>
      <c r="H48" s="1">
        <v>56</v>
      </c>
      <c r="I48" s="1">
        <v>24</v>
      </c>
      <c r="J48" s="1">
        <v>20</v>
      </c>
      <c r="K48" s="1">
        <v>44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200</v>
      </c>
      <c r="R48" s="1" t="s">
        <v>4600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</row>
    <row r="49" spans="1:24" x14ac:dyDescent="0.25">
      <c r="A49" s="1">
        <v>10902</v>
      </c>
      <c r="B49" s="1">
        <v>109</v>
      </c>
      <c r="C49" s="1">
        <v>2</v>
      </c>
      <c r="D49" s="1">
        <v>1</v>
      </c>
      <c r="E49" s="1">
        <v>0</v>
      </c>
      <c r="F49" s="1">
        <v>1</v>
      </c>
      <c r="G49" s="1">
        <v>331</v>
      </c>
      <c r="H49" s="1">
        <v>96</v>
      </c>
      <c r="I49" s="1">
        <v>24</v>
      </c>
      <c r="J49" s="1">
        <v>20</v>
      </c>
      <c r="K49" s="1">
        <v>60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200</v>
      </c>
      <c r="R49" s="1" t="s">
        <v>4600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</row>
    <row r="50" spans="1:24" x14ac:dyDescent="0.25">
      <c r="A50" s="1">
        <v>10903</v>
      </c>
      <c r="B50" s="1">
        <v>109</v>
      </c>
      <c r="C50" s="1">
        <v>3</v>
      </c>
      <c r="D50" s="1">
        <v>1</v>
      </c>
      <c r="E50" s="1">
        <v>0</v>
      </c>
      <c r="F50" s="1">
        <v>1</v>
      </c>
      <c r="G50" s="1">
        <v>331</v>
      </c>
      <c r="H50" s="1">
        <v>96</v>
      </c>
      <c r="I50" s="1">
        <v>36</v>
      </c>
      <c r="J50" s="1">
        <v>35</v>
      </c>
      <c r="K50" s="1">
        <v>60</v>
      </c>
      <c r="L50" s="1">
        <v>0</v>
      </c>
      <c r="M50" s="1">
        <v>0</v>
      </c>
      <c r="N50" s="1">
        <v>0</v>
      </c>
      <c r="O50" s="1">
        <v>0</v>
      </c>
      <c r="P50" s="1">
        <v>0</v>
      </c>
      <c r="Q50" s="1">
        <v>200</v>
      </c>
      <c r="R50" s="1" t="s">
        <v>4600</v>
      </c>
      <c r="S50" s="1">
        <v>0</v>
      </c>
      <c r="T50" s="1">
        <v>0</v>
      </c>
      <c r="U50" s="1">
        <v>0</v>
      </c>
      <c r="V50" s="1">
        <v>0</v>
      </c>
      <c r="W50" s="1">
        <v>0</v>
      </c>
      <c r="X50" s="1">
        <v>0</v>
      </c>
    </row>
    <row r="51" spans="1:24" x14ac:dyDescent="0.25">
      <c r="A51" s="1">
        <v>10904</v>
      </c>
      <c r="B51" s="1">
        <v>109</v>
      </c>
      <c r="C51" s="1">
        <v>4</v>
      </c>
      <c r="D51" s="1">
        <v>1</v>
      </c>
      <c r="E51" s="1">
        <v>1</v>
      </c>
      <c r="F51" s="1">
        <v>1</v>
      </c>
      <c r="G51" s="1">
        <v>331</v>
      </c>
      <c r="H51" s="1">
        <v>96</v>
      </c>
      <c r="I51" s="1">
        <v>36</v>
      </c>
      <c r="J51" s="1">
        <v>35</v>
      </c>
      <c r="K51" s="1">
        <v>60</v>
      </c>
      <c r="L51" s="1">
        <v>0</v>
      </c>
      <c r="M51" s="1">
        <v>0</v>
      </c>
      <c r="N51" s="1">
        <v>0</v>
      </c>
      <c r="O51" s="1">
        <v>0</v>
      </c>
      <c r="P51" s="1">
        <v>0</v>
      </c>
      <c r="Q51" s="1">
        <v>200</v>
      </c>
      <c r="R51" s="1" t="s">
        <v>4600</v>
      </c>
      <c r="S51" s="1">
        <v>0</v>
      </c>
      <c r="T51" s="1">
        <v>0</v>
      </c>
      <c r="U51" s="1">
        <v>900970</v>
      </c>
      <c r="V51" s="1">
        <v>0</v>
      </c>
      <c r="W51" s="1">
        <v>0</v>
      </c>
      <c r="X51" s="1">
        <v>0</v>
      </c>
    </row>
    <row r="52" spans="1:24" x14ac:dyDescent="0.25">
      <c r="A52" s="1">
        <v>11000</v>
      </c>
      <c r="B52" s="1">
        <v>110</v>
      </c>
      <c r="C52" s="1">
        <v>0</v>
      </c>
      <c r="D52" s="1">
        <v>0</v>
      </c>
      <c r="E52" s="1">
        <v>0</v>
      </c>
      <c r="F52" s="1">
        <v>1</v>
      </c>
      <c r="G52" s="1">
        <v>366</v>
      </c>
      <c r="H52" s="1">
        <v>45</v>
      </c>
      <c r="I52" s="1">
        <v>31</v>
      </c>
      <c r="J52" s="1">
        <v>20</v>
      </c>
      <c r="K52" s="1">
        <v>39</v>
      </c>
      <c r="L52" s="1">
        <v>0</v>
      </c>
      <c r="M52" s="1">
        <v>0</v>
      </c>
      <c r="N52" s="1">
        <v>0</v>
      </c>
      <c r="O52" s="1">
        <v>0</v>
      </c>
      <c r="P52" s="1">
        <v>0</v>
      </c>
      <c r="Q52" s="1">
        <v>0</v>
      </c>
      <c r="R52" s="1" t="s">
        <v>4762</v>
      </c>
      <c r="S52" s="1">
        <v>0</v>
      </c>
      <c r="T52" s="1">
        <v>0</v>
      </c>
      <c r="U52" s="1">
        <v>0</v>
      </c>
      <c r="V52" s="1">
        <v>0</v>
      </c>
      <c r="W52" s="1">
        <v>0</v>
      </c>
      <c r="X52" s="1">
        <v>0</v>
      </c>
    </row>
    <row r="53" spans="1:24" x14ac:dyDescent="0.25">
      <c r="A53" s="1">
        <v>11001</v>
      </c>
      <c r="B53" s="1">
        <v>110</v>
      </c>
      <c r="C53" s="1">
        <v>1</v>
      </c>
      <c r="D53" s="1">
        <v>1</v>
      </c>
      <c r="E53" s="1">
        <v>0</v>
      </c>
      <c r="F53" s="1">
        <v>1</v>
      </c>
      <c r="G53" s="1">
        <v>366</v>
      </c>
      <c r="H53" s="1">
        <v>45</v>
      </c>
      <c r="I53" s="1">
        <v>31</v>
      </c>
      <c r="J53" s="1">
        <v>20</v>
      </c>
      <c r="K53" s="1">
        <v>39</v>
      </c>
      <c r="L53" s="1">
        <v>0</v>
      </c>
      <c r="M53" s="1">
        <v>0</v>
      </c>
      <c r="N53" s="1">
        <v>0</v>
      </c>
      <c r="O53" s="1">
        <v>0</v>
      </c>
      <c r="P53" s="1">
        <v>0</v>
      </c>
      <c r="Q53" s="1">
        <v>200</v>
      </c>
      <c r="R53" s="1" t="s">
        <v>4615</v>
      </c>
      <c r="S53" s="1">
        <v>0</v>
      </c>
      <c r="T53" s="1">
        <v>0</v>
      </c>
      <c r="U53" s="1">
        <v>0</v>
      </c>
      <c r="V53" s="1">
        <v>0</v>
      </c>
      <c r="W53" s="1">
        <v>0</v>
      </c>
      <c r="X53" s="1">
        <v>0</v>
      </c>
    </row>
    <row r="54" spans="1:24" x14ac:dyDescent="0.25">
      <c r="A54" s="1">
        <v>11002</v>
      </c>
      <c r="B54" s="1">
        <v>110</v>
      </c>
      <c r="C54" s="1">
        <v>2</v>
      </c>
      <c r="D54" s="1">
        <v>1</v>
      </c>
      <c r="E54" s="1">
        <v>0</v>
      </c>
      <c r="F54" s="1">
        <v>1</v>
      </c>
      <c r="G54" s="1">
        <v>366</v>
      </c>
      <c r="H54" s="1">
        <v>45</v>
      </c>
      <c r="I54" s="1">
        <v>43</v>
      </c>
      <c r="J54" s="1">
        <v>20</v>
      </c>
      <c r="K54" s="1">
        <v>57</v>
      </c>
      <c r="L54" s="1">
        <v>0</v>
      </c>
      <c r="M54" s="1">
        <v>0</v>
      </c>
      <c r="N54" s="1">
        <v>0</v>
      </c>
      <c r="O54" s="1">
        <v>0</v>
      </c>
      <c r="P54" s="1">
        <v>0</v>
      </c>
      <c r="Q54" s="1">
        <v>200</v>
      </c>
      <c r="R54" s="1" t="s">
        <v>4615</v>
      </c>
      <c r="S54" s="1">
        <v>0</v>
      </c>
      <c r="T54" s="1">
        <v>0</v>
      </c>
      <c r="U54" s="1">
        <v>0</v>
      </c>
      <c r="V54" s="1">
        <v>0</v>
      </c>
      <c r="W54" s="1">
        <v>0</v>
      </c>
      <c r="X54" s="1">
        <v>0</v>
      </c>
    </row>
    <row r="55" spans="1:24" x14ac:dyDescent="0.25">
      <c r="A55" s="1">
        <v>11003</v>
      </c>
      <c r="B55" s="1">
        <v>110</v>
      </c>
      <c r="C55" s="1">
        <v>3</v>
      </c>
      <c r="D55" s="1">
        <v>1</v>
      </c>
      <c r="E55" s="1">
        <v>0</v>
      </c>
      <c r="F55" s="1">
        <v>1</v>
      </c>
      <c r="G55" s="1">
        <v>366</v>
      </c>
      <c r="H55" s="1">
        <v>77</v>
      </c>
      <c r="I55" s="1">
        <v>43</v>
      </c>
      <c r="J55" s="1">
        <v>40</v>
      </c>
      <c r="K55" s="1">
        <v>57</v>
      </c>
      <c r="L55" s="1">
        <v>0</v>
      </c>
      <c r="M55" s="1">
        <v>0</v>
      </c>
      <c r="N55" s="1">
        <v>0</v>
      </c>
      <c r="O55" s="1">
        <v>0</v>
      </c>
      <c r="P55" s="1">
        <v>0</v>
      </c>
      <c r="Q55" s="1">
        <v>200</v>
      </c>
      <c r="R55" s="1" t="s">
        <v>4615</v>
      </c>
      <c r="S55" s="1">
        <v>0</v>
      </c>
      <c r="T55" s="1">
        <v>0</v>
      </c>
      <c r="U55" s="1">
        <v>0</v>
      </c>
      <c r="V55" s="1">
        <v>0</v>
      </c>
      <c r="W55" s="1">
        <v>0</v>
      </c>
      <c r="X55" s="1">
        <v>0</v>
      </c>
    </row>
    <row r="56" spans="1:24" x14ac:dyDescent="0.25">
      <c r="A56" s="1">
        <v>11004</v>
      </c>
      <c r="B56" s="1">
        <v>110</v>
      </c>
      <c r="C56" s="1">
        <v>4</v>
      </c>
      <c r="D56" s="1">
        <v>1</v>
      </c>
      <c r="E56" s="1">
        <v>1</v>
      </c>
      <c r="F56" s="1">
        <v>1</v>
      </c>
      <c r="G56" s="1">
        <v>366</v>
      </c>
      <c r="H56" s="1">
        <v>77</v>
      </c>
      <c r="I56" s="1">
        <v>43</v>
      </c>
      <c r="J56" s="1">
        <v>40</v>
      </c>
      <c r="K56" s="1">
        <v>57</v>
      </c>
      <c r="L56" s="1">
        <v>0</v>
      </c>
      <c r="M56" s="1">
        <v>0</v>
      </c>
      <c r="N56" s="1">
        <v>0</v>
      </c>
      <c r="O56" s="1">
        <v>0</v>
      </c>
      <c r="P56" s="1">
        <v>0</v>
      </c>
      <c r="Q56" s="1">
        <v>200</v>
      </c>
      <c r="R56" s="1" t="s">
        <v>4615</v>
      </c>
      <c r="S56" s="1">
        <v>0</v>
      </c>
      <c r="T56" s="1">
        <v>0</v>
      </c>
      <c r="U56" s="1">
        <v>911031</v>
      </c>
      <c r="V56" s="1">
        <v>0</v>
      </c>
      <c r="W56" s="1">
        <v>0</v>
      </c>
      <c r="X56" s="1">
        <v>0</v>
      </c>
    </row>
    <row r="57" spans="1:24" x14ac:dyDescent="0.25">
      <c r="A57" s="1">
        <v>11100</v>
      </c>
      <c r="B57" s="1">
        <v>111</v>
      </c>
      <c r="C57" s="1">
        <v>0</v>
      </c>
      <c r="D57" s="1">
        <v>0</v>
      </c>
      <c r="E57" s="1">
        <v>0</v>
      </c>
      <c r="F57" s="1">
        <v>1</v>
      </c>
      <c r="G57" s="1">
        <v>287</v>
      </c>
      <c r="H57" s="1">
        <v>46</v>
      </c>
      <c r="I57" s="1">
        <v>23</v>
      </c>
      <c r="J57" s="1">
        <v>35</v>
      </c>
      <c r="K57" s="1">
        <v>13</v>
      </c>
      <c r="L57" s="1">
        <v>5</v>
      </c>
      <c r="M57" s="1">
        <v>0</v>
      </c>
      <c r="N57" s="1">
        <v>0</v>
      </c>
      <c r="O57" s="1">
        <v>0</v>
      </c>
      <c r="P57" s="1">
        <v>0</v>
      </c>
      <c r="Q57" s="1">
        <v>0</v>
      </c>
      <c r="R57" s="1" t="s">
        <v>4763</v>
      </c>
      <c r="S57" s="1">
        <v>0</v>
      </c>
      <c r="T57" s="1">
        <v>0</v>
      </c>
      <c r="U57" s="1">
        <v>0</v>
      </c>
      <c r="V57" s="1">
        <v>0</v>
      </c>
      <c r="W57" s="1">
        <v>0</v>
      </c>
      <c r="X57" s="1">
        <v>0</v>
      </c>
    </row>
    <row r="58" spans="1:24" x14ac:dyDescent="0.25">
      <c r="A58" s="1">
        <v>11101</v>
      </c>
      <c r="B58" s="1">
        <v>111</v>
      </c>
      <c r="C58" s="1">
        <v>1</v>
      </c>
      <c r="D58" s="1">
        <v>1</v>
      </c>
      <c r="E58" s="1">
        <v>0</v>
      </c>
      <c r="F58" s="1">
        <v>1</v>
      </c>
      <c r="G58" s="1">
        <v>287</v>
      </c>
      <c r="H58" s="1">
        <v>46</v>
      </c>
      <c r="I58" s="1">
        <v>23</v>
      </c>
      <c r="J58" s="1">
        <v>35</v>
      </c>
      <c r="K58" s="1">
        <v>13</v>
      </c>
      <c r="L58" s="1">
        <v>5</v>
      </c>
      <c r="M58" s="1">
        <v>0</v>
      </c>
      <c r="N58" s="1">
        <v>0</v>
      </c>
      <c r="O58" s="1">
        <v>0</v>
      </c>
      <c r="P58" s="1">
        <v>0</v>
      </c>
      <c r="Q58" s="1">
        <v>200</v>
      </c>
      <c r="R58" s="1" t="s">
        <v>4633</v>
      </c>
      <c r="S58" s="1">
        <v>0</v>
      </c>
      <c r="T58" s="1">
        <v>0</v>
      </c>
      <c r="U58" s="1">
        <v>0</v>
      </c>
      <c r="V58" s="1">
        <v>0</v>
      </c>
      <c r="W58" s="1">
        <v>0</v>
      </c>
      <c r="X58" s="1">
        <v>0</v>
      </c>
    </row>
    <row r="59" spans="1:24" x14ac:dyDescent="0.25">
      <c r="A59" s="1">
        <v>11102</v>
      </c>
      <c r="B59" s="1">
        <v>111</v>
      </c>
      <c r="C59" s="1">
        <v>2</v>
      </c>
      <c r="D59" s="1">
        <v>1</v>
      </c>
      <c r="E59" s="1">
        <v>0</v>
      </c>
      <c r="F59" s="1">
        <v>1</v>
      </c>
      <c r="G59" s="1">
        <v>453</v>
      </c>
      <c r="H59" s="1">
        <v>46</v>
      </c>
      <c r="I59" s="1">
        <v>39</v>
      </c>
      <c r="J59" s="1">
        <v>35</v>
      </c>
      <c r="K59" s="1">
        <v>13</v>
      </c>
      <c r="L59" s="1">
        <v>5</v>
      </c>
      <c r="M59" s="1">
        <v>0</v>
      </c>
      <c r="N59" s="1">
        <v>0</v>
      </c>
      <c r="O59" s="1">
        <v>0</v>
      </c>
      <c r="P59" s="1">
        <v>0</v>
      </c>
      <c r="Q59" s="1">
        <v>200</v>
      </c>
      <c r="R59" s="1" t="s">
        <v>4633</v>
      </c>
      <c r="S59" s="1">
        <v>0</v>
      </c>
      <c r="T59" s="1">
        <v>0</v>
      </c>
      <c r="U59" s="1">
        <v>0</v>
      </c>
      <c r="V59" s="1">
        <v>0</v>
      </c>
      <c r="W59" s="1">
        <v>0</v>
      </c>
      <c r="X59" s="1">
        <v>0</v>
      </c>
    </row>
    <row r="60" spans="1:24" x14ac:dyDescent="0.25">
      <c r="A60" s="1">
        <v>11103</v>
      </c>
      <c r="B60" s="1">
        <v>111</v>
      </c>
      <c r="C60" s="1">
        <v>3</v>
      </c>
      <c r="D60" s="1">
        <v>1</v>
      </c>
      <c r="E60" s="1">
        <v>0</v>
      </c>
      <c r="F60" s="1">
        <v>1</v>
      </c>
      <c r="G60" s="1">
        <v>453</v>
      </c>
      <c r="H60" s="1">
        <v>72</v>
      </c>
      <c r="I60" s="1">
        <v>39</v>
      </c>
      <c r="J60" s="1">
        <v>35</v>
      </c>
      <c r="K60" s="1">
        <v>48</v>
      </c>
      <c r="L60" s="1">
        <v>5</v>
      </c>
      <c r="M60" s="1">
        <v>0</v>
      </c>
      <c r="N60" s="1">
        <v>0</v>
      </c>
      <c r="O60" s="1">
        <v>0</v>
      </c>
      <c r="P60" s="1">
        <v>0</v>
      </c>
      <c r="Q60" s="1">
        <v>200</v>
      </c>
      <c r="R60" s="1" t="s">
        <v>4633</v>
      </c>
      <c r="S60" s="1">
        <v>0</v>
      </c>
      <c r="T60" s="1">
        <v>0</v>
      </c>
      <c r="U60" s="1">
        <v>0</v>
      </c>
      <c r="V60" s="1">
        <v>0</v>
      </c>
      <c r="W60" s="1">
        <v>0</v>
      </c>
      <c r="X60" s="1">
        <v>0</v>
      </c>
    </row>
    <row r="61" spans="1:24" x14ac:dyDescent="0.25">
      <c r="A61" s="1">
        <v>11104</v>
      </c>
      <c r="B61" s="1">
        <v>111</v>
      </c>
      <c r="C61" s="1">
        <v>4</v>
      </c>
      <c r="D61" s="1">
        <v>1</v>
      </c>
      <c r="E61" s="1">
        <v>1</v>
      </c>
      <c r="F61" s="1">
        <v>1</v>
      </c>
      <c r="G61" s="1">
        <v>453</v>
      </c>
      <c r="H61" s="1">
        <v>72</v>
      </c>
      <c r="I61" s="1">
        <v>39</v>
      </c>
      <c r="J61" s="1">
        <v>35</v>
      </c>
      <c r="K61" s="1">
        <v>48</v>
      </c>
      <c r="L61" s="1">
        <v>5</v>
      </c>
      <c r="M61" s="1">
        <v>0</v>
      </c>
      <c r="N61" s="1">
        <v>0</v>
      </c>
      <c r="O61" s="1">
        <v>0</v>
      </c>
      <c r="P61" s="1">
        <v>0</v>
      </c>
      <c r="Q61" s="1">
        <v>200</v>
      </c>
      <c r="R61" s="1" t="s">
        <v>4633</v>
      </c>
      <c r="S61" s="1">
        <v>0</v>
      </c>
      <c r="T61" s="1">
        <v>0</v>
      </c>
      <c r="U61" s="1">
        <v>901201</v>
      </c>
      <c r="V61" s="1">
        <v>0</v>
      </c>
      <c r="W61" s="1">
        <v>0</v>
      </c>
      <c r="X61" s="1">
        <v>0</v>
      </c>
    </row>
    <row r="62" spans="1:24" x14ac:dyDescent="0.25">
      <c r="A62" s="1">
        <v>11200</v>
      </c>
      <c r="B62" s="1">
        <v>112</v>
      </c>
      <c r="C62" s="1">
        <v>0</v>
      </c>
      <c r="D62" s="1">
        <v>0</v>
      </c>
      <c r="E62" s="1">
        <v>0</v>
      </c>
      <c r="F62" s="1">
        <v>1</v>
      </c>
      <c r="G62" s="1">
        <v>401</v>
      </c>
      <c r="H62" s="1">
        <v>63</v>
      </c>
      <c r="I62" s="1">
        <v>25</v>
      </c>
      <c r="J62" s="1">
        <v>21</v>
      </c>
      <c r="K62" s="1">
        <v>42</v>
      </c>
      <c r="L62" s="1">
        <v>0</v>
      </c>
      <c r="M62" s="1">
        <v>0</v>
      </c>
      <c r="N62" s="1">
        <v>0</v>
      </c>
      <c r="O62" s="1">
        <v>0</v>
      </c>
      <c r="P62" s="1">
        <v>0</v>
      </c>
      <c r="Q62" s="1">
        <v>0</v>
      </c>
      <c r="R62" s="1" t="s">
        <v>4764</v>
      </c>
      <c r="S62" s="1">
        <v>0</v>
      </c>
      <c r="T62" s="1">
        <v>0</v>
      </c>
      <c r="U62" s="1">
        <v>0</v>
      </c>
      <c r="V62" s="1">
        <v>0</v>
      </c>
      <c r="W62" s="1">
        <v>0</v>
      </c>
      <c r="X62" s="1">
        <v>0</v>
      </c>
    </row>
    <row r="63" spans="1:24" x14ac:dyDescent="0.25">
      <c r="A63" s="1">
        <v>11201</v>
      </c>
      <c r="B63" s="1">
        <v>112</v>
      </c>
      <c r="C63" s="1">
        <v>1</v>
      </c>
      <c r="D63" s="1">
        <v>1</v>
      </c>
      <c r="E63" s="1">
        <v>0</v>
      </c>
      <c r="F63" s="1">
        <v>1</v>
      </c>
      <c r="G63" s="1">
        <v>401</v>
      </c>
      <c r="H63" s="1">
        <v>63</v>
      </c>
      <c r="I63" s="1">
        <v>25</v>
      </c>
      <c r="J63" s="1">
        <v>21</v>
      </c>
      <c r="K63" s="1">
        <v>42</v>
      </c>
      <c r="L63" s="1">
        <v>0</v>
      </c>
      <c r="M63" s="1">
        <v>0</v>
      </c>
      <c r="N63" s="1">
        <v>0</v>
      </c>
      <c r="O63" s="1">
        <v>0</v>
      </c>
      <c r="P63" s="1">
        <v>0</v>
      </c>
      <c r="Q63" s="1">
        <v>200</v>
      </c>
      <c r="R63" s="1" t="s">
        <v>4565</v>
      </c>
      <c r="S63" s="1">
        <v>0</v>
      </c>
      <c r="T63" s="1">
        <v>0</v>
      </c>
      <c r="U63" s="1">
        <v>0</v>
      </c>
      <c r="V63" s="1">
        <v>0</v>
      </c>
      <c r="W63" s="1">
        <v>0</v>
      </c>
      <c r="X63" s="1">
        <v>0</v>
      </c>
    </row>
    <row r="64" spans="1:24" x14ac:dyDescent="0.25">
      <c r="A64" s="1">
        <v>11202</v>
      </c>
      <c r="B64" s="1">
        <v>112</v>
      </c>
      <c r="C64" s="1">
        <v>2</v>
      </c>
      <c r="D64" s="1">
        <v>1</v>
      </c>
      <c r="E64" s="1">
        <v>0</v>
      </c>
      <c r="F64" s="1">
        <v>1</v>
      </c>
      <c r="G64" s="1">
        <v>401</v>
      </c>
      <c r="H64" s="1">
        <v>100</v>
      </c>
      <c r="I64" s="1">
        <v>25</v>
      </c>
      <c r="J64" s="1">
        <v>21</v>
      </c>
      <c r="K64" s="1">
        <v>60</v>
      </c>
      <c r="L64" s="1">
        <v>0</v>
      </c>
      <c r="M64" s="1">
        <v>0</v>
      </c>
      <c r="N64" s="1">
        <v>0</v>
      </c>
      <c r="O64" s="1">
        <v>0</v>
      </c>
      <c r="P64" s="1">
        <v>0</v>
      </c>
      <c r="Q64" s="1">
        <v>200</v>
      </c>
      <c r="R64" s="1" t="s">
        <v>4565</v>
      </c>
      <c r="S64" s="1">
        <v>0</v>
      </c>
      <c r="T64" s="1">
        <v>0</v>
      </c>
      <c r="U64" s="1">
        <v>0</v>
      </c>
      <c r="V64" s="1">
        <v>0</v>
      </c>
      <c r="W64" s="1">
        <v>0</v>
      </c>
      <c r="X64" s="1">
        <v>0</v>
      </c>
    </row>
    <row r="65" spans="1:24" x14ac:dyDescent="0.25">
      <c r="A65" s="1">
        <v>11203</v>
      </c>
      <c r="B65" s="1">
        <v>112</v>
      </c>
      <c r="C65" s="1">
        <v>3</v>
      </c>
      <c r="D65" s="1">
        <v>1</v>
      </c>
      <c r="E65" s="1">
        <v>0</v>
      </c>
      <c r="F65" s="1">
        <v>1</v>
      </c>
      <c r="G65" s="1">
        <v>401</v>
      </c>
      <c r="H65" s="1">
        <v>100</v>
      </c>
      <c r="I65" s="1">
        <v>35</v>
      </c>
      <c r="J65" s="1">
        <v>38</v>
      </c>
      <c r="K65" s="1">
        <v>60</v>
      </c>
      <c r="L65" s="1">
        <v>0</v>
      </c>
      <c r="M65" s="1">
        <v>0</v>
      </c>
      <c r="N65" s="1">
        <v>0</v>
      </c>
      <c r="O65" s="1">
        <v>0</v>
      </c>
      <c r="P65" s="1">
        <v>0</v>
      </c>
      <c r="Q65" s="1">
        <v>200</v>
      </c>
      <c r="R65" s="1" t="s">
        <v>4565</v>
      </c>
      <c r="S65" s="1">
        <v>0</v>
      </c>
      <c r="T65" s="1">
        <v>0</v>
      </c>
      <c r="U65" s="1">
        <v>0</v>
      </c>
      <c r="V65" s="1">
        <v>0</v>
      </c>
      <c r="W65" s="1">
        <v>0</v>
      </c>
      <c r="X65" s="1">
        <v>0</v>
      </c>
    </row>
    <row r="66" spans="1:24" x14ac:dyDescent="0.25">
      <c r="A66" s="1">
        <v>11204</v>
      </c>
      <c r="B66" s="1">
        <v>112</v>
      </c>
      <c r="C66" s="1">
        <v>4</v>
      </c>
      <c r="D66" s="1">
        <v>1</v>
      </c>
      <c r="E66" s="1">
        <v>1</v>
      </c>
      <c r="F66" s="1">
        <v>1</v>
      </c>
      <c r="G66" s="1">
        <v>401</v>
      </c>
      <c r="H66" s="1">
        <v>100</v>
      </c>
      <c r="I66" s="1">
        <v>35</v>
      </c>
      <c r="J66" s="1">
        <v>38</v>
      </c>
      <c r="K66" s="1">
        <v>60</v>
      </c>
      <c r="L66" s="1">
        <v>0</v>
      </c>
      <c r="M66" s="1">
        <v>0</v>
      </c>
      <c r="N66" s="1">
        <v>0</v>
      </c>
      <c r="O66" s="1">
        <v>0</v>
      </c>
      <c r="P66" s="1">
        <v>0</v>
      </c>
      <c r="Q66" s="1">
        <v>200</v>
      </c>
      <c r="R66" s="1" t="s">
        <v>4565</v>
      </c>
      <c r="S66" s="1">
        <v>0</v>
      </c>
      <c r="T66" s="1">
        <v>0</v>
      </c>
      <c r="U66" s="1">
        <v>902163</v>
      </c>
      <c r="V66" s="1">
        <v>0</v>
      </c>
      <c r="W66" s="1">
        <v>0</v>
      </c>
      <c r="X66" s="1">
        <v>0</v>
      </c>
    </row>
    <row r="67" spans="1:24" x14ac:dyDescent="0.25">
      <c r="A67" s="1">
        <v>11300</v>
      </c>
      <c r="B67" s="1">
        <v>113</v>
      </c>
      <c r="C67" s="1">
        <v>0</v>
      </c>
      <c r="D67" s="1">
        <v>0</v>
      </c>
      <c r="E67" s="1">
        <v>0</v>
      </c>
      <c r="F67" s="1">
        <v>1</v>
      </c>
      <c r="G67" s="1">
        <v>313</v>
      </c>
      <c r="H67" s="1">
        <v>80</v>
      </c>
      <c r="I67" s="1">
        <v>16</v>
      </c>
      <c r="J67" s="1">
        <v>29</v>
      </c>
      <c r="K67" s="1">
        <v>18</v>
      </c>
      <c r="L67" s="1">
        <v>0</v>
      </c>
      <c r="M67" s="1">
        <v>0</v>
      </c>
      <c r="N67" s="1">
        <v>0</v>
      </c>
      <c r="O67" s="1">
        <v>0</v>
      </c>
      <c r="P67" s="1">
        <v>0</v>
      </c>
      <c r="Q67" s="1">
        <v>0</v>
      </c>
      <c r="R67" s="1" t="s">
        <v>4765</v>
      </c>
      <c r="S67" s="1">
        <v>0</v>
      </c>
      <c r="T67" s="1">
        <v>0</v>
      </c>
      <c r="U67" s="1">
        <v>0</v>
      </c>
      <c r="V67" s="1">
        <v>0</v>
      </c>
      <c r="W67" s="1">
        <v>0</v>
      </c>
      <c r="X67" s="1">
        <v>0</v>
      </c>
    </row>
    <row r="68" spans="1:24" x14ac:dyDescent="0.25">
      <c r="A68" s="1">
        <v>11301</v>
      </c>
      <c r="B68" s="1">
        <v>113</v>
      </c>
      <c r="C68" s="1">
        <v>1</v>
      </c>
      <c r="D68" s="1">
        <v>1</v>
      </c>
      <c r="E68" s="1">
        <v>0</v>
      </c>
      <c r="F68" s="1">
        <v>1</v>
      </c>
      <c r="G68" s="1">
        <v>313</v>
      </c>
      <c r="H68" s="1">
        <v>80</v>
      </c>
      <c r="I68" s="1">
        <v>16</v>
      </c>
      <c r="J68" s="1">
        <v>29</v>
      </c>
      <c r="K68" s="1">
        <v>18</v>
      </c>
      <c r="L68" s="1">
        <v>0</v>
      </c>
      <c r="M68" s="1">
        <v>0</v>
      </c>
      <c r="N68" s="1">
        <v>0</v>
      </c>
      <c r="O68" s="1">
        <v>0</v>
      </c>
      <c r="P68" s="1">
        <v>0</v>
      </c>
      <c r="Q68" s="1">
        <v>200</v>
      </c>
      <c r="R68" s="1" t="s">
        <v>4639</v>
      </c>
      <c r="S68" s="1">
        <v>0</v>
      </c>
      <c r="T68" s="1">
        <v>0</v>
      </c>
      <c r="U68" s="1">
        <v>0</v>
      </c>
      <c r="V68" s="1">
        <v>0</v>
      </c>
      <c r="W68" s="1">
        <v>0</v>
      </c>
      <c r="X68" s="1">
        <v>0</v>
      </c>
    </row>
    <row r="69" spans="1:24" x14ac:dyDescent="0.25">
      <c r="A69" s="1">
        <v>11302</v>
      </c>
      <c r="B69" s="1">
        <v>113</v>
      </c>
      <c r="C69" s="1">
        <v>2</v>
      </c>
      <c r="D69" s="1">
        <v>1</v>
      </c>
      <c r="E69" s="1">
        <v>0</v>
      </c>
      <c r="F69" s="1">
        <v>1</v>
      </c>
      <c r="G69" s="1">
        <v>313</v>
      </c>
      <c r="H69" s="1">
        <v>102</v>
      </c>
      <c r="I69" s="1">
        <v>16</v>
      </c>
      <c r="J69" s="1">
        <v>41</v>
      </c>
      <c r="K69" s="1">
        <v>18</v>
      </c>
      <c r="L69" s="1">
        <v>0</v>
      </c>
      <c r="M69" s="1">
        <v>0</v>
      </c>
      <c r="N69" s="1">
        <v>0</v>
      </c>
      <c r="O69" s="1">
        <v>0</v>
      </c>
      <c r="P69" s="1">
        <v>0</v>
      </c>
      <c r="Q69" s="1">
        <v>200</v>
      </c>
      <c r="R69" s="1" t="s">
        <v>4639</v>
      </c>
      <c r="S69" s="1">
        <v>0</v>
      </c>
      <c r="T69" s="1">
        <v>0</v>
      </c>
      <c r="U69" s="1">
        <v>0</v>
      </c>
      <c r="V69" s="1">
        <v>0</v>
      </c>
      <c r="W69" s="1">
        <v>0</v>
      </c>
      <c r="X69" s="1">
        <v>0</v>
      </c>
    </row>
    <row r="70" spans="1:24" x14ac:dyDescent="0.25">
      <c r="A70" s="1">
        <v>11303</v>
      </c>
      <c r="B70" s="1">
        <v>113</v>
      </c>
      <c r="C70" s="1">
        <v>3</v>
      </c>
      <c r="D70" s="1">
        <v>1</v>
      </c>
      <c r="E70" s="1">
        <v>0</v>
      </c>
      <c r="F70" s="1">
        <v>1</v>
      </c>
      <c r="G70" s="1">
        <v>313</v>
      </c>
      <c r="H70" s="1">
        <v>102</v>
      </c>
      <c r="I70" s="1">
        <v>26</v>
      </c>
      <c r="J70" s="1">
        <v>41</v>
      </c>
      <c r="K70" s="1">
        <v>32</v>
      </c>
      <c r="L70" s="1">
        <v>0</v>
      </c>
      <c r="M70" s="1">
        <v>0</v>
      </c>
      <c r="N70" s="1">
        <v>0</v>
      </c>
      <c r="O70" s="1">
        <v>0</v>
      </c>
      <c r="P70" s="1">
        <v>0</v>
      </c>
      <c r="Q70" s="1">
        <v>200</v>
      </c>
      <c r="R70" s="1" t="s">
        <v>4639</v>
      </c>
      <c r="S70" s="1">
        <v>0</v>
      </c>
      <c r="T70" s="1">
        <v>0</v>
      </c>
      <c r="U70" s="1">
        <v>0</v>
      </c>
      <c r="V70" s="1">
        <v>0</v>
      </c>
      <c r="W70" s="1">
        <v>0</v>
      </c>
      <c r="X70" s="1">
        <v>0</v>
      </c>
    </row>
    <row r="71" spans="1:24" x14ac:dyDescent="0.25">
      <c r="A71" s="1">
        <v>11304</v>
      </c>
      <c r="B71" s="1">
        <v>113</v>
      </c>
      <c r="C71" s="1">
        <v>4</v>
      </c>
      <c r="D71" s="1">
        <v>1</v>
      </c>
      <c r="E71" s="1">
        <v>1</v>
      </c>
      <c r="F71" s="1">
        <v>1</v>
      </c>
      <c r="G71" s="1">
        <v>313</v>
      </c>
      <c r="H71" s="1">
        <v>102</v>
      </c>
      <c r="I71" s="1">
        <v>26</v>
      </c>
      <c r="J71" s="1">
        <v>41</v>
      </c>
      <c r="K71" s="1">
        <v>32</v>
      </c>
      <c r="L71" s="1">
        <v>0</v>
      </c>
      <c r="M71" s="1">
        <v>0</v>
      </c>
      <c r="N71" s="1">
        <v>0</v>
      </c>
      <c r="O71" s="1">
        <v>0</v>
      </c>
      <c r="P71" s="1">
        <v>0</v>
      </c>
      <c r="Q71" s="1">
        <v>200</v>
      </c>
      <c r="R71" s="1" t="s">
        <v>4639</v>
      </c>
      <c r="S71" s="1">
        <v>0</v>
      </c>
      <c r="T71" s="1">
        <v>0</v>
      </c>
      <c r="U71" s="1">
        <v>902362</v>
      </c>
      <c r="V71" s="1">
        <v>0</v>
      </c>
      <c r="W71" s="1">
        <v>0</v>
      </c>
      <c r="X71" s="1">
        <v>0</v>
      </c>
    </row>
    <row r="72" spans="1:24" x14ac:dyDescent="0.25">
      <c r="A72" s="1">
        <v>11400</v>
      </c>
      <c r="B72" s="1">
        <v>114</v>
      </c>
      <c r="C72" s="1">
        <v>0</v>
      </c>
      <c r="D72" s="1">
        <v>0</v>
      </c>
      <c r="E72" s="1">
        <v>0</v>
      </c>
      <c r="F72" s="1">
        <v>1</v>
      </c>
      <c r="G72" s="1">
        <v>235</v>
      </c>
      <c r="H72" s="1">
        <v>85</v>
      </c>
      <c r="I72" s="1">
        <v>19</v>
      </c>
      <c r="J72" s="1">
        <v>19</v>
      </c>
      <c r="K72" s="1">
        <v>31</v>
      </c>
      <c r="L72" s="1">
        <v>0</v>
      </c>
      <c r="M72" s="1">
        <v>0</v>
      </c>
      <c r="N72" s="1">
        <v>0</v>
      </c>
      <c r="O72" s="1">
        <v>0</v>
      </c>
      <c r="P72" s="1">
        <v>0</v>
      </c>
      <c r="Q72" s="1">
        <v>0</v>
      </c>
      <c r="R72" s="1" t="s">
        <v>4766</v>
      </c>
      <c r="S72" s="1">
        <v>0</v>
      </c>
      <c r="T72" s="1">
        <v>0</v>
      </c>
      <c r="U72" s="1">
        <v>0</v>
      </c>
      <c r="V72" s="1">
        <v>0</v>
      </c>
      <c r="W72" s="1">
        <v>0</v>
      </c>
      <c r="X72" s="1">
        <v>0</v>
      </c>
    </row>
    <row r="73" spans="1:24" x14ac:dyDescent="0.25">
      <c r="A73" s="1">
        <v>11401</v>
      </c>
      <c r="B73" s="1">
        <v>114</v>
      </c>
      <c r="C73" s="1">
        <v>1</v>
      </c>
      <c r="D73" s="1">
        <v>1</v>
      </c>
      <c r="E73" s="1">
        <v>0</v>
      </c>
      <c r="F73" s="1">
        <v>1</v>
      </c>
      <c r="G73" s="1">
        <v>235</v>
      </c>
      <c r="H73" s="1">
        <v>85</v>
      </c>
      <c r="I73" s="1">
        <v>19</v>
      </c>
      <c r="J73" s="1">
        <v>19</v>
      </c>
      <c r="K73" s="1">
        <v>31</v>
      </c>
      <c r="L73" s="1">
        <v>0</v>
      </c>
      <c r="M73" s="1">
        <v>0</v>
      </c>
      <c r="N73" s="1">
        <v>0</v>
      </c>
      <c r="O73" s="1">
        <v>0</v>
      </c>
      <c r="P73" s="1">
        <v>0</v>
      </c>
      <c r="Q73" s="1">
        <v>200</v>
      </c>
      <c r="R73" s="1" t="s">
        <v>4646</v>
      </c>
      <c r="S73" s="1">
        <v>0</v>
      </c>
      <c r="T73" s="1">
        <v>0</v>
      </c>
      <c r="U73" s="1">
        <v>0</v>
      </c>
      <c r="V73" s="1">
        <v>0</v>
      </c>
      <c r="W73" s="1">
        <v>0</v>
      </c>
      <c r="X73" s="1">
        <v>0</v>
      </c>
    </row>
    <row r="74" spans="1:24" x14ac:dyDescent="0.25">
      <c r="A74" s="1">
        <v>11402</v>
      </c>
      <c r="B74" s="1">
        <v>114</v>
      </c>
      <c r="C74" s="1">
        <v>2</v>
      </c>
      <c r="D74" s="1">
        <v>1</v>
      </c>
      <c r="E74" s="1">
        <v>0</v>
      </c>
      <c r="F74" s="1">
        <v>1</v>
      </c>
      <c r="G74" s="1">
        <v>366</v>
      </c>
      <c r="H74" s="1">
        <v>85</v>
      </c>
      <c r="I74" s="1">
        <v>19</v>
      </c>
      <c r="J74" s="1">
        <v>19</v>
      </c>
      <c r="K74" s="1">
        <v>54</v>
      </c>
      <c r="L74" s="1">
        <v>0</v>
      </c>
      <c r="M74" s="1">
        <v>0</v>
      </c>
      <c r="N74" s="1">
        <v>0</v>
      </c>
      <c r="O74" s="1">
        <v>0</v>
      </c>
      <c r="P74" s="1">
        <v>0</v>
      </c>
      <c r="Q74" s="1">
        <v>200</v>
      </c>
      <c r="R74" s="1" t="s">
        <v>4646</v>
      </c>
      <c r="S74" s="1">
        <v>0</v>
      </c>
      <c r="T74" s="1">
        <v>0</v>
      </c>
      <c r="U74" s="1">
        <v>0</v>
      </c>
      <c r="V74" s="1">
        <v>0</v>
      </c>
      <c r="W74" s="1">
        <v>0</v>
      </c>
      <c r="X74" s="1">
        <v>0</v>
      </c>
    </row>
    <row r="75" spans="1:24" x14ac:dyDescent="0.25">
      <c r="A75" s="1">
        <v>11403</v>
      </c>
      <c r="B75" s="1">
        <v>114</v>
      </c>
      <c r="C75" s="1">
        <v>3</v>
      </c>
      <c r="D75" s="1">
        <v>1</v>
      </c>
      <c r="E75" s="1">
        <v>0</v>
      </c>
      <c r="F75" s="1">
        <v>1</v>
      </c>
      <c r="G75" s="1">
        <v>366</v>
      </c>
      <c r="H75" s="1">
        <v>103</v>
      </c>
      <c r="I75" s="1">
        <v>19</v>
      </c>
      <c r="J75" s="1">
        <v>35</v>
      </c>
      <c r="K75" s="1">
        <v>54</v>
      </c>
      <c r="L75" s="1">
        <v>0</v>
      </c>
      <c r="M75" s="1">
        <v>0</v>
      </c>
      <c r="N75" s="1">
        <v>0</v>
      </c>
      <c r="O75" s="1">
        <v>0</v>
      </c>
      <c r="P75" s="1">
        <v>0</v>
      </c>
      <c r="Q75" s="1">
        <v>200</v>
      </c>
      <c r="R75" s="1" t="s">
        <v>4646</v>
      </c>
      <c r="S75" s="1">
        <v>0</v>
      </c>
      <c r="T75" s="1">
        <v>0</v>
      </c>
      <c r="U75" s="1">
        <v>0</v>
      </c>
      <c r="V75" s="1">
        <v>0</v>
      </c>
      <c r="W75" s="1">
        <v>0</v>
      </c>
      <c r="X75" s="1">
        <v>0</v>
      </c>
    </row>
    <row r="76" spans="1:24" x14ac:dyDescent="0.25">
      <c r="A76" s="1">
        <v>11404</v>
      </c>
      <c r="B76" s="1">
        <v>114</v>
      </c>
      <c r="C76" s="1">
        <v>4</v>
      </c>
      <c r="D76" s="1">
        <v>1</v>
      </c>
      <c r="E76" s="1">
        <v>1</v>
      </c>
      <c r="F76" s="1">
        <v>1</v>
      </c>
      <c r="G76" s="1">
        <v>366</v>
      </c>
      <c r="H76" s="1">
        <v>103</v>
      </c>
      <c r="I76" s="1">
        <v>19</v>
      </c>
      <c r="J76" s="1">
        <v>35</v>
      </c>
      <c r="K76" s="1">
        <v>54</v>
      </c>
      <c r="L76" s="1">
        <v>0</v>
      </c>
      <c r="M76" s="1">
        <v>0</v>
      </c>
      <c r="N76" s="1">
        <v>0</v>
      </c>
      <c r="O76" s="1">
        <v>0</v>
      </c>
      <c r="P76" s="1">
        <v>0</v>
      </c>
      <c r="Q76" s="1">
        <v>200</v>
      </c>
      <c r="R76" s="1" t="s">
        <v>4646</v>
      </c>
      <c r="S76" s="1">
        <v>0</v>
      </c>
      <c r="T76" s="1">
        <v>0</v>
      </c>
      <c r="U76" s="1">
        <v>902442</v>
      </c>
      <c r="V76" s="1">
        <v>0</v>
      </c>
      <c r="W76" s="1">
        <v>0</v>
      </c>
      <c r="X76" s="1">
        <v>0</v>
      </c>
    </row>
    <row r="77" spans="1:24" x14ac:dyDescent="0.25">
      <c r="A77" s="1">
        <v>11500</v>
      </c>
      <c r="B77" s="1">
        <v>115</v>
      </c>
      <c r="C77" s="1">
        <v>0</v>
      </c>
      <c r="D77" s="1">
        <v>0</v>
      </c>
      <c r="E77" s="1">
        <v>0</v>
      </c>
      <c r="F77" s="1">
        <v>1</v>
      </c>
      <c r="G77" s="1">
        <v>419</v>
      </c>
      <c r="H77" s="1">
        <v>57</v>
      </c>
      <c r="I77" s="1">
        <v>31</v>
      </c>
      <c r="J77" s="1">
        <v>18</v>
      </c>
      <c r="K77" s="1">
        <v>21</v>
      </c>
      <c r="L77" s="1">
        <v>0</v>
      </c>
      <c r="M77" s="1">
        <v>0</v>
      </c>
      <c r="N77" s="1">
        <v>0</v>
      </c>
      <c r="O77" s="1">
        <v>0</v>
      </c>
      <c r="P77" s="1">
        <v>0</v>
      </c>
      <c r="Q77" s="1">
        <v>0</v>
      </c>
      <c r="R77" s="1" t="s">
        <v>4767</v>
      </c>
      <c r="S77" s="1">
        <v>0</v>
      </c>
      <c r="T77" s="1">
        <v>0</v>
      </c>
      <c r="U77" s="1">
        <v>0</v>
      </c>
      <c r="V77" s="1">
        <v>0</v>
      </c>
      <c r="W77" s="1">
        <v>0</v>
      </c>
      <c r="X77" s="1">
        <v>0</v>
      </c>
    </row>
    <row r="78" spans="1:24" x14ac:dyDescent="0.25">
      <c r="A78" s="1">
        <v>11501</v>
      </c>
      <c r="B78" s="1">
        <v>115</v>
      </c>
      <c r="C78" s="1">
        <v>1</v>
      </c>
      <c r="D78" s="1">
        <v>1</v>
      </c>
      <c r="E78" s="1">
        <v>0</v>
      </c>
      <c r="F78" s="1">
        <v>1</v>
      </c>
      <c r="G78" s="1">
        <v>419</v>
      </c>
      <c r="H78" s="1">
        <v>57</v>
      </c>
      <c r="I78" s="1">
        <v>31</v>
      </c>
      <c r="J78" s="1">
        <v>18</v>
      </c>
      <c r="K78" s="1">
        <v>21</v>
      </c>
      <c r="L78" s="1">
        <v>0</v>
      </c>
      <c r="M78" s="1">
        <v>0</v>
      </c>
      <c r="N78" s="1">
        <v>0</v>
      </c>
      <c r="O78" s="1">
        <v>0</v>
      </c>
      <c r="P78" s="1">
        <v>0</v>
      </c>
      <c r="Q78" s="1">
        <v>200</v>
      </c>
      <c r="R78" s="1" t="s">
        <v>4587</v>
      </c>
      <c r="S78" s="1">
        <v>0</v>
      </c>
      <c r="T78" s="1">
        <v>0</v>
      </c>
      <c r="U78" s="1">
        <v>0</v>
      </c>
      <c r="V78" s="1">
        <v>0</v>
      </c>
      <c r="W78" s="1">
        <v>0</v>
      </c>
      <c r="X78" s="1">
        <v>0</v>
      </c>
    </row>
    <row r="79" spans="1:24" x14ac:dyDescent="0.25">
      <c r="A79" s="1">
        <v>11502</v>
      </c>
      <c r="B79" s="1">
        <v>115</v>
      </c>
      <c r="C79" s="1">
        <v>2</v>
      </c>
      <c r="D79" s="1">
        <v>1</v>
      </c>
      <c r="E79" s="1">
        <v>0</v>
      </c>
      <c r="F79" s="1">
        <v>1</v>
      </c>
      <c r="G79" s="1">
        <v>419</v>
      </c>
      <c r="H79" s="1">
        <v>77</v>
      </c>
      <c r="I79" s="1">
        <v>31</v>
      </c>
      <c r="J79" s="1">
        <v>18</v>
      </c>
      <c r="K79" s="1">
        <v>36</v>
      </c>
      <c r="L79" s="1">
        <v>0</v>
      </c>
      <c r="M79" s="1">
        <v>0</v>
      </c>
      <c r="N79" s="1">
        <v>0</v>
      </c>
      <c r="O79" s="1">
        <v>0</v>
      </c>
      <c r="P79" s="1">
        <v>0</v>
      </c>
      <c r="Q79" s="1">
        <v>200</v>
      </c>
      <c r="R79" s="1" t="s">
        <v>4587</v>
      </c>
      <c r="S79" s="1">
        <v>0</v>
      </c>
      <c r="T79" s="1">
        <v>0</v>
      </c>
      <c r="U79" s="1">
        <v>0</v>
      </c>
      <c r="V79" s="1">
        <v>0</v>
      </c>
      <c r="W79" s="1">
        <v>0</v>
      </c>
      <c r="X79" s="1">
        <v>0</v>
      </c>
    </row>
    <row r="80" spans="1:24" x14ac:dyDescent="0.25">
      <c r="A80" s="1">
        <v>11503</v>
      </c>
      <c r="B80" s="1">
        <v>115</v>
      </c>
      <c r="C80" s="1">
        <v>3</v>
      </c>
      <c r="D80" s="1">
        <v>1</v>
      </c>
      <c r="E80" s="1">
        <v>0</v>
      </c>
      <c r="F80" s="1">
        <v>1</v>
      </c>
      <c r="G80" s="1">
        <v>419</v>
      </c>
      <c r="H80" s="1">
        <v>107</v>
      </c>
      <c r="I80" s="1">
        <v>31</v>
      </c>
      <c r="J80" s="1">
        <v>43</v>
      </c>
      <c r="K80" s="1">
        <v>36</v>
      </c>
      <c r="L80" s="1">
        <v>0</v>
      </c>
      <c r="M80" s="1">
        <v>0</v>
      </c>
      <c r="N80" s="1">
        <v>0</v>
      </c>
      <c r="O80" s="1">
        <v>0</v>
      </c>
      <c r="P80" s="1">
        <v>0</v>
      </c>
      <c r="Q80" s="1">
        <v>200</v>
      </c>
      <c r="R80" s="1" t="s">
        <v>4587</v>
      </c>
      <c r="S80" s="1">
        <v>0</v>
      </c>
      <c r="T80" s="1">
        <v>0</v>
      </c>
      <c r="U80" s="1">
        <v>0</v>
      </c>
      <c r="V80" s="1">
        <v>0</v>
      </c>
      <c r="W80" s="1">
        <v>0</v>
      </c>
      <c r="X80" s="1">
        <v>0</v>
      </c>
    </row>
    <row r="81" spans="1:24" x14ac:dyDescent="0.25">
      <c r="A81" s="1">
        <v>11504</v>
      </c>
      <c r="B81" s="1">
        <v>115</v>
      </c>
      <c r="C81" s="1">
        <v>4</v>
      </c>
      <c r="D81" s="1">
        <v>1</v>
      </c>
      <c r="E81" s="1">
        <v>1</v>
      </c>
      <c r="F81" s="1">
        <v>1</v>
      </c>
      <c r="G81" s="1">
        <v>419</v>
      </c>
      <c r="H81" s="1">
        <v>107</v>
      </c>
      <c r="I81" s="1">
        <v>31</v>
      </c>
      <c r="J81" s="1">
        <v>43</v>
      </c>
      <c r="K81" s="1">
        <v>36</v>
      </c>
      <c r="L81" s="1">
        <v>0</v>
      </c>
      <c r="M81" s="1">
        <v>0</v>
      </c>
      <c r="N81" s="1">
        <v>0</v>
      </c>
      <c r="O81" s="1">
        <v>0</v>
      </c>
      <c r="P81" s="1">
        <v>0</v>
      </c>
      <c r="Q81" s="1">
        <v>200</v>
      </c>
      <c r="R81" s="1" t="s">
        <v>4587</v>
      </c>
      <c r="S81" s="1">
        <v>0</v>
      </c>
      <c r="T81" s="1">
        <v>0</v>
      </c>
      <c r="U81" s="1">
        <v>750002</v>
      </c>
      <c r="V81" s="1">
        <v>0</v>
      </c>
      <c r="W81" s="1">
        <v>0</v>
      </c>
      <c r="X81" s="1">
        <v>0</v>
      </c>
    </row>
    <row r="82" spans="1:24" x14ac:dyDescent="0.25">
      <c r="A82" s="1">
        <v>11600</v>
      </c>
      <c r="B82" s="1">
        <v>116</v>
      </c>
      <c r="C82" s="1">
        <v>0</v>
      </c>
      <c r="D82" s="1">
        <v>0</v>
      </c>
      <c r="E82" s="1">
        <v>0</v>
      </c>
      <c r="F82" s="1">
        <v>1</v>
      </c>
      <c r="G82" s="1">
        <v>250</v>
      </c>
      <c r="H82" s="1">
        <v>48</v>
      </c>
      <c r="I82" s="1">
        <v>24</v>
      </c>
      <c r="J82" s="1">
        <v>27</v>
      </c>
      <c r="K82" s="1">
        <v>50</v>
      </c>
      <c r="L82" s="1">
        <v>0</v>
      </c>
      <c r="M82" s="1">
        <v>0</v>
      </c>
      <c r="N82" s="1">
        <v>0</v>
      </c>
      <c r="O82" s="1">
        <v>0</v>
      </c>
      <c r="P82" s="1">
        <v>0</v>
      </c>
      <c r="Q82" s="1">
        <v>0</v>
      </c>
      <c r="R82" s="1" t="s">
        <v>4768</v>
      </c>
      <c r="S82" s="1">
        <v>0</v>
      </c>
      <c r="T82" s="1">
        <v>0</v>
      </c>
      <c r="U82" s="1">
        <v>0</v>
      </c>
      <c r="V82" s="1">
        <v>0</v>
      </c>
      <c r="W82" s="1">
        <v>0</v>
      </c>
      <c r="X82" s="1">
        <v>0</v>
      </c>
    </row>
    <row r="83" spans="1:24" x14ac:dyDescent="0.25">
      <c r="A83" s="1">
        <v>11601</v>
      </c>
      <c r="B83" s="1">
        <v>116</v>
      </c>
      <c r="C83" s="1">
        <v>1</v>
      </c>
      <c r="D83" s="1">
        <v>1</v>
      </c>
      <c r="E83" s="1">
        <v>0</v>
      </c>
      <c r="F83" s="1">
        <v>1</v>
      </c>
      <c r="G83" s="1">
        <v>250</v>
      </c>
      <c r="H83" s="1">
        <v>48</v>
      </c>
      <c r="I83" s="1">
        <v>24</v>
      </c>
      <c r="J83" s="1">
        <v>27</v>
      </c>
      <c r="K83" s="1">
        <v>50</v>
      </c>
      <c r="L83" s="1">
        <v>0</v>
      </c>
      <c r="M83" s="1">
        <v>0</v>
      </c>
      <c r="N83" s="1">
        <v>0</v>
      </c>
      <c r="O83" s="1">
        <v>0</v>
      </c>
      <c r="P83" s="1">
        <v>0</v>
      </c>
      <c r="Q83" s="1">
        <v>200</v>
      </c>
      <c r="R83" s="1" t="s">
        <v>4550</v>
      </c>
      <c r="S83" s="1">
        <v>0</v>
      </c>
      <c r="T83" s="1">
        <v>0</v>
      </c>
      <c r="U83" s="1">
        <v>0</v>
      </c>
      <c r="V83" s="1">
        <v>0</v>
      </c>
      <c r="W83" s="1">
        <v>0</v>
      </c>
      <c r="X83" s="1">
        <v>0</v>
      </c>
    </row>
    <row r="84" spans="1:24" x14ac:dyDescent="0.25">
      <c r="A84" s="1">
        <v>11602</v>
      </c>
      <c r="B84" s="1">
        <v>116</v>
      </c>
      <c r="C84" s="1">
        <v>2</v>
      </c>
      <c r="D84" s="1">
        <v>1</v>
      </c>
      <c r="E84" s="1">
        <v>0</v>
      </c>
      <c r="F84" s="1">
        <v>1</v>
      </c>
      <c r="G84" s="1">
        <v>250</v>
      </c>
      <c r="H84" s="1">
        <v>75</v>
      </c>
      <c r="I84" s="1">
        <v>24</v>
      </c>
      <c r="J84" s="1">
        <v>27</v>
      </c>
      <c r="K84" s="1">
        <v>63</v>
      </c>
      <c r="L84" s="1">
        <v>0</v>
      </c>
      <c r="M84" s="1">
        <v>0</v>
      </c>
      <c r="N84" s="1">
        <v>0</v>
      </c>
      <c r="O84" s="1">
        <v>0</v>
      </c>
      <c r="P84" s="1">
        <v>0</v>
      </c>
      <c r="Q84" s="1">
        <v>200</v>
      </c>
      <c r="R84" s="1" t="s">
        <v>4550</v>
      </c>
      <c r="S84" s="1">
        <v>0</v>
      </c>
      <c r="T84" s="1">
        <v>0</v>
      </c>
      <c r="U84" s="1">
        <v>0</v>
      </c>
      <c r="V84" s="1">
        <v>0</v>
      </c>
      <c r="W84" s="1">
        <v>0</v>
      </c>
      <c r="X84" s="1">
        <v>0</v>
      </c>
    </row>
    <row r="85" spans="1:24" x14ac:dyDescent="0.25">
      <c r="A85" s="1">
        <v>11603</v>
      </c>
      <c r="B85" s="1">
        <v>116</v>
      </c>
      <c r="C85" s="1">
        <v>3</v>
      </c>
      <c r="D85" s="1">
        <v>1</v>
      </c>
      <c r="E85" s="1">
        <v>0</v>
      </c>
      <c r="F85" s="1">
        <v>1</v>
      </c>
      <c r="G85" s="1">
        <v>436</v>
      </c>
      <c r="H85" s="1">
        <v>75</v>
      </c>
      <c r="I85" s="1">
        <v>39</v>
      </c>
      <c r="J85" s="1">
        <v>27</v>
      </c>
      <c r="K85" s="1">
        <v>63</v>
      </c>
      <c r="L85" s="1">
        <v>0</v>
      </c>
      <c r="M85" s="1">
        <v>0</v>
      </c>
      <c r="N85" s="1">
        <v>0</v>
      </c>
      <c r="O85" s="1">
        <v>0</v>
      </c>
      <c r="P85" s="1">
        <v>0</v>
      </c>
      <c r="Q85" s="1">
        <v>200</v>
      </c>
      <c r="R85" s="1" t="s">
        <v>4550</v>
      </c>
      <c r="S85" s="1">
        <v>0</v>
      </c>
      <c r="T85" s="1">
        <v>0</v>
      </c>
      <c r="U85" s="1">
        <v>0</v>
      </c>
      <c r="V85" s="1">
        <v>0</v>
      </c>
      <c r="W85" s="1">
        <v>0</v>
      </c>
      <c r="X85" s="1">
        <v>0</v>
      </c>
    </row>
    <row r="86" spans="1:24" x14ac:dyDescent="0.25">
      <c r="A86" s="1">
        <v>11604</v>
      </c>
      <c r="B86" s="1">
        <v>116</v>
      </c>
      <c r="C86" s="1">
        <v>4</v>
      </c>
      <c r="D86" s="1">
        <v>1</v>
      </c>
      <c r="E86" s="1">
        <v>1</v>
      </c>
      <c r="F86" s="1">
        <v>1</v>
      </c>
      <c r="G86" s="1">
        <v>436</v>
      </c>
      <c r="H86" s="1">
        <v>75</v>
      </c>
      <c r="I86" s="1">
        <v>39</v>
      </c>
      <c r="J86" s="1">
        <v>27</v>
      </c>
      <c r="K86" s="1">
        <v>63</v>
      </c>
      <c r="L86" s="1">
        <v>0</v>
      </c>
      <c r="M86" s="1">
        <v>0</v>
      </c>
      <c r="N86" s="1">
        <v>0</v>
      </c>
      <c r="O86" s="1">
        <v>0</v>
      </c>
      <c r="P86" s="1">
        <v>0</v>
      </c>
      <c r="Q86" s="1">
        <v>200</v>
      </c>
      <c r="R86" s="1" t="s">
        <v>4550</v>
      </c>
      <c r="S86" s="1">
        <v>0</v>
      </c>
      <c r="T86" s="1">
        <v>0</v>
      </c>
      <c r="U86" s="1">
        <v>750080</v>
      </c>
      <c r="V86" s="1">
        <v>0</v>
      </c>
      <c r="W86" s="1">
        <v>0</v>
      </c>
      <c r="X86" s="1">
        <v>0</v>
      </c>
    </row>
    <row r="87" spans="1:24" x14ac:dyDescent="0.25">
      <c r="A87" s="1">
        <v>11700</v>
      </c>
      <c r="B87" s="1">
        <v>117</v>
      </c>
      <c r="C87" s="1">
        <v>0</v>
      </c>
      <c r="D87" s="1">
        <v>0</v>
      </c>
      <c r="E87" s="1">
        <v>0</v>
      </c>
      <c r="F87" s="1">
        <v>1</v>
      </c>
      <c r="G87" s="1">
        <v>200</v>
      </c>
      <c r="H87" s="1">
        <v>40</v>
      </c>
      <c r="I87" s="1">
        <v>29</v>
      </c>
      <c r="J87" s="1">
        <v>10</v>
      </c>
      <c r="K87" s="1">
        <v>66</v>
      </c>
      <c r="L87" s="1">
        <v>0</v>
      </c>
      <c r="M87" s="1">
        <v>0</v>
      </c>
      <c r="N87" s="1">
        <v>0</v>
      </c>
      <c r="O87" s="1">
        <v>0</v>
      </c>
      <c r="P87" s="1">
        <v>0</v>
      </c>
      <c r="Q87" s="1">
        <v>0</v>
      </c>
      <c r="R87" s="1" t="s">
        <v>5726</v>
      </c>
      <c r="S87" s="1">
        <v>0</v>
      </c>
      <c r="T87" s="1">
        <v>0</v>
      </c>
      <c r="U87" s="1">
        <v>0</v>
      </c>
      <c r="V87" s="1">
        <v>0</v>
      </c>
      <c r="W87" s="1">
        <v>0</v>
      </c>
      <c r="X87" s="1">
        <v>0</v>
      </c>
    </row>
    <row r="88" spans="1:24" x14ac:dyDescent="0.25">
      <c r="A88" s="1">
        <v>11701</v>
      </c>
      <c r="B88" s="1">
        <v>117</v>
      </c>
      <c r="C88" s="1">
        <v>1</v>
      </c>
      <c r="D88" s="1">
        <v>1</v>
      </c>
      <c r="E88" s="1">
        <v>0</v>
      </c>
      <c r="F88" s="1">
        <v>1</v>
      </c>
      <c r="G88" s="1">
        <v>200</v>
      </c>
      <c r="H88" s="1">
        <v>40</v>
      </c>
      <c r="I88" s="1">
        <v>29</v>
      </c>
      <c r="J88" s="1">
        <v>10</v>
      </c>
      <c r="K88" s="1">
        <v>66</v>
      </c>
      <c r="L88" s="1">
        <v>0</v>
      </c>
      <c r="M88" s="1">
        <v>0</v>
      </c>
      <c r="N88" s="1">
        <v>0</v>
      </c>
      <c r="O88" s="1">
        <v>0</v>
      </c>
      <c r="P88" s="1">
        <v>0</v>
      </c>
      <c r="Q88" s="1">
        <v>200</v>
      </c>
      <c r="R88" s="1" t="s">
        <v>5727</v>
      </c>
      <c r="S88" s="1">
        <v>0</v>
      </c>
      <c r="T88" s="1">
        <v>0</v>
      </c>
      <c r="U88" s="1">
        <v>0</v>
      </c>
      <c r="V88" s="1">
        <v>0</v>
      </c>
      <c r="W88" s="1">
        <v>0</v>
      </c>
      <c r="X88" s="1">
        <v>0</v>
      </c>
    </row>
    <row r="89" spans="1:24" x14ac:dyDescent="0.25">
      <c r="A89" s="1">
        <v>11702</v>
      </c>
      <c r="B89" s="1">
        <v>117</v>
      </c>
      <c r="C89" s="1">
        <v>2</v>
      </c>
      <c r="D89" s="1">
        <v>1</v>
      </c>
      <c r="E89" s="1">
        <v>0</v>
      </c>
      <c r="F89" s="1">
        <v>1</v>
      </c>
      <c r="G89" s="1">
        <v>200</v>
      </c>
      <c r="H89" s="1">
        <v>70</v>
      </c>
      <c r="I89" s="1">
        <v>29</v>
      </c>
      <c r="J89" s="1">
        <v>25</v>
      </c>
      <c r="K89" s="1">
        <v>66</v>
      </c>
      <c r="L89" s="1">
        <v>0</v>
      </c>
      <c r="M89" s="1">
        <v>0</v>
      </c>
      <c r="N89" s="1">
        <v>0</v>
      </c>
      <c r="O89" s="1">
        <v>0</v>
      </c>
      <c r="P89" s="1">
        <v>0</v>
      </c>
      <c r="Q89" s="1">
        <v>200</v>
      </c>
      <c r="R89" s="1" t="s">
        <v>5727</v>
      </c>
      <c r="S89" s="1">
        <v>0</v>
      </c>
      <c r="T89" s="1">
        <v>0</v>
      </c>
      <c r="U89" s="1">
        <v>0</v>
      </c>
      <c r="V89" s="1">
        <v>0</v>
      </c>
      <c r="W89" s="1">
        <v>0</v>
      </c>
      <c r="X89" s="1">
        <v>0</v>
      </c>
    </row>
    <row r="90" spans="1:24" x14ac:dyDescent="0.25">
      <c r="A90" s="1">
        <v>11703</v>
      </c>
      <c r="B90" s="1">
        <v>117</v>
      </c>
      <c r="C90" s="1">
        <v>3</v>
      </c>
      <c r="D90" s="1">
        <v>1</v>
      </c>
      <c r="E90" s="1">
        <v>0</v>
      </c>
      <c r="F90" s="1">
        <v>1</v>
      </c>
      <c r="G90" s="1">
        <v>419</v>
      </c>
      <c r="H90" s="1">
        <v>100</v>
      </c>
      <c r="I90" s="1">
        <v>29</v>
      </c>
      <c r="J90" s="1">
        <v>25</v>
      </c>
      <c r="K90" s="1">
        <v>66</v>
      </c>
      <c r="L90" s="1">
        <v>0</v>
      </c>
      <c r="M90" s="1">
        <v>0</v>
      </c>
      <c r="N90" s="1">
        <v>0</v>
      </c>
      <c r="O90" s="1">
        <v>0</v>
      </c>
      <c r="P90" s="1">
        <v>0</v>
      </c>
      <c r="Q90" s="1">
        <v>200</v>
      </c>
      <c r="R90" s="1" t="s">
        <v>5727</v>
      </c>
      <c r="S90" s="1">
        <v>0</v>
      </c>
      <c r="T90" s="1">
        <v>0</v>
      </c>
      <c r="U90" s="1">
        <v>0</v>
      </c>
      <c r="V90" s="1">
        <v>0</v>
      </c>
      <c r="W90" s="1">
        <v>0</v>
      </c>
      <c r="X90" s="1">
        <v>0</v>
      </c>
    </row>
    <row r="91" spans="1:24" x14ac:dyDescent="0.25">
      <c r="A91" s="1">
        <v>11704</v>
      </c>
      <c r="B91" s="1">
        <v>117</v>
      </c>
      <c r="C91" s="1">
        <v>4</v>
      </c>
      <c r="D91" s="1">
        <v>1</v>
      </c>
      <c r="E91" s="1">
        <v>1</v>
      </c>
      <c r="F91" s="1">
        <v>1</v>
      </c>
      <c r="G91" s="1">
        <v>419</v>
      </c>
      <c r="H91" s="1">
        <v>100</v>
      </c>
      <c r="I91" s="1">
        <v>29</v>
      </c>
      <c r="J91" s="1">
        <v>25</v>
      </c>
      <c r="K91" s="1">
        <v>66</v>
      </c>
      <c r="L91" s="1">
        <v>0</v>
      </c>
      <c r="M91" s="1">
        <v>0</v>
      </c>
      <c r="N91" s="1">
        <v>0</v>
      </c>
      <c r="O91" s="1">
        <v>0</v>
      </c>
      <c r="P91" s="1">
        <v>0</v>
      </c>
      <c r="Q91" s="1">
        <v>200</v>
      </c>
      <c r="R91" s="1" t="s">
        <v>5727</v>
      </c>
      <c r="S91" s="1">
        <v>0</v>
      </c>
      <c r="T91" s="1">
        <v>0</v>
      </c>
      <c r="U91" s="1">
        <v>750277</v>
      </c>
      <c r="V91" s="1">
        <v>0</v>
      </c>
      <c r="W91" s="1">
        <v>0</v>
      </c>
      <c r="X91" s="1">
        <v>0</v>
      </c>
    </row>
    <row r="92" spans="1:24" x14ac:dyDescent="0.25">
      <c r="A92">
        <v>11800</v>
      </c>
      <c r="B92">
        <v>118</v>
      </c>
      <c r="C92">
        <v>0</v>
      </c>
      <c r="D92">
        <v>0</v>
      </c>
      <c r="E92">
        <v>0</v>
      </c>
      <c r="F92">
        <v>1</v>
      </c>
      <c r="G92">
        <v>110</v>
      </c>
      <c r="H92">
        <v>39</v>
      </c>
      <c r="I92">
        <v>35</v>
      </c>
      <c r="J92">
        <v>38</v>
      </c>
      <c r="K92">
        <v>55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 t="s">
        <v>6426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</row>
    <row r="93" spans="1:24" x14ac:dyDescent="0.25">
      <c r="A93">
        <v>11801</v>
      </c>
      <c r="B93">
        <v>118</v>
      </c>
      <c r="C93">
        <v>1</v>
      </c>
      <c r="D93">
        <v>1</v>
      </c>
      <c r="E93">
        <v>0</v>
      </c>
      <c r="F93">
        <v>1</v>
      </c>
      <c r="G93">
        <v>110</v>
      </c>
      <c r="H93">
        <v>39</v>
      </c>
      <c r="I93">
        <v>35</v>
      </c>
      <c r="J93">
        <v>38</v>
      </c>
      <c r="K93">
        <v>55</v>
      </c>
      <c r="L93">
        <v>0</v>
      </c>
      <c r="M93">
        <v>0</v>
      </c>
      <c r="N93">
        <v>0</v>
      </c>
      <c r="O93">
        <v>0</v>
      </c>
      <c r="P93">
        <v>0</v>
      </c>
      <c r="Q93">
        <v>200</v>
      </c>
      <c r="R93" t="s">
        <v>6421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</row>
    <row r="94" spans="1:24" x14ac:dyDescent="0.25">
      <c r="A94">
        <v>11802</v>
      </c>
      <c r="B94">
        <v>118</v>
      </c>
      <c r="C94">
        <v>2</v>
      </c>
      <c r="D94">
        <v>1</v>
      </c>
      <c r="E94">
        <v>0</v>
      </c>
      <c r="F94">
        <v>1</v>
      </c>
      <c r="G94">
        <v>110</v>
      </c>
      <c r="H94">
        <v>77</v>
      </c>
      <c r="I94">
        <v>35</v>
      </c>
      <c r="J94">
        <v>48</v>
      </c>
      <c r="K94">
        <v>55</v>
      </c>
      <c r="L94">
        <v>0</v>
      </c>
      <c r="M94">
        <v>0</v>
      </c>
      <c r="N94">
        <v>0</v>
      </c>
      <c r="O94">
        <v>0</v>
      </c>
      <c r="P94">
        <v>0</v>
      </c>
      <c r="Q94">
        <v>200</v>
      </c>
      <c r="R94" t="s">
        <v>6421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</row>
    <row r="95" spans="1:24" x14ac:dyDescent="0.25">
      <c r="A95">
        <v>11803</v>
      </c>
      <c r="B95">
        <v>118</v>
      </c>
      <c r="C95">
        <v>3</v>
      </c>
      <c r="D95">
        <v>1</v>
      </c>
      <c r="E95">
        <v>0</v>
      </c>
      <c r="F95">
        <v>1</v>
      </c>
      <c r="G95">
        <v>278</v>
      </c>
      <c r="H95">
        <v>77</v>
      </c>
      <c r="I95">
        <v>35</v>
      </c>
      <c r="J95">
        <v>48</v>
      </c>
      <c r="K95">
        <v>75</v>
      </c>
      <c r="L95">
        <v>0</v>
      </c>
      <c r="M95">
        <v>0</v>
      </c>
      <c r="N95">
        <v>0</v>
      </c>
      <c r="O95">
        <v>0</v>
      </c>
      <c r="P95">
        <v>0</v>
      </c>
      <c r="Q95">
        <v>200</v>
      </c>
      <c r="R95" t="s">
        <v>6421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</row>
    <row r="96" spans="1:24" x14ac:dyDescent="0.25">
      <c r="A96">
        <v>11804</v>
      </c>
      <c r="B96">
        <v>118</v>
      </c>
      <c r="C96">
        <v>4</v>
      </c>
      <c r="D96">
        <v>1</v>
      </c>
      <c r="E96">
        <v>1</v>
      </c>
      <c r="F96">
        <v>1</v>
      </c>
      <c r="G96">
        <v>278</v>
      </c>
      <c r="H96">
        <v>77</v>
      </c>
      <c r="I96">
        <v>35</v>
      </c>
      <c r="J96">
        <v>48</v>
      </c>
      <c r="K96">
        <v>75</v>
      </c>
      <c r="L96">
        <v>0</v>
      </c>
      <c r="M96">
        <v>0</v>
      </c>
      <c r="N96">
        <v>0</v>
      </c>
      <c r="O96">
        <v>0</v>
      </c>
      <c r="P96">
        <v>0</v>
      </c>
      <c r="Q96">
        <v>200</v>
      </c>
      <c r="R96" t="s">
        <v>6421</v>
      </c>
      <c r="S96">
        <v>0</v>
      </c>
      <c r="T96">
        <v>0</v>
      </c>
      <c r="U96">
        <v>750364</v>
      </c>
      <c r="V96">
        <v>0</v>
      </c>
      <c r="W96">
        <v>0</v>
      </c>
      <c r="X96">
        <v>0</v>
      </c>
    </row>
    <row r="97" spans="1:24" x14ac:dyDescent="0.25">
      <c r="A97" s="1">
        <v>20100</v>
      </c>
      <c r="B97" s="1">
        <v>201</v>
      </c>
      <c r="C97" s="1">
        <v>0</v>
      </c>
      <c r="D97" s="1">
        <v>0</v>
      </c>
      <c r="E97" s="1">
        <v>0</v>
      </c>
      <c r="F97" s="1">
        <v>1</v>
      </c>
      <c r="G97" s="1">
        <v>44</v>
      </c>
      <c r="H97" s="1">
        <v>8</v>
      </c>
      <c r="I97" s="1">
        <v>32</v>
      </c>
      <c r="J97" s="1">
        <v>31</v>
      </c>
      <c r="K97" s="1">
        <v>46</v>
      </c>
      <c r="L97" s="1">
        <v>0</v>
      </c>
      <c r="M97" s="1">
        <v>0</v>
      </c>
      <c r="N97" s="1">
        <v>0</v>
      </c>
      <c r="O97" s="1">
        <v>0</v>
      </c>
      <c r="P97" s="1">
        <v>0</v>
      </c>
      <c r="Q97" s="1">
        <v>0</v>
      </c>
      <c r="R97" s="1" t="s">
        <v>329</v>
      </c>
      <c r="S97" s="1">
        <v>0</v>
      </c>
      <c r="T97" s="1">
        <v>0</v>
      </c>
      <c r="U97" s="1">
        <v>0</v>
      </c>
      <c r="V97" s="1">
        <v>0</v>
      </c>
      <c r="W97" s="1">
        <v>0</v>
      </c>
      <c r="X97" s="1">
        <v>0</v>
      </c>
    </row>
    <row r="98" spans="1:24" x14ac:dyDescent="0.25">
      <c r="A98" s="1">
        <v>20101</v>
      </c>
      <c r="B98" s="1">
        <v>201</v>
      </c>
      <c r="C98" s="1">
        <v>1</v>
      </c>
      <c r="D98" s="1">
        <v>1</v>
      </c>
      <c r="E98" s="1">
        <v>0</v>
      </c>
      <c r="F98" s="1">
        <v>2</v>
      </c>
      <c r="G98" s="1">
        <v>44</v>
      </c>
      <c r="H98" s="1">
        <v>8</v>
      </c>
      <c r="I98" s="1">
        <v>32</v>
      </c>
      <c r="J98" s="1">
        <v>31</v>
      </c>
      <c r="K98" s="1">
        <v>46</v>
      </c>
      <c r="L98" s="1">
        <v>0</v>
      </c>
      <c r="M98" s="1">
        <v>0</v>
      </c>
      <c r="N98" s="1">
        <v>0</v>
      </c>
      <c r="O98" s="1">
        <v>0</v>
      </c>
      <c r="P98" s="1">
        <v>0</v>
      </c>
      <c r="Q98" s="1">
        <v>0</v>
      </c>
      <c r="R98" s="1" t="s">
        <v>329</v>
      </c>
      <c r="S98" s="1">
        <v>0</v>
      </c>
      <c r="T98" s="1">
        <v>0</v>
      </c>
      <c r="U98" s="1">
        <v>0</v>
      </c>
      <c r="V98" s="1">
        <v>0</v>
      </c>
      <c r="W98" s="1">
        <v>0</v>
      </c>
      <c r="X98" s="1">
        <v>0</v>
      </c>
    </row>
    <row r="99" spans="1:24" x14ac:dyDescent="0.25">
      <c r="A99" s="1">
        <v>20102</v>
      </c>
      <c r="B99" s="1">
        <v>201</v>
      </c>
      <c r="C99" s="1">
        <v>2</v>
      </c>
      <c r="D99" s="1">
        <v>1</v>
      </c>
      <c r="E99" s="1">
        <v>0</v>
      </c>
      <c r="F99" s="1">
        <v>3</v>
      </c>
      <c r="G99" s="1">
        <v>44</v>
      </c>
      <c r="H99" s="1">
        <v>8</v>
      </c>
      <c r="I99" s="1">
        <v>32</v>
      </c>
      <c r="J99" s="1">
        <v>31</v>
      </c>
      <c r="K99" s="1">
        <v>46</v>
      </c>
      <c r="L99" s="1">
        <v>0</v>
      </c>
      <c r="M99" s="1">
        <v>0</v>
      </c>
      <c r="N99" s="1">
        <v>0</v>
      </c>
      <c r="O99" s="1">
        <v>0</v>
      </c>
      <c r="P99" s="1">
        <v>0</v>
      </c>
      <c r="Q99" s="1">
        <v>0</v>
      </c>
      <c r="R99" s="1" t="s">
        <v>329</v>
      </c>
      <c r="S99" s="1">
        <v>0</v>
      </c>
      <c r="T99" s="1">
        <v>0</v>
      </c>
      <c r="U99" s="1">
        <v>0</v>
      </c>
      <c r="V99" s="1">
        <v>0</v>
      </c>
      <c r="W99" s="1">
        <v>0</v>
      </c>
      <c r="X99" s="1">
        <v>0</v>
      </c>
    </row>
    <row r="100" spans="1:24" x14ac:dyDescent="0.25">
      <c r="A100" s="1">
        <v>20103</v>
      </c>
      <c r="B100" s="1">
        <v>201</v>
      </c>
      <c r="C100" s="1">
        <v>3</v>
      </c>
      <c r="D100" s="1">
        <v>1</v>
      </c>
      <c r="E100" s="1">
        <v>0</v>
      </c>
      <c r="F100" s="1">
        <v>4</v>
      </c>
      <c r="G100" s="1">
        <v>44</v>
      </c>
      <c r="H100" s="1">
        <v>8</v>
      </c>
      <c r="I100" s="1">
        <v>32</v>
      </c>
      <c r="J100" s="1">
        <v>31</v>
      </c>
      <c r="K100" s="1">
        <v>46</v>
      </c>
      <c r="L100" s="1">
        <v>0</v>
      </c>
      <c r="M100" s="1">
        <v>0</v>
      </c>
      <c r="N100" s="1">
        <v>0</v>
      </c>
      <c r="O100" s="1">
        <v>0</v>
      </c>
      <c r="P100" s="1">
        <v>0</v>
      </c>
      <c r="Q100" s="1">
        <v>0</v>
      </c>
      <c r="R100" s="1" t="s">
        <v>329</v>
      </c>
      <c r="S100" s="1">
        <v>0</v>
      </c>
      <c r="T100" s="1">
        <v>0</v>
      </c>
      <c r="U100" s="1">
        <v>0</v>
      </c>
      <c r="V100" s="1">
        <v>0</v>
      </c>
      <c r="W100" s="1">
        <v>0</v>
      </c>
      <c r="X100" s="1">
        <v>0</v>
      </c>
    </row>
    <row r="101" spans="1:24" x14ac:dyDescent="0.25">
      <c r="A101" s="1">
        <v>20104</v>
      </c>
      <c r="B101" s="1">
        <v>201</v>
      </c>
      <c r="C101" s="1">
        <v>4</v>
      </c>
      <c r="D101" s="1">
        <v>1</v>
      </c>
      <c r="E101" s="1">
        <v>0</v>
      </c>
      <c r="F101" s="1">
        <v>5</v>
      </c>
      <c r="G101" s="1">
        <v>44</v>
      </c>
      <c r="H101" s="1">
        <v>8</v>
      </c>
      <c r="I101" s="1">
        <v>32</v>
      </c>
      <c r="J101" s="1">
        <v>31</v>
      </c>
      <c r="K101" s="1">
        <v>46</v>
      </c>
      <c r="L101" s="1">
        <v>0</v>
      </c>
      <c r="M101" s="1">
        <v>0</v>
      </c>
      <c r="N101" s="1">
        <v>0</v>
      </c>
      <c r="O101" s="1">
        <v>0</v>
      </c>
      <c r="P101" s="1">
        <v>0</v>
      </c>
      <c r="Q101" s="1">
        <v>0</v>
      </c>
      <c r="R101" s="1" t="s">
        <v>329</v>
      </c>
      <c r="S101" s="1">
        <v>0</v>
      </c>
      <c r="T101" s="1">
        <v>0</v>
      </c>
      <c r="U101" s="1">
        <v>0</v>
      </c>
      <c r="V101" s="1">
        <v>0</v>
      </c>
      <c r="W101" s="1">
        <v>0</v>
      </c>
      <c r="X101" s="1">
        <v>0</v>
      </c>
    </row>
    <row r="102" spans="1:24" x14ac:dyDescent="0.25">
      <c r="A102" s="1">
        <v>20200</v>
      </c>
      <c r="B102" s="1">
        <v>202</v>
      </c>
      <c r="C102" s="1">
        <v>0</v>
      </c>
      <c r="D102" s="1">
        <v>0</v>
      </c>
      <c r="E102" s="1">
        <v>0</v>
      </c>
      <c r="F102" s="1">
        <v>1</v>
      </c>
      <c r="G102" s="1">
        <v>77</v>
      </c>
      <c r="H102" s="1">
        <v>15</v>
      </c>
      <c r="I102" s="1">
        <v>27</v>
      </c>
      <c r="J102" s="1">
        <v>33</v>
      </c>
      <c r="K102" s="1">
        <v>39</v>
      </c>
      <c r="L102" s="1">
        <v>0</v>
      </c>
      <c r="M102" s="1">
        <v>0</v>
      </c>
      <c r="N102" s="1">
        <v>0</v>
      </c>
      <c r="O102" s="1">
        <v>0</v>
      </c>
      <c r="P102" s="1">
        <v>0</v>
      </c>
      <c r="Q102" s="1">
        <v>0</v>
      </c>
      <c r="R102" s="1" t="s">
        <v>329</v>
      </c>
      <c r="S102" s="1">
        <v>0</v>
      </c>
      <c r="T102" s="1">
        <v>0</v>
      </c>
      <c r="U102" s="1">
        <v>0</v>
      </c>
      <c r="V102" s="1">
        <v>0</v>
      </c>
      <c r="W102" s="1">
        <v>0</v>
      </c>
      <c r="X102" s="1">
        <v>0</v>
      </c>
    </row>
    <row r="103" spans="1:24" x14ac:dyDescent="0.25">
      <c r="A103" s="1">
        <v>20201</v>
      </c>
      <c r="B103" s="1">
        <v>202</v>
      </c>
      <c r="C103" s="1">
        <v>1</v>
      </c>
      <c r="D103" s="1">
        <v>1</v>
      </c>
      <c r="E103" s="1">
        <v>0</v>
      </c>
      <c r="F103" s="1">
        <v>2</v>
      </c>
      <c r="G103" s="1">
        <v>77</v>
      </c>
      <c r="H103" s="1">
        <v>15</v>
      </c>
      <c r="I103" s="1">
        <v>27</v>
      </c>
      <c r="J103" s="1">
        <v>33</v>
      </c>
      <c r="K103" s="1">
        <v>39</v>
      </c>
      <c r="L103" s="1">
        <v>0</v>
      </c>
      <c r="M103" s="1">
        <v>0</v>
      </c>
      <c r="N103" s="1">
        <v>0</v>
      </c>
      <c r="O103" s="1">
        <v>0</v>
      </c>
      <c r="P103" s="1">
        <v>0</v>
      </c>
      <c r="Q103" s="1">
        <v>0</v>
      </c>
      <c r="R103" s="1" t="s">
        <v>329</v>
      </c>
      <c r="S103" s="1">
        <v>0</v>
      </c>
      <c r="T103" s="1">
        <v>0</v>
      </c>
      <c r="U103" s="1">
        <v>0</v>
      </c>
      <c r="V103" s="1">
        <v>0</v>
      </c>
      <c r="W103" s="1">
        <v>0</v>
      </c>
      <c r="X103" s="1">
        <v>0</v>
      </c>
    </row>
    <row r="104" spans="1:24" x14ac:dyDescent="0.25">
      <c r="A104" s="1">
        <v>20202</v>
      </c>
      <c r="B104" s="1">
        <v>202</v>
      </c>
      <c r="C104" s="1">
        <v>2</v>
      </c>
      <c r="D104" s="1">
        <v>1</v>
      </c>
      <c r="E104" s="1">
        <v>0</v>
      </c>
      <c r="F104" s="1">
        <v>3</v>
      </c>
      <c r="G104" s="1">
        <v>77</v>
      </c>
      <c r="H104" s="1">
        <v>15</v>
      </c>
      <c r="I104" s="1">
        <v>27</v>
      </c>
      <c r="J104" s="1">
        <v>33</v>
      </c>
      <c r="K104" s="1">
        <v>39</v>
      </c>
      <c r="L104" s="1">
        <v>0</v>
      </c>
      <c r="M104" s="1">
        <v>0</v>
      </c>
      <c r="N104" s="1">
        <v>0</v>
      </c>
      <c r="O104" s="1">
        <v>0</v>
      </c>
      <c r="P104" s="1">
        <v>0</v>
      </c>
      <c r="Q104" s="1">
        <v>0</v>
      </c>
      <c r="R104" s="1" t="s">
        <v>329</v>
      </c>
      <c r="S104" s="1">
        <v>0</v>
      </c>
      <c r="T104" s="1">
        <v>0</v>
      </c>
      <c r="U104" s="1">
        <v>0</v>
      </c>
      <c r="V104" s="1">
        <v>0</v>
      </c>
      <c r="W104" s="1">
        <v>0</v>
      </c>
      <c r="X104" s="1">
        <v>0</v>
      </c>
    </row>
    <row r="105" spans="1:24" x14ac:dyDescent="0.25">
      <c r="A105" s="1">
        <v>20203</v>
      </c>
      <c r="B105" s="1">
        <v>202</v>
      </c>
      <c r="C105" s="1">
        <v>3</v>
      </c>
      <c r="D105" s="1">
        <v>1</v>
      </c>
      <c r="E105" s="1">
        <v>0</v>
      </c>
      <c r="F105" s="1">
        <v>4</v>
      </c>
      <c r="G105" s="1">
        <v>77</v>
      </c>
      <c r="H105" s="1">
        <v>15</v>
      </c>
      <c r="I105" s="1">
        <v>27</v>
      </c>
      <c r="J105" s="1">
        <v>33</v>
      </c>
      <c r="K105" s="1">
        <v>39</v>
      </c>
      <c r="L105" s="1">
        <v>0</v>
      </c>
      <c r="M105" s="1">
        <v>0</v>
      </c>
      <c r="N105" s="1">
        <v>0</v>
      </c>
      <c r="O105" s="1">
        <v>0</v>
      </c>
      <c r="P105" s="1">
        <v>0</v>
      </c>
      <c r="Q105" s="1">
        <v>0</v>
      </c>
      <c r="R105" s="1" t="s">
        <v>329</v>
      </c>
      <c r="S105" s="1">
        <v>0</v>
      </c>
      <c r="T105" s="1">
        <v>0</v>
      </c>
      <c r="U105" s="1">
        <v>0</v>
      </c>
      <c r="V105" s="1">
        <v>0</v>
      </c>
      <c r="W105" s="1">
        <v>0</v>
      </c>
      <c r="X105" s="1">
        <v>0</v>
      </c>
    </row>
    <row r="106" spans="1:24" x14ac:dyDescent="0.25">
      <c r="A106" s="1">
        <v>20204</v>
      </c>
      <c r="B106" s="1">
        <v>202</v>
      </c>
      <c r="C106" s="1">
        <v>4</v>
      </c>
      <c r="D106" s="1">
        <v>1</v>
      </c>
      <c r="E106" s="1">
        <v>0</v>
      </c>
      <c r="F106" s="1">
        <v>5</v>
      </c>
      <c r="G106" s="1">
        <v>77</v>
      </c>
      <c r="H106" s="1">
        <v>15</v>
      </c>
      <c r="I106" s="1">
        <v>27</v>
      </c>
      <c r="J106" s="1">
        <v>33</v>
      </c>
      <c r="K106" s="1">
        <v>39</v>
      </c>
      <c r="L106" s="1">
        <v>0</v>
      </c>
      <c r="M106" s="1">
        <v>0</v>
      </c>
      <c r="N106" s="1">
        <v>0</v>
      </c>
      <c r="O106" s="1">
        <v>0</v>
      </c>
      <c r="P106" s="1">
        <v>0</v>
      </c>
      <c r="Q106" s="1">
        <v>0</v>
      </c>
      <c r="R106" s="1" t="s">
        <v>329</v>
      </c>
      <c r="S106" s="1">
        <v>0</v>
      </c>
      <c r="T106" s="1">
        <v>0</v>
      </c>
      <c r="U106" s="1">
        <v>0</v>
      </c>
      <c r="V106" s="1">
        <v>0</v>
      </c>
      <c r="W106" s="1">
        <v>0</v>
      </c>
      <c r="X106" s="1">
        <v>0</v>
      </c>
    </row>
    <row r="107" spans="1:24" x14ac:dyDescent="0.25">
      <c r="A107" s="1">
        <v>20300</v>
      </c>
      <c r="B107" s="1">
        <v>203</v>
      </c>
      <c r="C107" s="1">
        <v>0</v>
      </c>
      <c r="D107" s="1">
        <v>0</v>
      </c>
      <c r="E107" s="1">
        <v>0</v>
      </c>
      <c r="F107" s="1">
        <v>1</v>
      </c>
      <c r="G107" s="1">
        <v>83</v>
      </c>
      <c r="H107" s="1">
        <v>13</v>
      </c>
      <c r="I107" s="1">
        <v>30</v>
      </c>
      <c r="J107" s="1">
        <v>34</v>
      </c>
      <c r="K107" s="1">
        <v>22</v>
      </c>
      <c r="L107" s="1">
        <v>11</v>
      </c>
      <c r="M107" s="1">
        <v>0</v>
      </c>
      <c r="N107" s="1">
        <v>0</v>
      </c>
      <c r="O107" s="1">
        <v>0</v>
      </c>
      <c r="P107" s="1">
        <v>0</v>
      </c>
      <c r="Q107" s="1">
        <v>0</v>
      </c>
      <c r="R107" s="1" t="s">
        <v>329</v>
      </c>
      <c r="S107" s="1">
        <v>0</v>
      </c>
      <c r="T107" s="1">
        <v>0</v>
      </c>
      <c r="U107" s="1">
        <v>0</v>
      </c>
      <c r="V107" s="1">
        <v>0</v>
      </c>
      <c r="W107" s="1">
        <v>0</v>
      </c>
      <c r="X107" s="1">
        <v>0</v>
      </c>
    </row>
    <row r="108" spans="1:24" x14ac:dyDescent="0.25">
      <c r="A108" s="1">
        <v>20301</v>
      </c>
      <c r="B108" s="1">
        <v>203</v>
      </c>
      <c r="C108" s="1">
        <v>1</v>
      </c>
      <c r="D108" s="1">
        <v>1</v>
      </c>
      <c r="E108" s="1">
        <v>0</v>
      </c>
      <c r="F108" s="1">
        <v>2</v>
      </c>
      <c r="G108" s="1">
        <v>83</v>
      </c>
      <c r="H108" s="1">
        <v>13</v>
      </c>
      <c r="I108" s="1">
        <v>30</v>
      </c>
      <c r="J108" s="1">
        <v>34</v>
      </c>
      <c r="K108" s="1">
        <v>22</v>
      </c>
      <c r="L108" s="1">
        <v>11</v>
      </c>
      <c r="M108" s="1">
        <v>0</v>
      </c>
      <c r="N108" s="1">
        <v>0</v>
      </c>
      <c r="O108" s="1">
        <v>0</v>
      </c>
      <c r="P108" s="1">
        <v>0</v>
      </c>
      <c r="Q108" s="1">
        <v>0</v>
      </c>
      <c r="R108" s="1" t="s">
        <v>329</v>
      </c>
      <c r="S108" s="1">
        <v>0</v>
      </c>
      <c r="T108" s="1">
        <v>0</v>
      </c>
      <c r="U108" s="1">
        <v>0</v>
      </c>
      <c r="V108" s="1">
        <v>0</v>
      </c>
      <c r="W108" s="1">
        <v>0</v>
      </c>
      <c r="X108" s="1">
        <v>0</v>
      </c>
    </row>
    <row r="109" spans="1:24" x14ac:dyDescent="0.25">
      <c r="A109" s="1">
        <v>20302</v>
      </c>
      <c r="B109" s="1">
        <v>203</v>
      </c>
      <c r="C109" s="1">
        <v>2</v>
      </c>
      <c r="D109" s="1">
        <v>1</v>
      </c>
      <c r="E109" s="1">
        <v>0</v>
      </c>
      <c r="F109" s="1">
        <v>3</v>
      </c>
      <c r="G109" s="1">
        <v>83</v>
      </c>
      <c r="H109" s="1">
        <v>13</v>
      </c>
      <c r="I109" s="1">
        <v>30</v>
      </c>
      <c r="J109" s="1">
        <v>34</v>
      </c>
      <c r="K109" s="1">
        <v>22</v>
      </c>
      <c r="L109" s="1">
        <v>11</v>
      </c>
      <c r="M109" s="1">
        <v>0</v>
      </c>
      <c r="N109" s="1">
        <v>0</v>
      </c>
      <c r="O109" s="1">
        <v>0</v>
      </c>
      <c r="P109" s="1">
        <v>0</v>
      </c>
      <c r="Q109" s="1">
        <v>0</v>
      </c>
      <c r="R109" s="1" t="s">
        <v>329</v>
      </c>
      <c r="S109" s="1">
        <v>0</v>
      </c>
      <c r="T109" s="1">
        <v>0</v>
      </c>
      <c r="U109" s="1">
        <v>0</v>
      </c>
      <c r="V109" s="1">
        <v>0</v>
      </c>
      <c r="W109" s="1">
        <v>0</v>
      </c>
      <c r="X109" s="1">
        <v>0</v>
      </c>
    </row>
    <row r="110" spans="1:24" x14ac:dyDescent="0.25">
      <c r="A110" s="1">
        <v>20303</v>
      </c>
      <c r="B110" s="1">
        <v>203</v>
      </c>
      <c r="C110" s="1">
        <v>3</v>
      </c>
      <c r="D110" s="1">
        <v>1</v>
      </c>
      <c r="E110" s="1">
        <v>0</v>
      </c>
      <c r="F110" s="1">
        <v>4</v>
      </c>
      <c r="G110" s="1">
        <v>83</v>
      </c>
      <c r="H110" s="1">
        <v>13</v>
      </c>
      <c r="I110" s="1">
        <v>30</v>
      </c>
      <c r="J110" s="1">
        <v>34</v>
      </c>
      <c r="K110" s="1">
        <v>22</v>
      </c>
      <c r="L110" s="1">
        <v>11</v>
      </c>
      <c r="M110" s="1">
        <v>0</v>
      </c>
      <c r="N110" s="1">
        <v>0</v>
      </c>
      <c r="O110" s="1">
        <v>0</v>
      </c>
      <c r="P110" s="1">
        <v>0</v>
      </c>
      <c r="Q110" s="1">
        <v>0</v>
      </c>
      <c r="R110" s="1" t="s">
        <v>329</v>
      </c>
      <c r="S110" s="1">
        <v>0</v>
      </c>
      <c r="T110" s="1">
        <v>0</v>
      </c>
      <c r="U110" s="1">
        <v>0</v>
      </c>
      <c r="V110" s="1">
        <v>0</v>
      </c>
      <c r="W110" s="1">
        <v>0</v>
      </c>
      <c r="X110" s="1">
        <v>0</v>
      </c>
    </row>
    <row r="111" spans="1:24" x14ac:dyDescent="0.25">
      <c r="A111" s="1">
        <v>20304</v>
      </c>
      <c r="B111" s="1">
        <v>203</v>
      </c>
      <c r="C111" s="1">
        <v>4</v>
      </c>
      <c r="D111" s="1">
        <v>1</v>
      </c>
      <c r="E111" s="1">
        <v>0</v>
      </c>
      <c r="F111" s="1">
        <v>5</v>
      </c>
      <c r="G111" s="1">
        <v>83</v>
      </c>
      <c r="H111" s="1">
        <v>13</v>
      </c>
      <c r="I111" s="1">
        <v>30</v>
      </c>
      <c r="J111" s="1">
        <v>34</v>
      </c>
      <c r="K111" s="1">
        <v>22</v>
      </c>
      <c r="L111" s="1">
        <v>11</v>
      </c>
      <c r="M111" s="1">
        <v>0</v>
      </c>
      <c r="N111" s="1">
        <v>0</v>
      </c>
      <c r="O111" s="1">
        <v>0</v>
      </c>
      <c r="P111" s="1">
        <v>0</v>
      </c>
      <c r="Q111" s="1">
        <v>0</v>
      </c>
      <c r="R111" s="1" t="s">
        <v>329</v>
      </c>
      <c r="S111" s="1">
        <v>0</v>
      </c>
      <c r="T111" s="1">
        <v>0</v>
      </c>
      <c r="U111" s="1">
        <v>0</v>
      </c>
      <c r="V111" s="1">
        <v>0</v>
      </c>
      <c r="W111" s="1">
        <v>0</v>
      </c>
      <c r="X111" s="1">
        <v>0</v>
      </c>
    </row>
    <row r="112" spans="1:24" x14ac:dyDescent="0.25">
      <c r="A112" s="1">
        <v>20400</v>
      </c>
      <c r="B112" s="1">
        <v>204</v>
      </c>
      <c r="C112" s="1">
        <v>0</v>
      </c>
      <c r="D112" s="1">
        <v>0</v>
      </c>
      <c r="E112" s="1">
        <v>0</v>
      </c>
      <c r="F112" s="1">
        <v>1</v>
      </c>
      <c r="G112" s="1">
        <v>64</v>
      </c>
      <c r="H112" s="1">
        <v>31</v>
      </c>
      <c r="I112" s="1">
        <v>27</v>
      </c>
      <c r="J112" s="1">
        <v>38</v>
      </c>
      <c r="K112" s="1">
        <v>17</v>
      </c>
      <c r="L112" s="1">
        <v>8</v>
      </c>
      <c r="M112" s="1">
        <v>0</v>
      </c>
      <c r="N112" s="1">
        <v>0</v>
      </c>
      <c r="O112" s="1">
        <v>0</v>
      </c>
      <c r="P112" s="1">
        <v>0</v>
      </c>
      <c r="Q112" s="1">
        <v>0</v>
      </c>
      <c r="R112" s="1" t="s">
        <v>329</v>
      </c>
      <c r="S112" s="1">
        <v>0</v>
      </c>
      <c r="T112" s="1">
        <v>0</v>
      </c>
      <c r="U112" s="1">
        <v>0</v>
      </c>
      <c r="V112" s="1">
        <v>0</v>
      </c>
      <c r="W112" s="1">
        <v>0</v>
      </c>
      <c r="X112" s="1">
        <v>0</v>
      </c>
    </row>
    <row r="113" spans="1:24" x14ac:dyDescent="0.25">
      <c r="A113" s="1">
        <v>20401</v>
      </c>
      <c r="B113" s="1">
        <v>204</v>
      </c>
      <c r="C113" s="1">
        <v>1</v>
      </c>
      <c r="D113" s="1">
        <v>1</v>
      </c>
      <c r="E113" s="1">
        <v>0</v>
      </c>
      <c r="F113" s="1">
        <v>2</v>
      </c>
      <c r="G113" s="1">
        <v>64</v>
      </c>
      <c r="H113" s="1">
        <v>31</v>
      </c>
      <c r="I113" s="1">
        <v>27</v>
      </c>
      <c r="J113" s="1">
        <v>38</v>
      </c>
      <c r="K113" s="1">
        <v>17</v>
      </c>
      <c r="L113" s="1">
        <v>8</v>
      </c>
      <c r="M113" s="1">
        <v>0</v>
      </c>
      <c r="N113" s="1">
        <v>0</v>
      </c>
      <c r="O113" s="1">
        <v>0</v>
      </c>
      <c r="P113" s="1">
        <v>0</v>
      </c>
      <c r="Q113" s="1">
        <v>0</v>
      </c>
      <c r="R113" s="1" t="s">
        <v>329</v>
      </c>
      <c r="S113" s="1">
        <v>0</v>
      </c>
      <c r="T113" s="1">
        <v>0</v>
      </c>
      <c r="U113" s="1">
        <v>0</v>
      </c>
      <c r="V113" s="1">
        <v>0</v>
      </c>
      <c r="W113" s="1">
        <v>0</v>
      </c>
      <c r="X113" s="1">
        <v>0</v>
      </c>
    </row>
    <row r="114" spans="1:24" x14ac:dyDescent="0.25">
      <c r="A114" s="1">
        <v>20402</v>
      </c>
      <c r="B114" s="1">
        <v>204</v>
      </c>
      <c r="C114" s="1">
        <v>2</v>
      </c>
      <c r="D114" s="1">
        <v>1</v>
      </c>
      <c r="E114" s="1">
        <v>0</v>
      </c>
      <c r="F114" s="1">
        <v>3</v>
      </c>
      <c r="G114" s="1">
        <v>64</v>
      </c>
      <c r="H114" s="1">
        <v>31</v>
      </c>
      <c r="I114" s="1">
        <v>27</v>
      </c>
      <c r="J114" s="1">
        <v>38</v>
      </c>
      <c r="K114" s="1">
        <v>17</v>
      </c>
      <c r="L114" s="1">
        <v>8</v>
      </c>
      <c r="M114" s="1">
        <v>0</v>
      </c>
      <c r="N114" s="1">
        <v>0</v>
      </c>
      <c r="O114" s="1">
        <v>0</v>
      </c>
      <c r="P114" s="1">
        <v>0</v>
      </c>
      <c r="Q114" s="1">
        <v>0</v>
      </c>
      <c r="R114" s="1" t="s">
        <v>329</v>
      </c>
      <c r="S114" s="1">
        <v>0</v>
      </c>
      <c r="T114" s="1">
        <v>0</v>
      </c>
      <c r="U114" s="1">
        <v>0</v>
      </c>
      <c r="V114" s="1">
        <v>0</v>
      </c>
      <c r="W114" s="1">
        <v>0</v>
      </c>
      <c r="X114" s="1">
        <v>0</v>
      </c>
    </row>
    <row r="115" spans="1:24" x14ac:dyDescent="0.25">
      <c r="A115" s="1">
        <v>20403</v>
      </c>
      <c r="B115" s="1">
        <v>204</v>
      </c>
      <c r="C115" s="1">
        <v>3</v>
      </c>
      <c r="D115" s="1">
        <v>1</v>
      </c>
      <c r="E115" s="1">
        <v>0</v>
      </c>
      <c r="F115" s="1">
        <v>4</v>
      </c>
      <c r="G115" s="1">
        <v>64</v>
      </c>
      <c r="H115" s="1">
        <v>31</v>
      </c>
      <c r="I115" s="1">
        <v>27</v>
      </c>
      <c r="J115" s="1">
        <v>38</v>
      </c>
      <c r="K115" s="1">
        <v>17</v>
      </c>
      <c r="L115" s="1">
        <v>8</v>
      </c>
      <c r="M115" s="1">
        <v>0</v>
      </c>
      <c r="N115" s="1">
        <v>0</v>
      </c>
      <c r="O115" s="1">
        <v>0</v>
      </c>
      <c r="P115" s="1">
        <v>0</v>
      </c>
      <c r="Q115" s="1">
        <v>0</v>
      </c>
      <c r="R115" s="1" t="s">
        <v>329</v>
      </c>
      <c r="S115" s="1">
        <v>0</v>
      </c>
      <c r="T115" s="1">
        <v>0</v>
      </c>
      <c r="U115" s="1">
        <v>0</v>
      </c>
      <c r="V115" s="1">
        <v>0</v>
      </c>
      <c r="W115" s="1">
        <v>0</v>
      </c>
      <c r="X115" s="1">
        <v>0</v>
      </c>
    </row>
    <row r="116" spans="1:24" x14ac:dyDescent="0.25">
      <c r="A116" s="1">
        <v>20404</v>
      </c>
      <c r="B116" s="1">
        <v>204</v>
      </c>
      <c r="C116" s="1">
        <v>4</v>
      </c>
      <c r="D116" s="1">
        <v>1</v>
      </c>
      <c r="E116" s="1">
        <v>0</v>
      </c>
      <c r="F116" s="1">
        <v>5</v>
      </c>
      <c r="G116" s="1">
        <v>64</v>
      </c>
      <c r="H116" s="1">
        <v>31</v>
      </c>
      <c r="I116" s="1">
        <v>27</v>
      </c>
      <c r="J116" s="1">
        <v>38</v>
      </c>
      <c r="K116" s="1">
        <v>17</v>
      </c>
      <c r="L116" s="1">
        <v>8</v>
      </c>
      <c r="M116" s="1">
        <v>0</v>
      </c>
      <c r="N116" s="1">
        <v>0</v>
      </c>
      <c r="O116" s="1">
        <v>0</v>
      </c>
      <c r="P116" s="1">
        <v>0</v>
      </c>
      <c r="Q116" s="1">
        <v>0</v>
      </c>
      <c r="R116" s="1" t="s">
        <v>329</v>
      </c>
      <c r="S116" s="1">
        <v>0</v>
      </c>
      <c r="T116" s="1">
        <v>0</v>
      </c>
      <c r="U116" s="1">
        <v>0</v>
      </c>
      <c r="V116" s="1">
        <v>0</v>
      </c>
      <c r="W116" s="1">
        <v>0</v>
      </c>
      <c r="X116" s="1">
        <v>0</v>
      </c>
    </row>
    <row r="117" spans="1:24" x14ac:dyDescent="0.25">
      <c r="A117" s="1">
        <v>20500</v>
      </c>
      <c r="B117" s="1">
        <v>205</v>
      </c>
      <c r="C117" s="1">
        <v>0</v>
      </c>
      <c r="D117" s="1">
        <v>0</v>
      </c>
      <c r="E117" s="1">
        <v>0</v>
      </c>
      <c r="F117" s="1">
        <v>1</v>
      </c>
      <c r="G117" s="1">
        <v>23</v>
      </c>
      <c r="H117" s="1">
        <v>18</v>
      </c>
      <c r="I117" s="1">
        <v>44</v>
      </c>
      <c r="J117" s="1">
        <v>36</v>
      </c>
      <c r="K117" s="1">
        <v>30</v>
      </c>
      <c r="L117" s="1">
        <v>10</v>
      </c>
      <c r="M117" s="1">
        <v>0</v>
      </c>
      <c r="N117" s="1">
        <v>0</v>
      </c>
      <c r="O117" s="1">
        <v>0</v>
      </c>
      <c r="P117" s="1">
        <v>0</v>
      </c>
      <c r="Q117" s="1">
        <v>0</v>
      </c>
      <c r="R117" s="1" t="s">
        <v>329</v>
      </c>
      <c r="S117" s="1">
        <v>0</v>
      </c>
      <c r="T117" s="1">
        <v>0</v>
      </c>
      <c r="U117" s="1">
        <v>0</v>
      </c>
      <c r="V117" s="1">
        <v>0</v>
      </c>
      <c r="W117" s="1">
        <v>0</v>
      </c>
      <c r="X117" s="1">
        <v>0</v>
      </c>
    </row>
    <row r="118" spans="1:24" x14ac:dyDescent="0.25">
      <c r="A118" s="1">
        <v>20501</v>
      </c>
      <c r="B118" s="1">
        <v>205</v>
      </c>
      <c r="C118" s="1">
        <v>1</v>
      </c>
      <c r="D118" s="1">
        <v>1</v>
      </c>
      <c r="E118" s="1">
        <v>0</v>
      </c>
      <c r="F118" s="1">
        <v>2</v>
      </c>
      <c r="G118" s="1">
        <v>23</v>
      </c>
      <c r="H118" s="1">
        <v>18</v>
      </c>
      <c r="I118" s="1">
        <v>44</v>
      </c>
      <c r="J118" s="1">
        <v>36</v>
      </c>
      <c r="K118" s="1">
        <v>30</v>
      </c>
      <c r="L118" s="1">
        <v>10</v>
      </c>
      <c r="M118" s="1">
        <v>0</v>
      </c>
      <c r="N118" s="1">
        <v>0</v>
      </c>
      <c r="O118" s="1">
        <v>0</v>
      </c>
      <c r="P118" s="1">
        <v>0</v>
      </c>
      <c r="Q118" s="1">
        <v>0</v>
      </c>
      <c r="R118" s="1" t="s">
        <v>329</v>
      </c>
      <c r="S118" s="1">
        <v>0</v>
      </c>
      <c r="T118" s="1">
        <v>0</v>
      </c>
      <c r="U118" s="1">
        <v>0</v>
      </c>
      <c r="V118" s="1">
        <v>0</v>
      </c>
      <c r="W118" s="1">
        <v>0</v>
      </c>
      <c r="X118" s="1">
        <v>0</v>
      </c>
    </row>
    <row r="119" spans="1:24" x14ac:dyDescent="0.25">
      <c r="A119" s="1">
        <v>20502</v>
      </c>
      <c r="B119" s="1">
        <v>205</v>
      </c>
      <c r="C119" s="1">
        <v>2</v>
      </c>
      <c r="D119" s="1">
        <v>1</v>
      </c>
      <c r="E119" s="1">
        <v>0</v>
      </c>
      <c r="F119" s="1">
        <v>3</v>
      </c>
      <c r="G119" s="1">
        <v>23</v>
      </c>
      <c r="H119" s="1">
        <v>18</v>
      </c>
      <c r="I119" s="1">
        <v>44</v>
      </c>
      <c r="J119" s="1">
        <v>36</v>
      </c>
      <c r="K119" s="1">
        <v>30</v>
      </c>
      <c r="L119" s="1">
        <v>10</v>
      </c>
      <c r="M119" s="1">
        <v>0</v>
      </c>
      <c r="N119" s="1">
        <v>0</v>
      </c>
      <c r="O119" s="1">
        <v>0</v>
      </c>
      <c r="P119" s="1">
        <v>0</v>
      </c>
      <c r="Q119" s="1">
        <v>0</v>
      </c>
      <c r="R119" s="1" t="s">
        <v>329</v>
      </c>
      <c r="S119" s="1">
        <v>0</v>
      </c>
      <c r="T119" s="1">
        <v>0</v>
      </c>
      <c r="U119" s="1">
        <v>0</v>
      </c>
      <c r="V119" s="1">
        <v>0</v>
      </c>
      <c r="W119" s="1">
        <v>0</v>
      </c>
      <c r="X119" s="1">
        <v>0</v>
      </c>
    </row>
    <row r="120" spans="1:24" x14ac:dyDescent="0.25">
      <c r="A120" s="1">
        <v>20503</v>
      </c>
      <c r="B120" s="1">
        <v>205</v>
      </c>
      <c r="C120" s="1">
        <v>3</v>
      </c>
      <c r="D120" s="1">
        <v>1</v>
      </c>
      <c r="E120" s="1">
        <v>0</v>
      </c>
      <c r="F120" s="1">
        <v>4</v>
      </c>
      <c r="G120" s="1">
        <v>23</v>
      </c>
      <c r="H120" s="1">
        <v>18</v>
      </c>
      <c r="I120" s="1">
        <v>44</v>
      </c>
      <c r="J120" s="1">
        <v>36</v>
      </c>
      <c r="K120" s="1">
        <v>30</v>
      </c>
      <c r="L120" s="1">
        <v>10</v>
      </c>
      <c r="M120" s="1">
        <v>0</v>
      </c>
      <c r="N120" s="1">
        <v>0</v>
      </c>
      <c r="O120" s="1">
        <v>0</v>
      </c>
      <c r="P120" s="1">
        <v>0</v>
      </c>
      <c r="Q120" s="1">
        <v>0</v>
      </c>
      <c r="R120" s="1" t="s">
        <v>329</v>
      </c>
      <c r="S120" s="1">
        <v>0</v>
      </c>
      <c r="T120" s="1">
        <v>0</v>
      </c>
      <c r="U120" s="1">
        <v>0</v>
      </c>
      <c r="V120" s="1">
        <v>0</v>
      </c>
      <c r="W120" s="1">
        <v>0</v>
      </c>
      <c r="X120" s="1">
        <v>0</v>
      </c>
    </row>
    <row r="121" spans="1:24" x14ac:dyDescent="0.25">
      <c r="A121" s="1">
        <v>20504</v>
      </c>
      <c r="B121" s="1">
        <v>205</v>
      </c>
      <c r="C121" s="1">
        <v>4</v>
      </c>
      <c r="D121" s="1">
        <v>1</v>
      </c>
      <c r="E121" s="1">
        <v>0</v>
      </c>
      <c r="F121" s="1">
        <v>5</v>
      </c>
      <c r="G121" s="1">
        <v>23</v>
      </c>
      <c r="H121" s="1">
        <v>18</v>
      </c>
      <c r="I121" s="1">
        <v>44</v>
      </c>
      <c r="J121" s="1">
        <v>36</v>
      </c>
      <c r="K121" s="1">
        <v>30</v>
      </c>
      <c r="L121" s="1">
        <v>10</v>
      </c>
      <c r="M121" s="1">
        <v>0</v>
      </c>
      <c r="N121" s="1">
        <v>0</v>
      </c>
      <c r="O121" s="1">
        <v>0</v>
      </c>
      <c r="P121" s="1">
        <v>0</v>
      </c>
      <c r="Q121" s="1">
        <v>0</v>
      </c>
      <c r="R121" s="1" t="s">
        <v>329</v>
      </c>
      <c r="S121" s="1">
        <v>0</v>
      </c>
      <c r="T121" s="1">
        <v>0</v>
      </c>
      <c r="U121" s="1">
        <v>0</v>
      </c>
      <c r="V121" s="1">
        <v>0</v>
      </c>
      <c r="W121" s="1">
        <v>0</v>
      </c>
      <c r="X121" s="1">
        <v>0</v>
      </c>
    </row>
    <row r="122" spans="1:24" x14ac:dyDescent="0.25">
      <c r="A122" s="1">
        <v>20600</v>
      </c>
      <c r="B122" s="1">
        <v>206</v>
      </c>
      <c r="C122" s="1">
        <v>0</v>
      </c>
      <c r="D122" s="1">
        <v>0</v>
      </c>
      <c r="E122" s="1">
        <v>0</v>
      </c>
      <c r="F122" s="1">
        <v>1</v>
      </c>
      <c r="G122" s="1">
        <v>332</v>
      </c>
      <c r="H122" s="1">
        <v>63</v>
      </c>
      <c r="I122" s="1">
        <v>24</v>
      </c>
      <c r="J122" s="1">
        <v>13</v>
      </c>
      <c r="K122" s="1">
        <v>11</v>
      </c>
      <c r="L122" s="1">
        <v>7</v>
      </c>
      <c r="M122" s="1">
        <v>0</v>
      </c>
      <c r="N122" s="1">
        <v>0</v>
      </c>
      <c r="O122" s="1">
        <v>0</v>
      </c>
      <c r="P122" s="1">
        <v>0</v>
      </c>
      <c r="Q122" s="1">
        <v>0</v>
      </c>
      <c r="R122" s="1" t="s">
        <v>329</v>
      </c>
      <c r="S122" s="1">
        <v>0</v>
      </c>
      <c r="T122" s="1">
        <v>0</v>
      </c>
      <c r="U122" s="1">
        <v>0</v>
      </c>
      <c r="V122" s="1">
        <v>0</v>
      </c>
      <c r="W122" s="1">
        <v>0</v>
      </c>
      <c r="X122" s="1">
        <v>0</v>
      </c>
    </row>
    <row r="123" spans="1:24" x14ac:dyDescent="0.25">
      <c r="A123" s="1">
        <v>20601</v>
      </c>
      <c r="B123" s="1">
        <v>206</v>
      </c>
      <c r="C123" s="1">
        <v>1</v>
      </c>
      <c r="D123" s="1">
        <v>1</v>
      </c>
      <c r="E123" s="1">
        <v>0</v>
      </c>
      <c r="F123" s="1">
        <v>1</v>
      </c>
      <c r="G123" s="1">
        <v>432</v>
      </c>
      <c r="H123" s="1">
        <v>123</v>
      </c>
      <c r="I123" s="1">
        <v>24</v>
      </c>
      <c r="J123" s="1">
        <v>48</v>
      </c>
      <c r="K123" s="1">
        <v>11</v>
      </c>
      <c r="L123" s="1">
        <v>7</v>
      </c>
      <c r="M123" s="1">
        <v>0</v>
      </c>
      <c r="N123" s="1">
        <v>0</v>
      </c>
      <c r="O123" s="1">
        <v>0</v>
      </c>
      <c r="P123" s="1">
        <v>0</v>
      </c>
      <c r="Q123" s="1">
        <v>0</v>
      </c>
      <c r="R123" s="1" t="s">
        <v>329</v>
      </c>
      <c r="S123" s="1">
        <v>0</v>
      </c>
      <c r="T123" s="1">
        <v>0</v>
      </c>
      <c r="U123" s="1">
        <v>0</v>
      </c>
      <c r="V123" s="1">
        <v>0</v>
      </c>
      <c r="W123" s="1">
        <v>0</v>
      </c>
      <c r="X123" s="1">
        <v>0</v>
      </c>
    </row>
    <row r="124" spans="1:24" x14ac:dyDescent="0.25">
      <c r="A124" s="1">
        <v>20602</v>
      </c>
      <c r="B124" s="1">
        <v>206</v>
      </c>
      <c r="C124" s="1">
        <v>2</v>
      </c>
      <c r="D124" s="1">
        <v>1</v>
      </c>
      <c r="E124" s="1">
        <v>0</v>
      </c>
      <c r="F124" s="1">
        <v>1</v>
      </c>
      <c r="G124" s="1">
        <v>532</v>
      </c>
      <c r="H124" s="1">
        <v>123</v>
      </c>
      <c r="I124" s="1">
        <v>24</v>
      </c>
      <c r="J124" s="1">
        <v>48</v>
      </c>
      <c r="K124" s="1">
        <v>36</v>
      </c>
      <c r="L124" s="1">
        <v>13</v>
      </c>
      <c r="M124" s="1">
        <v>0</v>
      </c>
      <c r="N124" s="1">
        <v>0</v>
      </c>
      <c r="O124" s="1">
        <v>0</v>
      </c>
      <c r="P124" s="1">
        <v>0</v>
      </c>
      <c r="Q124" s="1">
        <v>0</v>
      </c>
      <c r="R124" s="1" t="s">
        <v>329</v>
      </c>
      <c r="S124" s="1">
        <v>0</v>
      </c>
      <c r="T124" s="1">
        <v>0</v>
      </c>
      <c r="U124" s="1">
        <v>0</v>
      </c>
      <c r="V124" s="1">
        <v>0</v>
      </c>
      <c r="W124" s="1">
        <v>0</v>
      </c>
      <c r="X124" s="1">
        <v>0</v>
      </c>
    </row>
    <row r="125" spans="1:24" x14ac:dyDescent="0.25">
      <c r="A125" s="1">
        <v>20603</v>
      </c>
      <c r="B125" s="1">
        <v>206</v>
      </c>
      <c r="C125" s="1">
        <v>3</v>
      </c>
      <c r="D125" s="1">
        <v>1</v>
      </c>
      <c r="E125" s="1">
        <v>0</v>
      </c>
      <c r="F125" s="1">
        <v>1</v>
      </c>
      <c r="G125" s="1">
        <v>632</v>
      </c>
      <c r="H125" s="1">
        <v>243</v>
      </c>
      <c r="I125" s="1">
        <v>24</v>
      </c>
      <c r="J125" s="1">
        <v>48</v>
      </c>
      <c r="K125" s="1">
        <v>36</v>
      </c>
      <c r="L125" s="1">
        <v>13</v>
      </c>
      <c r="M125" s="1">
        <v>0</v>
      </c>
      <c r="N125" s="1">
        <v>0</v>
      </c>
      <c r="O125" s="1">
        <v>0</v>
      </c>
      <c r="P125" s="1">
        <v>0</v>
      </c>
      <c r="Q125" s="1">
        <v>0</v>
      </c>
      <c r="R125" s="1" t="s">
        <v>329</v>
      </c>
      <c r="S125" s="1">
        <v>0</v>
      </c>
      <c r="T125" s="1">
        <v>0</v>
      </c>
      <c r="U125" s="1">
        <v>0</v>
      </c>
      <c r="V125" s="1">
        <v>0</v>
      </c>
      <c r="W125" s="1">
        <v>0</v>
      </c>
      <c r="X125" s="1">
        <v>0</v>
      </c>
    </row>
    <row r="126" spans="1:24" x14ac:dyDescent="0.25">
      <c r="A126" s="1">
        <v>20604</v>
      </c>
      <c r="B126" s="1">
        <v>206</v>
      </c>
      <c r="C126" s="1">
        <v>4</v>
      </c>
      <c r="D126" s="1">
        <v>1</v>
      </c>
      <c r="E126" s="1">
        <v>0</v>
      </c>
      <c r="F126" s="1">
        <v>1</v>
      </c>
      <c r="G126" s="1">
        <v>732</v>
      </c>
      <c r="H126" s="1">
        <v>243</v>
      </c>
      <c r="I126" s="1">
        <v>44</v>
      </c>
      <c r="J126" s="1">
        <v>48</v>
      </c>
      <c r="K126" s="1">
        <v>36</v>
      </c>
      <c r="L126" s="1">
        <v>19</v>
      </c>
      <c r="M126" s="1">
        <v>0</v>
      </c>
      <c r="N126" s="1">
        <v>0</v>
      </c>
      <c r="O126" s="1">
        <v>0</v>
      </c>
      <c r="P126" s="1">
        <v>0</v>
      </c>
      <c r="Q126" s="1">
        <v>0</v>
      </c>
      <c r="R126" s="1" t="s">
        <v>329</v>
      </c>
      <c r="S126" s="1">
        <v>0</v>
      </c>
      <c r="T126" s="1">
        <v>0</v>
      </c>
      <c r="U126" s="1">
        <v>0</v>
      </c>
      <c r="V126" s="1">
        <v>0</v>
      </c>
      <c r="W126" s="1">
        <v>0</v>
      </c>
      <c r="X126" s="1">
        <v>0</v>
      </c>
    </row>
    <row r="127" spans="1:24" x14ac:dyDescent="0.25">
      <c r="A127" s="1">
        <v>20800</v>
      </c>
      <c r="B127" s="1">
        <v>208</v>
      </c>
      <c r="C127" s="1">
        <v>0</v>
      </c>
      <c r="D127" s="1">
        <v>0</v>
      </c>
      <c r="E127" s="1">
        <v>0</v>
      </c>
      <c r="F127" s="1">
        <v>1</v>
      </c>
      <c r="G127" s="1">
        <v>87</v>
      </c>
      <c r="H127" s="1">
        <v>17</v>
      </c>
      <c r="I127" s="1">
        <v>31</v>
      </c>
      <c r="J127" s="1">
        <v>38</v>
      </c>
      <c r="K127" s="1">
        <v>47</v>
      </c>
      <c r="L127" s="1">
        <v>0</v>
      </c>
      <c r="M127" s="1">
        <v>0</v>
      </c>
      <c r="N127" s="1">
        <v>0</v>
      </c>
      <c r="O127" s="1">
        <v>0</v>
      </c>
      <c r="P127" s="1">
        <v>0</v>
      </c>
      <c r="Q127" s="1">
        <v>0</v>
      </c>
      <c r="R127" s="1" t="s">
        <v>329</v>
      </c>
      <c r="S127" s="1">
        <v>0</v>
      </c>
      <c r="T127" s="1">
        <v>0</v>
      </c>
      <c r="U127" s="1">
        <v>0</v>
      </c>
      <c r="V127" s="1">
        <v>0</v>
      </c>
      <c r="W127" s="1">
        <v>0</v>
      </c>
      <c r="X127" s="1">
        <v>0</v>
      </c>
    </row>
    <row r="128" spans="1:24" x14ac:dyDescent="0.25">
      <c r="A128" s="1">
        <v>20801</v>
      </c>
      <c r="B128" s="1">
        <v>208</v>
      </c>
      <c r="C128" s="1">
        <v>1</v>
      </c>
      <c r="D128" s="1">
        <v>1</v>
      </c>
      <c r="E128" s="1">
        <v>0</v>
      </c>
      <c r="F128" s="1">
        <v>2</v>
      </c>
      <c r="G128" s="1">
        <v>87</v>
      </c>
      <c r="H128" s="1">
        <v>17</v>
      </c>
      <c r="I128" s="1">
        <v>31</v>
      </c>
      <c r="J128" s="1">
        <v>38</v>
      </c>
      <c r="K128" s="1">
        <v>47</v>
      </c>
      <c r="L128" s="1">
        <v>0</v>
      </c>
      <c r="M128" s="1">
        <v>0</v>
      </c>
      <c r="N128" s="1">
        <v>0</v>
      </c>
      <c r="O128" s="1">
        <v>0</v>
      </c>
      <c r="P128" s="1">
        <v>0</v>
      </c>
      <c r="Q128" s="1">
        <v>0</v>
      </c>
      <c r="R128" s="1" t="s">
        <v>329</v>
      </c>
      <c r="S128" s="1">
        <v>0</v>
      </c>
      <c r="T128" s="1">
        <v>0</v>
      </c>
      <c r="U128" s="1">
        <v>0</v>
      </c>
      <c r="V128" s="1">
        <v>0</v>
      </c>
      <c r="W128" s="1">
        <v>0</v>
      </c>
      <c r="X128" s="1">
        <v>0</v>
      </c>
    </row>
    <row r="129" spans="1:24" x14ac:dyDescent="0.25">
      <c r="A129" s="1">
        <v>20802</v>
      </c>
      <c r="B129" s="1">
        <v>208</v>
      </c>
      <c r="C129" s="1">
        <v>2</v>
      </c>
      <c r="D129" s="1">
        <v>1</v>
      </c>
      <c r="E129" s="1">
        <v>0</v>
      </c>
      <c r="F129" s="1">
        <v>3</v>
      </c>
      <c r="G129" s="1">
        <v>87</v>
      </c>
      <c r="H129" s="1">
        <v>17</v>
      </c>
      <c r="I129" s="1">
        <v>31</v>
      </c>
      <c r="J129" s="1">
        <v>38</v>
      </c>
      <c r="K129" s="1">
        <v>47</v>
      </c>
      <c r="L129" s="1">
        <v>0</v>
      </c>
      <c r="M129" s="1">
        <v>0</v>
      </c>
      <c r="N129" s="1">
        <v>0</v>
      </c>
      <c r="O129" s="1">
        <v>0</v>
      </c>
      <c r="P129" s="1">
        <v>0</v>
      </c>
      <c r="Q129" s="1">
        <v>0</v>
      </c>
      <c r="R129" s="1" t="s">
        <v>329</v>
      </c>
      <c r="S129" s="1">
        <v>0</v>
      </c>
      <c r="T129" s="1">
        <v>0</v>
      </c>
      <c r="U129" s="1">
        <v>0</v>
      </c>
      <c r="V129" s="1">
        <v>0</v>
      </c>
      <c r="W129" s="1">
        <v>0</v>
      </c>
      <c r="X129" s="1">
        <v>0</v>
      </c>
    </row>
    <row r="130" spans="1:24" x14ac:dyDescent="0.25">
      <c r="A130" s="1">
        <v>20803</v>
      </c>
      <c r="B130" s="1">
        <v>208</v>
      </c>
      <c r="C130" s="1">
        <v>3</v>
      </c>
      <c r="D130" s="1">
        <v>1</v>
      </c>
      <c r="E130" s="1">
        <v>0</v>
      </c>
      <c r="F130" s="1">
        <v>4</v>
      </c>
      <c r="G130" s="1">
        <v>87</v>
      </c>
      <c r="H130" s="1">
        <v>17</v>
      </c>
      <c r="I130" s="1">
        <v>31</v>
      </c>
      <c r="J130" s="1">
        <v>38</v>
      </c>
      <c r="K130" s="1">
        <v>47</v>
      </c>
      <c r="L130" s="1">
        <v>0</v>
      </c>
      <c r="M130" s="1">
        <v>0</v>
      </c>
      <c r="N130" s="1">
        <v>0</v>
      </c>
      <c r="O130" s="1">
        <v>0</v>
      </c>
      <c r="P130" s="1">
        <v>0</v>
      </c>
      <c r="Q130" s="1">
        <v>0</v>
      </c>
      <c r="R130" s="1" t="s">
        <v>329</v>
      </c>
      <c r="S130" s="1">
        <v>0</v>
      </c>
      <c r="T130" s="1">
        <v>0</v>
      </c>
      <c r="U130" s="1">
        <v>0</v>
      </c>
      <c r="V130" s="1">
        <v>0</v>
      </c>
      <c r="W130" s="1">
        <v>0</v>
      </c>
      <c r="X130" s="1">
        <v>0</v>
      </c>
    </row>
    <row r="131" spans="1:24" x14ac:dyDescent="0.25">
      <c r="A131" s="1">
        <v>20804</v>
      </c>
      <c r="B131" s="1">
        <v>208</v>
      </c>
      <c r="C131" s="1">
        <v>4</v>
      </c>
      <c r="D131" s="1">
        <v>1</v>
      </c>
      <c r="E131" s="1">
        <v>0</v>
      </c>
      <c r="F131" s="1">
        <v>5</v>
      </c>
      <c r="G131" s="1">
        <v>87</v>
      </c>
      <c r="H131" s="1">
        <v>17</v>
      </c>
      <c r="I131" s="1">
        <v>31</v>
      </c>
      <c r="J131" s="1">
        <v>38</v>
      </c>
      <c r="K131" s="1">
        <v>47</v>
      </c>
      <c r="L131" s="1">
        <v>0</v>
      </c>
      <c r="M131" s="1">
        <v>0</v>
      </c>
      <c r="N131" s="1">
        <v>0</v>
      </c>
      <c r="O131" s="1">
        <v>0</v>
      </c>
      <c r="P131" s="1">
        <v>0</v>
      </c>
      <c r="Q131" s="1">
        <v>0</v>
      </c>
      <c r="R131" s="1" t="s">
        <v>329</v>
      </c>
      <c r="S131" s="1">
        <v>0</v>
      </c>
      <c r="T131" s="1">
        <v>0</v>
      </c>
      <c r="U131" s="1">
        <v>0</v>
      </c>
      <c r="V131" s="1">
        <v>0</v>
      </c>
      <c r="W131" s="1">
        <v>0</v>
      </c>
      <c r="X131" s="1">
        <v>0</v>
      </c>
    </row>
    <row r="132" spans="1:24" x14ac:dyDescent="0.25">
      <c r="A132" s="1">
        <v>20900</v>
      </c>
      <c r="B132" s="1">
        <v>209</v>
      </c>
      <c r="C132" s="1">
        <v>0</v>
      </c>
      <c r="D132" s="1">
        <v>0</v>
      </c>
      <c r="E132" s="1">
        <v>0</v>
      </c>
      <c r="F132" s="1">
        <v>1</v>
      </c>
      <c r="G132" s="1">
        <v>67</v>
      </c>
      <c r="H132" s="1">
        <v>11</v>
      </c>
      <c r="I132" s="1">
        <v>41</v>
      </c>
      <c r="J132" s="1">
        <v>25</v>
      </c>
      <c r="K132" s="1">
        <v>74</v>
      </c>
      <c r="L132" s="1">
        <v>0</v>
      </c>
      <c r="M132" s="1">
        <v>0</v>
      </c>
      <c r="N132" s="1">
        <v>0</v>
      </c>
      <c r="O132" s="1">
        <v>0</v>
      </c>
      <c r="P132" s="1">
        <v>0</v>
      </c>
      <c r="Q132" s="1">
        <v>0</v>
      </c>
      <c r="R132" s="1" t="s">
        <v>329</v>
      </c>
      <c r="S132" s="1">
        <v>0</v>
      </c>
      <c r="T132" s="1">
        <v>0</v>
      </c>
      <c r="U132" s="1">
        <v>0</v>
      </c>
      <c r="V132" s="1">
        <v>0</v>
      </c>
      <c r="W132" s="1">
        <v>0</v>
      </c>
      <c r="X132" s="1">
        <v>0</v>
      </c>
    </row>
    <row r="133" spans="1:24" x14ac:dyDescent="0.25">
      <c r="A133" s="1">
        <v>20901</v>
      </c>
      <c r="B133" s="1">
        <v>209</v>
      </c>
      <c r="C133" s="1">
        <v>1</v>
      </c>
      <c r="D133" s="1">
        <v>1</v>
      </c>
      <c r="E133" s="1">
        <v>0</v>
      </c>
      <c r="F133" s="1">
        <v>2</v>
      </c>
      <c r="G133" s="1">
        <v>67</v>
      </c>
      <c r="H133" s="1">
        <v>11</v>
      </c>
      <c r="I133" s="1">
        <v>41</v>
      </c>
      <c r="J133" s="1">
        <v>25</v>
      </c>
      <c r="K133" s="1">
        <v>74</v>
      </c>
      <c r="L133" s="1">
        <v>0</v>
      </c>
      <c r="M133" s="1">
        <v>0</v>
      </c>
      <c r="N133" s="1">
        <v>0</v>
      </c>
      <c r="O133" s="1">
        <v>0</v>
      </c>
      <c r="P133" s="1">
        <v>0</v>
      </c>
      <c r="Q133" s="1">
        <v>0</v>
      </c>
      <c r="R133" s="1" t="s">
        <v>329</v>
      </c>
      <c r="S133" s="1">
        <v>0</v>
      </c>
      <c r="T133" s="1">
        <v>0</v>
      </c>
      <c r="U133" s="1">
        <v>0</v>
      </c>
      <c r="V133" s="1">
        <v>0</v>
      </c>
      <c r="W133" s="1">
        <v>0</v>
      </c>
      <c r="X133" s="1">
        <v>0</v>
      </c>
    </row>
    <row r="134" spans="1:24" x14ac:dyDescent="0.25">
      <c r="A134" s="1">
        <v>20902</v>
      </c>
      <c r="B134" s="1">
        <v>209</v>
      </c>
      <c r="C134" s="1">
        <v>2</v>
      </c>
      <c r="D134" s="1">
        <v>1</v>
      </c>
      <c r="E134" s="1">
        <v>0</v>
      </c>
      <c r="F134" s="1">
        <v>3</v>
      </c>
      <c r="G134" s="1">
        <v>67</v>
      </c>
      <c r="H134" s="1">
        <v>11</v>
      </c>
      <c r="I134" s="1">
        <v>41</v>
      </c>
      <c r="J134" s="1">
        <v>25</v>
      </c>
      <c r="K134" s="1">
        <v>74</v>
      </c>
      <c r="L134" s="1">
        <v>0</v>
      </c>
      <c r="M134" s="1">
        <v>0</v>
      </c>
      <c r="N134" s="1">
        <v>0</v>
      </c>
      <c r="O134" s="1">
        <v>0</v>
      </c>
      <c r="P134" s="1">
        <v>0</v>
      </c>
      <c r="Q134" s="1">
        <v>0</v>
      </c>
      <c r="R134" s="1" t="s">
        <v>329</v>
      </c>
      <c r="S134" s="1">
        <v>0</v>
      </c>
      <c r="T134" s="1">
        <v>0</v>
      </c>
      <c r="U134" s="1">
        <v>0</v>
      </c>
      <c r="V134" s="1">
        <v>0</v>
      </c>
      <c r="W134" s="1">
        <v>0</v>
      </c>
      <c r="X134" s="1">
        <v>0</v>
      </c>
    </row>
    <row r="135" spans="1:24" x14ac:dyDescent="0.25">
      <c r="A135" s="1">
        <v>20903</v>
      </c>
      <c r="B135" s="1">
        <v>209</v>
      </c>
      <c r="C135" s="1">
        <v>3</v>
      </c>
      <c r="D135" s="1">
        <v>1</v>
      </c>
      <c r="E135" s="1">
        <v>0</v>
      </c>
      <c r="F135" s="1">
        <v>4</v>
      </c>
      <c r="G135" s="1">
        <v>67</v>
      </c>
      <c r="H135" s="1">
        <v>11</v>
      </c>
      <c r="I135" s="1">
        <v>41</v>
      </c>
      <c r="J135" s="1">
        <v>25</v>
      </c>
      <c r="K135" s="1">
        <v>74</v>
      </c>
      <c r="L135" s="1">
        <v>0</v>
      </c>
      <c r="M135" s="1">
        <v>0</v>
      </c>
      <c r="N135" s="1">
        <v>0</v>
      </c>
      <c r="O135" s="1">
        <v>0</v>
      </c>
      <c r="P135" s="1">
        <v>0</v>
      </c>
      <c r="Q135" s="1">
        <v>0</v>
      </c>
      <c r="R135" s="1" t="s">
        <v>329</v>
      </c>
      <c r="S135" s="1">
        <v>0</v>
      </c>
      <c r="T135" s="1">
        <v>0</v>
      </c>
      <c r="U135" s="1">
        <v>0</v>
      </c>
      <c r="V135" s="1">
        <v>0</v>
      </c>
      <c r="W135" s="1">
        <v>0</v>
      </c>
      <c r="X135" s="1">
        <v>0</v>
      </c>
    </row>
    <row r="136" spans="1:24" x14ac:dyDescent="0.25">
      <c r="A136" s="1">
        <v>20904</v>
      </c>
      <c r="B136" s="1">
        <v>209</v>
      </c>
      <c r="C136" s="1">
        <v>4</v>
      </c>
      <c r="D136" s="1">
        <v>1</v>
      </c>
      <c r="E136" s="1">
        <v>0</v>
      </c>
      <c r="F136" s="1">
        <v>5</v>
      </c>
      <c r="G136" s="1">
        <v>67</v>
      </c>
      <c r="H136" s="1">
        <v>11</v>
      </c>
      <c r="I136" s="1">
        <v>41</v>
      </c>
      <c r="J136" s="1">
        <v>25</v>
      </c>
      <c r="K136" s="1">
        <v>74</v>
      </c>
      <c r="L136" s="1">
        <v>0</v>
      </c>
      <c r="M136" s="1">
        <v>0</v>
      </c>
      <c r="N136" s="1">
        <v>0</v>
      </c>
      <c r="O136" s="1">
        <v>0</v>
      </c>
      <c r="P136" s="1">
        <v>0</v>
      </c>
      <c r="Q136" s="1">
        <v>0</v>
      </c>
      <c r="R136" s="1" t="s">
        <v>329</v>
      </c>
      <c r="S136" s="1">
        <v>0</v>
      </c>
      <c r="T136" s="1">
        <v>0</v>
      </c>
      <c r="U136" s="1">
        <v>0</v>
      </c>
      <c r="V136" s="1">
        <v>0</v>
      </c>
      <c r="W136" s="1">
        <v>0</v>
      </c>
      <c r="X136" s="1">
        <v>0</v>
      </c>
    </row>
    <row r="137" spans="1:24" x14ac:dyDescent="0.25">
      <c r="A137" s="1">
        <v>21000</v>
      </c>
      <c r="B137" s="1">
        <v>210</v>
      </c>
      <c r="C137" s="1">
        <v>0</v>
      </c>
      <c r="D137" s="1">
        <v>0</v>
      </c>
      <c r="E137" s="1">
        <v>0</v>
      </c>
      <c r="F137" s="1">
        <v>1</v>
      </c>
      <c r="G137" s="1">
        <v>59</v>
      </c>
      <c r="H137" s="1">
        <v>16</v>
      </c>
      <c r="I137" s="1">
        <v>42</v>
      </c>
      <c r="J137" s="1">
        <v>38</v>
      </c>
      <c r="K137" s="1">
        <v>53</v>
      </c>
      <c r="L137" s="1">
        <v>0</v>
      </c>
      <c r="M137" s="1">
        <v>0</v>
      </c>
      <c r="N137" s="1">
        <v>0</v>
      </c>
      <c r="O137" s="1">
        <v>0</v>
      </c>
      <c r="P137" s="1">
        <v>0</v>
      </c>
      <c r="Q137" s="1">
        <v>0</v>
      </c>
      <c r="R137" s="1" t="s">
        <v>329</v>
      </c>
      <c r="S137" s="1">
        <v>0</v>
      </c>
      <c r="T137" s="1">
        <v>0</v>
      </c>
      <c r="U137" s="1">
        <v>0</v>
      </c>
      <c r="V137" s="1">
        <v>0</v>
      </c>
      <c r="W137" s="1">
        <v>0</v>
      </c>
      <c r="X137" s="1">
        <v>0</v>
      </c>
    </row>
    <row r="138" spans="1:24" x14ac:dyDescent="0.25">
      <c r="A138" s="1">
        <v>21001</v>
      </c>
      <c r="B138" s="1">
        <v>210</v>
      </c>
      <c r="C138" s="1">
        <v>1</v>
      </c>
      <c r="D138" s="1">
        <v>1</v>
      </c>
      <c r="E138" s="1">
        <v>0</v>
      </c>
      <c r="F138" s="1">
        <v>2</v>
      </c>
      <c r="G138" s="1">
        <v>59</v>
      </c>
      <c r="H138" s="1">
        <v>16</v>
      </c>
      <c r="I138" s="1">
        <v>42</v>
      </c>
      <c r="J138" s="1">
        <v>38</v>
      </c>
      <c r="K138" s="1">
        <v>53</v>
      </c>
      <c r="L138" s="1">
        <v>0</v>
      </c>
      <c r="M138" s="1">
        <v>0</v>
      </c>
      <c r="N138" s="1">
        <v>0</v>
      </c>
      <c r="O138" s="1">
        <v>0</v>
      </c>
      <c r="P138" s="1">
        <v>0</v>
      </c>
      <c r="Q138" s="1">
        <v>0</v>
      </c>
      <c r="R138" s="1" t="s">
        <v>329</v>
      </c>
      <c r="S138" s="1">
        <v>0</v>
      </c>
      <c r="T138" s="1">
        <v>0</v>
      </c>
      <c r="U138" s="1">
        <v>0</v>
      </c>
      <c r="V138" s="1">
        <v>0</v>
      </c>
      <c r="W138" s="1">
        <v>0</v>
      </c>
      <c r="X138" s="1">
        <v>0</v>
      </c>
    </row>
    <row r="139" spans="1:24" x14ac:dyDescent="0.25">
      <c r="A139" s="1">
        <v>21002</v>
      </c>
      <c r="B139" s="1">
        <v>210</v>
      </c>
      <c r="C139" s="1">
        <v>2</v>
      </c>
      <c r="D139" s="1">
        <v>1</v>
      </c>
      <c r="E139" s="1">
        <v>0</v>
      </c>
      <c r="F139" s="1">
        <v>3</v>
      </c>
      <c r="G139" s="1">
        <v>59</v>
      </c>
      <c r="H139" s="1">
        <v>16</v>
      </c>
      <c r="I139" s="1">
        <v>42</v>
      </c>
      <c r="J139" s="1">
        <v>38</v>
      </c>
      <c r="K139" s="1">
        <v>53</v>
      </c>
      <c r="L139" s="1">
        <v>0</v>
      </c>
      <c r="M139" s="1">
        <v>0</v>
      </c>
      <c r="N139" s="1">
        <v>0</v>
      </c>
      <c r="O139" s="1">
        <v>0</v>
      </c>
      <c r="P139" s="1">
        <v>0</v>
      </c>
      <c r="Q139" s="1">
        <v>0</v>
      </c>
      <c r="R139" s="1" t="s">
        <v>329</v>
      </c>
      <c r="S139" s="1">
        <v>0</v>
      </c>
      <c r="T139" s="1">
        <v>0</v>
      </c>
      <c r="U139" s="1">
        <v>0</v>
      </c>
      <c r="V139" s="1">
        <v>0</v>
      </c>
      <c r="W139" s="1">
        <v>0</v>
      </c>
      <c r="X139" s="1">
        <v>0</v>
      </c>
    </row>
    <row r="140" spans="1:24" x14ac:dyDescent="0.25">
      <c r="A140" s="1">
        <v>21003</v>
      </c>
      <c r="B140" s="1">
        <v>210</v>
      </c>
      <c r="C140" s="1">
        <v>3</v>
      </c>
      <c r="D140" s="1">
        <v>1</v>
      </c>
      <c r="E140" s="1">
        <v>0</v>
      </c>
      <c r="F140" s="1">
        <v>4</v>
      </c>
      <c r="G140" s="1">
        <v>59</v>
      </c>
      <c r="H140" s="1">
        <v>16</v>
      </c>
      <c r="I140" s="1">
        <v>42</v>
      </c>
      <c r="J140" s="1">
        <v>38</v>
      </c>
      <c r="K140" s="1">
        <v>53</v>
      </c>
      <c r="L140" s="1">
        <v>0</v>
      </c>
      <c r="M140" s="1">
        <v>0</v>
      </c>
      <c r="N140" s="1">
        <v>0</v>
      </c>
      <c r="O140" s="1">
        <v>0</v>
      </c>
      <c r="P140" s="1">
        <v>0</v>
      </c>
      <c r="Q140" s="1">
        <v>0</v>
      </c>
      <c r="R140" s="1" t="s">
        <v>329</v>
      </c>
      <c r="S140" s="1">
        <v>0</v>
      </c>
      <c r="T140" s="1">
        <v>0</v>
      </c>
      <c r="U140" s="1">
        <v>0</v>
      </c>
      <c r="V140" s="1">
        <v>0</v>
      </c>
      <c r="W140" s="1">
        <v>0</v>
      </c>
      <c r="X140" s="1">
        <v>0</v>
      </c>
    </row>
    <row r="141" spans="1:24" x14ac:dyDescent="0.25">
      <c r="A141" s="1">
        <v>21004</v>
      </c>
      <c r="B141" s="1">
        <v>210</v>
      </c>
      <c r="C141" s="1">
        <v>4</v>
      </c>
      <c r="D141" s="1">
        <v>1</v>
      </c>
      <c r="E141" s="1">
        <v>0</v>
      </c>
      <c r="F141" s="1">
        <v>5</v>
      </c>
      <c r="G141" s="1">
        <v>59</v>
      </c>
      <c r="H141" s="1">
        <v>16</v>
      </c>
      <c r="I141" s="1">
        <v>42</v>
      </c>
      <c r="J141" s="1">
        <v>38</v>
      </c>
      <c r="K141" s="1">
        <v>53</v>
      </c>
      <c r="L141" s="1">
        <v>0</v>
      </c>
      <c r="M141" s="1">
        <v>0</v>
      </c>
      <c r="N141" s="1">
        <v>0</v>
      </c>
      <c r="O141" s="1">
        <v>0</v>
      </c>
      <c r="P141" s="1">
        <v>0</v>
      </c>
      <c r="Q141" s="1">
        <v>0</v>
      </c>
      <c r="R141" s="1" t="s">
        <v>329</v>
      </c>
      <c r="S141" s="1">
        <v>0</v>
      </c>
      <c r="T141" s="1">
        <v>0</v>
      </c>
      <c r="U141" s="1">
        <v>0</v>
      </c>
      <c r="V141" s="1">
        <v>0</v>
      </c>
      <c r="W141" s="1">
        <v>0</v>
      </c>
      <c r="X141" s="1">
        <v>0</v>
      </c>
    </row>
    <row r="142" spans="1:24" x14ac:dyDescent="0.25">
      <c r="A142" s="1">
        <v>21100</v>
      </c>
      <c r="B142" s="1">
        <v>211</v>
      </c>
      <c r="C142" s="1">
        <v>0</v>
      </c>
      <c r="D142" s="1">
        <v>0</v>
      </c>
      <c r="E142" s="1">
        <v>0</v>
      </c>
      <c r="F142" s="1">
        <v>1</v>
      </c>
      <c r="G142" s="1">
        <v>64</v>
      </c>
      <c r="H142" s="1">
        <v>16</v>
      </c>
      <c r="I142" s="1">
        <v>52</v>
      </c>
      <c r="J142" s="1">
        <v>40</v>
      </c>
      <c r="K142" s="1">
        <v>57</v>
      </c>
      <c r="L142" s="1">
        <v>0</v>
      </c>
      <c r="M142" s="1">
        <v>0</v>
      </c>
      <c r="N142" s="1">
        <v>0</v>
      </c>
      <c r="O142" s="1">
        <v>0</v>
      </c>
      <c r="P142" s="1">
        <v>0</v>
      </c>
      <c r="Q142" s="1">
        <v>0</v>
      </c>
      <c r="R142" s="1" t="s">
        <v>329</v>
      </c>
      <c r="S142" s="1">
        <v>0</v>
      </c>
      <c r="T142" s="1">
        <v>0</v>
      </c>
      <c r="U142" s="1">
        <v>0</v>
      </c>
      <c r="V142" s="1">
        <v>0</v>
      </c>
      <c r="W142" s="1">
        <v>0</v>
      </c>
      <c r="X142" s="1">
        <v>0</v>
      </c>
    </row>
    <row r="143" spans="1:24" x14ac:dyDescent="0.25">
      <c r="A143" s="1">
        <v>21101</v>
      </c>
      <c r="B143" s="1">
        <v>211</v>
      </c>
      <c r="C143" s="1">
        <v>1</v>
      </c>
      <c r="D143" s="1">
        <v>1</v>
      </c>
      <c r="E143" s="1">
        <v>0</v>
      </c>
      <c r="F143" s="1">
        <v>2</v>
      </c>
      <c r="G143" s="1">
        <v>64</v>
      </c>
      <c r="H143" s="1">
        <v>16</v>
      </c>
      <c r="I143" s="1">
        <v>52</v>
      </c>
      <c r="J143" s="1">
        <v>40</v>
      </c>
      <c r="K143" s="1">
        <v>57</v>
      </c>
      <c r="L143" s="1">
        <v>0</v>
      </c>
      <c r="M143" s="1">
        <v>0</v>
      </c>
      <c r="N143" s="1">
        <v>0</v>
      </c>
      <c r="O143" s="1">
        <v>0</v>
      </c>
      <c r="P143" s="1">
        <v>0</v>
      </c>
      <c r="Q143" s="1">
        <v>0</v>
      </c>
      <c r="R143" s="1" t="s">
        <v>329</v>
      </c>
      <c r="S143" s="1">
        <v>0</v>
      </c>
      <c r="T143" s="1">
        <v>0</v>
      </c>
      <c r="U143" s="1">
        <v>0</v>
      </c>
      <c r="V143" s="1">
        <v>0</v>
      </c>
      <c r="W143" s="1">
        <v>0</v>
      </c>
      <c r="X143" s="1">
        <v>0</v>
      </c>
    </row>
    <row r="144" spans="1:24" x14ac:dyDescent="0.25">
      <c r="A144" s="1">
        <v>21102</v>
      </c>
      <c r="B144" s="1">
        <v>211</v>
      </c>
      <c r="C144" s="1">
        <v>2</v>
      </c>
      <c r="D144" s="1">
        <v>1</v>
      </c>
      <c r="E144" s="1">
        <v>0</v>
      </c>
      <c r="F144" s="1">
        <v>3</v>
      </c>
      <c r="G144" s="1">
        <v>64</v>
      </c>
      <c r="H144" s="1">
        <v>16</v>
      </c>
      <c r="I144" s="1">
        <v>52</v>
      </c>
      <c r="J144" s="1">
        <v>40</v>
      </c>
      <c r="K144" s="1">
        <v>57</v>
      </c>
      <c r="L144" s="1">
        <v>0</v>
      </c>
      <c r="M144" s="1">
        <v>0</v>
      </c>
      <c r="N144" s="1">
        <v>0</v>
      </c>
      <c r="O144" s="1">
        <v>0</v>
      </c>
      <c r="P144" s="1">
        <v>0</v>
      </c>
      <c r="Q144" s="1">
        <v>0</v>
      </c>
      <c r="R144" s="1" t="s">
        <v>329</v>
      </c>
      <c r="S144" s="1">
        <v>0</v>
      </c>
      <c r="T144" s="1">
        <v>0</v>
      </c>
      <c r="U144" s="1">
        <v>0</v>
      </c>
      <c r="V144" s="1">
        <v>0</v>
      </c>
      <c r="W144" s="1">
        <v>0</v>
      </c>
      <c r="X144" s="1">
        <v>0</v>
      </c>
    </row>
    <row r="145" spans="1:24" x14ac:dyDescent="0.25">
      <c r="A145" s="1">
        <v>21103</v>
      </c>
      <c r="B145" s="1">
        <v>211</v>
      </c>
      <c r="C145" s="1">
        <v>3</v>
      </c>
      <c r="D145" s="1">
        <v>1</v>
      </c>
      <c r="E145" s="1">
        <v>0</v>
      </c>
      <c r="F145" s="1">
        <v>4</v>
      </c>
      <c r="G145" s="1">
        <v>64</v>
      </c>
      <c r="H145" s="1">
        <v>16</v>
      </c>
      <c r="I145" s="1">
        <v>52</v>
      </c>
      <c r="J145" s="1">
        <v>40</v>
      </c>
      <c r="K145" s="1">
        <v>57</v>
      </c>
      <c r="L145" s="1">
        <v>0</v>
      </c>
      <c r="M145" s="1">
        <v>0</v>
      </c>
      <c r="N145" s="1">
        <v>0</v>
      </c>
      <c r="O145" s="1">
        <v>0</v>
      </c>
      <c r="P145" s="1">
        <v>0</v>
      </c>
      <c r="Q145" s="1">
        <v>0</v>
      </c>
      <c r="R145" s="1" t="s">
        <v>329</v>
      </c>
      <c r="S145" s="1">
        <v>0</v>
      </c>
      <c r="T145" s="1">
        <v>0</v>
      </c>
      <c r="U145" s="1">
        <v>0</v>
      </c>
      <c r="V145" s="1">
        <v>0</v>
      </c>
      <c r="W145" s="1">
        <v>0</v>
      </c>
      <c r="X145" s="1">
        <v>0</v>
      </c>
    </row>
    <row r="146" spans="1:24" x14ac:dyDescent="0.25">
      <c r="A146" s="1">
        <v>21104</v>
      </c>
      <c r="B146" s="1">
        <v>211</v>
      </c>
      <c r="C146" s="1">
        <v>4</v>
      </c>
      <c r="D146" s="1">
        <v>1</v>
      </c>
      <c r="E146" s="1">
        <v>0</v>
      </c>
      <c r="F146" s="1">
        <v>5</v>
      </c>
      <c r="G146" s="1">
        <v>64</v>
      </c>
      <c r="H146" s="1">
        <v>16</v>
      </c>
      <c r="I146" s="1">
        <v>52</v>
      </c>
      <c r="J146" s="1">
        <v>40</v>
      </c>
      <c r="K146" s="1">
        <v>57</v>
      </c>
      <c r="L146" s="1">
        <v>0</v>
      </c>
      <c r="M146" s="1">
        <v>0</v>
      </c>
      <c r="N146" s="1">
        <v>0</v>
      </c>
      <c r="O146" s="1">
        <v>0</v>
      </c>
      <c r="P146" s="1">
        <v>0</v>
      </c>
      <c r="Q146" s="1">
        <v>0</v>
      </c>
      <c r="R146" s="1" t="s">
        <v>329</v>
      </c>
      <c r="S146" s="1">
        <v>0</v>
      </c>
      <c r="T146" s="1">
        <v>0</v>
      </c>
      <c r="U146" s="1">
        <v>0</v>
      </c>
      <c r="V146" s="1">
        <v>0</v>
      </c>
      <c r="W146" s="1">
        <v>0</v>
      </c>
      <c r="X146" s="1">
        <v>0</v>
      </c>
    </row>
    <row r="147" spans="1:24" x14ac:dyDescent="0.25">
      <c r="A147" s="1">
        <v>21200</v>
      </c>
      <c r="B147" s="1">
        <v>212</v>
      </c>
      <c r="C147" s="1">
        <v>0</v>
      </c>
      <c r="D147" s="1">
        <v>0</v>
      </c>
      <c r="E147" s="1">
        <v>0</v>
      </c>
      <c r="F147" s="1">
        <v>1</v>
      </c>
      <c r="G147" s="1">
        <v>80</v>
      </c>
      <c r="H147" s="1">
        <v>18</v>
      </c>
      <c r="I147" s="1">
        <v>27</v>
      </c>
      <c r="J147" s="1">
        <v>36</v>
      </c>
      <c r="K147" s="1">
        <v>45</v>
      </c>
      <c r="L147" s="1">
        <v>0</v>
      </c>
      <c r="M147" s="1">
        <v>0</v>
      </c>
      <c r="N147" s="1">
        <v>0</v>
      </c>
      <c r="O147" s="1">
        <v>0</v>
      </c>
      <c r="P147" s="1">
        <v>0</v>
      </c>
      <c r="Q147" s="1">
        <v>0</v>
      </c>
      <c r="R147" s="1" t="s">
        <v>329</v>
      </c>
      <c r="S147" s="1">
        <v>0</v>
      </c>
      <c r="T147" s="1">
        <v>0</v>
      </c>
      <c r="U147" s="1">
        <v>0</v>
      </c>
      <c r="V147" s="1">
        <v>0</v>
      </c>
      <c r="W147" s="1">
        <v>0</v>
      </c>
      <c r="X147" s="1">
        <v>0</v>
      </c>
    </row>
    <row r="148" spans="1:24" x14ac:dyDescent="0.25">
      <c r="A148" s="1">
        <v>21201</v>
      </c>
      <c r="B148" s="1">
        <v>212</v>
      </c>
      <c r="C148" s="1">
        <v>1</v>
      </c>
      <c r="D148" s="1">
        <v>1</v>
      </c>
      <c r="E148" s="1">
        <v>0</v>
      </c>
      <c r="F148" s="1">
        <v>2</v>
      </c>
      <c r="G148" s="1">
        <v>80</v>
      </c>
      <c r="H148" s="1">
        <v>18</v>
      </c>
      <c r="I148" s="1">
        <v>27</v>
      </c>
      <c r="J148" s="1">
        <v>36</v>
      </c>
      <c r="K148" s="1">
        <v>45</v>
      </c>
      <c r="L148" s="1">
        <v>0</v>
      </c>
      <c r="M148" s="1">
        <v>0</v>
      </c>
      <c r="N148" s="1">
        <v>0</v>
      </c>
      <c r="O148" s="1">
        <v>0</v>
      </c>
      <c r="P148" s="1">
        <v>0</v>
      </c>
      <c r="Q148" s="1">
        <v>0</v>
      </c>
      <c r="R148" s="1" t="s">
        <v>329</v>
      </c>
      <c r="S148" s="1">
        <v>0</v>
      </c>
      <c r="T148" s="1">
        <v>0</v>
      </c>
      <c r="U148" s="1">
        <v>0</v>
      </c>
      <c r="V148" s="1">
        <v>0</v>
      </c>
      <c r="W148" s="1">
        <v>0</v>
      </c>
      <c r="X148" s="1">
        <v>0</v>
      </c>
    </row>
    <row r="149" spans="1:24" x14ac:dyDescent="0.25">
      <c r="A149" s="1">
        <v>21202</v>
      </c>
      <c r="B149" s="1">
        <v>212</v>
      </c>
      <c r="C149" s="1">
        <v>2</v>
      </c>
      <c r="D149" s="1">
        <v>1</v>
      </c>
      <c r="E149" s="1">
        <v>0</v>
      </c>
      <c r="F149" s="1">
        <v>3</v>
      </c>
      <c r="G149" s="1">
        <v>80</v>
      </c>
      <c r="H149" s="1">
        <v>18</v>
      </c>
      <c r="I149" s="1">
        <v>27</v>
      </c>
      <c r="J149" s="1">
        <v>36</v>
      </c>
      <c r="K149" s="1">
        <v>45</v>
      </c>
      <c r="L149" s="1">
        <v>0</v>
      </c>
      <c r="M149" s="1">
        <v>0</v>
      </c>
      <c r="N149" s="1">
        <v>0</v>
      </c>
      <c r="O149" s="1">
        <v>0</v>
      </c>
      <c r="P149" s="1">
        <v>0</v>
      </c>
      <c r="Q149" s="1">
        <v>0</v>
      </c>
      <c r="R149" s="1" t="s">
        <v>329</v>
      </c>
      <c r="S149" s="1">
        <v>0</v>
      </c>
      <c r="T149" s="1">
        <v>0</v>
      </c>
      <c r="U149" s="1">
        <v>0</v>
      </c>
      <c r="V149" s="1">
        <v>0</v>
      </c>
      <c r="W149" s="1">
        <v>0</v>
      </c>
      <c r="X149" s="1">
        <v>0</v>
      </c>
    </row>
    <row r="150" spans="1:24" x14ac:dyDescent="0.25">
      <c r="A150" s="1">
        <v>21203</v>
      </c>
      <c r="B150" s="1">
        <v>212</v>
      </c>
      <c r="C150" s="1">
        <v>3</v>
      </c>
      <c r="D150" s="1">
        <v>1</v>
      </c>
      <c r="E150" s="1">
        <v>0</v>
      </c>
      <c r="F150" s="1">
        <v>4</v>
      </c>
      <c r="G150" s="1">
        <v>80</v>
      </c>
      <c r="H150" s="1">
        <v>18</v>
      </c>
      <c r="I150" s="1">
        <v>27</v>
      </c>
      <c r="J150" s="1">
        <v>36</v>
      </c>
      <c r="K150" s="1">
        <v>45</v>
      </c>
      <c r="L150" s="1">
        <v>0</v>
      </c>
      <c r="M150" s="1">
        <v>0</v>
      </c>
      <c r="N150" s="1">
        <v>0</v>
      </c>
      <c r="O150" s="1">
        <v>0</v>
      </c>
      <c r="P150" s="1">
        <v>0</v>
      </c>
      <c r="Q150" s="1">
        <v>0</v>
      </c>
      <c r="R150" s="1" t="s">
        <v>329</v>
      </c>
      <c r="S150" s="1">
        <v>0</v>
      </c>
      <c r="T150" s="1">
        <v>0</v>
      </c>
      <c r="U150" s="1">
        <v>0</v>
      </c>
      <c r="V150" s="1">
        <v>0</v>
      </c>
      <c r="W150" s="1">
        <v>0</v>
      </c>
      <c r="X150" s="1">
        <v>0</v>
      </c>
    </row>
    <row r="151" spans="1:24" x14ac:dyDescent="0.25">
      <c r="A151" s="1">
        <v>21204</v>
      </c>
      <c r="B151" s="1">
        <v>212</v>
      </c>
      <c r="C151" s="1">
        <v>4</v>
      </c>
      <c r="D151" s="1">
        <v>1</v>
      </c>
      <c r="E151" s="1">
        <v>0</v>
      </c>
      <c r="F151" s="1">
        <v>5</v>
      </c>
      <c r="G151" s="1">
        <v>80</v>
      </c>
      <c r="H151" s="1">
        <v>18</v>
      </c>
      <c r="I151" s="1">
        <v>27</v>
      </c>
      <c r="J151" s="1">
        <v>36</v>
      </c>
      <c r="K151" s="1">
        <v>45</v>
      </c>
      <c r="L151" s="1">
        <v>0</v>
      </c>
      <c r="M151" s="1">
        <v>0</v>
      </c>
      <c r="N151" s="1">
        <v>0</v>
      </c>
      <c r="O151" s="1">
        <v>0</v>
      </c>
      <c r="P151" s="1">
        <v>0</v>
      </c>
      <c r="Q151" s="1">
        <v>0</v>
      </c>
      <c r="R151" s="1" t="s">
        <v>329</v>
      </c>
      <c r="S151" s="1">
        <v>0</v>
      </c>
      <c r="T151" s="1">
        <v>0</v>
      </c>
      <c r="U151" s="1">
        <v>0</v>
      </c>
      <c r="V151" s="1">
        <v>0</v>
      </c>
      <c r="W151" s="1">
        <v>0</v>
      </c>
      <c r="X151" s="1">
        <v>0</v>
      </c>
    </row>
    <row r="152" spans="1:24" x14ac:dyDescent="0.25">
      <c r="A152" s="1">
        <v>21300</v>
      </c>
      <c r="B152" s="1">
        <v>213</v>
      </c>
      <c r="C152" s="1">
        <v>0</v>
      </c>
      <c r="D152" s="1">
        <v>0</v>
      </c>
      <c r="E152" s="1">
        <v>0</v>
      </c>
      <c r="F152" s="1">
        <v>1</v>
      </c>
      <c r="G152" s="1">
        <v>58</v>
      </c>
      <c r="H152" s="1">
        <v>14</v>
      </c>
      <c r="I152" s="1">
        <v>44</v>
      </c>
      <c r="J152" s="1">
        <v>25</v>
      </c>
      <c r="K152" s="1">
        <v>23</v>
      </c>
      <c r="L152" s="1">
        <v>0</v>
      </c>
      <c r="M152" s="1">
        <v>0</v>
      </c>
      <c r="N152" s="1">
        <v>0</v>
      </c>
      <c r="O152" s="1">
        <v>0</v>
      </c>
      <c r="P152" s="1">
        <v>0</v>
      </c>
      <c r="Q152" s="1">
        <v>0</v>
      </c>
      <c r="R152" s="1" t="s">
        <v>329</v>
      </c>
      <c r="S152" s="1">
        <v>0</v>
      </c>
      <c r="T152" s="1">
        <v>0</v>
      </c>
      <c r="U152" s="1">
        <v>0</v>
      </c>
      <c r="V152" s="1">
        <v>0</v>
      </c>
      <c r="W152" s="1">
        <v>0</v>
      </c>
      <c r="X152" s="1">
        <v>0</v>
      </c>
    </row>
    <row r="153" spans="1:24" x14ac:dyDescent="0.25">
      <c r="A153" s="1">
        <v>21301</v>
      </c>
      <c r="B153" s="1">
        <v>213</v>
      </c>
      <c r="C153" s="1">
        <v>1</v>
      </c>
      <c r="D153" s="1">
        <v>1</v>
      </c>
      <c r="E153" s="1">
        <v>0</v>
      </c>
      <c r="F153" s="1">
        <v>2</v>
      </c>
      <c r="G153" s="1">
        <v>58</v>
      </c>
      <c r="H153" s="1">
        <v>14</v>
      </c>
      <c r="I153" s="1">
        <v>44</v>
      </c>
      <c r="J153" s="1">
        <v>25</v>
      </c>
      <c r="K153" s="1">
        <v>23</v>
      </c>
      <c r="L153" s="1">
        <v>0</v>
      </c>
      <c r="M153" s="1">
        <v>0</v>
      </c>
      <c r="N153" s="1">
        <v>0</v>
      </c>
      <c r="O153" s="1">
        <v>0</v>
      </c>
      <c r="P153" s="1">
        <v>0</v>
      </c>
      <c r="Q153" s="1">
        <v>0</v>
      </c>
      <c r="R153" s="1" t="s">
        <v>329</v>
      </c>
      <c r="S153" s="1">
        <v>0</v>
      </c>
      <c r="T153" s="1">
        <v>0</v>
      </c>
      <c r="U153" s="1">
        <v>0</v>
      </c>
      <c r="V153" s="1">
        <v>0</v>
      </c>
      <c r="W153" s="1">
        <v>0</v>
      </c>
      <c r="X153" s="1">
        <v>0</v>
      </c>
    </row>
    <row r="154" spans="1:24" x14ac:dyDescent="0.25">
      <c r="A154" s="1">
        <v>21302</v>
      </c>
      <c r="B154" s="1">
        <v>213</v>
      </c>
      <c r="C154" s="1">
        <v>2</v>
      </c>
      <c r="D154" s="1">
        <v>1</v>
      </c>
      <c r="E154" s="1">
        <v>0</v>
      </c>
      <c r="F154" s="1">
        <v>3</v>
      </c>
      <c r="G154" s="1">
        <v>58</v>
      </c>
      <c r="H154" s="1">
        <v>14</v>
      </c>
      <c r="I154" s="1">
        <v>44</v>
      </c>
      <c r="J154" s="1">
        <v>25</v>
      </c>
      <c r="K154" s="1">
        <v>23</v>
      </c>
      <c r="L154" s="1">
        <v>0</v>
      </c>
      <c r="M154" s="1">
        <v>0</v>
      </c>
      <c r="N154" s="1">
        <v>0</v>
      </c>
      <c r="O154" s="1">
        <v>0</v>
      </c>
      <c r="P154" s="1">
        <v>0</v>
      </c>
      <c r="Q154" s="1">
        <v>0</v>
      </c>
      <c r="R154" s="1" t="s">
        <v>329</v>
      </c>
      <c r="S154" s="1">
        <v>0</v>
      </c>
      <c r="T154" s="1">
        <v>0</v>
      </c>
      <c r="U154" s="1">
        <v>0</v>
      </c>
      <c r="V154" s="1">
        <v>0</v>
      </c>
      <c r="W154" s="1">
        <v>0</v>
      </c>
      <c r="X154" s="1">
        <v>0</v>
      </c>
    </row>
    <row r="155" spans="1:24" x14ac:dyDescent="0.25">
      <c r="A155" s="1">
        <v>21303</v>
      </c>
      <c r="B155" s="1">
        <v>213</v>
      </c>
      <c r="C155" s="1">
        <v>3</v>
      </c>
      <c r="D155" s="1">
        <v>1</v>
      </c>
      <c r="E155" s="1">
        <v>0</v>
      </c>
      <c r="F155" s="1">
        <v>4</v>
      </c>
      <c r="G155" s="1">
        <v>58</v>
      </c>
      <c r="H155" s="1">
        <v>14</v>
      </c>
      <c r="I155" s="1">
        <v>44</v>
      </c>
      <c r="J155" s="1">
        <v>25</v>
      </c>
      <c r="K155" s="1">
        <v>23</v>
      </c>
      <c r="L155" s="1">
        <v>0</v>
      </c>
      <c r="M155" s="1">
        <v>0</v>
      </c>
      <c r="N155" s="1">
        <v>0</v>
      </c>
      <c r="O155" s="1">
        <v>0</v>
      </c>
      <c r="P155" s="1">
        <v>0</v>
      </c>
      <c r="Q155" s="1">
        <v>0</v>
      </c>
      <c r="R155" s="1" t="s">
        <v>329</v>
      </c>
      <c r="S155" s="1">
        <v>0</v>
      </c>
      <c r="T155" s="1">
        <v>0</v>
      </c>
      <c r="U155" s="1">
        <v>0</v>
      </c>
      <c r="V155" s="1">
        <v>0</v>
      </c>
      <c r="W155" s="1">
        <v>0</v>
      </c>
      <c r="X155" s="1">
        <v>0</v>
      </c>
    </row>
    <row r="156" spans="1:24" x14ac:dyDescent="0.25">
      <c r="A156" s="1">
        <v>21304</v>
      </c>
      <c r="B156" s="1">
        <v>213</v>
      </c>
      <c r="C156" s="1">
        <v>4</v>
      </c>
      <c r="D156" s="1">
        <v>1</v>
      </c>
      <c r="E156" s="1">
        <v>0</v>
      </c>
      <c r="F156" s="1">
        <v>5</v>
      </c>
      <c r="G156" s="1">
        <v>58</v>
      </c>
      <c r="H156" s="1">
        <v>14</v>
      </c>
      <c r="I156" s="1">
        <v>44</v>
      </c>
      <c r="J156" s="1">
        <v>25</v>
      </c>
      <c r="K156" s="1">
        <v>23</v>
      </c>
      <c r="L156" s="1">
        <v>0</v>
      </c>
      <c r="M156" s="1">
        <v>0</v>
      </c>
      <c r="N156" s="1">
        <v>0</v>
      </c>
      <c r="O156" s="1">
        <v>0</v>
      </c>
      <c r="P156" s="1">
        <v>0</v>
      </c>
      <c r="Q156" s="1">
        <v>0</v>
      </c>
      <c r="R156" s="1" t="s">
        <v>329</v>
      </c>
      <c r="S156" s="1">
        <v>0</v>
      </c>
      <c r="T156" s="1">
        <v>0</v>
      </c>
      <c r="U156" s="1">
        <v>0</v>
      </c>
      <c r="V156" s="1">
        <v>0</v>
      </c>
      <c r="W156" s="1">
        <v>0</v>
      </c>
      <c r="X156" s="1">
        <v>0</v>
      </c>
    </row>
    <row r="157" spans="1:24" x14ac:dyDescent="0.25">
      <c r="A157" s="1">
        <v>21400</v>
      </c>
      <c r="B157" s="1">
        <v>214</v>
      </c>
      <c r="C157" s="1">
        <v>0</v>
      </c>
      <c r="D157" s="1">
        <v>0</v>
      </c>
      <c r="E157" s="1">
        <v>0</v>
      </c>
      <c r="F157" s="1">
        <v>1</v>
      </c>
      <c r="G157" s="1">
        <v>107</v>
      </c>
      <c r="H157" s="1">
        <v>11</v>
      </c>
      <c r="I157" s="1">
        <v>22</v>
      </c>
      <c r="J157" s="1">
        <v>34</v>
      </c>
      <c r="K157" s="1">
        <v>28</v>
      </c>
      <c r="L157" s="1">
        <v>15</v>
      </c>
      <c r="M157" s="1">
        <v>0</v>
      </c>
      <c r="N157" s="1">
        <v>0</v>
      </c>
      <c r="O157" s="1">
        <v>0</v>
      </c>
      <c r="P157" s="1">
        <v>0</v>
      </c>
      <c r="Q157" s="1">
        <v>0</v>
      </c>
      <c r="R157" s="1" t="s">
        <v>329</v>
      </c>
      <c r="S157" s="1">
        <v>0</v>
      </c>
      <c r="T157" s="1">
        <v>0</v>
      </c>
      <c r="U157" s="1">
        <v>0</v>
      </c>
      <c r="V157" s="1">
        <v>0</v>
      </c>
      <c r="W157" s="1">
        <v>0</v>
      </c>
      <c r="X157" s="1">
        <v>0</v>
      </c>
    </row>
    <row r="158" spans="1:24" x14ac:dyDescent="0.25">
      <c r="A158" s="1">
        <v>21401</v>
      </c>
      <c r="B158" s="1">
        <v>214</v>
      </c>
      <c r="C158" s="1">
        <v>1</v>
      </c>
      <c r="D158" s="1">
        <v>1</v>
      </c>
      <c r="E158" s="1">
        <v>0</v>
      </c>
      <c r="F158" s="1">
        <v>2</v>
      </c>
      <c r="G158" s="1">
        <v>107</v>
      </c>
      <c r="H158" s="1">
        <v>11</v>
      </c>
      <c r="I158" s="1">
        <v>22</v>
      </c>
      <c r="J158" s="1">
        <v>34</v>
      </c>
      <c r="K158" s="1">
        <v>28</v>
      </c>
      <c r="L158" s="1">
        <v>15</v>
      </c>
      <c r="M158" s="1">
        <v>0</v>
      </c>
      <c r="N158" s="1">
        <v>0</v>
      </c>
      <c r="O158" s="1">
        <v>0</v>
      </c>
      <c r="P158" s="1">
        <v>0</v>
      </c>
      <c r="Q158" s="1">
        <v>0</v>
      </c>
      <c r="R158" s="1" t="s">
        <v>329</v>
      </c>
      <c r="S158" s="1">
        <v>0</v>
      </c>
      <c r="T158" s="1">
        <v>0</v>
      </c>
      <c r="U158" s="1">
        <v>0</v>
      </c>
      <c r="V158" s="1">
        <v>0</v>
      </c>
      <c r="W158" s="1">
        <v>0</v>
      </c>
      <c r="X158" s="1">
        <v>0</v>
      </c>
    </row>
    <row r="159" spans="1:24" x14ac:dyDescent="0.25">
      <c r="A159" s="1">
        <v>21402</v>
      </c>
      <c r="B159" s="1">
        <v>214</v>
      </c>
      <c r="C159" s="1">
        <v>2</v>
      </c>
      <c r="D159" s="1">
        <v>1</v>
      </c>
      <c r="E159" s="1">
        <v>0</v>
      </c>
      <c r="F159" s="1">
        <v>3</v>
      </c>
      <c r="G159" s="1">
        <v>107</v>
      </c>
      <c r="H159" s="1">
        <v>11</v>
      </c>
      <c r="I159" s="1">
        <v>22</v>
      </c>
      <c r="J159" s="1">
        <v>34</v>
      </c>
      <c r="K159" s="1">
        <v>28</v>
      </c>
      <c r="L159" s="1">
        <v>15</v>
      </c>
      <c r="M159" s="1">
        <v>0</v>
      </c>
      <c r="N159" s="1">
        <v>0</v>
      </c>
      <c r="O159" s="1">
        <v>0</v>
      </c>
      <c r="P159" s="1">
        <v>0</v>
      </c>
      <c r="Q159" s="1">
        <v>0</v>
      </c>
      <c r="R159" s="1" t="s">
        <v>329</v>
      </c>
      <c r="S159" s="1">
        <v>0</v>
      </c>
      <c r="T159" s="1">
        <v>0</v>
      </c>
      <c r="U159" s="1">
        <v>0</v>
      </c>
      <c r="V159" s="1">
        <v>0</v>
      </c>
      <c r="W159" s="1">
        <v>0</v>
      </c>
      <c r="X159" s="1">
        <v>0</v>
      </c>
    </row>
    <row r="160" spans="1:24" x14ac:dyDescent="0.25">
      <c r="A160" s="1">
        <v>21403</v>
      </c>
      <c r="B160" s="1">
        <v>214</v>
      </c>
      <c r="C160" s="1">
        <v>3</v>
      </c>
      <c r="D160" s="1">
        <v>1</v>
      </c>
      <c r="E160" s="1">
        <v>0</v>
      </c>
      <c r="F160" s="1">
        <v>4</v>
      </c>
      <c r="G160" s="1">
        <v>107</v>
      </c>
      <c r="H160" s="1">
        <v>11</v>
      </c>
      <c r="I160" s="1">
        <v>22</v>
      </c>
      <c r="J160" s="1">
        <v>34</v>
      </c>
      <c r="K160" s="1">
        <v>28</v>
      </c>
      <c r="L160" s="1">
        <v>15</v>
      </c>
      <c r="M160" s="1">
        <v>0</v>
      </c>
      <c r="N160" s="1">
        <v>0</v>
      </c>
      <c r="O160" s="1">
        <v>0</v>
      </c>
      <c r="P160" s="1">
        <v>0</v>
      </c>
      <c r="Q160" s="1">
        <v>0</v>
      </c>
      <c r="R160" s="1" t="s">
        <v>329</v>
      </c>
      <c r="S160" s="1">
        <v>0</v>
      </c>
      <c r="T160" s="1">
        <v>0</v>
      </c>
      <c r="U160" s="1">
        <v>0</v>
      </c>
      <c r="V160" s="1">
        <v>0</v>
      </c>
      <c r="W160" s="1">
        <v>0</v>
      </c>
      <c r="X160" s="1">
        <v>0</v>
      </c>
    </row>
    <row r="161" spans="1:24" x14ac:dyDescent="0.25">
      <c r="A161" s="1">
        <v>21404</v>
      </c>
      <c r="B161" s="1">
        <v>214</v>
      </c>
      <c r="C161" s="1">
        <v>4</v>
      </c>
      <c r="D161" s="1">
        <v>1</v>
      </c>
      <c r="E161" s="1">
        <v>0</v>
      </c>
      <c r="F161" s="1">
        <v>5</v>
      </c>
      <c r="G161" s="1">
        <v>107</v>
      </c>
      <c r="H161" s="1">
        <v>11</v>
      </c>
      <c r="I161" s="1">
        <v>22</v>
      </c>
      <c r="J161" s="1">
        <v>34</v>
      </c>
      <c r="K161" s="1">
        <v>28</v>
      </c>
      <c r="L161" s="1">
        <v>15</v>
      </c>
      <c r="M161" s="1">
        <v>0</v>
      </c>
      <c r="N161" s="1">
        <v>0</v>
      </c>
      <c r="O161" s="1">
        <v>0</v>
      </c>
      <c r="P161" s="1">
        <v>0</v>
      </c>
      <c r="Q161" s="1">
        <v>0</v>
      </c>
      <c r="R161" s="1" t="s">
        <v>329</v>
      </c>
      <c r="S161" s="1">
        <v>0</v>
      </c>
      <c r="T161" s="1">
        <v>0</v>
      </c>
      <c r="U161" s="1">
        <v>0</v>
      </c>
      <c r="V161" s="1">
        <v>0</v>
      </c>
      <c r="W161" s="1">
        <v>0</v>
      </c>
      <c r="X161" s="1">
        <v>0</v>
      </c>
    </row>
    <row r="162" spans="1:24" x14ac:dyDescent="0.25">
      <c r="A162" s="1">
        <v>21500</v>
      </c>
      <c r="B162" s="1">
        <v>215</v>
      </c>
      <c r="C162" s="1">
        <v>0</v>
      </c>
      <c r="D162" s="1">
        <v>0</v>
      </c>
      <c r="E162" s="1">
        <v>0</v>
      </c>
      <c r="F162" s="1">
        <v>1</v>
      </c>
      <c r="G162" s="1">
        <v>47</v>
      </c>
      <c r="H162" s="1">
        <v>21</v>
      </c>
      <c r="I162" s="1">
        <v>29</v>
      </c>
      <c r="J162" s="1">
        <v>36</v>
      </c>
      <c r="K162" s="1">
        <v>28</v>
      </c>
      <c r="L162" s="1">
        <v>0</v>
      </c>
      <c r="M162" s="1">
        <v>0</v>
      </c>
      <c r="N162" s="1">
        <v>0</v>
      </c>
      <c r="O162" s="1">
        <v>0</v>
      </c>
      <c r="P162" s="1">
        <v>0</v>
      </c>
      <c r="Q162" s="1">
        <v>0</v>
      </c>
      <c r="R162" s="1" t="s">
        <v>329</v>
      </c>
      <c r="S162" s="1">
        <v>0</v>
      </c>
      <c r="T162" s="1">
        <v>0</v>
      </c>
      <c r="U162" s="1">
        <v>0</v>
      </c>
      <c r="V162" s="1">
        <v>0</v>
      </c>
      <c r="W162" s="1">
        <v>0</v>
      </c>
      <c r="X162" s="1">
        <v>0</v>
      </c>
    </row>
    <row r="163" spans="1:24" x14ac:dyDescent="0.25">
      <c r="A163" s="1">
        <v>21501</v>
      </c>
      <c r="B163" s="1">
        <v>215</v>
      </c>
      <c r="C163" s="1">
        <v>1</v>
      </c>
      <c r="D163" s="1">
        <v>1</v>
      </c>
      <c r="E163" s="1">
        <v>0</v>
      </c>
      <c r="F163" s="1">
        <v>2</v>
      </c>
      <c r="G163" s="1">
        <v>47</v>
      </c>
      <c r="H163" s="1">
        <v>21</v>
      </c>
      <c r="I163" s="1">
        <v>29</v>
      </c>
      <c r="J163" s="1">
        <v>36</v>
      </c>
      <c r="K163" s="1">
        <v>28</v>
      </c>
      <c r="L163" s="1">
        <v>0</v>
      </c>
      <c r="M163" s="1">
        <v>0</v>
      </c>
      <c r="N163" s="1">
        <v>0</v>
      </c>
      <c r="O163" s="1">
        <v>0</v>
      </c>
      <c r="P163" s="1">
        <v>0</v>
      </c>
      <c r="Q163" s="1">
        <v>0</v>
      </c>
      <c r="R163" s="1" t="s">
        <v>329</v>
      </c>
      <c r="S163" s="1">
        <v>0</v>
      </c>
      <c r="T163" s="1">
        <v>0</v>
      </c>
      <c r="U163" s="1">
        <v>0</v>
      </c>
      <c r="V163" s="1">
        <v>0</v>
      </c>
      <c r="W163" s="1">
        <v>0</v>
      </c>
      <c r="X163" s="1">
        <v>0</v>
      </c>
    </row>
    <row r="164" spans="1:24" x14ac:dyDescent="0.25">
      <c r="A164" s="1">
        <v>21502</v>
      </c>
      <c r="B164" s="1">
        <v>215</v>
      </c>
      <c r="C164" s="1">
        <v>2</v>
      </c>
      <c r="D164" s="1">
        <v>1</v>
      </c>
      <c r="E164" s="1">
        <v>0</v>
      </c>
      <c r="F164" s="1">
        <v>3</v>
      </c>
      <c r="G164" s="1">
        <v>47</v>
      </c>
      <c r="H164" s="1">
        <v>21</v>
      </c>
      <c r="I164" s="1">
        <v>29</v>
      </c>
      <c r="J164" s="1">
        <v>36</v>
      </c>
      <c r="K164" s="1">
        <v>28</v>
      </c>
      <c r="L164" s="1">
        <v>0</v>
      </c>
      <c r="M164" s="1">
        <v>0</v>
      </c>
      <c r="N164" s="1">
        <v>0</v>
      </c>
      <c r="O164" s="1">
        <v>0</v>
      </c>
      <c r="P164" s="1">
        <v>0</v>
      </c>
      <c r="Q164" s="1">
        <v>0</v>
      </c>
      <c r="R164" s="1" t="s">
        <v>329</v>
      </c>
      <c r="S164" s="1">
        <v>0</v>
      </c>
      <c r="T164" s="1">
        <v>0</v>
      </c>
      <c r="U164" s="1">
        <v>0</v>
      </c>
      <c r="V164" s="1">
        <v>0</v>
      </c>
      <c r="W164" s="1">
        <v>0</v>
      </c>
      <c r="X164" s="1">
        <v>0</v>
      </c>
    </row>
    <row r="165" spans="1:24" x14ac:dyDescent="0.25">
      <c r="A165" s="1">
        <v>21503</v>
      </c>
      <c r="B165" s="1">
        <v>215</v>
      </c>
      <c r="C165" s="1">
        <v>3</v>
      </c>
      <c r="D165" s="1">
        <v>1</v>
      </c>
      <c r="E165" s="1">
        <v>0</v>
      </c>
      <c r="F165" s="1">
        <v>4</v>
      </c>
      <c r="G165" s="1">
        <v>47</v>
      </c>
      <c r="H165" s="1">
        <v>21</v>
      </c>
      <c r="I165" s="1">
        <v>29</v>
      </c>
      <c r="J165" s="1">
        <v>36</v>
      </c>
      <c r="K165" s="1">
        <v>28</v>
      </c>
      <c r="L165" s="1">
        <v>0</v>
      </c>
      <c r="M165" s="1">
        <v>0</v>
      </c>
      <c r="N165" s="1">
        <v>0</v>
      </c>
      <c r="O165" s="1">
        <v>0</v>
      </c>
      <c r="P165" s="1">
        <v>0</v>
      </c>
      <c r="Q165" s="1">
        <v>0</v>
      </c>
      <c r="R165" s="1" t="s">
        <v>329</v>
      </c>
      <c r="S165" s="1">
        <v>0</v>
      </c>
      <c r="T165" s="1">
        <v>0</v>
      </c>
      <c r="U165" s="1">
        <v>0</v>
      </c>
      <c r="V165" s="1">
        <v>0</v>
      </c>
      <c r="W165" s="1">
        <v>0</v>
      </c>
      <c r="X165" s="1">
        <v>0</v>
      </c>
    </row>
    <row r="166" spans="1:24" x14ac:dyDescent="0.25">
      <c r="A166" s="1">
        <v>21504</v>
      </c>
      <c r="B166" s="1">
        <v>215</v>
      </c>
      <c r="C166" s="1">
        <v>4</v>
      </c>
      <c r="D166" s="1">
        <v>1</v>
      </c>
      <c r="E166" s="1">
        <v>0</v>
      </c>
      <c r="F166" s="1">
        <v>5</v>
      </c>
      <c r="G166" s="1">
        <v>47</v>
      </c>
      <c r="H166" s="1">
        <v>21</v>
      </c>
      <c r="I166" s="1">
        <v>29</v>
      </c>
      <c r="J166" s="1">
        <v>36</v>
      </c>
      <c r="K166" s="1">
        <v>28</v>
      </c>
      <c r="L166" s="1">
        <v>0</v>
      </c>
      <c r="M166" s="1">
        <v>0</v>
      </c>
      <c r="N166" s="1">
        <v>0</v>
      </c>
      <c r="O166" s="1">
        <v>0</v>
      </c>
      <c r="P166" s="1">
        <v>0</v>
      </c>
      <c r="Q166" s="1">
        <v>0</v>
      </c>
      <c r="R166" s="1" t="s">
        <v>329</v>
      </c>
      <c r="S166" s="1">
        <v>0</v>
      </c>
      <c r="T166" s="1">
        <v>0</v>
      </c>
      <c r="U166" s="1">
        <v>0</v>
      </c>
      <c r="V166" s="1">
        <v>0</v>
      </c>
      <c r="W166" s="1">
        <v>0</v>
      </c>
      <c r="X166" s="1">
        <v>0</v>
      </c>
    </row>
    <row r="167" spans="1:24" x14ac:dyDescent="0.25">
      <c r="A167" s="1">
        <v>21600</v>
      </c>
      <c r="B167" s="1">
        <v>216</v>
      </c>
      <c r="C167" s="1">
        <v>0</v>
      </c>
      <c r="D167" s="1">
        <v>0</v>
      </c>
      <c r="E167" s="1">
        <v>0</v>
      </c>
      <c r="F167" s="1">
        <v>1</v>
      </c>
      <c r="G167" s="1">
        <v>123</v>
      </c>
      <c r="H167" s="1">
        <v>19</v>
      </c>
      <c r="I167" s="1">
        <v>31</v>
      </c>
      <c r="J167" s="1">
        <v>49</v>
      </c>
      <c r="K167" s="1">
        <v>23</v>
      </c>
      <c r="L167" s="1">
        <v>0</v>
      </c>
      <c r="M167" s="1">
        <v>0</v>
      </c>
      <c r="N167" s="1">
        <v>0</v>
      </c>
      <c r="O167" s="1">
        <v>0</v>
      </c>
      <c r="P167" s="1">
        <v>0</v>
      </c>
      <c r="Q167" s="1">
        <v>0</v>
      </c>
      <c r="R167" s="1" t="s">
        <v>329</v>
      </c>
      <c r="S167" s="1">
        <v>0</v>
      </c>
      <c r="T167" s="1">
        <v>0</v>
      </c>
      <c r="U167" s="1">
        <v>0</v>
      </c>
      <c r="V167" s="1">
        <v>0</v>
      </c>
      <c r="W167" s="1">
        <v>0</v>
      </c>
      <c r="X167" s="1">
        <v>0</v>
      </c>
    </row>
    <row r="168" spans="1:24" x14ac:dyDescent="0.25">
      <c r="A168" s="1">
        <v>21601</v>
      </c>
      <c r="B168" s="1">
        <v>216</v>
      </c>
      <c r="C168" s="1">
        <v>1</v>
      </c>
      <c r="D168" s="1">
        <v>1</v>
      </c>
      <c r="E168" s="1">
        <v>0</v>
      </c>
      <c r="F168" s="1">
        <v>2</v>
      </c>
      <c r="G168" s="1">
        <v>123</v>
      </c>
      <c r="H168" s="1">
        <v>19</v>
      </c>
      <c r="I168" s="1">
        <v>31</v>
      </c>
      <c r="J168" s="1">
        <v>49</v>
      </c>
      <c r="K168" s="1">
        <v>23</v>
      </c>
      <c r="L168" s="1">
        <v>0</v>
      </c>
      <c r="M168" s="1">
        <v>0</v>
      </c>
      <c r="N168" s="1">
        <v>0</v>
      </c>
      <c r="O168" s="1">
        <v>0</v>
      </c>
      <c r="P168" s="1">
        <v>0</v>
      </c>
      <c r="Q168" s="1">
        <v>0</v>
      </c>
      <c r="R168" s="1" t="s">
        <v>329</v>
      </c>
      <c r="S168" s="1">
        <v>0</v>
      </c>
      <c r="T168" s="1">
        <v>0</v>
      </c>
      <c r="U168" s="1">
        <v>0</v>
      </c>
      <c r="V168" s="1">
        <v>0</v>
      </c>
      <c r="W168" s="1">
        <v>0</v>
      </c>
      <c r="X168" s="1">
        <v>0</v>
      </c>
    </row>
    <row r="169" spans="1:24" x14ac:dyDescent="0.25">
      <c r="A169" s="1">
        <v>21602</v>
      </c>
      <c r="B169" s="1">
        <v>216</v>
      </c>
      <c r="C169" s="1">
        <v>2</v>
      </c>
      <c r="D169" s="1">
        <v>1</v>
      </c>
      <c r="E169" s="1">
        <v>0</v>
      </c>
      <c r="F169" s="1">
        <v>3</v>
      </c>
      <c r="G169" s="1">
        <v>123</v>
      </c>
      <c r="H169" s="1">
        <v>19</v>
      </c>
      <c r="I169" s="1">
        <v>31</v>
      </c>
      <c r="J169" s="1">
        <v>49</v>
      </c>
      <c r="K169" s="1">
        <v>23</v>
      </c>
      <c r="L169" s="1">
        <v>0</v>
      </c>
      <c r="M169" s="1">
        <v>0</v>
      </c>
      <c r="N169" s="1">
        <v>0</v>
      </c>
      <c r="O169" s="1">
        <v>0</v>
      </c>
      <c r="P169" s="1">
        <v>0</v>
      </c>
      <c r="Q169" s="1">
        <v>0</v>
      </c>
      <c r="R169" s="1" t="s">
        <v>329</v>
      </c>
      <c r="S169" s="1">
        <v>0</v>
      </c>
      <c r="T169" s="1">
        <v>0</v>
      </c>
      <c r="U169" s="1">
        <v>0</v>
      </c>
      <c r="V169" s="1">
        <v>0</v>
      </c>
      <c r="W169" s="1">
        <v>0</v>
      </c>
      <c r="X169" s="1">
        <v>0</v>
      </c>
    </row>
    <row r="170" spans="1:24" x14ac:dyDescent="0.25">
      <c r="A170" s="1">
        <v>21603</v>
      </c>
      <c r="B170" s="1">
        <v>216</v>
      </c>
      <c r="C170" s="1">
        <v>3</v>
      </c>
      <c r="D170" s="1">
        <v>1</v>
      </c>
      <c r="E170" s="1">
        <v>0</v>
      </c>
      <c r="F170" s="1">
        <v>4</v>
      </c>
      <c r="G170" s="1">
        <v>123</v>
      </c>
      <c r="H170" s="1">
        <v>19</v>
      </c>
      <c r="I170" s="1">
        <v>31</v>
      </c>
      <c r="J170" s="1">
        <v>49</v>
      </c>
      <c r="K170" s="1">
        <v>23</v>
      </c>
      <c r="L170" s="1">
        <v>0</v>
      </c>
      <c r="M170" s="1">
        <v>0</v>
      </c>
      <c r="N170" s="1">
        <v>0</v>
      </c>
      <c r="O170" s="1">
        <v>0</v>
      </c>
      <c r="P170" s="1">
        <v>0</v>
      </c>
      <c r="Q170" s="1">
        <v>0</v>
      </c>
      <c r="R170" s="1" t="s">
        <v>329</v>
      </c>
      <c r="S170" s="1">
        <v>0</v>
      </c>
      <c r="T170" s="1">
        <v>0</v>
      </c>
      <c r="U170" s="1">
        <v>0</v>
      </c>
      <c r="V170" s="1">
        <v>0</v>
      </c>
      <c r="W170" s="1">
        <v>0</v>
      </c>
      <c r="X170" s="1">
        <v>0</v>
      </c>
    </row>
    <row r="171" spans="1:24" x14ac:dyDescent="0.25">
      <c r="A171" s="1">
        <v>21604</v>
      </c>
      <c r="B171" s="1">
        <v>216</v>
      </c>
      <c r="C171" s="1">
        <v>4</v>
      </c>
      <c r="D171" s="1">
        <v>1</v>
      </c>
      <c r="E171" s="1">
        <v>0</v>
      </c>
      <c r="F171" s="1">
        <v>5</v>
      </c>
      <c r="G171" s="1">
        <v>123</v>
      </c>
      <c r="H171" s="1">
        <v>19</v>
      </c>
      <c r="I171" s="1">
        <v>31</v>
      </c>
      <c r="J171" s="1">
        <v>49</v>
      </c>
      <c r="K171" s="1">
        <v>23</v>
      </c>
      <c r="L171" s="1">
        <v>0</v>
      </c>
      <c r="M171" s="1">
        <v>0</v>
      </c>
      <c r="N171" s="1">
        <v>0</v>
      </c>
      <c r="O171" s="1">
        <v>0</v>
      </c>
      <c r="P171" s="1">
        <v>0</v>
      </c>
      <c r="Q171" s="1">
        <v>0</v>
      </c>
      <c r="R171" s="1" t="s">
        <v>329</v>
      </c>
      <c r="S171" s="1">
        <v>0</v>
      </c>
      <c r="T171" s="1">
        <v>0</v>
      </c>
      <c r="U171" s="1">
        <v>0</v>
      </c>
      <c r="V171" s="1">
        <v>0</v>
      </c>
      <c r="W171" s="1">
        <v>0</v>
      </c>
      <c r="X171" s="1">
        <v>0</v>
      </c>
    </row>
    <row r="172" spans="1:24" x14ac:dyDescent="0.25">
      <c r="A172">
        <v>21700</v>
      </c>
      <c r="B172">
        <v>217</v>
      </c>
      <c r="C172">
        <v>0</v>
      </c>
      <c r="D172">
        <v>0</v>
      </c>
      <c r="E172">
        <v>0</v>
      </c>
      <c r="F172">
        <v>1</v>
      </c>
      <c r="G172">
        <v>68</v>
      </c>
      <c r="H172">
        <v>13</v>
      </c>
      <c r="I172">
        <v>45</v>
      </c>
      <c r="J172">
        <v>36</v>
      </c>
      <c r="K172">
        <v>53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 t="s">
        <v>329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</row>
    <row r="173" spans="1:24" x14ac:dyDescent="0.25">
      <c r="A173">
        <v>21701</v>
      </c>
      <c r="B173">
        <v>217</v>
      </c>
      <c r="C173">
        <v>1</v>
      </c>
      <c r="D173">
        <v>1</v>
      </c>
      <c r="E173">
        <v>0</v>
      </c>
      <c r="F173">
        <v>2</v>
      </c>
      <c r="G173">
        <v>68</v>
      </c>
      <c r="H173">
        <v>13</v>
      </c>
      <c r="I173">
        <v>45</v>
      </c>
      <c r="J173">
        <v>36</v>
      </c>
      <c r="K173">
        <v>53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 t="s">
        <v>329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</row>
    <row r="174" spans="1:24" x14ac:dyDescent="0.25">
      <c r="A174">
        <v>21702</v>
      </c>
      <c r="B174">
        <v>217</v>
      </c>
      <c r="C174">
        <v>2</v>
      </c>
      <c r="D174">
        <v>1</v>
      </c>
      <c r="E174">
        <v>0</v>
      </c>
      <c r="F174">
        <v>3</v>
      </c>
      <c r="G174">
        <v>68</v>
      </c>
      <c r="H174">
        <v>13</v>
      </c>
      <c r="I174">
        <v>45</v>
      </c>
      <c r="J174">
        <v>36</v>
      </c>
      <c r="K174">
        <v>53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 t="s">
        <v>329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</row>
    <row r="175" spans="1:24" x14ac:dyDescent="0.25">
      <c r="A175">
        <v>21703</v>
      </c>
      <c r="B175">
        <v>217</v>
      </c>
      <c r="C175">
        <v>3</v>
      </c>
      <c r="D175">
        <v>1</v>
      </c>
      <c r="E175">
        <v>0</v>
      </c>
      <c r="F175">
        <v>4</v>
      </c>
      <c r="G175">
        <v>68</v>
      </c>
      <c r="H175">
        <v>13</v>
      </c>
      <c r="I175">
        <v>45</v>
      </c>
      <c r="J175">
        <v>36</v>
      </c>
      <c r="K175">
        <v>53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 t="s">
        <v>329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</row>
    <row r="176" spans="1:24" x14ac:dyDescent="0.25">
      <c r="A176">
        <v>21704</v>
      </c>
      <c r="B176">
        <v>217</v>
      </c>
      <c r="C176">
        <v>4</v>
      </c>
      <c r="D176">
        <v>1</v>
      </c>
      <c r="E176">
        <v>0</v>
      </c>
      <c r="F176">
        <v>5</v>
      </c>
      <c r="G176">
        <v>68</v>
      </c>
      <c r="H176">
        <v>13</v>
      </c>
      <c r="I176">
        <v>45</v>
      </c>
      <c r="J176">
        <v>36</v>
      </c>
      <c r="K176">
        <v>53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 t="s">
        <v>329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</row>
    <row r="177" spans="1:24" x14ac:dyDescent="0.25">
      <c r="A177" s="1">
        <v>30100</v>
      </c>
      <c r="B177" s="1">
        <v>301</v>
      </c>
      <c r="C177" s="1">
        <v>0</v>
      </c>
      <c r="D177" s="1">
        <v>0</v>
      </c>
      <c r="E177" s="1">
        <v>0</v>
      </c>
      <c r="F177" s="1">
        <v>1</v>
      </c>
      <c r="G177" s="1">
        <v>58</v>
      </c>
      <c r="H177" s="1">
        <v>10</v>
      </c>
      <c r="I177" s="1">
        <v>41</v>
      </c>
      <c r="J177" s="1">
        <v>18</v>
      </c>
      <c r="K177" s="1">
        <v>68</v>
      </c>
      <c r="L177" s="1">
        <v>0</v>
      </c>
      <c r="M177" s="1">
        <v>0</v>
      </c>
      <c r="N177" s="1">
        <v>0</v>
      </c>
      <c r="O177" s="1">
        <v>0</v>
      </c>
      <c r="P177" s="1">
        <v>0</v>
      </c>
      <c r="Q177" s="1">
        <v>0</v>
      </c>
      <c r="R177" s="1" t="s">
        <v>329</v>
      </c>
      <c r="S177" s="1">
        <v>0</v>
      </c>
      <c r="T177" s="1">
        <v>0</v>
      </c>
      <c r="U177" s="1">
        <v>0</v>
      </c>
      <c r="V177" s="1">
        <v>0</v>
      </c>
      <c r="W177" s="1">
        <v>0</v>
      </c>
      <c r="X177" s="1">
        <v>0</v>
      </c>
    </row>
    <row r="178" spans="1:24" x14ac:dyDescent="0.25">
      <c r="A178" s="1">
        <v>30101</v>
      </c>
      <c r="B178" s="1">
        <v>301</v>
      </c>
      <c r="C178" s="1">
        <v>1</v>
      </c>
      <c r="D178" s="1">
        <v>1</v>
      </c>
      <c r="E178" s="1">
        <v>0</v>
      </c>
      <c r="F178" s="1">
        <v>2</v>
      </c>
      <c r="G178" s="1">
        <v>58</v>
      </c>
      <c r="H178" s="1">
        <v>10</v>
      </c>
      <c r="I178" s="1">
        <v>41</v>
      </c>
      <c r="J178" s="1">
        <v>18</v>
      </c>
      <c r="K178" s="1">
        <v>68</v>
      </c>
      <c r="L178" s="1">
        <v>0</v>
      </c>
      <c r="M178" s="1">
        <v>0</v>
      </c>
      <c r="N178" s="1">
        <v>0</v>
      </c>
      <c r="O178" s="1">
        <v>0</v>
      </c>
      <c r="P178" s="1">
        <v>0</v>
      </c>
      <c r="Q178" s="1">
        <v>0</v>
      </c>
      <c r="R178" s="1" t="s">
        <v>329</v>
      </c>
      <c r="S178" s="1">
        <v>0</v>
      </c>
      <c r="T178" s="1">
        <v>0</v>
      </c>
      <c r="U178" s="1">
        <v>0</v>
      </c>
      <c r="V178" s="1">
        <v>0</v>
      </c>
      <c r="W178" s="1">
        <v>0</v>
      </c>
      <c r="X178" s="1">
        <v>0</v>
      </c>
    </row>
    <row r="179" spans="1:24" x14ac:dyDescent="0.25">
      <c r="A179" s="1">
        <v>30102</v>
      </c>
      <c r="B179" s="1">
        <v>301</v>
      </c>
      <c r="C179" s="1">
        <v>2</v>
      </c>
      <c r="D179" s="1">
        <v>1</v>
      </c>
      <c r="E179" s="1">
        <v>0</v>
      </c>
      <c r="F179" s="1">
        <v>3</v>
      </c>
      <c r="G179" s="1">
        <v>58</v>
      </c>
      <c r="H179" s="1">
        <v>10</v>
      </c>
      <c r="I179" s="1">
        <v>41</v>
      </c>
      <c r="J179" s="1">
        <v>18</v>
      </c>
      <c r="K179" s="1">
        <v>68</v>
      </c>
      <c r="L179" s="1">
        <v>0</v>
      </c>
      <c r="M179" s="1">
        <v>0</v>
      </c>
      <c r="N179" s="1">
        <v>0</v>
      </c>
      <c r="O179" s="1">
        <v>0</v>
      </c>
      <c r="P179" s="1">
        <v>0</v>
      </c>
      <c r="Q179" s="1">
        <v>0</v>
      </c>
      <c r="R179" s="1" t="s">
        <v>329</v>
      </c>
      <c r="S179" s="1">
        <v>0</v>
      </c>
      <c r="T179" s="1">
        <v>0</v>
      </c>
      <c r="U179" s="1">
        <v>0</v>
      </c>
      <c r="V179" s="1">
        <v>0</v>
      </c>
      <c r="W179" s="1">
        <v>0</v>
      </c>
      <c r="X179" s="1">
        <v>0</v>
      </c>
    </row>
    <row r="180" spans="1:24" x14ac:dyDescent="0.25">
      <c r="A180" s="1">
        <v>30103</v>
      </c>
      <c r="B180" s="1">
        <v>301</v>
      </c>
      <c r="C180" s="1">
        <v>3</v>
      </c>
      <c r="D180" s="1">
        <v>1</v>
      </c>
      <c r="E180" s="1">
        <v>0</v>
      </c>
      <c r="F180" s="1">
        <v>4</v>
      </c>
      <c r="G180" s="1">
        <v>58</v>
      </c>
      <c r="H180" s="1">
        <v>10</v>
      </c>
      <c r="I180" s="1">
        <v>41</v>
      </c>
      <c r="J180" s="1">
        <v>18</v>
      </c>
      <c r="K180" s="1">
        <v>68</v>
      </c>
      <c r="L180" s="1">
        <v>0</v>
      </c>
      <c r="M180" s="1">
        <v>0</v>
      </c>
      <c r="N180" s="1">
        <v>0</v>
      </c>
      <c r="O180" s="1">
        <v>0</v>
      </c>
      <c r="P180" s="1">
        <v>0</v>
      </c>
      <c r="Q180" s="1">
        <v>0</v>
      </c>
      <c r="R180" s="1" t="s">
        <v>329</v>
      </c>
      <c r="S180" s="1">
        <v>0</v>
      </c>
      <c r="T180" s="1">
        <v>0</v>
      </c>
      <c r="U180" s="1">
        <v>0</v>
      </c>
      <c r="V180" s="1">
        <v>0</v>
      </c>
      <c r="W180" s="1">
        <v>0</v>
      </c>
      <c r="X180" s="1">
        <v>0</v>
      </c>
    </row>
    <row r="181" spans="1:24" x14ac:dyDescent="0.25">
      <c r="A181" s="1">
        <v>30104</v>
      </c>
      <c r="B181" s="1">
        <v>301</v>
      </c>
      <c r="C181" s="1">
        <v>4</v>
      </c>
      <c r="D181" s="1">
        <v>1</v>
      </c>
      <c r="E181" s="1">
        <v>0</v>
      </c>
      <c r="F181" s="1">
        <v>5</v>
      </c>
      <c r="G181" s="1">
        <v>58</v>
      </c>
      <c r="H181" s="1">
        <v>10</v>
      </c>
      <c r="I181" s="1">
        <v>41</v>
      </c>
      <c r="J181" s="1">
        <v>18</v>
      </c>
      <c r="K181" s="1">
        <v>68</v>
      </c>
      <c r="L181" s="1">
        <v>0</v>
      </c>
      <c r="M181" s="1">
        <v>0</v>
      </c>
      <c r="N181" s="1">
        <v>0</v>
      </c>
      <c r="O181" s="1">
        <v>0</v>
      </c>
      <c r="P181" s="1">
        <v>0</v>
      </c>
      <c r="Q181" s="1">
        <v>0</v>
      </c>
      <c r="R181" s="1" t="s">
        <v>329</v>
      </c>
      <c r="S181" s="1">
        <v>0</v>
      </c>
      <c r="T181" s="1">
        <v>0</v>
      </c>
      <c r="U181" s="1">
        <v>0</v>
      </c>
      <c r="V181" s="1">
        <v>0</v>
      </c>
      <c r="W181" s="1">
        <v>0</v>
      </c>
      <c r="X181" s="1">
        <v>0</v>
      </c>
    </row>
    <row r="182" spans="1:24" x14ac:dyDescent="0.25">
      <c r="A182" s="1">
        <v>30200</v>
      </c>
      <c r="B182" s="1">
        <v>302</v>
      </c>
      <c r="C182" s="1">
        <v>0</v>
      </c>
      <c r="D182" s="1">
        <v>0</v>
      </c>
      <c r="E182" s="1">
        <v>0</v>
      </c>
      <c r="F182" s="1">
        <v>1</v>
      </c>
      <c r="G182" s="1">
        <v>53</v>
      </c>
      <c r="H182" s="1">
        <v>14</v>
      </c>
      <c r="I182" s="1">
        <v>41</v>
      </c>
      <c r="J182" s="1">
        <v>35</v>
      </c>
      <c r="K182" s="1">
        <v>47</v>
      </c>
      <c r="L182" s="1">
        <v>0</v>
      </c>
      <c r="M182" s="1">
        <v>0</v>
      </c>
      <c r="N182" s="1">
        <v>0</v>
      </c>
      <c r="O182" s="1">
        <v>0</v>
      </c>
      <c r="P182" s="1">
        <v>0</v>
      </c>
      <c r="Q182" s="1">
        <v>0</v>
      </c>
      <c r="R182" s="1" t="s">
        <v>329</v>
      </c>
      <c r="S182" s="1">
        <v>0</v>
      </c>
      <c r="T182" s="1">
        <v>0</v>
      </c>
      <c r="U182" s="1">
        <v>0</v>
      </c>
      <c r="V182" s="1">
        <v>0</v>
      </c>
      <c r="W182" s="1">
        <v>0</v>
      </c>
      <c r="X182" s="1">
        <v>0</v>
      </c>
    </row>
    <row r="183" spans="1:24" x14ac:dyDescent="0.25">
      <c r="A183" s="1">
        <v>30201</v>
      </c>
      <c r="B183" s="1">
        <v>302</v>
      </c>
      <c r="C183" s="1">
        <v>1</v>
      </c>
      <c r="D183" s="1">
        <v>1</v>
      </c>
      <c r="E183" s="1">
        <v>0</v>
      </c>
      <c r="F183" s="1">
        <v>2</v>
      </c>
      <c r="G183" s="1">
        <v>53</v>
      </c>
      <c r="H183" s="1">
        <v>14</v>
      </c>
      <c r="I183" s="1">
        <v>41</v>
      </c>
      <c r="J183" s="1">
        <v>35</v>
      </c>
      <c r="K183" s="1">
        <v>47</v>
      </c>
      <c r="L183" s="1">
        <v>0</v>
      </c>
      <c r="M183" s="1">
        <v>0</v>
      </c>
      <c r="N183" s="1">
        <v>0</v>
      </c>
      <c r="O183" s="1">
        <v>0</v>
      </c>
      <c r="P183" s="1">
        <v>0</v>
      </c>
      <c r="Q183" s="1">
        <v>0</v>
      </c>
      <c r="R183" s="1" t="s">
        <v>329</v>
      </c>
      <c r="S183" s="1">
        <v>0</v>
      </c>
      <c r="T183" s="1">
        <v>0</v>
      </c>
      <c r="U183" s="1">
        <v>0</v>
      </c>
      <c r="V183" s="1">
        <v>0</v>
      </c>
      <c r="W183" s="1">
        <v>0</v>
      </c>
      <c r="X183" s="1">
        <v>0</v>
      </c>
    </row>
    <row r="184" spans="1:24" x14ac:dyDescent="0.25">
      <c r="A184" s="1">
        <v>30202</v>
      </c>
      <c r="B184" s="1">
        <v>302</v>
      </c>
      <c r="C184" s="1">
        <v>2</v>
      </c>
      <c r="D184" s="1">
        <v>1</v>
      </c>
      <c r="E184" s="1">
        <v>0</v>
      </c>
      <c r="F184" s="1">
        <v>3</v>
      </c>
      <c r="G184" s="1">
        <v>53</v>
      </c>
      <c r="H184" s="1">
        <v>14</v>
      </c>
      <c r="I184" s="1">
        <v>41</v>
      </c>
      <c r="J184" s="1">
        <v>35</v>
      </c>
      <c r="K184" s="1">
        <v>47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 t="s">
        <v>329</v>
      </c>
      <c r="S184" s="1">
        <v>0</v>
      </c>
      <c r="T184" s="1">
        <v>0</v>
      </c>
      <c r="U184" s="1">
        <v>0</v>
      </c>
      <c r="V184" s="1">
        <v>0</v>
      </c>
      <c r="W184" s="1">
        <v>0</v>
      </c>
      <c r="X184" s="1">
        <v>0</v>
      </c>
    </row>
    <row r="185" spans="1:24" x14ac:dyDescent="0.25">
      <c r="A185" s="1">
        <v>30203</v>
      </c>
      <c r="B185" s="1">
        <v>302</v>
      </c>
      <c r="C185" s="1">
        <v>3</v>
      </c>
      <c r="D185" s="1">
        <v>1</v>
      </c>
      <c r="E185" s="1">
        <v>0</v>
      </c>
      <c r="F185" s="1">
        <v>4</v>
      </c>
      <c r="G185" s="1">
        <v>53</v>
      </c>
      <c r="H185" s="1">
        <v>14</v>
      </c>
      <c r="I185" s="1">
        <v>41</v>
      </c>
      <c r="J185" s="1">
        <v>35</v>
      </c>
      <c r="K185" s="1">
        <v>47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 t="s">
        <v>329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</row>
    <row r="186" spans="1:24" x14ac:dyDescent="0.25">
      <c r="A186" s="1">
        <v>30204</v>
      </c>
      <c r="B186" s="1">
        <v>302</v>
      </c>
      <c r="C186" s="1">
        <v>4</v>
      </c>
      <c r="D186" s="1">
        <v>1</v>
      </c>
      <c r="E186" s="1">
        <v>0</v>
      </c>
      <c r="F186" s="1">
        <v>5</v>
      </c>
      <c r="G186" s="1">
        <v>53</v>
      </c>
      <c r="H186" s="1">
        <v>14</v>
      </c>
      <c r="I186" s="1">
        <v>41</v>
      </c>
      <c r="J186" s="1">
        <v>35</v>
      </c>
      <c r="K186" s="1">
        <v>47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 t="s">
        <v>329</v>
      </c>
      <c r="S186" s="1">
        <v>0</v>
      </c>
      <c r="T186" s="1">
        <v>0</v>
      </c>
      <c r="U186" s="1">
        <v>0</v>
      </c>
      <c r="V186" s="1">
        <v>0</v>
      </c>
      <c r="W186" s="1">
        <v>0</v>
      </c>
      <c r="X186" s="1">
        <v>0</v>
      </c>
    </row>
    <row r="187" spans="1:24" x14ac:dyDescent="0.25">
      <c r="A187" s="1">
        <v>30300</v>
      </c>
      <c r="B187" s="1">
        <v>303</v>
      </c>
      <c r="C187" s="1">
        <v>0</v>
      </c>
      <c r="D187" s="1">
        <v>0</v>
      </c>
      <c r="E187" s="1">
        <v>0</v>
      </c>
      <c r="F187" s="1">
        <v>1</v>
      </c>
      <c r="G187" s="1">
        <v>78</v>
      </c>
      <c r="H187" s="1">
        <v>12</v>
      </c>
      <c r="I187" s="1">
        <v>31</v>
      </c>
      <c r="J187" s="1">
        <v>38</v>
      </c>
      <c r="K187" s="1">
        <v>40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 t="s">
        <v>329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</row>
    <row r="188" spans="1:24" x14ac:dyDescent="0.25">
      <c r="A188" s="1">
        <v>30301</v>
      </c>
      <c r="B188" s="1">
        <v>303</v>
      </c>
      <c r="C188" s="1">
        <v>1</v>
      </c>
      <c r="D188" s="1">
        <v>1</v>
      </c>
      <c r="E188" s="1">
        <v>0</v>
      </c>
      <c r="F188" s="1">
        <v>2</v>
      </c>
      <c r="G188" s="1">
        <v>78</v>
      </c>
      <c r="H188" s="1">
        <v>12</v>
      </c>
      <c r="I188" s="1">
        <v>31</v>
      </c>
      <c r="J188" s="1">
        <v>38</v>
      </c>
      <c r="K188" s="1">
        <v>40</v>
      </c>
      <c r="L188" s="1">
        <v>0</v>
      </c>
      <c r="M188" s="1">
        <v>0</v>
      </c>
      <c r="N188" s="1">
        <v>0</v>
      </c>
      <c r="O188" s="1">
        <v>0</v>
      </c>
      <c r="P188" s="1">
        <v>0</v>
      </c>
      <c r="Q188" s="1">
        <v>0</v>
      </c>
      <c r="R188" s="1" t="s">
        <v>329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</row>
    <row r="189" spans="1:24" x14ac:dyDescent="0.25">
      <c r="A189" s="1">
        <v>30302</v>
      </c>
      <c r="B189" s="1">
        <v>303</v>
      </c>
      <c r="C189" s="1">
        <v>2</v>
      </c>
      <c r="D189" s="1">
        <v>1</v>
      </c>
      <c r="E189" s="1">
        <v>0</v>
      </c>
      <c r="F189" s="1">
        <v>3</v>
      </c>
      <c r="G189" s="1">
        <v>78</v>
      </c>
      <c r="H189" s="1">
        <v>12</v>
      </c>
      <c r="I189" s="1">
        <v>31</v>
      </c>
      <c r="J189" s="1">
        <v>38</v>
      </c>
      <c r="K189" s="1">
        <v>40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0</v>
      </c>
      <c r="R189" s="1" t="s">
        <v>329</v>
      </c>
      <c r="S189" s="1">
        <v>0</v>
      </c>
      <c r="T189" s="1">
        <v>0</v>
      </c>
      <c r="U189" s="1">
        <v>0</v>
      </c>
      <c r="V189" s="1">
        <v>0</v>
      </c>
      <c r="W189" s="1">
        <v>0</v>
      </c>
      <c r="X189" s="1">
        <v>0</v>
      </c>
    </row>
    <row r="190" spans="1:24" x14ac:dyDescent="0.25">
      <c r="A190" s="1">
        <v>30303</v>
      </c>
      <c r="B190" s="1">
        <v>303</v>
      </c>
      <c r="C190" s="1">
        <v>3</v>
      </c>
      <c r="D190" s="1">
        <v>1</v>
      </c>
      <c r="E190" s="1">
        <v>0</v>
      </c>
      <c r="F190" s="1">
        <v>4</v>
      </c>
      <c r="G190" s="1">
        <v>78</v>
      </c>
      <c r="H190" s="1">
        <v>12</v>
      </c>
      <c r="I190" s="1">
        <v>31</v>
      </c>
      <c r="J190" s="1">
        <v>38</v>
      </c>
      <c r="K190" s="1">
        <v>40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 t="s">
        <v>329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</row>
    <row r="191" spans="1:24" x14ac:dyDescent="0.25">
      <c r="A191" s="1">
        <v>30304</v>
      </c>
      <c r="B191" s="1">
        <v>303</v>
      </c>
      <c r="C191" s="1">
        <v>4</v>
      </c>
      <c r="D191" s="1">
        <v>1</v>
      </c>
      <c r="E191" s="1">
        <v>0</v>
      </c>
      <c r="F191" s="1">
        <v>5</v>
      </c>
      <c r="G191" s="1">
        <v>78</v>
      </c>
      <c r="H191" s="1">
        <v>12</v>
      </c>
      <c r="I191" s="1">
        <v>31</v>
      </c>
      <c r="J191" s="1">
        <v>38</v>
      </c>
      <c r="K191" s="1">
        <v>40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 t="s">
        <v>329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</row>
    <row r="192" spans="1:24" x14ac:dyDescent="0.25">
      <c r="A192" s="1">
        <v>30400</v>
      </c>
      <c r="B192" s="1">
        <v>304</v>
      </c>
      <c r="C192" s="1">
        <v>0</v>
      </c>
      <c r="D192" s="1">
        <v>0</v>
      </c>
      <c r="E192" s="1">
        <v>0</v>
      </c>
      <c r="F192" s="1">
        <v>1</v>
      </c>
      <c r="G192" s="1">
        <v>38</v>
      </c>
      <c r="H192" s="1">
        <v>17</v>
      </c>
      <c r="I192" s="1">
        <v>28</v>
      </c>
      <c r="J192" s="1">
        <v>35</v>
      </c>
      <c r="K192" s="1">
        <v>31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 t="s">
        <v>329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</row>
    <row r="193" spans="1:24" x14ac:dyDescent="0.25">
      <c r="A193" s="1">
        <v>30401</v>
      </c>
      <c r="B193" s="1">
        <v>304</v>
      </c>
      <c r="C193" s="1">
        <v>1</v>
      </c>
      <c r="D193" s="1">
        <v>1</v>
      </c>
      <c r="E193" s="1">
        <v>0</v>
      </c>
      <c r="F193" s="1">
        <v>2</v>
      </c>
      <c r="G193" s="1">
        <v>38</v>
      </c>
      <c r="H193" s="1">
        <v>17</v>
      </c>
      <c r="I193" s="1">
        <v>28</v>
      </c>
      <c r="J193" s="1">
        <v>35</v>
      </c>
      <c r="K193" s="1">
        <v>31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 t="s">
        <v>329</v>
      </c>
      <c r="S193" s="1">
        <v>0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</row>
    <row r="194" spans="1:24" x14ac:dyDescent="0.25">
      <c r="A194" s="1">
        <v>30402</v>
      </c>
      <c r="B194" s="1">
        <v>304</v>
      </c>
      <c r="C194" s="1">
        <v>2</v>
      </c>
      <c r="D194" s="1">
        <v>1</v>
      </c>
      <c r="E194" s="1">
        <v>0</v>
      </c>
      <c r="F194" s="1">
        <v>3</v>
      </c>
      <c r="G194" s="1">
        <v>38</v>
      </c>
      <c r="H194" s="1">
        <v>17</v>
      </c>
      <c r="I194" s="1">
        <v>28</v>
      </c>
      <c r="J194" s="1">
        <v>35</v>
      </c>
      <c r="K194" s="1">
        <v>31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 t="s">
        <v>329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</row>
    <row r="195" spans="1:24" x14ac:dyDescent="0.25">
      <c r="A195" s="1">
        <v>30403</v>
      </c>
      <c r="B195" s="1">
        <v>304</v>
      </c>
      <c r="C195" s="1">
        <v>3</v>
      </c>
      <c r="D195" s="1">
        <v>1</v>
      </c>
      <c r="E195" s="1">
        <v>0</v>
      </c>
      <c r="F195" s="1">
        <v>4</v>
      </c>
      <c r="G195" s="1">
        <v>38</v>
      </c>
      <c r="H195" s="1">
        <v>17</v>
      </c>
      <c r="I195" s="1">
        <v>28</v>
      </c>
      <c r="J195" s="1">
        <v>35</v>
      </c>
      <c r="K195" s="1">
        <v>31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 t="s">
        <v>329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</row>
    <row r="196" spans="1:24" x14ac:dyDescent="0.25">
      <c r="A196" s="1">
        <v>30404</v>
      </c>
      <c r="B196" s="1">
        <v>304</v>
      </c>
      <c r="C196" s="1">
        <v>4</v>
      </c>
      <c r="D196" s="1">
        <v>1</v>
      </c>
      <c r="E196" s="1">
        <v>0</v>
      </c>
      <c r="F196" s="1">
        <v>5</v>
      </c>
      <c r="G196" s="1">
        <v>38</v>
      </c>
      <c r="H196" s="1">
        <v>17</v>
      </c>
      <c r="I196" s="1">
        <v>28</v>
      </c>
      <c r="J196" s="1">
        <v>35</v>
      </c>
      <c r="K196" s="1">
        <v>31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 t="s">
        <v>329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</row>
    <row r="197" spans="1:24" x14ac:dyDescent="0.25">
      <c r="A197" s="1">
        <v>30500</v>
      </c>
      <c r="B197" s="1">
        <v>305</v>
      </c>
      <c r="C197" s="1">
        <v>0</v>
      </c>
      <c r="D197" s="1">
        <v>0</v>
      </c>
      <c r="E197" s="1">
        <v>0</v>
      </c>
      <c r="F197" s="1">
        <v>1</v>
      </c>
      <c r="G197" s="1">
        <v>46</v>
      </c>
      <c r="H197" s="1">
        <v>12</v>
      </c>
      <c r="I197" s="1">
        <v>46</v>
      </c>
      <c r="J197" s="1">
        <v>18</v>
      </c>
      <c r="K197" s="1">
        <v>25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 t="s">
        <v>329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</row>
    <row r="198" spans="1:24" x14ac:dyDescent="0.25">
      <c r="A198" s="1">
        <v>30501</v>
      </c>
      <c r="B198" s="1">
        <v>305</v>
      </c>
      <c r="C198" s="1">
        <v>1</v>
      </c>
      <c r="D198" s="1">
        <v>1</v>
      </c>
      <c r="E198" s="1">
        <v>0</v>
      </c>
      <c r="F198" s="1">
        <v>2</v>
      </c>
      <c r="G198" s="1">
        <v>46</v>
      </c>
      <c r="H198" s="1">
        <v>12</v>
      </c>
      <c r="I198" s="1">
        <v>46</v>
      </c>
      <c r="J198" s="1">
        <v>18</v>
      </c>
      <c r="K198" s="1">
        <v>25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 t="s">
        <v>329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</row>
    <row r="199" spans="1:24" x14ac:dyDescent="0.25">
      <c r="A199" s="1">
        <v>30502</v>
      </c>
      <c r="B199" s="1">
        <v>305</v>
      </c>
      <c r="C199" s="1">
        <v>2</v>
      </c>
      <c r="D199" s="1">
        <v>1</v>
      </c>
      <c r="E199" s="1">
        <v>0</v>
      </c>
      <c r="F199" s="1">
        <v>3</v>
      </c>
      <c r="G199" s="1">
        <v>46</v>
      </c>
      <c r="H199" s="1">
        <v>12</v>
      </c>
      <c r="I199" s="1">
        <v>46</v>
      </c>
      <c r="J199" s="1">
        <v>18</v>
      </c>
      <c r="K199" s="1">
        <v>25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 t="s">
        <v>329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</row>
    <row r="200" spans="1:24" x14ac:dyDescent="0.25">
      <c r="A200" s="1">
        <v>30503</v>
      </c>
      <c r="B200" s="1">
        <v>305</v>
      </c>
      <c r="C200" s="1">
        <v>3</v>
      </c>
      <c r="D200" s="1">
        <v>1</v>
      </c>
      <c r="E200" s="1">
        <v>0</v>
      </c>
      <c r="F200" s="1">
        <v>4</v>
      </c>
      <c r="G200" s="1">
        <v>46</v>
      </c>
      <c r="H200" s="1">
        <v>12</v>
      </c>
      <c r="I200" s="1">
        <v>46</v>
      </c>
      <c r="J200" s="1">
        <v>18</v>
      </c>
      <c r="K200" s="1">
        <v>25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 t="s">
        <v>329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</row>
    <row r="201" spans="1:24" x14ac:dyDescent="0.25">
      <c r="A201" s="1">
        <v>30504</v>
      </c>
      <c r="B201" s="1">
        <v>305</v>
      </c>
      <c r="C201" s="1">
        <v>4</v>
      </c>
      <c r="D201" s="1">
        <v>1</v>
      </c>
      <c r="E201" s="1">
        <v>0</v>
      </c>
      <c r="F201" s="1">
        <v>5</v>
      </c>
      <c r="G201" s="1">
        <v>46</v>
      </c>
      <c r="H201" s="1">
        <v>12</v>
      </c>
      <c r="I201" s="1">
        <v>46</v>
      </c>
      <c r="J201" s="1">
        <v>18</v>
      </c>
      <c r="K201" s="1">
        <v>25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 t="s">
        <v>329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</row>
    <row r="202" spans="1:24" x14ac:dyDescent="0.25">
      <c r="A202" s="1">
        <v>30600</v>
      </c>
      <c r="B202" s="1">
        <v>306</v>
      </c>
      <c r="C202" s="1">
        <v>0</v>
      </c>
      <c r="D202" s="1">
        <v>0</v>
      </c>
      <c r="E202" s="1">
        <v>0</v>
      </c>
      <c r="F202" s="1">
        <v>1</v>
      </c>
      <c r="G202" s="1">
        <v>23</v>
      </c>
      <c r="H202" s="1">
        <v>17</v>
      </c>
      <c r="I202" s="1">
        <v>44</v>
      </c>
      <c r="J202" s="1">
        <v>34</v>
      </c>
      <c r="K202" s="1">
        <v>57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 t="s">
        <v>329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</row>
    <row r="203" spans="1:24" x14ac:dyDescent="0.25">
      <c r="A203" s="1">
        <v>30601</v>
      </c>
      <c r="B203" s="1">
        <v>306</v>
      </c>
      <c r="C203" s="1">
        <v>1</v>
      </c>
      <c r="D203" s="1">
        <v>1</v>
      </c>
      <c r="E203" s="1">
        <v>0</v>
      </c>
      <c r="F203" s="1">
        <v>2</v>
      </c>
      <c r="G203" s="1">
        <v>23</v>
      </c>
      <c r="H203" s="1">
        <v>17</v>
      </c>
      <c r="I203" s="1">
        <v>44</v>
      </c>
      <c r="J203" s="1">
        <v>34</v>
      </c>
      <c r="K203" s="1">
        <v>57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 t="s">
        <v>329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</row>
    <row r="204" spans="1:24" x14ac:dyDescent="0.25">
      <c r="A204" s="1">
        <v>30602</v>
      </c>
      <c r="B204" s="1">
        <v>306</v>
      </c>
      <c r="C204" s="1">
        <v>2</v>
      </c>
      <c r="D204" s="1">
        <v>1</v>
      </c>
      <c r="E204" s="1">
        <v>0</v>
      </c>
      <c r="F204" s="1">
        <v>3</v>
      </c>
      <c r="G204" s="1">
        <v>23</v>
      </c>
      <c r="H204" s="1">
        <v>17</v>
      </c>
      <c r="I204" s="1">
        <v>44</v>
      </c>
      <c r="J204" s="1">
        <v>34</v>
      </c>
      <c r="K204" s="1">
        <v>57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 t="s">
        <v>329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</row>
    <row r="205" spans="1:24" x14ac:dyDescent="0.25">
      <c r="A205" s="1">
        <v>30603</v>
      </c>
      <c r="B205" s="1">
        <v>306</v>
      </c>
      <c r="C205" s="1">
        <v>3</v>
      </c>
      <c r="D205" s="1">
        <v>1</v>
      </c>
      <c r="E205" s="1">
        <v>0</v>
      </c>
      <c r="F205" s="1">
        <v>4</v>
      </c>
      <c r="G205" s="1">
        <v>23</v>
      </c>
      <c r="H205" s="1">
        <v>17</v>
      </c>
      <c r="I205" s="1">
        <v>44</v>
      </c>
      <c r="J205" s="1">
        <v>34</v>
      </c>
      <c r="K205" s="1">
        <v>57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 t="s">
        <v>329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</row>
    <row r="206" spans="1:24" x14ac:dyDescent="0.25">
      <c r="A206" s="1">
        <v>30604</v>
      </c>
      <c r="B206" s="1">
        <v>306</v>
      </c>
      <c r="C206" s="1">
        <v>4</v>
      </c>
      <c r="D206" s="1">
        <v>1</v>
      </c>
      <c r="E206" s="1">
        <v>0</v>
      </c>
      <c r="F206" s="1">
        <v>5</v>
      </c>
      <c r="G206" s="1">
        <v>23</v>
      </c>
      <c r="H206" s="1">
        <v>17</v>
      </c>
      <c r="I206" s="1">
        <v>44</v>
      </c>
      <c r="J206" s="1">
        <v>34</v>
      </c>
      <c r="K206" s="1">
        <v>57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 t="s">
        <v>329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</row>
    <row r="207" spans="1:24" x14ac:dyDescent="0.25">
      <c r="A207" s="1">
        <v>30700</v>
      </c>
      <c r="B207" s="1">
        <v>307</v>
      </c>
      <c r="C207" s="1">
        <v>0</v>
      </c>
      <c r="D207" s="1">
        <v>0</v>
      </c>
      <c r="E207" s="1">
        <v>0</v>
      </c>
      <c r="F207" s="1">
        <v>1</v>
      </c>
      <c r="G207" s="1">
        <v>44</v>
      </c>
      <c r="H207" s="1">
        <v>11</v>
      </c>
      <c r="I207" s="1">
        <v>41</v>
      </c>
      <c r="J207" s="1">
        <v>31</v>
      </c>
      <c r="K207" s="1">
        <v>74</v>
      </c>
      <c r="L207" s="1">
        <v>0</v>
      </c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 t="s">
        <v>329</v>
      </c>
      <c r="S207" s="1">
        <v>0</v>
      </c>
      <c r="T207" s="1">
        <v>0</v>
      </c>
      <c r="U207" s="1">
        <v>0</v>
      </c>
      <c r="V207" s="1">
        <v>0</v>
      </c>
      <c r="W207" s="1">
        <v>0</v>
      </c>
      <c r="X207" s="1">
        <v>0</v>
      </c>
    </row>
    <row r="208" spans="1:24" x14ac:dyDescent="0.25">
      <c r="A208" s="1">
        <v>30701</v>
      </c>
      <c r="B208" s="1">
        <v>307</v>
      </c>
      <c r="C208" s="1">
        <v>1</v>
      </c>
      <c r="D208" s="1">
        <v>1</v>
      </c>
      <c r="E208" s="1">
        <v>0</v>
      </c>
      <c r="F208" s="1">
        <v>2</v>
      </c>
      <c r="G208" s="1">
        <v>44</v>
      </c>
      <c r="H208" s="1">
        <v>11</v>
      </c>
      <c r="I208" s="1">
        <v>41</v>
      </c>
      <c r="J208" s="1">
        <v>31</v>
      </c>
      <c r="K208" s="1">
        <v>74</v>
      </c>
      <c r="L208" s="1">
        <v>0</v>
      </c>
      <c r="M208" s="1">
        <v>0</v>
      </c>
      <c r="N208" s="1">
        <v>0</v>
      </c>
      <c r="O208" s="1">
        <v>0</v>
      </c>
      <c r="P208" s="1">
        <v>0</v>
      </c>
      <c r="Q208" s="1">
        <v>0</v>
      </c>
      <c r="R208" s="1" t="s">
        <v>329</v>
      </c>
      <c r="S208" s="1">
        <v>0</v>
      </c>
      <c r="T208" s="1">
        <v>0</v>
      </c>
      <c r="U208" s="1">
        <v>0</v>
      </c>
      <c r="V208" s="1">
        <v>0</v>
      </c>
      <c r="W208" s="1">
        <v>0</v>
      </c>
      <c r="X208" s="1">
        <v>0</v>
      </c>
    </row>
    <row r="209" spans="1:24" x14ac:dyDescent="0.25">
      <c r="A209" s="1">
        <v>30702</v>
      </c>
      <c r="B209" s="1">
        <v>307</v>
      </c>
      <c r="C209" s="1">
        <v>2</v>
      </c>
      <c r="D209" s="1">
        <v>1</v>
      </c>
      <c r="E209" s="1">
        <v>0</v>
      </c>
      <c r="F209" s="1">
        <v>3</v>
      </c>
      <c r="G209" s="1">
        <v>44</v>
      </c>
      <c r="H209" s="1">
        <v>11</v>
      </c>
      <c r="I209" s="1">
        <v>41</v>
      </c>
      <c r="J209" s="1">
        <v>31</v>
      </c>
      <c r="K209" s="1">
        <v>74</v>
      </c>
      <c r="L209" s="1">
        <v>0</v>
      </c>
      <c r="M209" s="1">
        <v>0</v>
      </c>
      <c r="N209" s="1">
        <v>0</v>
      </c>
      <c r="O209" s="1">
        <v>0</v>
      </c>
      <c r="P209" s="1">
        <v>0</v>
      </c>
      <c r="Q209" s="1">
        <v>0</v>
      </c>
      <c r="R209" s="1" t="s">
        <v>329</v>
      </c>
      <c r="S209" s="1">
        <v>0</v>
      </c>
      <c r="T209" s="1">
        <v>0</v>
      </c>
      <c r="U209" s="1">
        <v>0</v>
      </c>
      <c r="V209" s="1">
        <v>0</v>
      </c>
      <c r="W209" s="1">
        <v>0</v>
      </c>
      <c r="X209" s="1">
        <v>0</v>
      </c>
    </row>
    <row r="210" spans="1:24" x14ac:dyDescent="0.25">
      <c r="A210" s="1">
        <v>30703</v>
      </c>
      <c r="B210" s="1">
        <v>307</v>
      </c>
      <c r="C210" s="1">
        <v>3</v>
      </c>
      <c r="D210" s="1">
        <v>1</v>
      </c>
      <c r="E210" s="1">
        <v>0</v>
      </c>
      <c r="F210" s="1">
        <v>4</v>
      </c>
      <c r="G210" s="1">
        <v>44</v>
      </c>
      <c r="H210" s="1">
        <v>11</v>
      </c>
      <c r="I210" s="1">
        <v>41</v>
      </c>
      <c r="J210" s="1">
        <v>31</v>
      </c>
      <c r="K210" s="1">
        <v>74</v>
      </c>
      <c r="L210" s="1">
        <v>0</v>
      </c>
      <c r="M210" s="1">
        <v>0</v>
      </c>
      <c r="N210" s="1">
        <v>0</v>
      </c>
      <c r="O210" s="1">
        <v>0</v>
      </c>
      <c r="P210" s="1">
        <v>0</v>
      </c>
      <c r="Q210" s="1">
        <v>0</v>
      </c>
      <c r="R210" s="1" t="s">
        <v>329</v>
      </c>
      <c r="S210" s="1">
        <v>0</v>
      </c>
      <c r="T210" s="1">
        <v>0</v>
      </c>
      <c r="U210" s="1">
        <v>0</v>
      </c>
      <c r="V210" s="1">
        <v>0</v>
      </c>
      <c r="W210" s="1">
        <v>0</v>
      </c>
      <c r="X210" s="1">
        <v>0</v>
      </c>
    </row>
    <row r="211" spans="1:24" x14ac:dyDescent="0.25">
      <c r="A211" s="1">
        <v>30704</v>
      </c>
      <c r="B211" s="1">
        <v>307</v>
      </c>
      <c r="C211" s="1">
        <v>4</v>
      </c>
      <c r="D211" s="1">
        <v>1</v>
      </c>
      <c r="E211" s="1">
        <v>0</v>
      </c>
      <c r="F211" s="1">
        <v>5</v>
      </c>
      <c r="G211" s="1">
        <v>44</v>
      </c>
      <c r="H211" s="1">
        <v>11</v>
      </c>
      <c r="I211" s="1">
        <v>41</v>
      </c>
      <c r="J211" s="1">
        <v>31</v>
      </c>
      <c r="K211" s="1">
        <v>74</v>
      </c>
      <c r="L211" s="1">
        <v>0</v>
      </c>
      <c r="M211" s="1">
        <v>0</v>
      </c>
      <c r="N211" s="1">
        <v>0</v>
      </c>
      <c r="O211" s="1">
        <v>0</v>
      </c>
      <c r="P211" s="1">
        <v>0</v>
      </c>
      <c r="Q211" s="1">
        <v>0</v>
      </c>
      <c r="R211" s="1" t="s">
        <v>329</v>
      </c>
      <c r="S211" s="1">
        <v>0</v>
      </c>
      <c r="T211" s="1">
        <v>0</v>
      </c>
      <c r="U211" s="1">
        <v>0</v>
      </c>
      <c r="V211" s="1">
        <v>0</v>
      </c>
      <c r="W211" s="1">
        <v>0</v>
      </c>
      <c r="X211" s="1">
        <v>0</v>
      </c>
    </row>
    <row r="212" spans="1:24" x14ac:dyDescent="0.25">
      <c r="A212" s="1">
        <v>30800</v>
      </c>
      <c r="B212" s="1">
        <v>308</v>
      </c>
      <c r="C212" s="1">
        <v>0</v>
      </c>
      <c r="D212" s="1">
        <v>0</v>
      </c>
      <c r="E212" s="1">
        <v>0</v>
      </c>
      <c r="F212" s="1">
        <v>1</v>
      </c>
      <c r="G212" s="1">
        <v>53</v>
      </c>
      <c r="H212" s="1">
        <v>11</v>
      </c>
      <c r="I212" s="1">
        <v>48</v>
      </c>
      <c r="J212" s="1">
        <v>35</v>
      </c>
      <c r="K212" s="1">
        <v>52</v>
      </c>
      <c r="L212" s="1">
        <v>0</v>
      </c>
      <c r="M212" s="1">
        <v>0</v>
      </c>
      <c r="N212" s="1">
        <v>0</v>
      </c>
      <c r="O212" s="1">
        <v>0</v>
      </c>
      <c r="P212" s="1">
        <v>0</v>
      </c>
      <c r="Q212" s="1">
        <v>0</v>
      </c>
      <c r="R212" s="1" t="s">
        <v>329</v>
      </c>
      <c r="S212" s="1">
        <v>0</v>
      </c>
      <c r="T212" s="1">
        <v>0</v>
      </c>
      <c r="U212" s="1">
        <v>0</v>
      </c>
      <c r="V212" s="1">
        <v>0</v>
      </c>
      <c r="W212" s="1">
        <v>0</v>
      </c>
      <c r="X212" s="1">
        <v>0</v>
      </c>
    </row>
    <row r="213" spans="1:24" x14ac:dyDescent="0.25">
      <c r="A213" s="1">
        <v>30801</v>
      </c>
      <c r="B213" s="1">
        <v>308</v>
      </c>
      <c r="C213" s="1">
        <v>1</v>
      </c>
      <c r="D213" s="1">
        <v>1</v>
      </c>
      <c r="E213" s="1">
        <v>0</v>
      </c>
      <c r="F213" s="1">
        <v>2</v>
      </c>
      <c r="G213" s="1">
        <v>53</v>
      </c>
      <c r="H213" s="1">
        <v>11</v>
      </c>
      <c r="I213" s="1">
        <v>48</v>
      </c>
      <c r="J213" s="1">
        <v>35</v>
      </c>
      <c r="K213" s="1">
        <v>52</v>
      </c>
      <c r="L213" s="1">
        <v>0</v>
      </c>
      <c r="M213" s="1">
        <v>0</v>
      </c>
      <c r="N213" s="1">
        <v>0</v>
      </c>
      <c r="O213" s="1">
        <v>0</v>
      </c>
      <c r="P213" s="1">
        <v>0</v>
      </c>
      <c r="Q213" s="1">
        <v>0</v>
      </c>
      <c r="R213" s="1" t="s">
        <v>329</v>
      </c>
      <c r="S213" s="1">
        <v>0</v>
      </c>
      <c r="T213" s="1">
        <v>0</v>
      </c>
      <c r="U213" s="1">
        <v>0</v>
      </c>
      <c r="V213" s="1">
        <v>0</v>
      </c>
      <c r="W213" s="1">
        <v>0</v>
      </c>
      <c r="X213" s="1">
        <v>0</v>
      </c>
    </row>
    <row r="214" spans="1:24" x14ac:dyDescent="0.25">
      <c r="A214" s="1">
        <v>30802</v>
      </c>
      <c r="B214" s="1">
        <v>308</v>
      </c>
      <c r="C214" s="1">
        <v>2</v>
      </c>
      <c r="D214" s="1">
        <v>1</v>
      </c>
      <c r="E214" s="1">
        <v>0</v>
      </c>
      <c r="F214" s="1">
        <v>3</v>
      </c>
      <c r="G214" s="1">
        <v>53</v>
      </c>
      <c r="H214" s="1">
        <v>11</v>
      </c>
      <c r="I214" s="1">
        <v>48</v>
      </c>
      <c r="J214" s="1">
        <v>35</v>
      </c>
      <c r="K214" s="1">
        <v>52</v>
      </c>
      <c r="L214" s="1">
        <v>0</v>
      </c>
      <c r="M214" s="1">
        <v>0</v>
      </c>
      <c r="N214" s="1">
        <v>0</v>
      </c>
      <c r="O214" s="1">
        <v>0</v>
      </c>
      <c r="P214" s="1">
        <v>0</v>
      </c>
      <c r="Q214" s="1">
        <v>0</v>
      </c>
      <c r="R214" s="1" t="s">
        <v>329</v>
      </c>
      <c r="S214" s="1">
        <v>0</v>
      </c>
      <c r="T214" s="1">
        <v>0</v>
      </c>
      <c r="U214" s="1">
        <v>0</v>
      </c>
      <c r="V214" s="1">
        <v>0</v>
      </c>
      <c r="W214" s="1">
        <v>0</v>
      </c>
      <c r="X214" s="1">
        <v>0</v>
      </c>
    </row>
    <row r="215" spans="1:24" x14ac:dyDescent="0.25">
      <c r="A215" s="1">
        <v>30803</v>
      </c>
      <c r="B215" s="1">
        <v>308</v>
      </c>
      <c r="C215" s="1">
        <v>3</v>
      </c>
      <c r="D215" s="1">
        <v>1</v>
      </c>
      <c r="E215" s="1">
        <v>0</v>
      </c>
      <c r="F215" s="1">
        <v>4</v>
      </c>
      <c r="G215" s="1">
        <v>53</v>
      </c>
      <c r="H215" s="1">
        <v>11</v>
      </c>
      <c r="I215" s="1">
        <v>48</v>
      </c>
      <c r="J215" s="1">
        <v>35</v>
      </c>
      <c r="K215" s="1">
        <v>52</v>
      </c>
      <c r="L215" s="1">
        <v>0</v>
      </c>
      <c r="M215" s="1">
        <v>0</v>
      </c>
      <c r="N215" s="1">
        <v>0</v>
      </c>
      <c r="O215" s="1">
        <v>0</v>
      </c>
      <c r="P215" s="1">
        <v>0</v>
      </c>
      <c r="Q215" s="1">
        <v>0</v>
      </c>
      <c r="R215" s="1" t="s">
        <v>329</v>
      </c>
      <c r="S215" s="1">
        <v>0</v>
      </c>
      <c r="T215" s="1">
        <v>0</v>
      </c>
      <c r="U215" s="1">
        <v>0</v>
      </c>
      <c r="V215" s="1">
        <v>0</v>
      </c>
      <c r="W215" s="1">
        <v>0</v>
      </c>
      <c r="X215" s="1">
        <v>0</v>
      </c>
    </row>
    <row r="216" spans="1:24" x14ac:dyDescent="0.25">
      <c r="A216" s="1">
        <v>30804</v>
      </c>
      <c r="B216" s="1">
        <v>308</v>
      </c>
      <c r="C216" s="1">
        <v>4</v>
      </c>
      <c r="D216" s="1">
        <v>1</v>
      </c>
      <c r="E216" s="1">
        <v>0</v>
      </c>
      <c r="F216" s="1">
        <v>5</v>
      </c>
      <c r="G216" s="1">
        <v>53</v>
      </c>
      <c r="H216" s="1">
        <v>11</v>
      </c>
      <c r="I216" s="1">
        <v>48</v>
      </c>
      <c r="J216" s="1">
        <v>35</v>
      </c>
      <c r="K216" s="1">
        <v>52</v>
      </c>
      <c r="L216" s="1">
        <v>0</v>
      </c>
      <c r="M216" s="1">
        <v>0</v>
      </c>
      <c r="N216" s="1">
        <v>0</v>
      </c>
      <c r="O216" s="1">
        <v>0</v>
      </c>
      <c r="P216" s="1">
        <v>0</v>
      </c>
      <c r="Q216" s="1">
        <v>0</v>
      </c>
      <c r="R216" s="1" t="s">
        <v>329</v>
      </c>
      <c r="S216" s="1">
        <v>0</v>
      </c>
      <c r="T216" s="1">
        <v>0</v>
      </c>
      <c r="U216" s="1">
        <v>0</v>
      </c>
      <c r="V216" s="1">
        <v>0</v>
      </c>
      <c r="W216" s="1">
        <v>0</v>
      </c>
      <c r="X216" s="1">
        <v>0</v>
      </c>
    </row>
    <row r="217" spans="1:24" x14ac:dyDescent="0.25">
      <c r="A217" s="1">
        <v>30900</v>
      </c>
      <c r="B217" s="1">
        <v>309</v>
      </c>
      <c r="C217" s="1">
        <v>0</v>
      </c>
      <c r="D217" s="1">
        <v>0</v>
      </c>
      <c r="E217" s="1">
        <v>0</v>
      </c>
      <c r="F217" s="1">
        <v>1</v>
      </c>
      <c r="G217" s="1">
        <v>34</v>
      </c>
      <c r="H217" s="1">
        <v>14</v>
      </c>
      <c r="I217" s="1">
        <v>24</v>
      </c>
      <c r="J217" s="1">
        <v>41</v>
      </c>
      <c r="K217" s="1">
        <v>51</v>
      </c>
      <c r="L217" s="1">
        <v>0</v>
      </c>
      <c r="M217" s="1">
        <v>0</v>
      </c>
      <c r="N217" s="1">
        <v>0</v>
      </c>
      <c r="O217" s="1">
        <v>0</v>
      </c>
      <c r="P217" s="1">
        <v>0</v>
      </c>
      <c r="Q217" s="1">
        <v>0</v>
      </c>
      <c r="R217" s="1" t="s">
        <v>329</v>
      </c>
      <c r="S217" s="1">
        <v>0</v>
      </c>
      <c r="T217" s="1">
        <v>0</v>
      </c>
      <c r="U217" s="1">
        <v>0</v>
      </c>
      <c r="V217" s="1">
        <v>0</v>
      </c>
      <c r="W217" s="1">
        <v>0</v>
      </c>
      <c r="X217" s="1">
        <v>0</v>
      </c>
    </row>
    <row r="218" spans="1:24" x14ac:dyDescent="0.25">
      <c r="A218" s="1">
        <v>30901</v>
      </c>
      <c r="B218" s="1">
        <v>309</v>
      </c>
      <c r="C218" s="1">
        <v>1</v>
      </c>
      <c r="D218" s="1">
        <v>1</v>
      </c>
      <c r="E218" s="1">
        <v>0</v>
      </c>
      <c r="F218" s="1">
        <v>2</v>
      </c>
      <c r="G218" s="1">
        <v>34</v>
      </c>
      <c r="H218" s="1">
        <v>14</v>
      </c>
      <c r="I218" s="1">
        <v>24</v>
      </c>
      <c r="J218" s="1">
        <v>41</v>
      </c>
      <c r="K218" s="1">
        <v>51</v>
      </c>
      <c r="L218" s="1">
        <v>0</v>
      </c>
      <c r="M218" s="1">
        <v>0</v>
      </c>
      <c r="N218" s="1">
        <v>0</v>
      </c>
      <c r="O218" s="1">
        <v>0</v>
      </c>
      <c r="P218" s="1">
        <v>0</v>
      </c>
      <c r="Q218" s="1">
        <v>0</v>
      </c>
      <c r="R218" s="1" t="s">
        <v>329</v>
      </c>
      <c r="S218" s="1">
        <v>0</v>
      </c>
      <c r="T218" s="1">
        <v>0</v>
      </c>
      <c r="U218" s="1">
        <v>0</v>
      </c>
      <c r="V218" s="1">
        <v>0</v>
      </c>
      <c r="W218" s="1">
        <v>0</v>
      </c>
      <c r="X218" s="1">
        <v>0</v>
      </c>
    </row>
    <row r="219" spans="1:24" x14ac:dyDescent="0.25">
      <c r="A219" s="1">
        <v>30902</v>
      </c>
      <c r="B219" s="1">
        <v>309</v>
      </c>
      <c r="C219" s="1">
        <v>2</v>
      </c>
      <c r="D219" s="1">
        <v>1</v>
      </c>
      <c r="E219" s="1">
        <v>0</v>
      </c>
      <c r="F219" s="1">
        <v>3</v>
      </c>
      <c r="G219" s="1">
        <v>34</v>
      </c>
      <c r="H219" s="1">
        <v>14</v>
      </c>
      <c r="I219" s="1">
        <v>24</v>
      </c>
      <c r="J219" s="1">
        <v>41</v>
      </c>
      <c r="K219" s="1">
        <v>51</v>
      </c>
      <c r="L219" s="1">
        <v>0</v>
      </c>
      <c r="M219" s="1">
        <v>0</v>
      </c>
      <c r="N219" s="1">
        <v>0</v>
      </c>
      <c r="O219" s="1">
        <v>0</v>
      </c>
      <c r="P219" s="1">
        <v>0</v>
      </c>
      <c r="Q219" s="1">
        <v>0</v>
      </c>
      <c r="R219" s="1" t="s">
        <v>329</v>
      </c>
      <c r="S219" s="1">
        <v>0</v>
      </c>
      <c r="T219" s="1">
        <v>0</v>
      </c>
      <c r="U219" s="1">
        <v>0</v>
      </c>
      <c r="V219" s="1">
        <v>0</v>
      </c>
      <c r="W219" s="1">
        <v>0</v>
      </c>
      <c r="X219" s="1">
        <v>0</v>
      </c>
    </row>
    <row r="220" spans="1:24" x14ac:dyDescent="0.25">
      <c r="A220" s="1">
        <v>30903</v>
      </c>
      <c r="B220" s="1">
        <v>309</v>
      </c>
      <c r="C220" s="1">
        <v>3</v>
      </c>
      <c r="D220" s="1">
        <v>1</v>
      </c>
      <c r="E220" s="1">
        <v>0</v>
      </c>
      <c r="F220" s="1">
        <v>4</v>
      </c>
      <c r="G220" s="1">
        <v>34</v>
      </c>
      <c r="H220" s="1">
        <v>14</v>
      </c>
      <c r="I220" s="1">
        <v>24</v>
      </c>
      <c r="J220" s="1">
        <v>41</v>
      </c>
      <c r="K220" s="1">
        <v>51</v>
      </c>
      <c r="L220" s="1">
        <v>0</v>
      </c>
      <c r="M220" s="1">
        <v>0</v>
      </c>
      <c r="N220" s="1">
        <v>0</v>
      </c>
      <c r="O220" s="1">
        <v>0</v>
      </c>
      <c r="P220" s="1">
        <v>0</v>
      </c>
      <c r="Q220" s="1">
        <v>0</v>
      </c>
      <c r="R220" s="1" t="s">
        <v>329</v>
      </c>
      <c r="S220" s="1">
        <v>0</v>
      </c>
      <c r="T220" s="1">
        <v>0</v>
      </c>
      <c r="U220" s="1">
        <v>0</v>
      </c>
      <c r="V220" s="1">
        <v>0</v>
      </c>
      <c r="W220" s="1">
        <v>0</v>
      </c>
      <c r="X220" s="1">
        <v>0</v>
      </c>
    </row>
    <row r="221" spans="1:24" x14ac:dyDescent="0.25">
      <c r="A221" s="1">
        <v>30904</v>
      </c>
      <c r="B221" s="1">
        <v>309</v>
      </c>
      <c r="C221" s="1">
        <v>4</v>
      </c>
      <c r="D221" s="1">
        <v>1</v>
      </c>
      <c r="E221" s="1">
        <v>0</v>
      </c>
      <c r="F221" s="1">
        <v>5</v>
      </c>
      <c r="G221" s="1">
        <v>34</v>
      </c>
      <c r="H221" s="1">
        <v>14</v>
      </c>
      <c r="I221" s="1">
        <v>24</v>
      </c>
      <c r="J221" s="1">
        <v>41</v>
      </c>
      <c r="K221" s="1">
        <v>51</v>
      </c>
      <c r="L221" s="1">
        <v>0</v>
      </c>
      <c r="M221" s="1">
        <v>0</v>
      </c>
      <c r="N221" s="1">
        <v>0</v>
      </c>
      <c r="O221" s="1">
        <v>0</v>
      </c>
      <c r="P221" s="1">
        <v>0</v>
      </c>
      <c r="Q221" s="1">
        <v>0</v>
      </c>
      <c r="R221" s="1" t="s">
        <v>329</v>
      </c>
      <c r="S221" s="1">
        <v>0</v>
      </c>
      <c r="T221" s="1">
        <v>0</v>
      </c>
      <c r="U221" s="1">
        <v>0</v>
      </c>
      <c r="V221" s="1">
        <v>0</v>
      </c>
      <c r="W221" s="1">
        <v>0</v>
      </c>
      <c r="X221" s="1">
        <v>0</v>
      </c>
    </row>
    <row r="222" spans="1:24" x14ac:dyDescent="0.25">
      <c r="A222" s="1">
        <v>31000</v>
      </c>
      <c r="B222" s="1">
        <v>310</v>
      </c>
      <c r="C222" s="1">
        <v>0</v>
      </c>
      <c r="D222" s="1">
        <v>0</v>
      </c>
      <c r="E222" s="1">
        <v>0</v>
      </c>
      <c r="F222" s="1">
        <v>1</v>
      </c>
      <c r="G222" s="1">
        <v>483</v>
      </c>
      <c r="H222" s="1">
        <v>197</v>
      </c>
      <c r="I222" s="1">
        <v>22</v>
      </c>
      <c r="J222" s="1">
        <v>35</v>
      </c>
      <c r="K222" s="1">
        <v>0</v>
      </c>
      <c r="L222" s="1">
        <v>5</v>
      </c>
      <c r="M222" s="1">
        <v>0</v>
      </c>
      <c r="N222" s="1">
        <v>0</v>
      </c>
      <c r="O222" s="1">
        <v>0</v>
      </c>
      <c r="P222" s="1">
        <v>0</v>
      </c>
      <c r="Q222" s="1">
        <v>0</v>
      </c>
      <c r="R222" s="1" t="s">
        <v>329</v>
      </c>
      <c r="S222" s="1">
        <v>0</v>
      </c>
      <c r="T222" s="1">
        <v>0</v>
      </c>
      <c r="U222" s="1">
        <v>0</v>
      </c>
      <c r="V222" s="1">
        <v>0</v>
      </c>
      <c r="W222" s="1">
        <v>0</v>
      </c>
      <c r="X222" s="1">
        <v>0</v>
      </c>
    </row>
    <row r="223" spans="1:24" x14ac:dyDescent="0.25">
      <c r="A223" s="1">
        <v>31001</v>
      </c>
      <c r="B223" s="1">
        <v>310</v>
      </c>
      <c r="C223" s="1">
        <v>1</v>
      </c>
      <c r="D223" s="1">
        <v>1</v>
      </c>
      <c r="E223" s="1">
        <v>0</v>
      </c>
      <c r="F223" s="1">
        <v>1</v>
      </c>
      <c r="G223" s="1">
        <v>533</v>
      </c>
      <c r="H223" s="1">
        <v>197</v>
      </c>
      <c r="I223" s="1">
        <v>32</v>
      </c>
      <c r="J223" s="1">
        <v>35</v>
      </c>
      <c r="K223" s="1">
        <v>0</v>
      </c>
      <c r="L223" s="1">
        <v>8</v>
      </c>
      <c r="M223" s="1">
        <v>0</v>
      </c>
      <c r="N223" s="1">
        <v>0</v>
      </c>
      <c r="O223" s="1">
        <v>0</v>
      </c>
      <c r="P223" s="1">
        <v>0</v>
      </c>
      <c r="Q223" s="1">
        <v>0</v>
      </c>
      <c r="R223" s="1" t="s">
        <v>329</v>
      </c>
      <c r="S223" s="1">
        <v>0</v>
      </c>
      <c r="T223" s="1">
        <v>0</v>
      </c>
      <c r="U223" s="1">
        <v>0</v>
      </c>
      <c r="V223" s="1">
        <v>0</v>
      </c>
      <c r="W223" s="1">
        <v>0</v>
      </c>
      <c r="X223" s="1">
        <v>0</v>
      </c>
    </row>
    <row r="224" spans="1:24" x14ac:dyDescent="0.25">
      <c r="A224" s="1">
        <v>31002</v>
      </c>
      <c r="B224" s="1">
        <v>310</v>
      </c>
      <c r="C224" s="1">
        <v>2</v>
      </c>
      <c r="D224" s="1">
        <v>1</v>
      </c>
      <c r="E224" s="1">
        <v>0</v>
      </c>
      <c r="F224" s="1">
        <v>1</v>
      </c>
      <c r="G224" s="1">
        <v>583</v>
      </c>
      <c r="H224" s="1">
        <v>367</v>
      </c>
      <c r="I224" s="1">
        <v>32</v>
      </c>
      <c r="J224" s="1">
        <v>77</v>
      </c>
      <c r="K224" s="1">
        <v>0</v>
      </c>
      <c r="L224" s="1">
        <v>8</v>
      </c>
      <c r="M224" s="1">
        <v>0</v>
      </c>
      <c r="N224" s="1">
        <v>0</v>
      </c>
      <c r="O224" s="1">
        <v>0</v>
      </c>
      <c r="P224" s="1">
        <v>0</v>
      </c>
      <c r="Q224" s="1">
        <v>0</v>
      </c>
      <c r="R224" s="1" t="s">
        <v>329</v>
      </c>
      <c r="S224" s="1">
        <v>0</v>
      </c>
      <c r="T224" s="1">
        <v>0</v>
      </c>
      <c r="U224" s="1">
        <v>0</v>
      </c>
      <c r="V224" s="1">
        <v>0</v>
      </c>
      <c r="W224" s="1">
        <v>0</v>
      </c>
      <c r="X224" s="1">
        <v>0</v>
      </c>
    </row>
    <row r="225" spans="1:24" x14ac:dyDescent="0.25">
      <c r="A225" s="1">
        <v>31003</v>
      </c>
      <c r="B225" s="1">
        <v>310</v>
      </c>
      <c r="C225" s="1">
        <v>3</v>
      </c>
      <c r="D225" s="1">
        <v>1</v>
      </c>
      <c r="E225" s="1">
        <v>0</v>
      </c>
      <c r="F225" s="1">
        <v>1</v>
      </c>
      <c r="G225" s="1">
        <v>633</v>
      </c>
      <c r="H225" s="1">
        <v>367</v>
      </c>
      <c r="I225" s="1">
        <v>32</v>
      </c>
      <c r="J225" s="1">
        <v>155</v>
      </c>
      <c r="K225" s="1">
        <v>0</v>
      </c>
      <c r="L225" s="1">
        <v>13</v>
      </c>
      <c r="M225" s="1">
        <v>0</v>
      </c>
      <c r="N225" s="1">
        <v>0</v>
      </c>
      <c r="O225" s="1">
        <v>0</v>
      </c>
      <c r="P225" s="1">
        <v>0</v>
      </c>
      <c r="Q225" s="1">
        <v>0</v>
      </c>
      <c r="R225" s="1" t="s">
        <v>329</v>
      </c>
      <c r="S225" s="1">
        <v>0</v>
      </c>
      <c r="T225" s="1">
        <v>0</v>
      </c>
      <c r="U225" s="1">
        <v>0</v>
      </c>
      <c r="V225" s="1">
        <v>0</v>
      </c>
      <c r="W225" s="1">
        <v>0</v>
      </c>
      <c r="X225" s="1">
        <v>0</v>
      </c>
    </row>
    <row r="226" spans="1:24" x14ac:dyDescent="0.25">
      <c r="A226" s="1">
        <v>31004</v>
      </c>
      <c r="B226" s="1">
        <v>310</v>
      </c>
      <c r="C226" s="1">
        <v>4</v>
      </c>
      <c r="D226" s="1">
        <v>1</v>
      </c>
      <c r="E226" s="1">
        <v>0</v>
      </c>
      <c r="F226" s="1">
        <v>1</v>
      </c>
      <c r="G226" s="1">
        <v>683</v>
      </c>
      <c r="H226" s="1">
        <v>592</v>
      </c>
      <c r="I226" s="1">
        <v>47</v>
      </c>
      <c r="J226" s="1">
        <v>155</v>
      </c>
      <c r="K226" s="1">
        <v>0</v>
      </c>
      <c r="L226" s="1">
        <v>13</v>
      </c>
      <c r="M226" s="1">
        <v>0</v>
      </c>
      <c r="N226" s="1">
        <v>0</v>
      </c>
      <c r="O226" s="1">
        <v>0</v>
      </c>
      <c r="P226" s="1">
        <v>0</v>
      </c>
      <c r="Q226" s="1">
        <v>0</v>
      </c>
      <c r="R226" s="1" t="s">
        <v>329</v>
      </c>
      <c r="S226" s="1">
        <v>0</v>
      </c>
      <c r="T226" s="1">
        <v>0</v>
      </c>
      <c r="U226" s="1">
        <v>0</v>
      </c>
      <c r="V226" s="1">
        <v>0</v>
      </c>
      <c r="W226" s="1">
        <v>0</v>
      </c>
      <c r="X226" s="1">
        <v>0</v>
      </c>
    </row>
    <row r="227" spans="1:24" x14ac:dyDescent="0.25">
      <c r="A227" s="1">
        <v>80100</v>
      </c>
      <c r="B227" s="1">
        <v>801</v>
      </c>
      <c r="C227" s="1">
        <v>0</v>
      </c>
      <c r="D227" s="1">
        <v>0</v>
      </c>
      <c r="E227" s="1">
        <v>0</v>
      </c>
      <c r="F227" s="1">
        <v>1</v>
      </c>
      <c r="G227" s="1">
        <v>331</v>
      </c>
      <c r="H227" s="1">
        <v>42</v>
      </c>
      <c r="I227" s="1">
        <v>36</v>
      </c>
      <c r="J227" s="1">
        <v>19</v>
      </c>
      <c r="K227" s="1">
        <v>58</v>
      </c>
      <c r="L227" s="1">
        <v>0</v>
      </c>
      <c r="M227" s="1">
        <v>0</v>
      </c>
      <c r="N227" s="1">
        <v>0</v>
      </c>
      <c r="O227" s="1">
        <v>0</v>
      </c>
      <c r="P227" s="1">
        <v>0</v>
      </c>
      <c r="Q227" s="1">
        <v>0</v>
      </c>
      <c r="R227" s="1" t="s">
        <v>4751</v>
      </c>
      <c r="S227" s="1">
        <v>0</v>
      </c>
      <c r="T227" s="1">
        <v>0</v>
      </c>
      <c r="U227" s="1">
        <v>0</v>
      </c>
      <c r="V227" s="1">
        <v>0</v>
      </c>
      <c r="W227" s="1">
        <v>0</v>
      </c>
      <c r="X227" s="1">
        <v>0</v>
      </c>
    </row>
    <row r="228" spans="1:24" x14ac:dyDescent="0.25">
      <c r="A228" s="1">
        <v>80101</v>
      </c>
      <c r="B228" s="1">
        <v>801</v>
      </c>
      <c r="C228" s="1">
        <v>1</v>
      </c>
      <c r="D228" s="1">
        <v>1</v>
      </c>
      <c r="E228" s="1">
        <v>0</v>
      </c>
      <c r="F228" s="1">
        <v>1</v>
      </c>
      <c r="G228" s="1">
        <v>331</v>
      </c>
      <c r="H228" s="1">
        <v>42</v>
      </c>
      <c r="I228" s="1">
        <v>36</v>
      </c>
      <c r="J228" s="1">
        <v>19</v>
      </c>
      <c r="K228" s="1">
        <v>58</v>
      </c>
      <c r="L228" s="1">
        <v>0</v>
      </c>
      <c r="M228" s="1">
        <v>0</v>
      </c>
      <c r="N228" s="1">
        <v>0</v>
      </c>
      <c r="O228" s="1">
        <v>0</v>
      </c>
      <c r="P228" s="1">
        <v>0</v>
      </c>
      <c r="Q228" s="1">
        <v>200</v>
      </c>
      <c r="R228" s="1" t="s">
        <v>4652</v>
      </c>
      <c r="S228" s="1">
        <v>0</v>
      </c>
      <c r="T228" s="1">
        <v>0</v>
      </c>
      <c r="U228" s="1">
        <v>0</v>
      </c>
      <c r="V228" s="1">
        <v>0</v>
      </c>
      <c r="W228" s="1">
        <v>0</v>
      </c>
      <c r="X228" s="1">
        <v>0</v>
      </c>
    </row>
    <row r="229" spans="1:24" x14ac:dyDescent="0.25">
      <c r="A229" s="1">
        <v>80102</v>
      </c>
      <c r="B229" s="1">
        <v>801</v>
      </c>
      <c r="C229" s="1">
        <v>2</v>
      </c>
      <c r="D229" s="1">
        <v>1</v>
      </c>
      <c r="E229" s="1">
        <v>0</v>
      </c>
      <c r="F229" s="1">
        <v>1</v>
      </c>
      <c r="G229" s="1">
        <v>331</v>
      </c>
      <c r="H229" s="1">
        <v>72</v>
      </c>
      <c r="I229" s="1">
        <v>36</v>
      </c>
      <c r="J229" s="1">
        <v>29</v>
      </c>
      <c r="K229" s="1">
        <v>58</v>
      </c>
      <c r="L229" s="1">
        <v>0</v>
      </c>
      <c r="M229" s="1">
        <v>0</v>
      </c>
      <c r="N229" s="1">
        <v>0</v>
      </c>
      <c r="O229" s="1">
        <v>0</v>
      </c>
      <c r="P229" s="1">
        <v>0</v>
      </c>
      <c r="Q229" s="1">
        <v>200</v>
      </c>
      <c r="R229" s="1" t="s">
        <v>4652</v>
      </c>
      <c r="S229" s="1">
        <v>3</v>
      </c>
      <c r="T229" s="1">
        <v>0</v>
      </c>
      <c r="U229" s="1">
        <v>0</v>
      </c>
      <c r="V229" s="1">
        <v>0</v>
      </c>
      <c r="W229" s="1">
        <v>0</v>
      </c>
      <c r="X229" s="1">
        <v>0</v>
      </c>
    </row>
    <row r="230" spans="1:24" x14ac:dyDescent="0.25">
      <c r="A230" s="1">
        <v>80103</v>
      </c>
      <c r="B230" s="1">
        <v>801</v>
      </c>
      <c r="C230" s="1">
        <v>3</v>
      </c>
      <c r="D230" s="1">
        <v>1</v>
      </c>
      <c r="E230" s="1">
        <v>0</v>
      </c>
      <c r="F230" s="1">
        <v>1</v>
      </c>
      <c r="G230" s="1">
        <v>331</v>
      </c>
      <c r="H230" s="1">
        <v>72</v>
      </c>
      <c r="I230" s="1">
        <v>42</v>
      </c>
      <c r="J230" s="1">
        <v>29</v>
      </c>
      <c r="K230" s="1">
        <v>73</v>
      </c>
      <c r="L230" s="1">
        <v>0</v>
      </c>
      <c r="M230" s="1">
        <v>0</v>
      </c>
      <c r="N230" s="1">
        <v>0</v>
      </c>
      <c r="O230" s="1">
        <v>0</v>
      </c>
      <c r="P230" s="1">
        <v>0</v>
      </c>
      <c r="Q230" s="1">
        <v>200</v>
      </c>
      <c r="R230" s="1" t="s">
        <v>4652</v>
      </c>
      <c r="S230" s="1">
        <v>3</v>
      </c>
      <c r="T230" s="1">
        <v>0</v>
      </c>
      <c r="U230" s="1">
        <v>0</v>
      </c>
      <c r="V230" s="1">
        <v>0</v>
      </c>
      <c r="W230" s="1">
        <v>0</v>
      </c>
      <c r="X230" s="1">
        <v>0</v>
      </c>
    </row>
    <row r="231" spans="1:24" x14ac:dyDescent="0.25">
      <c r="A231" s="1">
        <v>80104</v>
      </c>
      <c r="B231" s="1">
        <v>801</v>
      </c>
      <c r="C231" s="1">
        <v>4</v>
      </c>
      <c r="D231" s="1">
        <v>1</v>
      </c>
      <c r="E231" s="1">
        <v>2</v>
      </c>
      <c r="F231" s="1">
        <v>1</v>
      </c>
      <c r="G231" s="1">
        <v>331</v>
      </c>
      <c r="H231" s="1">
        <v>72</v>
      </c>
      <c r="I231" s="1">
        <v>42</v>
      </c>
      <c r="J231" s="1">
        <v>29</v>
      </c>
      <c r="K231" s="1">
        <v>73</v>
      </c>
      <c r="L231" s="1">
        <v>0</v>
      </c>
      <c r="M231" s="1">
        <v>0</v>
      </c>
      <c r="N231" s="1">
        <v>0</v>
      </c>
      <c r="O231" s="1">
        <v>0</v>
      </c>
      <c r="P231" s="1">
        <v>0</v>
      </c>
      <c r="Q231" s="1">
        <v>200</v>
      </c>
      <c r="R231" s="1" t="s">
        <v>4652</v>
      </c>
      <c r="S231" s="1">
        <v>3</v>
      </c>
      <c r="T231" s="1">
        <v>0</v>
      </c>
      <c r="U231" s="1">
        <v>0</v>
      </c>
      <c r="V231" s="1">
        <v>30007</v>
      </c>
      <c r="W231" s="1">
        <v>0</v>
      </c>
      <c r="X231" s="1">
        <v>0</v>
      </c>
    </row>
    <row r="232" spans="1:24" x14ac:dyDescent="0.25">
      <c r="A232" s="1">
        <v>80200</v>
      </c>
      <c r="B232" s="1">
        <v>802</v>
      </c>
      <c r="C232" s="1">
        <v>0</v>
      </c>
      <c r="D232" s="1">
        <v>0</v>
      </c>
      <c r="E232" s="1">
        <v>0</v>
      </c>
      <c r="F232" s="1">
        <v>1</v>
      </c>
      <c r="G232" s="1">
        <v>319</v>
      </c>
      <c r="H232" s="1">
        <v>42</v>
      </c>
      <c r="I232" s="1">
        <v>32</v>
      </c>
      <c r="J232" s="1">
        <v>31</v>
      </c>
      <c r="K232" s="1">
        <v>42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 t="s">
        <v>4753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</row>
    <row r="233" spans="1:24" x14ac:dyDescent="0.25">
      <c r="A233" s="1">
        <v>80201</v>
      </c>
      <c r="B233" s="1">
        <v>802</v>
      </c>
      <c r="C233" s="1">
        <v>1</v>
      </c>
      <c r="D233" s="1">
        <v>1</v>
      </c>
      <c r="E233" s="1">
        <v>0</v>
      </c>
      <c r="F233" s="1">
        <v>1</v>
      </c>
      <c r="G233" s="1">
        <v>319</v>
      </c>
      <c r="H233" s="1">
        <v>42</v>
      </c>
      <c r="I233" s="1">
        <v>32</v>
      </c>
      <c r="J233" s="1">
        <v>31</v>
      </c>
      <c r="K233" s="1">
        <v>42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200</v>
      </c>
      <c r="R233" s="1" t="s">
        <v>4572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</row>
    <row r="234" spans="1:24" x14ac:dyDescent="0.25">
      <c r="A234" s="1">
        <v>80202</v>
      </c>
      <c r="B234" s="1">
        <v>802</v>
      </c>
      <c r="C234" s="1">
        <v>2</v>
      </c>
      <c r="D234" s="1">
        <v>1</v>
      </c>
      <c r="E234" s="1">
        <v>0</v>
      </c>
      <c r="F234" s="1">
        <v>1</v>
      </c>
      <c r="G234" s="1">
        <v>319</v>
      </c>
      <c r="H234" s="1">
        <v>82</v>
      </c>
      <c r="I234" s="1">
        <v>32</v>
      </c>
      <c r="J234" s="1">
        <v>31</v>
      </c>
      <c r="K234" s="1">
        <v>42</v>
      </c>
      <c r="L234" s="1">
        <v>0</v>
      </c>
      <c r="M234" s="1">
        <v>0</v>
      </c>
      <c r="N234" s="1">
        <v>0</v>
      </c>
      <c r="O234" s="1">
        <v>0</v>
      </c>
      <c r="P234" s="1">
        <v>0</v>
      </c>
      <c r="Q234" s="1">
        <v>200</v>
      </c>
      <c r="R234" s="1" t="s">
        <v>4572</v>
      </c>
      <c r="S234" s="1">
        <v>0</v>
      </c>
      <c r="T234" s="1">
        <v>2</v>
      </c>
      <c r="U234" s="1">
        <v>0</v>
      </c>
      <c r="V234" s="1">
        <v>0</v>
      </c>
      <c r="W234" s="1">
        <v>0</v>
      </c>
      <c r="X234" s="1">
        <v>0</v>
      </c>
    </row>
    <row r="235" spans="1:24" x14ac:dyDescent="0.25">
      <c r="A235" s="1">
        <v>80203</v>
      </c>
      <c r="B235" s="1">
        <v>802</v>
      </c>
      <c r="C235" s="1">
        <v>3</v>
      </c>
      <c r="D235" s="1">
        <v>1</v>
      </c>
      <c r="E235" s="1">
        <v>0</v>
      </c>
      <c r="F235" s="1">
        <v>1</v>
      </c>
      <c r="G235" s="1">
        <v>439</v>
      </c>
      <c r="H235" s="1">
        <v>82</v>
      </c>
      <c r="I235" s="1">
        <v>32</v>
      </c>
      <c r="J235" s="1">
        <v>31</v>
      </c>
      <c r="K235" s="1">
        <v>57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200</v>
      </c>
      <c r="R235" s="1" t="s">
        <v>4572</v>
      </c>
      <c r="S235" s="1">
        <v>0</v>
      </c>
      <c r="T235" s="1">
        <v>2</v>
      </c>
      <c r="U235" s="1">
        <v>0</v>
      </c>
      <c r="V235" s="1">
        <v>0</v>
      </c>
      <c r="W235" s="1">
        <v>0</v>
      </c>
      <c r="X235" s="1">
        <v>0</v>
      </c>
    </row>
    <row r="236" spans="1:24" x14ac:dyDescent="0.25">
      <c r="A236" s="1">
        <v>80204</v>
      </c>
      <c r="B236" s="1">
        <v>802</v>
      </c>
      <c r="C236" s="1">
        <v>4</v>
      </c>
      <c r="D236" s="1">
        <v>1</v>
      </c>
      <c r="E236" s="1">
        <v>3</v>
      </c>
      <c r="F236" s="1">
        <v>1</v>
      </c>
      <c r="G236" s="1">
        <v>439</v>
      </c>
      <c r="H236" s="1">
        <v>82</v>
      </c>
      <c r="I236" s="1">
        <v>32</v>
      </c>
      <c r="J236" s="1">
        <v>31</v>
      </c>
      <c r="K236" s="1">
        <v>57</v>
      </c>
      <c r="L236" s="1">
        <v>0</v>
      </c>
      <c r="M236" s="1">
        <v>0</v>
      </c>
      <c r="N236" s="1">
        <v>0</v>
      </c>
      <c r="O236" s="1">
        <v>0</v>
      </c>
      <c r="P236" s="1">
        <v>0</v>
      </c>
      <c r="Q236" s="1">
        <v>200</v>
      </c>
      <c r="R236" s="1" t="s">
        <v>4572</v>
      </c>
      <c r="S236" s="1">
        <v>0</v>
      </c>
      <c r="T236" s="1">
        <v>2</v>
      </c>
      <c r="U236" s="1">
        <v>0</v>
      </c>
      <c r="V236" s="1">
        <v>0</v>
      </c>
      <c r="W236" s="1">
        <v>600308</v>
      </c>
      <c r="X236" s="1">
        <v>0</v>
      </c>
    </row>
    <row r="237" spans="1:24" x14ac:dyDescent="0.25">
      <c r="A237" s="1">
        <v>80300</v>
      </c>
      <c r="B237" s="1">
        <v>803</v>
      </c>
      <c r="C237" s="1">
        <v>0</v>
      </c>
      <c r="D237" s="1">
        <v>0</v>
      </c>
      <c r="E237" s="1">
        <v>0</v>
      </c>
      <c r="F237" s="1">
        <v>1</v>
      </c>
      <c r="G237" s="1">
        <v>348</v>
      </c>
      <c r="H237" s="1">
        <v>57</v>
      </c>
      <c r="I237" s="1">
        <v>39</v>
      </c>
      <c r="J237" s="1">
        <v>17</v>
      </c>
      <c r="K237" s="1">
        <v>32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 t="s">
        <v>4754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</row>
    <row r="238" spans="1:24" x14ac:dyDescent="0.25">
      <c r="A238" s="1">
        <v>80301</v>
      </c>
      <c r="B238" s="1">
        <v>803</v>
      </c>
      <c r="C238" s="1">
        <v>1</v>
      </c>
      <c r="D238" s="1">
        <v>1</v>
      </c>
      <c r="E238" s="1">
        <v>0</v>
      </c>
      <c r="F238" s="1">
        <v>1</v>
      </c>
      <c r="G238" s="1">
        <v>348</v>
      </c>
      <c r="H238" s="1">
        <v>57</v>
      </c>
      <c r="I238" s="1">
        <v>39</v>
      </c>
      <c r="J238" s="1">
        <v>17</v>
      </c>
      <c r="K238" s="1">
        <v>32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200</v>
      </c>
      <c r="R238" s="1" t="s">
        <v>4621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</row>
    <row r="239" spans="1:24" x14ac:dyDescent="0.25">
      <c r="A239" s="1">
        <v>80302</v>
      </c>
      <c r="B239" s="1">
        <v>803</v>
      </c>
      <c r="C239" s="1">
        <v>2</v>
      </c>
      <c r="D239" s="1">
        <v>1</v>
      </c>
      <c r="E239" s="1">
        <v>0</v>
      </c>
      <c r="F239" s="1">
        <v>1</v>
      </c>
      <c r="G239" s="1">
        <v>348</v>
      </c>
      <c r="H239" s="1">
        <v>77</v>
      </c>
      <c r="I239" s="1">
        <v>39</v>
      </c>
      <c r="J239" s="1">
        <v>17</v>
      </c>
      <c r="K239" s="1">
        <v>47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200</v>
      </c>
      <c r="R239" s="1" t="s">
        <v>4621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</row>
    <row r="240" spans="1:24" x14ac:dyDescent="0.25">
      <c r="A240" s="1">
        <v>80303</v>
      </c>
      <c r="B240" s="1">
        <v>803</v>
      </c>
      <c r="C240" s="1">
        <v>3</v>
      </c>
      <c r="D240" s="1">
        <v>1</v>
      </c>
      <c r="E240" s="1">
        <v>0</v>
      </c>
      <c r="F240" s="1">
        <v>1</v>
      </c>
      <c r="G240" s="1">
        <v>348</v>
      </c>
      <c r="H240" s="1">
        <v>77</v>
      </c>
      <c r="I240" s="1">
        <v>39</v>
      </c>
      <c r="J240" s="1">
        <v>33</v>
      </c>
      <c r="K240" s="1">
        <v>63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200</v>
      </c>
      <c r="R240" s="1" t="s">
        <v>4621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</row>
    <row r="241" spans="1:24" x14ac:dyDescent="0.25">
      <c r="A241" s="1">
        <v>80304</v>
      </c>
      <c r="B241" s="1">
        <v>803</v>
      </c>
      <c r="C241" s="1">
        <v>4</v>
      </c>
      <c r="D241" s="1">
        <v>1</v>
      </c>
      <c r="E241" s="1">
        <v>4</v>
      </c>
      <c r="F241" s="1">
        <v>1</v>
      </c>
      <c r="G241" s="1">
        <v>348</v>
      </c>
      <c r="H241" s="1">
        <v>77</v>
      </c>
      <c r="I241" s="1">
        <v>39</v>
      </c>
      <c r="J241" s="1">
        <v>33</v>
      </c>
      <c r="K241" s="1">
        <v>63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200</v>
      </c>
      <c r="R241" s="1" t="s">
        <v>4621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900598</v>
      </c>
    </row>
    <row r="242" spans="1:24" x14ac:dyDescent="0.25">
      <c r="A242" s="1">
        <v>80400</v>
      </c>
      <c r="B242" s="1">
        <v>804</v>
      </c>
      <c r="C242" s="1">
        <v>0</v>
      </c>
      <c r="D242" s="1">
        <v>0</v>
      </c>
      <c r="E242" s="1">
        <v>0</v>
      </c>
      <c r="F242" s="1">
        <v>1</v>
      </c>
      <c r="G242" s="1">
        <v>44</v>
      </c>
      <c r="H242" s="1">
        <v>8</v>
      </c>
      <c r="I242" s="1">
        <v>32</v>
      </c>
      <c r="J242" s="1">
        <v>31</v>
      </c>
      <c r="K242" s="1">
        <v>46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 t="s">
        <v>329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</row>
    <row r="243" spans="1:24" x14ac:dyDescent="0.25">
      <c r="A243" s="1">
        <v>80401</v>
      </c>
      <c r="B243" s="1">
        <v>804</v>
      </c>
      <c r="C243" s="1">
        <v>1</v>
      </c>
      <c r="D243" s="1">
        <v>1</v>
      </c>
      <c r="E243" s="1">
        <v>0</v>
      </c>
      <c r="F243" s="1">
        <v>2</v>
      </c>
      <c r="G243" s="1">
        <v>44</v>
      </c>
      <c r="H243" s="1">
        <v>8</v>
      </c>
      <c r="I243" s="1">
        <v>32</v>
      </c>
      <c r="J243" s="1">
        <v>31</v>
      </c>
      <c r="K243" s="1">
        <v>46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 t="s">
        <v>329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</row>
    <row r="244" spans="1:24" x14ac:dyDescent="0.25">
      <c r="A244" s="1">
        <v>80402</v>
      </c>
      <c r="B244" s="1">
        <v>804</v>
      </c>
      <c r="C244" s="1">
        <v>2</v>
      </c>
      <c r="D244" s="1">
        <v>1</v>
      </c>
      <c r="E244" s="1">
        <v>0</v>
      </c>
      <c r="F244" s="1">
        <v>3</v>
      </c>
      <c r="G244" s="1">
        <v>44</v>
      </c>
      <c r="H244" s="1">
        <v>8</v>
      </c>
      <c r="I244" s="1">
        <v>32</v>
      </c>
      <c r="J244" s="1">
        <v>31</v>
      </c>
      <c r="K244" s="1">
        <v>46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 t="s">
        <v>329</v>
      </c>
      <c r="S244" s="1">
        <v>0</v>
      </c>
      <c r="T244" s="1">
        <v>1</v>
      </c>
      <c r="U244" s="1">
        <v>0</v>
      </c>
      <c r="V244" s="1">
        <v>0</v>
      </c>
      <c r="W244" s="1">
        <v>0</v>
      </c>
      <c r="X244" s="1">
        <v>0</v>
      </c>
    </row>
    <row r="245" spans="1:24" x14ac:dyDescent="0.25">
      <c r="A245" s="1">
        <v>80403</v>
      </c>
      <c r="B245" s="1">
        <v>804</v>
      </c>
      <c r="C245" s="1">
        <v>3</v>
      </c>
      <c r="D245" s="1">
        <v>1</v>
      </c>
      <c r="E245" s="1">
        <v>3</v>
      </c>
      <c r="F245" s="1">
        <v>4</v>
      </c>
      <c r="G245" s="1">
        <v>44</v>
      </c>
      <c r="H245" s="1">
        <v>8</v>
      </c>
      <c r="I245" s="1">
        <v>32</v>
      </c>
      <c r="J245" s="1">
        <v>31</v>
      </c>
      <c r="K245" s="1">
        <v>46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 t="s">
        <v>329</v>
      </c>
      <c r="S245" s="1">
        <v>0</v>
      </c>
      <c r="T245" s="1">
        <v>1</v>
      </c>
      <c r="U245" s="1">
        <v>0</v>
      </c>
      <c r="V245" s="1">
        <v>0</v>
      </c>
      <c r="W245" s="1">
        <v>900526</v>
      </c>
      <c r="X245" s="1">
        <v>0</v>
      </c>
    </row>
    <row r="246" spans="1:24" x14ac:dyDescent="0.25">
      <c r="A246" s="1">
        <v>80404</v>
      </c>
      <c r="B246" s="1">
        <v>804</v>
      </c>
      <c r="C246" s="1">
        <v>4</v>
      </c>
      <c r="D246" s="1">
        <v>1</v>
      </c>
      <c r="E246" s="1">
        <v>4</v>
      </c>
      <c r="F246" s="1">
        <v>5</v>
      </c>
      <c r="G246" s="1">
        <v>44</v>
      </c>
      <c r="H246" s="1">
        <v>8</v>
      </c>
      <c r="I246" s="1">
        <v>32</v>
      </c>
      <c r="J246" s="1">
        <v>31</v>
      </c>
      <c r="K246" s="1">
        <v>46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 t="s">
        <v>329</v>
      </c>
      <c r="S246" s="1">
        <v>0</v>
      </c>
      <c r="T246" s="1">
        <v>1</v>
      </c>
      <c r="U246" s="1">
        <v>0</v>
      </c>
      <c r="V246" s="1">
        <v>0</v>
      </c>
      <c r="W246" s="1">
        <v>900526</v>
      </c>
      <c r="X246" s="1">
        <v>900598</v>
      </c>
    </row>
    <row r="247" spans="1:24" x14ac:dyDescent="0.25">
      <c r="A247" s="1">
        <v>80500</v>
      </c>
      <c r="B247" s="1">
        <v>805</v>
      </c>
      <c r="C247" s="1">
        <v>0</v>
      </c>
      <c r="D247" s="1">
        <v>0</v>
      </c>
      <c r="E247" s="1">
        <v>0</v>
      </c>
      <c r="F247" s="1">
        <v>1</v>
      </c>
      <c r="G247" s="1">
        <v>58</v>
      </c>
      <c r="H247" s="1">
        <v>10</v>
      </c>
      <c r="I247" s="1">
        <v>41</v>
      </c>
      <c r="J247" s="1">
        <v>18</v>
      </c>
      <c r="K247" s="1">
        <v>68</v>
      </c>
      <c r="L247" s="1">
        <v>0</v>
      </c>
      <c r="M247" s="1">
        <v>0</v>
      </c>
      <c r="N247" s="1">
        <v>0</v>
      </c>
      <c r="O247" s="1">
        <v>0</v>
      </c>
      <c r="P247" s="1">
        <v>0</v>
      </c>
      <c r="Q247" s="1">
        <v>0</v>
      </c>
      <c r="R247" s="1" t="s">
        <v>329</v>
      </c>
      <c r="S247" s="1">
        <v>0</v>
      </c>
      <c r="T247" s="1">
        <v>0</v>
      </c>
      <c r="U247" s="1">
        <v>0</v>
      </c>
      <c r="V247" s="1">
        <v>0</v>
      </c>
      <c r="W247" s="1">
        <v>0</v>
      </c>
      <c r="X247" s="1">
        <v>0</v>
      </c>
    </row>
    <row r="248" spans="1:24" x14ac:dyDescent="0.25">
      <c r="A248" s="1">
        <v>80501</v>
      </c>
      <c r="B248" s="1">
        <v>805</v>
      </c>
      <c r="C248" s="1">
        <v>1</v>
      </c>
      <c r="D248" s="1">
        <v>1</v>
      </c>
      <c r="E248" s="1">
        <v>0</v>
      </c>
      <c r="F248" s="1">
        <v>2</v>
      </c>
      <c r="G248" s="1">
        <v>58</v>
      </c>
      <c r="H248" s="1">
        <v>10</v>
      </c>
      <c r="I248" s="1">
        <v>41</v>
      </c>
      <c r="J248" s="1">
        <v>18</v>
      </c>
      <c r="K248" s="1">
        <v>68</v>
      </c>
      <c r="L248" s="1">
        <v>0</v>
      </c>
      <c r="M248" s="1">
        <v>0</v>
      </c>
      <c r="N248" s="1">
        <v>0</v>
      </c>
      <c r="O248" s="1">
        <v>0</v>
      </c>
      <c r="P248" s="1">
        <v>0</v>
      </c>
      <c r="Q248" s="1">
        <v>0</v>
      </c>
      <c r="R248" s="1" t="s">
        <v>329</v>
      </c>
      <c r="S248" s="1">
        <v>0</v>
      </c>
      <c r="T248" s="1">
        <v>0</v>
      </c>
      <c r="U248" s="1">
        <v>0</v>
      </c>
      <c r="V248" s="1">
        <v>0</v>
      </c>
      <c r="W248" s="1">
        <v>0</v>
      </c>
      <c r="X248" s="1">
        <v>0</v>
      </c>
    </row>
    <row r="249" spans="1:24" x14ac:dyDescent="0.25">
      <c r="A249" s="1">
        <v>80502</v>
      </c>
      <c r="B249" s="1">
        <v>805</v>
      </c>
      <c r="C249" s="1">
        <v>2</v>
      </c>
      <c r="D249" s="1">
        <v>1</v>
      </c>
      <c r="E249" s="1">
        <v>0</v>
      </c>
      <c r="F249" s="1">
        <v>3</v>
      </c>
      <c r="G249" s="1">
        <v>58</v>
      </c>
      <c r="H249" s="1">
        <v>10</v>
      </c>
      <c r="I249" s="1">
        <v>41</v>
      </c>
      <c r="J249" s="1">
        <v>18</v>
      </c>
      <c r="K249" s="1">
        <v>68</v>
      </c>
      <c r="L249" s="1">
        <v>0</v>
      </c>
      <c r="M249" s="1">
        <v>0</v>
      </c>
      <c r="N249" s="1">
        <v>0</v>
      </c>
      <c r="O249" s="1">
        <v>0</v>
      </c>
      <c r="P249" s="1">
        <v>0</v>
      </c>
      <c r="Q249" s="1">
        <v>0</v>
      </c>
      <c r="R249" s="1" t="s">
        <v>329</v>
      </c>
      <c r="S249" s="1">
        <v>0</v>
      </c>
      <c r="T249" s="1">
        <v>1</v>
      </c>
      <c r="U249" s="1">
        <v>0</v>
      </c>
      <c r="V249" s="1">
        <v>0</v>
      </c>
      <c r="W249" s="1">
        <v>0</v>
      </c>
      <c r="X249" s="1">
        <v>0</v>
      </c>
    </row>
    <row r="250" spans="1:24" x14ac:dyDescent="0.25">
      <c r="A250" s="1">
        <v>80503</v>
      </c>
      <c r="B250" s="1">
        <v>805</v>
      </c>
      <c r="C250" s="1">
        <v>3</v>
      </c>
      <c r="D250" s="1">
        <v>1</v>
      </c>
      <c r="E250" s="1">
        <v>0</v>
      </c>
      <c r="F250" s="1">
        <v>4</v>
      </c>
      <c r="G250" s="1">
        <v>58</v>
      </c>
      <c r="H250" s="1">
        <v>10</v>
      </c>
      <c r="I250" s="1">
        <v>41</v>
      </c>
      <c r="J250" s="1">
        <v>18</v>
      </c>
      <c r="K250" s="1">
        <v>68</v>
      </c>
      <c r="L250" s="1">
        <v>0</v>
      </c>
      <c r="M250" s="1">
        <v>0</v>
      </c>
      <c r="N250" s="1">
        <v>0</v>
      </c>
      <c r="O250" s="1">
        <v>0</v>
      </c>
      <c r="P250" s="1">
        <v>0</v>
      </c>
      <c r="Q250" s="1">
        <v>0</v>
      </c>
      <c r="R250" s="1" t="s">
        <v>329</v>
      </c>
      <c r="S250" s="1">
        <v>0</v>
      </c>
      <c r="T250" s="1">
        <v>1</v>
      </c>
      <c r="U250" s="1">
        <v>0</v>
      </c>
      <c r="V250" s="1">
        <v>0</v>
      </c>
      <c r="W250" s="1">
        <v>0</v>
      </c>
      <c r="X250" s="1">
        <v>0</v>
      </c>
    </row>
    <row r="251" spans="1:24" x14ac:dyDescent="0.25">
      <c r="A251" s="1">
        <v>80504</v>
      </c>
      <c r="B251" s="1">
        <v>805</v>
      </c>
      <c r="C251" s="1">
        <v>4</v>
      </c>
      <c r="D251" s="1">
        <v>1</v>
      </c>
      <c r="E251" s="1">
        <v>4</v>
      </c>
      <c r="F251" s="1">
        <v>5</v>
      </c>
      <c r="G251" s="1">
        <v>58</v>
      </c>
      <c r="H251" s="1">
        <v>10</v>
      </c>
      <c r="I251" s="1">
        <v>41</v>
      </c>
      <c r="J251" s="1">
        <v>18</v>
      </c>
      <c r="K251" s="1">
        <v>68</v>
      </c>
      <c r="L251" s="1">
        <v>0</v>
      </c>
      <c r="M251" s="1">
        <v>0</v>
      </c>
      <c r="N251" s="1">
        <v>0</v>
      </c>
      <c r="O251" s="1">
        <v>0</v>
      </c>
      <c r="P251" s="1">
        <v>0</v>
      </c>
      <c r="Q251" s="1">
        <v>0</v>
      </c>
      <c r="R251" s="1" t="s">
        <v>329</v>
      </c>
      <c r="S251" s="1">
        <v>0</v>
      </c>
      <c r="T251" s="1">
        <v>1</v>
      </c>
      <c r="U251" s="1">
        <v>0</v>
      </c>
      <c r="V251" s="1">
        <v>0</v>
      </c>
      <c r="W251" s="1">
        <v>0</v>
      </c>
      <c r="X251" s="1">
        <v>600308</v>
      </c>
    </row>
    <row r="252" spans="1:24" x14ac:dyDescent="0.25">
      <c r="A252" s="1">
        <v>80600</v>
      </c>
      <c r="B252" s="1">
        <v>806</v>
      </c>
      <c r="C252" s="1">
        <v>0</v>
      </c>
      <c r="D252" s="1">
        <v>0</v>
      </c>
      <c r="E252" s="1">
        <v>0</v>
      </c>
      <c r="F252" s="1">
        <v>1</v>
      </c>
      <c r="G252" s="1">
        <v>23</v>
      </c>
      <c r="H252" s="1">
        <v>17</v>
      </c>
      <c r="I252" s="1">
        <v>44</v>
      </c>
      <c r="J252" s="1">
        <v>34</v>
      </c>
      <c r="K252" s="1">
        <v>57</v>
      </c>
      <c r="L252" s="1">
        <v>0</v>
      </c>
      <c r="M252" s="1">
        <v>0</v>
      </c>
      <c r="N252" s="1">
        <v>0</v>
      </c>
      <c r="O252" s="1">
        <v>0</v>
      </c>
      <c r="P252" s="1">
        <v>0</v>
      </c>
      <c r="Q252" s="1">
        <v>0</v>
      </c>
      <c r="R252" s="1" t="s">
        <v>329</v>
      </c>
      <c r="S252" s="1">
        <v>0</v>
      </c>
      <c r="T252" s="1">
        <v>0</v>
      </c>
      <c r="U252" s="1">
        <v>0</v>
      </c>
      <c r="V252" s="1">
        <v>0</v>
      </c>
      <c r="W252" s="1">
        <v>0</v>
      </c>
      <c r="X252" s="1">
        <v>0</v>
      </c>
    </row>
    <row r="253" spans="1:24" x14ac:dyDescent="0.25">
      <c r="A253" s="1">
        <v>80601</v>
      </c>
      <c r="B253" s="1">
        <v>806</v>
      </c>
      <c r="C253" s="1">
        <v>1</v>
      </c>
      <c r="D253" s="1">
        <v>1</v>
      </c>
      <c r="E253" s="1">
        <v>0</v>
      </c>
      <c r="F253" s="1">
        <v>2</v>
      </c>
      <c r="G253" s="1">
        <v>23</v>
      </c>
      <c r="H253" s="1">
        <v>17</v>
      </c>
      <c r="I253" s="1">
        <v>44</v>
      </c>
      <c r="J253" s="1">
        <v>34</v>
      </c>
      <c r="K253" s="1">
        <v>57</v>
      </c>
      <c r="L253" s="1">
        <v>0</v>
      </c>
      <c r="M253" s="1">
        <v>0</v>
      </c>
      <c r="N253" s="1">
        <v>0</v>
      </c>
      <c r="O253" s="1">
        <v>0</v>
      </c>
      <c r="P253" s="1">
        <v>0</v>
      </c>
      <c r="Q253" s="1">
        <v>0</v>
      </c>
      <c r="R253" s="1" t="s">
        <v>329</v>
      </c>
      <c r="S253" s="1">
        <v>0</v>
      </c>
      <c r="T253" s="1">
        <v>0</v>
      </c>
      <c r="U253" s="1">
        <v>0</v>
      </c>
      <c r="V253" s="1">
        <v>0</v>
      </c>
      <c r="W253" s="1">
        <v>0</v>
      </c>
      <c r="X253" s="1">
        <v>0</v>
      </c>
    </row>
    <row r="254" spans="1:24" x14ac:dyDescent="0.25">
      <c r="A254" s="1">
        <v>80602</v>
      </c>
      <c r="B254" s="1">
        <v>806</v>
      </c>
      <c r="C254" s="1">
        <v>2</v>
      </c>
      <c r="D254" s="1">
        <v>1</v>
      </c>
      <c r="E254" s="1">
        <v>0</v>
      </c>
      <c r="F254" s="1">
        <v>3</v>
      </c>
      <c r="G254" s="1">
        <v>23</v>
      </c>
      <c r="H254" s="1">
        <v>17</v>
      </c>
      <c r="I254" s="1">
        <v>44</v>
      </c>
      <c r="J254" s="1">
        <v>34</v>
      </c>
      <c r="K254" s="1">
        <v>57</v>
      </c>
      <c r="L254" s="1">
        <v>0</v>
      </c>
      <c r="M254" s="1">
        <v>0</v>
      </c>
      <c r="N254" s="1">
        <v>0</v>
      </c>
      <c r="O254" s="1">
        <v>0</v>
      </c>
      <c r="P254" s="1">
        <v>0</v>
      </c>
      <c r="Q254" s="1">
        <v>0</v>
      </c>
      <c r="R254" s="1" t="s">
        <v>329</v>
      </c>
      <c r="S254" s="1">
        <v>0</v>
      </c>
      <c r="T254" s="1">
        <v>0</v>
      </c>
      <c r="U254" s="1">
        <v>0</v>
      </c>
      <c r="V254" s="1">
        <v>0</v>
      </c>
      <c r="W254" s="1">
        <v>0</v>
      </c>
      <c r="X254" s="1">
        <v>0</v>
      </c>
    </row>
    <row r="255" spans="1:24" x14ac:dyDescent="0.25">
      <c r="A255" s="1">
        <v>80603</v>
      </c>
      <c r="B255" s="1">
        <v>806</v>
      </c>
      <c r="C255" s="1">
        <v>3</v>
      </c>
      <c r="D255" s="1">
        <v>1</v>
      </c>
      <c r="E255" s="1">
        <v>0</v>
      </c>
      <c r="F255" s="1">
        <v>4</v>
      </c>
      <c r="G255" s="1">
        <v>23</v>
      </c>
      <c r="H255" s="1">
        <v>17</v>
      </c>
      <c r="I255" s="1">
        <v>44</v>
      </c>
      <c r="J255" s="1">
        <v>34</v>
      </c>
      <c r="K255" s="1">
        <v>57</v>
      </c>
      <c r="L255" s="1">
        <v>0</v>
      </c>
      <c r="M255" s="1">
        <v>0</v>
      </c>
      <c r="N255" s="1">
        <v>0</v>
      </c>
      <c r="O255" s="1">
        <v>0</v>
      </c>
      <c r="P255" s="1">
        <v>0</v>
      </c>
      <c r="Q255" s="1">
        <v>0</v>
      </c>
      <c r="R255" s="1" t="s">
        <v>329</v>
      </c>
      <c r="S255" s="1">
        <v>0</v>
      </c>
      <c r="T255" s="1">
        <v>0</v>
      </c>
      <c r="U255" s="1">
        <v>0</v>
      </c>
      <c r="V255" s="1">
        <v>0</v>
      </c>
      <c r="W255" s="1">
        <v>0</v>
      </c>
      <c r="X255" s="1">
        <v>0</v>
      </c>
    </row>
    <row r="256" spans="1:24" x14ac:dyDescent="0.25">
      <c r="A256">
        <v>80604</v>
      </c>
      <c r="B256">
        <v>806</v>
      </c>
      <c r="C256">
        <v>4</v>
      </c>
      <c r="D256">
        <v>1</v>
      </c>
      <c r="E256">
        <v>0</v>
      </c>
      <c r="F256">
        <v>5</v>
      </c>
      <c r="G256">
        <v>23</v>
      </c>
      <c r="H256">
        <v>17</v>
      </c>
      <c r="I256">
        <v>44</v>
      </c>
      <c r="J256">
        <v>34</v>
      </c>
      <c r="K256">
        <v>57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 t="s">
        <v>329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</row>
    <row r="257" spans="1:25" x14ac:dyDescent="0.25">
      <c r="A257">
        <v>80700</v>
      </c>
      <c r="B257">
        <v>807</v>
      </c>
      <c r="C257">
        <v>0</v>
      </c>
      <c r="D257">
        <v>0</v>
      </c>
      <c r="E257">
        <v>0</v>
      </c>
      <c r="F257">
        <v>1</v>
      </c>
      <c r="G257">
        <v>23</v>
      </c>
      <c r="H257">
        <v>17</v>
      </c>
      <c r="I257">
        <v>44</v>
      </c>
      <c r="J257">
        <v>34</v>
      </c>
      <c r="K257">
        <v>57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 t="s">
        <v>329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</row>
    <row r="258" spans="1:25" x14ac:dyDescent="0.25">
      <c r="A258">
        <v>80701</v>
      </c>
      <c r="B258">
        <v>807</v>
      </c>
      <c r="C258">
        <v>1</v>
      </c>
      <c r="D258">
        <v>1</v>
      </c>
      <c r="E258">
        <v>0</v>
      </c>
      <c r="F258">
        <v>2</v>
      </c>
      <c r="G258">
        <v>23</v>
      </c>
      <c r="H258">
        <v>17</v>
      </c>
      <c r="I258">
        <v>44</v>
      </c>
      <c r="J258">
        <v>34</v>
      </c>
      <c r="K258">
        <v>57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 t="s">
        <v>329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</row>
    <row r="259" spans="1:25" x14ac:dyDescent="0.25">
      <c r="A259">
        <v>80702</v>
      </c>
      <c r="B259">
        <v>807</v>
      </c>
      <c r="C259">
        <v>2</v>
      </c>
      <c r="D259">
        <v>1</v>
      </c>
      <c r="E259">
        <v>0</v>
      </c>
      <c r="F259">
        <v>3</v>
      </c>
      <c r="G259">
        <v>23</v>
      </c>
      <c r="H259">
        <v>17</v>
      </c>
      <c r="I259">
        <v>44</v>
      </c>
      <c r="J259">
        <v>34</v>
      </c>
      <c r="K259">
        <v>57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 t="s">
        <v>329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</row>
    <row r="260" spans="1:25" x14ac:dyDescent="0.25">
      <c r="A260">
        <v>80703</v>
      </c>
      <c r="B260">
        <v>807</v>
      </c>
      <c r="C260">
        <v>3</v>
      </c>
      <c r="D260">
        <v>1</v>
      </c>
      <c r="E260">
        <v>0</v>
      </c>
      <c r="F260">
        <v>4</v>
      </c>
      <c r="G260">
        <v>23</v>
      </c>
      <c r="H260">
        <v>17</v>
      </c>
      <c r="I260">
        <v>44</v>
      </c>
      <c r="J260">
        <v>34</v>
      </c>
      <c r="K260">
        <v>57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 t="s">
        <v>329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</row>
    <row r="261" spans="1:25" x14ac:dyDescent="0.25">
      <c r="A261">
        <v>80704</v>
      </c>
      <c r="B261">
        <v>807</v>
      </c>
      <c r="C261">
        <v>4</v>
      </c>
      <c r="D261">
        <v>1</v>
      </c>
      <c r="E261">
        <v>0</v>
      </c>
      <c r="F261">
        <v>5</v>
      </c>
      <c r="G261">
        <v>23</v>
      </c>
      <c r="H261">
        <v>17</v>
      </c>
      <c r="I261">
        <v>44</v>
      </c>
      <c r="J261">
        <v>34</v>
      </c>
      <c r="K261">
        <v>57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 t="s">
        <v>329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</row>
    <row r="262" spans="1:25" x14ac:dyDescent="0.25">
      <c r="A262">
        <v>80800</v>
      </c>
      <c r="B262">
        <v>808</v>
      </c>
      <c r="C262">
        <v>0</v>
      </c>
      <c r="D262">
        <v>0</v>
      </c>
      <c r="E262">
        <v>0</v>
      </c>
      <c r="F262">
        <v>1</v>
      </c>
      <c r="G262">
        <v>23</v>
      </c>
      <c r="H262">
        <v>18</v>
      </c>
      <c r="I262">
        <v>44</v>
      </c>
      <c r="J262">
        <v>36</v>
      </c>
      <c r="K262">
        <v>30</v>
      </c>
      <c r="L262">
        <v>10</v>
      </c>
      <c r="M262">
        <v>0</v>
      </c>
      <c r="N262">
        <v>0</v>
      </c>
      <c r="O262">
        <v>0</v>
      </c>
      <c r="P262">
        <v>0</v>
      </c>
      <c r="Q262">
        <v>0</v>
      </c>
      <c r="R262" t="s">
        <v>329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</row>
    <row r="263" spans="1:25" x14ac:dyDescent="0.25">
      <c r="A263">
        <v>80801</v>
      </c>
      <c r="B263">
        <v>808</v>
      </c>
      <c r="C263">
        <v>1</v>
      </c>
      <c r="D263">
        <v>1</v>
      </c>
      <c r="E263">
        <v>0</v>
      </c>
      <c r="F263">
        <v>2</v>
      </c>
      <c r="G263">
        <v>23</v>
      </c>
      <c r="H263">
        <v>18</v>
      </c>
      <c r="I263">
        <v>44</v>
      </c>
      <c r="J263">
        <v>36</v>
      </c>
      <c r="K263">
        <v>30</v>
      </c>
      <c r="L263">
        <v>10</v>
      </c>
      <c r="M263">
        <v>0</v>
      </c>
      <c r="N263">
        <v>0</v>
      </c>
      <c r="O263">
        <v>0</v>
      </c>
      <c r="P263">
        <v>0</v>
      </c>
      <c r="Q263">
        <v>0</v>
      </c>
      <c r="R263" t="s">
        <v>329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</row>
    <row r="264" spans="1:25" x14ac:dyDescent="0.25">
      <c r="A264">
        <v>80802</v>
      </c>
      <c r="B264">
        <v>808</v>
      </c>
      <c r="C264">
        <v>2</v>
      </c>
      <c r="D264">
        <v>1</v>
      </c>
      <c r="E264">
        <v>0</v>
      </c>
      <c r="F264">
        <v>3</v>
      </c>
      <c r="G264">
        <v>23</v>
      </c>
      <c r="H264">
        <v>18</v>
      </c>
      <c r="I264">
        <v>44</v>
      </c>
      <c r="J264">
        <v>36</v>
      </c>
      <c r="K264">
        <v>30</v>
      </c>
      <c r="L264">
        <v>10</v>
      </c>
      <c r="M264">
        <v>0</v>
      </c>
      <c r="N264">
        <v>0</v>
      </c>
      <c r="O264">
        <v>0</v>
      </c>
      <c r="P264">
        <v>0</v>
      </c>
      <c r="Q264">
        <v>0</v>
      </c>
      <c r="R264" t="s">
        <v>329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</row>
    <row r="265" spans="1:25" x14ac:dyDescent="0.25">
      <c r="A265">
        <v>80803</v>
      </c>
      <c r="B265">
        <v>808</v>
      </c>
      <c r="C265">
        <v>3</v>
      </c>
      <c r="D265">
        <v>1</v>
      </c>
      <c r="E265">
        <v>0</v>
      </c>
      <c r="F265">
        <v>4</v>
      </c>
      <c r="G265">
        <v>23</v>
      </c>
      <c r="H265">
        <v>18</v>
      </c>
      <c r="I265">
        <v>44</v>
      </c>
      <c r="J265">
        <v>36</v>
      </c>
      <c r="K265">
        <v>30</v>
      </c>
      <c r="L265">
        <v>10</v>
      </c>
      <c r="M265">
        <v>0</v>
      </c>
      <c r="N265">
        <v>0</v>
      </c>
      <c r="O265">
        <v>0</v>
      </c>
      <c r="P265">
        <v>0</v>
      </c>
      <c r="Q265">
        <v>0</v>
      </c>
      <c r="R265" t="s">
        <v>329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</row>
    <row r="266" spans="1:25" x14ac:dyDescent="0.25">
      <c r="A266">
        <v>80804</v>
      </c>
      <c r="B266">
        <v>808</v>
      </c>
      <c r="C266">
        <v>4</v>
      </c>
      <c r="D266">
        <v>1</v>
      </c>
      <c r="E266">
        <v>0</v>
      </c>
      <c r="F266">
        <v>5</v>
      </c>
      <c r="G266">
        <v>23</v>
      </c>
      <c r="H266">
        <v>18</v>
      </c>
      <c r="I266">
        <v>44</v>
      </c>
      <c r="J266">
        <v>36</v>
      </c>
      <c r="K266">
        <v>30</v>
      </c>
      <c r="L266">
        <v>10</v>
      </c>
      <c r="M266">
        <v>0</v>
      </c>
      <c r="N266">
        <v>0</v>
      </c>
      <c r="O266">
        <v>0</v>
      </c>
      <c r="P266">
        <v>0</v>
      </c>
      <c r="Q266">
        <v>0</v>
      </c>
      <c r="R266" t="s">
        <v>329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</row>
    <row r="267" spans="1:25" x14ac:dyDescent="0.25">
      <c r="A267">
        <v>11900</v>
      </c>
      <c r="B267">
        <v>119</v>
      </c>
      <c r="C267">
        <v>0</v>
      </c>
      <c r="D267">
        <v>0</v>
      </c>
      <c r="E267">
        <v>0</v>
      </c>
      <c r="F267">
        <v>1</v>
      </c>
      <c r="G267">
        <v>250</v>
      </c>
      <c r="H267">
        <v>90</v>
      </c>
      <c r="I267">
        <v>10</v>
      </c>
      <c r="J267">
        <v>35</v>
      </c>
      <c r="K267">
        <v>7</v>
      </c>
      <c r="L267">
        <v>7</v>
      </c>
      <c r="M267">
        <v>0</v>
      </c>
      <c r="N267">
        <v>0</v>
      </c>
      <c r="O267">
        <v>0</v>
      </c>
      <c r="P267">
        <v>0</v>
      </c>
      <c r="Q267">
        <v>0</v>
      </c>
      <c r="R267" t="s">
        <v>6536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</row>
    <row r="268" spans="1:25" x14ac:dyDescent="0.25">
      <c r="A268">
        <v>11901</v>
      </c>
      <c r="B268">
        <v>119</v>
      </c>
      <c r="C268">
        <v>1</v>
      </c>
      <c r="D268">
        <v>1</v>
      </c>
      <c r="E268">
        <v>0</v>
      </c>
      <c r="F268">
        <v>1</v>
      </c>
      <c r="G268">
        <v>250</v>
      </c>
      <c r="H268">
        <v>90</v>
      </c>
      <c r="I268">
        <v>10</v>
      </c>
      <c r="J268">
        <v>35</v>
      </c>
      <c r="K268">
        <v>7</v>
      </c>
      <c r="L268">
        <v>7</v>
      </c>
      <c r="M268">
        <v>0</v>
      </c>
      <c r="N268">
        <v>0</v>
      </c>
      <c r="O268">
        <v>0</v>
      </c>
      <c r="P268">
        <v>0</v>
      </c>
      <c r="Q268">
        <v>200</v>
      </c>
      <c r="R268" t="s">
        <v>6535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</row>
    <row r="269" spans="1:25" x14ac:dyDescent="0.25">
      <c r="A269">
        <v>11902</v>
      </c>
      <c r="B269">
        <v>119</v>
      </c>
      <c r="C269">
        <v>2</v>
      </c>
      <c r="D269">
        <v>1</v>
      </c>
      <c r="E269">
        <v>0</v>
      </c>
      <c r="F269">
        <v>1</v>
      </c>
      <c r="G269">
        <v>376</v>
      </c>
      <c r="H269">
        <v>90</v>
      </c>
      <c r="I269">
        <v>29</v>
      </c>
      <c r="J269">
        <v>35</v>
      </c>
      <c r="K269">
        <v>7</v>
      </c>
      <c r="L269">
        <v>7</v>
      </c>
      <c r="M269">
        <v>0</v>
      </c>
      <c r="N269">
        <v>0</v>
      </c>
      <c r="O269">
        <v>0</v>
      </c>
      <c r="P269">
        <v>0</v>
      </c>
      <c r="Q269">
        <v>200</v>
      </c>
      <c r="R269" t="s">
        <v>6535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</row>
    <row r="270" spans="1:25" x14ac:dyDescent="0.25">
      <c r="A270">
        <v>11903</v>
      </c>
      <c r="B270">
        <v>119</v>
      </c>
      <c r="C270">
        <v>3</v>
      </c>
      <c r="D270">
        <v>1</v>
      </c>
      <c r="E270">
        <v>0</v>
      </c>
      <c r="F270">
        <v>1</v>
      </c>
      <c r="G270">
        <v>576</v>
      </c>
      <c r="H270">
        <v>90</v>
      </c>
      <c r="I270">
        <v>29</v>
      </c>
      <c r="J270">
        <v>35</v>
      </c>
      <c r="K270">
        <v>30</v>
      </c>
      <c r="L270">
        <v>7</v>
      </c>
      <c r="M270">
        <v>0</v>
      </c>
      <c r="N270">
        <v>0</v>
      </c>
      <c r="O270">
        <v>0</v>
      </c>
      <c r="P270">
        <v>0</v>
      </c>
      <c r="Q270">
        <v>200</v>
      </c>
      <c r="R270" t="s">
        <v>6535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</row>
    <row r="271" spans="1:25" x14ac:dyDescent="0.25">
      <c r="A271">
        <v>11904</v>
      </c>
      <c r="B271">
        <v>119</v>
      </c>
      <c r="C271">
        <v>4</v>
      </c>
      <c r="D271">
        <v>1</v>
      </c>
      <c r="E271">
        <v>1</v>
      </c>
      <c r="F271">
        <v>1</v>
      </c>
      <c r="G271">
        <v>576</v>
      </c>
      <c r="H271">
        <v>90</v>
      </c>
      <c r="I271">
        <v>29</v>
      </c>
      <c r="J271">
        <v>35</v>
      </c>
      <c r="K271">
        <v>30</v>
      </c>
      <c r="L271">
        <v>7</v>
      </c>
      <c r="M271">
        <v>0</v>
      </c>
      <c r="N271">
        <v>0</v>
      </c>
      <c r="O271">
        <v>0</v>
      </c>
      <c r="P271">
        <v>0</v>
      </c>
      <c r="Q271">
        <v>200</v>
      </c>
      <c r="R271" t="s">
        <v>6535</v>
      </c>
      <c r="S271">
        <v>0</v>
      </c>
      <c r="T271">
        <v>0</v>
      </c>
      <c r="U271">
        <v>750398</v>
      </c>
      <c r="V271">
        <v>0</v>
      </c>
      <c r="W271">
        <v>0</v>
      </c>
      <c r="X271">
        <v>0</v>
      </c>
      <c r="Y271">
        <v>0</v>
      </c>
    </row>
    <row r="272" spans="1:25" x14ac:dyDescent="0.25">
      <c r="A272">
        <v>12000</v>
      </c>
      <c r="B272">
        <v>120</v>
      </c>
      <c r="C272">
        <v>0</v>
      </c>
      <c r="D272">
        <v>0</v>
      </c>
      <c r="E272">
        <v>0</v>
      </c>
      <c r="F272">
        <v>1</v>
      </c>
      <c r="G272">
        <v>160</v>
      </c>
      <c r="H272">
        <v>68</v>
      </c>
      <c r="I272">
        <v>19</v>
      </c>
      <c r="J272">
        <v>27</v>
      </c>
      <c r="K272">
        <v>36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 t="s">
        <v>6617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</row>
    <row r="273" spans="1:25" x14ac:dyDescent="0.25">
      <c r="A273">
        <v>12001</v>
      </c>
      <c r="B273">
        <v>120</v>
      </c>
      <c r="C273">
        <v>1</v>
      </c>
      <c r="D273">
        <v>1</v>
      </c>
      <c r="E273">
        <v>0</v>
      </c>
      <c r="F273">
        <v>1</v>
      </c>
      <c r="G273">
        <v>160</v>
      </c>
      <c r="H273">
        <v>68</v>
      </c>
      <c r="I273">
        <v>19</v>
      </c>
      <c r="J273">
        <v>27</v>
      </c>
      <c r="K273">
        <v>36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200</v>
      </c>
      <c r="R273" t="s">
        <v>6609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</row>
    <row r="274" spans="1:25" x14ac:dyDescent="0.25">
      <c r="A274">
        <v>12002</v>
      </c>
      <c r="B274">
        <v>120</v>
      </c>
      <c r="C274">
        <v>2</v>
      </c>
      <c r="D274">
        <v>1</v>
      </c>
      <c r="E274">
        <v>0</v>
      </c>
      <c r="F274">
        <v>1</v>
      </c>
      <c r="G274">
        <v>308</v>
      </c>
      <c r="H274">
        <v>68</v>
      </c>
      <c r="I274">
        <v>19</v>
      </c>
      <c r="J274">
        <v>27</v>
      </c>
      <c r="K274">
        <v>57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200</v>
      </c>
      <c r="R274" t="s">
        <v>6609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</row>
    <row r="275" spans="1:25" x14ac:dyDescent="0.25">
      <c r="A275">
        <v>12003</v>
      </c>
      <c r="B275">
        <v>120</v>
      </c>
      <c r="C275">
        <v>3</v>
      </c>
      <c r="D275">
        <v>1</v>
      </c>
      <c r="E275">
        <v>0</v>
      </c>
      <c r="F275">
        <v>1</v>
      </c>
      <c r="G275">
        <v>488</v>
      </c>
      <c r="H275">
        <v>68</v>
      </c>
      <c r="I275">
        <v>19</v>
      </c>
      <c r="J275">
        <v>42</v>
      </c>
      <c r="K275">
        <v>57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200</v>
      </c>
      <c r="R275" t="s">
        <v>6609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</row>
    <row r="276" spans="1:25" x14ac:dyDescent="0.25">
      <c r="A276">
        <v>12004</v>
      </c>
      <c r="B276">
        <v>120</v>
      </c>
      <c r="C276">
        <v>4</v>
      </c>
      <c r="D276">
        <v>1</v>
      </c>
      <c r="E276">
        <v>1</v>
      </c>
      <c r="F276">
        <v>1</v>
      </c>
      <c r="G276">
        <v>488</v>
      </c>
      <c r="H276">
        <v>68</v>
      </c>
      <c r="I276">
        <v>19</v>
      </c>
      <c r="J276">
        <v>42</v>
      </c>
      <c r="K276">
        <v>57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200</v>
      </c>
      <c r="R276" t="s">
        <v>6609</v>
      </c>
      <c r="S276">
        <v>0</v>
      </c>
      <c r="T276">
        <v>0</v>
      </c>
      <c r="U276">
        <v>750410</v>
      </c>
      <c r="V276">
        <v>0</v>
      </c>
      <c r="W276">
        <v>0</v>
      </c>
      <c r="X276">
        <v>0</v>
      </c>
      <c r="Y276">
        <v>0</v>
      </c>
    </row>
    <row r="277" spans="1:25" x14ac:dyDescent="0.25">
      <c r="A277">
        <v>21800</v>
      </c>
      <c r="B277">
        <v>218</v>
      </c>
      <c r="C277">
        <v>0</v>
      </c>
      <c r="D277">
        <v>0</v>
      </c>
      <c r="E277">
        <v>0</v>
      </c>
      <c r="F277">
        <v>1</v>
      </c>
      <c r="G277">
        <v>43</v>
      </c>
      <c r="H277">
        <v>195</v>
      </c>
      <c r="I277">
        <v>24</v>
      </c>
      <c r="J277">
        <v>9</v>
      </c>
      <c r="K277">
        <v>0</v>
      </c>
      <c r="L277">
        <v>5</v>
      </c>
      <c r="M277">
        <v>0</v>
      </c>
      <c r="N277">
        <v>0</v>
      </c>
      <c r="O277">
        <v>0</v>
      </c>
      <c r="P277">
        <v>0</v>
      </c>
      <c r="Q277">
        <v>0</v>
      </c>
      <c r="R277" t="s">
        <v>329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</row>
    <row r="278" spans="1:25" x14ac:dyDescent="0.25">
      <c r="A278">
        <v>21801</v>
      </c>
      <c r="B278">
        <v>218</v>
      </c>
      <c r="C278">
        <v>1</v>
      </c>
      <c r="D278">
        <v>1</v>
      </c>
      <c r="E278">
        <v>0</v>
      </c>
      <c r="F278">
        <v>1</v>
      </c>
      <c r="G278">
        <v>143</v>
      </c>
      <c r="H278">
        <v>195</v>
      </c>
      <c r="I278">
        <v>34</v>
      </c>
      <c r="J278">
        <v>9</v>
      </c>
      <c r="K278">
        <v>0</v>
      </c>
      <c r="L278">
        <v>8</v>
      </c>
      <c r="M278">
        <v>0</v>
      </c>
      <c r="N278">
        <v>0</v>
      </c>
      <c r="O278">
        <v>0</v>
      </c>
      <c r="P278">
        <v>0</v>
      </c>
      <c r="Q278">
        <v>0</v>
      </c>
      <c r="R278" t="s">
        <v>329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</row>
    <row r="279" spans="1:25" x14ac:dyDescent="0.25">
      <c r="A279">
        <v>21802</v>
      </c>
      <c r="B279">
        <v>218</v>
      </c>
      <c r="C279">
        <v>2</v>
      </c>
      <c r="D279">
        <v>1</v>
      </c>
      <c r="E279">
        <v>0</v>
      </c>
      <c r="F279">
        <v>1</v>
      </c>
      <c r="G279">
        <v>243</v>
      </c>
      <c r="H279">
        <v>369</v>
      </c>
      <c r="I279">
        <v>34</v>
      </c>
      <c r="J279">
        <v>54</v>
      </c>
      <c r="K279">
        <v>0</v>
      </c>
      <c r="L279">
        <v>8</v>
      </c>
      <c r="M279">
        <v>0</v>
      </c>
      <c r="N279">
        <v>0</v>
      </c>
      <c r="O279">
        <v>0</v>
      </c>
      <c r="P279">
        <v>0</v>
      </c>
      <c r="Q279">
        <v>0</v>
      </c>
      <c r="R279" t="s">
        <v>329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</row>
    <row r="280" spans="1:25" x14ac:dyDescent="0.25">
      <c r="A280">
        <v>21803</v>
      </c>
      <c r="B280">
        <v>218</v>
      </c>
      <c r="C280">
        <v>3</v>
      </c>
      <c r="D280">
        <v>1</v>
      </c>
      <c r="E280">
        <v>0</v>
      </c>
      <c r="F280">
        <v>1</v>
      </c>
      <c r="G280">
        <v>343</v>
      </c>
      <c r="H280">
        <v>369</v>
      </c>
      <c r="I280">
        <v>34</v>
      </c>
      <c r="J280">
        <v>134</v>
      </c>
      <c r="K280">
        <v>0</v>
      </c>
      <c r="L280">
        <v>13</v>
      </c>
      <c r="M280">
        <v>0</v>
      </c>
      <c r="N280">
        <v>0</v>
      </c>
      <c r="O280">
        <v>0</v>
      </c>
      <c r="P280">
        <v>0</v>
      </c>
      <c r="Q280">
        <v>0</v>
      </c>
      <c r="R280" t="s">
        <v>329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</row>
    <row r="281" spans="1:25" x14ac:dyDescent="0.25">
      <c r="A281">
        <v>21804</v>
      </c>
      <c r="B281">
        <v>218</v>
      </c>
      <c r="C281">
        <v>4</v>
      </c>
      <c r="D281">
        <v>1</v>
      </c>
      <c r="E281">
        <v>0</v>
      </c>
      <c r="F281">
        <v>1</v>
      </c>
      <c r="G281">
        <v>443</v>
      </c>
      <c r="H281">
        <v>619</v>
      </c>
      <c r="I281">
        <v>49</v>
      </c>
      <c r="J281">
        <v>134</v>
      </c>
      <c r="K281">
        <v>0</v>
      </c>
      <c r="L281">
        <v>13</v>
      </c>
      <c r="M281">
        <v>0</v>
      </c>
      <c r="N281">
        <v>0</v>
      </c>
      <c r="O281">
        <v>0</v>
      </c>
      <c r="P281">
        <v>0</v>
      </c>
      <c r="Q281">
        <v>0</v>
      </c>
      <c r="R281" t="s">
        <v>329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</row>
  </sheetData>
  <autoFilter ref="A1:X246" xr:uid="{8FF13B79-9497-42BB-B50C-F41909FFCFDA}">
    <sortState ref="A2:X266">
      <sortCondition ref="A1:A246"/>
    </sortState>
  </autoFilter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3AD2FD-700D-4F19-B6F7-5EC76A13B7F1}">
  <sheetPr codeName="Sheet6">
    <tabColor theme="8" tint="0.79998168889431442"/>
  </sheetPr>
  <dimension ref="A1:DO181"/>
  <sheetViews>
    <sheetView topLeftCell="B1" workbookViewId="0">
      <pane ySplit="2" topLeftCell="A3" activePane="bottomLeft" state="frozen"/>
      <selection activeCell="A10" sqref="A10"/>
      <selection pane="bottomLeft" activeCell="Q1" sqref="Q1:V1"/>
    </sheetView>
  </sheetViews>
  <sheetFormatPr defaultRowHeight="15" x14ac:dyDescent="0.25"/>
  <cols>
    <col min="1" max="3" width="11.7109375" style="40" bestFit="1" customWidth="1"/>
    <col min="4" max="4" width="9.140625" style="40"/>
    <col min="5" max="7" width="11.7109375" style="40" bestFit="1" customWidth="1"/>
    <col min="8" max="8" width="9.140625" style="40"/>
    <col min="9" max="11" width="11.7109375" style="40" bestFit="1" customWidth="1"/>
    <col min="12" max="12" width="9.140625" style="40"/>
    <col min="13" max="15" width="11.7109375" style="40" bestFit="1" customWidth="1"/>
    <col min="16" max="16384" width="9.140625" style="40"/>
  </cols>
  <sheetData>
    <row r="1" spans="1:22" x14ac:dyDescent="0.25">
      <c r="A1" s="239" t="s">
        <v>765</v>
      </c>
      <c r="B1" s="239"/>
      <c r="C1" s="239"/>
      <c r="E1" s="239" t="s">
        <v>766</v>
      </c>
      <c r="F1" s="239"/>
      <c r="G1" s="239"/>
      <c r="I1" s="239" t="s">
        <v>869</v>
      </c>
      <c r="J1" s="239"/>
      <c r="K1" s="239"/>
      <c r="M1" s="239" t="s">
        <v>1056</v>
      </c>
      <c r="N1" s="239"/>
      <c r="O1" s="239"/>
      <c r="Q1" s="240" t="s">
        <v>767</v>
      </c>
      <c r="R1" s="240"/>
      <c r="S1" s="240"/>
      <c r="T1" s="240"/>
      <c r="U1" s="240"/>
      <c r="V1" s="240"/>
    </row>
    <row r="2" spans="1:22" x14ac:dyDescent="0.25">
      <c r="A2" s="46" t="s">
        <v>18</v>
      </c>
      <c r="B2" s="49" t="s">
        <v>20</v>
      </c>
      <c r="C2" s="49" t="s">
        <v>21</v>
      </c>
      <c r="E2" s="46" t="s">
        <v>18</v>
      </c>
      <c r="F2" s="49" t="s">
        <v>20</v>
      </c>
      <c r="G2" s="49" t="s">
        <v>21</v>
      </c>
      <c r="I2" s="46" t="s">
        <v>18</v>
      </c>
      <c r="J2" s="100" t="s">
        <v>20</v>
      </c>
      <c r="K2" s="100" t="s">
        <v>21</v>
      </c>
      <c r="M2" s="46" t="s">
        <v>18</v>
      </c>
      <c r="N2" s="129" t="s">
        <v>20</v>
      </c>
      <c r="O2" s="129" t="s">
        <v>21</v>
      </c>
      <c r="Q2" s="46" t="s">
        <v>762</v>
      </c>
      <c r="R2" s="49">
        <v>2</v>
      </c>
      <c r="S2" s="49">
        <v>3</v>
      </c>
      <c r="T2" s="49">
        <v>4</v>
      </c>
      <c r="U2" s="49">
        <v>5</v>
      </c>
      <c r="V2" s="49" t="s">
        <v>702</v>
      </c>
    </row>
    <row r="3" spans="1:22" x14ac:dyDescent="0.25">
      <c r="A3" s="47">
        <v>1</v>
      </c>
      <c r="B3" s="44">
        <v>0</v>
      </c>
      <c r="C3" s="104">
        <v>0</v>
      </c>
      <c r="E3" s="47">
        <v>1</v>
      </c>
      <c r="F3" s="44">
        <v>0</v>
      </c>
      <c r="G3" s="104">
        <v>0</v>
      </c>
      <c r="I3" s="47">
        <v>1</v>
      </c>
      <c r="J3" s="44">
        <v>0</v>
      </c>
      <c r="K3" s="104">
        <v>0</v>
      </c>
      <c r="M3" s="47">
        <v>1</v>
      </c>
      <c r="N3" s="44">
        <v>0</v>
      </c>
      <c r="O3" s="104">
        <v>0</v>
      </c>
      <c r="Q3" s="47">
        <v>0</v>
      </c>
      <c r="R3" s="44">
        <v>0</v>
      </c>
      <c r="S3" s="44">
        <v>0</v>
      </c>
      <c r="T3" s="44">
        <v>0</v>
      </c>
      <c r="U3" s="44">
        <v>0</v>
      </c>
      <c r="V3" s="44">
        <v>0</v>
      </c>
    </row>
    <row r="4" spans="1:22" x14ac:dyDescent="0.25">
      <c r="A4" s="47">
        <v>2</v>
      </c>
      <c r="B4" s="44">
        <v>100</v>
      </c>
      <c r="C4" s="104">
        <f>B4+C3</f>
        <v>100</v>
      </c>
      <c r="E4" s="47">
        <v>2</v>
      </c>
      <c r="F4" s="44">
        <v>300</v>
      </c>
      <c r="G4" s="104">
        <f>F4+G3</f>
        <v>300</v>
      </c>
      <c r="I4" s="47">
        <v>2</v>
      </c>
      <c r="J4" s="44">
        <v>500</v>
      </c>
      <c r="K4" s="104">
        <f>J4+K3</f>
        <v>500</v>
      </c>
      <c r="M4" s="47">
        <v>2</v>
      </c>
      <c r="N4" s="44">
        <v>100</v>
      </c>
      <c r="O4" s="104">
        <f>N4+O3</f>
        <v>100</v>
      </c>
      <c r="Q4" s="47">
        <v>1</v>
      </c>
      <c r="R4" s="44">
        <v>0</v>
      </c>
      <c r="S4" s="44">
        <v>50</v>
      </c>
      <c r="T4" s="44">
        <v>100</v>
      </c>
      <c r="U4" s="44">
        <v>200</v>
      </c>
      <c r="V4" s="44">
        <v>600</v>
      </c>
    </row>
    <row r="5" spans="1:22" x14ac:dyDescent="0.25">
      <c r="A5" s="47">
        <v>3</v>
      </c>
      <c r="B5" s="44">
        <v>200</v>
      </c>
      <c r="C5" s="104">
        <f t="shared" ref="C5:C68" si="0">B5+C4</f>
        <v>300</v>
      </c>
      <c r="E5" s="47">
        <v>3</v>
      </c>
      <c r="F5" s="44">
        <v>600</v>
      </c>
      <c r="G5" s="104">
        <f t="shared" ref="G5:G68" si="1">F5+G4</f>
        <v>900</v>
      </c>
      <c r="I5" s="47">
        <v>3</v>
      </c>
      <c r="J5" s="44">
        <v>900</v>
      </c>
      <c r="K5" s="104">
        <f t="shared" ref="K5:K68" si="2">J5+K4</f>
        <v>1400</v>
      </c>
      <c r="M5" s="47">
        <v>3</v>
      </c>
      <c r="N5" s="44">
        <v>100</v>
      </c>
      <c r="O5" s="104">
        <f t="shared" ref="O5:O68" si="3">N5+O4</f>
        <v>200</v>
      </c>
      <c r="Q5" s="47">
        <v>2</v>
      </c>
      <c r="R5" s="44">
        <v>0</v>
      </c>
      <c r="S5" s="44">
        <v>110</v>
      </c>
      <c r="T5" s="44">
        <v>220</v>
      </c>
      <c r="U5" s="44">
        <v>440</v>
      </c>
      <c r="V5" s="44">
        <v>1320</v>
      </c>
    </row>
    <row r="6" spans="1:22" x14ac:dyDescent="0.25">
      <c r="A6" s="47">
        <v>4</v>
      </c>
      <c r="B6" s="44">
        <v>300</v>
      </c>
      <c r="C6" s="104">
        <f t="shared" si="0"/>
        <v>600</v>
      </c>
      <c r="E6" s="47">
        <v>4</v>
      </c>
      <c r="F6" s="44">
        <v>900</v>
      </c>
      <c r="G6" s="104">
        <f t="shared" si="1"/>
        <v>1800</v>
      </c>
      <c r="I6" s="47">
        <v>4</v>
      </c>
      <c r="J6" s="44">
        <v>1300</v>
      </c>
      <c r="K6" s="104">
        <f t="shared" si="2"/>
        <v>2700</v>
      </c>
      <c r="M6" s="47">
        <v>4</v>
      </c>
      <c r="N6" s="44">
        <v>200</v>
      </c>
      <c r="O6" s="104">
        <f t="shared" si="3"/>
        <v>400</v>
      </c>
      <c r="Q6" s="47">
        <v>3</v>
      </c>
      <c r="R6" s="44">
        <v>0</v>
      </c>
      <c r="S6" s="44">
        <v>190</v>
      </c>
      <c r="T6" s="44">
        <v>380</v>
      </c>
      <c r="U6" s="44">
        <v>760</v>
      </c>
      <c r="V6" s="44">
        <v>2280</v>
      </c>
    </row>
    <row r="7" spans="1:22" x14ac:dyDescent="0.25">
      <c r="A7" s="47">
        <v>5</v>
      </c>
      <c r="B7" s="44">
        <v>400</v>
      </c>
      <c r="C7" s="104">
        <f t="shared" si="0"/>
        <v>1000</v>
      </c>
      <c r="E7" s="47">
        <v>5</v>
      </c>
      <c r="F7" s="44">
        <v>1200</v>
      </c>
      <c r="G7" s="104">
        <f t="shared" si="1"/>
        <v>3000</v>
      </c>
      <c r="I7" s="47">
        <v>5</v>
      </c>
      <c r="J7" s="44">
        <v>1800</v>
      </c>
      <c r="K7" s="104">
        <f t="shared" si="2"/>
        <v>4500</v>
      </c>
      <c r="M7" s="47">
        <v>5</v>
      </c>
      <c r="N7" s="44">
        <v>300</v>
      </c>
      <c r="O7" s="104">
        <f t="shared" si="3"/>
        <v>700</v>
      </c>
      <c r="Q7" s="47">
        <v>4</v>
      </c>
      <c r="R7" s="44">
        <v>0</v>
      </c>
      <c r="S7" s="44">
        <v>305</v>
      </c>
      <c r="T7" s="44">
        <v>610</v>
      </c>
      <c r="U7" s="44">
        <v>1220</v>
      </c>
      <c r="V7" s="44">
        <v>3660</v>
      </c>
    </row>
    <row r="8" spans="1:22" x14ac:dyDescent="0.25">
      <c r="A8" s="47">
        <v>6</v>
      </c>
      <c r="B8" s="44">
        <v>500</v>
      </c>
      <c r="C8" s="104">
        <f t="shared" si="0"/>
        <v>1500</v>
      </c>
      <c r="E8" s="47">
        <v>6</v>
      </c>
      <c r="F8" s="44">
        <v>1500</v>
      </c>
      <c r="G8" s="104">
        <f t="shared" si="1"/>
        <v>4500</v>
      </c>
      <c r="I8" s="47">
        <v>6</v>
      </c>
      <c r="J8" s="44">
        <v>2200</v>
      </c>
      <c r="K8" s="104">
        <f t="shared" si="2"/>
        <v>6700</v>
      </c>
      <c r="M8" s="47">
        <v>6</v>
      </c>
      <c r="N8" s="44">
        <v>400</v>
      </c>
      <c r="O8" s="104">
        <f t="shared" si="3"/>
        <v>1100</v>
      </c>
      <c r="Q8" s="47">
        <v>5</v>
      </c>
      <c r="R8" s="44">
        <v>0</v>
      </c>
      <c r="S8" s="44">
        <v>470</v>
      </c>
      <c r="T8" s="44">
        <v>940</v>
      </c>
      <c r="U8" s="44">
        <v>1880</v>
      </c>
      <c r="V8" s="44">
        <v>5640</v>
      </c>
    </row>
    <row r="9" spans="1:22" x14ac:dyDescent="0.25">
      <c r="A9" s="47">
        <v>7</v>
      </c>
      <c r="B9" s="44">
        <v>600</v>
      </c>
      <c r="C9" s="104">
        <f t="shared" si="0"/>
        <v>2100</v>
      </c>
      <c r="E9" s="47">
        <v>7</v>
      </c>
      <c r="F9" s="44">
        <v>1800</v>
      </c>
      <c r="G9" s="104">
        <f t="shared" si="1"/>
        <v>6300</v>
      </c>
      <c r="I9" s="47">
        <v>7</v>
      </c>
      <c r="J9" s="44">
        <v>2700</v>
      </c>
      <c r="K9" s="104">
        <f t="shared" si="2"/>
        <v>9400</v>
      </c>
      <c r="M9" s="47">
        <v>7</v>
      </c>
      <c r="N9" s="44">
        <v>500</v>
      </c>
      <c r="O9" s="104">
        <f t="shared" si="3"/>
        <v>1600</v>
      </c>
      <c r="Q9" s="47">
        <v>6</v>
      </c>
      <c r="R9" s="44">
        <v>0</v>
      </c>
      <c r="S9" s="44">
        <v>700</v>
      </c>
      <c r="T9" s="44">
        <v>1400</v>
      </c>
      <c r="U9" s="44">
        <v>2800</v>
      </c>
      <c r="V9" s="44">
        <v>8400</v>
      </c>
    </row>
    <row r="10" spans="1:22" x14ac:dyDescent="0.25">
      <c r="A10" s="47">
        <v>8</v>
      </c>
      <c r="B10" s="44">
        <v>700</v>
      </c>
      <c r="C10" s="104">
        <f t="shared" si="0"/>
        <v>2800</v>
      </c>
      <c r="E10" s="47">
        <v>8</v>
      </c>
      <c r="F10" s="44">
        <v>2100</v>
      </c>
      <c r="G10" s="104">
        <f t="shared" si="1"/>
        <v>8400</v>
      </c>
      <c r="I10" s="47">
        <v>8</v>
      </c>
      <c r="J10" s="44">
        <v>3200</v>
      </c>
      <c r="K10" s="104">
        <f t="shared" si="2"/>
        <v>12600</v>
      </c>
      <c r="M10" s="47">
        <v>8</v>
      </c>
      <c r="N10" s="44">
        <v>500</v>
      </c>
      <c r="O10" s="104">
        <f t="shared" si="3"/>
        <v>2100</v>
      </c>
      <c r="Q10" s="47">
        <v>7</v>
      </c>
      <c r="R10" s="44">
        <v>0</v>
      </c>
      <c r="S10" s="44">
        <v>1005</v>
      </c>
      <c r="T10" s="44">
        <v>2010</v>
      </c>
      <c r="U10" s="44">
        <v>4020</v>
      </c>
      <c r="V10" s="44">
        <v>12060</v>
      </c>
    </row>
    <row r="11" spans="1:22" x14ac:dyDescent="0.25">
      <c r="A11" s="47">
        <v>9</v>
      </c>
      <c r="B11" s="44">
        <v>800</v>
      </c>
      <c r="C11" s="104">
        <f t="shared" si="0"/>
        <v>3600</v>
      </c>
      <c r="E11" s="47">
        <v>9</v>
      </c>
      <c r="F11" s="44">
        <v>2400</v>
      </c>
      <c r="G11" s="104">
        <f t="shared" si="1"/>
        <v>10800</v>
      </c>
      <c r="I11" s="47">
        <v>9</v>
      </c>
      <c r="J11" s="44">
        <v>3600</v>
      </c>
      <c r="K11" s="104">
        <f t="shared" si="2"/>
        <v>16200</v>
      </c>
      <c r="M11" s="47">
        <v>9</v>
      </c>
      <c r="N11" s="44">
        <v>600</v>
      </c>
      <c r="O11" s="104">
        <f t="shared" si="3"/>
        <v>2700</v>
      </c>
      <c r="Q11" s="47">
        <v>8</v>
      </c>
      <c r="R11" s="44">
        <v>0</v>
      </c>
      <c r="S11" s="44">
        <v>1400</v>
      </c>
      <c r="T11" s="44">
        <v>2800</v>
      </c>
      <c r="U11" s="44">
        <v>5600</v>
      </c>
      <c r="V11" s="44">
        <v>16800</v>
      </c>
    </row>
    <row r="12" spans="1:22" x14ac:dyDescent="0.25">
      <c r="A12" s="47">
        <v>10</v>
      </c>
      <c r="B12" s="44">
        <v>900</v>
      </c>
      <c r="C12" s="104">
        <f t="shared" si="0"/>
        <v>4500</v>
      </c>
      <c r="E12" s="47">
        <v>10</v>
      </c>
      <c r="F12" s="44">
        <v>2700</v>
      </c>
      <c r="G12" s="104">
        <f t="shared" si="1"/>
        <v>13500</v>
      </c>
      <c r="I12" s="47">
        <v>10</v>
      </c>
      <c r="J12" s="44">
        <v>4000</v>
      </c>
      <c r="K12" s="104">
        <f t="shared" si="2"/>
        <v>20200</v>
      </c>
      <c r="M12" s="47">
        <v>10</v>
      </c>
      <c r="N12" s="44">
        <v>700</v>
      </c>
      <c r="O12" s="104">
        <f t="shared" si="3"/>
        <v>3400</v>
      </c>
      <c r="Q12" s="47">
        <v>9</v>
      </c>
      <c r="R12" s="44">
        <v>0</v>
      </c>
      <c r="S12" s="44">
        <v>1895</v>
      </c>
      <c r="T12" s="44">
        <v>3790</v>
      </c>
      <c r="U12" s="44">
        <v>7580</v>
      </c>
      <c r="V12" s="44">
        <v>22740</v>
      </c>
    </row>
    <row r="13" spans="1:22" x14ac:dyDescent="0.25">
      <c r="A13" s="47">
        <v>11</v>
      </c>
      <c r="B13" s="44">
        <v>1000</v>
      </c>
      <c r="C13" s="104">
        <f t="shared" si="0"/>
        <v>5500</v>
      </c>
      <c r="E13" s="47">
        <v>11</v>
      </c>
      <c r="F13" s="44">
        <v>3000</v>
      </c>
      <c r="G13" s="104">
        <f t="shared" si="1"/>
        <v>16500</v>
      </c>
      <c r="I13" s="47">
        <v>11</v>
      </c>
      <c r="J13" s="44">
        <v>4500</v>
      </c>
      <c r="K13" s="104">
        <f t="shared" si="2"/>
        <v>24700</v>
      </c>
      <c r="M13" s="47">
        <v>11</v>
      </c>
      <c r="N13" s="44">
        <v>700</v>
      </c>
      <c r="O13" s="104">
        <f t="shared" si="3"/>
        <v>4100</v>
      </c>
      <c r="Q13" s="48">
        <v>10</v>
      </c>
      <c r="R13" s="45">
        <v>0</v>
      </c>
      <c r="S13" s="45">
        <v>2500</v>
      </c>
      <c r="T13" s="45">
        <v>5000</v>
      </c>
      <c r="U13" s="45">
        <v>10000</v>
      </c>
      <c r="V13" s="45">
        <v>30000</v>
      </c>
    </row>
    <row r="14" spans="1:22" x14ac:dyDescent="0.25">
      <c r="A14" s="47">
        <v>12</v>
      </c>
      <c r="B14" s="44">
        <v>1100</v>
      </c>
      <c r="C14" s="104">
        <f t="shared" si="0"/>
        <v>6600</v>
      </c>
      <c r="E14" s="47">
        <v>12</v>
      </c>
      <c r="F14" s="44">
        <v>3300</v>
      </c>
      <c r="G14" s="104">
        <f t="shared" si="1"/>
        <v>19800</v>
      </c>
      <c r="I14" s="47">
        <v>12</v>
      </c>
      <c r="J14" s="44">
        <v>5000</v>
      </c>
      <c r="K14" s="104">
        <f t="shared" si="2"/>
        <v>29700</v>
      </c>
      <c r="M14" s="47">
        <v>12</v>
      </c>
      <c r="N14" s="44">
        <v>800</v>
      </c>
      <c r="O14" s="104">
        <f t="shared" si="3"/>
        <v>4900</v>
      </c>
    </row>
    <row r="15" spans="1:22" x14ac:dyDescent="0.25">
      <c r="A15" s="47">
        <v>13</v>
      </c>
      <c r="B15" s="44">
        <v>1200</v>
      </c>
      <c r="C15" s="104">
        <f t="shared" si="0"/>
        <v>7800</v>
      </c>
      <c r="E15" s="47">
        <v>13</v>
      </c>
      <c r="F15" s="44">
        <v>3600</v>
      </c>
      <c r="G15" s="104">
        <f t="shared" si="1"/>
        <v>23400</v>
      </c>
      <c r="I15" s="47">
        <v>13</v>
      </c>
      <c r="J15" s="44">
        <v>5400</v>
      </c>
      <c r="K15" s="104">
        <f t="shared" si="2"/>
        <v>35100</v>
      </c>
      <c r="M15" s="47">
        <v>13</v>
      </c>
      <c r="N15" s="44">
        <v>900</v>
      </c>
      <c r="O15" s="104">
        <f t="shared" si="3"/>
        <v>5800</v>
      </c>
    </row>
    <row r="16" spans="1:22" x14ac:dyDescent="0.25">
      <c r="A16" s="47">
        <v>14</v>
      </c>
      <c r="B16" s="44">
        <v>1300</v>
      </c>
      <c r="C16" s="104">
        <f t="shared" si="0"/>
        <v>9100</v>
      </c>
      <c r="E16" s="47">
        <v>14</v>
      </c>
      <c r="F16" s="44">
        <v>3900</v>
      </c>
      <c r="G16" s="104">
        <f t="shared" si="1"/>
        <v>27300</v>
      </c>
      <c r="I16" s="47">
        <v>14</v>
      </c>
      <c r="J16" s="44">
        <v>5800</v>
      </c>
      <c r="K16" s="104">
        <f t="shared" si="2"/>
        <v>40900</v>
      </c>
      <c r="M16" s="47">
        <v>14</v>
      </c>
      <c r="N16" s="44">
        <v>1000</v>
      </c>
      <c r="O16" s="104">
        <f t="shared" si="3"/>
        <v>6800</v>
      </c>
    </row>
    <row r="17" spans="1:15" x14ac:dyDescent="0.25">
      <c r="A17" s="47">
        <v>15</v>
      </c>
      <c r="B17" s="44">
        <v>1400</v>
      </c>
      <c r="C17" s="104">
        <f t="shared" si="0"/>
        <v>10500</v>
      </c>
      <c r="E17" s="47">
        <v>15</v>
      </c>
      <c r="F17" s="44">
        <v>4200</v>
      </c>
      <c r="G17" s="104">
        <f t="shared" si="1"/>
        <v>31500</v>
      </c>
      <c r="I17" s="47">
        <v>15</v>
      </c>
      <c r="J17" s="44">
        <v>6300</v>
      </c>
      <c r="K17" s="104">
        <f t="shared" si="2"/>
        <v>47200</v>
      </c>
      <c r="M17" s="47">
        <v>15</v>
      </c>
      <c r="N17" s="44">
        <v>1000</v>
      </c>
      <c r="O17" s="104">
        <f t="shared" si="3"/>
        <v>7800</v>
      </c>
    </row>
    <row r="18" spans="1:15" x14ac:dyDescent="0.25">
      <c r="A18" s="47">
        <v>16</v>
      </c>
      <c r="B18" s="44">
        <v>1500</v>
      </c>
      <c r="C18" s="104">
        <f t="shared" si="0"/>
        <v>12000</v>
      </c>
      <c r="E18" s="47">
        <v>16</v>
      </c>
      <c r="F18" s="44">
        <v>4500</v>
      </c>
      <c r="G18" s="104">
        <f t="shared" si="1"/>
        <v>36000</v>
      </c>
      <c r="I18" s="47">
        <v>16</v>
      </c>
      <c r="J18" s="44">
        <v>6800</v>
      </c>
      <c r="K18" s="104">
        <f t="shared" si="2"/>
        <v>54000</v>
      </c>
      <c r="M18" s="47">
        <v>16</v>
      </c>
      <c r="N18" s="44">
        <v>1100</v>
      </c>
      <c r="O18" s="104">
        <f t="shared" si="3"/>
        <v>8900</v>
      </c>
    </row>
    <row r="19" spans="1:15" x14ac:dyDescent="0.25">
      <c r="A19" s="47">
        <v>17</v>
      </c>
      <c r="B19" s="44">
        <v>1600</v>
      </c>
      <c r="C19" s="104">
        <f t="shared" si="0"/>
        <v>13600</v>
      </c>
      <c r="E19" s="47">
        <v>17</v>
      </c>
      <c r="F19" s="44">
        <v>4800</v>
      </c>
      <c r="G19" s="104">
        <f t="shared" si="1"/>
        <v>40800</v>
      </c>
      <c r="I19" s="47">
        <v>17</v>
      </c>
      <c r="J19" s="44">
        <v>7200</v>
      </c>
      <c r="K19" s="104">
        <f t="shared" si="2"/>
        <v>61200</v>
      </c>
      <c r="M19" s="47">
        <v>17</v>
      </c>
      <c r="N19" s="44">
        <v>1200</v>
      </c>
      <c r="O19" s="104">
        <f t="shared" si="3"/>
        <v>10100</v>
      </c>
    </row>
    <row r="20" spans="1:15" x14ac:dyDescent="0.25">
      <c r="A20" s="47">
        <v>18</v>
      </c>
      <c r="B20" s="44">
        <v>1700</v>
      </c>
      <c r="C20" s="104">
        <f t="shared" si="0"/>
        <v>15300</v>
      </c>
      <c r="E20" s="47">
        <v>18</v>
      </c>
      <c r="F20" s="44">
        <v>5100</v>
      </c>
      <c r="G20" s="104">
        <f t="shared" si="1"/>
        <v>45900</v>
      </c>
      <c r="I20" s="47">
        <v>18</v>
      </c>
      <c r="J20" s="44">
        <v>7600</v>
      </c>
      <c r="K20" s="104">
        <f t="shared" si="2"/>
        <v>68800</v>
      </c>
      <c r="M20" s="47">
        <v>18</v>
      </c>
      <c r="N20" s="44">
        <v>1200</v>
      </c>
      <c r="O20" s="104">
        <f t="shared" si="3"/>
        <v>11300</v>
      </c>
    </row>
    <row r="21" spans="1:15" x14ac:dyDescent="0.25">
      <c r="A21" s="47">
        <v>19</v>
      </c>
      <c r="B21" s="44">
        <v>1800</v>
      </c>
      <c r="C21" s="104">
        <f t="shared" si="0"/>
        <v>17100</v>
      </c>
      <c r="E21" s="47">
        <v>19</v>
      </c>
      <c r="F21" s="44">
        <v>5500</v>
      </c>
      <c r="G21" s="104">
        <f t="shared" si="1"/>
        <v>51400</v>
      </c>
      <c r="I21" s="47">
        <v>19</v>
      </c>
      <c r="J21" s="44">
        <v>8300</v>
      </c>
      <c r="K21" s="104">
        <f t="shared" si="2"/>
        <v>77100</v>
      </c>
      <c r="M21" s="47">
        <v>19</v>
      </c>
      <c r="N21" s="44">
        <v>1300</v>
      </c>
      <c r="O21" s="104">
        <f t="shared" si="3"/>
        <v>12600</v>
      </c>
    </row>
    <row r="22" spans="1:15" x14ac:dyDescent="0.25">
      <c r="A22" s="47">
        <v>20</v>
      </c>
      <c r="B22" s="44">
        <v>1900</v>
      </c>
      <c r="C22" s="104">
        <f t="shared" si="0"/>
        <v>19000</v>
      </c>
      <c r="E22" s="47">
        <v>20</v>
      </c>
      <c r="F22" s="44">
        <v>6000</v>
      </c>
      <c r="G22" s="104">
        <f t="shared" si="1"/>
        <v>57400</v>
      </c>
      <c r="I22" s="47">
        <v>20</v>
      </c>
      <c r="J22" s="44">
        <v>9000</v>
      </c>
      <c r="K22" s="104">
        <f t="shared" si="2"/>
        <v>86100</v>
      </c>
      <c r="M22" s="47">
        <v>20</v>
      </c>
      <c r="N22" s="44">
        <v>1400</v>
      </c>
      <c r="O22" s="104">
        <f t="shared" si="3"/>
        <v>14000</v>
      </c>
    </row>
    <row r="23" spans="1:15" x14ac:dyDescent="0.25">
      <c r="A23" s="47">
        <v>21</v>
      </c>
      <c r="B23" s="44">
        <v>2000</v>
      </c>
      <c r="C23" s="104">
        <f t="shared" si="0"/>
        <v>21000</v>
      </c>
      <c r="E23" s="47">
        <v>21</v>
      </c>
      <c r="F23" s="44">
        <v>6500</v>
      </c>
      <c r="G23" s="104">
        <f t="shared" si="1"/>
        <v>63900</v>
      </c>
      <c r="I23" s="47">
        <v>21</v>
      </c>
      <c r="J23" s="44">
        <v>9800</v>
      </c>
      <c r="K23" s="104">
        <f t="shared" si="2"/>
        <v>95900</v>
      </c>
      <c r="M23" s="47">
        <v>21</v>
      </c>
      <c r="N23" s="44">
        <v>1400</v>
      </c>
      <c r="O23" s="104">
        <f t="shared" si="3"/>
        <v>15400</v>
      </c>
    </row>
    <row r="24" spans="1:15" x14ac:dyDescent="0.25">
      <c r="A24" s="47">
        <v>22</v>
      </c>
      <c r="B24" s="44">
        <v>2100</v>
      </c>
      <c r="C24" s="104">
        <f t="shared" si="0"/>
        <v>23100</v>
      </c>
      <c r="E24" s="47">
        <v>22</v>
      </c>
      <c r="F24" s="44">
        <v>7100</v>
      </c>
      <c r="G24" s="104">
        <f t="shared" si="1"/>
        <v>71000</v>
      </c>
      <c r="I24" s="47">
        <v>22</v>
      </c>
      <c r="J24" s="44">
        <v>10600</v>
      </c>
      <c r="K24" s="104">
        <f t="shared" si="2"/>
        <v>106500</v>
      </c>
      <c r="M24" s="47">
        <v>22</v>
      </c>
      <c r="N24" s="44">
        <v>1500</v>
      </c>
      <c r="O24" s="104">
        <f t="shared" si="3"/>
        <v>16900</v>
      </c>
    </row>
    <row r="25" spans="1:15" x14ac:dyDescent="0.25">
      <c r="A25" s="47">
        <v>23</v>
      </c>
      <c r="B25" s="44">
        <v>2200</v>
      </c>
      <c r="C25" s="104">
        <f t="shared" si="0"/>
        <v>25300</v>
      </c>
      <c r="E25" s="47">
        <v>23</v>
      </c>
      <c r="F25" s="44">
        <v>8000</v>
      </c>
      <c r="G25" s="104">
        <f t="shared" si="1"/>
        <v>79000</v>
      </c>
      <c r="I25" s="47">
        <v>23</v>
      </c>
      <c r="J25" s="44">
        <v>12000</v>
      </c>
      <c r="K25" s="104">
        <f t="shared" si="2"/>
        <v>118500</v>
      </c>
      <c r="M25" s="47">
        <v>23</v>
      </c>
      <c r="N25" s="44">
        <v>1600</v>
      </c>
      <c r="O25" s="104">
        <f t="shared" si="3"/>
        <v>18500</v>
      </c>
    </row>
    <row r="26" spans="1:15" x14ac:dyDescent="0.25">
      <c r="A26" s="47">
        <v>24</v>
      </c>
      <c r="B26" s="44">
        <v>2300</v>
      </c>
      <c r="C26" s="104">
        <f t="shared" si="0"/>
        <v>27600</v>
      </c>
      <c r="E26" s="47">
        <v>24</v>
      </c>
      <c r="F26" s="44">
        <v>9000</v>
      </c>
      <c r="G26" s="104">
        <f t="shared" si="1"/>
        <v>88000</v>
      </c>
      <c r="I26" s="47">
        <v>24</v>
      </c>
      <c r="J26" s="44">
        <v>13500</v>
      </c>
      <c r="K26" s="104">
        <f t="shared" si="2"/>
        <v>132000</v>
      </c>
      <c r="M26" s="47">
        <v>24</v>
      </c>
      <c r="N26" s="44">
        <v>1600</v>
      </c>
      <c r="O26" s="104">
        <f t="shared" si="3"/>
        <v>20100</v>
      </c>
    </row>
    <row r="27" spans="1:15" x14ac:dyDescent="0.25">
      <c r="A27" s="47">
        <v>25</v>
      </c>
      <c r="B27" s="44">
        <v>2400</v>
      </c>
      <c r="C27" s="104">
        <f t="shared" si="0"/>
        <v>30000</v>
      </c>
      <c r="E27" s="47">
        <v>25</v>
      </c>
      <c r="F27" s="44">
        <v>10000</v>
      </c>
      <c r="G27" s="104">
        <f t="shared" si="1"/>
        <v>98000</v>
      </c>
      <c r="I27" s="47">
        <v>25</v>
      </c>
      <c r="J27" s="44">
        <v>15000</v>
      </c>
      <c r="K27" s="104">
        <f t="shared" si="2"/>
        <v>147000</v>
      </c>
      <c r="M27" s="47">
        <v>25</v>
      </c>
      <c r="N27" s="44">
        <v>1700</v>
      </c>
      <c r="O27" s="104">
        <f t="shared" si="3"/>
        <v>21800</v>
      </c>
    </row>
    <row r="28" spans="1:15" x14ac:dyDescent="0.25">
      <c r="A28" s="47">
        <v>26</v>
      </c>
      <c r="B28" s="44">
        <v>2500</v>
      </c>
      <c r="C28" s="104">
        <f t="shared" si="0"/>
        <v>32500</v>
      </c>
      <c r="E28" s="47">
        <v>26</v>
      </c>
      <c r="F28" s="44">
        <v>11000</v>
      </c>
      <c r="G28" s="104">
        <f t="shared" si="1"/>
        <v>109000</v>
      </c>
      <c r="I28" s="47">
        <v>26</v>
      </c>
      <c r="J28" s="44">
        <v>16500</v>
      </c>
      <c r="K28" s="104">
        <f t="shared" si="2"/>
        <v>163500</v>
      </c>
      <c r="M28" s="47">
        <v>26</v>
      </c>
      <c r="N28" s="44">
        <v>1800</v>
      </c>
      <c r="O28" s="104">
        <f t="shared" si="3"/>
        <v>23600</v>
      </c>
    </row>
    <row r="29" spans="1:15" x14ac:dyDescent="0.25">
      <c r="A29" s="47">
        <v>27</v>
      </c>
      <c r="B29" s="44">
        <v>2600</v>
      </c>
      <c r="C29" s="104">
        <f t="shared" si="0"/>
        <v>35100</v>
      </c>
      <c r="E29" s="47">
        <v>27</v>
      </c>
      <c r="F29" s="44">
        <v>12200</v>
      </c>
      <c r="G29" s="104">
        <f t="shared" si="1"/>
        <v>121200</v>
      </c>
      <c r="I29" s="47">
        <v>27</v>
      </c>
      <c r="J29" s="44">
        <v>18300</v>
      </c>
      <c r="K29" s="104">
        <f t="shared" si="2"/>
        <v>181800</v>
      </c>
      <c r="M29" s="47">
        <v>27</v>
      </c>
      <c r="N29" s="44">
        <v>1900</v>
      </c>
      <c r="O29" s="104">
        <f t="shared" si="3"/>
        <v>25500</v>
      </c>
    </row>
    <row r="30" spans="1:15" x14ac:dyDescent="0.25">
      <c r="A30" s="47">
        <v>28</v>
      </c>
      <c r="B30" s="44">
        <v>2800</v>
      </c>
      <c r="C30" s="104">
        <f t="shared" si="0"/>
        <v>37900</v>
      </c>
      <c r="E30" s="47">
        <v>28</v>
      </c>
      <c r="F30" s="44">
        <v>13400</v>
      </c>
      <c r="G30" s="104">
        <f t="shared" si="1"/>
        <v>134600</v>
      </c>
      <c r="I30" s="47">
        <v>28</v>
      </c>
      <c r="J30" s="44">
        <v>20100</v>
      </c>
      <c r="K30" s="104">
        <f t="shared" si="2"/>
        <v>201900</v>
      </c>
      <c r="M30" s="47">
        <v>28</v>
      </c>
      <c r="N30" s="44">
        <v>2100</v>
      </c>
      <c r="O30" s="104">
        <f t="shared" si="3"/>
        <v>27600</v>
      </c>
    </row>
    <row r="31" spans="1:15" x14ac:dyDescent="0.25">
      <c r="A31" s="47">
        <v>29</v>
      </c>
      <c r="B31" s="44">
        <v>3100</v>
      </c>
      <c r="C31" s="104">
        <f t="shared" si="0"/>
        <v>41000</v>
      </c>
      <c r="E31" s="47">
        <v>29</v>
      </c>
      <c r="F31" s="44">
        <v>14700</v>
      </c>
      <c r="G31" s="104">
        <f t="shared" si="1"/>
        <v>149300</v>
      </c>
      <c r="I31" s="47">
        <v>29</v>
      </c>
      <c r="J31" s="44">
        <v>22000</v>
      </c>
      <c r="K31" s="104">
        <f t="shared" si="2"/>
        <v>223900</v>
      </c>
      <c r="M31" s="47">
        <v>29</v>
      </c>
      <c r="N31" s="44">
        <v>2300</v>
      </c>
      <c r="O31" s="104">
        <f t="shared" si="3"/>
        <v>29900</v>
      </c>
    </row>
    <row r="32" spans="1:15" x14ac:dyDescent="0.25">
      <c r="A32" s="47">
        <v>30</v>
      </c>
      <c r="B32" s="44">
        <v>3400</v>
      </c>
      <c r="C32" s="104">
        <f t="shared" si="0"/>
        <v>44400</v>
      </c>
      <c r="E32" s="47">
        <v>30</v>
      </c>
      <c r="F32" s="44">
        <v>16000</v>
      </c>
      <c r="G32" s="104">
        <f t="shared" si="1"/>
        <v>165300</v>
      </c>
      <c r="I32" s="47">
        <v>30</v>
      </c>
      <c r="J32" s="44">
        <v>24000</v>
      </c>
      <c r="K32" s="104">
        <f t="shared" si="2"/>
        <v>247900</v>
      </c>
      <c r="M32" s="47">
        <v>30</v>
      </c>
      <c r="N32" s="44">
        <v>2500</v>
      </c>
      <c r="O32" s="104">
        <f t="shared" si="3"/>
        <v>32400</v>
      </c>
    </row>
    <row r="33" spans="1:15" x14ac:dyDescent="0.25">
      <c r="A33" s="47">
        <v>31</v>
      </c>
      <c r="B33" s="44">
        <v>4200</v>
      </c>
      <c r="C33" s="104">
        <f t="shared" si="0"/>
        <v>48600</v>
      </c>
      <c r="E33" s="47">
        <v>31</v>
      </c>
      <c r="F33" s="44">
        <v>17500</v>
      </c>
      <c r="G33" s="104">
        <f t="shared" si="1"/>
        <v>182800</v>
      </c>
      <c r="I33" s="47">
        <v>31</v>
      </c>
      <c r="J33" s="44">
        <v>26300</v>
      </c>
      <c r="K33" s="104">
        <f t="shared" si="2"/>
        <v>274200</v>
      </c>
      <c r="M33" s="47">
        <v>31</v>
      </c>
      <c r="N33" s="44">
        <v>3300</v>
      </c>
      <c r="O33" s="104">
        <f t="shared" si="3"/>
        <v>35700</v>
      </c>
    </row>
    <row r="34" spans="1:15" x14ac:dyDescent="0.25">
      <c r="A34" s="47">
        <v>32</v>
      </c>
      <c r="B34" s="44">
        <v>4600</v>
      </c>
      <c r="C34" s="104">
        <f t="shared" si="0"/>
        <v>53200</v>
      </c>
      <c r="E34" s="47">
        <v>32</v>
      </c>
      <c r="F34" s="44">
        <v>18900</v>
      </c>
      <c r="G34" s="104">
        <f t="shared" si="1"/>
        <v>201700</v>
      </c>
      <c r="I34" s="47">
        <v>32</v>
      </c>
      <c r="J34" s="44">
        <v>28300</v>
      </c>
      <c r="K34" s="104">
        <f t="shared" si="2"/>
        <v>302500</v>
      </c>
      <c r="M34" s="47">
        <v>32</v>
      </c>
      <c r="N34" s="44">
        <v>3600</v>
      </c>
      <c r="O34" s="104">
        <f t="shared" si="3"/>
        <v>39300</v>
      </c>
    </row>
    <row r="35" spans="1:15" x14ac:dyDescent="0.25">
      <c r="A35" s="47">
        <v>33</v>
      </c>
      <c r="B35" s="44">
        <v>5000</v>
      </c>
      <c r="C35" s="104">
        <f t="shared" si="0"/>
        <v>58200</v>
      </c>
      <c r="E35" s="47">
        <v>33</v>
      </c>
      <c r="F35" s="44">
        <v>20500</v>
      </c>
      <c r="G35" s="104">
        <f t="shared" si="1"/>
        <v>222200</v>
      </c>
      <c r="I35" s="47">
        <v>33</v>
      </c>
      <c r="J35" s="44">
        <v>30800</v>
      </c>
      <c r="K35" s="104">
        <f t="shared" si="2"/>
        <v>333300</v>
      </c>
      <c r="M35" s="47">
        <v>33</v>
      </c>
      <c r="N35" s="44">
        <v>3900</v>
      </c>
      <c r="O35" s="104">
        <f t="shared" si="3"/>
        <v>43200</v>
      </c>
    </row>
    <row r="36" spans="1:15" x14ac:dyDescent="0.25">
      <c r="A36" s="47">
        <v>34</v>
      </c>
      <c r="B36" s="44">
        <v>5400</v>
      </c>
      <c r="C36" s="104">
        <f t="shared" si="0"/>
        <v>63600</v>
      </c>
      <c r="E36" s="47">
        <v>34</v>
      </c>
      <c r="F36" s="44">
        <v>22200</v>
      </c>
      <c r="G36" s="104">
        <f t="shared" si="1"/>
        <v>244400</v>
      </c>
      <c r="I36" s="47">
        <v>34</v>
      </c>
      <c r="J36" s="44">
        <v>33300</v>
      </c>
      <c r="K36" s="104">
        <f t="shared" si="2"/>
        <v>366600</v>
      </c>
      <c r="M36" s="47">
        <v>34</v>
      </c>
      <c r="N36" s="44">
        <v>4200</v>
      </c>
      <c r="O36" s="104">
        <f t="shared" si="3"/>
        <v>47400</v>
      </c>
    </row>
    <row r="37" spans="1:15" x14ac:dyDescent="0.25">
      <c r="A37" s="47">
        <v>35</v>
      </c>
      <c r="B37" s="44">
        <v>5800</v>
      </c>
      <c r="C37" s="104">
        <f t="shared" si="0"/>
        <v>69400</v>
      </c>
      <c r="E37" s="47">
        <v>35</v>
      </c>
      <c r="F37" s="44">
        <v>23900</v>
      </c>
      <c r="G37" s="104">
        <f t="shared" si="1"/>
        <v>268300</v>
      </c>
      <c r="I37" s="47">
        <v>35</v>
      </c>
      <c r="J37" s="44">
        <v>35800</v>
      </c>
      <c r="K37" s="104">
        <f t="shared" si="2"/>
        <v>402400</v>
      </c>
      <c r="M37" s="47">
        <v>35</v>
      </c>
      <c r="N37" s="44">
        <v>4500</v>
      </c>
      <c r="O37" s="104">
        <f t="shared" si="3"/>
        <v>51900</v>
      </c>
    </row>
    <row r="38" spans="1:15" x14ac:dyDescent="0.25">
      <c r="A38" s="47">
        <v>36</v>
      </c>
      <c r="B38" s="44">
        <v>6300</v>
      </c>
      <c r="C38" s="104">
        <f t="shared" si="0"/>
        <v>75700</v>
      </c>
      <c r="E38" s="47">
        <v>36</v>
      </c>
      <c r="F38" s="44">
        <v>25700</v>
      </c>
      <c r="G38" s="104">
        <f t="shared" si="1"/>
        <v>294000</v>
      </c>
      <c r="I38" s="47">
        <v>36</v>
      </c>
      <c r="J38" s="44">
        <v>38600</v>
      </c>
      <c r="K38" s="104">
        <f t="shared" si="2"/>
        <v>441000</v>
      </c>
      <c r="M38" s="47">
        <v>36</v>
      </c>
      <c r="N38" s="44">
        <v>4800</v>
      </c>
      <c r="O38" s="104">
        <f t="shared" si="3"/>
        <v>56700</v>
      </c>
    </row>
    <row r="39" spans="1:15" x14ac:dyDescent="0.25">
      <c r="A39" s="47">
        <v>37</v>
      </c>
      <c r="B39" s="44">
        <v>6700</v>
      </c>
      <c r="C39" s="104">
        <f t="shared" si="0"/>
        <v>82400</v>
      </c>
      <c r="E39" s="47">
        <v>37</v>
      </c>
      <c r="F39" s="44">
        <v>27600</v>
      </c>
      <c r="G39" s="104">
        <f t="shared" si="1"/>
        <v>321600</v>
      </c>
      <c r="I39" s="47">
        <v>37</v>
      </c>
      <c r="J39" s="44">
        <v>41400</v>
      </c>
      <c r="K39" s="104">
        <f t="shared" si="2"/>
        <v>482400</v>
      </c>
      <c r="M39" s="47">
        <v>37</v>
      </c>
      <c r="N39" s="44">
        <v>5100</v>
      </c>
      <c r="O39" s="104">
        <f t="shared" si="3"/>
        <v>61800</v>
      </c>
    </row>
    <row r="40" spans="1:15" x14ac:dyDescent="0.25">
      <c r="A40" s="47">
        <v>38</v>
      </c>
      <c r="B40" s="44">
        <v>7200</v>
      </c>
      <c r="C40" s="104">
        <f t="shared" si="0"/>
        <v>89600</v>
      </c>
      <c r="E40" s="47">
        <v>38</v>
      </c>
      <c r="F40" s="44">
        <v>29500</v>
      </c>
      <c r="G40" s="104">
        <f t="shared" si="1"/>
        <v>351100</v>
      </c>
      <c r="I40" s="47">
        <v>38</v>
      </c>
      <c r="J40" s="44">
        <v>44200</v>
      </c>
      <c r="K40" s="104">
        <f t="shared" si="2"/>
        <v>526600</v>
      </c>
      <c r="M40" s="47">
        <v>38</v>
      </c>
      <c r="N40" s="44">
        <v>5500</v>
      </c>
      <c r="O40" s="104">
        <f t="shared" si="3"/>
        <v>67300</v>
      </c>
    </row>
    <row r="41" spans="1:15" x14ac:dyDescent="0.25">
      <c r="A41" s="47">
        <v>39</v>
      </c>
      <c r="B41" s="44">
        <v>7700</v>
      </c>
      <c r="C41" s="104">
        <f t="shared" si="0"/>
        <v>97300</v>
      </c>
      <c r="E41" s="47">
        <v>39</v>
      </c>
      <c r="F41" s="44">
        <v>31600</v>
      </c>
      <c r="G41" s="104">
        <f t="shared" si="1"/>
        <v>382700</v>
      </c>
      <c r="I41" s="47">
        <v>39</v>
      </c>
      <c r="J41" s="44">
        <v>47400</v>
      </c>
      <c r="K41" s="104">
        <f t="shared" si="2"/>
        <v>574000</v>
      </c>
      <c r="M41" s="47">
        <v>39</v>
      </c>
      <c r="N41" s="44">
        <v>5800</v>
      </c>
      <c r="O41" s="104">
        <f t="shared" si="3"/>
        <v>73100</v>
      </c>
    </row>
    <row r="42" spans="1:15" x14ac:dyDescent="0.25">
      <c r="A42" s="47">
        <v>40</v>
      </c>
      <c r="B42" s="44">
        <v>8200</v>
      </c>
      <c r="C42" s="104">
        <f t="shared" si="0"/>
        <v>105500</v>
      </c>
      <c r="E42" s="47">
        <v>40</v>
      </c>
      <c r="F42" s="44">
        <v>33700</v>
      </c>
      <c r="G42" s="104">
        <f t="shared" si="1"/>
        <v>416400</v>
      </c>
      <c r="I42" s="47">
        <v>40</v>
      </c>
      <c r="J42" s="44">
        <v>50600</v>
      </c>
      <c r="K42" s="104">
        <f t="shared" si="2"/>
        <v>624600</v>
      </c>
      <c r="M42" s="47">
        <v>40</v>
      </c>
      <c r="N42" s="44">
        <v>6200</v>
      </c>
      <c r="O42" s="104">
        <f t="shared" si="3"/>
        <v>79300</v>
      </c>
    </row>
    <row r="43" spans="1:15" x14ac:dyDescent="0.25">
      <c r="A43" s="47">
        <v>41</v>
      </c>
      <c r="B43" s="44">
        <v>8800</v>
      </c>
      <c r="C43" s="104">
        <f t="shared" si="0"/>
        <v>114300</v>
      </c>
      <c r="E43" s="47">
        <v>41</v>
      </c>
      <c r="F43" s="44">
        <v>35900</v>
      </c>
      <c r="G43" s="104">
        <f t="shared" si="1"/>
        <v>452300</v>
      </c>
      <c r="I43" s="47">
        <v>41</v>
      </c>
      <c r="J43" s="44">
        <v>53800</v>
      </c>
      <c r="K43" s="104">
        <f t="shared" si="2"/>
        <v>678400</v>
      </c>
      <c r="M43" s="47">
        <v>41</v>
      </c>
      <c r="N43" s="44">
        <v>6600</v>
      </c>
      <c r="O43" s="104">
        <f t="shared" si="3"/>
        <v>85900</v>
      </c>
    </row>
    <row r="44" spans="1:15" x14ac:dyDescent="0.25">
      <c r="A44" s="47">
        <v>42</v>
      </c>
      <c r="B44" s="44">
        <v>9300</v>
      </c>
      <c r="C44" s="104">
        <f t="shared" si="0"/>
        <v>123600</v>
      </c>
      <c r="E44" s="47">
        <v>42</v>
      </c>
      <c r="F44" s="44">
        <v>38200</v>
      </c>
      <c r="G44" s="104">
        <f t="shared" si="1"/>
        <v>490500</v>
      </c>
      <c r="I44" s="47">
        <v>42</v>
      </c>
      <c r="J44" s="44">
        <v>57300</v>
      </c>
      <c r="K44" s="104">
        <f t="shared" si="2"/>
        <v>735700</v>
      </c>
      <c r="M44" s="47">
        <v>42</v>
      </c>
      <c r="N44" s="44">
        <v>7000</v>
      </c>
      <c r="O44" s="104">
        <f t="shared" si="3"/>
        <v>92900</v>
      </c>
    </row>
    <row r="45" spans="1:15" x14ac:dyDescent="0.25">
      <c r="A45" s="47">
        <v>43</v>
      </c>
      <c r="B45" s="44">
        <v>9900</v>
      </c>
      <c r="C45" s="104">
        <f t="shared" si="0"/>
        <v>133500</v>
      </c>
      <c r="E45" s="47">
        <v>43</v>
      </c>
      <c r="F45" s="44">
        <v>40500</v>
      </c>
      <c r="G45" s="104">
        <f t="shared" si="1"/>
        <v>531000</v>
      </c>
      <c r="I45" s="47">
        <v>43</v>
      </c>
      <c r="J45" s="44">
        <v>60800</v>
      </c>
      <c r="K45" s="104">
        <f t="shared" si="2"/>
        <v>796500</v>
      </c>
      <c r="M45" s="47">
        <v>43</v>
      </c>
      <c r="N45" s="44">
        <v>7400</v>
      </c>
      <c r="O45" s="104">
        <f t="shared" si="3"/>
        <v>100300</v>
      </c>
    </row>
    <row r="46" spans="1:15" x14ac:dyDescent="0.25">
      <c r="A46" s="47">
        <v>44</v>
      </c>
      <c r="B46" s="44">
        <v>10500</v>
      </c>
      <c r="C46" s="104">
        <f t="shared" si="0"/>
        <v>144000</v>
      </c>
      <c r="E46" s="47">
        <v>44</v>
      </c>
      <c r="F46" s="44">
        <v>43000</v>
      </c>
      <c r="G46" s="104">
        <f t="shared" si="1"/>
        <v>574000</v>
      </c>
      <c r="I46" s="47">
        <v>44</v>
      </c>
      <c r="J46" s="44">
        <v>64500</v>
      </c>
      <c r="K46" s="104">
        <f t="shared" si="2"/>
        <v>861000</v>
      </c>
      <c r="M46" s="47">
        <v>44</v>
      </c>
      <c r="N46" s="44">
        <v>7800</v>
      </c>
      <c r="O46" s="104">
        <f t="shared" si="3"/>
        <v>108100</v>
      </c>
    </row>
    <row r="47" spans="1:15" x14ac:dyDescent="0.25">
      <c r="A47" s="47">
        <v>45</v>
      </c>
      <c r="B47" s="44">
        <v>11100</v>
      </c>
      <c r="C47" s="104">
        <f t="shared" si="0"/>
        <v>155100</v>
      </c>
      <c r="E47" s="47">
        <v>45</v>
      </c>
      <c r="F47" s="44">
        <v>45500</v>
      </c>
      <c r="G47" s="104">
        <f t="shared" si="1"/>
        <v>619500</v>
      </c>
      <c r="I47" s="47">
        <v>45</v>
      </c>
      <c r="J47" s="44">
        <v>68200</v>
      </c>
      <c r="K47" s="104">
        <f t="shared" si="2"/>
        <v>929200</v>
      </c>
      <c r="M47" s="47">
        <v>45</v>
      </c>
      <c r="N47" s="44">
        <v>8200</v>
      </c>
      <c r="O47" s="104">
        <f t="shared" si="3"/>
        <v>116300</v>
      </c>
    </row>
    <row r="48" spans="1:15" x14ac:dyDescent="0.25">
      <c r="A48" s="47">
        <v>46</v>
      </c>
      <c r="B48" s="44">
        <v>11800</v>
      </c>
      <c r="C48" s="104">
        <f t="shared" si="0"/>
        <v>166900</v>
      </c>
      <c r="E48" s="47">
        <v>46</v>
      </c>
      <c r="F48" s="44">
        <v>48200</v>
      </c>
      <c r="G48" s="104">
        <f t="shared" si="1"/>
        <v>667700</v>
      </c>
      <c r="I48" s="47">
        <v>46</v>
      </c>
      <c r="J48" s="44">
        <v>72300</v>
      </c>
      <c r="K48" s="104">
        <f t="shared" si="2"/>
        <v>1001500</v>
      </c>
      <c r="M48" s="47">
        <v>46</v>
      </c>
      <c r="N48" s="44">
        <v>8700</v>
      </c>
      <c r="O48" s="104">
        <f t="shared" si="3"/>
        <v>125000</v>
      </c>
    </row>
    <row r="49" spans="1:15" x14ac:dyDescent="0.25">
      <c r="A49" s="47">
        <v>47</v>
      </c>
      <c r="B49" s="44">
        <v>12500</v>
      </c>
      <c r="C49" s="104">
        <f t="shared" si="0"/>
        <v>179400</v>
      </c>
      <c r="E49" s="47">
        <v>47</v>
      </c>
      <c r="F49" s="44">
        <v>50900</v>
      </c>
      <c r="G49" s="104">
        <f t="shared" si="1"/>
        <v>718600</v>
      </c>
      <c r="I49" s="47">
        <v>47</v>
      </c>
      <c r="J49" s="44">
        <v>76400</v>
      </c>
      <c r="K49" s="104">
        <f t="shared" si="2"/>
        <v>1077900</v>
      </c>
      <c r="M49" s="47">
        <v>47</v>
      </c>
      <c r="N49" s="44">
        <v>9100</v>
      </c>
      <c r="O49" s="104">
        <f t="shared" si="3"/>
        <v>134100</v>
      </c>
    </row>
    <row r="50" spans="1:15" x14ac:dyDescent="0.25">
      <c r="A50" s="47">
        <v>48</v>
      </c>
      <c r="B50" s="44">
        <v>13100</v>
      </c>
      <c r="C50" s="104">
        <f t="shared" si="0"/>
        <v>192500</v>
      </c>
      <c r="E50" s="47">
        <v>48</v>
      </c>
      <c r="F50" s="44">
        <v>53700</v>
      </c>
      <c r="G50" s="104">
        <f t="shared" si="1"/>
        <v>772300</v>
      </c>
      <c r="I50" s="47">
        <v>48</v>
      </c>
      <c r="J50" s="44">
        <v>80500</v>
      </c>
      <c r="K50" s="104">
        <f t="shared" si="2"/>
        <v>1158400</v>
      </c>
      <c r="M50" s="47">
        <v>48</v>
      </c>
      <c r="N50" s="44">
        <v>9600</v>
      </c>
      <c r="O50" s="104">
        <f t="shared" si="3"/>
        <v>143700</v>
      </c>
    </row>
    <row r="51" spans="1:15" x14ac:dyDescent="0.25">
      <c r="A51" s="47">
        <v>49</v>
      </c>
      <c r="B51" s="44">
        <v>13900</v>
      </c>
      <c r="C51" s="104">
        <f t="shared" si="0"/>
        <v>206400</v>
      </c>
      <c r="E51" s="47">
        <v>49</v>
      </c>
      <c r="F51" s="44">
        <v>56600</v>
      </c>
      <c r="G51" s="104">
        <f t="shared" si="1"/>
        <v>828900</v>
      </c>
      <c r="I51" s="47">
        <v>49</v>
      </c>
      <c r="J51" s="44">
        <v>84900</v>
      </c>
      <c r="K51" s="104">
        <f t="shared" si="2"/>
        <v>1243300</v>
      </c>
      <c r="M51" s="47">
        <v>49</v>
      </c>
      <c r="N51" s="44">
        <v>10100</v>
      </c>
      <c r="O51" s="104">
        <f t="shared" si="3"/>
        <v>153800</v>
      </c>
    </row>
    <row r="52" spans="1:15" x14ac:dyDescent="0.25">
      <c r="A52" s="47">
        <v>50</v>
      </c>
      <c r="B52" s="44">
        <v>14600</v>
      </c>
      <c r="C52" s="104">
        <f t="shared" si="0"/>
        <v>221000</v>
      </c>
      <c r="E52" s="47">
        <v>50</v>
      </c>
      <c r="F52" s="44">
        <v>59600</v>
      </c>
      <c r="G52" s="104">
        <f t="shared" si="1"/>
        <v>888500</v>
      </c>
      <c r="I52" s="47">
        <v>50</v>
      </c>
      <c r="J52" s="44">
        <v>89400</v>
      </c>
      <c r="K52" s="104">
        <f t="shared" si="2"/>
        <v>1332700</v>
      </c>
      <c r="M52" s="47">
        <v>50</v>
      </c>
      <c r="N52" s="44">
        <v>10600</v>
      </c>
      <c r="O52" s="104">
        <f t="shared" si="3"/>
        <v>164400</v>
      </c>
    </row>
    <row r="53" spans="1:15" x14ac:dyDescent="0.25">
      <c r="A53" s="47">
        <v>51</v>
      </c>
      <c r="B53" s="44">
        <v>15400</v>
      </c>
      <c r="C53" s="104">
        <f t="shared" si="0"/>
        <v>236400</v>
      </c>
      <c r="E53" s="47">
        <v>51</v>
      </c>
      <c r="F53" s="44">
        <v>62700</v>
      </c>
      <c r="G53" s="104">
        <f t="shared" si="1"/>
        <v>951200</v>
      </c>
      <c r="I53" s="47">
        <v>51</v>
      </c>
      <c r="J53" s="44">
        <v>94100</v>
      </c>
      <c r="K53" s="104">
        <f t="shared" si="2"/>
        <v>1426800</v>
      </c>
      <c r="M53" s="47">
        <v>51</v>
      </c>
      <c r="N53" s="44">
        <v>15400</v>
      </c>
      <c r="O53" s="104">
        <f t="shared" si="3"/>
        <v>179800</v>
      </c>
    </row>
    <row r="54" spans="1:15" x14ac:dyDescent="0.25">
      <c r="A54" s="47">
        <v>52</v>
      </c>
      <c r="B54" s="44">
        <v>16100</v>
      </c>
      <c r="C54" s="104">
        <f t="shared" si="0"/>
        <v>252500</v>
      </c>
      <c r="E54" s="47">
        <v>52</v>
      </c>
      <c r="F54" s="44">
        <v>65900</v>
      </c>
      <c r="G54" s="104">
        <f t="shared" si="1"/>
        <v>1017100</v>
      </c>
      <c r="I54" s="47">
        <v>52</v>
      </c>
      <c r="J54" s="44">
        <v>98800</v>
      </c>
      <c r="K54" s="104">
        <f t="shared" si="2"/>
        <v>1525600</v>
      </c>
      <c r="M54" s="47">
        <v>52</v>
      </c>
      <c r="N54" s="44">
        <v>16100</v>
      </c>
      <c r="O54" s="104">
        <f t="shared" si="3"/>
        <v>195900</v>
      </c>
    </row>
    <row r="55" spans="1:15" x14ac:dyDescent="0.25">
      <c r="A55" s="47">
        <v>53</v>
      </c>
      <c r="B55" s="44">
        <v>16900</v>
      </c>
      <c r="C55" s="104">
        <f t="shared" si="0"/>
        <v>269400</v>
      </c>
      <c r="E55" s="47">
        <v>53</v>
      </c>
      <c r="F55" s="44">
        <v>69200</v>
      </c>
      <c r="G55" s="104">
        <f t="shared" si="1"/>
        <v>1086300</v>
      </c>
      <c r="I55" s="47">
        <v>53</v>
      </c>
      <c r="J55" s="44">
        <v>103800</v>
      </c>
      <c r="K55" s="104">
        <f t="shared" si="2"/>
        <v>1629400</v>
      </c>
      <c r="M55" s="47">
        <v>53</v>
      </c>
      <c r="N55" s="44">
        <v>16900</v>
      </c>
      <c r="O55" s="104">
        <f t="shared" si="3"/>
        <v>212800</v>
      </c>
    </row>
    <row r="56" spans="1:15" x14ac:dyDescent="0.25">
      <c r="A56" s="47">
        <v>54</v>
      </c>
      <c r="B56" s="44">
        <v>17800</v>
      </c>
      <c r="C56" s="104">
        <f t="shared" si="0"/>
        <v>287200</v>
      </c>
      <c r="E56" s="47">
        <v>54</v>
      </c>
      <c r="F56" s="44">
        <v>72600</v>
      </c>
      <c r="G56" s="104">
        <f t="shared" si="1"/>
        <v>1158900</v>
      </c>
      <c r="I56" s="47">
        <v>54</v>
      </c>
      <c r="J56" s="44">
        <v>108900</v>
      </c>
      <c r="K56" s="104">
        <f t="shared" si="2"/>
        <v>1738300</v>
      </c>
      <c r="M56" s="47">
        <v>54</v>
      </c>
      <c r="N56" s="44">
        <v>17700</v>
      </c>
      <c r="O56" s="104">
        <f t="shared" si="3"/>
        <v>230500</v>
      </c>
    </row>
    <row r="57" spans="1:15" x14ac:dyDescent="0.25">
      <c r="A57" s="47">
        <v>55</v>
      </c>
      <c r="B57" s="44">
        <v>18600</v>
      </c>
      <c r="C57" s="104">
        <f t="shared" si="0"/>
        <v>305800</v>
      </c>
      <c r="E57" s="47">
        <v>55</v>
      </c>
      <c r="F57" s="44">
        <v>76000</v>
      </c>
      <c r="G57" s="104">
        <f t="shared" si="1"/>
        <v>1234900</v>
      </c>
      <c r="I57" s="47">
        <v>55</v>
      </c>
      <c r="J57" s="44">
        <v>114000</v>
      </c>
      <c r="K57" s="104">
        <f t="shared" si="2"/>
        <v>1852300</v>
      </c>
      <c r="M57" s="47">
        <v>55</v>
      </c>
      <c r="N57" s="44">
        <v>18600</v>
      </c>
      <c r="O57" s="104">
        <f t="shared" si="3"/>
        <v>249100</v>
      </c>
    </row>
    <row r="58" spans="1:15" x14ac:dyDescent="0.25">
      <c r="A58" s="47">
        <v>56</v>
      </c>
      <c r="B58" s="44">
        <v>19500</v>
      </c>
      <c r="C58" s="104">
        <f t="shared" si="0"/>
        <v>325300</v>
      </c>
      <c r="E58" s="47">
        <v>56</v>
      </c>
      <c r="F58" s="44">
        <v>79600</v>
      </c>
      <c r="G58" s="104">
        <f t="shared" si="1"/>
        <v>1314500</v>
      </c>
      <c r="I58" s="47">
        <v>56</v>
      </c>
      <c r="J58" s="44">
        <v>119500</v>
      </c>
      <c r="K58" s="104">
        <f t="shared" si="2"/>
        <v>1971800</v>
      </c>
      <c r="M58" s="47">
        <v>56</v>
      </c>
      <c r="N58" s="44">
        <v>19400</v>
      </c>
      <c r="O58" s="104">
        <f t="shared" si="3"/>
        <v>268500</v>
      </c>
    </row>
    <row r="59" spans="1:15" x14ac:dyDescent="0.25">
      <c r="A59" s="47">
        <v>57</v>
      </c>
      <c r="B59" s="44">
        <v>20400</v>
      </c>
      <c r="C59" s="104">
        <f t="shared" si="0"/>
        <v>345700</v>
      </c>
      <c r="E59" s="47">
        <v>57</v>
      </c>
      <c r="F59" s="44">
        <v>83300</v>
      </c>
      <c r="G59" s="104">
        <f t="shared" si="1"/>
        <v>1397800</v>
      </c>
      <c r="I59" s="47">
        <v>57</v>
      </c>
      <c r="J59" s="44">
        <v>124900</v>
      </c>
      <c r="K59" s="104">
        <f t="shared" si="2"/>
        <v>2096700</v>
      </c>
      <c r="M59" s="47">
        <v>57</v>
      </c>
      <c r="N59" s="44">
        <v>20300</v>
      </c>
      <c r="O59" s="104">
        <f t="shared" si="3"/>
        <v>288800</v>
      </c>
    </row>
    <row r="60" spans="1:15" x14ac:dyDescent="0.25">
      <c r="A60" s="47">
        <v>58</v>
      </c>
      <c r="B60" s="44">
        <v>21300</v>
      </c>
      <c r="C60" s="104">
        <f t="shared" si="0"/>
        <v>367000</v>
      </c>
      <c r="E60" s="47">
        <v>58</v>
      </c>
      <c r="F60" s="44">
        <v>87000</v>
      </c>
      <c r="G60" s="104">
        <f t="shared" si="1"/>
        <v>1484800</v>
      </c>
      <c r="I60" s="47">
        <v>58</v>
      </c>
      <c r="J60" s="44">
        <v>130500</v>
      </c>
      <c r="K60" s="104">
        <f t="shared" si="2"/>
        <v>2227200</v>
      </c>
      <c r="M60" s="47">
        <v>58</v>
      </c>
      <c r="N60" s="44">
        <v>21200</v>
      </c>
      <c r="O60" s="104">
        <f t="shared" si="3"/>
        <v>310000</v>
      </c>
    </row>
    <row r="61" spans="1:15" x14ac:dyDescent="0.25">
      <c r="A61" s="47">
        <v>59</v>
      </c>
      <c r="B61" s="44">
        <v>22300</v>
      </c>
      <c r="C61" s="104">
        <f t="shared" si="0"/>
        <v>389300</v>
      </c>
      <c r="E61" s="47">
        <v>59</v>
      </c>
      <c r="F61" s="44">
        <v>90900</v>
      </c>
      <c r="G61" s="104">
        <f t="shared" si="1"/>
        <v>1575700</v>
      </c>
      <c r="I61" s="47">
        <v>59</v>
      </c>
      <c r="J61" s="44">
        <v>136300</v>
      </c>
      <c r="K61" s="104">
        <f t="shared" si="2"/>
        <v>2363500</v>
      </c>
      <c r="M61" s="47">
        <v>59</v>
      </c>
      <c r="N61" s="44">
        <v>22100</v>
      </c>
      <c r="O61" s="104">
        <f t="shared" si="3"/>
        <v>332100</v>
      </c>
    </row>
    <row r="62" spans="1:15" x14ac:dyDescent="0.25">
      <c r="A62" s="47">
        <v>60</v>
      </c>
      <c r="B62" s="44">
        <v>23300</v>
      </c>
      <c r="C62" s="104">
        <f t="shared" si="0"/>
        <v>412600</v>
      </c>
      <c r="E62" s="47">
        <v>60</v>
      </c>
      <c r="F62" s="44">
        <v>94900</v>
      </c>
      <c r="G62" s="104">
        <f t="shared" si="1"/>
        <v>1670600</v>
      </c>
      <c r="I62" s="47">
        <v>60</v>
      </c>
      <c r="J62" s="44">
        <v>142400</v>
      </c>
      <c r="K62" s="104">
        <f t="shared" si="2"/>
        <v>2505900</v>
      </c>
      <c r="M62" s="47">
        <v>60</v>
      </c>
      <c r="N62" s="44">
        <v>23100</v>
      </c>
      <c r="O62" s="104">
        <f t="shared" si="3"/>
        <v>355200</v>
      </c>
    </row>
    <row r="63" spans="1:15" x14ac:dyDescent="0.25">
      <c r="A63" s="47">
        <v>61</v>
      </c>
      <c r="B63" s="44">
        <v>24300</v>
      </c>
      <c r="C63" s="104">
        <f t="shared" si="0"/>
        <v>436900</v>
      </c>
      <c r="E63" s="47">
        <v>61</v>
      </c>
      <c r="F63" s="44">
        <v>99000</v>
      </c>
      <c r="G63" s="104">
        <f t="shared" si="1"/>
        <v>1769600</v>
      </c>
      <c r="I63" s="47">
        <v>61</v>
      </c>
      <c r="J63" s="44">
        <v>148500</v>
      </c>
      <c r="K63" s="104">
        <f t="shared" si="2"/>
        <v>2654400</v>
      </c>
      <c r="M63" s="47">
        <v>61</v>
      </c>
      <c r="N63" s="44">
        <v>24100</v>
      </c>
      <c r="O63" s="104">
        <f t="shared" si="3"/>
        <v>379300</v>
      </c>
    </row>
    <row r="64" spans="1:15" x14ac:dyDescent="0.25">
      <c r="A64" s="47">
        <v>62</v>
      </c>
      <c r="B64" s="44">
        <v>25300</v>
      </c>
      <c r="C64" s="104">
        <f t="shared" si="0"/>
        <v>462200</v>
      </c>
      <c r="E64" s="47">
        <v>62</v>
      </c>
      <c r="F64" s="44">
        <v>103100</v>
      </c>
      <c r="G64" s="104">
        <f t="shared" si="1"/>
        <v>1872700</v>
      </c>
      <c r="I64" s="47">
        <v>62</v>
      </c>
      <c r="J64" s="44">
        <v>154600</v>
      </c>
      <c r="K64" s="104">
        <f t="shared" si="2"/>
        <v>2809000</v>
      </c>
      <c r="M64" s="47">
        <v>62</v>
      </c>
      <c r="N64" s="44">
        <v>25100</v>
      </c>
      <c r="O64" s="104">
        <f t="shared" si="3"/>
        <v>404400</v>
      </c>
    </row>
    <row r="65" spans="1:15" x14ac:dyDescent="0.25">
      <c r="A65" s="47">
        <v>63</v>
      </c>
      <c r="B65" s="44">
        <v>26300</v>
      </c>
      <c r="C65" s="104">
        <f t="shared" si="0"/>
        <v>488500</v>
      </c>
      <c r="E65" s="47">
        <v>63</v>
      </c>
      <c r="F65" s="44">
        <v>107400</v>
      </c>
      <c r="G65" s="104">
        <f t="shared" si="1"/>
        <v>1980100</v>
      </c>
      <c r="I65" s="47">
        <v>63</v>
      </c>
      <c r="J65" s="44">
        <v>161100</v>
      </c>
      <c r="K65" s="104">
        <f t="shared" si="2"/>
        <v>2970100</v>
      </c>
      <c r="M65" s="47">
        <v>63</v>
      </c>
      <c r="N65" s="44">
        <v>26100</v>
      </c>
      <c r="O65" s="104">
        <f t="shared" si="3"/>
        <v>430500</v>
      </c>
    </row>
    <row r="66" spans="1:15" x14ac:dyDescent="0.25">
      <c r="A66" s="47">
        <v>64</v>
      </c>
      <c r="B66" s="44">
        <v>27400</v>
      </c>
      <c r="C66" s="104">
        <f t="shared" si="0"/>
        <v>515900</v>
      </c>
      <c r="E66" s="47">
        <v>64</v>
      </c>
      <c r="F66" s="44">
        <v>111800</v>
      </c>
      <c r="G66" s="104">
        <f t="shared" si="1"/>
        <v>2091900</v>
      </c>
      <c r="I66" s="47">
        <v>64</v>
      </c>
      <c r="J66" s="44">
        <v>167700</v>
      </c>
      <c r="K66" s="104">
        <f t="shared" si="2"/>
        <v>3137800</v>
      </c>
      <c r="M66" s="47">
        <v>64</v>
      </c>
      <c r="N66" s="44">
        <v>27200</v>
      </c>
      <c r="O66" s="104">
        <f t="shared" si="3"/>
        <v>457700</v>
      </c>
    </row>
    <row r="67" spans="1:15" x14ac:dyDescent="0.25">
      <c r="A67" s="47">
        <v>65</v>
      </c>
      <c r="B67" s="44">
        <v>28500</v>
      </c>
      <c r="C67" s="104">
        <f t="shared" si="0"/>
        <v>544400</v>
      </c>
      <c r="E67" s="47">
        <v>65</v>
      </c>
      <c r="F67" s="44">
        <v>116300</v>
      </c>
      <c r="G67" s="104">
        <f t="shared" si="1"/>
        <v>2208200</v>
      </c>
      <c r="I67" s="47">
        <v>65</v>
      </c>
      <c r="J67" s="44">
        <v>174500</v>
      </c>
      <c r="K67" s="104">
        <f t="shared" si="2"/>
        <v>3312300</v>
      </c>
      <c r="M67" s="47">
        <v>65</v>
      </c>
      <c r="N67" s="44">
        <v>28200</v>
      </c>
      <c r="O67" s="104">
        <f t="shared" si="3"/>
        <v>485900</v>
      </c>
    </row>
    <row r="68" spans="1:15" x14ac:dyDescent="0.25">
      <c r="A68" s="47">
        <v>66</v>
      </c>
      <c r="B68" s="44">
        <v>29600</v>
      </c>
      <c r="C68" s="104">
        <f t="shared" si="0"/>
        <v>574000</v>
      </c>
      <c r="E68" s="47">
        <v>66</v>
      </c>
      <c r="F68" s="44">
        <v>120900</v>
      </c>
      <c r="G68" s="104">
        <f t="shared" si="1"/>
        <v>2329100</v>
      </c>
      <c r="I68" s="47">
        <v>66</v>
      </c>
      <c r="J68" s="44">
        <v>181500</v>
      </c>
      <c r="K68" s="104">
        <f t="shared" si="2"/>
        <v>3493800</v>
      </c>
      <c r="M68" s="47">
        <v>66</v>
      </c>
      <c r="N68" s="44">
        <v>29300</v>
      </c>
      <c r="O68" s="104">
        <f t="shared" si="3"/>
        <v>515200</v>
      </c>
    </row>
    <row r="69" spans="1:15" x14ac:dyDescent="0.25">
      <c r="A69" s="47">
        <v>67</v>
      </c>
      <c r="B69" s="44">
        <v>30800</v>
      </c>
      <c r="C69" s="104">
        <f t="shared" ref="C69:C122" si="4">B69+C68</f>
        <v>604800</v>
      </c>
      <c r="E69" s="47">
        <v>67</v>
      </c>
      <c r="F69" s="44">
        <v>125600</v>
      </c>
      <c r="G69" s="104">
        <f t="shared" ref="G69:G102" si="5">F69+G68</f>
        <v>2454700</v>
      </c>
      <c r="I69" s="47">
        <v>67</v>
      </c>
      <c r="J69" s="44">
        <v>188500</v>
      </c>
      <c r="K69" s="104">
        <f t="shared" ref="K69:K102" si="6">J69+K68</f>
        <v>3682300</v>
      </c>
      <c r="M69" s="47">
        <v>67</v>
      </c>
      <c r="N69" s="44">
        <v>30400</v>
      </c>
      <c r="O69" s="104">
        <f t="shared" ref="O69:O102" si="7">N69+O68</f>
        <v>545600</v>
      </c>
    </row>
    <row r="70" spans="1:15" x14ac:dyDescent="0.25">
      <c r="A70" s="47">
        <v>68</v>
      </c>
      <c r="B70" s="44">
        <v>32000</v>
      </c>
      <c r="C70" s="104">
        <f t="shared" si="4"/>
        <v>636800</v>
      </c>
      <c r="E70" s="47">
        <v>68</v>
      </c>
      <c r="F70" s="44">
        <v>130400</v>
      </c>
      <c r="G70" s="104">
        <f t="shared" si="5"/>
        <v>2585100</v>
      </c>
      <c r="I70" s="47">
        <v>68</v>
      </c>
      <c r="J70" s="44">
        <v>195500</v>
      </c>
      <c r="K70" s="104">
        <f t="shared" si="6"/>
        <v>3877800</v>
      </c>
      <c r="M70" s="47">
        <v>68</v>
      </c>
      <c r="N70" s="44">
        <v>31600</v>
      </c>
      <c r="O70" s="104">
        <f t="shared" si="7"/>
        <v>577200</v>
      </c>
    </row>
    <row r="71" spans="1:15" x14ac:dyDescent="0.25">
      <c r="A71" s="47">
        <v>69</v>
      </c>
      <c r="B71" s="44">
        <v>33200</v>
      </c>
      <c r="C71" s="104">
        <f t="shared" si="4"/>
        <v>670000</v>
      </c>
      <c r="E71" s="47">
        <v>69</v>
      </c>
      <c r="F71" s="44">
        <v>135300</v>
      </c>
      <c r="G71" s="104">
        <f t="shared" si="5"/>
        <v>2720400</v>
      </c>
      <c r="I71" s="47">
        <v>69</v>
      </c>
      <c r="J71" s="44">
        <v>203000</v>
      </c>
      <c r="K71" s="104">
        <f t="shared" si="6"/>
        <v>4080800</v>
      </c>
      <c r="M71" s="47">
        <v>69</v>
      </c>
      <c r="N71" s="44">
        <v>32800</v>
      </c>
      <c r="O71" s="104">
        <f t="shared" si="7"/>
        <v>610000</v>
      </c>
    </row>
    <row r="72" spans="1:15" x14ac:dyDescent="0.25">
      <c r="A72" s="47">
        <v>70</v>
      </c>
      <c r="B72" s="44">
        <v>34400</v>
      </c>
      <c r="C72" s="104">
        <f t="shared" si="4"/>
        <v>704400</v>
      </c>
      <c r="E72" s="47">
        <v>70</v>
      </c>
      <c r="F72" s="44">
        <v>140400</v>
      </c>
      <c r="G72" s="104">
        <f t="shared" si="5"/>
        <v>2860800</v>
      </c>
      <c r="I72" s="47">
        <v>70</v>
      </c>
      <c r="J72" s="44">
        <v>210600</v>
      </c>
      <c r="K72" s="104">
        <f t="shared" si="6"/>
        <v>4291400</v>
      </c>
      <c r="M72" s="47">
        <v>70</v>
      </c>
      <c r="N72" s="44">
        <v>34000</v>
      </c>
      <c r="O72" s="104">
        <f t="shared" si="7"/>
        <v>644000</v>
      </c>
    </row>
    <row r="73" spans="1:15" x14ac:dyDescent="0.25">
      <c r="A73" s="47">
        <v>71</v>
      </c>
      <c r="B73" s="44">
        <v>45100</v>
      </c>
      <c r="C73" s="104">
        <f t="shared" si="4"/>
        <v>749500</v>
      </c>
      <c r="E73" s="47">
        <v>71</v>
      </c>
      <c r="F73" s="44">
        <v>145500</v>
      </c>
      <c r="G73" s="104">
        <f t="shared" si="5"/>
        <v>3006300</v>
      </c>
      <c r="I73" s="47">
        <v>71</v>
      </c>
      <c r="J73" s="44">
        <v>218200</v>
      </c>
      <c r="K73" s="104">
        <f t="shared" si="6"/>
        <v>4509600</v>
      </c>
      <c r="M73" s="47">
        <v>71</v>
      </c>
      <c r="N73" s="44">
        <v>47300</v>
      </c>
      <c r="O73" s="104">
        <f t="shared" si="7"/>
        <v>691300</v>
      </c>
    </row>
    <row r="74" spans="1:15" x14ac:dyDescent="0.25">
      <c r="A74" s="47">
        <v>72</v>
      </c>
      <c r="B74" s="44">
        <v>46800</v>
      </c>
      <c r="C74" s="104">
        <f t="shared" si="4"/>
        <v>796300</v>
      </c>
      <c r="E74" s="47">
        <v>72</v>
      </c>
      <c r="F74" s="44">
        <v>150800</v>
      </c>
      <c r="G74" s="104">
        <f t="shared" si="5"/>
        <v>3157100</v>
      </c>
      <c r="I74" s="47">
        <v>72</v>
      </c>
      <c r="J74" s="44">
        <v>226200</v>
      </c>
      <c r="K74" s="104">
        <f t="shared" si="6"/>
        <v>4735800</v>
      </c>
      <c r="M74" s="47">
        <v>72</v>
      </c>
      <c r="N74" s="44">
        <v>49100</v>
      </c>
      <c r="O74" s="104">
        <f t="shared" si="7"/>
        <v>740400</v>
      </c>
    </row>
    <row r="75" spans="1:15" x14ac:dyDescent="0.25">
      <c r="A75" s="47">
        <v>73</v>
      </c>
      <c r="B75" s="44">
        <v>48600</v>
      </c>
      <c r="C75" s="104">
        <f t="shared" si="4"/>
        <v>844900</v>
      </c>
      <c r="E75" s="47">
        <v>73</v>
      </c>
      <c r="F75" s="44">
        <v>156100</v>
      </c>
      <c r="G75" s="104">
        <f t="shared" si="5"/>
        <v>3313200</v>
      </c>
      <c r="I75" s="47">
        <v>73</v>
      </c>
      <c r="J75" s="44">
        <v>234200</v>
      </c>
      <c r="K75" s="104">
        <f t="shared" si="6"/>
        <v>4970000</v>
      </c>
      <c r="M75" s="47">
        <v>73</v>
      </c>
      <c r="N75" s="44">
        <v>50800</v>
      </c>
      <c r="O75" s="104">
        <f t="shared" si="7"/>
        <v>791200</v>
      </c>
    </row>
    <row r="76" spans="1:15" x14ac:dyDescent="0.25">
      <c r="A76" s="47">
        <v>74</v>
      </c>
      <c r="B76" s="44">
        <v>50400</v>
      </c>
      <c r="C76" s="104">
        <f t="shared" si="4"/>
        <v>895300</v>
      </c>
      <c r="E76" s="47">
        <v>74</v>
      </c>
      <c r="F76" s="44">
        <v>161600</v>
      </c>
      <c r="G76" s="104">
        <f t="shared" si="5"/>
        <v>3474800</v>
      </c>
      <c r="I76" s="47">
        <v>74</v>
      </c>
      <c r="J76" s="44">
        <v>242500</v>
      </c>
      <c r="K76" s="104">
        <f t="shared" si="6"/>
        <v>5212500</v>
      </c>
      <c r="M76" s="47">
        <v>74</v>
      </c>
      <c r="N76" s="44">
        <v>52700</v>
      </c>
      <c r="O76" s="104">
        <f t="shared" si="7"/>
        <v>843900</v>
      </c>
    </row>
    <row r="77" spans="1:15" x14ac:dyDescent="0.25">
      <c r="A77" s="47">
        <v>75</v>
      </c>
      <c r="B77" s="44">
        <v>52200</v>
      </c>
      <c r="C77" s="104">
        <f t="shared" si="4"/>
        <v>947500</v>
      </c>
      <c r="E77" s="47">
        <v>75</v>
      </c>
      <c r="F77" s="44">
        <v>167200</v>
      </c>
      <c r="G77" s="104">
        <f t="shared" si="5"/>
        <v>3642000</v>
      </c>
      <c r="I77" s="47">
        <v>75</v>
      </c>
      <c r="J77" s="44">
        <v>250800</v>
      </c>
      <c r="K77" s="104">
        <f t="shared" si="6"/>
        <v>5463300</v>
      </c>
      <c r="M77" s="47">
        <v>75</v>
      </c>
      <c r="N77" s="44">
        <v>54500</v>
      </c>
      <c r="O77" s="104">
        <f t="shared" si="7"/>
        <v>898400</v>
      </c>
    </row>
    <row r="78" spans="1:15" x14ac:dyDescent="0.25">
      <c r="A78" s="47">
        <v>76</v>
      </c>
      <c r="B78" s="44">
        <v>54000</v>
      </c>
      <c r="C78" s="104">
        <f t="shared" si="4"/>
        <v>1001500</v>
      </c>
      <c r="E78" s="47">
        <v>76</v>
      </c>
      <c r="F78" s="44">
        <v>172900</v>
      </c>
      <c r="G78" s="104">
        <f t="shared" si="5"/>
        <v>3814900</v>
      </c>
      <c r="I78" s="47">
        <v>76</v>
      </c>
      <c r="J78" s="44">
        <v>259500</v>
      </c>
      <c r="K78" s="104">
        <f t="shared" si="6"/>
        <v>5722800</v>
      </c>
      <c r="M78" s="47">
        <v>76</v>
      </c>
      <c r="N78" s="44">
        <v>56400</v>
      </c>
      <c r="O78" s="104">
        <f t="shared" si="7"/>
        <v>954800</v>
      </c>
    </row>
    <row r="79" spans="1:15" x14ac:dyDescent="0.25">
      <c r="A79" s="47">
        <v>77</v>
      </c>
      <c r="B79" s="44">
        <v>55900</v>
      </c>
      <c r="C79" s="104">
        <f t="shared" si="4"/>
        <v>1057400</v>
      </c>
      <c r="E79" s="47">
        <v>77</v>
      </c>
      <c r="F79" s="44">
        <v>178700</v>
      </c>
      <c r="G79" s="104">
        <f t="shared" si="5"/>
        <v>3993600</v>
      </c>
      <c r="I79" s="47">
        <v>77</v>
      </c>
      <c r="J79" s="44">
        <v>268000</v>
      </c>
      <c r="K79" s="104">
        <f t="shared" si="6"/>
        <v>5990800</v>
      </c>
      <c r="M79" s="47">
        <v>77</v>
      </c>
      <c r="N79" s="44">
        <v>58400</v>
      </c>
      <c r="O79" s="104">
        <f t="shared" si="7"/>
        <v>1013200</v>
      </c>
    </row>
    <row r="80" spans="1:15" x14ac:dyDescent="0.25">
      <c r="A80" s="47">
        <v>78</v>
      </c>
      <c r="B80" s="44">
        <v>57900</v>
      </c>
      <c r="C80" s="104">
        <f t="shared" si="4"/>
        <v>1115300</v>
      </c>
      <c r="E80" s="47">
        <v>78</v>
      </c>
      <c r="F80" s="44">
        <v>184700</v>
      </c>
      <c r="G80" s="104">
        <f t="shared" si="5"/>
        <v>4178300</v>
      </c>
      <c r="I80" s="47">
        <v>78</v>
      </c>
      <c r="J80" s="44">
        <v>277000</v>
      </c>
      <c r="K80" s="104">
        <f t="shared" si="6"/>
        <v>6267800</v>
      </c>
      <c r="M80" s="47">
        <v>78</v>
      </c>
      <c r="N80" s="44">
        <v>60400</v>
      </c>
      <c r="O80" s="104">
        <f t="shared" si="7"/>
        <v>1073600</v>
      </c>
    </row>
    <row r="81" spans="1:15" x14ac:dyDescent="0.25">
      <c r="A81" s="47">
        <v>79</v>
      </c>
      <c r="B81" s="44">
        <v>59800</v>
      </c>
      <c r="C81" s="104">
        <f t="shared" si="4"/>
        <v>1175100</v>
      </c>
      <c r="E81" s="47">
        <v>79</v>
      </c>
      <c r="F81" s="44">
        <v>190700</v>
      </c>
      <c r="G81" s="104">
        <f t="shared" si="5"/>
        <v>4369000</v>
      </c>
      <c r="I81" s="47">
        <v>79</v>
      </c>
      <c r="J81" s="44">
        <v>286000</v>
      </c>
      <c r="K81" s="104">
        <f t="shared" si="6"/>
        <v>6553800</v>
      </c>
      <c r="M81" s="47">
        <v>79</v>
      </c>
      <c r="N81" s="44">
        <v>62400</v>
      </c>
      <c r="O81" s="104">
        <f t="shared" si="7"/>
        <v>1136000</v>
      </c>
    </row>
    <row r="82" spans="1:15" x14ac:dyDescent="0.25">
      <c r="A82" s="47">
        <v>80</v>
      </c>
      <c r="B82" s="44">
        <v>61800</v>
      </c>
      <c r="C82" s="104">
        <f t="shared" si="4"/>
        <v>1236900</v>
      </c>
      <c r="E82" s="47">
        <v>80</v>
      </c>
      <c r="F82" s="44">
        <v>196900</v>
      </c>
      <c r="G82" s="104">
        <f t="shared" si="5"/>
        <v>4565900</v>
      </c>
      <c r="I82" s="47">
        <v>80</v>
      </c>
      <c r="J82" s="44">
        <v>295500</v>
      </c>
      <c r="K82" s="104">
        <f t="shared" si="6"/>
        <v>6849300</v>
      </c>
      <c r="M82" s="47">
        <v>80</v>
      </c>
      <c r="N82" s="44">
        <v>64400</v>
      </c>
      <c r="O82" s="104">
        <f t="shared" si="7"/>
        <v>1200400</v>
      </c>
    </row>
    <row r="83" spans="1:15" x14ac:dyDescent="0.25">
      <c r="A83" s="47">
        <v>81</v>
      </c>
      <c r="B83" s="44">
        <v>63900</v>
      </c>
      <c r="C83" s="104">
        <f t="shared" si="4"/>
        <v>1300800</v>
      </c>
      <c r="E83" s="47">
        <v>81</v>
      </c>
      <c r="F83" s="44">
        <v>203200</v>
      </c>
      <c r="G83" s="104">
        <f t="shared" si="5"/>
        <v>4769100</v>
      </c>
      <c r="I83" s="47">
        <v>81</v>
      </c>
      <c r="J83" s="44">
        <v>304700</v>
      </c>
      <c r="K83" s="104">
        <f t="shared" si="6"/>
        <v>7154000</v>
      </c>
      <c r="M83" s="47">
        <v>81</v>
      </c>
      <c r="N83" s="44">
        <v>66500</v>
      </c>
      <c r="O83" s="104">
        <f t="shared" si="7"/>
        <v>1266900</v>
      </c>
    </row>
    <row r="84" spans="1:15" x14ac:dyDescent="0.25">
      <c r="A84" s="47">
        <v>82</v>
      </c>
      <c r="B84" s="44">
        <v>66000</v>
      </c>
      <c r="C84" s="104">
        <f t="shared" si="4"/>
        <v>1366800</v>
      </c>
      <c r="E84" s="47">
        <v>82</v>
      </c>
      <c r="F84" s="44">
        <v>209600</v>
      </c>
      <c r="G84" s="104">
        <f t="shared" si="5"/>
        <v>4978700</v>
      </c>
      <c r="I84" s="47">
        <v>82</v>
      </c>
      <c r="J84" s="44">
        <v>314500</v>
      </c>
      <c r="K84" s="104">
        <f t="shared" si="6"/>
        <v>7468500</v>
      </c>
      <c r="M84" s="47">
        <v>82</v>
      </c>
      <c r="N84" s="44">
        <v>68700</v>
      </c>
      <c r="O84" s="104">
        <f t="shared" si="7"/>
        <v>1335600</v>
      </c>
    </row>
    <row r="85" spans="1:15" x14ac:dyDescent="0.25">
      <c r="A85" s="47">
        <v>83</v>
      </c>
      <c r="B85" s="44">
        <v>68100</v>
      </c>
      <c r="C85" s="104">
        <f t="shared" si="4"/>
        <v>1434900</v>
      </c>
      <c r="E85" s="47">
        <v>83</v>
      </c>
      <c r="F85" s="44">
        <v>216100</v>
      </c>
      <c r="G85" s="104">
        <f t="shared" si="5"/>
        <v>5194800</v>
      </c>
      <c r="I85" s="47">
        <v>83</v>
      </c>
      <c r="J85" s="44">
        <v>324000</v>
      </c>
      <c r="K85" s="104">
        <f t="shared" si="6"/>
        <v>7792500</v>
      </c>
      <c r="M85" s="47">
        <v>83</v>
      </c>
      <c r="N85" s="44">
        <v>70900</v>
      </c>
      <c r="O85" s="104">
        <f t="shared" si="7"/>
        <v>1406500</v>
      </c>
    </row>
    <row r="86" spans="1:15" x14ac:dyDescent="0.25">
      <c r="A86" s="47">
        <v>84</v>
      </c>
      <c r="B86" s="44">
        <v>70300</v>
      </c>
      <c r="C86" s="104">
        <f t="shared" si="4"/>
        <v>1505200</v>
      </c>
      <c r="E86" s="47">
        <v>84</v>
      </c>
      <c r="F86" s="44">
        <v>222800</v>
      </c>
      <c r="G86" s="104">
        <f t="shared" si="5"/>
        <v>5417600</v>
      </c>
      <c r="I86" s="47">
        <v>84</v>
      </c>
      <c r="J86" s="44">
        <v>334500</v>
      </c>
      <c r="K86" s="104">
        <f t="shared" si="6"/>
        <v>8127000</v>
      </c>
      <c r="M86" s="47">
        <v>84</v>
      </c>
      <c r="N86" s="44">
        <v>73100</v>
      </c>
      <c r="O86" s="104">
        <f t="shared" si="7"/>
        <v>1479600</v>
      </c>
    </row>
    <row r="87" spans="1:15" x14ac:dyDescent="0.25">
      <c r="A87" s="47">
        <v>85</v>
      </c>
      <c r="B87" s="44">
        <v>72600</v>
      </c>
      <c r="C87" s="104">
        <f t="shared" si="4"/>
        <v>1577800</v>
      </c>
      <c r="E87" s="47">
        <v>85</v>
      </c>
      <c r="F87" s="44">
        <v>229600</v>
      </c>
      <c r="G87" s="104">
        <f t="shared" si="5"/>
        <v>5647200</v>
      </c>
      <c r="I87" s="47">
        <v>85</v>
      </c>
      <c r="J87" s="44">
        <v>344000</v>
      </c>
      <c r="K87" s="104">
        <f t="shared" si="6"/>
        <v>8471000</v>
      </c>
      <c r="M87" s="47">
        <v>85</v>
      </c>
      <c r="N87" s="44">
        <v>75400</v>
      </c>
      <c r="O87" s="104">
        <f t="shared" si="7"/>
        <v>1555000</v>
      </c>
    </row>
    <row r="88" spans="1:15" x14ac:dyDescent="0.25">
      <c r="A88" s="47">
        <v>86</v>
      </c>
      <c r="B88" s="44">
        <v>74800</v>
      </c>
      <c r="C88" s="104">
        <f t="shared" si="4"/>
        <v>1652600</v>
      </c>
      <c r="E88" s="47">
        <v>86</v>
      </c>
      <c r="F88" s="44">
        <v>236500</v>
      </c>
      <c r="G88" s="104">
        <f t="shared" si="5"/>
        <v>5883700</v>
      </c>
      <c r="I88" s="47">
        <v>86</v>
      </c>
      <c r="J88" s="44">
        <v>355000</v>
      </c>
      <c r="K88" s="104">
        <f t="shared" si="6"/>
        <v>8826000</v>
      </c>
      <c r="M88" s="47">
        <v>86</v>
      </c>
      <c r="N88" s="44">
        <v>77700</v>
      </c>
      <c r="O88" s="104">
        <f t="shared" si="7"/>
        <v>1632700</v>
      </c>
    </row>
    <row r="89" spans="1:15" x14ac:dyDescent="0.25">
      <c r="A89" s="47">
        <v>87</v>
      </c>
      <c r="B89" s="44">
        <v>77100</v>
      </c>
      <c r="C89" s="104">
        <f t="shared" si="4"/>
        <v>1729700</v>
      </c>
      <c r="E89" s="47">
        <v>87</v>
      </c>
      <c r="F89" s="44">
        <v>243500</v>
      </c>
      <c r="G89" s="104">
        <f t="shared" si="5"/>
        <v>6127200</v>
      </c>
      <c r="I89" s="47">
        <v>87</v>
      </c>
      <c r="J89" s="44">
        <v>365000</v>
      </c>
      <c r="K89" s="104">
        <f t="shared" si="6"/>
        <v>9191000</v>
      </c>
      <c r="M89" s="47">
        <v>87</v>
      </c>
      <c r="N89" s="44">
        <v>80000</v>
      </c>
      <c r="O89" s="104">
        <f t="shared" si="7"/>
        <v>1712700</v>
      </c>
    </row>
    <row r="90" spans="1:15" x14ac:dyDescent="0.25">
      <c r="A90" s="47">
        <v>88</v>
      </c>
      <c r="B90" s="44">
        <v>79500</v>
      </c>
      <c r="C90" s="104">
        <f t="shared" si="4"/>
        <v>1809200</v>
      </c>
      <c r="E90" s="47">
        <v>88</v>
      </c>
      <c r="F90" s="44">
        <v>250600</v>
      </c>
      <c r="G90" s="104">
        <f t="shared" si="5"/>
        <v>6377800</v>
      </c>
      <c r="I90" s="47">
        <v>88</v>
      </c>
      <c r="J90" s="44">
        <v>376000</v>
      </c>
      <c r="K90" s="104">
        <f t="shared" si="6"/>
        <v>9567000</v>
      </c>
      <c r="M90" s="47">
        <v>88</v>
      </c>
      <c r="N90" s="44">
        <v>82400</v>
      </c>
      <c r="O90" s="104">
        <f t="shared" si="7"/>
        <v>1795100</v>
      </c>
    </row>
    <row r="91" spans="1:15" x14ac:dyDescent="0.25">
      <c r="A91" s="47">
        <v>89</v>
      </c>
      <c r="B91" s="44">
        <v>81900</v>
      </c>
      <c r="C91" s="104">
        <f t="shared" si="4"/>
        <v>1891100</v>
      </c>
      <c r="E91" s="47">
        <v>89</v>
      </c>
      <c r="F91" s="44">
        <v>257900</v>
      </c>
      <c r="G91" s="104">
        <f t="shared" si="5"/>
        <v>6635700</v>
      </c>
      <c r="I91" s="47">
        <v>89</v>
      </c>
      <c r="J91" s="44">
        <v>387000</v>
      </c>
      <c r="K91" s="104">
        <f t="shared" si="6"/>
        <v>9954000</v>
      </c>
      <c r="M91" s="47">
        <v>89</v>
      </c>
      <c r="N91" s="44">
        <v>84900</v>
      </c>
      <c r="O91" s="104">
        <f t="shared" si="7"/>
        <v>1880000</v>
      </c>
    </row>
    <row r="92" spans="1:15" x14ac:dyDescent="0.25">
      <c r="A92" s="47">
        <v>90</v>
      </c>
      <c r="B92" s="44">
        <v>84300</v>
      </c>
      <c r="C92" s="104">
        <f t="shared" si="4"/>
        <v>1975400</v>
      </c>
      <c r="E92" s="47">
        <v>90</v>
      </c>
      <c r="F92" s="44">
        <v>265300</v>
      </c>
      <c r="G92" s="104">
        <f t="shared" si="5"/>
        <v>6901000</v>
      </c>
      <c r="I92" s="47">
        <v>90</v>
      </c>
      <c r="J92" s="44">
        <v>398000</v>
      </c>
      <c r="K92" s="104">
        <f t="shared" si="6"/>
        <v>10352000</v>
      </c>
      <c r="M92" s="47">
        <v>90</v>
      </c>
      <c r="N92" s="44">
        <v>87300</v>
      </c>
      <c r="O92" s="104">
        <f t="shared" si="7"/>
        <v>1967300</v>
      </c>
    </row>
    <row r="93" spans="1:15" x14ac:dyDescent="0.25">
      <c r="A93" s="47">
        <v>91</v>
      </c>
      <c r="B93" s="44">
        <v>112600</v>
      </c>
      <c r="C93" s="104">
        <f t="shared" si="4"/>
        <v>2088000</v>
      </c>
      <c r="E93" s="47">
        <v>91</v>
      </c>
      <c r="F93" s="44">
        <v>272800</v>
      </c>
      <c r="G93" s="104">
        <f t="shared" si="5"/>
        <v>7173800</v>
      </c>
      <c r="I93" s="47">
        <v>91</v>
      </c>
      <c r="J93" s="44">
        <v>409000</v>
      </c>
      <c r="K93" s="104">
        <f t="shared" si="6"/>
        <v>10761000</v>
      </c>
      <c r="M93" s="47">
        <v>91</v>
      </c>
      <c r="N93" s="44">
        <v>113000</v>
      </c>
      <c r="O93" s="104">
        <f t="shared" si="7"/>
        <v>2080300</v>
      </c>
    </row>
    <row r="94" spans="1:15" x14ac:dyDescent="0.25">
      <c r="A94" s="47">
        <v>92</v>
      </c>
      <c r="B94" s="44">
        <v>116100</v>
      </c>
      <c r="C94" s="104">
        <f t="shared" si="4"/>
        <v>2204100</v>
      </c>
      <c r="E94" s="47">
        <v>92</v>
      </c>
      <c r="F94" s="44">
        <v>280400</v>
      </c>
      <c r="G94" s="104">
        <f t="shared" si="5"/>
        <v>7454200</v>
      </c>
      <c r="I94" s="47">
        <v>92</v>
      </c>
      <c r="J94" s="44">
        <v>421000</v>
      </c>
      <c r="K94" s="104">
        <f t="shared" si="6"/>
        <v>11182000</v>
      </c>
      <c r="M94" s="47">
        <v>92</v>
      </c>
      <c r="N94" s="44">
        <v>116400</v>
      </c>
      <c r="O94" s="104">
        <f t="shared" si="7"/>
        <v>2196700</v>
      </c>
    </row>
    <row r="95" spans="1:15" x14ac:dyDescent="0.25">
      <c r="A95" s="47">
        <v>93</v>
      </c>
      <c r="B95" s="44">
        <v>119500</v>
      </c>
      <c r="C95" s="104">
        <f t="shared" si="4"/>
        <v>2323600</v>
      </c>
      <c r="E95" s="47">
        <v>93</v>
      </c>
      <c r="F95" s="44">
        <v>288200</v>
      </c>
      <c r="G95" s="104">
        <f t="shared" si="5"/>
        <v>7742400</v>
      </c>
      <c r="I95" s="47">
        <v>93</v>
      </c>
      <c r="J95" s="44">
        <v>432000</v>
      </c>
      <c r="K95" s="104">
        <f t="shared" si="6"/>
        <v>11614000</v>
      </c>
      <c r="M95" s="47">
        <v>93</v>
      </c>
      <c r="N95" s="44">
        <v>119800</v>
      </c>
      <c r="O95" s="104">
        <f t="shared" si="7"/>
        <v>2316500</v>
      </c>
    </row>
    <row r="96" spans="1:15" x14ac:dyDescent="0.25">
      <c r="A96" s="47">
        <v>94</v>
      </c>
      <c r="B96" s="44">
        <v>123100</v>
      </c>
      <c r="C96" s="104">
        <f t="shared" si="4"/>
        <v>2446700</v>
      </c>
      <c r="E96" s="47">
        <v>94</v>
      </c>
      <c r="F96" s="44">
        <v>296100</v>
      </c>
      <c r="G96" s="104">
        <f t="shared" si="5"/>
        <v>8038500</v>
      </c>
      <c r="I96" s="47">
        <v>94</v>
      </c>
      <c r="J96" s="44">
        <v>444000</v>
      </c>
      <c r="K96" s="104">
        <f t="shared" si="6"/>
        <v>12058000</v>
      </c>
      <c r="M96" s="47">
        <v>94</v>
      </c>
      <c r="N96" s="44">
        <v>123300</v>
      </c>
      <c r="O96" s="104">
        <f t="shared" si="7"/>
        <v>2439800</v>
      </c>
    </row>
    <row r="97" spans="1:119" x14ac:dyDescent="0.25">
      <c r="A97" s="47">
        <v>95</v>
      </c>
      <c r="B97" s="44">
        <v>126700</v>
      </c>
      <c r="C97" s="104">
        <f t="shared" si="4"/>
        <v>2573400</v>
      </c>
      <c r="E97" s="47">
        <v>95</v>
      </c>
      <c r="F97" s="44">
        <v>304100</v>
      </c>
      <c r="G97" s="104">
        <f t="shared" si="5"/>
        <v>8342600</v>
      </c>
      <c r="I97" s="47">
        <v>95</v>
      </c>
      <c r="J97" s="44">
        <v>456000</v>
      </c>
      <c r="K97" s="104">
        <f t="shared" si="6"/>
        <v>12514000</v>
      </c>
      <c r="M97" s="47">
        <v>95</v>
      </c>
      <c r="N97" s="44">
        <v>126800</v>
      </c>
      <c r="O97" s="104">
        <f t="shared" si="7"/>
        <v>2566600</v>
      </c>
    </row>
    <row r="98" spans="1:119" x14ac:dyDescent="0.25">
      <c r="A98" s="47">
        <v>96</v>
      </c>
      <c r="B98" s="44">
        <v>130400</v>
      </c>
      <c r="C98" s="104">
        <f t="shared" si="4"/>
        <v>2703800</v>
      </c>
      <c r="E98" s="47">
        <v>96</v>
      </c>
      <c r="F98" s="44">
        <v>312300</v>
      </c>
      <c r="G98" s="104">
        <f t="shared" si="5"/>
        <v>8654900</v>
      </c>
      <c r="I98" s="47">
        <v>96</v>
      </c>
      <c r="J98" s="44">
        <v>469000</v>
      </c>
      <c r="K98" s="104">
        <f t="shared" si="6"/>
        <v>12983000</v>
      </c>
      <c r="M98" s="47">
        <v>96</v>
      </c>
      <c r="N98" s="44">
        <v>130400</v>
      </c>
      <c r="O98" s="104">
        <f t="shared" si="7"/>
        <v>2697000</v>
      </c>
    </row>
    <row r="99" spans="1:119" x14ac:dyDescent="0.25">
      <c r="A99" s="47">
        <v>97</v>
      </c>
      <c r="B99" s="44">
        <v>134100</v>
      </c>
      <c r="C99" s="104">
        <f t="shared" si="4"/>
        <v>2837900</v>
      </c>
      <c r="E99" s="47">
        <v>97</v>
      </c>
      <c r="F99" s="44">
        <v>320600</v>
      </c>
      <c r="G99" s="104">
        <f t="shared" si="5"/>
        <v>8975500</v>
      </c>
      <c r="I99" s="47">
        <v>97</v>
      </c>
      <c r="J99" s="44">
        <v>481000</v>
      </c>
      <c r="K99" s="104">
        <f t="shared" si="6"/>
        <v>13464000</v>
      </c>
      <c r="M99" s="47">
        <v>97</v>
      </c>
      <c r="N99" s="44">
        <v>134000</v>
      </c>
      <c r="O99" s="104">
        <f t="shared" si="7"/>
        <v>2831000</v>
      </c>
    </row>
    <row r="100" spans="1:119" x14ac:dyDescent="0.25">
      <c r="A100" s="47">
        <v>98</v>
      </c>
      <c r="B100" s="44">
        <v>137900</v>
      </c>
      <c r="C100" s="104">
        <f t="shared" si="4"/>
        <v>2975800</v>
      </c>
      <c r="E100" s="47">
        <v>98</v>
      </c>
      <c r="F100" s="44">
        <v>329000</v>
      </c>
      <c r="G100" s="104">
        <f t="shared" si="5"/>
        <v>9304500</v>
      </c>
      <c r="I100" s="47">
        <v>98</v>
      </c>
      <c r="J100" s="44">
        <v>493000</v>
      </c>
      <c r="K100" s="104">
        <f t="shared" si="6"/>
        <v>13957000</v>
      </c>
      <c r="M100" s="47">
        <v>98</v>
      </c>
      <c r="N100" s="44">
        <v>137700</v>
      </c>
      <c r="O100" s="104">
        <f t="shared" si="7"/>
        <v>2968700</v>
      </c>
    </row>
    <row r="101" spans="1:119" x14ac:dyDescent="0.25">
      <c r="A101" s="47">
        <v>99</v>
      </c>
      <c r="B101" s="44">
        <v>141800</v>
      </c>
      <c r="C101" s="104">
        <f t="shared" si="4"/>
        <v>3117600</v>
      </c>
      <c r="E101" s="47">
        <v>99</v>
      </c>
      <c r="F101" s="44">
        <v>337500</v>
      </c>
      <c r="G101" s="104">
        <f t="shared" si="5"/>
        <v>9642000</v>
      </c>
      <c r="I101" s="47">
        <v>99</v>
      </c>
      <c r="J101" s="44">
        <v>506000</v>
      </c>
      <c r="K101" s="104">
        <f t="shared" si="6"/>
        <v>14463000</v>
      </c>
      <c r="M101" s="47">
        <v>99</v>
      </c>
      <c r="N101" s="44">
        <v>141500</v>
      </c>
      <c r="O101" s="104">
        <f t="shared" si="7"/>
        <v>3110200</v>
      </c>
    </row>
    <row r="102" spans="1:119" x14ac:dyDescent="0.25">
      <c r="A102" s="47">
        <v>100</v>
      </c>
      <c r="B102" s="44">
        <v>145700</v>
      </c>
      <c r="C102" s="104">
        <f t="shared" si="4"/>
        <v>3263300</v>
      </c>
      <c r="E102" s="48">
        <v>100</v>
      </c>
      <c r="F102" s="45">
        <v>357000</v>
      </c>
      <c r="G102" s="57">
        <f t="shared" si="5"/>
        <v>9999000</v>
      </c>
      <c r="I102" s="48">
        <v>100</v>
      </c>
      <c r="J102" s="45">
        <v>537000</v>
      </c>
      <c r="K102" s="57">
        <f t="shared" si="6"/>
        <v>15000000</v>
      </c>
      <c r="M102" s="48">
        <v>100</v>
      </c>
      <c r="N102" s="45">
        <v>145300</v>
      </c>
      <c r="O102" s="57">
        <f t="shared" si="7"/>
        <v>3255500</v>
      </c>
    </row>
    <row r="103" spans="1:119" x14ac:dyDescent="0.25">
      <c r="A103" s="47">
        <v>101</v>
      </c>
      <c r="B103" s="44">
        <v>100000</v>
      </c>
      <c r="C103" s="104">
        <f t="shared" si="4"/>
        <v>3363300</v>
      </c>
    </row>
    <row r="104" spans="1:119" x14ac:dyDescent="0.25">
      <c r="A104" s="47">
        <v>102</v>
      </c>
      <c r="B104" s="44">
        <v>120000</v>
      </c>
      <c r="C104" s="104">
        <f t="shared" si="4"/>
        <v>3483300</v>
      </c>
    </row>
    <row r="105" spans="1:119" x14ac:dyDescent="0.25">
      <c r="A105" s="47">
        <v>103</v>
      </c>
      <c r="B105" s="44">
        <v>140000</v>
      </c>
      <c r="C105" s="104">
        <f t="shared" si="4"/>
        <v>3623300</v>
      </c>
    </row>
    <row r="106" spans="1:119" x14ac:dyDescent="0.25">
      <c r="A106" s="47">
        <v>104</v>
      </c>
      <c r="B106" s="44">
        <v>160000</v>
      </c>
      <c r="C106" s="104">
        <f t="shared" si="4"/>
        <v>3783300</v>
      </c>
    </row>
    <row r="107" spans="1:119" x14ac:dyDescent="0.25">
      <c r="A107" s="47">
        <v>105</v>
      </c>
      <c r="B107" s="44">
        <v>180000</v>
      </c>
      <c r="C107" s="104">
        <f t="shared" si="4"/>
        <v>3963300</v>
      </c>
    </row>
    <row r="108" spans="1:119" x14ac:dyDescent="0.25">
      <c r="A108" s="47">
        <v>106</v>
      </c>
      <c r="B108" s="44">
        <v>200000</v>
      </c>
      <c r="C108" s="104">
        <f t="shared" si="4"/>
        <v>4163300</v>
      </c>
      <c r="T108" s="94"/>
    </row>
    <row r="109" spans="1:119" x14ac:dyDescent="0.25">
      <c r="A109" s="47">
        <v>107</v>
      </c>
      <c r="B109" s="44">
        <v>220000</v>
      </c>
      <c r="C109" s="104">
        <f t="shared" si="4"/>
        <v>4383300</v>
      </c>
    </row>
    <row r="110" spans="1:119" x14ac:dyDescent="0.25">
      <c r="A110" s="47">
        <v>108</v>
      </c>
      <c r="B110" s="44">
        <v>240000</v>
      </c>
      <c r="C110" s="104">
        <f t="shared" si="4"/>
        <v>4623300</v>
      </c>
      <c r="T110" s="94"/>
      <c r="DO110" s="40" t="s">
        <v>773</v>
      </c>
    </row>
    <row r="111" spans="1:119" x14ac:dyDescent="0.25">
      <c r="A111" s="47">
        <v>109</v>
      </c>
      <c r="B111" s="44">
        <v>280000</v>
      </c>
      <c r="C111" s="104">
        <f t="shared" si="4"/>
        <v>4903300</v>
      </c>
    </row>
    <row r="112" spans="1:119" x14ac:dyDescent="0.25">
      <c r="A112" s="47">
        <v>110</v>
      </c>
      <c r="B112" s="44">
        <v>360000</v>
      </c>
      <c r="C112" s="104">
        <f t="shared" si="4"/>
        <v>5263300</v>
      </c>
    </row>
    <row r="113" spans="1:3" x14ac:dyDescent="0.25">
      <c r="A113" s="47">
        <v>111</v>
      </c>
      <c r="B113" s="44">
        <v>480000</v>
      </c>
      <c r="C113" s="104">
        <f t="shared" si="4"/>
        <v>5743300</v>
      </c>
    </row>
    <row r="114" spans="1:3" x14ac:dyDescent="0.25">
      <c r="A114" s="47">
        <v>112</v>
      </c>
      <c r="B114" s="44">
        <v>640000</v>
      </c>
      <c r="C114" s="104">
        <f t="shared" si="4"/>
        <v>6383300</v>
      </c>
    </row>
    <row r="115" spans="1:3" x14ac:dyDescent="0.25">
      <c r="A115" s="47">
        <v>113</v>
      </c>
      <c r="B115" s="44">
        <v>900000</v>
      </c>
      <c r="C115" s="104">
        <f t="shared" si="4"/>
        <v>7283300</v>
      </c>
    </row>
    <row r="116" spans="1:3" x14ac:dyDescent="0.25">
      <c r="A116" s="47">
        <v>114</v>
      </c>
      <c r="B116" s="44">
        <v>1200000</v>
      </c>
      <c r="C116" s="104">
        <f t="shared" si="4"/>
        <v>8483300</v>
      </c>
    </row>
    <row r="117" spans="1:3" x14ac:dyDescent="0.25">
      <c r="A117" s="47">
        <v>115</v>
      </c>
      <c r="B117" s="44">
        <v>1600000</v>
      </c>
      <c r="C117" s="104">
        <f t="shared" si="4"/>
        <v>10083300</v>
      </c>
    </row>
    <row r="118" spans="1:3" x14ac:dyDescent="0.25">
      <c r="A118" s="47">
        <v>116</v>
      </c>
      <c r="B118" s="44">
        <v>2200000</v>
      </c>
      <c r="C118" s="104">
        <f t="shared" si="4"/>
        <v>12283300</v>
      </c>
    </row>
    <row r="119" spans="1:3" x14ac:dyDescent="0.25">
      <c r="A119" s="47">
        <v>117</v>
      </c>
      <c r="B119" s="44">
        <v>3000000</v>
      </c>
      <c r="C119" s="104">
        <f t="shared" si="4"/>
        <v>15283300</v>
      </c>
    </row>
    <row r="120" spans="1:3" x14ac:dyDescent="0.25">
      <c r="A120" s="47">
        <v>118</v>
      </c>
      <c r="B120" s="44">
        <v>4000000</v>
      </c>
      <c r="C120" s="104">
        <f t="shared" si="4"/>
        <v>19283300</v>
      </c>
    </row>
    <row r="121" spans="1:3" x14ac:dyDescent="0.25">
      <c r="A121" s="47">
        <v>119</v>
      </c>
      <c r="B121" s="44">
        <v>5000000</v>
      </c>
      <c r="C121" s="104">
        <f t="shared" si="4"/>
        <v>24283300</v>
      </c>
    </row>
    <row r="122" spans="1:3" x14ac:dyDescent="0.25">
      <c r="A122" s="48">
        <v>120</v>
      </c>
      <c r="B122" s="45">
        <v>6000000</v>
      </c>
      <c r="C122" s="48">
        <f t="shared" si="4"/>
        <v>30283300</v>
      </c>
    </row>
    <row r="123" spans="1:3" x14ac:dyDescent="0.25">
      <c r="A123" s="41"/>
    </row>
    <row r="126" spans="1:3" x14ac:dyDescent="0.25">
      <c r="A126" s="41"/>
    </row>
    <row r="127" spans="1:3" x14ac:dyDescent="0.25">
      <c r="A127" s="41"/>
    </row>
    <row r="130" spans="1:1" x14ac:dyDescent="0.25">
      <c r="A130" s="41"/>
    </row>
    <row r="131" spans="1:1" x14ac:dyDescent="0.25">
      <c r="A131" s="41"/>
    </row>
    <row r="134" spans="1:1" x14ac:dyDescent="0.25">
      <c r="A134" s="41"/>
    </row>
    <row r="135" spans="1:1" x14ac:dyDescent="0.25">
      <c r="A135" s="41"/>
    </row>
    <row r="138" spans="1:1" x14ac:dyDescent="0.25">
      <c r="A138" s="41"/>
    </row>
    <row r="139" spans="1:1" x14ac:dyDescent="0.25">
      <c r="A139" s="41"/>
    </row>
    <row r="143" spans="1:1" x14ac:dyDescent="0.25">
      <c r="A143" s="41"/>
    </row>
    <row r="144" spans="1:1" x14ac:dyDescent="0.25">
      <c r="A144" s="41"/>
    </row>
    <row r="147" spans="1:1" x14ac:dyDescent="0.25">
      <c r="A147" s="41"/>
    </row>
    <row r="148" spans="1:1" x14ac:dyDescent="0.25">
      <c r="A148" s="41"/>
    </row>
    <row r="151" spans="1:1" x14ac:dyDescent="0.25">
      <c r="A151" s="41"/>
    </row>
    <row r="152" spans="1:1" x14ac:dyDescent="0.25">
      <c r="A152" s="41"/>
    </row>
    <row r="155" spans="1:1" x14ac:dyDescent="0.25">
      <c r="A155" s="41"/>
    </row>
    <row r="156" spans="1:1" x14ac:dyDescent="0.25">
      <c r="A156" s="41"/>
    </row>
    <row r="159" spans="1:1" x14ac:dyDescent="0.25">
      <c r="A159" s="41"/>
    </row>
    <row r="160" spans="1:1" x14ac:dyDescent="0.25">
      <c r="A160" s="41"/>
    </row>
    <row r="164" spans="1:1" x14ac:dyDescent="0.25">
      <c r="A164" s="41"/>
    </row>
    <row r="165" spans="1:1" x14ac:dyDescent="0.25">
      <c r="A165" s="41"/>
    </row>
    <row r="168" spans="1:1" x14ac:dyDescent="0.25">
      <c r="A168" s="41"/>
    </row>
    <row r="169" spans="1:1" x14ac:dyDescent="0.25">
      <c r="A169" s="41"/>
    </row>
    <row r="172" spans="1:1" x14ac:dyDescent="0.25">
      <c r="A172" s="41"/>
    </row>
    <row r="173" spans="1:1" x14ac:dyDescent="0.25">
      <c r="A173" s="41"/>
    </row>
    <row r="176" spans="1:1" x14ac:dyDescent="0.25">
      <c r="A176" s="41"/>
    </row>
    <row r="177" spans="1:1" x14ac:dyDescent="0.25">
      <c r="A177" s="41"/>
    </row>
    <row r="180" spans="1:1" x14ac:dyDescent="0.25">
      <c r="A180" s="41"/>
    </row>
    <row r="181" spans="1:1" x14ac:dyDescent="0.25">
      <c r="A181" s="41"/>
    </row>
  </sheetData>
  <pageMargins left="0.7" right="0.7" top="0.75" bottom="0.75" header="0.3" footer="0.3"/>
  <pageSetup orientation="portrait" horizontalDpi="0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A14C6-76E6-4447-8D7B-C1E3883FEC37}">
  <sheetPr codeName="Sheet12">
    <tabColor theme="8" tint="0.79998168889431442"/>
  </sheetPr>
  <dimension ref="A1:K51"/>
  <sheetViews>
    <sheetView topLeftCell="A28" workbookViewId="0">
      <selection activeCell="C43" sqref="C43"/>
    </sheetView>
  </sheetViews>
  <sheetFormatPr defaultRowHeight="15" x14ac:dyDescent="0.25"/>
  <cols>
    <col min="1" max="1" width="9.140625" style="153"/>
    <col min="2" max="2" width="12.140625" customWidth="1"/>
  </cols>
  <sheetData>
    <row r="1" spans="2:11" customFormat="1" x14ac:dyDescent="0.25"/>
    <row r="2" spans="2:11" customFormat="1" x14ac:dyDescent="0.25">
      <c r="B2" s="10" t="s">
        <v>782</v>
      </c>
    </row>
    <row r="3" spans="2:11" customFormat="1" x14ac:dyDescent="0.25">
      <c r="B3" s="46">
        <v>9</v>
      </c>
      <c r="C3" s="46">
        <v>14</v>
      </c>
      <c r="D3" s="58">
        <v>19</v>
      </c>
    </row>
    <row r="4" spans="2:11" customFormat="1" x14ac:dyDescent="0.25">
      <c r="B4" s="46">
        <v>8</v>
      </c>
      <c r="C4" s="46">
        <v>13</v>
      </c>
      <c r="D4" s="58">
        <v>18</v>
      </c>
    </row>
    <row r="5" spans="2:11" customFormat="1" x14ac:dyDescent="0.25">
      <c r="B5" s="46">
        <v>7</v>
      </c>
      <c r="C5" s="46">
        <v>12</v>
      </c>
      <c r="D5" s="58">
        <v>17</v>
      </c>
    </row>
    <row r="6" spans="2:11" customFormat="1" x14ac:dyDescent="0.25"/>
    <row r="7" spans="2:11" customFormat="1" x14ac:dyDescent="0.25">
      <c r="B7" s="10" t="s">
        <v>783</v>
      </c>
    </row>
    <row r="8" spans="2:11" customFormat="1" x14ac:dyDescent="0.25">
      <c r="B8" s="16" t="s">
        <v>962</v>
      </c>
      <c r="C8" t="s">
        <v>964</v>
      </c>
      <c r="G8" s="131" t="s">
        <v>946</v>
      </c>
      <c r="H8" s="132" t="s">
        <v>947</v>
      </c>
    </row>
    <row r="9" spans="2:11" customFormat="1" x14ac:dyDescent="0.25">
      <c r="B9" t="s">
        <v>957</v>
      </c>
      <c r="C9" t="s">
        <v>6400</v>
      </c>
      <c r="G9" s="133" t="str">
        <f>IFERROR(INDEX('Strat Buff Data'!B:B,MATCH(Main!$B75,'Strat Buff Data'!$A:$A,0)),"N/A")</f>
        <v>N/A</v>
      </c>
      <c r="H9" s="134" t="str">
        <f>IFERROR(INDEX('Strat Buff Data'!C:C,MATCH(Main!$B75,'Strat Buff Data'!$A:$A,0)),"N/A")</f>
        <v>N/A</v>
      </c>
      <c r="K9" s="1"/>
    </row>
    <row r="10" spans="2:11" customFormat="1" x14ac:dyDescent="0.25">
      <c r="B10" t="s">
        <v>958</v>
      </c>
      <c r="C10" t="s">
        <v>6401</v>
      </c>
      <c r="G10" s="133" t="str">
        <f>IFERROR(INDEX('Strat Buff Data'!B:B,MATCH(Main!$B76,'Strat Buff Data'!$A:$A,0)),"N/A")</f>
        <v>N/A</v>
      </c>
      <c r="H10" s="134" t="str">
        <f>IFERROR(INDEX('Strat Buff Data'!C:C,MATCH(Main!$B76,'Strat Buff Data'!$A:$A,0)),"N/A")</f>
        <v>N/A</v>
      </c>
      <c r="K10" s="1"/>
    </row>
    <row r="11" spans="2:11" customFormat="1" x14ac:dyDescent="0.25">
      <c r="B11" t="s">
        <v>959</v>
      </c>
      <c r="C11" t="s">
        <v>6402</v>
      </c>
      <c r="G11" s="135" t="str">
        <f>IFERROR(INDEX('Strat Buff Data'!B:B,MATCH(Main!$B77,'Strat Buff Data'!$A:$A,0)),"N/A")</f>
        <v>N/A</v>
      </c>
      <c r="H11" s="136" t="str">
        <f>IFERROR(INDEX('Strat Buff Data'!C:C,MATCH(Main!$B77,'Strat Buff Data'!$A:$A,0)),"N/A")</f>
        <v>N/A</v>
      </c>
    </row>
    <row r="12" spans="2:11" customFormat="1" x14ac:dyDescent="0.25"/>
    <row r="13" spans="2:11" customFormat="1" x14ac:dyDescent="0.25">
      <c r="B13" t="s">
        <v>960</v>
      </c>
      <c r="C13" t="str">
        <f>INDEX($C$8:$C$11,COUNTA(Main!$B$75:$B$77)+1)</f>
        <v>"fairy_skill_on_team": "[]",</v>
      </c>
      <c r="K13" s="1"/>
    </row>
    <row r="14" spans="2:11" customFormat="1" x14ac:dyDescent="0.25">
      <c r="B14" t="s">
        <v>951</v>
      </c>
      <c r="C14" t="str">
        <f>SUBSTITUTE(SUBSTITUTE(SUBSTITUTE(C13,"buff1",StratBuff1),"buff2",StratBuff2),"buff3",StratBuff3)</f>
        <v>"fairy_skill_on_team": "[]",</v>
      </c>
      <c r="K14" s="1"/>
    </row>
    <row r="15" spans="2:11" customFormat="1" x14ac:dyDescent="0.25">
      <c r="B15" t="s">
        <v>952</v>
      </c>
      <c r="C15" t="str">
        <f>SUBSTITUTE(SUBSTITUTE(SUBSTITUTE(C14,"config1",StratConfig1),"config2",StratConfig2),"config3",StratConfig3)</f>
        <v>"fairy_skill_on_team": "[]",</v>
      </c>
      <c r="I15" s="9"/>
      <c r="J15" s="9"/>
      <c r="K15" s="1"/>
    </row>
    <row r="16" spans="2:11" customFormat="1" x14ac:dyDescent="0.25">
      <c r="B16" s="9" t="s">
        <v>961</v>
      </c>
      <c r="C16" t="str">
        <f>SUBSTITUTE(SUBSTITUTE(SUBSTITUTE(C15,"skill1",TEXT(StratSL1,"00")),"skill2",TEXT(StratSL2,"00")),"skill3",TEXT(StratSL3,"00"))</f>
        <v>"fairy_skill_on_team": "[]",</v>
      </c>
      <c r="I16" s="9"/>
      <c r="J16" s="1"/>
      <c r="K16" s="1"/>
    </row>
    <row r="17" spans="1:5" x14ac:dyDescent="0.25">
      <c r="A17"/>
      <c r="B17" s="9" t="s">
        <v>774</v>
      </c>
      <c r="C17" s="9" t="str">
        <f>SUBSTITUTE(C16,"turnnum",TurnNum)</f>
        <v>"fairy_skill_on_team": "[]",</v>
      </c>
    </row>
    <row r="18" spans="1:5" x14ac:dyDescent="0.25">
      <c r="A18"/>
    </row>
    <row r="19" spans="1:5" x14ac:dyDescent="0.25">
      <c r="A19"/>
      <c r="B19" s="95" t="s">
        <v>785</v>
      </c>
    </row>
    <row r="20" spans="1:5" x14ac:dyDescent="0.25">
      <c r="A20"/>
      <c r="B20" t="s">
        <v>962</v>
      </c>
      <c r="C20" t="s">
        <v>963</v>
      </c>
    </row>
    <row r="21" spans="1:5" x14ac:dyDescent="0.25">
      <c r="A21"/>
      <c r="B21" t="s">
        <v>859</v>
      </c>
      <c r="C21" t="s">
        <v>860</v>
      </c>
    </row>
    <row r="22" spans="1:5" x14ac:dyDescent="0.25">
      <c r="A22"/>
      <c r="B22" t="s">
        <v>965</v>
      </c>
      <c r="C22" t="str">
        <f>SUBSTITUTE(C21,"start_turn\"&amp;CHAR(34)&amp;":\"&amp;CHAR(34)&amp;1,"start_turn\"&amp;CHAR(34)&amp;":\"&amp;CHAR(34)&amp;TurnNum)</f>
        <v>"fairy_skill_on_enemy":"{\"1\":{\"1\":{\"enemy_instance_id\":1,\"buff_id\":\"1000001\",\"source_type\":2,\"source_value\":90325,\"start_turn\":\"8\",\"battle_count\":0,\"battle_finish_count\":0,\"person_move_count\":0,\"mission_skill_config_id\":\"8120725\"}}}",</v>
      </c>
    </row>
    <row r="23" spans="1:5" x14ac:dyDescent="0.25">
      <c r="A23"/>
    </row>
    <row r="24" spans="1:5" x14ac:dyDescent="0.25">
      <c r="A24"/>
      <c r="B24" s="95" t="s">
        <v>966</v>
      </c>
    </row>
    <row r="25" spans="1:5" x14ac:dyDescent="0.25">
      <c r="A25"/>
      <c r="B25" t="s">
        <v>962</v>
      </c>
      <c r="C25" t="s">
        <v>963</v>
      </c>
    </row>
    <row r="26" spans="1:5" x14ac:dyDescent="0.25">
      <c r="A26"/>
      <c r="B26" t="s">
        <v>859</v>
      </c>
      <c r="C26" t="s">
        <v>967</v>
      </c>
    </row>
    <row r="27" spans="1:5" x14ac:dyDescent="0.25">
      <c r="A27"/>
      <c r="B27" t="s">
        <v>965</v>
      </c>
      <c r="C27" t="str">
        <f>SUBSTITUTE(C26,"start_turn\"&amp;CHAR(34)&amp;":\"&amp;CHAR(34)&amp;1,"start_turn\"&amp;CHAR(34)&amp;":\"&amp;CHAR(34)&amp;TurnNum)</f>
        <v>"fairy_skill_on_enemy":"{\"1\":{\"1\":{\"enemy_instance_id\":1,\"buff_id\":\"1811\",\"source_type\":2,\"source_value\":90325,\"start_turn\":\"8\",\"battle_count\":0,\"battle_finish_count\":0,\"person_move_count\":0,\"mission_skill_config_id\":\"1801\"}}}",</v>
      </c>
    </row>
    <row r="28" spans="1:5" x14ac:dyDescent="0.25">
      <c r="A28"/>
      <c r="B28" t="s">
        <v>969</v>
      </c>
      <c r="C28" t="str">
        <f>SUBSTITUTE(C27,1801,18&amp;TEXT(Main!C82,"00"))</f>
        <v>"fairy_skill_on_enemy":"{\"1\":{\"1\":{\"enemy_instance_id\":1,\"buff_id\":\"1811\",\"source_type\":2,\"source_value\":90325,\"start_turn\":\"8\",\"battle_count\":0,\"battle_finish_count\":0,\"person_move_count\":0,\"mission_skill_config_id\":\"1800\"}}}",</v>
      </c>
    </row>
    <row r="29" spans="1:5" x14ac:dyDescent="0.25">
      <c r="A29"/>
    </row>
    <row r="30" spans="1:5" s="153" customFormat="1" x14ac:dyDescent="0.25">
      <c r="B30" s="151" t="s">
        <v>858</v>
      </c>
      <c r="C30" s="152"/>
    </row>
    <row r="31" spans="1:5" s="153" customFormat="1" x14ac:dyDescent="0.25">
      <c r="B31" s="149" t="s">
        <v>6519</v>
      </c>
      <c r="C31" s="150" t="str">
        <f ca="1">LEFT(CELL("filename",Main!$A$1),FIND("[",CELL("filename",Main!$A$1))-1)</f>
        <v>C:\Users\danny\Documents\GitHub\GFLBattleSim-JSONGenerator\</v>
      </c>
    </row>
    <row r="32" spans="1:5" s="153" customFormat="1" x14ac:dyDescent="0.25">
      <c r="B32" s="149" t="s">
        <v>6520</v>
      </c>
      <c r="C32" s="152" t="e">
        <f ca="1">RIGHT(D32,LEN(D32)-LEN("file:///")-1)</f>
        <v>#VALUE!</v>
      </c>
      <c r="D32" s="241" t="e">
        <f ca="1">LEFT(E32,FIND("@",SUBSTITUTE(E32,"/","@",LEN(E32)-LEN(SUBSTITUTE(E32,"/",""))),1))</f>
        <v>#VALUE!</v>
      </c>
      <c r="E32" s="241" t="e">
        <f ca="1">LEFT(CELL("filename",A1),FIND("#",CELL("filename",A1))-1)</f>
        <v>#VALUE!</v>
      </c>
    </row>
    <row r="33" spans="2:9" s="153" customFormat="1" x14ac:dyDescent="0.25">
      <c r="B33" s="149" t="s">
        <v>770</v>
      </c>
      <c r="C33" s="150" t="str">
        <f ca="1">IF(ISERROR($C$31),$C$32&amp;SUBSTITUTE(E33,"\","/"),$C$31&amp;E33)</f>
        <v>C:\Users\danny\Documents\GitHub\GFLBattleSim-JSONGenerator\Preset\gun_with_user_info.json</v>
      </c>
      <c r="D33" s="153" t="s">
        <v>6640</v>
      </c>
      <c r="E33" s="150" t="str">
        <f>"Preset\gun_with_user_info.json"</f>
        <v>Preset\gun_with_user_info.json</v>
      </c>
      <c r="F33" s="150"/>
    </row>
    <row r="34" spans="2:9" s="153" customFormat="1" x14ac:dyDescent="0.25">
      <c r="B34" s="149" t="s">
        <v>771</v>
      </c>
      <c r="C34" s="150" t="str">
        <f ca="1">IF(ISERROR($C$31),$C$32&amp;SUBSTITUTE(E34,"\","/"),$C$31&amp;E34)</f>
        <v>C:\Users\danny\Documents\GitHub\GFLBattleSim-JSONGenerator\Preset\equip_with_user_info.json</v>
      </c>
      <c r="D34" s="153" t="s">
        <v>6640</v>
      </c>
      <c r="E34" s="150" t="str">
        <f>"Preset\equip_with_user_info.json"</f>
        <v>Preset\equip_with_user_info.json</v>
      </c>
    </row>
    <row r="35" spans="2:9" s="153" customFormat="1" x14ac:dyDescent="0.25">
      <c r="B35" s="149" t="s">
        <v>889</v>
      </c>
      <c r="C35" s="150" t="str">
        <f ca="1">IF(ISERROR($C$31),$C$32&amp;SUBSTITUTE(E35,"\","/"),$C$31&amp;E35)</f>
        <v>C:\Users\danny\Documents\GitHub\GFLBattleSim-JSONGenerator\Preset\squad_with_user_info.json</v>
      </c>
      <c r="D35" s="153" t="s">
        <v>6640</v>
      </c>
      <c r="E35" s="150" t="str">
        <f>"Preset\squad_with_user_info.json"</f>
        <v>Preset\squad_with_user_info.json</v>
      </c>
    </row>
    <row r="36" spans="2:9" s="153" customFormat="1" x14ac:dyDescent="0.25">
      <c r="B36" s="149" t="s">
        <v>890</v>
      </c>
      <c r="C36" s="150" t="str">
        <f ca="1">IF(ISERROR($C$31),$C$32&amp;SUBSTITUTE(E36,"\","/"),$C$31&amp;E36)</f>
        <v>C:\Users\danny\Documents\GitHub\GFLBattleSim-JSONGenerator\Preset\chip_with_user_info.json</v>
      </c>
      <c r="D36" s="153" t="s">
        <v>6640</v>
      </c>
      <c r="E36" s="150" t="str">
        <f>"Preset\chip_with_user_info.json"</f>
        <v>Preset\chip_with_user_info.json</v>
      </c>
    </row>
    <row r="37" spans="2:9" s="153" customFormat="1" x14ac:dyDescent="0.25">
      <c r="B37" s="40" t="s">
        <v>772</v>
      </c>
      <c r="C37" s="150" t="str">
        <f ca="1">IF(ISERROR($C$31),$C$32&amp;SUBSTITUTE(E37,"\","/"),$C$31&amp;E37)</f>
        <v>C:\Users\danny\Documents\GitHub\GFLBattleSim-JSONGenerator\Preset\fairy_with_user_info.json</v>
      </c>
      <c r="D37" s="153" t="s">
        <v>6640</v>
      </c>
      <c r="E37" s="150" t="str">
        <f>"Preset\fairy_with_user_info.json"</f>
        <v>Preset\fairy_with_user_info.json</v>
      </c>
    </row>
    <row r="38" spans="2:9" s="153" customFormat="1" x14ac:dyDescent="0.25">
      <c r="B38" s="40" t="s">
        <v>775</v>
      </c>
      <c r="C38" s="150" t="str">
        <f ca="1">IF(ISERROR($C$31),$C$32&amp;SUBSTITUTE(E38,"\","/"),$C$31&amp;E38)</f>
        <v>C:\Users\danny\Documents\GitHub\GFLBattleSim-JSONGenerator\Preset\battle_night_new\mission_act_info.json</v>
      </c>
      <c r="D38" s="153" t="s">
        <v>6640</v>
      </c>
      <c r="E38" s="150" t="str">
        <f>"Preset\"&amp;IF(DayNight="Day","battle_day\","battle_night_new\")&amp;"mission_act_info.json"</f>
        <v>Preset\battle_night_new\mission_act_info.json</v>
      </c>
    </row>
    <row r="39" spans="2:9" s="153" customFormat="1" x14ac:dyDescent="0.25">
      <c r="B39" s="40" t="s">
        <v>1123</v>
      </c>
      <c r="C39" s="150" t="str">
        <f ca="1">IF(ISERROR($C$31),$C$32&amp;SUBSTITUTE(E39,"\","/"),$C$31&amp;E39)</f>
        <v>C:\Users\danny\Documents\GitHub\GFLBattleSim-JSONGenerator\Preset\sangvis_with_user_info.json</v>
      </c>
      <c r="D39" s="153" t="s">
        <v>6640</v>
      </c>
      <c r="E39" s="150" t="str">
        <f>"Preset\sangvis_with_user_info.json"</f>
        <v>Preset\sangvis_with_user_info.json</v>
      </c>
    </row>
    <row r="40" spans="2:9" s="153" customFormat="1" x14ac:dyDescent="0.25">
      <c r="B40" s="40" t="s">
        <v>1124</v>
      </c>
      <c r="C40" s="150" t="str">
        <f ca="1">IF(ISERROR($C$31),$C$32&amp;SUBSTITUTE(E40,"\","/"),$C$31&amp;E40)</f>
        <v>C:\Users\danny\Documents\GitHub\GFLBattleSim-JSONGenerator\Preset\sangvis_team_with_user_info.json</v>
      </c>
      <c r="D40" s="153" t="s">
        <v>6640</v>
      </c>
      <c r="E40" s="150" t="str">
        <f>"Preset\sangvis_team_with_user_info.json"</f>
        <v>Preset\sangvis_team_with_user_info.json</v>
      </c>
    </row>
    <row r="41" spans="2:9" s="153" customFormat="1" x14ac:dyDescent="0.25">
      <c r="B41" s="40" t="s">
        <v>1125</v>
      </c>
      <c r="C41" s="150" t="str">
        <f ca="1">IF(ISERROR($C$31),$C$32&amp;SUBSTITUTE(E41,"\","/"),$C$31&amp;E41)</f>
        <v>C:\Users\danny\Documents\GitHub\GFLBattleSim-JSONGenerator\Preset\sangvis_chip_with_user_info.json</v>
      </c>
      <c r="D41" s="153" t="s">
        <v>6640</v>
      </c>
      <c r="E41" s="150" t="str">
        <f>"Preset\sangvis_chip_with_user_info.json"</f>
        <v>Preset\sangvis_chip_with_user_info.json</v>
      </c>
    </row>
    <row r="42" spans="2:9" s="153" customFormat="1" x14ac:dyDescent="0.25">
      <c r="B42" s="40" t="s">
        <v>786</v>
      </c>
      <c r="C42" s="150" t="str">
        <f ca="1">IF(ISERROR($C$31),$C$32&amp;SUBSTITUTE(E42,"\","/"),$C$31&amp;E42)</f>
        <v>C:\Users\danny\Documents\GitHub\GFLBattleSim-JSONGenerator\GFBattleSimulator.json</v>
      </c>
      <c r="D42" s="153" t="s">
        <v>6640</v>
      </c>
      <c r="E42" s="150" t="str">
        <f>"GFBattleSimulator.json"</f>
        <v>GFBattleSimulator.json</v>
      </c>
    </row>
    <row r="43" spans="2:9" x14ac:dyDescent="0.25">
      <c r="B43" t="s">
        <v>1834</v>
      </c>
      <c r="C43" s="150" t="str">
        <f ca="1">IF(ISERROR($C$31),$C$32&amp;SUBSTITUTE(E43,"\","/"),$C$31&amp;E43)</f>
        <v>C:\Users\danny\Documents\GitHub\GFLBattleSim-JSONGenerator\Preset\battle_day\spot_act_info.json</v>
      </c>
      <c r="D43" s="153" t="s">
        <v>6640</v>
      </c>
      <c r="E43" s="150" t="str">
        <f>"Preset\battle_day\spot_act_info.json"</f>
        <v>Preset\battle_day\spot_act_info.json</v>
      </c>
      <c r="I43" s="153"/>
    </row>
    <row r="44" spans="2:9" x14ac:dyDescent="0.25">
      <c r="B44" t="s">
        <v>1835</v>
      </c>
      <c r="C44" s="150" t="str">
        <f ca="1">IF(ISERROR($C$31),$C$32&amp;SUBSTITUTE(E44,"\","/"),$C$31&amp;E44)</f>
        <v>C:\Users\danny\Documents\GitHub\GFLBattleSim-JSONGenerator\Preset\battle_night_new\spot_act_info.json</v>
      </c>
      <c r="D44" s="153" t="s">
        <v>6640</v>
      </c>
      <c r="E44" s="150" t="str">
        <f>"Preset\battle_night_new\spot_act_info.json"</f>
        <v>Preset\battle_night_new\spot_act_info.json</v>
      </c>
      <c r="I44" s="153"/>
    </row>
    <row r="46" spans="2:9" x14ac:dyDescent="0.25">
      <c r="B46" s="10" t="s">
        <v>5568</v>
      </c>
    </row>
    <row r="47" spans="2:9" x14ac:dyDescent="0.25">
      <c r="B47" t="s">
        <v>770</v>
      </c>
      <c r="C47" s="225" t="s">
        <v>5839</v>
      </c>
    </row>
    <row r="48" spans="2:9" x14ac:dyDescent="0.25">
      <c r="B48" t="s">
        <v>771</v>
      </c>
      <c r="C48" s="225" t="s">
        <v>5691</v>
      </c>
    </row>
    <row r="49" spans="2:3" x14ac:dyDescent="0.25">
      <c r="B49" t="s">
        <v>6406</v>
      </c>
      <c r="C49" s="225" t="s">
        <v>6427</v>
      </c>
    </row>
    <row r="50" spans="2:3" x14ac:dyDescent="0.25">
      <c r="B50" t="s">
        <v>6407</v>
      </c>
      <c r="C50" s="225" t="s">
        <v>6408</v>
      </c>
    </row>
    <row r="51" spans="2:3" x14ac:dyDescent="0.25">
      <c r="B51" s="225"/>
    </row>
  </sheetData>
  <pageMargins left="0.7" right="0.7" top="0.75" bottom="0.75" header="0.3" footer="0.3"/>
  <pageSetup orientation="portrait" horizontalDpi="0" verticalDpi="0" r:id="rId1"/>
  <legacy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5D4A42-6EE8-4C4F-8200-4700668A403B}">
  <sheetPr codeName="Sheet7">
    <tabColor theme="4" tint="0.79998168889431442"/>
  </sheetPr>
  <dimension ref="A1:BT252"/>
  <sheetViews>
    <sheetView topLeftCell="AL1" workbookViewId="0">
      <pane ySplit="1" topLeftCell="A2" activePane="bottomLeft" state="frozen"/>
      <selection activeCell="AV2" sqref="AV2"/>
      <selection pane="bottomLeft" activeCell="AV1" sqref="AV1"/>
    </sheetView>
  </sheetViews>
  <sheetFormatPr defaultRowHeight="15" x14ac:dyDescent="0.25"/>
  <cols>
    <col min="1" max="1" width="9.5703125" bestFit="1" customWidth="1"/>
    <col min="10" max="10" width="13.85546875" bestFit="1" customWidth="1"/>
    <col min="33" max="33" width="2.85546875" style="42" customWidth="1"/>
    <col min="49" max="49" width="2.85546875" style="42" customWidth="1"/>
  </cols>
  <sheetData>
    <row r="1" spans="1:72" x14ac:dyDescent="0.25">
      <c r="A1" s="10" t="s">
        <v>282</v>
      </c>
      <c r="B1" s="10" t="s">
        <v>268</v>
      </c>
      <c r="C1" s="43" t="s">
        <v>283</v>
      </c>
      <c r="D1" s="43" t="s">
        <v>284</v>
      </c>
      <c r="E1" s="43" t="s">
        <v>285</v>
      </c>
      <c r="F1" s="43" t="s">
        <v>286</v>
      </c>
      <c r="G1" s="43" t="s">
        <v>306</v>
      </c>
      <c r="H1" s="43" t="s">
        <v>287</v>
      </c>
      <c r="I1" s="43" t="s">
        <v>288</v>
      </c>
      <c r="J1" s="43" t="s">
        <v>289</v>
      </c>
      <c r="K1" s="43" t="s">
        <v>290</v>
      </c>
      <c r="L1" s="43" t="s">
        <v>307</v>
      </c>
      <c r="M1" s="43" t="s">
        <v>291</v>
      </c>
      <c r="N1" s="43" t="s">
        <v>292</v>
      </c>
      <c r="O1" s="43" t="s">
        <v>293</v>
      </c>
      <c r="P1" s="43" t="s">
        <v>294</v>
      </c>
      <c r="Q1" s="43" t="s">
        <v>308</v>
      </c>
      <c r="R1" s="43" t="s">
        <v>295</v>
      </c>
      <c r="S1" s="43" t="s">
        <v>296</v>
      </c>
      <c r="T1" s="43" t="s">
        <v>297</v>
      </c>
      <c r="U1" s="43" t="s">
        <v>298</v>
      </c>
      <c r="V1" s="43" t="s">
        <v>309</v>
      </c>
      <c r="W1" s="43" t="s">
        <v>299</v>
      </c>
      <c r="X1" s="43" t="s">
        <v>114</v>
      </c>
      <c r="Y1" s="43" t="s">
        <v>300</v>
      </c>
      <c r="Z1" s="43" t="s">
        <v>301</v>
      </c>
      <c r="AA1" s="43" t="s">
        <v>310</v>
      </c>
      <c r="AB1" s="43" t="s">
        <v>302</v>
      </c>
      <c r="AC1" s="43" t="s">
        <v>303</v>
      </c>
      <c r="AD1" s="43" t="s">
        <v>304</v>
      </c>
      <c r="AE1" s="43" t="s">
        <v>305</v>
      </c>
      <c r="AF1" s="43" t="s">
        <v>311</v>
      </c>
      <c r="AG1" s="97"/>
      <c r="AH1" s="43" t="s">
        <v>713</v>
      </c>
      <c r="AI1" s="43" t="s">
        <v>714</v>
      </c>
      <c r="AJ1" s="43" t="s">
        <v>6434</v>
      </c>
      <c r="AK1" s="43" t="s">
        <v>754</v>
      </c>
      <c r="AL1" s="43" t="s">
        <v>720</v>
      </c>
      <c r="AM1" s="43" t="s">
        <v>721</v>
      </c>
      <c r="AN1" s="43" t="s">
        <v>9</v>
      </c>
      <c r="AO1" s="43" t="s">
        <v>728</v>
      </c>
      <c r="AP1" s="43" t="s">
        <v>753</v>
      </c>
      <c r="AQ1" s="43" t="s">
        <v>733</v>
      </c>
      <c r="AR1" s="43" t="s">
        <v>638</v>
      </c>
      <c r="AS1" s="43" t="s">
        <v>742</v>
      </c>
      <c r="AT1" s="43" t="s">
        <v>743</v>
      </c>
      <c r="AU1" s="43" t="s">
        <v>922</v>
      </c>
      <c r="AV1" s="43" t="s">
        <v>702</v>
      </c>
      <c r="AW1" s="97"/>
      <c r="AX1" s="95" t="s">
        <v>6515</v>
      </c>
      <c r="AZ1" s="43" t="s">
        <v>6498</v>
      </c>
      <c r="BA1" s="43" t="s">
        <v>6499</v>
      </c>
      <c r="BB1" s="43" t="s">
        <v>6516</v>
      </c>
      <c r="BC1" s="43" t="s">
        <v>6517</v>
      </c>
      <c r="BD1" s="43" t="s">
        <v>6518</v>
      </c>
      <c r="BE1" s="43" t="s">
        <v>6500</v>
      </c>
      <c r="BF1" s="43" t="s">
        <v>6503</v>
      </c>
      <c r="BG1" s="43" t="s">
        <v>6506</v>
      </c>
      <c r="BH1" s="43" t="s">
        <v>6509</v>
      </c>
      <c r="BI1" s="43" t="s">
        <v>6512</v>
      </c>
      <c r="BJ1" s="43" t="s">
        <v>6501</v>
      </c>
      <c r="BK1" s="43" t="s">
        <v>6504</v>
      </c>
      <c r="BL1" s="43" t="s">
        <v>6507</v>
      </c>
      <c r="BM1" s="43" t="s">
        <v>6510</v>
      </c>
      <c r="BN1" s="43" t="s">
        <v>6513</v>
      </c>
      <c r="BO1" s="43" t="s">
        <v>6502</v>
      </c>
      <c r="BP1" s="43" t="s">
        <v>6505</v>
      </c>
      <c r="BQ1" s="43" t="s">
        <v>6508</v>
      </c>
      <c r="BR1" s="43" t="s">
        <v>6511</v>
      </c>
      <c r="BS1" s="43" t="s">
        <v>6514</v>
      </c>
    </row>
    <row r="2" spans="1:72" x14ac:dyDescent="0.25">
      <c r="A2" s="9">
        <v>2</v>
      </c>
      <c r="B2" t="s">
        <v>3</v>
      </c>
      <c r="C2" s="9" t="s">
        <v>139</v>
      </c>
      <c r="D2" s="9" t="s">
        <v>74</v>
      </c>
      <c r="E2" s="9" t="s">
        <v>746</v>
      </c>
      <c r="F2" s="9" t="s">
        <v>1688</v>
      </c>
      <c r="G2" s="9" t="s">
        <v>263</v>
      </c>
      <c r="H2" s="9" t="s">
        <v>117</v>
      </c>
      <c r="I2" s="9" t="s">
        <v>751</v>
      </c>
      <c r="J2" s="9" t="s">
        <v>1703</v>
      </c>
      <c r="K2" s="9" t="s">
        <v>752</v>
      </c>
      <c r="L2" t="s">
        <v>1777</v>
      </c>
      <c r="M2" s="9" t="s">
        <v>1180</v>
      </c>
      <c r="N2" s="9" t="s">
        <v>803</v>
      </c>
      <c r="O2" s="9" t="s">
        <v>1445</v>
      </c>
      <c r="P2" s="9" t="s">
        <v>174</v>
      </c>
      <c r="Q2" s="9" t="s">
        <v>1710</v>
      </c>
      <c r="R2" s="9" t="s">
        <v>1211</v>
      </c>
      <c r="S2" s="9" t="s">
        <v>138</v>
      </c>
      <c r="T2" s="9" t="s">
        <v>717</v>
      </c>
      <c r="U2" s="9" t="s">
        <v>840</v>
      </c>
      <c r="V2" t="s">
        <v>5807</v>
      </c>
      <c r="W2" s="9" t="s">
        <v>1650</v>
      </c>
      <c r="X2" s="9" t="s">
        <v>115</v>
      </c>
      <c r="Y2" s="9" t="s">
        <v>1660</v>
      </c>
      <c r="Z2" s="9" t="s">
        <v>738</v>
      </c>
      <c r="AA2" s="9" t="s">
        <v>934</v>
      </c>
      <c r="AC2" s="9" t="s">
        <v>247</v>
      </c>
      <c r="AD2" s="9" t="s">
        <v>1632</v>
      </c>
      <c r="AE2" s="9" t="s">
        <v>724</v>
      </c>
      <c r="AH2" t="s">
        <v>520</v>
      </c>
      <c r="AI2" t="s">
        <v>524</v>
      </c>
      <c r="AJ2" t="s">
        <v>6435</v>
      </c>
      <c r="AK2" t="s">
        <v>551</v>
      </c>
      <c r="AL2" t="s">
        <v>528</v>
      </c>
      <c r="AM2" t="s">
        <v>532</v>
      </c>
      <c r="AN2" t="s">
        <v>557</v>
      </c>
      <c r="AO2" t="s">
        <v>536</v>
      </c>
      <c r="AP2" t="s">
        <v>561</v>
      </c>
      <c r="AQ2" t="s">
        <v>540</v>
      </c>
      <c r="AR2" t="s">
        <v>544</v>
      </c>
      <c r="AS2" t="s">
        <v>555</v>
      </c>
      <c r="AT2" t="s">
        <v>569</v>
      </c>
      <c r="AU2" t="s">
        <v>918</v>
      </c>
      <c r="AV2" t="s">
        <v>752</v>
      </c>
      <c r="AZ2" s="43" t="str">
        <f>Main!$C$20&amp;Main!$B$20</f>
        <v>MG5</v>
      </c>
      <c r="BA2" s="43" t="str">
        <f>Main!$C$21&amp;Main!$B$21</f>
        <v>MG5</v>
      </c>
      <c r="BB2" s="43" t="str">
        <f>Main!$C$22&amp;Main!$B$22</f>
        <v>AR6</v>
      </c>
      <c r="BC2" s="43" t="str">
        <f>Main!$C$23&amp;Main!$B$23</f>
        <v>SG5</v>
      </c>
      <c r="BD2" s="43" t="str">
        <f>Main!$C$24&amp;Main!$B$24</f>
        <v>HG5</v>
      </c>
      <c r="BE2" s="43" t="str">
        <f>Main!$L$20</f>
        <v>VFL</v>
      </c>
      <c r="BF2" s="43" t="str">
        <f>Main!$L$21</f>
        <v>VFL</v>
      </c>
      <c r="BG2" s="43" t="str">
        <f>Main!$L$22</f>
        <v>SPEQ</v>
      </c>
      <c r="BH2" s="43" t="str">
        <f>Main!$L$23</f>
        <v>ITI</v>
      </c>
      <c r="BI2" s="43" t="str">
        <f>Main!$L$24</f>
        <v>SPP</v>
      </c>
      <c r="BJ2" s="43" t="str">
        <f>Main!$P$20</f>
        <v>AP</v>
      </c>
      <c r="BK2" s="43" t="str">
        <f>Main!$P$21</f>
        <v>AP</v>
      </c>
      <c r="BL2" s="43" t="str">
        <f>Main!$P$22</f>
        <v>HV</v>
      </c>
      <c r="BM2" s="43" t="str">
        <f>Main!$P$23</f>
        <v>New</v>
      </c>
      <c r="BN2" s="43" t="str">
        <f>Main!$P$24</f>
        <v>HP</v>
      </c>
      <c r="BO2" s="43" t="str">
        <f>Main!$T$20</f>
        <v>Ammo</v>
      </c>
      <c r="BP2" s="43" t="str">
        <f>Main!$T$21</f>
        <v>Ammo</v>
      </c>
      <c r="BQ2" s="43" t="str">
        <f>Main!$T$22</f>
        <v>SPEQ</v>
      </c>
      <c r="BR2" s="43" t="str">
        <f>Main!$T$23</f>
        <v>Armor</v>
      </c>
      <c r="BS2" s="43" t="str">
        <f>Main!$T$24</f>
        <v>Exo</v>
      </c>
    </row>
    <row r="3" spans="1:72" x14ac:dyDescent="0.25">
      <c r="A3" s="9">
        <v>3</v>
      </c>
      <c r="B3" t="s">
        <v>7</v>
      </c>
      <c r="C3" s="9" t="s">
        <v>1201</v>
      </c>
      <c r="D3" s="9" t="s">
        <v>72</v>
      </c>
      <c r="E3" s="9" t="s">
        <v>1755</v>
      </c>
      <c r="F3" s="9" t="s">
        <v>195</v>
      </c>
      <c r="G3" s="9" t="s">
        <v>837</v>
      </c>
      <c r="H3" s="9" t="s">
        <v>77</v>
      </c>
      <c r="I3" s="9" t="s">
        <v>1716</v>
      </c>
      <c r="J3" s="9" t="s">
        <v>796</v>
      </c>
      <c r="K3" s="9" t="s">
        <v>1717</v>
      </c>
      <c r="L3" s="9" t="s">
        <v>828</v>
      </c>
      <c r="M3" s="9" t="s">
        <v>94</v>
      </c>
      <c r="N3" s="9" t="s">
        <v>202</v>
      </c>
      <c r="O3" s="9" t="s">
        <v>227</v>
      </c>
      <c r="P3" s="9" t="s">
        <v>824</v>
      </c>
      <c r="R3" s="9" t="s">
        <v>1189</v>
      </c>
      <c r="S3" s="9" t="s">
        <v>1644</v>
      </c>
      <c r="T3" s="9" t="s">
        <v>1675</v>
      </c>
      <c r="U3" t="s">
        <v>5544</v>
      </c>
      <c r="V3" t="s">
        <v>5791</v>
      </c>
      <c r="W3" s="9" t="s">
        <v>109</v>
      </c>
      <c r="X3" s="9" t="s">
        <v>800</v>
      </c>
      <c r="Y3" s="9" t="s">
        <v>162</v>
      </c>
      <c r="Z3" s="9" t="s">
        <v>251</v>
      </c>
      <c r="AC3" s="9" t="s">
        <v>723</v>
      </c>
      <c r="AD3" s="9" t="s">
        <v>815</v>
      </c>
      <c r="AE3" s="9" t="s">
        <v>245</v>
      </c>
      <c r="AH3" t="s">
        <v>521</v>
      </c>
      <c r="AI3" t="s">
        <v>525</v>
      </c>
      <c r="AJ3" t="s">
        <v>6436</v>
      </c>
      <c r="AK3" t="s">
        <v>552</v>
      </c>
      <c r="AL3" t="s">
        <v>529</v>
      </c>
      <c r="AM3" t="s">
        <v>533</v>
      </c>
      <c r="AN3" t="s">
        <v>558</v>
      </c>
      <c r="AO3" t="s">
        <v>537</v>
      </c>
      <c r="AP3" t="s">
        <v>562</v>
      </c>
      <c r="AQ3" t="s">
        <v>541</v>
      </c>
      <c r="AR3" t="s">
        <v>545</v>
      </c>
      <c r="AS3" t="s">
        <v>556</v>
      </c>
      <c r="AT3" t="s">
        <v>570</v>
      </c>
      <c r="AU3" t="s">
        <v>917</v>
      </c>
      <c r="AV3" t="s">
        <v>840</v>
      </c>
      <c r="AZ3" s="1" t="str">
        <f>IF(INDEX($C2:$AF2,MATCH(AZ$2,$C$1:$AF$1,0))="","",INDEX($C2:$AF2,MATCH(AZ$2,$C$1:$AF$1,0)))</f>
        <v>Alma</v>
      </c>
      <c r="BA3" s="1" t="str">
        <f t="shared" ref="BA3:BD3" si="0">IF(INDEX($C2:$AF2,MATCH(BA$2,$C$1:$AF$1,0))="","",INDEX($C2:$AF2,MATCH(BA$2,$C$1:$AF$1,0)))</f>
        <v>Alma</v>
      </c>
      <c r="BB3" s="1" t="str">
        <f t="shared" si="0"/>
        <v>AK15Mod</v>
      </c>
      <c r="BC3" s="1" t="str">
        <f t="shared" si="0"/>
        <v>AA12</v>
      </c>
      <c r="BD3" s="1" t="str">
        <f t="shared" si="0"/>
        <v>C93</v>
      </c>
      <c r="BE3" s="1" t="str">
        <f>IF(INDEX($AH2:$AV2,MATCH(BE$2,$AH$1:$AV$1,0))="","",INDEX($AH2:$AV2,MATCH(BE$2,$AH$1:$AV$1,0)))</f>
        <v>VFL2</v>
      </c>
      <c r="BF3" s="1" t="str">
        <f t="shared" ref="BF3:BS3" si="1">IF(INDEX($AH2:$AV2,MATCH(BF$2,$AH$1:$AV$1,0))="","",INDEX($AH2:$AV2,MATCH(BF$2,$AH$1:$AV$1,0)))</f>
        <v>VFL2</v>
      </c>
      <c r="BG3" s="1" t="str">
        <f t="shared" si="1"/>
        <v>100Shiki</v>
      </c>
      <c r="BH3" s="1" t="str">
        <f t="shared" si="1"/>
        <v>ITI2</v>
      </c>
      <c r="BI3" s="1" t="str">
        <f t="shared" si="1"/>
        <v>SPP2</v>
      </c>
      <c r="BJ3" s="1" t="str">
        <f t="shared" si="1"/>
        <v>AP2</v>
      </c>
      <c r="BK3" s="1" t="str">
        <f t="shared" si="1"/>
        <v>AP2</v>
      </c>
      <c r="BL3" s="1" t="str">
        <f t="shared" si="1"/>
        <v>HV2</v>
      </c>
      <c r="BM3" s="1" t="str">
        <f t="shared" si="1"/>
        <v>Birdshot4</v>
      </c>
      <c r="BN3" s="1" t="str">
        <f t="shared" si="1"/>
        <v>HP2</v>
      </c>
      <c r="BO3" s="1" t="str">
        <f t="shared" si="1"/>
        <v>Ammo4</v>
      </c>
      <c r="BP3" s="1" t="str">
        <f t="shared" si="1"/>
        <v>Ammo4</v>
      </c>
      <c r="BQ3" s="1" t="str">
        <f t="shared" si="1"/>
        <v>100Shiki</v>
      </c>
      <c r="BR3" s="1" t="str">
        <f t="shared" si="1"/>
        <v>Armor3</v>
      </c>
      <c r="BS3" s="1" t="str">
        <f t="shared" si="1"/>
        <v>TExo2</v>
      </c>
      <c r="BT3" s="1"/>
    </row>
    <row r="4" spans="1:72" x14ac:dyDescent="0.25">
      <c r="A4" s="9">
        <v>4</v>
      </c>
      <c r="B4" t="s">
        <v>6</v>
      </c>
      <c r="C4" s="9" t="s">
        <v>65</v>
      </c>
      <c r="D4" s="9" t="s">
        <v>177</v>
      </c>
      <c r="E4" s="9" t="s">
        <v>818</v>
      </c>
      <c r="F4" s="9" t="s">
        <v>161</v>
      </c>
      <c r="H4" s="9" t="s">
        <v>83</v>
      </c>
      <c r="I4" s="9" t="s">
        <v>135</v>
      </c>
      <c r="J4" s="9" t="s">
        <v>183</v>
      </c>
      <c r="K4" s="9" t="s">
        <v>1645</v>
      </c>
      <c r="L4" s="9" t="s">
        <v>6588</v>
      </c>
      <c r="M4" s="9" t="s">
        <v>90</v>
      </c>
      <c r="N4" s="9" t="s">
        <v>173</v>
      </c>
      <c r="O4" t="s">
        <v>1784</v>
      </c>
      <c r="P4" s="9" t="s">
        <v>170</v>
      </c>
      <c r="R4" s="9" t="s">
        <v>842</v>
      </c>
      <c r="S4" s="9" t="s">
        <v>137</v>
      </c>
      <c r="T4" s="9" t="s">
        <v>231</v>
      </c>
      <c r="U4" s="9" t="s">
        <v>213</v>
      </c>
      <c r="V4" s="9" t="s">
        <v>1475</v>
      </c>
      <c r="W4" s="9" t="s">
        <v>125</v>
      </c>
      <c r="X4" s="9" t="s">
        <v>232</v>
      </c>
      <c r="Y4" s="9" t="s">
        <v>744</v>
      </c>
      <c r="Z4" s="9" t="s">
        <v>176</v>
      </c>
      <c r="AC4" s="9" t="s">
        <v>146</v>
      </c>
      <c r="AD4" s="9" t="s">
        <v>217</v>
      </c>
      <c r="AE4" s="9" t="s">
        <v>736</v>
      </c>
      <c r="AH4" t="s">
        <v>522</v>
      </c>
      <c r="AI4" t="s">
        <v>526</v>
      </c>
      <c r="AJ4" t="s">
        <v>6437</v>
      </c>
      <c r="AK4" t="s">
        <v>553</v>
      </c>
      <c r="AL4" t="s">
        <v>530</v>
      </c>
      <c r="AM4" t="s">
        <v>534</v>
      </c>
      <c r="AN4" t="s">
        <v>559</v>
      </c>
      <c r="AO4" t="s">
        <v>538</v>
      </c>
      <c r="AP4" t="s">
        <v>563</v>
      </c>
      <c r="AQ4" t="s">
        <v>542</v>
      </c>
      <c r="AR4" t="s">
        <v>546</v>
      </c>
      <c r="AT4" t="s">
        <v>571</v>
      </c>
      <c r="AU4" t="s">
        <v>916</v>
      </c>
      <c r="AV4" t="s">
        <v>717</v>
      </c>
      <c r="AZ4" s="1" t="str">
        <f t="shared" ref="AZ4:AZ67" si="2">IF(INDEX($C3:$AF3,MATCH(AZ$2,$C$1:$AF$1,0))="","",INDEX($C3:$AF3,MATCH(AZ$2,$C$1:$AF$1,0)))</f>
        <v>Claes</v>
      </c>
      <c r="BA4" s="1" t="str">
        <f t="shared" ref="BA4:BA67" si="3">IF(INDEX($C3:$AF3,MATCH(BA$2,$C$1:$AF$1,0))="","",INDEX($C3:$AF3,MATCH(BA$2,$C$1:$AF$1,0)))</f>
        <v>Claes</v>
      </c>
      <c r="BB4" s="1" t="str">
        <f t="shared" ref="BB4:BB67" si="4">IF(INDEX($C3:$AF3,MATCH(BB$2,$C$1:$AF$1,0))="","",INDEX($C3:$AF3,MATCH(BB$2,$C$1:$AF$1,0)))</f>
        <v>AN94Mod</v>
      </c>
      <c r="BC4" s="1" t="str">
        <f t="shared" ref="BC4:BC67" si="5">IF(INDEX($C3:$AF3,MATCH(BC$2,$C$1:$AF$1,0))="","",INDEX($C3:$AF3,MATCH(BC$2,$C$1:$AF$1,0)))</f>
        <v>CAWS</v>
      </c>
      <c r="BD4" s="1" t="str">
        <f t="shared" ref="BD4:BD67" si="6">IF(INDEX($C3:$AF3,MATCH(BD$2,$C$1:$AF$1,0))="","",INDEX($C3:$AF3,MATCH(BD$2,$C$1:$AF$1,0)))</f>
        <v>CLEAR</v>
      </c>
      <c r="BE4" s="1" t="str">
        <f t="shared" ref="BE4:BE67" si="7">IF(INDEX($AH3:$AV3,MATCH(BE$2,$AH$1:$AV$1,0))="","",INDEX($AH3:$AV3,MATCH(BE$2,$AH$1:$AV$1,0)))</f>
        <v>VFL3</v>
      </c>
      <c r="BF4" s="1" t="str">
        <f t="shared" ref="BF4:BF67" si="8">IF(INDEX($AH3:$AV3,MATCH(BF$2,$AH$1:$AV$1,0))="","",INDEX($AH3:$AV3,MATCH(BF$2,$AH$1:$AV$1,0)))</f>
        <v>VFL3</v>
      </c>
      <c r="BG4" s="1" t="str">
        <f t="shared" ref="BG4:BG67" si="9">IF(INDEX($AH3:$AV3,MATCH(BG$2,$AH$1:$AV$1,0))="","",INDEX($AH3:$AV3,MATCH(BG$2,$AH$1:$AV$1,0)))</f>
        <v>64Shiki</v>
      </c>
      <c r="BH4" s="1" t="str">
        <f t="shared" ref="BH4:BH67" si="10">IF(INDEX($AH3:$AV3,MATCH(BH$2,$AH$1:$AV$1,0))="","",INDEX($AH3:$AV3,MATCH(BH$2,$AH$1:$AV$1,0)))</f>
        <v>ITI3</v>
      </c>
      <c r="BI4" s="1" t="str">
        <f t="shared" ref="BI4:BI67" si="11">IF(INDEX($AH3:$AV3,MATCH(BI$2,$AH$1:$AV$1,0))="","",INDEX($AH3:$AV3,MATCH(BI$2,$AH$1:$AV$1,0)))</f>
        <v>SPP3</v>
      </c>
      <c r="BJ4" s="1" t="str">
        <f t="shared" ref="BJ4:BJ67" si="12">IF(INDEX($AH3:$AV3,MATCH(BJ$2,$AH$1:$AV$1,0))="","",INDEX($AH3:$AV3,MATCH(BJ$2,$AH$1:$AV$1,0)))</f>
        <v>AP3</v>
      </c>
      <c r="BK4" s="1" t="str">
        <f t="shared" ref="BK4:BK67" si="13">IF(INDEX($AH3:$AV3,MATCH(BK$2,$AH$1:$AV$1,0))="","",INDEX($AH3:$AV3,MATCH(BK$2,$AH$1:$AV$1,0)))</f>
        <v>AP3</v>
      </c>
      <c r="BL4" s="1" t="str">
        <f t="shared" ref="BL4:BL67" si="14">IF(INDEX($AH3:$AV3,MATCH(BL$2,$AH$1:$AV$1,0))="","",INDEX($AH3:$AV3,MATCH(BL$2,$AH$1:$AV$1,0)))</f>
        <v>HV3</v>
      </c>
      <c r="BM4" s="1" t="str">
        <f t="shared" ref="BM4:BM67" si="15">IF(INDEX($AH3:$AV3,MATCH(BM$2,$AH$1:$AV$1,0))="","",INDEX($AH3:$AV3,MATCH(BM$2,$AH$1:$AV$1,0)))</f>
        <v>Birdshot5</v>
      </c>
      <c r="BN4" s="1" t="str">
        <f t="shared" ref="BN4:BN67" si="16">IF(INDEX($AH3:$AV3,MATCH(BN$2,$AH$1:$AV$1,0))="","",INDEX($AH3:$AV3,MATCH(BN$2,$AH$1:$AV$1,0)))</f>
        <v>HP3</v>
      </c>
      <c r="BO4" s="1" t="str">
        <f t="shared" ref="BO4:BO67" si="17">IF(INDEX($AH3:$AV3,MATCH(BO$2,$AH$1:$AV$1,0))="","",INDEX($AH3:$AV3,MATCH(BO$2,$AH$1:$AV$1,0)))</f>
        <v>Ammo5</v>
      </c>
      <c r="BP4" s="1" t="str">
        <f t="shared" ref="BP4:BP67" si="18">IF(INDEX($AH3:$AV3,MATCH(BP$2,$AH$1:$AV$1,0))="","",INDEX($AH3:$AV3,MATCH(BP$2,$AH$1:$AV$1,0)))</f>
        <v>Ammo5</v>
      </c>
      <c r="BQ4" s="1" t="str">
        <f t="shared" ref="BQ4:BQ67" si="19">IF(INDEX($AH3:$AV3,MATCH(BQ$2,$AH$1:$AV$1,0))="","",INDEX($AH3:$AV3,MATCH(BQ$2,$AH$1:$AV$1,0)))</f>
        <v>64Shiki</v>
      </c>
      <c r="BR4" s="1" t="str">
        <f t="shared" ref="BR4:BR67" si="20">IF(INDEX($AH3:$AV3,MATCH(BR$2,$AH$1:$AV$1,0))="","",INDEX($AH3:$AV3,MATCH(BR$2,$AH$1:$AV$1,0)))</f>
        <v>Armor4</v>
      </c>
      <c r="BS4" s="1" t="str">
        <f t="shared" ref="BS4:BS67" si="21">IF(INDEX($AH3:$AV3,MATCH(BS$2,$AH$1:$AV$1,0))="","",INDEX($AH3:$AV3,MATCH(BS$2,$AH$1:$AV$1,0)))</f>
        <v>TExo3</v>
      </c>
      <c r="BT4" s="1"/>
    </row>
    <row r="5" spans="1:72" x14ac:dyDescent="0.25">
      <c r="A5" s="9">
        <v>5</v>
      </c>
      <c r="B5" t="s">
        <v>2</v>
      </c>
      <c r="C5" s="9" t="s">
        <v>62</v>
      </c>
      <c r="D5" s="9" t="s">
        <v>75</v>
      </c>
      <c r="E5" s="9" t="s">
        <v>1714</v>
      </c>
      <c r="F5" s="9" t="s">
        <v>152</v>
      </c>
      <c r="H5" s="9" t="s">
        <v>85</v>
      </c>
      <c r="I5" s="9" t="s">
        <v>158</v>
      </c>
      <c r="J5" s="9" t="s">
        <v>829</v>
      </c>
      <c r="K5" s="9" t="s">
        <v>843</v>
      </c>
      <c r="M5" s="9" t="s">
        <v>1640</v>
      </c>
      <c r="N5" s="9" t="s">
        <v>811</v>
      </c>
      <c r="O5" s="9" t="s">
        <v>191</v>
      </c>
      <c r="P5" s="9" t="s">
        <v>171</v>
      </c>
      <c r="R5" s="9" t="s">
        <v>103</v>
      </c>
      <c r="S5" s="9" t="s">
        <v>1654</v>
      </c>
      <c r="T5" s="9" t="s">
        <v>1763</v>
      </c>
      <c r="U5" s="9" t="s">
        <v>210</v>
      </c>
      <c r="V5" s="9" t="s">
        <v>259</v>
      </c>
      <c r="W5" s="9" t="s">
        <v>108</v>
      </c>
      <c r="X5" s="9" t="s">
        <v>211</v>
      </c>
      <c r="Y5" s="9" t="s">
        <v>204</v>
      </c>
      <c r="Z5" s="9" t="s">
        <v>212</v>
      </c>
      <c r="AC5" s="9" t="s">
        <v>148</v>
      </c>
      <c r="AD5" s="9" t="s">
        <v>151</v>
      </c>
      <c r="AE5" s="9" t="s">
        <v>1687</v>
      </c>
      <c r="AH5" t="s">
        <v>523</v>
      </c>
      <c r="AI5" t="s">
        <v>527</v>
      </c>
      <c r="AJ5" t="s">
        <v>6438</v>
      </c>
      <c r="AK5" t="s">
        <v>554</v>
      </c>
      <c r="AL5" t="s">
        <v>531</v>
      </c>
      <c r="AM5" t="s">
        <v>535</v>
      </c>
      <c r="AN5" t="s">
        <v>560</v>
      </c>
      <c r="AO5" t="s">
        <v>539</v>
      </c>
      <c r="AP5" t="s">
        <v>564</v>
      </c>
      <c r="AQ5" t="s">
        <v>543</v>
      </c>
      <c r="AT5" t="s">
        <v>572</v>
      </c>
      <c r="AU5" t="s">
        <v>915</v>
      </c>
      <c r="AV5" t="s">
        <v>1636</v>
      </c>
      <c r="AZ5" s="1" t="str">
        <f t="shared" si="2"/>
        <v>HK21</v>
      </c>
      <c r="BA5" s="1" t="str">
        <f t="shared" si="3"/>
        <v>HK21</v>
      </c>
      <c r="BB5" s="1" t="str">
        <f t="shared" si="4"/>
        <v>G11Mod</v>
      </c>
      <c r="BC5" s="1" t="str">
        <f t="shared" si="5"/>
        <v>Dana</v>
      </c>
      <c r="BD5" s="1" t="str">
        <f t="shared" si="6"/>
        <v>Contender</v>
      </c>
      <c r="BE5" s="1" t="str">
        <f t="shared" si="7"/>
        <v>VFL4</v>
      </c>
      <c r="BF5" s="1" t="str">
        <f t="shared" si="8"/>
        <v>VFL4</v>
      </c>
      <c r="BG5" s="1" t="str">
        <f t="shared" si="9"/>
        <v>9A91</v>
      </c>
      <c r="BH5" s="1" t="str">
        <f t="shared" si="10"/>
        <v>ITI4</v>
      </c>
      <c r="BI5" s="1" t="str">
        <f t="shared" si="11"/>
        <v>SPP4</v>
      </c>
      <c r="BJ5" s="1" t="str">
        <f t="shared" si="12"/>
        <v>AP4</v>
      </c>
      <c r="BK5" s="1" t="str">
        <f t="shared" si="13"/>
        <v>AP4</v>
      </c>
      <c r="BL5" s="1" t="str">
        <f t="shared" si="14"/>
        <v>HV4</v>
      </c>
      <c r="BM5" s="1" t="str">
        <f t="shared" si="15"/>
        <v>Chip3</v>
      </c>
      <c r="BN5" s="1" t="str">
        <f t="shared" si="16"/>
        <v>HP4</v>
      </c>
      <c r="BO5" s="1" t="str">
        <f t="shared" si="17"/>
        <v/>
      </c>
      <c r="BP5" s="1" t="str">
        <f t="shared" si="18"/>
        <v/>
      </c>
      <c r="BQ5" s="1" t="str">
        <f t="shared" si="19"/>
        <v>9A91</v>
      </c>
      <c r="BR5" s="1" t="str">
        <f t="shared" si="20"/>
        <v>Armor5</v>
      </c>
      <c r="BS5" s="1" t="str">
        <f t="shared" si="21"/>
        <v>TExo4</v>
      </c>
      <c r="BT5" s="1"/>
    </row>
    <row r="6" spans="1:72" x14ac:dyDescent="0.25">
      <c r="A6" s="9">
        <v>6</v>
      </c>
      <c r="B6" t="s">
        <v>4</v>
      </c>
      <c r="C6" s="9" t="s">
        <v>1647</v>
      </c>
      <c r="D6" s="9" t="s">
        <v>1673</v>
      </c>
      <c r="E6" s="9" t="s">
        <v>192</v>
      </c>
      <c r="F6" s="9" t="s">
        <v>1715</v>
      </c>
      <c r="H6" s="9" t="s">
        <v>80</v>
      </c>
      <c r="I6" s="9" t="s">
        <v>1637</v>
      </c>
      <c r="J6" s="9" t="s">
        <v>1748</v>
      </c>
      <c r="K6" s="9" t="s">
        <v>1670</v>
      </c>
      <c r="M6" s="9" t="s">
        <v>97</v>
      </c>
      <c r="N6" s="9" t="s">
        <v>86</v>
      </c>
      <c r="O6" s="9" t="s">
        <v>199</v>
      </c>
      <c r="P6" s="9" t="s">
        <v>899</v>
      </c>
      <c r="R6" s="9" t="s">
        <v>745</v>
      </c>
      <c r="S6" s="9" t="s">
        <v>5550</v>
      </c>
      <c r="T6" s="9" t="s">
        <v>1737</v>
      </c>
      <c r="U6" s="9" t="s">
        <v>1718</v>
      </c>
      <c r="W6" s="9" t="s">
        <v>113</v>
      </c>
      <c r="X6" s="9" t="s">
        <v>107</v>
      </c>
      <c r="Y6" t="s">
        <v>5776</v>
      </c>
      <c r="Z6" s="9" t="s">
        <v>241</v>
      </c>
      <c r="AC6" s="9" t="s">
        <v>164</v>
      </c>
      <c r="AD6" s="9" t="s">
        <v>725</v>
      </c>
      <c r="AE6" s="9" t="s">
        <v>194</v>
      </c>
      <c r="AP6" t="s">
        <v>565</v>
      </c>
      <c r="AQ6" t="s">
        <v>547</v>
      </c>
      <c r="AU6" t="s">
        <v>914</v>
      </c>
      <c r="AV6" t="s">
        <v>724</v>
      </c>
      <c r="AZ6" s="1" t="str">
        <f t="shared" si="2"/>
        <v>Kord</v>
      </c>
      <c r="BA6" s="1" t="str">
        <f t="shared" si="3"/>
        <v>Kord</v>
      </c>
      <c r="BB6" s="1" t="str">
        <f t="shared" si="4"/>
        <v>HK416Mod</v>
      </c>
      <c r="BC6" s="1" t="str">
        <f t="shared" si="5"/>
        <v>DP12</v>
      </c>
      <c r="BD6" s="1" t="str">
        <f t="shared" si="6"/>
        <v>CZ75</v>
      </c>
      <c r="BE6" s="1" t="str">
        <f t="shared" si="7"/>
        <v>VFL5</v>
      </c>
      <c r="BF6" s="1" t="str">
        <f t="shared" si="8"/>
        <v>VFL5</v>
      </c>
      <c r="BG6" s="1" t="str">
        <f t="shared" si="9"/>
        <v>9A91Login</v>
      </c>
      <c r="BH6" s="1" t="str">
        <f t="shared" si="10"/>
        <v>ITI5</v>
      </c>
      <c r="BI6" s="1" t="str">
        <f t="shared" si="11"/>
        <v>SPP5</v>
      </c>
      <c r="BJ6" s="1" t="str">
        <f t="shared" si="12"/>
        <v>AP5</v>
      </c>
      <c r="BK6" s="1" t="str">
        <f t="shared" si="13"/>
        <v>AP5</v>
      </c>
      <c r="BL6" s="1" t="str">
        <f t="shared" si="14"/>
        <v>HV5</v>
      </c>
      <c r="BM6" s="1" t="str">
        <f t="shared" si="15"/>
        <v>Chip4</v>
      </c>
      <c r="BN6" s="1" t="str">
        <f t="shared" si="16"/>
        <v>HP5</v>
      </c>
      <c r="BO6" s="1" t="str">
        <f t="shared" si="17"/>
        <v/>
      </c>
      <c r="BP6" s="1" t="str">
        <f t="shared" si="18"/>
        <v/>
      </c>
      <c r="BQ6" s="1" t="str">
        <f t="shared" si="19"/>
        <v>9A91Login</v>
      </c>
      <c r="BR6" s="1" t="str">
        <f t="shared" si="20"/>
        <v/>
      </c>
      <c r="BS6" s="1" t="str">
        <f t="shared" si="21"/>
        <v>TExo5</v>
      </c>
      <c r="BT6" s="1"/>
    </row>
    <row r="7" spans="1:72" x14ac:dyDescent="0.25">
      <c r="B7" t="s">
        <v>5</v>
      </c>
      <c r="C7" s="9" t="s">
        <v>69</v>
      </c>
      <c r="D7" s="9" t="s">
        <v>228</v>
      </c>
      <c r="E7" s="9" t="s">
        <v>178</v>
      </c>
      <c r="F7" s="9" t="s">
        <v>196</v>
      </c>
      <c r="H7" s="9" t="s">
        <v>1161</v>
      </c>
      <c r="I7" s="9" t="s">
        <v>78</v>
      </c>
      <c r="J7" s="9" t="s">
        <v>262</v>
      </c>
      <c r="K7" s="9" t="s">
        <v>722</v>
      </c>
      <c r="N7" s="9" t="s">
        <v>88</v>
      </c>
      <c r="O7" s="9" t="s">
        <v>255</v>
      </c>
      <c r="P7" s="9" t="s">
        <v>1666</v>
      </c>
      <c r="R7" s="9" t="s">
        <v>136</v>
      </c>
      <c r="S7" s="9" t="s">
        <v>1649</v>
      </c>
      <c r="T7" s="9" t="s">
        <v>101</v>
      </c>
      <c r="U7" s="9" t="s">
        <v>234</v>
      </c>
      <c r="X7" s="9" t="s">
        <v>1199</v>
      </c>
      <c r="Y7" s="9" t="s">
        <v>261</v>
      </c>
      <c r="Z7" s="9" t="s">
        <v>260</v>
      </c>
      <c r="AC7" s="9" t="s">
        <v>1662</v>
      </c>
      <c r="AD7" s="9" t="s">
        <v>147</v>
      </c>
      <c r="AE7" t="s">
        <v>4770</v>
      </c>
      <c r="AP7" t="s">
        <v>566</v>
      </c>
      <c r="AQ7" t="s">
        <v>548</v>
      </c>
      <c r="AU7" t="s">
        <v>921</v>
      </c>
      <c r="AV7" t="s">
        <v>927</v>
      </c>
      <c r="AZ7" s="1" t="str">
        <f t="shared" si="2"/>
        <v>Lewis</v>
      </c>
      <c r="BA7" s="1" t="str">
        <f t="shared" si="3"/>
        <v>Lewis</v>
      </c>
      <c r="BB7" s="1" t="str">
        <f t="shared" si="4"/>
        <v/>
      </c>
      <c r="BC7" s="1" t="str">
        <f t="shared" si="5"/>
        <v>Elphelt</v>
      </c>
      <c r="BD7" s="1" t="str">
        <f t="shared" si="6"/>
        <v>Desert Eagle</v>
      </c>
      <c r="BE7" s="1" t="str">
        <f t="shared" si="7"/>
        <v/>
      </c>
      <c r="BF7" s="1" t="str">
        <f t="shared" si="8"/>
        <v/>
      </c>
      <c r="BG7" s="1" t="str">
        <f t="shared" si="9"/>
        <v>AA12</v>
      </c>
      <c r="BH7" s="1" t="str">
        <f t="shared" si="10"/>
        <v/>
      </c>
      <c r="BI7" s="1" t="str">
        <f t="shared" si="11"/>
        <v/>
      </c>
      <c r="BJ7" s="1" t="str">
        <f t="shared" si="12"/>
        <v/>
      </c>
      <c r="BK7" s="1" t="str">
        <f t="shared" si="13"/>
        <v/>
      </c>
      <c r="BL7" s="1" t="str">
        <f t="shared" si="14"/>
        <v/>
      </c>
      <c r="BM7" s="1" t="str">
        <f t="shared" si="15"/>
        <v>Chip5</v>
      </c>
      <c r="BN7" s="1" t="str">
        <f t="shared" si="16"/>
        <v/>
      </c>
      <c r="BO7" s="1" t="str">
        <f t="shared" si="17"/>
        <v/>
      </c>
      <c r="BP7" s="1" t="str">
        <f t="shared" si="18"/>
        <v/>
      </c>
      <c r="BQ7" s="1" t="str">
        <f t="shared" si="19"/>
        <v>AA12</v>
      </c>
      <c r="BR7" s="1" t="str">
        <f t="shared" si="20"/>
        <v/>
      </c>
      <c r="BS7" s="1" t="str">
        <f t="shared" si="21"/>
        <v>XExo2</v>
      </c>
      <c r="BT7" s="1"/>
    </row>
    <row r="8" spans="1:72" x14ac:dyDescent="0.25">
      <c r="A8" s="9"/>
      <c r="C8" s="9" t="s">
        <v>70</v>
      </c>
      <c r="D8" s="9" t="s">
        <v>63</v>
      </c>
      <c r="E8" s="9" t="s">
        <v>787</v>
      </c>
      <c r="F8" s="9" t="s">
        <v>1657</v>
      </c>
      <c r="G8" s="9"/>
      <c r="H8" s="9" t="s">
        <v>912</v>
      </c>
      <c r="I8" s="9" t="s">
        <v>165</v>
      </c>
      <c r="J8" s="9" t="s">
        <v>157</v>
      </c>
      <c r="K8" s="9" t="s">
        <v>1630</v>
      </c>
      <c r="N8" s="9" t="s">
        <v>791</v>
      </c>
      <c r="O8" s="9" t="s">
        <v>790</v>
      </c>
      <c r="P8" s="9" t="s">
        <v>235</v>
      </c>
      <c r="S8" s="9" t="s">
        <v>1193</v>
      </c>
      <c r="T8" s="9" t="s">
        <v>1690</v>
      </c>
      <c r="U8" s="9" t="s">
        <v>1692</v>
      </c>
      <c r="X8" s="9" t="s">
        <v>792</v>
      </c>
      <c r="Y8" s="9" t="s">
        <v>839</v>
      </c>
      <c r="Z8" s="9" t="s">
        <v>1743</v>
      </c>
      <c r="AC8" s="9" t="s">
        <v>215</v>
      </c>
      <c r="AD8" s="9" t="s">
        <v>716</v>
      </c>
      <c r="AE8" s="9" t="s">
        <v>1665</v>
      </c>
      <c r="AP8" t="s">
        <v>567</v>
      </c>
      <c r="AQ8" t="s">
        <v>549</v>
      </c>
      <c r="AU8" t="s">
        <v>913</v>
      </c>
      <c r="AV8" t="s">
        <v>926</v>
      </c>
      <c r="AZ8" s="1" t="str">
        <f t="shared" si="2"/>
        <v>M1918Mod</v>
      </c>
      <c r="BA8" s="1" t="str">
        <f t="shared" si="3"/>
        <v>M1918Mod</v>
      </c>
      <c r="BB8" s="1" t="str">
        <f t="shared" si="4"/>
        <v/>
      </c>
      <c r="BC8" s="1" t="str">
        <f t="shared" si="5"/>
        <v>FO12</v>
      </c>
      <c r="BD8" s="1" t="str">
        <f t="shared" si="6"/>
        <v>FAIL</v>
      </c>
      <c r="BE8" s="1" t="str">
        <f t="shared" si="7"/>
        <v/>
      </c>
      <c r="BF8" s="1" t="str">
        <f t="shared" si="8"/>
        <v/>
      </c>
      <c r="BG8" s="1" t="str">
        <f t="shared" si="9"/>
        <v>Agent416HV</v>
      </c>
      <c r="BH8" s="1" t="str">
        <f t="shared" si="10"/>
        <v/>
      </c>
      <c r="BI8" s="1" t="str">
        <f t="shared" si="11"/>
        <v/>
      </c>
      <c r="BJ8" s="1" t="str">
        <f t="shared" si="12"/>
        <v/>
      </c>
      <c r="BK8" s="1" t="str">
        <f t="shared" si="13"/>
        <v/>
      </c>
      <c r="BL8" s="1" t="str">
        <f t="shared" si="14"/>
        <v/>
      </c>
      <c r="BM8" s="1" t="str">
        <f t="shared" si="15"/>
        <v>Flare</v>
      </c>
      <c r="BN8" s="1" t="str">
        <f t="shared" si="16"/>
        <v/>
      </c>
      <c r="BO8" s="1" t="str">
        <f t="shared" si="17"/>
        <v/>
      </c>
      <c r="BP8" s="1" t="str">
        <f t="shared" si="18"/>
        <v/>
      </c>
      <c r="BQ8" s="1" t="str">
        <f t="shared" si="19"/>
        <v>Agent416HV</v>
      </c>
      <c r="BR8" s="1" t="str">
        <f t="shared" si="20"/>
        <v/>
      </c>
      <c r="BS8" s="1" t="str">
        <f t="shared" si="21"/>
        <v>XExo3</v>
      </c>
      <c r="BT8" s="1"/>
    </row>
    <row r="9" spans="1:72" x14ac:dyDescent="0.25">
      <c r="A9" s="9"/>
      <c r="C9" s="9" t="s">
        <v>1221</v>
      </c>
      <c r="D9" s="9" t="s">
        <v>68</v>
      </c>
      <c r="E9" s="9" t="s">
        <v>253</v>
      </c>
      <c r="F9" s="9" t="s">
        <v>120</v>
      </c>
      <c r="G9" s="9"/>
      <c r="H9" s="9" t="s">
        <v>116</v>
      </c>
      <c r="I9" s="9" t="s">
        <v>1693</v>
      </c>
      <c r="J9" s="9" t="s">
        <v>1689</v>
      </c>
      <c r="K9" s="9" t="s">
        <v>248</v>
      </c>
      <c r="N9" s="9" t="s">
        <v>89</v>
      </c>
      <c r="O9" s="9" t="s">
        <v>808</v>
      </c>
      <c r="P9" s="9" t="s">
        <v>807</v>
      </c>
      <c r="S9" s="9" t="s">
        <v>206</v>
      </c>
      <c r="T9" s="9" t="s">
        <v>175</v>
      </c>
      <c r="U9" s="9" t="s">
        <v>1695</v>
      </c>
      <c r="X9" s="9" t="s">
        <v>112</v>
      </c>
      <c r="Y9" s="9" t="s">
        <v>105</v>
      </c>
      <c r="Z9" s="9" t="s">
        <v>205</v>
      </c>
      <c r="AC9" s="9" t="s">
        <v>812</v>
      </c>
      <c r="AD9" s="9" t="s">
        <v>149</v>
      </c>
      <c r="AE9" s="9" t="s">
        <v>1233</v>
      </c>
      <c r="AP9" t="s">
        <v>568</v>
      </c>
      <c r="AQ9" t="s">
        <v>550</v>
      </c>
      <c r="AU9" t="s">
        <v>929</v>
      </c>
      <c r="AV9" t="s">
        <v>928</v>
      </c>
      <c r="AZ9" s="1" t="str">
        <f t="shared" si="2"/>
        <v>MG338</v>
      </c>
      <c r="BA9" s="1" t="str">
        <f t="shared" si="3"/>
        <v>MG338</v>
      </c>
      <c r="BB9" s="1" t="str">
        <f t="shared" si="4"/>
        <v/>
      </c>
      <c r="BC9" s="1" t="str">
        <f t="shared" si="5"/>
        <v>FP6</v>
      </c>
      <c r="BD9" s="1" t="str">
        <f t="shared" si="6"/>
        <v>Fiveseven</v>
      </c>
      <c r="BE9" s="1" t="str">
        <f t="shared" si="7"/>
        <v/>
      </c>
      <c r="BF9" s="1" t="str">
        <f t="shared" si="8"/>
        <v/>
      </c>
      <c r="BG9" s="1" t="str">
        <f t="shared" si="9"/>
        <v>Agent416VFL</v>
      </c>
      <c r="BH9" s="1" t="str">
        <f t="shared" si="10"/>
        <v/>
      </c>
      <c r="BI9" s="1" t="str">
        <f t="shared" si="11"/>
        <v/>
      </c>
      <c r="BJ9" s="1" t="str">
        <f t="shared" si="12"/>
        <v/>
      </c>
      <c r="BK9" s="1" t="str">
        <f t="shared" si="13"/>
        <v/>
      </c>
      <c r="BL9" s="1" t="str">
        <f t="shared" si="14"/>
        <v/>
      </c>
      <c r="BM9" s="1" t="str">
        <f t="shared" si="15"/>
        <v>Flashbang</v>
      </c>
      <c r="BN9" s="1" t="str">
        <f t="shared" si="16"/>
        <v/>
      </c>
      <c r="BO9" s="1" t="str">
        <f t="shared" si="17"/>
        <v/>
      </c>
      <c r="BP9" s="1" t="str">
        <f t="shared" si="18"/>
        <v/>
      </c>
      <c r="BQ9" s="1" t="str">
        <f t="shared" si="19"/>
        <v>Agent416VFL</v>
      </c>
      <c r="BR9" s="1" t="str">
        <f t="shared" si="20"/>
        <v/>
      </c>
      <c r="BS9" s="1" t="str">
        <f t="shared" si="21"/>
        <v>XExo4</v>
      </c>
      <c r="BT9" s="1"/>
    </row>
    <row r="10" spans="1:72" x14ac:dyDescent="0.25">
      <c r="A10" s="9"/>
      <c r="C10" s="9"/>
      <c r="D10" s="9" t="s">
        <v>1672</v>
      </c>
      <c r="E10" s="9" t="s">
        <v>945</v>
      </c>
      <c r="F10" s="9" t="s">
        <v>1694</v>
      </c>
      <c r="G10" s="9"/>
      <c r="H10" s="9" t="s">
        <v>118</v>
      </c>
      <c r="I10" s="9" t="s">
        <v>84</v>
      </c>
      <c r="J10" s="9" t="s">
        <v>715</v>
      </c>
      <c r="K10" t="s">
        <v>1720</v>
      </c>
      <c r="N10" s="9" t="s">
        <v>184</v>
      </c>
      <c r="O10" s="9" t="s">
        <v>729</v>
      </c>
      <c r="P10" s="9" t="s">
        <v>1760</v>
      </c>
      <c r="S10" s="9" t="s">
        <v>216</v>
      </c>
      <c r="T10" s="9" t="s">
        <v>1684</v>
      </c>
      <c r="U10" s="9" t="s">
        <v>233</v>
      </c>
      <c r="X10" s="9" t="s">
        <v>110</v>
      </c>
      <c r="Y10" s="9" t="s">
        <v>106</v>
      </c>
      <c r="Z10" s="9" t="s">
        <v>6550</v>
      </c>
      <c r="AD10" t="s">
        <v>5521</v>
      </c>
      <c r="AE10" s="9" t="s">
        <v>813</v>
      </c>
      <c r="AU10" t="s">
        <v>930</v>
      </c>
      <c r="AV10" t="s">
        <v>923</v>
      </c>
      <c r="AZ10" s="1" t="str">
        <f t="shared" si="2"/>
        <v>MG36</v>
      </c>
      <c r="BA10" s="1" t="str">
        <f t="shared" si="3"/>
        <v>MG36</v>
      </c>
      <c r="BB10" s="1" t="str">
        <f t="shared" si="4"/>
        <v/>
      </c>
      <c r="BC10" s="1" t="str">
        <f t="shared" si="5"/>
        <v>KSG</v>
      </c>
      <c r="BD10" s="1" t="str">
        <f t="shared" si="6"/>
        <v>Grizzly</v>
      </c>
      <c r="BE10" s="1" t="str">
        <f t="shared" si="7"/>
        <v/>
      </c>
      <c r="BF10" s="1" t="str">
        <f t="shared" si="8"/>
        <v/>
      </c>
      <c r="BG10" s="1" t="str">
        <f t="shared" si="9"/>
        <v>Agent416XExo</v>
      </c>
      <c r="BH10" s="1" t="str">
        <f t="shared" si="10"/>
        <v/>
      </c>
      <c r="BI10" s="1" t="str">
        <f t="shared" si="11"/>
        <v/>
      </c>
      <c r="BJ10" s="1" t="str">
        <f t="shared" si="12"/>
        <v/>
      </c>
      <c r="BK10" s="1" t="str">
        <f t="shared" si="13"/>
        <v/>
      </c>
      <c r="BL10" s="1" t="str">
        <f t="shared" si="14"/>
        <v/>
      </c>
      <c r="BM10" s="1" t="str">
        <f t="shared" si="15"/>
        <v>RMR3</v>
      </c>
      <c r="BN10" s="1" t="str">
        <f t="shared" si="16"/>
        <v/>
      </c>
      <c r="BO10" s="1" t="str">
        <f t="shared" si="17"/>
        <v/>
      </c>
      <c r="BP10" s="1" t="str">
        <f t="shared" si="18"/>
        <v/>
      </c>
      <c r="BQ10" s="1" t="str">
        <f t="shared" si="19"/>
        <v>Agent416XExo</v>
      </c>
      <c r="BR10" s="1" t="str">
        <f t="shared" si="20"/>
        <v/>
      </c>
      <c r="BS10" s="1" t="str">
        <f t="shared" si="21"/>
        <v>XExo5</v>
      </c>
      <c r="BT10" s="1"/>
    </row>
    <row r="11" spans="1:72" x14ac:dyDescent="0.25">
      <c r="A11" s="9"/>
      <c r="C11" s="9"/>
      <c r="D11" s="9" t="s">
        <v>1676</v>
      </c>
      <c r="E11" s="9" t="s">
        <v>1206</v>
      </c>
      <c r="F11" s="9" t="s">
        <v>200</v>
      </c>
      <c r="G11" s="9"/>
      <c r="I11" s="9" t="s">
        <v>208</v>
      </c>
      <c r="J11" s="9" t="s">
        <v>1686</v>
      </c>
      <c r="K11" s="9" t="s">
        <v>238</v>
      </c>
      <c r="N11" s="9" t="s">
        <v>1659</v>
      </c>
      <c r="O11" s="9" t="s">
        <v>6563</v>
      </c>
      <c r="P11" s="9" t="s">
        <v>143</v>
      </c>
      <c r="S11" s="9" t="s">
        <v>203</v>
      </c>
      <c r="T11" s="9" t="s">
        <v>711</v>
      </c>
      <c r="U11" s="9" t="s">
        <v>252</v>
      </c>
      <c r="X11" s="9" t="s">
        <v>240</v>
      </c>
      <c r="Y11" s="9" t="s">
        <v>114</v>
      </c>
      <c r="Z11" s="9" t="s">
        <v>300</v>
      </c>
      <c r="AD11" t="s">
        <v>4791</v>
      </c>
      <c r="AE11" s="9" t="s">
        <v>145</v>
      </c>
      <c r="AL11" s="40"/>
      <c r="AU11" t="s">
        <v>931</v>
      </c>
      <c r="AV11" t="s">
        <v>925</v>
      </c>
      <c r="AZ11" s="1" t="str">
        <f t="shared" si="2"/>
        <v>MG3Mod</v>
      </c>
      <c r="BA11" s="1" t="str">
        <f t="shared" si="3"/>
        <v>MG3Mod</v>
      </c>
      <c r="BB11" s="1" t="str">
        <f t="shared" si="4"/>
        <v/>
      </c>
      <c r="BC11" s="1" t="str">
        <f t="shared" si="5"/>
        <v>LTLX7000</v>
      </c>
      <c r="BD11" s="1" t="str">
        <f t="shared" si="6"/>
        <v>HP35</v>
      </c>
      <c r="BE11" s="1" t="str">
        <f t="shared" si="7"/>
        <v/>
      </c>
      <c r="BF11" s="1" t="str">
        <f t="shared" si="8"/>
        <v/>
      </c>
      <c r="BG11" s="1" t="str">
        <f t="shared" si="9"/>
        <v>AgentVectorHP</v>
      </c>
      <c r="BH11" s="1" t="str">
        <f t="shared" si="10"/>
        <v/>
      </c>
      <c r="BI11" s="1" t="str">
        <f t="shared" si="11"/>
        <v/>
      </c>
      <c r="BJ11" s="1" t="str">
        <f t="shared" si="12"/>
        <v/>
      </c>
      <c r="BK11" s="1" t="str">
        <f t="shared" si="13"/>
        <v/>
      </c>
      <c r="BL11" s="1" t="str">
        <f t="shared" si="14"/>
        <v/>
      </c>
      <c r="BM11" s="1" t="str">
        <f t="shared" si="15"/>
        <v>RMR4</v>
      </c>
      <c r="BN11" s="1" t="str">
        <f t="shared" si="16"/>
        <v/>
      </c>
      <c r="BO11" s="1" t="str">
        <f t="shared" si="17"/>
        <v/>
      </c>
      <c r="BP11" s="1" t="str">
        <f t="shared" si="18"/>
        <v/>
      </c>
      <c r="BQ11" s="1" t="str">
        <f t="shared" si="19"/>
        <v>AgentVectorHP</v>
      </c>
      <c r="BR11" s="1" t="str">
        <f t="shared" si="20"/>
        <v/>
      </c>
      <c r="BS11" s="1" t="str">
        <f t="shared" si="21"/>
        <v/>
      </c>
      <c r="BT11" s="1"/>
    </row>
    <row r="12" spans="1:72" x14ac:dyDescent="0.25">
      <c r="A12" s="9"/>
      <c r="C12" s="9"/>
      <c r="D12" s="9" t="s">
        <v>71</v>
      </c>
      <c r="E12" t="s">
        <v>1782</v>
      </c>
      <c r="F12" s="9" t="s">
        <v>1721</v>
      </c>
      <c r="G12" s="9"/>
      <c r="I12" s="9" t="s">
        <v>1658</v>
      </c>
      <c r="J12" s="9" t="s">
        <v>254</v>
      </c>
      <c r="K12" s="9" t="s">
        <v>806</v>
      </c>
      <c r="N12" s="9" t="s">
        <v>1678</v>
      </c>
      <c r="O12" s="9" t="s">
        <v>1652</v>
      </c>
      <c r="P12" s="9" t="s">
        <v>166</v>
      </c>
      <c r="S12" s="9" t="s">
        <v>182</v>
      </c>
      <c r="T12" s="9" t="s">
        <v>1740</v>
      </c>
      <c r="U12" s="9" t="s">
        <v>155</v>
      </c>
      <c r="Y12" s="9" t="s">
        <v>189</v>
      </c>
      <c r="Z12" s="9" t="s">
        <v>301</v>
      </c>
      <c r="AD12" s="9" t="s">
        <v>935</v>
      </c>
      <c r="AE12" t="s">
        <v>4782</v>
      </c>
      <c r="AL12" s="40"/>
      <c r="AU12" t="s">
        <v>920</v>
      </c>
      <c r="AV12" t="s">
        <v>924</v>
      </c>
      <c r="AZ12" s="1" t="str">
        <f t="shared" si="2"/>
        <v>MG4</v>
      </c>
      <c r="BA12" s="1" t="str">
        <f t="shared" si="3"/>
        <v>MG4</v>
      </c>
      <c r="BB12" s="1" t="str">
        <f t="shared" si="4"/>
        <v/>
      </c>
      <c r="BC12" s="1" t="str">
        <f t="shared" si="5"/>
        <v>M1887</v>
      </c>
      <c r="BD12" s="1" t="str">
        <f t="shared" si="6"/>
        <v>HS2000</v>
      </c>
      <c r="BE12" s="1" t="str">
        <f t="shared" si="7"/>
        <v/>
      </c>
      <c r="BF12" s="1" t="str">
        <f t="shared" si="8"/>
        <v/>
      </c>
      <c r="BG12" s="1" t="str">
        <f t="shared" si="9"/>
        <v>AgentVectorSPP</v>
      </c>
      <c r="BH12" s="1" t="str">
        <f t="shared" si="10"/>
        <v/>
      </c>
      <c r="BI12" s="1" t="str">
        <f t="shared" si="11"/>
        <v/>
      </c>
      <c r="BJ12" s="1" t="str">
        <f t="shared" si="12"/>
        <v/>
      </c>
      <c r="BK12" s="1" t="str">
        <f t="shared" si="13"/>
        <v/>
      </c>
      <c r="BL12" s="1" t="str">
        <f t="shared" si="14"/>
        <v/>
      </c>
      <c r="BM12" s="1" t="str">
        <f t="shared" si="15"/>
        <v>RMR5</v>
      </c>
      <c r="BN12" s="1" t="str">
        <f t="shared" si="16"/>
        <v/>
      </c>
      <c r="BO12" s="1" t="str">
        <f t="shared" si="17"/>
        <v/>
      </c>
      <c r="BP12" s="1" t="str">
        <f t="shared" si="18"/>
        <v/>
      </c>
      <c r="BQ12" s="1" t="str">
        <f t="shared" si="19"/>
        <v>AgentVectorSPP</v>
      </c>
      <c r="BR12" s="1" t="str">
        <f t="shared" si="20"/>
        <v/>
      </c>
      <c r="BS12" s="1" t="str">
        <f t="shared" si="21"/>
        <v/>
      </c>
      <c r="BT12" s="1"/>
    </row>
    <row r="13" spans="1:72" x14ac:dyDescent="0.25">
      <c r="A13" s="9"/>
      <c r="C13" s="9"/>
      <c r="D13" s="9" t="s">
        <v>163</v>
      </c>
      <c r="E13" s="9" t="s">
        <v>1712</v>
      </c>
      <c r="F13" s="9" t="s">
        <v>822</v>
      </c>
      <c r="G13" s="9"/>
      <c r="I13" s="9" t="s">
        <v>1669</v>
      </c>
      <c r="J13" s="9" t="s">
        <v>730</v>
      </c>
      <c r="K13" s="9" t="s">
        <v>1437</v>
      </c>
      <c r="N13" s="9" t="s">
        <v>242</v>
      </c>
      <c r="O13" s="9" t="s">
        <v>91</v>
      </c>
      <c r="P13" s="9" t="s">
        <v>93</v>
      </c>
      <c r="S13" s="9" t="s">
        <v>727</v>
      </c>
      <c r="T13" s="9" t="s">
        <v>821</v>
      </c>
      <c r="U13" s="9" t="s">
        <v>258</v>
      </c>
      <c r="Y13" s="9" t="s">
        <v>128</v>
      </c>
      <c r="Z13" s="9" t="s">
        <v>126</v>
      </c>
      <c r="AD13" s="9" t="s">
        <v>1664</v>
      </c>
      <c r="AE13" s="9" t="s">
        <v>814</v>
      </c>
      <c r="AL13" s="40"/>
      <c r="AU13" t="s">
        <v>919</v>
      </c>
      <c r="AV13" t="s">
        <v>5807</v>
      </c>
      <c r="AZ13" s="1" t="str">
        <f t="shared" si="2"/>
        <v>MG5</v>
      </c>
      <c r="BA13" s="1" t="str">
        <f t="shared" si="3"/>
        <v>MG5</v>
      </c>
      <c r="BB13" s="1" t="str">
        <f t="shared" si="4"/>
        <v/>
      </c>
      <c r="BC13" s="1" t="str">
        <f t="shared" si="5"/>
        <v>M26-MASS</v>
      </c>
      <c r="BD13" s="1" t="str">
        <f t="shared" si="6"/>
        <v>Jill</v>
      </c>
      <c r="BE13" s="1" t="str">
        <f t="shared" si="7"/>
        <v/>
      </c>
      <c r="BF13" s="1" t="str">
        <f t="shared" si="8"/>
        <v/>
      </c>
      <c r="BG13" s="1" t="str">
        <f t="shared" si="9"/>
        <v>AgentVectorTExo</v>
      </c>
      <c r="BH13" s="1" t="str">
        <f t="shared" si="10"/>
        <v/>
      </c>
      <c r="BI13" s="1" t="str">
        <f t="shared" si="11"/>
        <v/>
      </c>
      <c r="BJ13" s="1" t="str">
        <f t="shared" si="12"/>
        <v/>
      </c>
      <c r="BK13" s="1" t="str">
        <f t="shared" si="13"/>
        <v/>
      </c>
      <c r="BL13" s="1" t="str">
        <f t="shared" si="14"/>
        <v/>
      </c>
      <c r="BM13" s="1" t="str">
        <f t="shared" si="15"/>
        <v>SLAP4</v>
      </c>
      <c r="BN13" s="1" t="str">
        <f t="shared" si="16"/>
        <v/>
      </c>
      <c r="BO13" s="1" t="str">
        <f t="shared" si="17"/>
        <v/>
      </c>
      <c r="BP13" s="1" t="str">
        <f t="shared" si="18"/>
        <v/>
      </c>
      <c r="BQ13" s="1" t="str">
        <f t="shared" si="19"/>
        <v>AgentVectorTExo</v>
      </c>
      <c r="BR13" s="1" t="str">
        <f t="shared" si="20"/>
        <v/>
      </c>
      <c r="BS13" s="1" t="str">
        <f t="shared" si="21"/>
        <v/>
      </c>
      <c r="BT13" s="1"/>
    </row>
    <row r="14" spans="1:72" x14ac:dyDescent="0.25">
      <c r="A14" s="9"/>
      <c r="C14" s="9"/>
      <c r="D14" s="9" t="s">
        <v>129</v>
      </c>
      <c r="E14" s="9" t="s">
        <v>209</v>
      </c>
      <c r="F14" s="9" t="s">
        <v>817</v>
      </c>
      <c r="G14" s="9"/>
      <c r="I14" s="9" t="s">
        <v>1638</v>
      </c>
      <c r="J14" s="9" t="s">
        <v>6465</v>
      </c>
      <c r="K14" s="9" t="s">
        <v>82</v>
      </c>
      <c r="N14" s="9" t="s">
        <v>1671</v>
      </c>
      <c r="O14" s="9" t="s">
        <v>159</v>
      </c>
      <c r="P14" s="9" t="s">
        <v>266</v>
      </c>
      <c r="S14" s="9" t="s">
        <v>102</v>
      </c>
      <c r="T14" s="9" t="s">
        <v>1704</v>
      </c>
      <c r="U14" s="9" t="s">
        <v>104</v>
      </c>
      <c r="Y14" s="9" t="s">
        <v>111</v>
      </c>
      <c r="Z14" s="9" t="s">
        <v>154</v>
      </c>
      <c r="AD14" s="9" t="s">
        <v>1661</v>
      </c>
      <c r="AE14" s="9" t="s">
        <v>5692</v>
      </c>
      <c r="AL14" s="40"/>
      <c r="AM14" s="40"/>
      <c r="AU14" t="s">
        <v>5730</v>
      </c>
      <c r="AV14" t="s">
        <v>708</v>
      </c>
      <c r="AZ14" s="1" t="str">
        <f t="shared" si="2"/>
        <v>Negev</v>
      </c>
      <c r="BA14" s="1" t="str">
        <f t="shared" si="3"/>
        <v>Negev</v>
      </c>
      <c r="BB14" s="1" t="str">
        <f t="shared" si="4"/>
        <v/>
      </c>
      <c r="BC14" s="1" t="str">
        <f t="shared" si="5"/>
        <v>M6 ASW</v>
      </c>
      <c r="BD14" s="1" t="str">
        <f t="shared" si="6"/>
        <v>Kiana</v>
      </c>
      <c r="BE14" s="1" t="str">
        <f t="shared" si="7"/>
        <v/>
      </c>
      <c r="BF14" s="1" t="str">
        <f t="shared" si="8"/>
        <v/>
      </c>
      <c r="BG14" s="1" t="str">
        <f t="shared" si="9"/>
        <v>AK15Mod</v>
      </c>
      <c r="BH14" s="1" t="str">
        <f t="shared" si="10"/>
        <v/>
      </c>
      <c r="BI14" s="1" t="str">
        <f t="shared" si="11"/>
        <v/>
      </c>
      <c r="BJ14" s="1" t="str">
        <f t="shared" si="12"/>
        <v/>
      </c>
      <c r="BK14" s="1" t="str">
        <f t="shared" si="13"/>
        <v/>
      </c>
      <c r="BL14" s="1" t="str">
        <f t="shared" si="14"/>
        <v/>
      </c>
      <c r="BM14" s="1" t="str">
        <f t="shared" si="15"/>
        <v>SLAP5</v>
      </c>
      <c r="BN14" s="1" t="str">
        <f t="shared" si="16"/>
        <v/>
      </c>
      <c r="BO14" s="1" t="str">
        <f t="shared" si="17"/>
        <v/>
      </c>
      <c r="BP14" s="1" t="str">
        <f t="shared" si="18"/>
        <v/>
      </c>
      <c r="BQ14" s="1" t="str">
        <f t="shared" si="19"/>
        <v>AK15Mod</v>
      </c>
      <c r="BR14" s="1" t="str">
        <f t="shared" si="20"/>
        <v/>
      </c>
      <c r="BS14" s="1" t="str">
        <f t="shared" si="21"/>
        <v/>
      </c>
      <c r="BT14" s="1"/>
    </row>
    <row r="15" spans="1:72" x14ac:dyDescent="0.25">
      <c r="A15" s="9"/>
      <c r="C15" s="9"/>
      <c r="D15" s="9" t="s">
        <v>140</v>
      </c>
      <c r="E15" s="9" t="s">
        <v>122</v>
      </c>
      <c r="F15" s="9" t="s">
        <v>121</v>
      </c>
      <c r="G15" s="9"/>
      <c r="I15" s="9" t="s">
        <v>81</v>
      </c>
      <c r="J15" s="9" t="s">
        <v>2195</v>
      </c>
      <c r="K15" s="9" t="s">
        <v>190</v>
      </c>
      <c r="N15" s="9" t="s">
        <v>142</v>
      </c>
      <c r="O15" s="9" t="s">
        <v>187</v>
      </c>
      <c r="P15" s="9" t="s">
        <v>96</v>
      </c>
      <c r="S15" s="9" t="s">
        <v>1699</v>
      </c>
      <c r="T15" s="9" t="s">
        <v>1190</v>
      </c>
      <c r="U15" s="9" t="s">
        <v>124</v>
      </c>
      <c r="Y15" s="9" t="s">
        <v>810</v>
      </c>
      <c r="Z15" s="9" t="s">
        <v>788</v>
      </c>
      <c r="AD15" s="9" t="s">
        <v>150</v>
      </c>
      <c r="AE15" s="212" t="s">
        <v>1428</v>
      </c>
      <c r="AL15" s="40"/>
      <c r="AM15" s="40"/>
      <c r="AP15" s="40"/>
      <c r="AU15" t="s">
        <v>5729</v>
      </c>
      <c r="AV15" t="s">
        <v>709</v>
      </c>
      <c r="AZ15" s="1" t="str">
        <f t="shared" si="2"/>
        <v>PKP</v>
      </c>
      <c r="BA15" s="1" t="str">
        <f t="shared" si="3"/>
        <v>PKP</v>
      </c>
      <c r="BB15" s="1" t="str">
        <f t="shared" si="4"/>
        <v/>
      </c>
      <c r="BC15" s="1" t="str">
        <f t="shared" si="5"/>
        <v>M870</v>
      </c>
      <c r="BD15" s="1" t="str">
        <f t="shared" si="6"/>
        <v>Kolibri</v>
      </c>
      <c r="BE15" s="1" t="str">
        <f t="shared" si="7"/>
        <v/>
      </c>
      <c r="BF15" s="1" t="str">
        <f t="shared" si="8"/>
        <v/>
      </c>
      <c r="BG15" s="1" t="str">
        <f t="shared" si="9"/>
        <v>AK47-1</v>
      </c>
      <c r="BH15" s="1" t="str">
        <f t="shared" si="10"/>
        <v/>
      </c>
      <c r="BI15" s="1" t="str">
        <f t="shared" si="11"/>
        <v/>
      </c>
      <c r="BJ15" s="1" t="str">
        <f t="shared" si="12"/>
        <v/>
      </c>
      <c r="BK15" s="1" t="str">
        <f t="shared" si="13"/>
        <v/>
      </c>
      <c r="BL15" s="1" t="str">
        <f t="shared" si="14"/>
        <v/>
      </c>
      <c r="BM15" s="1" t="str">
        <f t="shared" si="15"/>
        <v>Sniper4</v>
      </c>
      <c r="BN15" s="1" t="str">
        <f t="shared" si="16"/>
        <v/>
      </c>
      <c r="BO15" s="1" t="str">
        <f t="shared" si="17"/>
        <v/>
      </c>
      <c r="BP15" s="1" t="str">
        <f t="shared" si="18"/>
        <v/>
      </c>
      <c r="BQ15" s="1" t="str">
        <f t="shared" si="19"/>
        <v>AK47-1</v>
      </c>
      <c r="BR15" s="1" t="str">
        <f t="shared" si="20"/>
        <v/>
      </c>
      <c r="BS15" s="1" t="str">
        <f t="shared" si="21"/>
        <v/>
      </c>
      <c r="BT15" s="1"/>
    </row>
    <row r="16" spans="1:72" x14ac:dyDescent="0.25">
      <c r="A16" s="9"/>
      <c r="C16" s="9"/>
      <c r="D16" s="9" t="s">
        <v>1700</v>
      </c>
      <c r="E16" s="9" t="s">
        <v>6542</v>
      </c>
      <c r="F16" s="9" t="s">
        <v>193</v>
      </c>
      <c r="G16" s="9"/>
      <c r="I16" s="9" t="s">
        <v>830</v>
      </c>
      <c r="J16" s="9" t="s">
        <v>1656</v>
      </c>
      <c r="K16" s="9" t="s">
        <v>1674</v>
      </c>
      <c r="N16" s="9" t="s">
        <v>130</v>
      </c>
      <c r="O16" s="9" t="s">
        <v>87</v>
      </c>
      <c r="P16" s="9" t="s">
        <v>201</v>
      </c>
      <c r="S16" s="9" t="s">
        <v>167</v>
      </c>
      <c r="T16" s="9" t="s">
        <v>1455</v>
      </c>
      <c r="U16" s="9" t="s">
        <v>1214</v>
      </c>
      <c r="Y16" s="9" t="s">
        <v>789</v>
      </c>
      <c r="Z16" s="9" t="s">
        <v>1691</v>
      </c>
      <c r="AD16" s="9" t="s">
        <v>1668</v>
      </c>
      <c r="AE16" s="9" t="s">
        <v>3481</v>
      </c>
      <c r="AL16" s="40"/>
      <c r="AM16" s="40"/>
      <c r="AP16" s="40"/>
      <c r="AV16" t="s">
        <v>710</v>
      </c>
      <c r="AZ16" s="1" t="str">
        <f t="shared" si="2"/>
        <v>QJY88</v>
      </c>
      <c r="BA16" s="1" t="str">
        <f t="shared" si="3"/>
        <v>QJY88</v>
      </c>
      <c r="BB16" s="1" t="str">
        <f t="shared" si="4"/>
        <v/>
      </c>
      <c r="BC16" s="1" t="str">
        <f t="shared" si="5"/>
        <v>Minos</v>
      </c>
      <c r="BD16" s="1" t="str">
        <f t="shared" si="6"/>
        <v>M950A</v>
      </c>
      <c r="BE16" s="1" t="str">
        <f t="shared" si="7"/>
        <v/>
      </c>
      <c r="BF16" s="1" t="str">
        <f t="shared" si="8"/>
        <v/>
      </c>
      <c r="BG16" s="1" t="str">
        <f t="shared" si="9"/>
        <v>AK47-2</v>
      </c>
      <c r="BH16" s="1" t="str">
        <f t="shared" si="10"/>
        <v/>
      </c>
      <c r="BI16" s="1" t="str">
        <f t="shared" si="11"/>
        <v/>
      </c>
      <c r="BJ16" s="1" t="str">
        <f t="shared" si="12"/>
        <v/>
      </c>
      <c r="BK16" s="1" t="str">
        <f t="shared" si="13"/>
        <v/>
      </c>
      <c r="BL16" s="1" t="str">
        <f t="shared" si="14"/>
        <v/>
      </c>
      <c r="BM16" s="1" t="str">
        <f t="shared" si="15"/>
        <v>Sniper5</v>
      </c>
      <c r="BN16" s="1" t="str">
        <f t="shared" si="16"/>
        <v/>
      </c>
      <c r="BO16" s="1" t="str">
        <f t="shared" si="17"/>
        <v/>
      </c>
      <c r="BP16" s="1" t="str">
        <f t="shared" si="18"/>
        <v/>
      </c>
      <c r="BQ16" s="1" t="str">
        <f t="shared" si="19"/>
        <v>AK47-2</v>
      </c>
      <c r="BR16" s="1" t="str">
        <f t="shared" si="20"/>
        <v/>
      </c>
      <c r="BS16" s="1" t="str">
        <f t="shared" si="21"/>
        <v/>
      </c>
      <c r="BT16" s="1"/>
    </row>
    <row r="17" spans="1:72" x14ac:dyDescent="0.25">
      <c r="A17" s="9"/>
      <c r="C17" s="9"/>
      <c r="D17" s="9" t="s">
        <v>750</v>
      </c>
      <c r="E17" s="9" t="s">
        <v>5745</v>
      </c>
      <c r="F17" s="9" t="s">
        <v>131</v>
      </c>
      <c r="G17" s="9"/>
      <c r="I17" s="9" t="s">
        <v>1702</v>
      </c>
      <c r="J17" s="9" t="s">
        <v>226</v>
      </c>
      <c r="K17" s="9" t="s">
        <v>1681</v>
      </c>
      <c r="N17" s="9" t="s">
        <v>1641</v>
      </c>
      <c r="O17" s="9" t="s">
        <v>244</v>
      </c>
      <c r="P17" s="9" t="s">
        <v>185</v>
      </c>
      <c r="S17" s="9" t="s">
        <v>239</v>
      </c>
      <c r="T17" s="9" t="s">
        <v>834</v>
      </c>
      <c r="U17" s="9" t="s">
        <v>1457</v>
      </c>
      <c r="Y17" s="9" t="s">
        <v>1680</v>
      </c>
      <c r="Z17" s="9" t="s">
        <v>1706</v>
      </c>
      <c r="AD17" s="9" t="s">
        <v>1701</v>
      </c>
      <c r="AE17" s="9" t="s">
        <v>1663</v>
      </c>
      <c r="AV17" t="s">
        <v>231</v>
      </c>
      <c r="AZ17" s="1" t="str">
        <f t="shared" si="2"/>
        <v>RPK16</v>
      </c>
      <c r="BA17" s="1" t="str">
        <f t="shared" si="3"/>
        <v>RPK16</v>
      </c>
      <c r="BB17" s="1" t="str">
        <f t="shared" si="4"/>
        <v/>
      </c>
      <c r="BC17" s="1" t="str">
        <f t="shared" si="5"/>
        <v>SAT8</v>
      </c>
      <c r="BD17" s="1" t="str">
        <f t="shared" si="6"/>
        <v>Noel</v>
      </c>
      <c r="BE17" s="1" t="str">
        <f t="shared" si="7"/>
        <v/>
      </c>
      <c r="BF17" s="1" t="str">
        <f t="shared" si="8"/>
        <v/>
      </c>
      <c r="BG17" s="1" t="str">
        <f t="shared" si="9"/>
        <v>AK47-3</v>
      </c>
      <c r="BH17" s="1" t="str">
        <f t="shared" si="10"/>
        <v/>
      </c>
      <c r="BI17" s="1" t="str">
        <f t="shared" si="11"/>
        <v/>
      </c>
      <c r="BJ17" s="1" t="str">
        <f t="shared" si="12"/>
        <v/>
      </c>
      <c r="BK17" s="1" t="str">
        <f t="shared" si="13"/>
        <v/>
      </c>
      <c r="BL17" s="1" t="str">
        <f t="shared" si="14"/>
        <v/>
      </c>
      <c r="BM17" s="1" t="str">
        <f t="shared" si="15"/>
        <v/>
      </c>
      <c r="BN17" s="1" t="str">
        <f t="shared" si="16"/>
        <v/>
      </c>
      <c r="BO17" s="1" t="str">
        <f t="shared" si="17"/>
        <v/>
      </c>
      <c r="BP17" s="1" t="str">
        <f t="shared" si="18"/>
        <v/>
      </c>
      <c r="BQ17" s="1" t="str">
        <f t="shared" si="19"/>
        <v>AK47-3</v>
      </c>
      <c r="BR17" s="1" t="str">
        <f t="shared" si="20"/>
        <v/>
      </c>
      <c r="BS17" s="1" t="str">
        <f t="shared" si="21"/>
        <v/>
      </c>
      <c r="BT17" s="1"/>
    </row>
    <row r="18" spans="1:72" x14ac:dyDescent="0.25">
      <c r="A18" s="9"/>
      <c r="C18" s="9"/>
      <c r="D18" s="9" t="s">
        <v>1679</v>
      </c>
      <c r="E18" s="9" t="s">
        <v>805</v>
      </c>
      <c r="F18" s="9" t="s">
        <v>197</v>
      </c>
      <c r="G18" s="9"/>
      <c r="I18" s="9" t="s">
        <v>181</v>
      </c>
      <c r="J18" s="9" t="s">
        <v>1639</v>
      </c>
      <c r="K18" s="9" t="s">
        <v>1713</v>
      </c>
      <c r="N18" s="9" t="s">
        <v>1685</v>
      </c>
      <c r="O18" s="9" t="s">
        <v>835</v>
      </c>
      <c r="P18" s="9" t="s">
        <v>132</v>
      </c>
      <c r="S18" s="9" t="s">
        <v>799</v>
      </c>
      <c r="T18" s="9" t="s">
        <v>98</v>
      </c>
      <c r="U18" s="9" t="s">
        <v>735</v>
      </c>
      <c r="Z18" s="9" t="s">
        <v>836</v>
      </c>
      <c r="AE18" s="213" t="s">
        <v>827</v>
      </c>
      <c r="AV18" t="s">
        <v>738</v>
      </c>
      <c r="AZ18" s="1" t="str">
        <f t="shared" si="2"/>
        <v>RPK203</v>
      </c>
      <c r="BA18" s="1" t="str">
        <f t="shared" si="3"/>
        <v>RPK203</v>
      </c>
      <c r="BB18" s="1" t="str">
        <f t="shared" si="4"/>
        <v/>
      </c>
      <c r="BC18" s="1" t="str">
        <f t="shared" si="5"/>
        <v>Saiga12</v>
      </c>
      <c r="BD18" s="1" t="str">
        <f t="shared" si="6"/>
        <v>NZ75</v>
      </c>
      <c r="BE18" s="1" t="str">
        <f t="shared" si="7"/>
        <v/>
      </c>
      <c r="BF18" s="1" t="str">
        <f t="shared" si="8"/>
        <v/>
      </c>
      <c r="BG18" s="1" t="str">
        <f t="shared" si="9"/>
        <v>Ak5</v>
      </c>
      <c r="BH18" s="1" t="str">
        <f t="shared" si="10"/>
        <v/>
      </c>
      <c r="BI18" s="1" t="str">
        <f t="shared" si="11"/>
        <v/>
      </c>
      <c r="BJ18" s="1" t="str">
        <f t="shared" si="12"/>
        <v/>
      </c>
      <c r="BK18" s="1" t="str">
        <f t="shared" si="13"/>
        <v/>
      </c>
      <c r="BL18" s="1" t="str">
        <f t="shared" si="14"/>
        <v/>
      </c>
      <c r="BM18" s="1" t="str">
        <f t="shared" si="15"/>
        <v/>
      </c>
      <c r="BN18" s="1" t="str">
        <f t="shared" si="16"/>
        <v/>
      </c>
      <c r="BO18" s="1" t="str">
        <f t="shared" si="17"/>
        <v/>
      </c>
      <c r="BP18" s="1" t="str">
        <f t="shared" si="18"/>
        <v/>
      </c>
      <c r="BQ18" s="1" t="str">
        <f t="shared" si="19"/>
        <v>Ak5</v>
      </c>
      <c r="BR18" s="1" t="str">
        <f t="shared" si="20"/>
        <v/>
      </c>
      <c r="BS18" s="1" t="str">
        <f t="shared" si="21"/>
        <v/>
      </c>
      <c r="BT18" s="1"/>
    </row>
    <row r="19" spans="1:72" x14ac:dyDescent="0.25">
      <c r="A19" s="9"/>
      <c r="C19" s="9"/>
      <c r="D19" s="9" t="s">
        <v>66</v>
      </c>
      <c r="E19" s="9" t="s">
        <v>19</v>
      </c>
      <c r="F19" s="9" t="s">
        <v>1682</v>
      </c>
      <c r="G19" s="9"/>
      <c r="I19" s="9" t="s">
        <v>156</v>
      </c>
      <c r="J19" s="9" t="s">
        <v>1705</v>
      </c>
      <c r="K19" s="9" t="s">
        <v>141</v>
      </c>
      <c r="N19" s="9" t="s">
        <v>222</v>
      </c>
      <c r="O19" s="9" t="s">
        <v>1709</v>
      </c>
      <c r="P19" s="9" t="s">
        <v>823</v>
      </c>
      <c r="T19" s="9" t="s">
        <v>99</v>
      </c>
      <c r="U19" s="9" t="s">
        <v>826</v>
      </c>
      <c r="Z19" t="s">
        <v>1719</v>
      </c>
      <c r="AE19" s="9" t="s">
        <v>250</v>
      </c>
      <c r="AV19" t="s">
        <v>162</v>
      </c>
      <c r="AZ19" s="1" t="str">
        <f t="shared" si="2"/>
        <v>Type80Mod</v>
      </c>
      <c r="BA19" s="1" t="str">
        <f t="shared" si="3"/>
        <v>Type80Mod</v>
      </c>
      <c r="BB19" s="1" t="str">
        <f t="shared" si="4"/>
        <v/>
      </c>
      <c r="BC19" s="1" t="str">
        <f t="shared" si="5"/>
        <v>Seele</v>
      </c>
      <c r="BD19" s="1" t="str">
        <f t="shared" si="6"/>
        <v>P22</v>
      </c>
      <c r="BE19" s="1" t="str">
        <f t="shared" si="7"/>
        <v/>
      </c>
      <c r="BF19" s="1" t="str">
        <f t="shared" si="8"/>
        <v/>
      </c>
      <c r="BG19" s="1" t="str">
        <f t="shared" si="9"/>
        <v>Alma</v>
      </c>
      <c r="BH19" s="1" t="str">
        <f t="shared" si="10"/>
        <v/>
      </c>
      <c r="BI19" s="1" t="str">
        <f t="shared" si="11"/>
        <v/>
      </c>
      <c r="BJ19" s="1" t="str">
        <f t="shared" si="12"/>
        <v/>
      </c>
      <c r="BK19" s="1" t="str">
        <f t="shared" si="13"/>
        <v/>
      </c>
      <c r="BL19" s="1" t="str">
        <f t="shared" si="14"/>
        <v/>
      </c>
      <c r="BM19" s="1" t="str">
        <f t="shared" si="15"/>
        <v/>
      </c>
      <c r="BN19" s="1" t="str">
        <f t="shared" si="16"/>
        <v/>
      </c>
      <c r="BO19" s="1" t="str">
        <f t="shared" si="17"/>
        <v/>
      </c>
      <c r="BP19" s="1" t="str">
        <f t="shared" si="18"/>
        <v/>
      </c>
      <c r="BQ19" s="1" t="str">
        <f t="shared" si="19"/>
        <v>Alma</v>
      </c>
      <c r="BR19" s="1" t="str">
        <f t="shared" si="20"/>
        <v/>
      </c>
      <c r="BS19" s="1" t="str">
        <f t="shared" si="21"/>
        <v/>
      </c>
      <c r="BT19" s="1"/>
    </row>
    <row r="20" spans="1:72" x14ac:dyDescent="0.25">
      <c r="A20" s="9"/>
      <c r="C20" s="9"/>
      <c r="D20" s="9" t="s">
        <v>225</v>
      </c>
      <c r="E20" s="9" t="s">
        <v>153</v>
      </c>
      <c r="F20" s="9" t="s">
        <v>186</v>
      </c>
      <c r="G20" s="9"/>
      <c r="I20" s="9" t="s">
        <v>1651</v>
      </c>
      <c r="J20" s="9" t="s">
        <v>5836</v>
      </c>
      <c r="K20" s="9" t="s">
        <v>1731</v>
      </c>
      <c r="N20" s="9" t="s">
        <v>1631</v>
      </c>
      <c r="O20" s="9" t="s">
        <v>92</v>
      </c>
      <c r="P20" s="9" t="s">
        <v>1708</v>
      </c>
      <c r="T20" s="9" t="s">
        <v>22</v>
      </c>
      <c r="U20" s="9" t="s">
        <v>223</v>
      </c>
      <c r="Z20" s="9" t="s">
        <v>1696</v>
      </c>
      <c r="AE20" s="222" t="s">
        <v>734</v>
      </c>
      <c r="AV20" t="s">
        <v>5791</v>
      </c>
      <c r="AZ20" s="1" t="str">
        <f t="shared" si="2"/>
        <v>Yurine</v>
      </c>
      <c r="BA20" s="1" t="str">
        <f t="shared" si="3"/>
        <v>Yurine</v>
      </c>
      <c r="BB20" s="1" t="str">
        <f t="shared" si="4"/>
        <v/>
      </c>
      <c r="BC20" s="1" t="str">
        <f t="shared" si="5"/>
        <v>Triela</v>
      </c>
      <c r="BD20" s="1" t="str">
        <f t="shared" si="6"/>
        <v>PA15</v>
      </c>
      <c r="BE20" s="1" t="str">
        <f t="shared" si="7"/>
        <v/>
      </c>
      <c r="BF20" s="1" t="str">
        <f t="shared" si="8"/>
        <v/>
      </c>
      <c r="BG20" s="1" t="str">
        <f t="shared" si="9"/>
        <v>Ameli</v>
      </c>
      <c r="BH20" s="1" t="str">
        <f t="shared" si="10"/>
        <v/>
      </c>
      <c r="BI20" s="1" t="str">
        <f t="shared" si="11"/>
        <v/>
      </c>
      <c r="BJ20" s="1" t="str">
        <f t="shared" si="12"/>
        <v/>
      </c>
      <c r="BK20" s="1" t="str">
        <f t="shared" si="13"/>
        <v/>
      </c>
      <c r="BL20" s="1" t="str">
        <f t="shared" si="14"/>
        <v/>
      </c>
      <c r="BM20" s="1" t="str">
        <f t="shared" si="15"/>
        <v/>
      </c>
      <c r="BN20" s="1" t="str">
        <f t="shared" si="16"/>
        <v/>
      </c>
      <c r="BO20" s="1" t="str">
        <f t="shared" si="17"/>
        <v/>
      </c>
      <c r="BP20" s="1" t="str">
        <f t="shared" si="18"/>
        <v/>
      </c>
      <c r="BQ20" s="1" t="str">
        <f t="shared" si="19"/>
        <v>Ameli</v>
      </c>
      <c r="BR20" s="1" t="str">
        <f t="shared" si="20"/>
        <v/>
      </c>
      <c r="BS20" s="1" t="str">
        <f t="shared" si="21"/>
        <v/>
      </c>
      <c r="BT20" s="1"/>
    </row>
    <row r="21" spans="1:72" x14ac:dyDescent="0.25">
      <c r="A21" s="9"/>
      <c r="C21" s="9"/>
      <c r="D21" s="9" t="s">
        <v>73</v>
      </c>
      <c r="E21" s="9" t="s">
        <v>1648</v>
      </c>
      <c r="F21" s="9" t="s">
        <v>64</v>
      </c>
      <c r="G21" s="9"/>
      <c r="J21" s="9" t="s">
        <v>801</v>
      </c>
      <c r="K21" s="9" t="s">
        <v>1757</v>
      </c>
      <c r="N21" s="9" t="s">
        <v>119</v>
      </c>
      <c r="O21" s="9" t="s">
        <v>1667</v>
      </c>
      <c r="P21" s="9" t="s">
        <v>1642</v>
      </c>
      <c r="T21" s="9" t="s">
        <v>798</v>
      </c>
      <c r="U21" s="9" t="s">
        <v>188</v>
      </c>
      <c r="AV21" t="s">
        <v>252</v>
      </c>
      <c r="AZ21" s="1" t="str">
        <f t="shared" si="2"/>
        <v>ZB26</v>
      </c>
      <c r="BA21" s="1" t="str">
        <f t="shared" si="3"/>
        <v>ZB26</v>
      </c>
      <c r="BB21" s="1" t="str">
        <f t="shared" si="4"/>
        <v/>
      </c>
      <c r="BC21" s="1" t="str">
        <f t="shared" si="5"/>
        <v>Type97SMod</v>
      </c>
      <c r="BD21" s="1" t="str">
        <f t="shared" si="6"/>
        <v>Px4 Storm</v>
      </c>
      <c r="BE21" s="1" t="str">
        <f t="shared" si="7"/>
        <v/>
      </c>
      <c r="BF21" s="1" t="str">
        <f t="shared" si="8"/>
        <v/>
      </c>
      <c r="BG21" s="1" t="str">
        <f t="shared" si="9"/>
        <v>AN94Mod</v>
      </c>
      <c r="BH21" s="1" t="str">
        <f t="shared" si="10"/>
        <v/>
      </c>
      <c r="BI21" s="1" t="str">
        <f t="shared" si="11"/>
        <v/>
      </c>
      <c r="BJ21" s="1" t="str">
        <f t="shared" si="12"/>
        <v/>
      </c>
      <c r="BK21" s="1" t="str">
        <f t="shared" si="13"/>
        <v/>
      </c>
      <c r="BL21" s="1" t="str">
        <f t="shared" si="14"/>
        <v/>
      </c>
      <c r="BM21" s="1" t="str">
        <f t="shared" si="15"/>
        <v/>
      </c>
      <c r="BN21" s="1" t="str">
        <f t="shared" si="16"/>
        <v/>
      </c>
      <c r="BO21" s="1" t="str">
        <f t="shared" si="17"/>
        <v/>
      </c>
      <c r="BP21" s="1" t="str">
        <f t="shared" si="18"/>
        <v/>
      </c>
      <c r="BQ21" s="1" t="str">
        <f t="shared" si="19"/>
        <v>AN94Mod</v>
      </c>
      <c r="BR21" s="1" t="str">
        <f t="shared" si="20"/>
        <v/>
      </c>
      <c r="BS21" s="1" t="str">
        <f t="shared" si="21"/>
        <v/>
      </c>
      <c r="BT21" s="1"/>
    </row>
    <row r="22" spans="1:72" x14ac:dyDescent="0.25">
      <c r="A22" s="9"/>
      <c r="C22" s="9"/>
      <c r="D22" s="9" t="s">
        <v>214</v>
      </c>
      <c r="E22" s="9" t="s">
        <v>67</v>
      </c>
      <c r="F22" t="s">
        <v>5735</v>
      </c>
      <c r="J22" s="9" t="s">
        <v>144</v>
      </c>
      <c r="K22" s="9" t="s">
        <v>1655</v>
      </c>
      <c r="N22" s="9" t="s">
        <v>3456</v>
      </c>
      <c r="O22" s="9" t="s">
        <v>802</v>
      </c>
      <c r="P22" t="s">
        <v>1421</v>
      </c>
      <c r="T22" s="9" t="s">
        <v>229</v>
      </c>
      <c r="U22" s="9" t="s">
        <v>168</v>
      </c>
      <c r="AV22" t="s">
        <v>1654</v>
      </c>
      <c r="AZ22" s="1" t="str">
        <f t="shared" si="2"/>
        <v/>
      </c>
      <c r="BA22" s="1" t="str">
        <f t="shared" si="3"/>
        <v/>
      </c>
      <c r="BB22" s="1" t="str">
        <f t="shared" si="4"/>
        <v/>
      </c>
      <c r="BC22" s="1" t="str">
        <f t="shared" si="5"/>
        <v/>
      </c>
      <c r="BD22" s="1" t="str">
        <f t="shared" si="6"/>
        <v>Python</v>
      </c>
      <c r="BE22" s="1" t="str">
        <f t="shared" si="7"/>
        <v/>
      </c>
      <c r="BF22" s="1" t="str">
        <f t="shared" si="8"/>
        <v/>
      </c>
      <c r="BG22" s="1" t="str">
        <f t="shared" si="9"/>
        <v>Angelica</v>
      </c>
      <c r="BH22" s="1" t="str">
        <f t="shared" si="10"/>
        <v/>
      </c>
      <c r="BI22" s="1" t="str">
        <f t="shared" si="11"/>
        <v/>
      </c>
      <c r="BJ22" s="1" t="str">
        <f t="shared" si="12"/>
        <v/>
      </c>
      <c r="BK22" s="1" t="str">
        <f t="shared" si="13"/>
        <v/>
      </c>
      <c r="BL22" s="1" t="str">
        <f t="shared" si="14"/>
        <v/>
      </c>
      <c r="BM22" s="1" t="str">
        <f t="shared" si="15"/>
        <v/>
      </c>
      <c r="BN22" s="1" t="str">
        <f t="shared" si="16"/>
        <v/>
      </c>
      <c r="BO22" s="1" t="str">
        <f t="shared" si="17"/>
        <v/>
      </c>
      <c r="BP22" s="1" t="str">
        <f t="shared" si="18"/>
        <v/>
      </c>
      <c r="BQ22" s="1" t="str">
        <f t="shared" si="19"/>
        <v>Angelica</v>
      </c>
      <c r="BR22" s="1" t="str">
        <f t="shared" si="20"/>
        <v/>
      </c>
      <c r="BS22" s="1" t="str">
        <f t="shared" si="21"/>
        <v/>
      </c>
      <c r="BT22" s="1"/>
    </row>
    <row r="23" spans="1:72" x14ac:dyDescent="0.25">
      <c r="A23" s="9"/>
      <c r="C23" s="9"/>
      <c r="D23" s="9" t="s">
        <v>804</v>
      </c>
      <c r="E23" s="9" t="s">
        <v>5552</v>
      </c>
      <c r="F23" s="9" t="s">
        <v>267</v>
      </c>
      <c r="J23" s="9" t="s">
        <v>831</v>
      </c>
      <c r="K23" s="9" t="s">
        <v>5752</v>
      </c>
      <c r="N23" s="9" t="s">
        <v>218</v>
      </c>
      <c r="O23" s="9" t="s">
        <v>5760</v>
      </c>
      <c r="P23" s="9" t="s">
        <v>1683</v>
      </c>
      <c r="T23" s="9" t="s">
        <v>1677</v>
      </c>
      <c r="U23" s="9" t="s">
        <v>1734</v>
      </c>
      <c r="AV23" t="s">
        <v>258</v>
      </c>
      <c r="AZ23" s="1" t="str">
        <f t="shared" si="2"/>
        <v/>
      </c>
      <c r="BA23" s="1" t="str">
        <f t="shared" si="3"/>
        <v/>
      </c>
      <c r="BB23" s="1" t="str">
        <f t="shared" si="4"/>
        <v/>
      </c>
      <c r="BC23" s="1" t="str">
        <f t="shared" si="5"/>
        <v/>
      </c>
      <c r="BD23" s="1" t="str">
        <f t="shared" si="6"/>
        <v>Rhino</v>
      </c>
      <c r="BE23" s="1" t="str">
        <f t="shared" si="7"/>
        <v/>
      </c>
      <c r="BF23" s="1" t="str">
        <f t="shared" si="8"/>
        <v/>
      </c>
      <c r="BG23" s="1" t="str">
        <f t="shared" si="9"/>
        <v>ARX160</v>
      </c>
      <c r="BH23" s="1" t="str">
        <f t="shared" si="10"/>
        <v/>
      </c>
      <c r="BI23" s="1" t="str">
        <f t="shared" si="11"/>
        <v/>
      </c>
      <c r="BJ23" s="1" t="str">
        <f t="shared" si="12"/>
        <v/>
      </c>
      <c r="BK23" s="1" t="str">
        <f t="shared" si="13"/>
        <v/>
      </c>
      <c r="BL23" s="1" t="str">
        <f t="shared" si="14"/>
        <v/>
      </c>
      <c r="BM23" s="1" t="str">
        <f t="shared" si="15"/>
        <v/>
      </c>
      <c r="BN23" s="1" t="str">
        <f t="shared" si="16"/>
        <v/>
      </c>
      <c r="BO23" s="1" t="str">
        <f t="shared" si="17"/>
        <v/>
      </c>
      <c r="BP23" s="1" t="str">
        <f t="shared" si="18"/>
        <v/>
      </c>
      <c r="BQ23" s="1" t="str">
        <f t="shared" si="19"/>
        <v>ARX160</v>
      </c>
      <c r="BR23" s="1" t="str">
        <f t="shared" si="20"/>
        <v/>
      </c>
      <c r="BS23" s="1" t="str">
        <f t="shared" si="21"/>
        <v/>
      </c>
      <c r="BT23" s="1"/>
    </row>
    <row r="24" spans="1:72" x14ac:dyDescent="0.25">
      <c r="A24" s="9"/>
      <c r="B24" s="9"/>
      <c r="C24" s="9"/>
      <c r="D24" s="9"/>
      <c r="E24" s="9" t="s">
        <v>5551</v>
      </c>
      <c r="F24" s="9" t="s">
        <v>732</v>
      </c>
      <c r="J24" s="9" t="s">
        <v>741</v>
      </c>
      <c r="K24" s="9" t="s">
        <v>127</v>
      </c>
      <c r="O24" s="9" t="s">
        <v>243</v>
      </c>
      <c r="P24" s="9" t="s">
        <v>207</v>
      </c>
      <c r="T24" s="9" t="s">
        <v>1643</v>
      </c>
      <c r="U24" s="9" t="s">
        <v>257</v>
      </c>
      <c r="AQ24" s="9"/>
      <c r="AV24" t="s">
        <v>74</v>
      </c>
      <c r="AZ24" s="1" t="str">
        <f t="shared" si="2"/>
        <v/>
      </c>
      <c r="BA24" s="1" t="str">
        <f t="shared" si="3"/>
        <v/>
      </c>
      <c r="BB24" s="1" t="str">
        <f t="shared" si="4"/>
        <v/>
      </c>
      <c r="BC24" s="1" t="str">
        <f t="shared" si="5"/>
        <v/>
      </c>
      <c r="BD24" s="1" t="str">
        <f t="shared" si="6"/>
        <v>SAAMod</v>
      </c>
      <c r="BE24" s="1" t="str">
        <f t="shared" si="7"/>
        <v/>
      </c>
      <c r="BF24" s="1" t="str">
        <f t="shared" si="8"/>
        <v/>
      </c>
      <c r="BG24" s="1" t="str">
        <f t="shared" si="9"/>
        <v>AS ValMod</v>
      </c>
      <c r="BH24" s="1" t="str">
        <f t="shared" si="10"/>
        <v/>
      </c>
      <c r="BI24" s="1" t="str">
        <f t="shared" si="11"/>
        <v/>
      </c>
      <c r="BJ24" s="1" t="str">
        <f t="shared" si="12"/>
        <v/>
      </c>
      <c r="BK24" s="1" t="str">
        <f t="shared" si="13"/>
        <v/>
      </c>
      <c r="BL24" s="1" t="str">
        <f t="shared" si="14"/>
        <v/>
      </c>
      <c r="BM24" s="1" t="str">
        <f t="shared" si="15"/>
        <v/>
      </c>
      <c r="BN24" s="1" t="str">
        <f t="shared" si="16"/>
        <v/>
      </c>
      <c r="BO24" s="1" t="str">
        <f t="shared" si="17"/>
        <v/>
      </c>
      <c r="BP24" s="1" t="str">
        <f t="shared" si="18"/>
        <v/>
      </c>
      <c r="BQ24" s="1" t="str">
        <f t="shared" si="19"/>
        <v>AS ValMod</v>
      </c>
      <c r="BR24" s="1" t="str">
        <f t="shared" si="20"/>
        <v/>
      </c>
      <c r="BS24" s="1" t="str">
        <f t="shared" si="21"/>
        <v/>
      </c>
      <c r="BT24" s="1"/>
    </row>
    <row r="25" spans="1:72" x14ac:dyDescent="0.25">
      <c r="A25" s="9"/>
      <c r="B25" s="9"/>
      <c r="C25" s="9"/>
      <c r="D25" s="9"/>
      <c r="E25" s="9"/>
      <c r="F25" s="9" t="s">
        <v>740</v>
      </c>
      <c r="J25" s="9" t="s">
        <v>24</v>
      </c>
      <c r="K25" s="9" t="s">
        <v>76</v>
      </c>
      <c r="O25" s="9" t="s">
        <v>832</v>
      </c>
      <c r="P25" s="9" t="s">
        <v>249</v>
      </c>
      <c r="T25" s="9" t="s">
        <v>833</v>
      </c>
      <c r="U25" s="9" t="s">
        <v>256</v>
      </c>
      <c r="AQ25" s="9"/>
      <c r="AV25" t="s">
        <v>744</v>
      </c>
      <c r="AZ25" s="1" t="str">
        <f t="shared" si="2"/>
        <v/>
      </c>
      <c r="BA25" s="1" t="str">
        <f t="shared" si="3"/>
        <v/>
      </c>
      <c r="BB25" s="1" t="str">
        <f t="shared" si="4"/>
        <v/>
      </c>
      <c r="BC25" s="1" t="str">
        <f t="shared" si="5"/>
        <v/>
      </c>
      <c r="BD25" s="1" t="str">
        <f t="shared" si="6"/>
        <v>Sei</v>
      </c>
      <c r="BE25" s="1" t="str">
        <f t="shared" si="7"/>
        <v/>
      </c>
      <c r="BF25" s="1" t="str">
        <f t="shared" si="8"/>
        <v/>
      </c>
      <c r="BG25" s="1" t="str">
        <f t="shared" si="9"/>
        <v>Astra</v>
      </c>
      <c r="BH25" s="1" t="str">
        <f t="shared" si="10"/>
        <v/>
      </c>
      <c r="BI25" s="1" t="str">
        <f t="shared" si="11"/>
        <v/>
      </c>
      <c r="BJ25" s="1" t="str">
        <f t="shared" si="12"/>
        <v/>
      </c>
      <c r="BK25" s="1" t="str">
        <f t="shared" si="13"/>
        <v/>
      </c>
      <c r="BL25" s="1" t="str">
        <f t="shared" si="14"/>
        <v/>
      </c>
      <c r="BM25" s="1" t="str">
        <f t="shared" si="15"/>
        <v/>
      </c>
      <c r="BN25" s="1" t="str">
        <f t="shared" si="16"/>
        <v/>
      </c>
      <c r="BO25" s="1" t="str">
        <f t="shared" si="17"/>
        <v/>
      </c>
      <c r="BP25" s="1" t="str">
        <f t="shared" si="18"/>
        <v/>
      </c>
      <c r="BQ25" s="1" t="str">
        <f t="shared" si="19"/>
        <v>Astra</v>
      </c>
      <c r="BR25" s="1" t="str">
        <f t="shared" si="20"/>
        <v/>
      </c>
      <c r="BS25" s="1" t="str">
        <f t="shared" si="21"/>
        <v/>
      </c>
      <c r="BT25" s="1"/>
    </row>
    <row r="26" spans="1:72" x14ac:dyDescent="0.25">
      <c r="A26" s="9"/>
      <c r="B26" s="9"/>
      <c r="C26" s="9"/>
      <c r="D26" s="9"/>
      <c r="E26" s="9"/>
      <c r="F26" s="9" t="s">
        <v>825</v>
      </c>
      <c r="J26" s="9" t="s">
        <v>23</v>
      </c>
      <c r="K26" s="9" t="s">
        <v>224</v>
      </c>
      <c r="O26" s="9" t="s">
        <v>841</v>
      </c>
      <c r="P26" s="9" t="s">
        <v>820</v>
      </c>
      <c r="T26" s="9" t="s">
        <v>739</v>
      </c>
      <c r="U26" s="9" t="s">
        <v>179</v>
      </c>
      <c r="AQ26" s="9"/>
      <c r="AV26" t="s">
        <v>746</v>
      </c>
      <c r="AZ26" s="1" t="str">
        <f t="shared" si="2"/>
        <v/>
      </c>
      <c r="BA26" s="1" t="str">
        <f t="shared" si="3"/>
        <v/>
      </c>
      <c r="BB26" s="1" t="str">
        <f t="shared" si="4"/>
        <v/>
      </c>
      <c r="BC26" s="1" t="str">
        <f t="shared" si="5"/>
        <v/>
      </c>
      <c r="BD26" s="1" t="str">
        <f t="shared" si="6"/>
        <v>StechkinMod</v>
      </c>
      <c r="BE26" s="1" t="str">
        <f t="shared" si="7"/>
        <v/>
      </c>
      <c r="BF26" s="1" t="str">
        <f t="shared" si="8"/>
        <v/>
      </c>
      <c r="BG26" s="1" t="str">
        <f t="shared" si="9"/>
        <v>BrenMod</v>
      </c>
      <c r="BH26" s="1" t="str">
        <f t="shared" si="10"/>
        <v/>
      </c>
      <c r="BI26" s="1" t="str">
        <f t="shared" si="11"/>
        <v/>
      </c>
      <c r="BJ26" s="1" t="str">
        <f t="shared" si="12"/>
        <v/>
      </c>
      <c r="BK26" s="1" t="str">
        <f t="shared" si="13"/>
        <v/>
      </c>
      <c r="BL26" s="1" t="str">
        <f t="shared" si="14"/>
        <v/>
      </c>
      <c r="BM26" s="1" t="str">
        <f t="shared" si="15"/>
        <v/>
      </c>
      <c r="BN26" s="1" t="str">
        <f t="shared" si="16"/>
        <v/>
      </c>
      <c r="BO26" s="1" t="str">
        <f t="shared" si="17"/>
        <v/>
      </c>
      <c r="BP26" s="1" t="str">
        <f t="shared" si="18"/>
        <v/>
      </c>
      <c r="BQ26" s="1" t="str">
        <f t="shared" si="19"/>
        <v>BrenMod</v>
      </c>
      <c r="BR26" s="1" t="str">
        <f t="shared" si="20"/>
        <v/>
      </c>
      <c r="BS26" s="1" t="str">
        <f t="shared" si="21"/>
        <v/>
      </c>
      <c r="BT26" s="1"/>
    </row>
    <row r="27" spans="1:72" x14ac:dyDescent="0.25">
      <c r="A27" s="9"/>
      <c r="B27" s="9"/>
      <c r="C27" s="9"/>
      <c r="D27" s="9"/>
      <c r="E27" s="9"/>
      <c r="F27" s="9" t="s">
        <v>795</v>
      </c>
      <c r="J27" s="9" t="s">
        <v>123</v>
      </c>
      <c r="K27" s="9" t="s">
        <v>265</v>
      </c>
      <c r="O27" s="9" t="s">
        <v>172</v>
      </c>
      <c r="P27" s="9" t="s">
        <v>797</v>
      </c>
      <c r="T27" s="9" t="s">
        <v>1646</v>
      </c>
      <c r="U27" t="s">
        <v>1424</v>
      </c>
      <c r="AQ27" s="9"/>
      <c r="AV27" t="s">
        <v>748</v>
      </c>
      <c r="AZ27" s="1" t="str">
        <f t="shared" si="2"/>
        <v/>
      </c>
      <c r="BA27" s="1" t="str">
        <f t="shared" si="3"/>
        <v/>
      </c>
      <c r="BB27" s="1" t="str">
        <f t="shared" si="4"/>
        <v/>
      </c>
      <c r="BC27" s="1" t="str">
        <f t="shared" si="5"/>
        <v/>
      </c>
      <c r="BD27" s="1" t="str">
        <f t="shared" si="6"/>
        <v>Theresa</v>
      </c>
      <c r="BE27" s="1" t="str">
        <f t="shared" si="7"/>
        <v/>
      </c>
      <c r="BF27" s="1" t="str">
        <f t="shared" si="8"/>
        <v/>
      </c>
      <c r="BG27" s="1" t="str">
        <f t="shared" si="9"/>
        <v>C96Mod</v>
      </c>
      <c r="BH27" s="1" t="str">
        <f t="shared" si="10"/>
        <v/>
      </c>
      <c r="BI27" s="1" t="str">
        <f t="shared" si="11"/>
        <v/>
      </c>
      <c r="BJ27" s="1" t="str">
        <f t="shared" si="12"/>
        <v/>
      </c>
      <c r="BK27" s="1" t="str">
        <f t="shared" si="13"/>
        <v/>
      </c>
      <c r="BL27" s="1" t="str">
        <f t="shared" si="14"/>
        <v/>
      </c>
      <c r="BM27" s="1" t="str">
        <f t="shared" si="15"/>
        <v/>
      </c>
      <c r="BN27" s="1" t="str">
        <f t="shared" si="16"/>
        <v/>
      </c>
      <c r="BO27" s="1" t="str">
        <f t="shared" si="17"/>
        <v/>
      </c>
      <c r="BP27" s="1" t="str">
        <f t="shared" si="18"/>
        <v/>
      </c>
      <c r="BQ27" s="1" t="str">
        <f t="shared" si="19"/>
        <v>C96Mod</v>
      </c>
      <c r="BR27" s="1" t="str">
        <f t="shared" si="20"/>
        <v/>
      </c>
      <c r="BS27" s="1" t="str">
        <f t="shared" si="21"/>
        <v/>
      </c>
      <c r="BT27" s="1"/>
    </row>
    <row r="28" spans="1:72" x14ac:dyDescent="0.25">
      <c r="A28" s="9"/>
      <c r="B28" s="9"/>
      <c r="C28" s="9"/>
      <c r="D28" s="9"/>
      <c r="E28" s="9"/>
      <c r="F28" s="9" t="s">
        <v>838</v>
      </c>
      <c r="J28" t="s">
        <v>5538</v>
      </c>
      <c r="K28" s="9" t="s">
        <v>264</v>
      </c>
      <c r="P28" s="9" t="s">
        <v>737</v>
      </c>
      <c r="T28" s="9" t="s">
        <v>180</v>
      </c>
      <c r="U28" s="9" t="s">
        <v>1653</v>
      </c>
      <c r="AV28" t="s">
        <v>747</v>
      </c>
      <c r="AZ28" s="1" t="str">
        <f t="shared" si="2"/>
        <v/>
      </c>
      <c r="BA28" s="1" t="str">
        <f t="shared" si="3"/>
        <v/>
      </c>
      <c r="BB28" s="1" t="str">
        <f t="shared" si="4"/>
        <v/>
      </c>
      <c r="BC28" s="1" t="str">
        <f t="shared" si="5"/>
        <v/>
      </c>
      <c r="BD28" s="1" t="str">
        <f t="shared" si="6"/>
        <v>Webley</v>
      </c>
      <c r="BE28" s="1" t="str">
        <f t="shared" si="7"/>
        <v/>
      </c>
      <c r="BF28" s="1" t="str">
        <f t="shared" si="8"/>
        <v/>
      </c>
      <c r="BG28" s="1" t="str">
        <f t="shared" si="9"/>
        <v>ClaesMeteorite</v>
      </c>
      <c r="BH28" s="1" t="str">
        <f t="shared" si="10"/>
        <v/>
      </c>
      <c r="BI28" s="1" t="str">
        <f t="shared" si="11"/>
        <v/>
      </c>
      <c r="BJ28" s="1" t="str">
        <f t="shared" si="12"/>
        <v/>
      </c>
      <c r="BK28" s="1" t="str">
        <f t="shared" si="13"/>
        <v/>
      </c>
      <c r="BL28" s="1" t="str">
        <f t="shared" si="14"/>
        <v/>
      </c>
      <c r="BM28" s="1" t="str">
        <f t="shared" si="15"/>
        <v/>
      </c>
      <c r="BN28" s="1" t="str">
        <f t="shared" si="16"/>
        <v/>
      </c>
      <c r="BO28" s="1" t="str">
        <f t="shared" si="17"/>
        <v/>
      </c>
      <c r="BP28" s="1" t="str">
        <f t="shared" si="18"/>
        <v/>
      </c>
      <c r="BQ28" s="1" t="str">
        <f t="shared" si="19"/>
        <v>ClaesMeteorite</v>
      </c>
      <c r="BR28" s="1" t="str">
        <f t="shared" si="20"/>
        <v/>
      </c>
      <c r="BS28" s="1" t="str">
        <f t="shared" si="21"/>
        <v/>
      </c>
      <c r="BT28" s="1"/>
    </row>
    <row r="29" spans="1:72" x14ac:dyDescent="0.25">
      <c r="A29" s="9"/>
      <c r="C29" s="9"/>
      <c r="D29" s="9"/>
      <c r="E29" s="9"/>
      <c r="K29" s="9" t="s">
        <v>79</v>
      </c>
      <c r="P29" s="9" t="s">
        <v>816</v>
      </c>
      <c r="U29" t="s">
        <v>5769</v>
      </c>
      <c r="AV29" t="s">
        <v>749</v>
      </c>
      <c r="AZ29" s="1" t="str">
        <f t="shared" si="2"/>
        <v/>
      </c>
      <c r="BA29" s="1" t="str">
        <f t="shared" si="3"/>
        <v/>
      </c>
      <c r="BB29" s="1" t="str">
        <f t="shared" si="4"/>
        <v/>
      </c>
      <c r="BC29" s="1" t="str">
        <f t="shared" si="5"/>
        <v/>
      </c>
      <c r="BD29" s="1" t="str">
        <f t="shared" si="6"/>
        <v>Welrod MkII</v>
      </c>
      <c r="BE29" s="1" t="str">
        <f t="shared" si="7"/>
        <v/>
      </c>
      <c r="BF29" s="1" t="str">
        <f t="shared" si="8"/>
        <v/>
      </c>
      <c r="BG29" s="1" t="str">
        <f t="shared" si="9"/>
        <v>ClaesSpectacles</v>
      </c>
      <c r="BH29" s="1" t="str">
        <f t="shared" si="10"/>
        <v/>
      </c>
      <c r="BI29" s="1" t="str">
        <f t="shared" si="11"/>
        <v/>
      </c>
      <c r="BJ29" s="1" t="str">
        <f t="shared" si="12"/>
        <v/>
      </c>
      <c r="BK29" s="1" t="str">
        <f t="shared" si="13"/>
        <v/>
      </c>
      <c r="BL29" s="1" t="str">
        <f t="shared" si="14"/>
        <v/>
      </c>
      <c r="BM29" s="1" t="str">
        <f t="shared" si="15"/>
        <v/>
      </c>
      <c r="BN29" s="1" t="str">
        <f t="shared" si="16"/>
        <v/>
      </c>
      <c r="BO29" s="1" t="str">
        <f t="shared" si="17"/>
        <v/>
      </c>
      <c r="BP29" s="1" t="str">
        <f t="shared" si="18"/>
        <v/>
      </c>
      <c r="BQ29" s="1" t="str">
        <f t="shared" si="19"/>
        <v>ClaesSpectacles</v>
      </c>
      <c r="BR29" s="1" t="str">
        <f t="shared" si="20"/>
        <v/>
      </c>
      <c r="BS29" s="1" t="str">
        <f t="shared" si="21"/>
        <v/>
      </c>
      <c r="BT29" s="1"/>
    </row>
    <row r="30" spans="1:72" x14ac:dyDescent="0.25">
      <c r="A30" s="9"/>
      <c r="C30" s="9"/>
      <c r="D30" s="9"/>
      <c r="E30" s="9"/>
      <c r="K30" s="9" t="s">
        <v>819</v>
      </c>
      <c r="P30" s="9" t="s">
        <v>1265</v>
      </c>
      <c r="U30" s="9" t="s">
        <v>793</v>
      </c>
      <c r="AV30" t="s">
        <v>718</v>
      </c>
      <c r="AZ30" s="1" t="str">
        <f t="shared" si="2"/>
        <v/>
      </c>
      <c r="BA30" s="1" t="str">
        <f t="shared" si="3"/>
        <v/>
      </c>
      <c r="BB30" s="1" t="str">
        <f t="shared" si="4"/>
        <v/>
      </c>
      <c r="BC30" s="1" t="str">
        <f t="shared" si="5"/>
        <v/>
      </c>
      <c r="BD30" s="1" t="str">
        <f t="shared" si="6"/>
        <v/>
      </c>
      <c r="BE30" s="1" t="str">
        <f t="shared" si="7"/>
        <v/>
      </c>
      <c r="BF30" s="1" t="str">
        <f t="shared" si="8"/>
        <v/>
      </c>
      <c r="BG30" s="1" t="str">
        <f t="shared" si="9"/>
        <v>ClaesWristwatch</v>
      </c>
      <c r="BH30" s="1" t="str">
        <f t="shared" si="10"/>
        <v/>
      </c>
      <c r="BI30" s="1" t="str">
        <f t="shared" si="11"/>
        <v/>
      </c>
      <c r="BJ30" s="1" t="str">
        <f t="shared" si="12"/>
        <v/>
      </c>
      <c r="BK30" s="1" t="str">
        <f t="shared" si="13"/>
        <v/>
      </c>
      <c r="BL30" s="1" t="str">
        <f t="shared" si="14"/>
        <v/>
      </c>
      <c r="BM30" s="1" t="str">
        <f t="shared" si="15"/>
        <v/>
      </c>
      <c r="BN30" s="1" t="str">
        <f t="shared" si="16"/>
        <v/>
      </c>
      <c r="BO30" s="1" t="str">
        <f t="shared" si="17"/>
        <v/>
      </c>
      <c r="BP30" s="1" t="str">
        <f t="shared" si="18"/>
        <v/>
      </c>
      <c r="BQ30" s="1" t="str">
        <f t="shared" si="19"/>
        <v>ClaesWristwatch</v>
      </c>
      <c r="BR30" s="1" t="str">
        <f t="shared" si="20"/>
        <v/>
      </c>
      <c r="BS30" s="1" t="str">
        <f t="shared" si="21"/>
        <v/>
      </c>
      <c r="BT30" s="1"/>
    </row>
    <row r="31" spans="1:72" x14ac:dyDescent="0.25">
      <c r="A31" s="9"/>
      <c r="C31" s="9"/>
      <c r="D31" s="9"/>
      <c r="E31" s="9"/>
      <c r="K31" s="9" t="s">
        <v>198</v>
      </c>
      <c r="P31" s="9" t="s">
        <v>1697</v>
      </c>
      <c r="U31" s="9" t="s">
        <v>230</v>
      </c>
      <c r="AV31" t="s">
        <v>152</v>
      </c>
      <c r="AZ31" s="1" t="str">
        <f t="shared" si="2"/>
        <v/>
      </c>
      <c r="BA31" s="1" t="str">
        <f t="shared" si="3"/>
        <v/>
      </c>
      <c r="BB31" s="1" t="str">
        <f t="shared" si="4"/>
        <v/>
      </c>
      <c r="BC31" s="1" t="str">
        <f t="shared" si="5"/>
        <v/>
      </c>
      <c r="BD31" s="1" t="str">
        <f t="shared" si="6"/>
        <v/>
      </c>
      <c r="BE31" s="1" t="str">
        <f t="shared" si="7"/>
        <v/>
      </c>
      <c r="BF31" s="1" t="str">
        <f t="shared" si="8"/>
        <v/>
      </c>
      <c r="BG31" s="1" t="str">
        <f t="shared" si="9"/>
        <v>Clear</v>
      </c>
      <c r="BH31" s="1" t="str">
        <f t="shared" si="10"/>
        <v/>
      </c>
      <c r="BI31" s="1" t="str">
        <f t="shared" si="11"/>
        <v/>
      </c>
      <c r="BJ31" s="1" t="str">
        <f t="shared" si="12"/>
        <v/>
      </c>
      <c r="BK31" s="1" t="str">
        <f t="shared" si="13"/>
        <v/>
      </c>
      <c r="BL31" s="1" t="str">
        <f t="shared" si="14"/>
        <v/>
      </c>
      <c r="BM31" s="1" t="str">
        <f t="shared" si="15"/>
        <v/>
      </c>
      <c r="BN31" s="1" t="str">
        <f t="shared" si="16"/>
        <v/>
      </c>
      <c r="BO31" s="1" t="str">
        <f t="shared" si="17"/>
        <v/>
      </c>
      <c r="BP31" s="1" t="str">
        <f t="shared" si="18"/>
        <v/>
      </c>
      <c r="BQ31" s="1" t="str">
        <f t="shared" si="19"/>
        <v>Clear</v>
      </c>
      <c r="BR31" s="1" t="str">
        <f t="shared" si="20"/>
        <v/>
      </c>
      <c r="BS31" s="1" t="str">
        <f t="shared" si="21"/>
        <v/>
      </c>
      <c r="BT31" s="1"/>
    </row>
    <row r="32" spans="1:72" x14ac:dyDescent="0.25">
      <c r="A32" s="9"/>
      <c r="C32" s="9"/>
      <c r="D32" s="9"/>
      <c r="E32" s="9"/>
      <c r="P32" s="9" t="s">
        <v>95</v>
      </c>
      <c r="U32" t="s">
        <v>1783</v>
      </c>
      <c r="AV32" t="s">
        <v>736</v>
      </c>
      <c r="AZ32" s="1" t="str">
        <f t="shared" si="2"/>
        <v/>
      </c>
      <c r="BA32" s="1" t="str">
        <f t="shared" si="3"/>
        <v/>
      </c>
      <c r="BB32" s="1" t="str">
        <f t="shared" si="4"/>
        <v/>
      </c>
      <c r="BC32" s="1" t="str">
        <f t="shared" si="5"/>
        <v/>
      </c>
      <c r="BD32" s="1" t="str">
        <f t="shared" si="6"/>
        <v/>
      </c>
      <c r="BE32" s="1" t="str">
        <f t="shared" si="7"/>
        <v/>
      </c>
      <c r="BF32" s="1" t="str">
        <f t="shared" si="8"/>
        <v/>
      </c>
      <c r="BG32" s="1" t="str">
        <f t="shared" si="9"/>
        <v>CZ75</v>
      </c>
      <c r="BH32" s="1" t="str">
        <f t="shared" si="10"/>
        <v/>
      </c>
      <c r="BI32" s="1" t="str">
        <f t="shared" si="11"/>
        <v/>
      </c>
      <c r="BJ32" s="1" t="str">
        <f t="shared" si="12"/>
        <v/>
      </c>
      <c r="BK32" s="1" t="str">
        <f t="shared" si="13"/>
        <v/>
      </c>
      <c r="BL32" s="1" t="str">
        <f t="shared" si="14"/>
        <v/>
      </c>
      <c r="BM32" s="1" t="str">
        <f t="shared" si="15"/>
        <v/>
      </c>
      <c r="BN32" s="1" t="str">
        <f t="shared" si="16"/>
        <v/>
      </c>
      <c r="BO32" s="1" t="str">
        <f t="shared" si="17"/>
        <v/>
      </c>
      <c r="BP32" s="1" t="str">
        <f t="shared" si="18"/>
        <v/>
      </c>
      <c r="BQ32" s="1" t="str">
        <f t="shared" si="19"/>
        <v>CZ75</v>
      </c>
      <c r="BR32" s="1" t="str">
        <f t="shared" si="20"/>
        <v/>
      </c>
      <c r="BS32" s="1" t="str">
        <f t="shared" si="21"/>
        <v/>
      </c>
      <c r="BT32" s="1"/>
    </row>
    <row r="33" spans="1:72" x14ac:dyDescent="0.25">
      <c r="A33" s="9"/>
      <c r="C33" s="9"/>
      <c r="D33" s="9"/>
      <c r="E33" s="9"/>
      <c r="P33" s="9" t="s">
        <v>936</v>
      </c>
      <c r="U33" s="9" t="s">
        <v>1698</v>
      </c>
      <c r="AV33" t="s">
        <v>1632</v>
      </c>
      <c r="AZ33" s="1" t="str">
        <f t="shared" si="2"/>
        <v/>
      </c>
      <c r="BA33" s="1" t="str">
        <f t="shared" si="3"/>
        <v/>
      </c>
      <c r="BB33" s="1" t="str">
        <f t="shared" si="4"/>
        <v/>
      </c>
      <c r="BC33" s="1" t="str">
        <f t="shared" si="5"/>
        <v/>
      </c>
      <c r="BD33" s="1" t="str">
        <f t="shared" si="6"/>
        <v/>
      </c>
      <c r="BE33" s="1" t="str">
        <f t="shared" si="7"/>
        <v/>
      </c>
      <c r="BF33" s="1" t="str">
        <f t="shared" si="8"/>
        <v/>
      </c>
      <c r="BG33" s="1" t="str">
        <f t="shared" si="9"/>
        <v>Dana</v>
      </c>
      <c r="BH33" s="1" t="str">
        <f t="shared" si="10"/>
        <v/>
      </c>
      <c r="BI33" s="1" t="str">
        <f t="shared" si="11"/>
        <v/>
      </c>
      <c r="BJ33" s="1" t="str">
        <f t="shared" si="12"/>
        <v/>
      </c>
      <c r="BK33" s="1" t="str">
        <f t="shared" si="13"/>
        <v/>
      </c>
      <c r="BL33" s="1" t="str">
        <f t="shared" si="14"/>
        <v/>
      </c>
      <c r="BM33" s="1" t="str">
        <f t="shared" si="15"/>
        <v/>
      </c>
      <c r="BN33" s="1" t="str">
        <f t="shared" si="16"/>
        <v/>
      </c>
      <c r="BO33" s="1" t="str">
        <f t="shared" si="17"/>
        <v/>
      </c>
      <c r="BP33" s="1" t="str">
        <f t="shared" si="18"/>
        <v/>
      </c>
      <c r="BQ33" s="1" t="str">
        <f t="shared" si="19"/>
        <v>Dana</v>
      </c>
      <c r="BR33" s="1" t="str">
        <f t="shared" si="20"/>
        <v/>
      </c>
      <c r="BS33" s="1" t="str">
        <f t="shared" si="21"/>
        <v/>
      </c>
      <c r="BT33" s="1"/>
    </row>
    <row r="34" spans="1:72" x14ac:dyDescent="0.25">
      <c r="A34" s="9"/>
      <c r="C34" s="9"/>
      <c r="D34" s="9"/>
      <c r="E34" s="9"/>
      <c r="U34" s="9" t="s">
        <v>6473</v>
      </c>
      <c r="AV34" t="s">
        <v>722</v>
      </c>
      <c r="AZ34" s="1" t="str">
        <f t="shared" si="2"/>
        <v/>
      </c>
      <c r="BA34" s="1" t="str">
        <f t="shared" si="3"/>
        <v/>
      </c>
      <c r="BB34" s="1" t="str">
        <f t="shared" si="4"/>
        <v/>
      </c>
      <c r="BC34" s="1" t="str">
        <f t="shared" si="5"/>
        <v/>
      </c>
      <c r="BD34" s="1" t="str">
        <f t="shared" si="6"/>
        <v/>
      </c>
      <c r="BE34" s="1" t="str">
        <f t="shared" si="7"/>
        <v/>
      </c>
      <c r="BF34" s="1" t="str">
        <f t="shared" si="8"/>
        <v/>
      </c>
      <c r="BG34" s="1" t="str">
        <f t="shared" si="9"/>
        <v>Defender</v>
      </c>
      <c r="BH34" s="1" t="str">
        <f t="shared" si="10"/>
        <v/>
      </c>
      <c r="BI34" s="1" t="str">
        <f t="shared" si="11"/>
        <v/>
      </c>
      <c r="BJ34" s="1" t="str">
        <f t="shared" si="12"/>
        <v/>
      </c>
      <c r="BK34" s="1" t="str">
        <f t="shared" si="13"/>
        <v/>
      </c>
      <c r="BL34" s="1" t="str">
        <f t="shared" si="14"/>
        <v/>
      </c>
      <c r="BM34" s="1" t="str">
        <f t="shared" si="15"/>
        <v/>
      </c>
      <c r="BN34" s="1" t="str">
        <f t="shared" si="16"/>
        <v/>
      </c>
      <c r="BO34" s="1" t="str">
        <f t="shared" si="17"/>
        <v/>
      </c>
      <c r="BP34" s="1" t="str">
        <f t="shared" si="18"/>
        <v/>
      </c>
      <c r="BQ34" s="1" t="str">
        <f t="shared" si="19"/>
        <v>Defender</v>
      </c>
      <c r="BR34" s="1" t="str">
        <f t="shared" si="20"/>
        <v/>
      </c>
      <c r="BS34" s="1" t="str">
        <f t="shared" si="21"/>
        <v/>
      </c>
      <c r="BT34" s="1"/>
    </row>
    <row r="35" spans="1:72" x14ac:dyDescent="0.25">
      <c r="A35" s="9"/>
      <c r="C35" s="9"/>
      <c r="D35" s="9"/>
      <c r="E35" s="9"/>
      <c r="U35" s="9" t="s">
        <v>898</v>
      </c>
      <c r="AV35" t="s">
        <v>109</v>
      </c>
      <c r="AZ35" s="1" t="str">
        <f t="shared" si="2"/>
        <v/>
      </c>
      <c r="BA35" s="1" t="str">
        <f t="shared" si="3"/>
        <v/>
      </c>
      <c r="BB35" s="1" t="str">
        <f t="shared" si="4"/>
        <v/>
      </c>
      <c r="BC35" s="1" t="str">
        <f t="shared" si="5"/>
        <v/>
      </c>
      <c r="BD35" s="1" t="str">
        <f t="shared" si="6"/>
        <v/>
      </c>
      <c r="BE35" s="1" t="str">
        <f t="shared" si="7"/>
        <v/>
      </c>
      <c r="BF35" s="1" t="str">
        <f t="shared" si="8"/>
        <v/>
      </c>
      <c r="BG35" s="1" t="str">
        <f t="shared" si="9"/>
        <v>Dorothy</v>
      </c>
      <c r="BH35" s="1" t="str">
        <f t="shared" si="10"/>
        <v/>
      </c>
      <c r="BI35" s="1" t="str">
        <f t="shared" si="11"/>
        <v/>
      </c>
      <c r="BJ35" s="1" t="str">
        <f t="shared" si="12"/>
        <v/>
      </c>
      <c r="BK35" s="1" t="str">
        <f t="shared" si="13"/>
        <v/>
      </c>
      <c r="BL35" s="1" t="str">
        <f t="shared" si="14"/>
        <v/>
      </c>
      <c r="BM35" s="1" t="str">
        <f t="shared" si="15"/>
        <v/>
      </c>
      <c r="BN35" s="1" t="str">
        <f t="shared" si="16"/>
        <v/>
      </c>
      <c r="BO35" s="1" t="str">
        <f t="shared" si="17"/>
        <v/>
      </c>
      <c r="BP35" s="1" t="str">
        <f t="shared" si="18"/>
        <v/>
      </c>
      <c r="BQ35" s="1" t="str">
        <f t="shared" si="19"/>
        <v>Dorothy</v>
      </c>
      <c r="BR35" s="1" t="str">
        <f t="shared" si="20"/>
        <v/>
      </c>
      <c r="BS35" s="1" t="str">
        <f t="shared" si="21"/>
        <v/>
      </c>
      <c r="BT35" s="1"/>
    </row>
    <row r="36" spans="1:72" x14ac:dyDescent="0.25">
      <c r="A36" s="9"/>
      <c r="C36" s="9"/>
      <c r="D36" s="9"/>
      <c r="E36" s="9"/>
      <c r="U36" s="9" t="s">
        <v>246</v>
      </c>
      <c r="AV36" t="s">
        <v>829</v>
      </c>
      <c r="AZ36" s="1" t="str">
        <f t="shared" si="2"/>
        <v/>
      </c>
      <c r="BA36" s="1" t="str">
        <f t="shared" si="3"/>
        <v/>
      </c>
      <c r="BB36" s="1" t="str">
        <f t="shared" si="4"/>
        <v/>
      </c>
      <c r="BC36" s="1" t="str">
        <f t="shared" si="5"/>
        <v/>
      </c>
      <c r="BD36" s="1" t="str">
        <f t="shared" si="6"/>
        <v/>
      </c>
      <c r="BE36" s="1" t="str">
        <f t="shared" si="7"/>
        <v/>
      </c>
      <c r="BF36" s="1" t="str">
        <f t="shared" si="8"/>
        <v/>
      </c>
      <c r="BG36" s="1" t="str">
        <f t="shared" si="9"/>
        <v>DP28</v>
      </c>
      <c r="BH36" s="1" t="str">
        <f t="shared" si="10"/>
        <v/>
      </c>
      <c r="BI36" s="1" t="str">
        <f t="shared" si="11"/>
        <v/>
      </c>
      <c r="BJ36" s="1" t="str">
        <f t="shared" si="12"/>
        <v/>
      </c>
      <c r="BK36" s="1" t="str">
        <f t="shared" si="13"/>
        <v/>
      </c>
      <c r="BL36" s="1" t="str">
        <f t="shared" si="14"/>
        <v/>
      </c>
      <c r="BM36" s="1" t="str">
        <f t="shared" si="15"/>
        <v/>
      </c>
      <c r="BN36" s="1" t="str">
        <f t="shared" si="16"/>
        <v/>
      </c>
      <c r="BO36" s="1" t="str">
        <f t="shared" si="17"/>
        <v/>
      </c>
      <c r="BP36" s="1" t="str">
        <f t="shared" si="18"/>
        <v/>
      </c>
      <c r="BQ36" s="1" t="str">
        <f t="shared" si="19"/>
        <v>DP28</v>
      </c>
      <c r="BR36" s="1" t="str">
        <f t="shared" si="20"/>
        <v/>
      </c>
      <c r="BS36" s="1" t="str">
        <f t="shared" si="21"/>
        <v/>
      </c>
      <c r="BT36" s="1"/>
    </row>
    <row r="37" spans="1:72" x14ac:dyDescent="0.25">
      <c r="A37" s="9"/>
      <c r="C37" s="9"/>
      <c r="D37" s="9"/>
      <c r="E37" s="9"/>
      <c r="U37" s="9" t="s">
        <v>1711</v>
      </c>
      <c r="AV37" t="s">
        <v>1211</v>
      </c>
      <c r="AZ37" s="1" t="str">
        <f t="shared" si="2"/>
        <v/>
      </c>
      <c r="BA37" s="1" t="str">
        <f t="shared" si="3"/>
        <v/>
      </c>
      <c r="BB37" s="1" t="str">
        <f t="shared" si="4"/>
        <v/>
      </c>
      <c r="BC37" s="1" t="str">
        <f t="shared" si="5"/>
        <v/>
      </c>
      <c r="BD37" s="1" t="str">
        <f t="shared" si="6"/>
        <v/>
      </c>
      <c r="BE37" s="1" t="str">
        <f t="shared" si="7"/>
        <v/>
      </c>
      <c r="BF37" s="1" t="str">
        <f t="shared" si="8"/>
        <v/>
      </c>
      <c r="BG37" s="1" t="str">
        <f t="shared" si="9"/>
        <v>F1Mod</v>
      </c>
      <c r="BH37" s="1" t="str">
        <f t="shared" si="10"/>
        <v/>
      </c>
      <c r="BI37" s="1" t="str">
        <f t="shared" si="11"/>
        <v/>
      </c>
      <c r="BJ37" s="1" t="str">
        <f t="shared" si="12"/>
        <v/>
      </c>
      <c r="BK37" s="1" t="str">
        <f t="shared" si="13"/>
        <v/>
      </c>
      <c r="BL37" s="1" t="str">
        <f t="shared" si="14"/>
        <v/>
      </c>
      <c r="BM37" s="1" t="str">
        <f t="shared" si="15"/>
        <v/>
      </c>
      <c r="BN37" s="1" t="str">
        <f t="shared" si="16"/>
        <v/>
      </c>
      <c r="BO37" s="1" t="str">
        <f t="shared" si="17"/>
        <v/>
      </c>
      <c r="BP37" s="1" t="str">
        <f t="shared" si="18"/>
        <v/>
      </c>
      <c r="BQ37" s="1" t="str">
        <f t="shared" si="19"/>
        <v>F1Mod</v>
      </c>
      <c r="BR37" s="1" t="str">
        <f t="shared" si="20"/>
        <v/>
      </c>
      <c r="BS37" s="1" t="str">
        <f t="shared" si="21"/>
        <v/>
      </c>
      <c r="BT37" s="1"/>
    </row>
    <row r="38" spans="1:72" x14ac:dyDescent="0.25">
      <c r="A38" s="9"/>
      <c r="C38" s="9"/>
      <c r="D38" s="9"/>
      <c r="E38" s="9"/>
      <c r="U38" s="9" t="s">
        <v>160</v>
      </c>
      <c r="AV38" t="s">
        <v>719</v>
      </c>
      <c r="AZ38" s="1" t="str">
        <f t="shared" si="2"/>
        <v/>
      </c>
      <c r="BA38" s="1" t="str">
        <f t="shared" si="3"/>
        <v/>
      </c>
      <c r="BB38" s="1" t="str">
        <f t="shared" si="4"/>
        <v/>
      </c>
      <c r="BC38" s="1" t="str">
        <f t="shared" si="5"/>
        <v/>
      </c>
      <c r="BD38" s="1" t="str">
        <f t="shared" si="6"/>
        <v/>
      </c>
      <c r="BE38" s="1" t="str">
        <f t="shared" si="7"/>
        <v/>
      </c>
      <c r="BF38" s="1" t="str">
        <f t="shared" si="8"/>
        <v/>
      </c>
      <c r="BG38" s="1" t="str">
        <f t="shared" si="9"/>
        <v>F2000</v>
      </c>
      <c r="BH38" s="1" t="str">
        <f t="shared" si="10"/>
        <v/>
      </c>
      <c r="BI38" s="1" t="str">
        <f t="shared" si="11"/>
        <v/>
      </c>
      <c r="BJ38" s="1" t="str">
        <f t="shared" si="12"/>
        <v/>
      </c>
      <c r="BK38" s="1" t="str">
        <f t="shared" si="13"/>
        <v/>
      </c>
      <c r="BL38" s="1" t="str">
        <f t="shared" si="14"/>
        <v/>
      </c>
      <c r="BM38" s="1" t="str">
        <f t="shared" si="15"/>
        <v/>
      </c>
      <c r="BN38" s="1" t="str">
        <f t="shared" si="16"/>
        <v/>
      </c>
      <c r="BO38" s="1" t="str">
        <f t="shared" si="17"/>
        <v/>
      </c>
      <c r="BP38" s="1" t="str">
        <f t="shared" si="18"/>
        <v/>
      </c>
      <c r="BQ38" s="1" t="str">
        <f t="shared" si="19"/>
        <v>F2000</v>
      </c>
      <c r="BR38" s="1" t="str">
        <f t="shared" si="20"/>
        <v/>
      </c>
      <c r="BS38" s="1" t="str">
        <f t="shared" si="21"/>
        <v/>
      </c>
      <c r="BT38" s="1"/>
    </row>
    <row r="39" spans="1:72" x14ac:dyDescent="0.25">
      <c r="A39" s="9"/>
      <c r="C39" s="9"/>
      <c r="D39" s="9"/>
      <c r="E39" s="9"/>
      <c r="U39" t="s">
        <v>1707</v>
      </c>
      <c r="AV39" t="s">
        <v>711</v>
      </c>
      <c r="AZ39" s="1" t="str">
        <f t="shared" si="2"/>
        <v/>
      </c>
      <c r="BA39" s="1" t="str">
        <f t="shared" si="3"/>
        <v/>
      </c>
      <c r="BB39" s="1" t="str">
        <f t="shared" si="4"/>
        <v/>
      </c>
      <c r="BC39" s="1" t="str">
        <f t="shared" si="5"/>
        <v/>
      </c>
      <c r="BD39" s="1" t="str">
        <f t="shared" si="6"/>
        <v/>
      </c>
      <c r="BE39" s="1" t="str">
        <f t="shared" si="7"/>
        <v/>
      </c>
      <c r="BF39" s="1" t="str">
        <f t="shared" si="8"/>
        <v/>
      </c>
      <c r="BG39" s="1" t="str">
        <f t="shared" si="9"/>
        <v>Fail</v>
      </c>
      <c r="BH39" s="1" t="str">
        <f t="shared" si="10"/>
        <v/>
      </c>
      <c r="BI39" s="1" t="str">
        <f t="shared" si="11"/>
        <v/>
      </c>
      <c r="BJ39" s="1" t="str">
        <f t="shared" si="12"/>
        <v/>
      </c>
      <c r="BK39" s="1" t="str">
        <f t="shared" si="13"/>
        <v/>
      </c>
      <c r="BL39" s="1" t="str">
        <f t="shared" si="14"/>
        <v/>
      </c>
      <c r="BM39" s="1" t="str">
        <f t="shared" si="15"/>
        <v/>
      </c>
      <c r="BN39" s="1" t="str">
        <f t="shared" si="16"/>
        <v/>
      </c>
      <c r="BO39" s="1" t="str">
        <f t="shared" si="17"/>
        <v/>
      </c>
      <c r="BP39" s="1" t="str">
        <f t="shared" si="18"/>
        <v/>
      </c>
      <c r="BQ39" s="1" t="str">
        <f t="shared" si="19"/>
        <v>Fail</v>
      </c>
      <c r="BR39" s="1" t="str">
        <f t="shared" si="20"/>
        <v/>
      </c>
      <c r="BS39" s="1" t="str">
        <f t="shared" si="21"/>
        <v/>
      </c>
      <c r="BT39" s="1"/>
    </row>
    <row r="40" spans="1:72" x14ac:dyDescent="0.25">
      <c r="A40" s="9"/>
      <c r="C40" s="9"/>
      <c r="D40" s="9"/>
      <c r="E40" s="9"/>
      <c r="U40" s="9" t="s">
        <v>794</v>
      </c>
      <c r="AV40" t="s">
        <v>125</v>
      </c>
      <c r="AZ40" s="1" t="str">
        <f t="shared" si="2"/>
        <v/>
      </c>
      <c r="BA40" s="1" t="str">
        <f t="shared" si="3"/>
        <v/>
      </c>
      <c r="BB40" s="1" t="str">
        <f t="shared" si="4"/>
        <v/>
      </c>
      <c r="BC40" s="1" t="str">
        <f t="shared" si="5"/>
        <v/>
      </c>
      <c r="BD40" s="1" t="str">
        <f t="shared" si="6"/>
        <v/>
      </c>
      <c r="BE40" s="1" t="str">
        <f t="shared" si="7"/>
        <v/>
      </c>
      <c r="BF40" s="1" t="str">
        <f t="shared" si="8"/>
        <v/>
      </c>
      <c r="BG40" s="1" t="str">
        <f t="shared" si="9"/>
        <v>FAMAS</v>
      </c>
      <c r="BH40" s="1" t="str">
        <f t="shared" si="10"/>
        <v/>
      </c>
      <c r="BI40" s="1" t="str">
        <f t="shared" si="11"/>
        <v/>
      </c>
      <c r="BJ40" s="1" t="str">
        <f t="shared" si="12"/>
        <v/>
      </c>
      <c r="BK40" s="1" t="str">
        <f t="shared" si="13"/>
        <v/>
      </c>
      <c r="BL40" s="1" t="str">
        <f t="shared" si="14"/>
        <v/>
      </c>
      <c r="BM40" s="1" t="str">
        <f t="shared" si="15"/>
        <v/>
      </c>
      <c r="BN40" s="1" t="str">
        <f t="shared" si="16"/>
        <v/>
      </c>
      <c r="BO40" s="1" t="str">
        <f t="shared" si="17"/>
        <v/>
      </c>
      <c r="BP40" s="1" t="str">
        <f t="shared" si="18"/>
        <v/>
      </c>
      <c r="BQ40" s="1" t="str">
        <f t="shared" si="19"/>
        <v>FAMAS</v>
      </c>
      <c r="BR40" s="1" t="str">
        <f t="shared" si="20"/>
        <v/>
      </c>
      <c r="BS40" s="1" t="str">
        <f t="shared" si="21"/>
        <v/>
      </c>
      <c r="BT40" s="1"/>
    </row>
    <row r="41" spans="1:72" x14ac:dyDescent="0.25">
      <c r="A41" s="9"/>
      <c r="C41" s="9"/>
      <c r="D41" s="9"/>
      <c r="E41" s="9"/>
      <c r="U41" s="9" t="s">
        <v>133</v>
      </c>
      <c r="AV41" t="s">
        <v>1445</v>
      </c>
      <c r="AZ41" s="1" t="str">
        <f t="shared" si="2"/>
        <v/>
      </c>
      <c r="BA41" s="1" t="str">
        <f t="shared" si="3"/>
        <v/>
      </c>
      <c r="BB41" s="1" t="str">
        <f t="shared" si="4"/>
        <v/>
      </c>
      <c r="BC41" s="1" t="str">
        <f t="shared" si="5"/>
        <v/>
      </c>
      <c r="BD41" s="1" t="str">
        <f t="shared" si="6"/>
        <v/>
      </c>
      <c r="BE41" s="1" t="str">
        <f t="shared" si="7"/>
        <v/>
      </c>
      <c r="BF41" s="1" t="str">
        <f t="shared" si="8"/>
        <v/>
      </c>
      <c r="BG41" s="1" t="str">
        <f t="shared" si="9"/>
        <v>FG42</v>
      </c>
      <c r="BH41" s="1" t="str">
        <f t="shared" si="10"/>
        <v/>
      </c>
      <c r="BI41" s="1" t="str">
        <f t="shared" si="11"/>
        <v/>
      </c>
      <c r="BJ41" s="1" t="str">
        <f t="shared" si="12"/>
        <v/>
      </c>
      <c r="BK41" s="1" t="str">
        <f t="shared" si="13"/>
        <v/>
      </c>
      <c r="BL41" s="1" t="str">
        <f t="shared" si="14"/>
        <v/>
      </c>
      <c r="BM41" s="1" t="str">
        <f t="shared" si="15"/>
        <v/>
      </c>
      <c r="BN41" s="1" t="str">
        <f t="shared" si="16"/>
        <v/>
      </c>
      <c r="BO41" s="1" t="str">
        <f t="shared" si="17"/>
        <v/>
      </c>
      <c r="BP41" s="1" t="str">
        <f t="shared" si="18"/>
        <v/>
      </c>
      <c r="BQ41" s="1" t="str">
        <f t="shared" si="19"/>
        <v>FG42</v>
      </c>
      <c r="BR41" s="1" t="str">
        <f t="shared" si="20"/>
        <v/>
      </c>
      <c r="BS41" s="1" t="str">
        <f t="shared" si="21"/>
        <v/>
      </c>
      <c r="BT41" s="1"/>
    </row>
    <row r="42" spans="1:72" x14ac:dyDescent="0.25">
      <c r="A42" s="9"/>
      <c r="C42" s="9"/>
      <c r="D42" s="9"/>
      <c r="U42" s="9" t="s">
        <v>134</v>
      </c>
      <c r="AV42" t="s">
        <v>1475</v>
      </c>
      <c r="AZ42" s="1" t="str">
        <f t="shared" si="2"/>
        <v/>
      </c>
      <c r="BA42" s="1" t="str">
        <f t="shared" si="3"/>
        <v/>
      </c>
      <c r="BB42" s="1" t="str">
        <f t="shared" si="4"/>
        <v/>
      </c>
      <c r="BC42" s="1" t="str">
        <f t="shared" si="5"/>
        <v/>
      </c>
      <c r="BD42" s="1" t="str">
        <f t="shared" si="6"/>
        <v/>
      </c>
      <c r="BE42" s="1" t="str">
        <f t="shared" si="7"/>
        <v/>
      </c>
      <c r="BF42" s="1" t="str">
        <f t="shared" si="8"/>
        <v/>
      </c>
      <c r="BG42" s="1" t="str">
        <f t="shared" si="9"/>
        <v>FN49Mod</v>
      </c>
      <c r="BH42" s="1" t="str">
        <f t="shared" si="10"/>
        <v/>
      </c>
      <c r="BI42" s="1" t="str">
        <f t="shared" si="11"/>
        <v/>
      </c>
      <c r="BJ42" s="1" t="str">
        <f t="shared" si="12"/>
        <v/>
      </c>
      <c r="BK42" s="1" t="str">
        <f t="shared" si="13"/>
        <v/>
      </c>
      <c r="BL42" s="1" t="str">
        <f t="shared" si="14"/>
        <v/>
      </c>
      <c r="BM42" s="1" t="str">
        <f t="shared" si="15"/>
        <v/>
      </c>
      <c r="BN42" s="1" t="str">
        <f t="shared" si="16"/>
        <v/>
      </c>
      <c r="BO42" s="1" t="str">
        <f t="shared" si="17"/>
        <v/>
      </c>
      <c r="BP42" s="1" t="str">
        <f t="shared" si="18"/>
        <v/>
      </c>
      <c r="BQ42" s="1" t="str">
        <f t="shared" si="19"/>
        <v>FN49Mod</v>
      </c>
      <c r="BR42" s="1" t="str">
        <f t="shared" si="20"/>
        <v/>
      </c>
      <c r="BS42" s="1" t="str">
        <f t="shared" si="21"/>
        <v/>
      </c>
      <c r="BT42" s="1"/>
    </row>
    <row r="43" spans="1:72" x14ac:dyDescent="0.25">
      <c r="A43" s="9"/>
      <c r="C43" s="9"/>
      <c r="D43" s="9"/>
      <c r="U43" s="9" t="s">
        <v>809</v>
      </c>
      <c r="AV43" t="s">
        <v>75</v>
      </c>
      <c r="AZ43" s="1" t="str">
        <f t="shared" si="2"/>
        <v/>
      </c>
      <c r="BA43" s="1" t="str">
        <f t="shared" si="3"/>
        <v/>
      </c>
      <c r="BB43" s="1" t="str">
        <f t="shared" si="4"/>
        <v/>
      </c>
      <c r="BC43" s="1" t="str">
        <f t="shared" si="5"/>
        <v/>
      </c>
      <c r="BD43" s="1" t="str">
        <f t="shared" si="6"/>
        <v/>
      </c>
      <c r="BE43" s="1" t="str">
        <f t="shared" si="7"/>
        <v/>
      </c>
      <c r="BF43" s="1" t="str">
        <f t="shared" si="8"/>
        <v/>
      </c>
      <c r="BG43" s="1" t="str">
        <f t="shared" si="9"/>
        <v>G11Mod</v>
      </c>
      <c r="BH43" s="1" t="str">
        <f t="shared" si="10"/>
        <v/>
      </c>
      <c r="BI43" s="1" t="str">
        <f t="shared" si="11"/>
        <v/>
      </c>
      <c r="BJ43" s="1" t="str">
        <f t="shared" si="12"/>
        <v/>
      </c>
      <c r="BK43" s="1" t="str">
        <f t="shared" si="13"/>
        <v/>
      </c>
      <c r="BL43" s="1" t="str">
        <f t="shared" si="14"/>
        <v/>
      </c>
      <c r="BM43" s="1" t="str">
        <f t="shared" si="15"/>
        <v/>
      </c>
      <c r="BN43" s="1" t="str">
        <f t="shared" si="16"/>
        <v/>
      </c>
      <c r="BO43" s="1" t="str">
        <f t="shared" si="17"/>
        <v/>
      </c>
      <c r="BP43" s="1" t="str">
        <f t="shared" si="18"/>
        <v/>
      </c>
      <c r="BQ43" s="1" t="str">
        <f t="shared" si="19"/>
        <v>G11Mod</v>
      </c>
      <c r="BR43" s="1" t="str">
        <f t="shared" si="20"/>
        <v/>
      </c>
      <c r="BS43" s="1" t="str">
        <f t="shared" si="21"/>
        <v/>
      </c>
      <c r="BT43" s="1"/>
    </row>
    <row r="44" spans="1:72" x14ac:dyDescent="0.25">
      <c r="A44" s="9"/>
      <c r="C44" s="9"/>
      <c r="D44" s="9"/>
      <c r="U44" t="s">
        <v>5798</v>
      </c>
      <c r="AV44" t="s">
        <v>1777</v>
      </c>
      <c r="AZ44" s="1" t="str">
        <f t="shared" si="2"/>
        <v/>
      </c>
      <c r="BA44" s="1" t="str">
        <f t="shared" si="3"/>
        <v/>
      </c>
      <c r="BB44" s="1" t="str">
        <f t="shared" si="4"/>
        <v/>
      </c>
      <c r="BC44" s="1" t="str">
        <f t="shared" si="5"/>
        <v/>
      </c>
      <c r="BD44" s="1" t="str">
        <f t="shared" si="6"/>
        <v/>
      </c>
      <c r="BE44" s="1" t="str">
        <f t="shared" si="7"/>
        <v/>
      </c>
      <c r="BF44" s="1" t="str">
        <f t="shared" si="8"/>
        <v/>
      </c>
      <c r="BG44" s="1" t="str">
        <f t="shared" si="9"/>
        <v>G17</v>
      </c>
      <c r="BH44" s="1" t="str">
        <f t="shared" si="10"/>
        <v/>
      </c>
      <c r="BI44" s="1" t="str">
        <f t="shared" si="11"/>
        <v/>
      </c>
      <c r="BJ44" s="1" t="str">
        <f t="shared" si="12"/>
        <v/>
      </c>
      <c r="BK44" s="1" t="str">
        <f t="shared" si="13"/>
        <v/>
      </c>
      <c r="BL44" s="1" t="str">
        <f t="shared" si="14"/>
        <v/>
      </c>
      <c r="BM44" s="1" t="str">
        <f t="shared" si="15"/>
        <v/>
      </c>
      <c r="BN44" s="1" t="str">
        <f t="shared" si="16"/>
        <v/>
      </c>
      <c r="BO44" s="1" t="str">
        <f t="shared" si="17"/>
        <v/>
      </c>
      <c r="BP44" s="1" t="str">
        <f t="shared" si="18"/>
        <v/>
      </c>
      <c r="BQ44" s="1" t="str">
        <f t="shared" si="19"/>
        <v>G17</v>
      </c>
      <c r="BR44" s="1" t="str">
        <f t="shared" si="20"/>
        <v/>
      </c>
      <c r="BS44" s="1" t="str">
        <f t="shared" si="21"/>
        <v/>
      </c>
      <c r="BT44" s="1"/>
    </row>
    <row r="45" spans="1:72" x14ac:dyDescent="0.25">
      <c r="A45" s="9"/>
      <c r="C45" s="9"/>
      <c r="D45" s="9"/>
      <c r="U45" s="9" t="s">
        <v>169</v>
      </c>
      <c r="AV45" t="s">
        <v>1457</v>
      </c>
      <c r="AZ45" s="1" t="str">
        <f t="shared" si="2"/>
        <v/>
      </c>
      <c r="BA45" s="1" t="str">
        <f t="shared" si="3"/>
        <v/>
      </c>
      <c r="BB45" s="1" t="str">
        <f t="shared" si="4"/>
        <v/>
      </c>
      <c r="BC45" s="1" t="str">
        <f t="shared" si="5"/>
        <v/>
      </c>
      <c r="BD45" s="1" t="str">
        <f t="shared" si="6"/>
        <v/>
      </c>
      <c r="BE45" s="1" t="str">
        <f t="shared" si="7"/>
        <v/>
      </c>
      <c r="BF45" s="1" t="str">
        <f t="shared" si="8"/>
        <v/>
      </c>
      <c r="BG45" s="1" t="str">
        <f t="shared" si="9"/>
        <v>G36CMod</v>
      </c>
      <c r="BH45" s="1" t="str">
        <f t="shared" si="10"/>
        <v/>
      </c>
      <c r="BI45" s="1" t="str">
        <f t="shared" si="11"/>
        <v/>
      </c>
      <c r="BJ45" s="1" t="str">
        <f t="shared" si="12"/>
        <v/>
      </c>
      <c r="BK45" s="1" t="str">
        <f t="shared" si="13"/>
        <v/>
      </c>
      <c r="BL45" s="1" t="str">
        <f t="shared" si="14"/>
        <v/>
      </c>
      <c r="BM45" s="1" t="str">
        <f t="shared" si="15"/>
        <v/>
      </c>
      <c r="BN45" s="1" t="str">
        <f t="shared" si="16"/>
        <v/>
      </c>
      <c r="BO45" s="1" t="str">
        <f t="shared" si="17"/>
        <v/>
      </c>
      <c r="BP45" s="1" t="str">
        <f t="shared" si="18"/>
        <v/>
      </c>
      <c r="BQ45" s="1" t="str">
        <f t="shared" si="19"/>
        <v>G36CMod</v>
      </c>
      <c r="BR45" s="1" t="str">
        <f t="shared" si="20"/>
        <v/>
      </c>
      <c r="BS45" s="1" t="str">
        <f t="shared" si="21"/>
        <v/>
      </c>
      <c r="BT45" s="1"/>
    </row>
    <row r="46" spans="1:72" x14ac:dyDescent="0.25">
      <c r="A46" s="9"/>
      <c r="C46" s="9"/>
      <c r="D46" s="9"/>
      <c r="AV46" t="s">
        <v>1455</v>
      </c>
      <c r="AZ46" s="1" t="str">
        <f t="shared" si="2"/>
        <v/>
      </c>
      <c r="BA46" s="1" t="str">
        <f t="shared" si="3"/>
        <v/>
      </c>
      <c r="BB46" s="1" t="str">
        <f t="shared" si="4"/>
        <v/>
      </c>
      <c r="BC46" s="1" t="str">
        <f t="shared" si="5"/>
        <v/>
      </c>
      <c r="BD46" s="1" t="str">
        <f t="shared" si="6"/>
        <v/>
      </c>
      <c r="BE46" s="1" t="str">
        <f t="shared" si="7"/>
        <v/>
      </c>
      <c r="BF46" s="1" t="str">
        <f t="shared" si="8"/>
        <v/>
      </c>
      <c r="BG46" s="1" t="str">
        <f t="shared" si="9"/>
        <v>G36Mod</v>
      </c>
      <c r="BH46" s="1" t="str">
        <f t="shared" si="10"/>
        <v/>
      </c>
      <c r="BI46" s="1" t="str">
        <f t="shared" si="11"/>
        <v/>
      </c>
      <c r="BJ46" s="1" t="str">
        <f t="shared" si="12"/>
        <v/>
      </c>
      <c r="BK46" s="1" t="str">
        <f t="shared" si="13"/>
        <v/>
      </c>
      <c r="BL46" s="1" t="str">
        <f t="shared" si="14"/>
        <v/>
      </c>
      <c r="BM46" s="1" t="str">
        <f t="shared" si="15"/>
        <v/>
      </c>
      <c r="BN46" s="1" t="str">
        <f t="shared" si="16"/>
        <v/>
      </c>
      <c r="BO46" s="1" t="str">
        <f t="shared" si="17"/>
        <v/>
      </c>
      <c r="BP46" s="1" t="str">
        <f t="shared" si="18"/>
        <v/>
      </c>
      <c r="BQ46" s="1" t="str">
        <f t="shared" si="19"/>
        <v>G36Mod</v>
      </c>
      <c r="BR46" s="1" t="str">
        <f t="shared" si="20"/>
        <v/>
      </c>
      <c r="BS46" s="1" t="str">
        <f t="shared" si="21"/>
        <v/>
      </c>
      <c r="BT46" s="1"/>
    </row>
    <row r="47" spans="1:72" x14ac:dyDescent="0.25">
      <c r="A47" s="9"/>
      <c r="C47" s="9"/>
      <c r="D47" s="9"/>
      <c r="AV47" t="s">
        <v>735</v>
      </c>
      <c r="AZ47" s="1" t="str">
        <f t="shared" si="2"/>
        <v/>
      </c>
      <c r="BA47" s="1" t="str">
        <f t="shared" si="3"/>
        <v/>
      </c>
      <c r="BB47" s="1" t="str">
        <f t="shared" si="4"/>
        <v/>
      </c>
      <c r="BC47" s="1" t="str">
        <f t="shared" si="5"/>
        <v/>
      </c>
      <c r="BD47" s="1" t="str">
        <f t="shared" si="6"/>
        <v/>
      </c>
      <c r="BE47" s="1" t="str">
        <f t="shared" si="7"/>
        <v/>
      </c>
      <c r="BF47" s="1" t="str">
        <f t="shared" si="8"/>
        <v/>
      </c>
      <c r="BG47" s="1" t="str">
        <f t="shared" si="9"/>
        <v>G3Mod</v>
      </c>
      <c r="BH47" s="1" t="str">
        <f t="shared" si="10"/>
        <v/>
      </c>
      <c r="BI47" s="1" t="str">
        <f t="shared" si="11"/>
        <v/>
      </c>
      <c r="BJ47" s="1" t="str">
        <f t="shared" si="12"/>
        <v/>
      </c>
      <c r="BK47" s="1" t="str">
        <f t="shared" si="13"/>
        <v/>
      </c>
      <c r="BL47" s="1" t="str">
        <f t="shared" si="14"/>
        <v/>
      </c>
      <c r="BM47" s="1" t="str">
        <f t="shared" si="15"/>
        <v/>
      </c>
      <c r="BN47" s="1" t="str">
        <f t="shared" si="16"/>
        <v/>
      </c>
      <c r="BO47" s="1" t="str">
        <f t="shared" si="17"/>
        <v/>
      </c>
      <c r="BP47" s="1" t="str">
        <f t="shared" si="18"/>
        <v/>
      </c>
      <c r="BQ47" s="1" t="str">
        <f t="shared" si="19"/>
        <v>G3Mod</v>
      </c>
      <c r="BR47" s="1" t="str">
        <f t="shared" si="20"/>
        <v/>
      </c>
      <c r="BS47" s="1" t="str">
        <f t="shared" si="21"/>
        <v/>
      </c>
      <c r="BT47" s="1"/>
    </row>
    <row r="48" spans="1:72" x14ac:dyDescent="0.25">
      <c r="A48" s="9"/>
      <c r="C48" s="9"/>
      <c r="D48" s="9"/>
      <c r="AV48" t="s">
        <v>834</v>
      </c>
      <c r="AZ48" s="1" t="str">
        <f t="shared" si="2"/>
        <v/>
      </c>
      <c r="BA48" s="1" t="str">
        <f t="shared" si="3"/>
        <v/>
      </c>
      <c r="BB48" s="1" t="str">
        <f t="shared" si="4"/>
        <v/>
      </c>
      <c r="BC48" s="1" t="str">
        <f t="shared" si="5"/>
        <v/>
      </c>
      <c r="BD48" s="1" t="str">
        <f t="shared" si="6"/>
        <v/>
      </c>
      <c r="BE48" s="1" t="str">
        <f t="shared" si="7"/>
        <v/>
      </c>
      <c r="BF48" s="1" t="str">
        <f t="shared" si="8"/>
        <v/>
      </c>
      <c r="BG48" s="1" t="str">
        <f t="shared" si="9"/>
        <v>G41</v>
      </c>
      <c r="BH48" s="1" t="str">
        <f t="shared" si="10"/>
        <v/>
      </c>
      <c r="BI48" s="1" t="str">
        <f t="shared" si="11"/>
        <v/>
      </c>
      <c r="BJ48" s="1" t="str">
        <f t="shared" si="12"/>
        <v/>
      </c>
      <c r="BK48" s="1" t="str">
        <f t="shared" si="13"/>
        <v/>
      </c>
      <c r="BL48" s="1" t="str">
        <f t="shared" si="14"/>
        <v/>
      </c>
      <c r="BM48" s="1" t="str">
        <f t="shared" si="15"/>
        <v/>
      </c>
      <c r="BN48" s="1" t="str">
        <f t="shared" si="16"/>
        <v/>
      </c>
      <c r="BO48" s="1" t="str">
        <f t="shared" si="17"/>
        <v/>
      </c>
      <c r="BP48" s="1" t="str">
        <f t="shared" si="18"/>
        <v/>
      </c>
      <c r="BQ48" s="1" t="str">
        <f t="shared" si="19"/>
        <v>G41</v>
      </c>
      <c r="BR48" s="1" t="str">
        <f t="shared" si="20"/>
        <v/>
      </c>
      <c r="BS48" s="1" t="str">
        <f t="shared" si="21"/>
        <v/>
      </c>
      <c r="BT48" s="1"/>
    </row>
    <row r="49" spans="1:72" x14ac:dyDescent="0.25">
      <c r="A49" s="9"/>
      <c r="C49" s="9"/>
      <c r="D49" s="9"/>
      <c r="AV49" t="s">
        <v>1784</v>
      </c>
      <c r="AZ49" s="1" t="str">
        <f t="shared" si="2"/>
        <v/>
      </c>
      <c r="BA49" s="1" t="str">
        <f t="shared" si="3"/>
        <v/>
      </c>
      <c r="BB49" s="1" t="str">
        <f t="shared" si="4"/>
        <v/>
      </c>
      <c r="BC49" s="1" t="str">
        <f t="shared" si="5"/>
        <v/>
      </c>
      <c r="BD49" s="1" t="str">
        <f t="shared" si="6"/>
        <v/>
      </c>
      <c r="BE49" s="1" t="str">
        <f t="shared" si="7"/>
        <v/>
      </c>
      <c r="BF49" s="1" t="str">
        <f t="shared" si="8"/>
        <v/>
      </c>
      <c r="BG49" s="1" t="str">
        <f t="shared" si="9"/>
        <v>Galil Mod</v>
      </c>
      <c r="BH49" s="1" t="str">
        <f t="shared" si="10"/>
        <v/>
      </c>
      <c r="BI49" s="1" t="str">
        <f t="shared" si="11"/>
        <v/>
      </c>
      <c r="BJ49" s="1" t="str">
        <f t="shared" si="12"/>
        <v/>
      </c>
      <c r="BK49" s="1" t="str">
        <f t="shared" si="13"/>
        <v/>
      </c>
      <c r="BL49" s="1" t="str">
        <f t="shared" si="14"/>
        <v/>
      </c>
      <c r="BM49" s="1" t="str">
        <f t="shared" si="15"/>
        <v/>
      </c>
      <c r="BN49" s="1" t="str">
        <f t="shared" si="16"/>
        <v/>
      </c>
      <c r="BO49" s="1" t="str">
        <f t="shared" si="17"/>
        <v/>
      </c>
      <c r="BP49" s="1" t="str">
        <f t="shared" si="18"/>
        <v/>
      </c>
      <c r="BQ49" s="1" t="str">
        <f t="shared" si="19"/>
        <v>Galil Mod</v>
      </c>
      <c r="BR49" s="1" t="str">
        <f t="shared" si="20"/>
        <v/>
      </c>
      <c r="BS49" s="1" t="str">
        <f t="shared" si="21"/>
        <v/>
      </c>
      <c r="BT49" s="1"/>
    </row>
    <row r="50" spans="1:72" x14ac:dyDescent="0.25">
      <c r="A50" s="9"/>
      <c r="C50" s="9"/>
      <c r="D50" s="9"/>
      <c r="AV50" t="s">
        <v>120</v>
      </c>
      <c r="AZ50" s="1" t="str">
        <f t="shared" si="2"/>
        <v/>
      </c>
      <c r="BA50" s="1" t="str">
        <f t="shared" si="3"/>
        <v/>
      </c>
      <c r="BB50" s="1" t="str">
        <f t="shared" si="4"/>
        <v/>
      </c>
      <c r="BC50" s="1" t="str">
        <f t="shared" si="5"/>
        <v/>
      </c>
      <c r="BD50" s="1" t="str">
        <f t="shared" si="6"/>
        <v/>
      </c>
      <c r="BE50" s="1" t="str">
        <f t="shared" si="7"/>
        <v/>
      </c>
      <c r="BF50" s="1" t="str">
        <f t="shared" si="8"/>
        <v/>
      </c>
      <c r="BG50" s="1" t="str">
        <f t="shared" si="9"/>
        <v>Gepard M1Mod</v>
      </c>
      <c r="BH50" s="1" t="str">
        <f t="shared" si="10"/>
        <v/>
      </c>
      <c r="BI50" s="1" t="str">
        <f t="shared" si="11"/>
        <v/>
      </c>
      <c r="BJ50" s="1" t="str">
        <f t="shared" si="12"/>
        <v/>
      </c>
      <c r="BK50" s="1" t="str">
        <f t="shared" si="13"/>
        <v/>
      </c>
      <c r="BL50" s="1" t="str">
        <f t="shared" si="14"/>
        <v/>
      </c>
      <c r="BM50" s="1" t="str">
        <f t="shared" si="15"/>
        <v/>
      </c>
      <c r="BN50" s="1" t="str">
        <f t="shared" si="16"/>
        <v/>
      </c>
      <c r="BO50" s="1" t="str">
        <f t="shared" si="17"/>
        <v/>
      </c>
      <c r="BP50" s="1" t="str">
        <f t="shared" si="18"/>
        <v/>
      </c>
      <c r="BQ50" s="1" t="str">
        <f t="shared" si="19"/>
        <v>Gepard M1Mod</v>
      </c>
      <c r="BR50" s="1" t="str">
        <f t="shared" si="20"/>
        <v/>
      </c>
      <c r="BS50" s="1" t="str">
        <f t="shared" si="21"/>
        <v/>
      </c>
      <c r="BT50" s="1"/>
    </row>
    <row r="51" spans="1:72" x14ac:dyDescent="0.25">
      <c r="A51" s="9"/>
      <c r="C51" s="9"/>
      <c r="D51" s="9"/>
      <c r="AV51" t="s">
        <v>1714</v>
      </c>
      <c r="AZ51" s="1" t="str">
        <f t="shared" si="2"/>
        <v/>
      </c>
      <c r="BA51" s="1" t="str">
        <f t="shared" si="3"/>
        <v/>
      </c>
      <c r="BB51" s="1" t="str">
        <f t="shared" si="4"/>
        <v/>
      </c>
      <c r="BC51" s="1" t="str">
        <f t="shared" si="5"/>
        <v/>
      </c>
      <c r="BD51" s="1" t="str">
        <f t="shared" si="6"/>
        <v/>
      </c>
      <c r="BE51" s="1" t="str">
        <f t="shared" si="7"/>
        <v/>
      </c>
      <c r="BF51" s="1" t="str">
        <f t="shared" si="8"/>
        <v/>
      </c>
      <c r="BG51" s="1" t="str">
        <f t="shared" si="9"/>
        <v>Grizzly</v>
      </c>
      <c r="BH51" s="1" t="str">
        <f t="shared" si="10"/>
        <v/>
      </c>
      <c r="BI51" s="1" t="str">
        <f t="shared" si="11"/>
        <v/>
      </c>
      <c r="BJ51" s="1" t="str">
        <f t="shared" si="12"/>
        <v/>
      </c>
      <c r="BK51" s="1" t="str">
        <f t="shared" si="13"/>
        <v/>
      </c>
      <c r="BL51" s="1" t="str">
        <f t="shared" si="14"/>
        <v/>
      </c>
      <c r="BM51" s="1" t="str">
        <f t="shared" si="15"/>
        <v/>
      </c>
      <c r="BN51" s="1" t="str">
        <f t="shared" si="16"/>
        <v/>
      </c>
      <c r="BO51" s="1" t="str">
        <f t="shared" si="17"/>
        <v/>
      </c>
      <c r="BP51" s="1" t="str">
        <f t="shared" si="18"/>
        <v/>
      </c>
      <c r="BQ51" s="1" t="str">
        <f t="shared" si="19"/>
        <v>Grizzly</v>
      </c>
      <c r="BR51" s="1" t="str">
        <f t="shared" si="20"/>
        <v/>
      </c>
      <c r="BS51" s="1" t="str">
        <f t="shared" si="21"/>
        <v/>
      </c>
      <c r="BT51" s="1"/>
    </row>
    <row r="52" spans="1:72" x14ac:dyDescent="0.25">
      <c r="A52" s="9"/>
      <c r="C52" s="9"/>
      <c r="D52" s="9"/>
      <c r="AV52" t="s">
        <v>248</v>
      </c>
      <c r="AZ52" s="1" t="str">
        <f t="shared" si="2"/>
        <v/>
      </c>
      <c r="BA52" s="1" t="str">
        <f t="shared" si="3"/>
        <v/>
      </c>
      <c r="BB52" s="1" t="str">
        <f t="shared" si="4"/>
        <v/>
      </c>
      <c r="BC52" s="1" t="str">
        <f t="shared" si="5"/>
        <v/>
      </c>
      <c r="BD52" s="1" t="str">
        <f t="shared" si="6"/>
        <v/>
      </c>
      <c r="BE52" s="1" t="str">
        <f t="shared" si="7"/>
        <v/>
      </c>
      <c r="BF52" s="1" t="str">
        <f t="shared" si="8"/>
        <v/>
      </c>
      <c r="BG52" s="1" t="str">
        <f t="shared" si="9"/>
        <v>GSh18Mod</v>
      </c>
      <c r="BH52" s="1" t="str">
        <f t="shared" si="10"/>
        <v/>
      </c>
      <c r="BI52" s="1" t="str">
        <f t="shared" si="11"/>
        <v/>
      </c>
      <c r="BJ52" s="1" t="str">
        <f t="shared" si="12"/>
        <v/>
      </c>
      <c r="BK52" s="1" t="str">
        <f t="shared" si="13"/>
        <v/>
      </c>
      <c r="BL52" s="1" t="str">
        <f t="shared" si="14"/>
        <v/>
      </c>
      <c r="BM52" s="1" t="str">
        <f t="shared" si="15"/>
        <v/>
      </c>
      <c r="BN52" s="1" t="str">
        <f t="shared" si="16"/>
        <v/>
      </c>
      <c r="BO52" s="1" t="str">
        <f t="shared" si="17"/>
        <v/>
      </c>
      <c r="BP52" s="1" t="str">
        <f t="shared" si="18"/>
        <v/>
      </c>
      <c r="BQ52" s="1" t="str">
        <f t="shared" si="19"/>
        <v>GSh18Mod</v>
      </c>
      <c r="BR52" s="1" t="str">
        <f t="shared" si="20"/>
        <v/>
      </c>
      <c r="BS52" s="1" t="str">
        <f t="shared" si="21"/>
        <v/>
      </c>
      <c r="BT52" s="1"/>
    </row>
    <row r="53" spans="1:72" x14ac:dyDescent="0.25">
      <c r="A53" s="9"/>
      <c r="C53" s="9"/>
      <c r="D53" s="9"/>
      <c r="AV53" t="s">
        <v>223</v>
      </c>
      <c r="AZ53" s="1" t="str">
        <f t="shared" si="2"/>
        <v/>
      </c>
      <c r="BA53" s="1" t="str">
        <f t="shared" si="3"/>
        <v/>
      </c>
      <c r="BB53" s="1" t="str">
        <f t="shared" si="4"/>
        <v/>
      </c>
      <c r="BC53" s="1" t="str">
        <f t="shared" si="5"/>
        <v/>
      </c>
      <c r="BD53" s="1" t="str">
        <f t="shared" si="6"/>
        <v/>
      </c>
      <c r="BE53" s="1" t="str">
        <f t="shared" si="7"/>
        <v/>
      </c>
      <c r="BF53" s="1" t="str">
        <f t="shared" si="8"/>
        <v/>
      </c>
      <c r="BG53" s="1" t="str">
        <f t="shared" si="9"/>
        <v>Henrietta</v>
      </c>
      <c r="BH53" s="1" t="str">
        <f t="shared" si="10"/>
        <v/>
      </c>
      <c r="BI53" s="1" t="str">
        <f t="shared" si="11"/>
        <v/>
      </c>
      <c r="BJ53" s="1" t="str">
        <f t="shared" si="12"/>
        <v/>
      </c>
      <c r="BK53" s="1" t="str">
        <f t="shared" si="13"/>
        <v/>
      </c>
      <c r="BL53" s="1" t="str">
        <f t="shared" si="14"/>
        <v/>
      </c>
      <c r="BM53" s="1" t="str">
        <f t="shared" si="15"/>
        <v/>
      </c>
      <c r="BN53" s="1" t="str">
        <f t="shared" si="16"/>
        <v/>
      </c>
      <c r="BO53" s="1" t="str">
        <f t="shared" si="17"/>
        <v/>
      </c>
      <c r="BP53" s="1" t="str">
        <f t="shared" si="18"/>
        <v/>
      </c>
      <c r="BQ53" s="1" t="str">
        <f t="shared" si="19"/>
        <v>Henrietta</v>
      </c>
      <c r="BR53" s="1" t="str">
        <f t="shared" si="20"/>
        <v/>
      </c>
      <c r="BS53" s="1" t="str">
        <f t="shared" si="21"/>
        <v/>
      </c>
      <c r="BT53" s="1"/>
    </row>
    <row r="54" spans="1:72" x14ac:dyDescent="0.25">
      <c r="A54" s="9"/>
      <c r="C54" s="9"/>
      <c r="D54" s="9"/>
      <c r="AV54" t="s">
        <v>259</v>
      </c>
      <c r="AZ54" s="1" t="str">
        <f t="shared" si="2"/>
        <v/>
      </c>
      <c r="BA54" s="1" t="str">
        <f t="shared" si="3"/>
        <v/>
      </c>
      <c r="BB54" s="1" t="str">
        <f t="shared" si="4"/>
        <v/>
      </c>
      <c r="BC54" s="1" t="str">
        <f t="shared" si="5"/>
        <v/>
      </c>
      <c r="BD54" s="1" t="str">
        <f t="shared" si="6"/>
        <v/>
      </c>
      <c r="BE54" s="1" t="str">
        <f t="shared" si="7"/>
        <v/>
      </c>
      <c r="BF54" s="1" t="str">
        <f t="shared" si="8"/>
        <v/>
      </c>
      <c r="BG54" s="1" t="str">
        <f t="shared" si="9"/>
        <v>HK416</v>
      </c>
      <c r="BH54" s="1" t="str">
        <f t="shared" si="10"/>
        <v/>
      </c>
      <c r="BI54" s="1" t="str">
        <f t="shared" si="11"/>
        <v/>
      </c>
      <c r="BJ54" s="1" t="str">
        <f t="shared" si="12"/>
        <v/>
      </c>
      <c r="BK54" s="1" t="str">
        <f t="shared" si="13"/>
        <v/>
      </c>
      <c r="BL54" s="1" t="str">
        <f t="shared" si="14"/>
        <v/>
      </c>
      <c r="BM54" s="1" t="str">
        <f t="shared" si="15"/>
        <v/>
      </c>
      <c r="BN54" s="1" t="str">
        <f t="shared" si="16"/>
        <v/>
      </c>
      <c r="BO54" s="1" t="str">
        <f t="shared" si="17"/>
        <v/>
      </c>
      <c r="BP54" s="1" t="str">
        <f t="shared" si="18"/>
        <v/>
      </c>
      <c r="BQ54" s="1" t="str">
        <f t="shared" si="19"/>
        <v>HK416</v>
      </c>
      <c r="BR54" s="1" t="str">
        <f t="shared" si="20"/>
        <v/>
      </c>
      <c r="BS54" s="1" t="str">
        <f t="shared" si="21"/>
        <v/>
      </c>
      <c r="BT54" s="1"/>
    </row>
    <row r="55" spans="1:72" x14ac:dyDescent="0.25">
      <c r="A55" s="9"/>
      <c r="C55" s="9"/>
      <c r="D55" s="9"/>
      <c r="AV55" t="s">
        <v>1748</v>
      </c>
      <c r="AZ55" s="1" t="str">
        <f t="shared" si="2"/>
        <v/>
      </c>
      <c r="BA55" s="1" t="str">
        <f t="shared" si="3"/>
        <v/>
      </c>
      <c r="BB55" s="1" t="str">
        <f t="shared" si="4"/>
        <v/>
      </c>
      <c r="BC55" s="1" t="str">
        <f t="shared" si="5"/>
        <v/>
      </c>
      <c r="BD55" s="1" t="str">
        <f t="shared" si="6"/>
        <v/>
      </c>
      <c r="BE55" s="1" t="str">
        <f t="shared" si="7"/>
        <v/>
      </c>
      <c r="BF55" s="1" t="str">
        <f t="shared" si="8"/>
        <v/>
      </c>
      <c r="BG55" s="1" t="str">
        <f t="shared" si="9"/>
        <v>HK416Mod</v>
      </c>
      <c r="BH55" s="1" t="str">
        <f t="shared" si="10"/>
        <v/>
      </c>
      <c r="BI55" s="1" t="str">
        <f t="shared" si="11"/>
        <v/>
      </c>
      <c r="BJ55" s="1" t="str">
        <f t="shared" si="12"/>
        <v/>
      </c>
      <c r="BK55" s="1" t="str">
        <f t="shared" si="13"/>
        <v/>
      </c>
      <c r="BL55" s="1" t="str">
        <f t="shared" si="14"/>
        <v/>
      </c>
      <c r="BM55" s="1" t="str">
        <f t="shared" si="15"/>
        <v/>
      </c>
      <c r="BN55" s="1" t="str">
        <f t="shared" si="16"/>
        <v/>
      </c>
      <c r="BO55" s="1" t="str">
        <f t="shared" si="17"/>
        <v/>
      </c>
      <c r="BP55" s="1" t="str">
        <f t="shared" si="18"/>
        <v/>
      </c>
      <c r="BQ55" s="1" t="str">
        <f t="shared" si="19"/>
        <v>HK416Mod</v>
      </c>
      <c r="BR55" s="1" t="str">
        <f t="shared" si="20"/>
        <v/>
      </c>
      <c r="BS55" s="1" t="str">
        <f t="shared" si="21"/>
        <v/>
      </c>
      <c r="BT55" s="1"/>
    </row>
    <row r="56" spans="1:72" x14ac:dyDescent="0.25">
      <c r="A56" s="9"/>
      <c r="C56" s="9"/>
      <c r="D56" s="9"/>
      <c r="AV56" t="s">
        <v>262</v>
      </c>
      <c r="AZ56" s="1" t="str">
        <f t="shared" si="2"/>
        <v/>
      </c>
      <c r="BA56" s="1" t="str">
        <f t="shared" si="3"/>
        <v/>
      </c>
      <c r="BB56" s="1" t="str">
        <f t="shared" si="4"/>
        <v/>
      </c>
      <c r="BC56" s="1" t="str">
        <f t="shared" si="5"/>
        <v/>
      </c>
      <c r="BD56" s="1" t="str">
        <f t="shared" si="6"/>
        <v/>
      </c>
      <c r="BE56" s="1" t="str">
        <f t="shared" si="7"/>
        <v/>
      </c>
      <c r="BF56" s="1" t="str">
        <f t="shared" si="8"/>
        <v/>
      </c>
      <c r="BG56" s="1" t="str">
        <f t="shared" si="9"/>
        <v>Honey Badger</v>
      </c>
      <c r="BH56" s="1" t="str">
        <f t="shared" si="10"/>
        <v/>
      </c>
      <c r="BI56" s="1" t="str">
        <f t="shared" si="11"/>
        <v/>
      </c>
      <c r="BJ56" s="1" t="str">
        <f t="shared" si="12"/>
        <v/>
      </c>
      <c r="BK56" s="1" t="str">
        <f t="shared" si="13"/>
        <v/>
      </c>
      <c r="BL56" s="1" t="str">
        <f t="shared" si="14"/>
        <v/>
      </c>
      <c r="BM56" s="1" t="str">
        <f t="shared" si="15"/>
        <v/>
      </c>
      <c r="BN56" s="1" t="str">
        <f t="shared" si="16"/>
        <v/>
      </c>
      <c r="BO56" s="1" t="str">
        <f t="shared" si="17"/>
        <v/>
      </c>
      <c r="BP56" s="1" t="str">
        <f t="shared" si="18"/>
        <v/>
      </c>
      <c r="BQ56" s="1" t="str">
        <f t="shared" si="19"/>
        <v>Honey Badger</v>
      </c>
      <c r="BR56" s="1" t="str">
        <f t="shared" si="20"/>
        <v/>
      </c>
      <c r="BS56" s="1" t="str">
        <f t="shared" si="21"/>
        <v/>
      </c>
      <c r="BT56" s="1"/>
    </row>
    <row r="57" spans="1:72" x14ac:dyDescent="0.25">
      <c r="A57" s="9"/>
      <c r="C57" s="9"/>
      <c r="D57" s="9"/>
      <c r="AV57" t="s">
        <v>78</v>
      </c>
      <c r="AZ57" s="1" t="str">
        <f t="shared" si="2"/>
        <v/>
      </c>
      <c r="BA57" s="1" t="str">
        <f t="shared" si="3"/>
        <v/>
      </c>
      <c r="BB57" s="1" t="str">
        <f t="shared" si="4"/>
        <v/>
      </c>
      <c r="BC57" s="1" t="str">
        <f t="shared" si="5"/>
        <v/>
      </c>
      <c r="BD57" s="1" t="str">
        <f t="shared" si="6"/>
        <v/>
      </c>
      <c r="BE57" s="1" t="str">
        <f t="shared" si="7"/>
        <v/>
      </c>
      <c r="BF57" s="1" t="str">
        <f t="shared" si="8"/>
        <v/>
      </c>
      <c r="BG57" s="1" t="str">
        <f t="shared" si="9"/>
        <v>IDWMod</v>
      </c>
      <c r="BH57" s="1" t="str">
        <f t="shared" si="10"/>
        <v/>
      </c>
      <c r="BI57" s="1" t="str">
        <f t="shared" si="11"/>
        <v/>
      </c>
      <c r="BJ57" s="1" t="str">
        <f t="shared" si="12"/>
        <v/>
      </c>
      <c r="BK57" s="1" t="str">
        <f t="shared" si="13"/>
        <v/>
      </c>
      <c r="BL57" s="1" t="str">
        <f t="shared" si="14"/>
        <v/>
      </c>
      <c r="BM57" s="1" t="str">
        <f t="shared" si="15"/>
        <v/>
      </c>
      <c r="BN57" s="1" t="str">
        <f t="shared" si="16"/>
        <v/>
      </c>
      <c r="BO57" s="1" t="str">
        <f t="shared" si="17"/>
        <v/>
      </c>
      <c r="BP57" s="1" t="str">
        <f t="shared" si="18"/>
        <v/>
      </c>
      <c r="BQ57" s="1" t="str">
        <f t="shared" si="19"/>
        <v>IDWMod</v>
      </c>
      <c r="BR57" s="1" t="str">
        <f t="shared" si="20"/>
        <v/>
      </c>
      <c r="BS57" s="1" t="str">
        <f t="shared" si="21"/>
        <v/>
      </c>
      <c r="BT57" s="1"/>
    </row>
    <row r="58" spans="1:72" x14ac:dyDescent="0.25">
      <c r="A58" s="9"/>
      <c r="C58" s="9"/>
      <c r="D58" s="9"/>
      <c r="AV58" t="s">
        <v>1720</v>
      </c>
      <c r="AZ58" s="1" t="str">
        <f t="shared" si="2"/>
        <v/>
      </c>
      <c r="BA58" s="1" t="str">
        <f t="shared" si="3"/>
        <v/>
      </c>
      <c r="BB58" s="1" t="str">
        <f t="shared" si="4"/>
        <v/>
      </c>
      <c r="BC58" s="1" t="str">
        <f t="shared" si="5"/>
        <v/>
      </c>
      <c r="BD58" s="1" t="str">
        <f t="shared" si="6"/>
        <v/>
      </c>
      <c r="BE58" s="1" t="str">
        <f t="shared" si="7"/>
        <v/>
      </c>
      <c r="BF58" s="1" t="str">
        <f t="shared" si="8"/>
        <v/>
      </c>
      <c r="BG58" s="1" t="str">
        <f t="shared" si="9"/>
        <v>Ingram</v>
      </c>
      <c r="BH58" s="1" t="str">
        <f t="shared" si="10"/>
        <v/>
      </c>
      <c r="BI58" s="1" t="str">
        <f t="shared" si="11"/>
        <v/>
      </c>
      <c r="BJ58" s="1" t="str">
        <f t="shared" si="12"/>
        <v/>
      </c>
      <c r="BK58" s="1" t="str">
        <f t="shared" si="13"/>
        <v/>
      </c>
      <c r="BL58" s="1" t="str">
        <f t="shared" si="14"/>
        <v/>
      </c>
      <c r="BM58" s="1" t="str">
        <f t="shared" si="15"/>
        <v/>
      </c>
      <c r="BN58" s="1" t="str">
        <f t="shared" si="16"/>
        <v/>
      </c>
      <c r="BO58" s="1" t="str">
        <f t="shared" si="17"/>
        <v/>
      </c>
      <c r="BP58" s="1" t="str">
        <f t="shared" si="18"/>
        <v/>
      </c>
      <c r="BQ58" s="1" t="str">
        <f t="shared" si="19"/>
        <v>Ingram</v>
      </c>
      <c r="BR58" s="1" t="str">
        <f t="shared" si="20"/>
        <v/>
      </c>
      <c r="BS58" s="1" t="str">
        <f t="shared" si="21"/>
        <v/>
      </c>
      <c r="BT58" s="1"/>
    </row>
    <row r="59" spans="1:72" x14ac:dyDescent="0.25">
      <c r="A59" s="9"/>
      <c r="C59" s="9"/>
      <c r="D59" s="9"/>
      <c r="AV59" t="s">
        <v>192</v>
      </c>
      <c r="AZ59" s="1" t="str">
        <f t="shared" si="2"/>
        <v/>
      </c>
      <c r="BA59" s="1" t="str">
        <f t="shared" si="3"/>
        <v/>
      </c>
      <c r="BB59" s="1" t="str">
        <f t="shared" si="4"/>
        <v/>
      </c>
      <c r="BC59" s="1" t="str">
        <f t="shared" si="5"/>
        <v/>
      </c>
      <c r="BD59" s="1" t="str">
        <f t="shared" si="6"/>
        <v/>
      </c>
      <c r="BE59" s="1" t="str">
        <f t="shared" si="7"/>
        <v/>
      </c>
      <c r="BF59" s="1" t="str">
        <f t="shared" si="8"/>
        <v/>
      </c>
      <c r="BG59" s="1" t="str">
        <f t="shared" si="9"/>
        <v>Jashin</v>
      </c>
      <c r="BH59" s="1" t="str">
        <f t="shared" si="10"/>
        <v/>
      </c>
      <c r="BI59" s="1" t="str">
        <f t="shared" si="11"/>
        <v/>
      </c>
      <c r="BJ59" s="1" t="str">
        <f t="shared" si="12"/>
        <v/>
      </c>
      <c r="BK59" s="1" t="str">
        <f t="shared" si="13"/>
        <v/>
      </c>
      <c r="BL59" s="1" t="str">
        <f t="shared" si="14"/>
        <v/>
      </c>
      <c r="BM59" s="1" t="str">
        <f t="shared" si="15"/>
        <v/>
      </c>
      <c r="BN59" s="1" t="str">
        <f t="shared" si="16"/>
        <v/>
      </c>
      <c r="BO59" s="1" t="str">
        <f t="shared" si="17"/>
        <v/>
      </c>
      <c r="BP59" s="1" t="str">
        <f t="shared" si="18"/>
        <v/>
      </c>
      <c r="BQ59" s="1" t="str">
        <f t="shared" si="19"/>
        <v>Jashin</v>
      </c>
      <c r="BR59" s="1" t="str">
        <f t="shared" si="20"/>
        <v/>
      </c>
      <c r="BS59" s="1" t="str">
        <f t="shared" si="21"/>
        <v/>
      </c>
      <c r="BT59" s="1"/>
    </row>
    <row r="60" spans="1:72" x14ac:dyDescent="0.25">
      <c r="A60" s="9"/>
      <c r="C60" s="9"/>
      <c r="D60" s="9"/>
      <c r="AV60" t="s">
        <v>756</v>
      </c>
      <c r="AZ60" s="1" t="str">
        <f t="shared" si="2"/>
        <v/>
      </c>
      <c r="BA60" s="1" t="str">
        <f t="shared" si="3"/>
        <v/>
      </c>
      <c r="BB60" s="1" t="str">
        <f t="shared" si="4"/>
        <v/>
      </c>
      <c r="BC60" s="1" t="str">
        <f t="shared" si="5"/>
        <v/>
      </c>
      <c r="BD60" s="1" t="str">
        <f t="shared" si="6"/>
        <v/>
      </c>
      <c r="BE60" s="1" t="str">
        <f t="shared" si="7"/>
        <v/>
      </c>
      <c r="BF60" s="1" t="str">
        <f t="shared" si="8"/>
        <v/>
      </c>
      <c r="BG60" s="1" t="str">
        <f t="shared" si="9"/>
        <v>Jericho</v>
      </c>
      <c r="BH60" s="1" t="str">
        <f t="shared" si="10"/>
        <v/>
      </c>
      <c r="BI60" s="1" t="str">
        <f t="shared" si="11"/>
        <v/>
      </c>
      <c r="BJ60" s="1" t="str">
        <f t="shared" si="12"/>
        <v/>
      </c>
      <c r="BK60" s="1" t="str">
        <f t="shared" si="13"/>
        <v/>
      </c>
      <c r="BL60" s="1" t="str">
        <f t="shared" si="14"/>
        <v/>
      </c>
      <c r="BM60" s="1" t="str">
        <f t="shared" si="15"/>
        <v/>
      </c>
      <c r="BN60" s="1" t="str">
        <f t="shared" si="16"/>
        <v/>
      </c>
      <c r="BO60" s="1" t="str">
        <f t="shared" si="17"/>
        <v/>
      </c>
      <c r="BP60" s="1" t="str">
        <f t="shared" si="18"/>
        <v/>
      </c>
      <c r="BQ60" s="1" t="str">
        <f t="shared" si="19"/>
        <v>Jericho</v>
      </c>
      <c r="BR60" s="1" t="str">
        <f t="shared" si="20"/>
        <v/>
      </c>
      <c r="BS60" s="1" t="str">
        <f t="shared" si="21"/>
        <v/>
      </c>
      <c r="BT60" s="1"/>
    </row>
    <row r="61" spans="1:72" x14ac:dyDescent="0.25">
      <c r="A61" s="9"/>
      <c r="C61" s="9"/>
      <c r="D61" s="9"/>
      <c r="AV61" t="s">
        <v>759</v>
      </c>
      <c r="AZ61" s="1" t="str">
        <f t="shared" si="2"/>
        <v/>
      </c>
      <c r="BA61" s="1" t="str">
        <f t="shared" si="3"/>
        <v/>
      </c>
      <c r="BB61" s="1" t="str">
        <f t="shared" si="4"/>
        <v/>
      </c>
      <c r="BC61" s="1" t="str">
        <f t="shared" si="5"/>
        <v/>
      </c>
      <c r="BD61" s="1" t="str">
        <f t="shared" si="6"/>
        <v/>
      </c>
      <c r="BE61" s="1" t="str">
        <f t="shared" si="7"/>
        <v/>
      </c>
      <c r="BF61" s="1" t="str">
        <f t="shared" si="8"/>
        <v/>
      </c>
      <c r="BG61" s="1" t="str">
        <f t="shared" si="9"/>
        <v>JillAdelhyde1</v>
      </c>
      <c r="BH61" s="1" t="str">
        <f t="shared" si="10"/>
        <v/>
      </c>
      <c r="BI61" s="1" t="str">
        <f t="shared" si="11"/>
        <v/>
      </c>
      <c r="BJ61" s="1" t="str">
        <f t="shared" si="12"/>
        <v/>
      </c>
      <c r="BK61" s="1" t="str">
        <f t="shared" si="13"/>
        <v/>
      </c>
      <c r="BL61" s="1" t="str">
        <f t="shared" si="14"/>
        <v/>
      </c>
      <c r="BM61" s="1" t="str">
        <f t="shared" si="15"/>
        <v/>
      </c>
      <c r="BN61" s="1" t="str">
        <f t="shared" si="16"/>
        <v/>
      </c>
      <c r="BO61" s="1" t="str">
        <f t="shared" si="17"/>
        <v/>
      </c>
      <c r="BP61" s="1" t="str">
        <f t="shared" si="18"/>
        <v/>
      </c>
      <c r="BQ61" s="1" t="str">
        <f t="shared" si="19"/>
        <v>JillAdelhyde1</v>
      </c>
      <c r="BR61" s="1" t="str">
        <f t="shared" si="20"/>
        <v/>
      </c>
      <c r="BS61" s="1" t="str">
        <f t="shared" si="21"/>
        <v/>
      </c>
      <c r="BT61" s="1"/>
    </row>
    <row r="62" spans="1:72" x14ac:dyDescent="0.25">
      <c r="A62" s="9"/>
      <c r="C62" s="9"/>
      <c r="D62" s="9"/>
      <c r="AV62" t="s">
        <v>760</v>
      </c>
      <c r="AZ62" s="1" t="str">
        <f t="shared" si="2"/>
        <v/>
      </c>
      <c r="BA62" s="1" t="str">
        <f t="shared" si="3"/>
        <v/>
      </c>
      <c r="BB62" s="1" t="str">
        <f t="shared" si="4"/>
        <v/>
      </c>
      <c r="BC62" s="1" t="str">
        <f t="shared" si="5"/>
        <v/>
      </c>
      <c r="BD62" s="1" t="str">
        <f t="shared" si="6"/>
        <v/>
      </c>
      <c r="BE62" s="1" t="str">
        <f t="shared" si="7"/>
        <v/>
      </c>
      <c r="BF62" s="1" t="str">
        <f t="shared" si="8"/>
        <v/>
      </c>
      <c r="BG62" s="1" t="str">
        <f t="shared" si="9"/>
        <v>JillAdelhyde2</v>
      </c>
      <c r="BH62" s="1" t="str">
        <f t="shared" si="10"/>
        <v/>
      </c>
      <c r="BI62" s="1" t="str">
        <f t="shared" si="11"/>
        <v/>
      </c>
      <c r="BJ62" s="1" t="str">
        <f t="shared" si="12"/>
        <v/>
      </c>
      <c r="BK62" s="1" t="str">
        <f t="shared" si="13"/>
        <v/>
      </c>
      <c r="BL62" s="1" t="str">
        <f t="shared" si="14"/>
        <v/>
      </c>
      <c r="BM62" s="1" t="str">
        <f t="shared" si="15"/>
        <v/>
      </c>
      <c r="BN62" s="1" t="str">
        <f t="shared" si="16"/>
        <v/>
      </c>
      <c r="BO62" s="1" t="str">
        <f t="shared" si="17"/>
        <v/>
      </c>
      <c r="BP62" s="1" t="str">
        <f t="shared" si="18"/>
        <v/>
      </c>
      <c r="BQ62" s="1" t="str">
        <f t="shared" si="19"/>
        <v>JillAdelhyde2</v>
      </c>
      <c r="BR62" s="1" t="str">
        <f t="shared" si="20"/>
        <v/>
      </c>
      <c r="BS62" s="1" t="str">
        <f t="shared" si="21"/>
        <v/>
      </c>
      <c r="BT62" s="1"/>
    </row>
    <row r="63" spans="1:72" x14ac:dyDescent="0.25">
      <c r="A63" s="9"/>
      <c r="C63" s="9"/>
      <c r="D63" s="9"/>
      <c r="AV63" t="s">
        <v>757</v>
      </c>
      <c r="AZ63" s="1" t="str">
        <f t="shared" si="2"/>
        <v/>
      </c>
      <c r="BA63" s="1" t="str">
        <f t="shared" si="3"/>
        <v/>
      </c>
      <c r="BB63" s="1" t="str">
        <f t="shared" si="4"/>
        <v/>
      </c>
      <c r="BC63" s="1" t="str">
        <f t="shared" si="5"/>
        <v/>
      </c>
      <c r="BD63" s="1" t="str">
        <f t="shared" si="6"/>
        <v/>
      </c>
      <c r="BE63" s="1" t="str">
        <f t="shared" si="7"/>
        <v/>
      </c>
      <c r="BF63" s="1" t="str">
        <f t="shared" si="8"/>
        <v/>
      </c>
      <c r="BG63" s="1" t="str">
        <f t="shared" si="9"/>
        <v>JillBronsonExtract</v>
      </c>
      <c r="BH63" s="1" t="str">
        <f t="shared" si="10"/>
        <v/>
      </c>
      <c r="BI63" s="1" t="str">
        <f t="shared" si="11"/>
        <v/>
      </c>
      <c r="BJ63" s="1" t="str">
        <f t="shared" si="12"/>
        <v/>
      </c>
      <c r="BK63" s="1" t="str">
        <f t="shared" si="13"/>
        <v/>
      </c>
      <c r="BL63" s="1" t="str">
        <f t="shared" si="14"/>
        <v/>
      </c>
      <c r="BM63" s="1" t="str">
        <f t="shared" si="15"/>
        <v/>
      </c>
      <c r="BN63" s="1" t="str">
        <f t="shared" si="16"/>
        <v/>
      </c>
      <c r="BO63" s="1" t="str">
        <f t="shared" si="17"/>
        <v/>
      </c>
      <c r="BP63" s="1" t="str">
        <f t="shared" si="18"/>
        <v/>
      </c>
      <c r="BQ63" s="1" t="str">
        <f t="shared" si="19"/>
        <v>JillBronsonExtract</v>
      </c>
      <c r="BR63" s="1" t="str">
        <f t="shared" si="20"/>
        <v/>
      </c>
      <c r="BS63" s="1" t="str">
        <f t="shared" si="21"/>
        <v/>
      </c>
      <c r="BT63" s="1"/>
    </row>
    <row r="64" spans="1:72" x14ac:dyDescent="0.25">
      <c r="C64" s="9"/>
      <c r="D64" s="9"/>
      <c r="AV64" t="s">
        <v>755</v>
      </c>
      <c r="AZ64" s="1" t="str">
        <f t="shared" si="2"/>
        <v/>
      </c>
      <c r="BA64" s="1" t="str">
        <f t="shared" si="3"/>
        <v/>
      </c>
      <c r="BB64" s="1" t="str">
        <f t="shared" si="4"/>
        <v/>
      </c>
      <c r="BC64" s="1" t="str">
        <f t="shared" si="5"/>
        <v/>
      </c>
      <c r="BD64" s="1" t="str">
        <f t="shared" si="6"/>
        <v/>
      </c>
      <c r="BE64" s="1" t="str">
        <f t="shared" si="7"/>
        <v/>
      </c>
      <c r="BF64" s="1" t="str">
        <f t="shared" si="8"/>
        <v/>
      </c>
      <c r="BG64" s="1" t="str">
        <f t="shared" si="9"/>
        <v>JillFlanergide</v>
      </c>
      <c r="BH64" s="1" t="str">
        <f t="shared" si="10"/>
        <v/>
      </c>
      <c r="BI64" s="1" t="str">
        <f t="shared" si="11"/>
        <v/>
      </c>
      <c r="BJ64" s="1" t="str">
        <f t="shared" si="12"/>
        <v/>
      </c>
      <c r="BK64" s="1" t="str">
        <f t="shared" si="13"/>
        <v/>
      </c>
      <c r="BL64" s="1" t="str">
        <f t="shared" si="14"/>
        <v/>
      </c>
      <c r="BM64" s="1" t="str">
        <f t="shared" si="15"/>
        <v/>
      </c>
      <c r="BN64" s="1" t="str">
        <f t="shared" si="16"/>
        <v/>
      </c>
      <c r="BO64" s="1" t="str">
        <f t="shared" si="17"/>
        <v/>
      </c>
      <c r="BP64" s="1" t="str">
        <f t="shared" si="18"/>
        <v/>
      </c>
      <c r="BQ64" s="1" t="str">
        <f t="shared" si="19"/>
        <v>JillFlanergide</v>
      </c>
      <c r="BR64" s="1" t="str">
        <f t="shared" si="20"/>
        <v/>
      </c>
      <c r="BS64" s="1" t="str">
        <f t="shared" si="21"/>
        <v/>
      </c>
      <c r="BT64" s="1"/>
    </row>
    <row r="65" spans="3:72" x14ac:dyDescent="0.25">
      <c r="C65" s="9"/>
      <c r="D65" s="9"/>
      <c r="AV65" t="s">
        <v>758</v>
      </c>
      <c r="AZ65" s="1" t="str">
        <f t="shared" si="2"/>
        <v/>
      </c>
      <c r="BA65" s="1" t="str">
        <f t="shared" si="3"/>
        <v/>
      </c>
      <c r="BB65" s="1" t="str">
        <f t="shared" si="4"/>
        <v/>
      </c>
      <c r="BC65" s="1" t="str">
        <f t="shared" si="5"/>
        <v/>
      </c>
      <c r="BD65" s="1" t="str">
        <f t="shared" si="6"/>
        <v/>
      </c>
      <c r="BE65" s="1" t="str">
        <f t="shared" si="7"/>
        <v/>
      </c>
      <c r="BF65" s="1" t="str">
        <f t="shared" si="8"/>
        <v/>
      </c>
      <c r="BG65" s="1" t="str">
        <f t="shared" si="9"/>
        <v>JillKarmotrine1</v>
      </c>
      <c r="BH65" s="1" t="str">
        <f t="shared" si="10"/>
        <v/>
      </c>
      <c r="BI65" s="1" t="str">
        <f t="shared" si="11"/>
        <v/>
      </c>
      <c r="BJ65" s="1" t="str">
        <f t="shared" si="12"/>
        <v/>
      </c>
      <c r="BK65" s="1" t="str">
        <f t="shared" si="13"/>
        <v/>
      </c>
      <c r="BL65" s="1" t="str">
        <f t="shared" si="14"/>
        <v/>
      </c>
      <c r="BM65" s="1" t="str">
        <f t="shared" si="15"/>
        <v/>
      </c>
      <c r="BN65" s="1" t="str">
        <f t="shared" si="16"/>
        <v/>
      </c>
      <c r="BO65" s="1" t="str">
        <f t="shared" si="17"/>
        <v/>
      </c>
      <c r="BP65" s="1" t="str">
        <f t="shared" si="18"/>
        <v/>
      </c>
      <c r="BQ65" s="1" t="str">
        <f t="shared" si="19"/>
        <v>JillKarmotrine1</v>
      </c>
      <c r="BR65" s="1" t="str">
        <f t="shared" si="20"/>
        <v/>
      </c>
      <c r="BS65" s="1" t="str">
        <f t="shared" si="21"/>
        <v/>
      </c>
      <c r="BT65" s="1"/>
    </row>
    <row r="66" spans="3:72" x14ac:dyDescent="0.25">
      <c r="C66" s="9"/>
      <c r="D66" s="9"/>
      <c r="AV66" t="s">
        <v>761</v>
      </c>
      <c r="AZ66" s="1" t="str">
        <f t="shared" si="2"/>
        <v/>
      </c>
      <c r="BA66" s="1" t="str">
        <f t="shared" si="3"/>
        <v/>
      </c>
      <c r="BB66" s="1" t="str">
        <f t="shared" si="4"/>
        <v/>
      </c>
      <c r="BC66" s="1" t="str">
        <f t="shared" si="5"/>
        <v/>
      </c>
      <c r="BD66" s="1" t="str">
        <f t="shared" si="6"/>
        <v/>
      </c>
      <c r="BE66" s="1" t="str">
        <f t="shared" si="7"/>
        <v/>
      </c>
      <c r="BF66" s="1" t="str">
        <f t="shared" si="8"/>
        <v/>
      </c>
      <c r="BG66" s="1" t="str">
        <f t="shared" si="9"/>
        <v>JillKarmotrine2</v>
      </c>
      <c r="BH66" s="1" t="str">
        <f t="shared" si="10"/>
        <v/>
      </c>
      <c r="BI66" s="1" t="str">
        <f t="shared" si="11"/>
        <v/>
      </c>
      <c r="BJ66" s="1" t="str">
        <f t="shared" si="12"/>
        <v/>
      </c>
      <c r="BK66" s="1" t="str">
        <f t="shared" si="13"/>
        <v/>
      </c>
      <c r="BL66" s="1" t="str">
        <f t="shared" si="14"/>
        <v/>
      </c>
      <c r="BM66" s="1" t="str">
        <f t="shared" si="15"/>
        <v/>
      </c>
      <c r="BN66" s="1" t="str">
        <f t="shared" si="16"/>
        <v/>
      </c>
      <c r="BO66" s="1" t="str">
        <f t="shared" si="17"/>
        <v/>
      </c>
      <c r="BP66" s="1" t="str">
        <f t="shared" si="18"/>
        <v/>
      </c>
      <c r="BQ66" s="1" t="str">
        <f t="shared" si="19"/>
        <v>JillKarmotrine2</v>
      </c>
      <c r="BR66" s="1" t="str">
        <f t="shared" si="20"/>
        <v/>
      </c>
      <c r="BS66" s="1" t="str">
        <f t="shared" si="21"/>
        <v/>
      </c>
      <c r="BT66" s="1"/>
    </row>
    <row r="67" spans="3:72" x14ac:dyDescent="0.25">
      <c r="C67" s="9"/>
      <c r="D67" s="9"/>
      <c r="AV67" t="s">
        <v>844</v>
      </c>
      <c r="AZ67" s="1" t="str">
        <f t="shared" si="2"/>
        <v/>
      </c>
      <c r="BA67" s="1" t="str">
        <f t="shared" si="3"/>
        <v/>
      </c>
      <c r="BB67" s="1" t="str">
        <f t="shared" si="4"/>
        <v/>
      </c>
      <c r="BC67" s="1" t="str">
        <f t="shared" si="5"/>
        <v/>
      </c>
      <c r="BD67" s="1" t="str">
        <f t="shared" si="6"/>
        <v/>
      </c>
      <c r="BE67" s="1" t="str">
        <f t="shared" si="7"/>
        <v/>
      </c>
      <c r="BF67" s="1" t="str">
        <f t="shared" si="8"/>
        <v/>
      </c>
      <c r="BG67" s="1" t="str">
        <f t="shared" si="9"/>
        <v>JillKarmotrine3</v>
      </c>
      <c r="BH67" s="1" t="str">
        <f t="shared" si="10"/>
        <v/>
      </c>
      <c r="BI67" s="1" t="str">
        <f t="shared" si="11"/>
        <v/>
      </c>
      <c r="BJ67" s="1" t="str">
        <f t="shared" si="12"/>
        <v/>
      </c>
      <c r="BK67" s="1" t="str">
        <f t="shared" si="13"/>
        <v/>
      </c>
      <c r="BL67" s="1" t="str">
        <f t="shared" si="14"/>
        <v/>
      </c>
      <c r="BM67" s="1" t="str">
        <f t="shared" si="15"/>
        <v/>
      </c>
      <c r="BN67" s="1" t="str">
        <f t="shared" si="16"/>
        <v/>
      </c>
      <c r="BO67" s="1" t="str">
        <f t="shared" si="17"/>
        <v/>
      </c>
      <c r="BP67" s="1" t="str">
        <f t="shared" si="18"/>
        <v/>
      </c>
      <c r="BQ67" s="1" t="str">
        <f t="shared" si="19"/>
        <v>JillKarmotrine3</v>
      </c>
      <c r="BR67" s="1" t="str">
        <f t="shared" si="20"/>
        <v/>
      </c>
      <c r="BS67" s="1" t="str">
        <f t="shared" si="21"/>
        <v/>
      </c>
      <c r="BT67" s="1"/>
    </row>
    <row r="68" spans="3:72" x14ac:dyDescent="0.25">
      <c r="D68" s="9"/>
      <c r="AV68" t="s">
        <v>93</v>
      </c>
      <c r="AZ68" s="1" t="str">
        <f t="shared" ref="AZ68:AZ131" si="22">IF(INDEX($C67:$AF67,MATCH(AZ$2,$C$1:$AF$1,0))="","",INDEX($C67:$AF67,MATCH(AZ$2,$C$1:$AF$1,0)))</f>
        <v/>
      </c>
      <c r="BA68" s="1" t="str">
        <f t="shared" ref="BA68:BA131" si="23">IF(INDEX($C67:$AF67,MATCH(BA$2,$C$1:$AF$1,0))="","",INDEX($C67:$AF67,MATCH(BA$2,$C$1:$AF$1,0)))</f>
        <v/>
      </c>
      <c r="BB68" s="1" t="str">
        <f t="shared" ref="BB68:BB131" si="24">IF(INDEX($C67:$AF67,MATCH(BB$2,$C$1:$AF$1,0))="","",INDEX($C67:$AF67,MATCH(BB$2,$C$1:$AF$1,0)))</f>
        <v/>
      </c>
      <c r="BC68" s="1" t="str">
        <f t="shared" ref="BC68:BC131" si="25">IF(INDEX($C67:$AF67,MATCH(BC$2,$C$1:$AF$1,0))="","",INDEX($C67:$AF67,MATCH(BC$2,$C$1:$AF$1,0)))</f>
        <v/>
      </c>
      <c r="BD68" s="1" t="str">
        <f t="shared" ref="BD68:BD131" si="26">IF(INDEX($C67:$AF67,MATCH(BD$2,$C$1:$AF$1,0))="","",INDEX($C67:$AF67,MATCH(BD$2,$C$1:$AF$1,0)))</f>
        <v/>
      </c>
      <c r="BE68" s="1" t="str">
        <f t="shared" ref="BE68:BE131" si="27">IF(INDEX($AH67:$AV67,MATCH(BE$2,$AH$1:$AV$1,0))="","",INDEX($AH67:$AV67,MATCH(BE$2,$AH$1:$AV$1,0)))</f>
        <v/>
      </c>
      <c r="BF68" s="1" t="str">
        <f t="shared" ref="BF68:BF131" si="28">IF(INDEX($AH67:$AV67,MATCH(BF$2,$AH$1:$AV$1,0))="","",INDEX($AH67:$AV67,MATCH(BF$2,$AH$1:$AV$1,0)))</f>
        <v/>
      </c>
      <c r="BG68" s="1" t="str">
        <f t="shared" ref="BG68:BG131" si="29">IF(INDEX($AH67:$AV67,MATCH(BG$2,$AH$1:$AV$1,0))="","",INDEX($AH67:$AV67,MATCH(BG$2,$AH$1:$AV$1,0)))</f>
        <v>JillPowderedDelta</v>
      </c>
      <c r="BH68" s="1" t="str">
        <f t="shared" ref="BH68:BH131" si="30">IF(INDEX($AH67:$AV67,MATCH(BH$2,$AH$1:$AV$1,0))="","",INDEX($AH67:$AV67,MATCH(BH$2,$AH$1:$AV$1,0)))</f>
        <v/>
      </c>
      <c r="BI68" s="1" t="str">
        <f t="shared" ref="BI68:BI131" si="31">IF(INDEX($AH67:$AV67,MATCH(BI$2,$AH$1:$AV$1,0))="","",INDEX($AH67:$AV67,MATCH(BI$2,$AH$1:$AV$1,0)))</f>
        <v/>
      </c>
      <c r="BJ68" s="1" t="str">
        <f t="shared" ref="BJ68:BJ131" si="32">IF(INDEX($AH67:$AV67,MATCH(BJ$2,$AH$1:$AV$1,0))="","",INDEX($AH67:$AV67,MATCH(BJ$2,$AH$1:$AV$1,0)))</f>
        <v/>
      </c>
      <c r="BK68" s="1" t="str">
        <f t="shared" ref="BK68:BK131" si="33">IF(INDEX($AH67:$AV67,MATCH(BK$2,$AH$1:$AV$1,0))="","",INDEX($AH67:$AV67,MATCH(BK$2,$AH$1:$AV$1,0)))</f>
        <v/>
      </c>
      <c r="BL68" s="1" t="str">
        <f t="shared" ref="BL68:BL131" si="34">IF(INDEX($AH67:$AV67,MATCH(BL$2,$AH$1:$AV$1,0))="","",INDEX($AH67:$AV67,MATCH(BL$2,$AH$1:$AV$1,0)))</f>
        <v/>
      </c>
      <c r="BM68" s="1" t="str">
        <f t="shared" ref="BM68:BM131" si="35">IF(INDEX($AH67:$AV67,MATCH(BM$2,$AH$1:$AV$1,0))="","",INDEX($AH67:$AV67,MATCH(BM$2,$AH$1:$AV$1,0)))</f>
        <v/>
      </c>
      <c r="BN68" s="1" t="str">
        <f t="shared" ref="BN68:BN131" si="36">IF(INDEX($AH67:$AV67,MATCH(BN$2,$AH$1:$AV$1,0))="","",INDEX($AH67:$AV67,MATCH(BN$2,$AH$1:$AV$1,0)))</f>
        <v/>
      </c>
      <c r="BO68" s="1" t="str">
        <f t="shared" ref="BO68:BO131" si="37">IF(INDEX($AH67:$AV67,MATCH(BO$2,$AH$1:$AV$1,0))="","",INDEX($AH67:$AV67,MATCH(BO$2,$AH$1:$AV$1,0)))</f>
        <v/>
      </c>
      <c r="BP68" s="1" t="str">
        <f t="shared" ref="BP68:BP131" si="38">IF(INDEX($AH67:$AV67,MATCH(BP$2,$AH$1:$AV$1,0))="","",INDEX($AH67:$AV67,MATCH(BP$2,$AH$1:$AV$1,0)))</f>
        <v/>
      </c>
      <c r="BQ68" s="1" t="str">
        <f t="shared" ref="BQ68:BQ131" si="39">IF(INDEX($AH67:$AV67,MATCH(BQ$2,$AH$1:$AV$1,0))="","",INDEX($AH67:$AV67,MATCH(BQ$2,$AH$1:$AV$1,0)))</f>
        <v>JillPowderedDelta</v>
      </c>
      <c r="BR68" s="1" t="str">
        <f t="shared" ref="BR68:BR131" si="40">IF(INDEX($AH67:$AV67,MATCH(BR$2,$AH$1:$AV$1,0))="","",INDEX($AH67:$AV67,MATCH(BR$2,$AH$1:$AV$1,0)))</f>
        <v/>
      </c>
      <c r="BS68" s="1" t="str">
        <f t="shared" ref="BS68:BS131" si="41">IF(INDEX($AH67:$AV67,MATCH(BS$2,$AH$1:$AV$1,0))="","",INDEX($AH67:$AV67,MATCH(BS$2,$AH$1:$AV$1,0)))</f>
        <v/>
      </c>
      <c r="BT68" s="1"/>
    </row>
    <row r="69" spans="3:72" x14ac:dyDescent="0.25">
      <c r="D69" s="9"/>
      <c r="AV69" t="s">
        <v>723</v>
      </c>
      <c r="AZ69" s="1" t="str">
        <f t="shared" si="22"/>
        <v/>
      </c>
      <c r="BA69" s="1" t="str">
        <f t="shared" si="23"/>
        <v/>
      </c>
      <c r="BB69" s="1" t="str">
        <f t="shared" si="24"/>
        <v/>
      </c>
      <c r="BC69" s="1" t="str">
        <f t="shared" si="25"/>
        <v/>
      </c>
      <c r="BD69" s="1" t="str">
        <f t="shared" si="26"/>
        <v/>
      </c>
      <c r="BE69" s="1" t="str">
        <f t="shared" si="27"/>
        <v/>
      </c>
      <c r="BF69" s="1" t="str">
        <f t="shared" si="28"/>
        <v/>
      </c>
      <c r="BG69" s="1" t="str">
        <f t="shared" si="29"/>
        <v>Kar98k</v>
      </c>
      <c r="BH69" s="1" t="str">
        <f t="shared" si="30"/>
        <v/>
      </c>
      <c r="BI69" s="1" t="str">
        <f t="shared" si="31"/>
        <v/>
      </c>
      <c r="BJ69" s="1" t="str">
        <f t="shared" si="32"/>
        <v/>
      </c>
      <c r="BK69" s="1" t="str">
        <f t="shared" si="33"/>
        <v/>
      </c>
      <c r="BL69" s="1" t="str">
        <f t="shared" si="34"/>
        <v/>
      </c>
      <c r="BM69" s="1" t="str">
        <f t="shared" si="35"/>
        <v/>
      </c>
      <c r="BN69" s="1" t="str">
        <f t="shared" si="36"/>
        <v/>
      </c>
      <c r="BO69" s="1" t="str">
        <f t="shared" si="37"/>
        <v/>
      </c>
      <c r="BP69" s="1" t="str">
        <f t="shared" si="38"/>
        <v/>
      </c>
      <c r="BQ69" s="1" t="str">
        <f t="shared" si="39"/>
        <v>Kar98k</v>
      </c>
      <c r="BR69" s="1" t="str">
        <f t="shared" si="40"/>
        <v/>
      </c>
      <c r="BS69" s="1" t="str">
        <f t="shared" si="41"/>
        <v/>
      </c>
      <c r="BT69" s="1"/>
    </row>
    <row r="70" spans="3:72" x14ac:dyDescent="0.25">
      <c r="D70" s="9"/>
      <c r="AV70" t="s">
        <v>266</v>
      </c>
      <c r="AZ70" s="1" t="str">
        <f t="shared" si="22"/>
        <v/>
      </c>
      <c r="BA70" s="1" t="str">
        <f t="shared" si="23"/>
        <v/>
      </c>
      <c r="BB70" s="1" t="str">
        <f t="shared" si="24"/>
        <v/>
      </c>
      <c r="BC70" s="1" t="str">
        <f t="shared" si="25"/>
        <v/>
      </c>
      <c r="BD70" s="1" t="str">
        <f t="shared" si="26"/>
        <v/>
      </c>
      <c r="BE70" s="1" t="str">
        <f t="shared" si="27"/>
        <v/>
      </c>
      <c r="BF70" s="1" t="str">
        <f t="shared" si="28"/>
        <v/>
      </c>
      <c r="BG70" s="1" t="str">
        <f t="shared" si="29"/>
        <v>KS23</v>
      </c>
      <c r="BH70" s="1" t="str">
        <f t="shared" si="30"/>
        <v/>
      </c>
      <c r="BI70" s="1" t="str">
        <f t="shared" si="31"/>
        <v/>
      </c>
      <c r="BJ70" s="1" t="str">
        <f t="shared" si="32"/>
        <v/>
      </c>
      <c r="BK70" s="1" t="str">
        <f t="shared" si="33"/>
        <v/>
      </c>
      <c r="BL70" s="1" t="str">
        <f t="shared" si="34"/>
        <v/>
      </c>
      <c r="BM70" s="1" t="str">
        <f t="shared" si="35"/>
        <v/>
      </c>
      <c r="BN70" s="1" t="str">
        <f t="shared" si="36"/>
        <v/>
      </c>
      <c r="BO70" s="1" t="str">
        <f t="shared" si="37"/>
        <v/>
      </c>
      <c r="BP70" s="1" t="str">
        <f t="shared" si="38"/>
        <v/>
      </c>
      <c r="BQ70" s="1" t="str">
        <f t="shared" si="39"/>
        <v>KS23</v>
      </c>
      <c r="BR70" s="1" t="str">
        <f t="shared" si="40"/>
        <v/>
      </c>
      <c r="BS70" s="1" t="str">
        <f t="shared" si="41"/>
        <v/>
      </c>
      <c r="BT70" s="1"/>
    </row>
    <row r="71" spans="3:72" x14ac:dyDescent="0.25">
      <c r="AV71" t="s">
        <v>96</v>
      </c>
      <c r="AZ71" s="1" t="str">
        <f t="shared" si="22"/>
        <v/>
      </c>
      <c r="BA71" s="1" t="str">
        <f t="shared" si="23"/>
        <v/>
      </c>
      <c r="BB71" s="1" t="str">
        <f t="shared" si="24"/>
        <v/>
      </c>
      <c r="BC71" s="1" t="str">
        <f t="shared" si="25"/>
        <v/>
      </c>
      <c r="BD71" s="1" t="str">
        <f t="shared" si="26"/>
        <v/>
      </c>
      <c r="BE71" s="1" t="str">
        <f t="shared" si="27"/>
        <v/>
      </c>
      <c r="BF71" s="1" t="str">
        <f t="shared" si="28"/>
        <v/>
      </c>
      <c r="BG71" s="1" t="str">
        <f t="shared" si="29"/>
        <v>KSVKMod</v>
      </c>
      <c r="BH71" s="1" t="str">
        <f t="shared" si="30"/>
        <v/>
      </c>
      <c r="BI71" s="1" t="str">
        <f t="shared" si="31"/>
        <v/>
      </c>
      <c r="BJ71" s="1" t="str">
        <f t="shared" si="32"/>
        <v/>
      </c>
      <c r="BK71" s="1" t="str">
        <f t="shared" si="33"/>
        <v/>
      </c>
      <c r="BL71" s="1" t="str">
        <f t="shared" si="34"/>
        <v/>
      </c>
      <c r="BM71" s="1" t="str">
        <f t="shared" si="35"/>
        <v/>
      </c>
      <c r="BN71" s="1" t="str">
        <f t="shared" si="36"/>
        <v/>
      </c>
      <c r="BO71" s="1" t="str">
        <f t="shared" si="37"/>
        <v/>
      </c>
      <c r="BP71" s="1" t="str">
        <f t="shared" si="38"/>
        <v/>
      </c>
      <c r="BQ71" s="1" t="str">
        <f t="shared" si="39"/>
        <v>KSVKMod</v>
      </c>
      <c r="BR71" s="1" t="str">
        <f t="shared" si="40"/>
        <v/>
      </c>
      <c r="BS71" s="1" t="str">
        <f t="shared" si="41"/>
        <v/>
      </c>
      <c r="BT71" s="1"/>
    </row>
    <row r="72" spans="3:72" x14ac:dyDescent="0.25">
      <c r="AV72" t="s">
        <v>261</v>
      </c>
      <c r="AZ72" s="1" t="str">
        <f t="shared" si="22"/>
        <v/>
      </c>
      <c r="BA72" s="1" t="str">
        <f t="shared" si="23"/>
        <v/>
      </c>
      <c r="BB72" s="1" t="str">
        <f t="shared" si="24"/>
        <v/>
      </c>
      <c r="BC72" s="1" t="str">
        <f t="shared" si="25"/>
        <v/>
      </c>
      <c r="BD72" s="1" t="str">
        <f t="shared" si="26"/>
        <v/>
      </c>
      <c r="BE72" s="1" t="str">
        <f t="shared" si="27"/>
        <v/>
      </c>
      <c r="BF72" s="1" t="str">
        <f t="shared" si="28"/>
        <v/>
      </c>
      <c r="BG72" s="1" t="str">
        <f t="shared" si="29"/>
        <v>Lee Enfield</v>
      </c>
      <c r="BH72" s="1" t="str">
        <f t="shared" si="30"/>
        <v/>
      </c>
      <c r="BI72" s="1" t="str">
        <f t="shared" si="31"/>
        <v/>
      </c>
      <c r="BJ72" s="1" t="str">
        <f t="shared" si="32"/>
        <v/>
      </c>
      <c r="BK72" s="1" t="str">
        <f t="shared" si="33"/>
        <v/>
      </c>
      <c r="BL72" s="1" t="str">
        <f t="shared" si="34"/>
        <v/>
      </c>
      <c r="BM72" s="1" t="str">
        <f t="shared" si="35"/>
        <v/>
      </c>
      <c r="BN72" s="1" t="str">
        <f t="shared" si="36"/>
        <v/>
      </c>
      <c r="BO72" s="1" t="str">
        <f t="shared" si="37"/>
        <v/>
      </c>
      <c r="BP72" s="1" t="str">
        <f t="shared" si="38"/>
        <v/>
      </c>
      <c r="BQ72" s="1" t="str">
        <f t="shared" si="39"/>
        <v>Lee Enfield</v>
      </c>
      <c r="BR72" s="1" t="str">
        <f t="shared" si="40"/>
        <v/>
      </c>
      <c r="BS72" s="1" t="str">
        <f t="shared" si="41"/>
        <v/>
      </c>
      <c r="BT72" s="1"/>
    </row>
    <row r="73" spans="3:72" x14ac:dyDescent="0.25">
      <c r="AV73" t="s">
        <v>86</v>
      </c>
      <c r="AZ73" s="1" t="str">
        <f t="shared" si="22"/>
        <v/>
      </c>
      <c r="BA73" s="1" t="str">
        <f t="shared" si="23"/>
        <v/>
      </c>
      <c r="BB73" s="1" t="str">
        <f t="shared" si="24"/>
        <v/>
      </c>
      <c r="BC73" s="1" t="str">
        <f t="shared" si="25"/>
        <v/>
      </c>
      <c r="BD73" s="1" t="str">
        <f t="shared" si="26"/>
        <v/>
      </c>
      <c r="BE73" s="1" t="str">
        <f t="shared" si="27"/>
        <v/>
      </c>
      <c r="BF73" s="1" t="str">
        <f t="shared" si="28"/>
        <v/>
      </c>
      <c r="BG73" s="1" t="str">
        <f t="shared" si="29"/>
        <v>LWMMGMod</v>
      </c>
      <c r="BH73" s="1" t="str">
        <f t="shared" si="30"/>
        <v/>
      </c>
      <c r="BI73" s="1" t="str">
        <f t="shared" si="31"/>
        <v/>
      </c>
      <c r="BJ73" s="1" t="str">
        <f t="shared" si="32"/>
        <v/>
      </c>
      <c r="BK73" s="1" t="str">
        <f t="shared" si="33"/>
        <v/>
      </c>
      <c r="BL73" s="1" t="str">
        <f t="shared" si="34"/>
        <v/>
      </c>
      <c r="BM73" s="1" t="str">
        <f t="shared" si="35"/>
        <v/>
      </c>
      <c r="BN73" s="1" t="str">
        <f t="shared" si="36"/>
        <v/>
      </c>
      <c r="BO73" s="1" t="str">
        <f t="shared" si="37"/>
        <v/>
      </c>
      <c r="BP73" s="1" t="str">
        <f t="shared" si="38"/>
        <v/>
      </c>
      <c r="BQ73" s="1" t="str">
        <f t="shared" si="39"/>
        <v>LWMMGMod</v>
      </c>
      <c r="BR73" s="1" t="str">
        <f t="shared" si="40"/>
        <v/>
      </c>
      <c r="BS73" s="1" t="str">
        <f t="shared" si="41"/>
        <v/>
      </c>
      <c r="BT73" s="1"/>
    </row>
    <row r="74" spans="3:72" x14ac:dyDescent="0.25">
      <c r="AV74" t="s">
        <v>255</v>
      </c>
      <c r="AZ74" s="1" t="str">
        <f t="shared" si="22"/>
        <v/>
      </c>
      <c r="BA74" s="1" t="str">
        <f t="shared" si="23"/>
        <v/>
      </c>
      <c r="BB74" s="1" t="str">
        <f t="shared" si="24"/>
        <v/>
      </c>
      <c r="BC74" s="1" t="str">
        <f t="shared" si="25"/>
        <v/>
      </c>
      <c r="BD74" s="1" t="str">
        <f t="shared" si="26"/>
        <v/>
      </c>
      <c r="BE74" s="1" t="str">
        <f t="shared" si="27"/>
        <v/>
      </c>
      <c r="BF74" s="1" t="str">
        <f t="shared" si="28"/>
        <v/>
      </c>
      <c r="BG74" s="1" t="str">
        <f t="shared" si="29"/>
        <v>M1 Garand</v>
      </c>
      <c r="BH74" s="1" t="str">
        <f t="shared" si="30"/>
        <v/>
      </c>
      <c r="BI74" s="1" t="str">
        <f t="shared" si="31"/>
        <v/>
      </c>
      <c r="BJ74" s="1" t="str">
        <f t="shared" si="32"/>
        <v/>
      </c>
      <c r="BK74" s="1" t="str">
        <f t="shared" si="33"/>
        <v/>
      </c>
      <c r="BL74" s="1" t="str">
        <f t="shared" si="34"/>
        <v/>
      </c>
      <c r="BM74" s="1" t="str">
        <f t="shared" si="35"/>
        <v/>
      </c>
      <c r="BN74" s="1" t="str">
        <f t="shared" si="36"/>
        <v/>
      </c>
      <c r="BO74" s="1" t="str">
        <f t="shared" si="37"/>
        <v/>
      </c>
      <c r="BP74" s="1" t="str">
        <f t="shared" si="38"/>
        <v/>
      </c>
      <c r="BQ74" s="1" t="str">
        <f t="shared" si="39"/>
        <v>M1 Garand</v>
      </c>
      <c r="BR74" s="1" t="str">
        <f t="shared" si="40"/>
        <v/>
      </c>
      <c r="BS74" s="1" t="str">
        <f t="shared" si="41"/>
        <v/>
      </c>
      <c r="BT74" s="1"/>
    </row>
    <row r="75" spans="3:72" x14ac:dyDescent="0.25">
      <c r="AV75" t="s">
        <v>98</v>
      </c>
      <c r="AZ75" s="1" t="str">
        <f t="shared" si="22"/>
        <v/>
      </c>
      <c r="BA75" s="1" t="str">
        <f t="shared" si="23"/>
        <v/>
      </c>
      <c r="BB75" s="1" t="str">
        <f t="shared" si="24"/>
        <v/>
      </c>
      <c r="BC75" s="1" t="str">
        <f t="shared" si="25"/>
        <v/>
      </c>
      <c r="BD75" s="1" t="str">
        <f t="shared" si="26"/>
        <v/>
      </c>
      <c r="BE75" s="1" t="str">
        <f t="shared" si="27"/>
        <v/>
      </c>
      <c r="BF75" s="1" t="str">
        <f t="shared" si="28"/>
        <v/>
      </c>
      <c r="BG75" s="1" t="str">
        <f t="shared" si="29"/>
        <v>M14Mod</v>
      </c>
      <c r="BH75" s="1" t="str">
        <f t="shared" si="30"/>
        <v/>
      </c>
      <c r="BI75" s="1" t="str">
        <f t="shared" si="31"/>
        <v/>
      </c>
      <c r="BJ75" s="1" t="str">
        <f t="shared" si="32"/>
        <v/>
      </c>
      <c r="BK75" s="1" t="str">
        <f t="shared" si="33"/>
        <v/>
      </c>
      <c r="BL75" s="1" t="str">
        <f t="shared" si="34"/>
        <v/>
      </c>
      <c r="BM75" s="1" t="str">
        <f t="shared" si="35"/>
        <v/>
      </c>
      <c r="BN75" s="1" t="str">
        <f t="shared" si="36"/>
        <v/>
      </c>
      <c r="BO75" s="1" t="str">
        <f t="shared" si="37"/>
        <v/>
      </c>
      <c r="BP75" s="1" t="str">
        <f t="shared" si="38"/>
        <v/>
      </c>
      <c r="BQ75" s="1" t="str">
        <f t="shared" si="39"/>
        <v>M14Mod</v>
      </c>
      <c r="BR75" s="1" t="str">
        <f t="shared" si="40"/>
        <v/>
      </c>
      <c r="BS75" s="1" t="str">
        <f t="shared" si="41"/>
        <v/>
      </c>
      <c r="BT75" s="1"/>
    </row>
    <row r="76" spans="3:72" x14ac:dyDescent="0.25">
      <c r="AV76" t="s">
        <v>787</v>
      </c>
      <c r="AZ76" s="1" t="str">
        <f t="shared" si="22"/>
        <v/>
      </c>
      <c r="BA76" s="1" t="str">
        <f t="shared" si="23"/>
        <v/>
      </c>
      <c r="BB76" s="1" t="str">
        <f t="shared" si="24"/>
        <v/>
      </c>
      <c r="BC76" s="1" t="str">
        <f t="shared" si="25"/>
        <v/>
      </c>
      <c r="BD76" s="1" t="str">
        <f t="shared" si="26"/>
        <v/>
      </c>
      <c r="BE76" s="1" t="str">
        <f t="shared" si="27"/>
        <v/>
      </c>
      <c r="BF76" s="1" t="str">
        <f t="shared" si="28"/>
        <v/>
      </c>
      <c r="BG76" s="1" t="str">
        <f t="shared" si="29"/>
        <v>M16A1</v>
      </c>
      <c r="BH76" s="1" t="str">
        <f t="shared" si="30"/>
        <v/>
      </c>
      <c r="BI76" s="1" t="str">
        <f t="shared" si="31"/>
        <v/>
      </c>
      <c r="BJ76" s="1" t="str">
        <f t="shared" si="32"/>
        <v/>
      </c>
      <c r="BK76" s="1" t="str">
        <f t="shared" si="33"/>
        <v/>
      </c>
      <c r="BL76" s="1" t="str">
        <f t="shared" si="34"/>
        <v/>
      </c>
      <c r="BM76" s="1" t="str">
        <f t="shared" si="35"/>
        <v/>
      </c>
      <c r="BN76" s="1" t="str">
        <f t="shared" si="36"/>
        <v/>
      </c>
      <c r="BO76" s="1" t="str">
        <f t="shared" si="37"/>
        <v/>
      </c>
      <c r="BP76" s="1" t="str">
        <f t="shared" si="38"/>
        <v/>
      </c>
      <c r="BQ76" s="1" t="str">
        <f t="shared" si="39"/>
        <v>M16A1</v>
      </c>
      <c r="BR76" s="1" t="str">
        <f t="shared" si="40"/>
        <v/>
      </c>
      <c r="BS76" s="1" t="str">
        <f t="shared" si="41"/>
        <v/>
      </c>
      <c r="BT76" s="1"/>
    </row>
    <row r="77" spans="3:72" x14ac:dyDescent="0.25">
      <c r="AV77" t="s">
        <v>725</v>
      </c>
      <c r="AZ77" s="1" t="str">
        <f t="shared" si="22"/>
        <v/>
      </c>
      <c r="BA77" s="1" t="str">
        <f t="shared" si="23"/>
        <v/>
      </c>
      <c r="BB77" s="1" t="str">
        <f t="shared" si="24"/>
        <v/>
      </c>
      <c r="BC77" s="1" t="str">
        <f t="shared" si="25"/>
        <v/>
      </c>
      <c r="BD77" s="1" t="str">
        <f t="shared" si="26"/>
        <v/>
      </c>
      <c r="BE77" s="1" t="str">
        <f t="shared" si="27"/>
        <v/>
      </c>
      <c r="BF77" s="1" t="str">
        <f t="shared" si="28"/>
        <v/>
      </c>
      <c r="BG77" s="1" t="str">
        <f t="shared" si="29"/>
        <v>M1895Mod</v>
      </c>
      <c r="BH77" s="1" t="str">
        <f t="shared" si="30"/>
        <v/>
      </c>
      <c r="BI77" s="1" t="str">
        <f t="shared" si="31"/>
        <v/>
      </c>
      <c r="BJ77" s="1" t="str">
        <f t="shared" si="32"/>
        <v/>
      </c>
      <c r="BK77" s="1" t="str">
        <f t="shared" si="33"/>
        <v/>
      </c>
      <c r="BL77" s="1" t="str">
        <f t="shared" si="34"/>
        <v/>
      </c>
      <c r="BM77" s="1" t="str">
        <f t="shared" si="35"/>
        <v/>
      </c>
      <c r="BN77" s="1" t="str">
        <f t="shared" si="36"/>
        <v/>
      </c>
      <c r="BO77" s="1" t="str">
        <f t="shared" si="37"/>
        <v/>
      </c>
      <c r="BP77" s="1" t="str">
        <f t="shared" si="38"/>
        <v/>
      </c>
      <c r="BQ77" s="1" t="str">
        <f t="shared" si="39"/>
        <v>M1895Mod</v>
      </c>
      <c r="BR77" s="1" t="str">
        <f t="shared" si="40"/>
        <v/>
      </c>
      <c r="BS77" s="1" t="str">
        <f t="shared" si="41"/>
        <v/>
      </c>
      <c r="BT77" s="1"/>
    </row>
    <row r="78" spans="3:72" x14ac:dyDescent="0.25">
      <c r="AV78" t="s">
        <v>253</v>
      </c>
      <c r="AZ78" s="1" t="str">
        <f t="shared" si="22"/>
        <v/>
      </c>
      <c r="BA78" s="1" t="str">
        <f t="shared" si="23"/>
        <v/>
      </c>
      <c r="BB78" s="1" t="str">
        <f t="shared" si="24"/>
        <v/>
      </c>
      <c r="BC78" s="1" t="str">
        <f t="shared" si="25"/>
        <v/>
      </c>
      <c r="BD78" s="1" t="str">
        <f t="shared" si="26"/>
        <v/>
      </c>
      <c r="BE78" s="1" t="str">
        <f t="shared" si="27"/>
        <v/>
      </c>
      <c r="BF78" s="1" t="str">
        <f t="shared" si="28"/>
        <v/>
      </c>
      <c r="BG78" s="1" t="str">
        <f t="shared" si="29"/>
        <v>M1897Mod</v>
      </c>
      <c r="BH78" s="1" t="str">
        <f t="shared" si="30"/>
        <v/>
      </c>
      <c r="BI78" s="1" t="str">
        <f t="shared" si="31"/>
        <v/>
      </c>
      <c r="BJ78" s="1" t="str">
        <f t="shared" si="32"/>
        <v/>
      </c>
      <c r="BK78" s="1" t="str">
        <f t="shared" si="33"/>
        <v/>
      </c>
      <c r="BL78" s="1" t="str">
        <f t="shared" si="34"/>
        <v/>
      </c>
      <c r="BM78" s="1" t="str">
        <f t="shared" si="35"/>
        <v/>
      </c>
      <c r="BN78" s="1" t="str">
        <f t="shared" si="36"/>
        <v/>
      </c>
      <c r="BO78" s="1" t="str">
        <f t="shared" si="37"/>
        <v/>
      </c>
      <c r="BP78" s="1" t="str">
        <f t="shared" si="38"/>
        <v/>
      </c>
      <c r="BQ78" s="1" t="str">
        <f t="shared" si="39"/>
        <v>M1897Mod</v>
      </c>
      <c r="BR78" s="1" t="str">
        <f t="shared" si="40"/>
        <v/>
      </c>
      <c r="BS78" s="1" t="str">
        <f t="shared" si="41"/>
        <v/>
      </c>
      <c r="BT78" s="1"/>
    </row>
    <row r="79" spans="3:72" x14ac:dyDescent="0.25">
      <c r="AV79" t="s">
        <v>105</v>
      </c>
      <c r="AZ79" s="1" t="str">
        <f t="shared" si="22"/>
        <v/>
      </c>
      <c r="BA79" s="1" t="str">
        <f t="shared" si="23"/>
        <v/>
      </c>
      <c r="BB79" s="1" t="str">
        <f t="shared" si="24"/>
        <v/>
      </c>
      <c r="BC79" s="1" t="str">
        <f t="shared" si="25"/>
        <v/>
      </c>
      <c r="BD79" s="1" t="str">
        <f t="shared" si="26"/>
        <v/>
      </c>
      <c r="BE79" s="1" t="str">
        <f t="shared" si="27"/>
        <v/>
      </c>
      <c r="BF79" s="1" t="str">
        <f t="shared" si="28"/>
        <v/>
      </c>
      <c r="BG79" s="1" t="str">
        <f t="shared" si="29"/>
        <v>M1911Mod</v>
      </c>
      <c r="BH79" s="1" t="str">
        <f t="shared" si="30"/>
        <v/>
      </c>
      <c r="BI79" s="1" t="str">
        <f t="shared" si="31"/>
        <v/>
      </c>
      <c r="BJ79" s="1" t="str">
        <f t="shared" si="32"/>
        <v/>
      </c>
      <c r="BK79" s="1" t="str">
        <f t="shared" si="33"/>
        <v/>
      </c>
      <c r="BL79" s="1" t="str">
        <f t="shared" si="34"/>
        <v/>
      </c>
      <c r="BM79" s="1" t="str">
        <f t="shared" si="35"/>
        <v/>
      </c>
      <c r="BN79" s="1" t="str">
        <f t="shared" si="36"/>
        <v/>
      </c>
      <c r="BO79" s="1" t="str">
        <f t="shared" si="37"/>
        <v/>
      </c>
      <c r="BP79" s="1" t="str">
        <f t="shared" si="38"/>
        <v/>
      </c>
      <c r="BQ79" s="1" t="str">
        <f t="shared" si="39"/>
        <v>M1911Mod</v>
      </c>
      <c r="BR79" s="1" t="str">
        <f t="shared" si="40"/>
        <v/>
      </c>
      <c r="BS79" s="1" t="str">
        <f t="shared" si="41"/>
        <v/>
      </c>
      <c r="BT79" s="1"/>
    </row>
    <row r="80" spans="3:72" x14ac:dyDescent="0.25">
      <c r="AV80" t="s">
        <v>260</v>
      </c>
      <c r="AZ80" s="1" t="str">
        <f t="shared" si="22"/>
        <v/>
      </c>
      <c r="BA80" s="1" t="str">
        <f t="shared" si="23"/>
        <v/>
      </c>
      <c r="BB80" s="1" t="str">
        <f t="shared" si="24"/>
        <v/>
      </c>
      <c r="BC80" s="1" t="str">
        <f t="shared" si="25"/>
        <v/>
      </c>
      <c r="BD80" s="1" t="str">
        <f t="shared" si="26"/>
        <v/>
      </c>
      <c r="BE80" s="1" t="str">
        <f t="shared" si="27"/>
        <v/>
      </c>
      <c r="BF80" s="1" t="str">
        <f t="shared" si="28"/>
        <v/>
      </c>
      <c r="BG80" s="1" t="str">
        <f t="shared" si="29"/>
        <v>M1918</v>
      </c>
      <c r="BH80" s="1" t="str">
        <f t="shared" si="30"/>
        <v/>
      </c>
      <c r="BI80" s="1" t="str">
        <f t="shared" si="31"/>
        <v/>
      </c>
      <c r="BJ80" s="1" t="str">
        <f t="shared" si="32"/>
        <v/>
      </c>
      <c r="BK80" s="1" t="str">
        <f t="shared" si="33"/>
        <v/>
      </c>
      <c r="BL80" s="1" t="str">
        <f t="shared" si="34"/>
        <v/>
      </c>
      <c r="BM80" s="1" t="str">
        <f t="shared" si="35"/>
        <v/>
      </c>
      <c r="BN80" s="1" t="str">
        <f t="shared" si="36"/>
        <v/>
      </c>
      <c r="BO80" s="1" t="str">
        <f t="shared" si="37"/>
        <v/>
      </c>
      <c r="BP80" s="1" t="str">
        <f t="shared" si="38"/>
        <v/>
      </c>
      <c r="BQ80" s="1" t="str">
        <f t="shared" si="39"/>
        <v>M1918</v>
      </c>
      <c r="BR80" s="1" t="str">
        <f t="shared" si="40"/>
        <v/>
      </c>
      <c r="BS80" s="1" t="str">
        <f t="shared" si="41"/>
        <v/>
      </c>
      <c r="BT80" s="1"/>
    </row>
    <row r="81" spans="48:72" x14ac:dyDescent="0.25">
      <c r="AV81" t="s">
        <v>107</v>
      </c>
      <c r="AZ81" s="1" t="str">
        <f t="shared" si="22"/>
        <v/>
      </c>
      <c r="BA81" s="1" t="str">
        <f t="shared" si="23"/>
        <v/>
      </c>
      <c r="BB81" s="1" t="str">
        <f t="shared" si="24"/>
        <v/>
      </c>
      <c r="BC81" s="1" t="str">
        <f t="shared" si="25"/>
        <v/>
      </c>
      <c r="BD81" s="1" t="str">
        <f t="shared" si="26"/>
        <v/>
      </c>
      <c r="BE81" s="1" t="str">
        <f t="shared" si="27"/>
        <v/>
      </c>
      <c r="BF81" s="1" t="str">
        <f t="shared" si="28"/>
        <v/>
      </c>
      <c r="BG81" s="1" t="str">
        <f t="shared" si="29"/>
        <v>M1918Mod</v>
      </c>
      <c r="BH81" s="1" t="str">
        <f t="shared" si="30"/>
        <v/>
      </c>
      <c r="BI81" s="1" t="str">
        <f t="shared" si="31"/>
        <v/>
      </c>
      <c r="BJ81" s="1" t="str">
        <f t="shared" si="32"/>
        <v/>
      </c>
      <c r="BK81" s="1" t="str">
        <f t="shared" si="33"/>
        <v/>
      </c>
      <c r="BL81" s="1" t="str">
        <f t="shared" si="34"/>
        <v/>
      </c>
      <c r="BM81" s="1" t="str">
        <f t="shared" si="35"/>
        <v/>
      </c>
      <c r="BN81" s="1" t="str">
        <f t="shared" si="36"/>
        <v/>
      </c>
      <c r="BO81" s="1" t="str">
        <f t="shared" si="37"/>
        <v/>
      </c>
      <c r="BP81" s="1" t="str">
        <f t="shared" si="38"/>
        <v/>
      </c>
      <c r="BQ81" s="1" t="str">
        <f t="shared" si="39"/>
        <v>M1918Mod</v>
      </c>
      <c r="BR81" s="1" t="str">
        <f t="shared" si="40"/>
        <v/>
      </c>
      <c r="BS81" s="1" t="str">
        <f t="shared" si="41"/>
        <v/>
      </c>
      <c r="BT81" s="1"/>
    </row>
    <row r="82" spans="48:72" x14ac:dyDescent="0.25">
      <c r="AV82" t="s">
        <v>89</v>
      </c>
      <c r="AZ82" s="1" t="str">
        <f t="shared" si="22"/>
        <v/>
      </c>
      <c r="BA82" s="1" t="str">
        <f t="shared" si="23"/>
        <v/>
      </c>
      <c r="BB82" s="1" t="str">
        <f t="shared" si="24"/>
        <v/>
      </c>
      <c r="BC82" s="1" t="str">
        <f t="shared" si="25"/>
        <v/>
      </c>
      <c r="BD82" s="1" t="str">
        <f t="shared" si="26"/>
        <v/>
      </c>
      <c r="BE82" s="1" t="str">
        <f t="shared" si="27"/>
        <v/>
      </c>
      <c r="BF82" s="1" t="str">
        <f t="shared" si="28"/>
        <v/>
      </c>
      <c r="BG82" s="1" t="str">
        <f t="shared" si="29"/>
        <v>M1919A4</v>
      </c>
      <c r="BH82" s="1" t="str">
        <f t="shared" si="30"/>
        <v/>
      </c>
      <c r="BI82" s="1" t="str">
        <f t="shared" si="31"/>
        <v/>
      </c>
      <c r="BJ82" s="1" t="str">
        <f t="shared" si="32"/>
        <v/>
      </c>
      <c r="BK82" s="1" t="str">
        <f t="shared" si="33"/>
        <v/>
      </c>
      <c r="BL82" s="1" t="str">
        <f t="shared" si="34"/>
        <v/>
      </c>
      <c r="BM82" s="1" t="str">
        <f t="shared" si="35"/>
        <v/>
      </c>
      <c r="BN82" s="1" t="str">
        <f t="shared" si="36"/>
        <v/>
      </c>
      <c r="BO82" s="1" t="str">
        <f t="shared" si="37"/>
        <v/>
      </c>
      <c r="BP82" s="1" t="str">
        <f t="shared" si="38"/>
        <v/>
      </c>
      <c r="BQ82" s="1" t="str">
        <f t="shared" si="39"/>
        <v>M1919A4</v>
      </c>
      <c r="BR82" s="1" t="str">
        <f t="shared" si="40"/>
        <v/>
      </c>
      <c r="BS82" s="1" t="str">
        <f t="shared" si="41"/>
        <v/>
      </c>
      <c r="BT82" s="1"/>
    </row>
    <row r="83" spans="48:72" x14ac:dyDescent="0.25">
      <c r="AV83" t="s">
        <v>1199</v>
      </c>
      <c r="AZ83" s="1" t="str">
        <f t="shared" si="22"/>
        <v/>
      </c>
      <c r="BA83" s="1" t="str">
        <f t="shared" si="23"/>
        <v/>
      </c>
      <c r="BB83" s="1" t="str">
        <f t="shared" si="24"/>
        <v/>
      </c>
      <c r="BC83" s="1" t="str">
        <f t="shared" si="25"/>
        <v/>
      </c>
      <c r="BD83" s="1" t="str">
        <f t="shared" si="26"/>
        <v/>
      </c>
      <c r="BE83" s="1" t="str">
        <f t="shared" si="27"/>
        <v/>
      </c>
      <c r="BF83" s="1" t="str">
        <f t="shared" si="28"/>
        <v/>
      </c>
      <c r="BG83" s="1" t="str">
        <f t="shared" si="29"/>
        <v>M21</v>
      </c>
      <c r="BH83" s="1" t="str">
        <f t="shared" si="30"/>
        <v/>
      </c>
      <c r="BI83" s="1" t="str">
        <f t="shared" si="31"/>
        <v/>
      </c>
      <c r="BJ83" s="1" t="str">
        <f t="shared" si="32"/>
        <v/>
      </c>
      <c r="BK83" s="1" t="str">
        <f t="shared" si="33"/>
        <v/>
      </c>
      <c r="BL83" s="1" t="str">
        <f t="shared" si="34"/>
        <v/>
      </c>
      <c r="BM83" s="1" t="str">
        <f t="shared" si="35"/>
        <v/>
      </c>
      <c r="BN83" s="1" t="str">
        <f t="shared" si="36"/>
        <v/>
      </c>
      <c r="BO83" s="1" t="str">
        <f t="shared" si="37"/>
        <v/>
      </c>
      <c r="BP83" s="1" t="str">
        <f t="shared" si="38"/>
        <v/>
      </c>
      <c r="BQ83" s="1" t="str">
        <f t="shared" si="39"/>
        <v>M21</v>
      </c>
      <c r="BR83" s="1" t="str">
        <f t="shared" si="40"/>
        <v/>
      </c>
      <c r="BS83" s="1" t="str">
        <f t="shared" si="41"/>
        <v/>
      </c>
      <c r="BT83" s="1"/>
    </row>
    <row r="84" spans="48:72" x14ac:dyDescent="0.25">
      <c r="AV84" t="s">
        <v>77</v>
      </c>
      <c r="AZ84" s="1" t="str">
        <f t="shared" si="22"/>
        <v/>
      </c>
      <c r="BA84" s="1" t="str">
        <f t="shared" si="23"/>
        <v/>
      </c>
      <c r="BB84" s="1" t="str">
        <f t="shared" si="24"/>
        <v/>
      </c>
      <c r="BC84" s="1" t="str">
        <f t="shared" si="25"/>
        <v/>
      </c>
      <c r="BD84" s="1" t="str">
        <f t="shared" si="26"/>
        <v/>
      </c>
      <c r="BE84" s="1" t="str">
        <f t="shared" si="27"/>
        <v/>
      </c>
      <c r="BF84" s="1" t="str">
        <f t="shared" si="28"/>
        <v/>
      </c>
      <c r="BG84" s="1" t="str">
        <f t="shared" si="29"/>
        <v>M249SAW</v>
      </c>
      <c r="BH84" s="1" t="str">
        <f t="shared" si="30"/>
        <v/>
      </c>
      <c r="BI84" s="1" t="str">
        <f t="shared" si="31"/>
        <v/>
      </c>
      <c r="BJ84" s="1" t="str">
        <f t="shared" si="32"/>
        <v/>
      </c>
      <c r="BK84" s="1" t="str">
        <f t="shared" si="33"/>
        <v/>
      </c>
      <c r="BL84" s="1" t="str">
        <f t="shared" si="34"/>
        <v/>
      </c>
      <c r="BM84" s="1" t="str">
        <f t="shared" si="35"/>
        <v/>
      </c>
      <c r="BN84" s="1" t="str">
        <f t="shared" si="36"/>
        <v/>
      </c>
      <c r="BO84" s="1" t="str">
        <f t="shared" si="37"/>
        <v/>
      </c>
      <c r="BP84" s="1" t="str">
        <f t="shared" si="38"/>
        <v/>
      </c>
      <c r="BQ84" s="1" t="str">
        <f t="shared" si="39"/>
        <v>M249SAW</v>
      </c>
      <c r="BR84" s="1" t="str">
        <f t="shared" si="40"/>
        <v/>
      </c>
      <c r="BS84" s="1" t="str">
        <f t="shared" si="41"/>
        <v/>
      </c>
      <c r="BT84" s="1"/>
    </row>
    <row r="85" spans="48:72" x14ac:dyDescent="0.25">
      <c r="AV85" t="s">
        <v>147</v>
      </c>
      <c r="AZ85" s="1" t="str">
        <f t="shared" si="22"/>
        <v/>
      </c>
      <c r="BA85" s="1" t="str">
        <f t="shared" si="23"/>
        <v/>
      </c>
      <c r="BB85" s="1" t="str">
        <f t="shared" si="24"/>
        <v/>
      </c>
      <c r="BC85" s="1" t="str">
        <f t="shared" si="25"/>
        <v/>
      </c>
      <c r="BD85" s="1" t="str">
        <f t="shared" si="26"/>
        <v/>
      </c>
      <c r="BE85" s="1" t="str">
        <f t="shared" si="27"/>
        <v/>
      </c>
      <c r="BF85" s="1" t="str">
        <f t="shared" si="28"/>
        <v/>
      </c>
      <c r="BG85" s="1" t="str">
        <f t="shared" si="29"/>
        <v>M3</v>
      </c>
      <c r="BH85" s="1" t="str">
        <f t="shared" si="30"/>
        <v/>
      </c>
      <c r="BI85" s="1" t="str">
        <f t="shared" si="31"/>
        <v/>
      </c>
      <c r="BJ85" s="1" t="str">
        <f t="shared" si="32"/>
        <v/>
      </c>
      <c r="BK85" s="1" t="str">
        <f t="shared" si="33"/>
        <v/>
      </c>
      <c r="BL85" s="1" t="str">
        <f t="shared" si="34"/>
        <v/>
      </c>
      <c r="BM85" s="1" t="str">
        <f t="shared" si="35"/>
        <v/>
      </c>
      <c r="BN85" s="1" t="str">
        <f t="shared" si="36"/>
        <v/>
      </c>
      <c r="BO85" s="1" t="str">
        <f t="shared" si="37"/>
        <v/>
      </c>
      <c r="BP85" s="1" t="str">
        <f t="shared" si="38"/>
        <v/>
      </c>
      <c r="BQ85" s="1" t="str">
        <f t="shared" si="39"/>
        <v>M3</v>
      </c>
      <c r="BR85" s="1" t="str">
        <f t="shared" si="40"/>
        <v/>
      </c>
      <c r="BS85" s="1" t="str">
        <f t="shared" si="41"/>
        <v/>
      </c>
      <c r="BT85" s="1"/>
    </row>
    <row r="86" spans="48:72" x14ac:dyDescent="0.25">
      <c r="AV86" t="s">
        <v>715</v>
      </c>
      <c r="AZ86" s="1" t="str">
        <f t="shared" si="22"/>
        <v/>
      </c>
      <c r="BA86" s="1" t="str">
        <f t="shared" si="23"/>
        <v/>
      </c>
      <c r="BB86" s="1" t="str">
        <f t="shared" si="24"/>
        <v/>
      </c>
      <c r="BC86" s="1" t="str">
        <f t="shared" si="25"/>
        <v/>
      </c>
      <c r="BD86" s="1" t="str">
        <f t="shared" si="26"/>
        <v/>
      </c>
      <c r="BE86" s="1" t="str">
        <f t="shared" si="27"/>
        <v/>
      </c>
      <c r="BF86" s="1" t="str">
        <f t="shared" si="28"/>
        <v/>
      </c>
      <c r="BG86" s="1" t="str">
        <f t="shared" si="29"/>
        <v>M37</v>
      </c>
      <c r="BH86" s="1" t="str">
        <f t="shared" si="30"/>
        <v/>
      </c>
      <c r="BI86" s="1" t="str">
        <f t="shared" si="31"/>
        <v/>
      </c>
      <c r="BJ86" s="1" t="str">
        <f t="shared" si="32"/>
        <v/>
      </c>
      <c r="BK86" s="1" t="str">
        <f t="shared" si="33"/>
        <v/>
      </c>
      <c r="BL86" s="1" t="str">
        <f t="shared" si="34"/>
        <v/>
      </c>
      <c r="BM86" s="1" t="str">
        <f t="shared" si="35"/>
        <v/>
      </c>
      <c r="BN86" s="1" t="str">
        <f t="shared" si="36"/>
        <v/>
      </c>
      <c r="BO86" s="1" t="str">
        <f t="shared" si="37"/>
        <v/>
      </c>
      <c r="BP86" s="1" t="str">
        <f t="shared" si="38"/>
        <v/>
      </c>
      <c r="BQ86" s="1" t="str">
        <f t="shared" si="39"/>
        <v>M37</v>
      </c>
      <c r="BR86" s="1" t="str">
        <f t="shared" si="40"/>
        <v/>
      </c>
      <c r="BS86" s="1" t="str">
        <f t="shared" si="41"/>
        <v/>
      </c>
      <c r="BT86" s="1"/>
    </row>
    <row r="87" spans="48:72" x14ac:dyDescent="0.25">
      <c r="AV87" t="s">
        <v>257</v>
      </c>
      <c r="AZ87" s="1" t="str">
        <f t="shared" si="22"/>
        <v/>
      </c>
      <c r="BA87" s="1" t="str">
        <f t="shared" si="23"/>
        <v/>
      </c>
      <c r="BB87" s="1" t="str">
        <f t="shared" si="24"/>
        <v/>
      </c>
      <c r="BC87" s="1" t="str">
        <f t="shared" si="25"/>
        <v/>
      </c>
      <c r="BD87" s="1" t="str">
        <f t="shared" si="26"/>
        <v/>
      </c>
      <c r="BE87" s="1" t="str">
        <f t="shared" si="27"/>
        <v/>
      </c>
      <c r="BF87" s="1" t="str">
        <f t="shared" si="28"/>
        <v/>
      </c>
      <c r="BG87" s="1" t="str">
        <f t="shared" si="29"/>
        <v>M38Mod</v>
      </c>
      <c r="BH87" s="1" t="str">
        <f t="shared" si="30"/>
        <v/>
      </c>
      <c r="BI87" s="1" t="str">
        <f t="shared" si="31"/>
        <v/>
      </c>
      <c r="BJ87" s="1" t="str">
        <f t="shared" si="32"/>
        <v/>
      </c>
      <c r="BK87" s="1" t="str">
        <f t="shared" si="33"/>
        <v/>
      </c>
      <c r="BL87" s="1" t="str">
        <f t="shared" si="34"/>
        <v/>
      </c>
      <c r="BM87" s="1" t="str">
        <f t="shared" si="35"/>
        <v/>
      </c>
      <c r="BN87" s="1" t="str">
        <f t="shared" si="36"/>
        <v/>
      </c>
      <c r="BO87" s="1" t="str">
        <f t="shared" si="37"/>
        <v/>
      </c>
      <c r="BP87" s="1" t="str">
        <f t="shared" si="38"/>
        <v/>
      </c>
      <c r="BQ87" s="1" t="str">
        <f t="shared" si="39"/>
        <v>M38Mod</v>
      </c>
      <c r="BR87" s="1" t="str">
        <f t="shared" si="40"/>
        <v/>
      </c>
      <c r="BS87" s="1" t="str">
        <f t="shared" si="41"/>
        <v/>
      </c>
      <c r="BT87" s="1"/>
    </row>
    <row r="88" spans="48:72" x14ac:dyDescent="0.25">
      <c r="AV88" t="s">
        <v>256</v>
      </c>
      <c r="AZ88" s="1" t="str">
        <f t="shared" si="22"/>
        <v/>
      </c>
      <c r="BA88" s="1" t="str">
        <f t="shared" si="23"/>
        <v/>
      </c>
      <c r="BB88" s="1" t="str">
        <f t="shared" si="24"/>
        <v/>
      </c>
      <c r="BC88" s="1" t="str">
        <f t="shared" si="25"/>
        <v/>
      </c>
      <c r="BD88" s="1" t="str">
        <f t="shared" si="26"/>
        <v/>
      </c>
      <c r="BE88" s="1" t="str">
        <f t="shared" si="27"/>
        <v/>
      </c>
      <c r="BF88" s="1" t="str">
        <f t="shared" si="28"/>
        <v/>
      </c>
      <c r="BG88" s="1" t="str">
        <f t="shared" si="29"/>
        <v>M4 SOPMOD IIMod</v>
      </c>
      <c r="BH88" s="1" t="str">
        <f t="shared" si="30"/>
        <v/>
      </c>
      <c r="BI88" s="1" t="str">
        <f t="shared" si="31"/>
        <v/>
      </c>
      <c r="BJ88" s="1" t="str">
        <f t="shared" si="32"/>
        <v/>
      </c>
      <c r="BK88" s="1" t="str">
        <f t="shared" si="33"/>
        <v/>
      </c>
      <c r="BL88" s="1" t="str">
        <f t="shared" si="34"/>
        <v/>
      </c>
      <c r="BM88" s="1" t="str">
        <f t="shared" si="35"/>
        <v/>
      </c>
      <c r="BN88" s="1" t="str">
        <f t="shared" si="36"/>
        <v/>
      </c>
      <c r="BO88" s="1" t="str">
        <f t="shared" si="37"/>
        <v/>
      </c>
      <c r="BP88" s="1" t="str">
        <f t="shared" si="38"/>
        <v/>
      </c>
      <c r="BQ88" s="1" t="str">
        <f t="shared" si="39"/>
        <v>M4 SOPMOD IIMod</v>
      </c>
      <c r="BR88" s="1" t="str">
        <f t="shared" si="40"/>
        <v/>
      </c>
      <c r="BS88" s="1" t="str">
        <f t="shared" si="41"/>
        <v/>
      </c>
      <c r="BT88" s="1"/>
    </row>
    <row r="89" spans="48:72" x14ac:dyDescent="0.25">
      <c r="AV89" t="s">
        <v>716</v>
      </c>
      <c r="AZ89" s="1" t="str">
        <f t="shared" si="22"/>
        <v/>
      </c>
      <c r="BA89" s="1" t="str">
        <f t="shared" si="23"/>
        <v/>
      </c>
      <c r="BB89" s="1" t="str">
        <f t="shared" si="24"/>
        <v/>
      </c>
      <c r="BC89" s="1" t="str">
        <f t="shared" si="25"/>
        <v/>
      </c>
      <c r="BD89" s="1" t="str">
        <f t="shared" si="26"/>
        <v/>
      </c>
      <c r="BE89" s="1" t="str">
        <f t="shared" si="27"/>
        <v/>
      </c>
      <c r="BF89" s="1" t="str">
        <f t="shared" si="28"/>
        <v/>
      </c>
      <c r="BG89" s="1" t="str">
        <f t="shared" si="29"/>
        <v>M4A1Mod</v>
      </c>
      <c r="BH89" s="1" t="str">
        <f t="shared" si="30"/>
        <v/>
      </c>
      <c r="BI89" s="1" t="str">
        <f t="shared" si="31"/>
        <v/>
      </c>
      <c r="BJ89" s="1" t="str">
        <f t="shared" si="32"/>
        <v/>
      </c>
      <c r="BK89" s="1" t="str">
        <f t="shared" si="33"/>
        <v/>
      </c>
      <c r="BL89" s="1" t="str">
        <f t="shared" si="34"/>
        <v/>
      </c>
      <c r="BM89" s="1" t="str">
        <f t="shared" si="35"/>
        <v/>
      </c>
      <c r="BN89" s="1" t="str">
        <f t="shared" si="36"/>
        <v/>
      </c>
      <c r="BO89" s="1" t="str">
        <f t="shared" si="37"/>
        <v/>
      </c>
      <c r="BP89" s="1" t="str">
        <f t="shared" si="38"/>
        <v/>
      </c>
      <c r="BQ89" s="1" t="str">
        <f t="shared" si="39"/>
        <v>M4A1Mod</v>
      </c>
      <c r="BR89" s="1" t="str">
        <f t="shared" si="40"/>
        <v/>
      </c>
      <c r="BS89" s="1" t="str">
        <f t="shared" si="41"/>
        <v/>
      </c>
      <c r="BT89" s="1"/>
    </row>
    <row r="90" spans="48:72" x14ac:dyDescent="0.25">
      <c r="AV90" t="s">
        <v>185</v>
      </c>
      <c r="AZ90" s="1" t="str">
        <f t="shared" si="22"/>
        <v/>
      </c>
      <c r="BA90" s="1" t="str">
        <f t="shared" si="23"/>
        <v/>
      </c>
      <c r="BB90" s="1" t="str">
        <f t="shared" si="24"/>
        <v/>
      </c>
      <c r="BC90" s="1" t="str">
        <f t="shared" si="25"/>
        <v/>
      </c>
      <c r="BD90" s="1" t="str">
        <f t="shared" si="26"/>
        <v/>
      </c>
      <c r="BE90" s="1" t="str">
        <f t="shared" si="27"/>
        <v/>
      </c>
      <c r="BF90" s="1" t="str">
        <f t="shared" si="28"/>
        <v/>
      </c>
      <c r="BG90" s="1" t="str">
        <f t="shared" si="29"/>
        <v>M500Mod</v>
      </c>
      <c r="BH90" s="1" t="str">
        <f t="shared" si="30"/>
        <v/>
      </c>
      <c r="BI90" s="1" t="str">
        <f t="shared" si="31"/>
        <v/>
      </c>
      <c r="BJ90" s="1" t="str">
        <f t="shared" si="32"/>
        <v/>
      </c>
      <c r="BK90" s="1" t="str">
        <f t="shared" si="33"/>
        <v/>
      </c>
      <c r="BL90" s="1" t="str">
        <f t="shared" si="34"/>
        <v/>
      </c>
      <c r="BM90" s="1" t="str">
        <f t="shared" si="35"/>
        <v/>
      </c>
      <c r="BN90" s="1" t="str">
        <f t="shared" si="36"/>
        <v/>
      </c>
      <c r="BO90" s="1" t="str">
        <f t="shared" si="37"/>
        <v/>
      </c>
      <c r="BP90" s="1" t="str">
        <f t="shared" si="38"/>
        <v/>
      </c>
      <c r="BQ90" s="1" t="str">
        <f t="shared" si="39"/>
        <v>M500Mod</v>
      </c>
      <c r="BR90" s="1" t="str">
        <f t="shared" si="40"/>
        <v/>
      </c>
      <c r="BS90" s="1" t="str">
        <f t="shared" si="41"/>
        <v/>
      </c>
      <c r="BT90" s="1"/>
    </row>
    <row r="91" spans="48:72" x14ac:dyDescent="0.25">
      <c r="AV91" t="s">
        <v>63</v>
      </c>
      <c r="AZ91" s="1" t="str">
        <f t="shared" si="22"/>
        <v/>
      </c>
      <c r="BA91" s="1" t="str">
        <f t="shared" si="23"/>
        <v/>
      </c>
      <c r="BB91" s="1" t="str">
        <f t="shared" si="24"/>
        <v/>
      </c>
      <c r="BC91" s="1" t="str">
        <f t="shared" si="25"/>
        <v/>
      </c>
      <c r="BD91" s="1" t="str">
        <f t="shared" si="26"/>
        <v/>
      </c>
      <c r="BE91" s="1" t="str">
        <f t="shared" si="27"/>
        <v/>
      </c>
      <c r="BF91" s="1" t="str">
        <f t="shared" si="28"/>
        <v/>
      </c>
      <c r="BG91" s="1" t="str">
        <f t="shared" si="29"/>
        <v>M82A1</v>
      </c>
      <c r="BH91" s="1" t="str">
        <f t="shared" si="30"/>
        <v/>
      </c>
      <c r="BI91" s="1" t="str">
        <f t="shared" si="31"/>
        <v/>
      </c>
      <c r="BJ91" s="1" t="str">
        <f t="shared" si="32"/>
        <v/>
      </c>
      <c r="BK91" s="1" t="str">
        <f t="shared" si="33"/>
        <v/>
      </c>
      <c r="BL91" s="1" t="str">
        <f t="shared" si="34"/>
        <v/>
      </c>
      <c r="BM91" s="1" t="str">
        <f t="shared" si="35"/>
        <v/>
      </c>
      <c r="BN91" s="1" t="str">
        <f t="shared" si="36"/>
        <v/>
      </c>
      <c r="BO91" s="1" t="str">
        <f t="shared" si="37"/>
        <v/>
      </c>
      <c r="BP91" s="1" t="str">
        <f t="shared" si="38"/>
        <v/>
      </c>
      <c r="BQ91" s="1" t="str">
        <f t="shared" si="39"/>
        <v>M82A1</v>
      </c>
      <c r="BR91" s="1" t="str">
        <f t="shared" si="40"/>
        <v/>
      </c>
      <c r="BS91" s="1" t="str">
        <f t="shared" si="41"/>
        <v/>
      </c>
      <c r="BT91" s="1"/>
    </row>
    <row r="92" spans="48:72" x14ac:dyDescent="0.25">
      <c r="AV92" t="s">
        <v>263</v>
      </c>
      <c r="AZ92" s="1" t="str">
        <f t="shared" si="22"/>
        <v/>
      </c>
      <c r="BA92" s="1" t="str">
        <f t="shared" si="23"/>
        <v/>
      </c>
      <c r="BB92" s="1" t="str">
        <f t="shared" si="24"/>
        <v/>
      </c>
      <c r="BC92" s="1" t="str">
        <f t="shared" si="25"/>
        <v/>
      </c>
      <c r="BD92" s="1" t="str">
        <f t="shared" si="26"/>
        <v/>
      </c>
      <c r="BE92" s="1" t="str">
        <f t="shared" si="27"/>
        <v/>
      </c>
      <c r="BF92" s="1" t="str">
        <f t="shared" si="28"/>
        <v/>
      </c>
      <c r="BG92" s="1" t="str">
        <f t="shared" si="29"/>
        <v>M9</v>
      </c>
      <c r="BH92" s="1" t="str">
        <f t="shared" si="30"/>
        <v/>
      </c>
      <c r="BI92" s="1" t="str">
        <f t="shared" si="31"/>
        <v/>
      </c>
      <c r="BJ92" s="1" t="str">
        <f t="shared" si="32"/>
        <v/>
      </c>
      <c r="BK92" s="1" t="str">
        <f t="shared" si="33"/>
        <v/>
      </c>
      <c r="BL92" s="1" t="str">
        <f t="shared" si="34"/>
        <v/>
      </c>
      <c r="BM92" s="1" t="str">
        <f t="shared" si="35"/>
        <v/>
      </c>
      <c r="BN92" s="1" t="str">
        <f t="shared" si="36"/>
        <v/>
      </c>
      <c r="BO92" s="1" t="str">
        <f t="shared" si="37"/>
        <v/>
      </c>
      <c r="BP92" s="1" t="str">
        <f t="shared" si="38"/>
        <v/>
      </c>
      <c r="BQ92" s="1" t="str">
        <f t="shared" si="39"/>
        <v>M9</v>
      </c>
      <c r="BR92" s="1" t="str">
        <f t="shared" si="40"/>
        <v/>
      </c>
      <c r="BS92" s="1" t="str">
        <f t="shared" si="41"/>
        <v/>
      </c>
      <c r="BT92" s="1"/>
    </row>
    <row r="93" spans="48:72" x14ac:dyDescent="0.25">
      <c r="AV93" t="s">
        <v>68</v>
      </c>
      <c r="AZ93" s="1" t="str">
        <f t="shared" si="22"/>
        <v/>
      </c>
      <c r="BA93" s="1" t="str">
        <f t="shared" si="23"/>
        <v/>
      </c>
      <c r="BB93" s="1" t="str">
        <f t="shared" si="24"/>
        <v/>
      </c>
      <c r="BC93" s="1" t="str">
        <f t="shared" si="25"/>
        <v/>
      </c>
      <c r="BD93" s="1" t="str">
        <f t="shared" si="26"/>
        <v/>
      </c>
      <c r="BE93" s="1" t="str">
        <f t="shared" si="27"/>
        <v/>
      </c>
      <c r="BF93" s="1" t="str">
        <f t="shared" si="28"/>
        <v/>
      </c>
      <c r="BG93" s="1" t="str">
        <f t="shared" si="29"/>
        <v>M950AMod</v>
      </c>
      <c r="BH93" s="1" t="str">
        <f t="shared" si="30"/>
        <v/>
      </c>
      <c r="BI93" s="1" t="str">
        <f t="shared" si="31"/>
        <v/>
      </c>
      <c r="BJ93" s="1" t="str">
        <f t="shared" si="32"/>
        <v/>
      </c>
      <c r="BK93" s="1" t="str">
        <f t="shared" si="33"/>
        <v/>
      </c>
      <c r="BL93" s="1" t="str">
        <f t="shared" si="34"/>
        <v/>
      </c>
      <c r="BM93" s="1" t="str">
        <f t="shared" si="35"/>
        <v/>
      </c>
      <c r="BN93" s="1" t="str">
        <f t="shared" si="36"/>
        <v/>
      </c>
      <c r="BO93" s="1" t="str">
        <f t="shared" si="37"/>
        <v/>
      </c>
      <c r="BP93" s="1" t="str">
        <f t="shared" si="38"/>
        <v/>
      </c>
      <c r="BQ93" s="1" t="str">
        <f t="shared" si="39"/>
        <v>M950AMod</v>
      </c>
      <c r="BR93" s="1" t="str">
        <f t="shared" si="40"/>
        <v/>
      </c>
      <c r="BS93" s="1" t="str">
        <f t="shared" si="41"/>
        <v/>
      </c>
      <c r="BT93" s="1"/>
    </row>
    <row r="94" spans="48:72" x14ac:dyDescent="0.25">
      <c r="AV94" t="s">
        <v>945</v>
      </c>
      <c r="AZ94" s="1" t="str">
        <f t="shared" si="22"/>
        <v/>
      </c>
      <c r="BA94" s="1" t="str">
        <f t="shared" si="23"/>
        <v/>
      </c>
      <c r="BB94" s="1" t="str">
        <f t="shared" si="24"/>
        <v/>
      </c>
      <c r="BC94" s="1" t="str">
        <f t="shared" si="25"/>
        <v/>
      </c>
      <c r="BD94" s="1" t="str">
        <f t="shared" si="26"/>
        <v/>
      </c>
      <c r="BE94" s="1" t="str">
        <f t="shared" si="27"/>
        <v/>
      </c>
      <c r="BF94" s="1" t="str">
        <f t="shared" si="28"/>
        <v/>
      </c>
      <c r="BG94" s="1" t="str">
        <f t="shared" si="29"/>
        <v>Makarov</v>
      </c>
      <c r="BH94" s="1" t="str">
        <f t="shared" si="30"/>
        <v/>
      </c>
      <c r="BI94" s="1" t="str">
        <f t="shared" si="31"/>
        <v/>
      </c>
      <c r="BJ94" s="1" t="str">
        <f t="shared" si="32"/>
        <v/>
      </c>
      <c r="BK94" s="1" t="str">
        <f t="shared" si="33"/>
        <v/>
      </c>
      <c r="BL94" s="1" t="str">
        <f t="shared" si="34"/>
        <v/>
      </c>
      <c r="BM94" s="1" t="str">
        <f t="shared" si="35"/>
        <v/>
      </c>
      <c r="BN94" s="1" t="str">
        <f t="shared" si="36"/>
        <v/>
      </c>
      <c r="BO94" s="1" t="str">
        <f t="shared" si="37"/>
        <v/>
      </c>
      <c r="BP94" s="1" t="str">
        <f t="shared" si="38"/>
        <v/>
      </c>
      <c r="BQ94" s="1" t="str">
        <f t="shared" si="39"/>
        <v>Makarov</v>
      </c>
      <c r="BR94" s="1" t="str">
        <f t="shared" si="40"/>
        <v/>
      </c>
      <c r="BS94" s="1" t="str">
        <f t="shared" si="41"/>
        <v/>
      </c>
      <c r="BT94" s="1"/>
    </row>
    <row r="95" spans="48:72" x14ac:dyDescent="0.25">
      <c r="AV95" t="s">
        <v>179</v>
      </c>
      <c r="AZ95" s="1" t="str">
        <f t="shared" si="22"/>
        <v/>
      </c>
      <c r="BA95" s="1" t="str">
        <f t="shared" si="23"/>
        <v/>
      </c>
      <c r="BB95" s="1" t="str">
        <f t="shared" si="24"/>
        <v/>
      </c>
      <c r="BC95" s="1" t="str">
        <f t="shared" si="25"/>
        <v/>
      </c>
      <c r="BD95" s="1" t="str">
        <f t="shared" si="26"/>
        <v/>
      </c>
      <c r="BE95" s="1" t="str">
        <f t="shared" si="27"/>
        <v/>
      </c>
      <c r="BF95" s="1" t="str">
        <f t="shared" si="28"/>
        <v/>
      </c>
      <c r="BG95" s="1" t="str">
        <f t="shared" si="29"/>
        <v>MakarovMod</v>
      </c>
      <c r="BH95" s="1" t="str">
        <f t="shared" si="30"/>
        <v/>
      </c>
      <c r="BI95" s="1" t="str">
        <f t="shared" si="31"/>
        <v/>
      </c>
      <c r="BJ95" s="1" t="str">
        <f t="shared" si="32"/>
        <v/>
      </c>
      <c r="BK95" s="1" t="str">
        <f t="shared" si="33"/>
        <v/>
      </c>
      <c r="BL95" s="1" t="str">
        <f t="shared" si="34"/>
        <v/>
      </c>
      <c r="BM95" s="1" t="str">
        <f t="shared" si="35"/>
        <v/>
      </c>
      <c r="BN95" s="1" t="str">
        <f t="shared" si="36"/>
        <v/>
      </c>
      <c r="BO95" s="1" t="str">
        <f t="shared" si="37"/>
        <v/>
      </c>
      <c r="BP95" s="1" t="str">
        <f t="shared" si="38"/>
        <v/>
      </c>
      <c r="BQ95" s="1" t="str">
        <f t="shared" si="39"/>
        <v>MakarovMod</v>
      </c>
      <c r="BR95" s="1" t="str">
        <f t="shared" si="40"/>
        <v/>
      </c>
      <c r="BS95" s="1" t="str">
        <f t="shared" si="41"/>
        <v/>
      </c>
      <c r="BT95" s="1"/>
    </row>
    <row r="96" spans="48:72" x14ac:dyDescent="0.25">
      <c r="AV96" t="s">
        <v>1424</v>
      </c>
      <c r="AZ96" s="1" t="str">
        <f t="shared" si="22"/>
        <v/>
      </c>
      <c r="BA96" s="1" t="str">
        <f t="shared" si="23"/>
        <v/>
      </c>
      <c r="BB96" s="1" t="str">
        <f t="shared" si="24"/>
        <v/>
      </c>
      <c r="BC96" s="1" t="str">
        <f t="shared" si="25"/>
        <v/>
      </c>
      <c r="BD96" s="1" t="str">
        <f t="shared" si="26"/>
        <v/>
      </c>
      <c r="BE96" s="1" t="str">
        <f t="shared" si="27"/>
        <v/>
      </c>
      <c r="BF96" s="1" t="str">
        <f t="shared" si="28"/>
        <v/>
      </c>
      <c r="BG96" s="1" t="str">
        <f t="shared" si="29"/>
        <v>MDR</v>
      </c>
      <c r="BH96" s="1" t="str">
        <f t="shared" si="30"/>
        <v/>
      </c>
      <c r="BI96" s="1" t="str">
        <f t="shared" si="31"/>
        <v/>
      </c>
      <c r="BJ96" s="1" t="str">
        <f t="shared" si="32"/>
        <v/>
      </c>
      <c r="BK96" s="1" t="str">
        <f t="shared" si="33"/>
        <v/>
      </c>
      <c r="BL96" s="1" t="str">
        <f t="shared" si="34"/>
        <v/>
      </c>
      <c r="BM96" s="1" t="str">
        <f t="shared" si="35"/>
        <v/>
      </c>
      <c r="BN96" s="1" t="str">
        <f t="shared" si="36"/>
        <v/>
      </c>
      <c r="BO96" s="1" t="str">
        <f t="shared" si="37"/>
        <v/>
      </c>
      <c r="BP96" s="1" t="str">
        <f t="shared" si="38"/>
        <v/>
      </c>
      <c r="BQ96" s="1" t="str">
        <f t="shared" si="39"/>
        <v>MDR</v>
      </c>
      <c r="BR96" s="1" t="str">
        <f t="shared" si="40"/>
        <v/>
      </c>
      <c r="BS96" s="1" t="str">
        <f t="shared" si="41"/>
        <v/>
      </c>
      <c r="BT96" s="1"/>
    </row>
    <row r="97" spans="48:72" x14ac:dyDescent="0.25">
      <c r="AV97" t="s">
        <v>114</v>
      </c>
      <c r="AZ97" s="1" t="str">
        <f t="shared" si="22"/>
        <v/>
      </c>
      <c r="BA97" s="1" t="str">
        <f t="shared" si="23"/>
        <v/>
      </c>
      <c r="BB97" s="1" t="str">
        <f t="shared" si="24"/>
        <v/>
      </c>
      <c r="BC97" s="1" t="str">
        <f t="shared" si="25"/>
        <v/>
      </c>
      <c r="BD97" s="1" t="str">
        <f t="shared" si="26"/>
        <v/>
      </c>
      <c r="BE97" s="1" t="str">
        <f t="shared" si="27"/>
        <v/>
      </c>
      <c r="BF97" s="1" t="str">
        <f t="shared" si="28"/>
        <v/>
      </c>
      <c r="BG97" s="1" t="str">
        <f t="shared" si="29"/>
        <v>Medusa</v>
      </c>
      <c r="BH97" s="1" t="str">
        <f t="shared" si="30"/>
        <v/>
      </c>
      <c r="BI97" s="1" t="str">
        <f t="shared" si="31"/>
        <v/>
      </c>
      <c r="BJ97" s="1" t="str">
        <f t="shared" si="32"/>
        <v/>
      </c>
      <c r="BK97" s="1" t="str">
        <f t="shared" si="33"/>
        <v/>
      </c>
      <c r="BL97" s="1" t="str">
        <f t="shared" si="34"/>
        <v/>
      </c>
      <c r="BM97" s="1" t="str">
        <f t="shared" si="35"/>
        <v/>
      </c>
      <c r="BN97" s="1" t="str">
        <f t="shared" si="36"/>
        <v/>
      </c>
      <c r="BO97" s="1" t="str">
        <f t="shared" si="37"/>
        <v/>
      </c>
      <c r="BP97" s="1" t="str">
        <f t="shared" si="38"/>
        <v/>
      </c>
      <c r="BQ97" s="1" t="str">
        <f t="shared" si="39"/>
        <v>Medusa</v>
      </c>
      <c r="BR97" s="1" t="str">
        <f t="shared" si="40"/>
        <v/>
      </c>
      <c r="BS97" s="1" t="str">
        <f t="shared" si="41"/>
        <v/>
      </c>
      <c r="BT97" s="1"/>
    </row>
    <row r="98" spans="48:72" x14ac:dyDescent="0.25">
      <c r="AV98" t="s">
        <v>6550</v>
      </c>
      <c r="AZ98" s="1" t="str">
        <f t="shared" si="22"/>
        <v/>
      </c>
      <c r="BA98" s="1" t="str">
        <f t="shared" si="23"/>
        <v/>
      </c>
      <c r="BB98" s="1" t="str">
        <f t="shared" si="24"/>
        <v/>
      </c>
      <c r="BC98" s="1" t="str">
        <f t="shared" si="25"/>
        <v/>
      </c>
      <c r="BD98" s="1" t="str">
        <f t="shared" si="26"/>
        <v/>
      </c>
      <c r="BE98" s="1" t="str">
        <f t="shared" si="27"/>
        <v/>
      </c>
      <c r="BF98" s="1" t="str">
        <f t="shared" si="28"/>
        <v/>
      </c>
      <c r="BG98" s="1" t="str">
        <f t="shared" si="29"/>
        <v>MG3</v>
      </c>
      <c r="BH98" s="1" t="str">
        <f t="shared" si="30"/>
        <v/>
      </c>
      <c r="BI98" s="1" t="str">
        <f t="shared" si="31"/>
        <v/>
      </c>
      <c r="BJ98" s="1" t="str">
        <f t="shared" si="32"/>
        <v/>
      </c>
      <c r="BK98" s="1" t="str">
        <f t="shared" si="33"/>
        <v/>
      </c>
      <c r="BL98" s="1" t="str">
        <f t="shared" si="34"/>
        <v/>
      </c>
      <c r="BM98" s="1" t="str">
        <f t="shared" si="35"/>
        <v/>
      </c>
      <c r="BN98" s="1" t="str">
        <f t="shared" si="36"/>
        <v/>
      </c>
      <c r="BO98" s="1" t="str">
        <f t="shared" si="37"/>
        <v/>
      </c>
      <c r="BP98" s="1" t="str">
        <f t="shared" si="38"/>
        <v/>
      </c>
      <c r="BQ98" s="1" t="str">
        <f t="shared" si="39"/>
        <v>MG3</v>
      </c>
      <c r="BR98" s="1" t="str">
        <f t="shared" si="40"/>
        <v/>
      </c>
      <c r="BS98" s="1" t="str">
        <f t="shared" si="41"/>
        <v/>
      </c>
      <c r="BT98" s="1"/>
    </row>
    <row r="99" spans="48:72" x14ac:dyDescent="0.25">
      <c r="AV99" t="s">
        <v>300</v>
      </c>
      <c r="AZ99" s="1" t="str">
        <f t="shared" si="22"/>
        <v/>
      </c>
      <c r="BA99" s="1" t="str">
        <f t="shared" si="23"/>
        <v/>
      </c>
      <c r="BB99" s="1" t="str">
        <f t="shared" si="24"/>
        <v/>
      </c>
      <c r="BC99" s="1" t="str">
        <f t="shared" si="25"/>
        <v/>
      </c>
      <c r="BD99" s="1" t="str">
        <f t="shared" si="26"/>
        <v/>
      </c>
      <c r="BE99" s="1" t="str">
        <f t="shared" si="27"/>
        <v/>
      </c>
      <c r="BF99" s="1" t="str">
        <f t="shared" si="28"/>
        <v/>
      </c>
      <c r="BG99" s="1" t="str">
        <f t="shared" si="29"/>
        <v>MG3Mod</v>
      </c>
      <c r="BH99" s="1" t="str">
        <f t="shared" si="30"/>
        <v/>
      </c>
      <c r="BI99" s="1" t="str">
        <f t="shared" si="31"/>
        <v/>
      </c>
      <c r="BJ99" s="1" t="str">
        <f t="shared" si="32"/>
        <v/>
      </c>
      <c r="BK99" s="1" t="str">
        <f t="shared" si="33"/>
        <v/>
      </c>
      <c r="BL99" s="1" t="str">
        <f t="shared" si="34"/>
        <v/>
      </c>
      <c r="BM99" s="1" t="str">
        <f t="shared" si="35"/>
        <v/>
      </c>
      <c r="BN99" s="1" t="str">
        <f t="shared" si="36"/>
        <v/>
      </c>
      <c r="BO99" s="1" t="str">
        <f t="shared" si="37"/>
        <v/>
      </c>
      <c r="BP99" s="1" t="str">
        <f t="shared" si="38"/>
        <v/>
      </c>
      <c r="BQ99" s="1" t="str">
        <f t="shared" si="39"/>
        <v>MG3Mod</v>
      </c>
      <c r="BR99" s="1" t="str">
        <f t="shared" si="40"/>
        <v/>
      </c>
      <c r="BS99" s="1" t="str">
        <f t="shared" si="41"/>
        <v/>
      </c>
      <c r="BT99" s="1"/>
    </row>
    <row r="100" spans="48:72" x14ac:dyDescent="0.25">
      <c r="AV100" t="s">
        <v>112</v>
      </c>
      <c r="AZ100" s="1" t="str">
        <f t="shared" si="22"/>
        <v/>
      </c>
      <c r="BA100" s="1" t="str">
        <f t="shared" si="23"/>
        <v/>
      </c>
      <c r="BB100" s="1" t="str">
        <f t="shared" si="24"/>
        <v/>
      </c>
      <c r="BC100" s="1" t="str">
        <f t="shared" si="25"/>
        <v/>
      </c>
      <c r="BD100" s="1" t="str">
        <f t="shared" si="26"/>
        <v/>
      </c>
      <c r="BE100" s="1" t="str">
        <f t="shared" si="27"/>
        <v/>
      </c>
      <c r="BF100" s="1" t="str">
        <f t="shared" si="28"/>
        <v/>
      </c>
      <c r="BG100" s="1" t="str">
        <f t="shared" si="29"/>
        <v>MG4</v>
      </c>
      <c r="BH100" s="1" t="str">
        <f t="shared" si="30"/>
        <v/>
      </c>
      <c r="BI100" s="1" t="str">
        <f t="shared" si="31"/>
        <v/>
      </c>
      <c r="BJ100" s="1" t="str">
        <f t="shared" si="32"/>
        <v/>
      </c>
      <c r="BK100" s="1" t="str">
        <f t="shared" si="33"/>
        <v/>
      </c>
      <c r="BL100" s="1" t="str">
        <f t="shared" si="34"/>
        <v/>
      </c>
      <c r="BM100" s="1" t="str">
        <f t="shared" si="35"/>
        <v/>
      </c>
      <c r="BN100" s="1" t="str">
        <f t="shared" si="36"/>
        <v/>
      </c>
      <c r="BO100" s="1" t="str">
        <f t="shared" si="37"/>
        <v/>
      </c>
      <c r="BP100" s="1" t="str">
        <f t="shared" si="38"/>
        <v/>
      </c>
      <c r="BQ100" s="1" t="str">
        <f t="shared" si="39"/>
        <v>MG4</v>
      </c>
      <c r="BR100" s="1" t="str">
        <f t="shared" si="40"/>
        <v/>
      </c>
      <c r="BS100" s="1" t="str">
        <f t="shared" si="41"/>
        <v/>
      </c>
      <c r="BT100" s="1"/>
    </row>
    <row r="101" spans="48:72" x14ac:dyDescent="0.25">
      <c r="AV101" t="s">
        <v>934</v>
      </c>
      <c r="AZ101" s="1" t="str">
        <f t="shared" si="22"/>
        <v/>
      </c>
      <c r="BA101" s="1" t="str">
        <f t="shared" si="23"/>
        <v/>
      </c>
      <c r="BB101" s="1" t="str">
        <f t="shared" si="24"/>
        <v/>
      </c>
      <c r="BC101" s="1" t="str">
        <f t="shared" si="25"/>
        <v/>
      </c>
      <c r="BD101" s="1" t="str">
        <f t="shared" si="26"/>
        <v/>
      </c>
      <c r="BE101" s="1" t="str">
        <f t="shared" si="27"/>
        <v/>
      </c>
      <c r="BF101" s="1" t="str">
        <f t="shared" si="28"/>
        <v/>
      </c>
      <c r="BG101" s="1" t="str">
        <f t="shared" si="29"/>
        <v>MG42</v>
      </c>
      <c r="BH101" s="1" t="str">
        <f t="shared" si="30"/>
        <v/>
      </c>
      <c r="BI101" s="1" t="str">
        <f t="shared" si="31"/>
        <v/>
      </c>
      <c r="BJ101" s="1" t="str">
        <f t="shared" si="32"/>
        <v/>
      </c>
      <c r="BK101" s="1" t="str">
        <f t="shared" si="33"/>
        <v/>
      </c>
      <c r="BL101" s="1" t="str">
        <f t="shared" si="34"/>
        <v/>
      </c>
      <c r="BM101" s="1" t="str">
        <f t="shared" si="35"/>
        <v/>
      </c>
      <c r="BN101" s="1" t="str">
        <f t="shared" si="36"/>
        <v/>
      </c>
      <c r="BO101" s="1" t="str">
        <f t="shared" si="37"/>
        <v/>
      </c>
      <c r="BP101" s="1" t="str">
        <f t="shared" si="38"/>
        <v/>
      </c>
      <c r="BQ101" s="1" t="str">
        <f t="shared" si="39"/>
        <v>MG42</v>
      </c>
      <c r="BR101" s="1" t="str">
        <f t="shared" si="40"/>
        <v/>
      </c>
      <c r="BS101" s="1" t="str">
        <f t="shared" si="41"/>
        <v/>
      </c>
      <c r="BT101" s="1"/>
    </row>
    <row r="102" spans="48:72" x14ac:dyDescent="0.25">
      <c r="AV102" t="s">
        <v>254</v>
      </c>
      <c r="AZ102" s="1" t="str">
        <f t="shared" si="22"/>
        <v/>
      </c>
      <c r="BA102" s="1" t="str">
        <f t="shared" si="23"/>
        <v/>
      </c>
      <c r="BB102" s="1" t="str">
        <f t="shared" si="24"/>
        <v/>
      </c>
      <c r="BC102" s="1" t="str">
        <f t="shared" si="25"/>
        <v/>
      </c>
      <c r="BD102" s="1" t="str">
        <f t="shared" si="26"/>
        <v/>
      </c>
      <c r="BE102" s="1" t="str">
        <f t="shared" si="27"/>
        <v/>
      </c>
      <c r="BF102" s="1" t="str">
        <f t="shared" si="28"/>
        <v/>
      </c>
      <c r="BG102" s="1" t="str">
        <f t="shared" si="29"/>
        <v>MG4Mod</v>
      </c>
      <c r="BH102" s="1" t="str">
        <f t="shared" si="30"/>
        <v/>
      </c>
      <c r="BI102" s="1" t="str">
        <f t="shared" si="31"/>
        <v/>
      </c>
      <c r="BJ102" s="1" t="str">
        <f t="shared" si="32"/>
        <v/>
      </c>
      <c r="BK102" s="1" t="str">
        <f t="shared" si="33"/>
        <v/>
      </c>
      <c r="BL102" s="1" t="str">
        <f t="shared" si="34"/>
        <v/>
      </c>
      <c r="BM102" s="1" t="str">
        <f t="shared" si="35"/>
        <v/>
      </c>
      <c r="BN102" s="1" t="str">
        <f t="shared" si="36"/>
        <v/>
      </c>
      <c r="BO102" s="1" t="str">
        <f t="shared" si="37"/>
        <v/>
      </c>
      <c r="BP102" s="1" t="str">
        <f t="shared" si="38"/>
        <v/>
      </c>
      <c r="BQ102" s="1" t="str">
        <f t="shared" si="39"/>
        <v>MG4Mod</v>
      </c>
      <c r="BR102" s="1" t="str">
        <f t="shared" si="40"/>
        <v/>
      </c>
      <c r="BS102" s="1" t="str">
        <f t="shared" si="41"/>
        <v/>
      </c>
      <c r="BT102" s="1"/>
    </row>
    <row r="103" spans="48:72" x14ac:dyDescent="0.25">
      <c r="AV103" t="s">
        <v>1428</v>
      </c>
      <c r="AZ103" s="1" t="str">
        <f t="shared" si="22"/>
        <v/>
      </c>
      <c r="BA103" s="1" t="str">
        <f t="shared" si="23"/>
        <v/>
      </c>
      <c r="BB103" s="1" t="str">
        <f t="shared" si="24"/>
        <v/>
      </c>
      <c r="BC103" s="1" t="str">
        <f t="shared" si="25"/>
        <v/>
      </c>
      <c r="BD103" s="1" t="str">
        <f t="shared" si="26"/>
        <v/>
      </c>
      <c r="BE103" s="1" t="str">
        <f t="shared" si="27"/>
        <v/>
      </c>
      <c r="BF103" s="1" t="str">
        <f t="shared" si="28"/>
        <v/>
      </c>
      <c r="BG103" s="1" t="str">
        <f t="shared" si="29"/>
        <v>Micro UziMod</v>
      </c>
      <c r="BH103" s="1" t="str">
        <f t="shared" si="30"/>
        <v/>
      </c>
      <c r="BI103" s="1" t="str">
        <f t="shared" si="31"/>
        <v/>
      </c>
      <c r="BJ103" s="1" t="str">
        <f t="shared" si="32"/>
        <v/>
      </c>
      <c r="BK103" s="1" t="str">
        <f t="shared" si="33"/>
        <v/>
      </c>
      <c r="BL103" s="1" t="str">
        <f t="shared" si="34"/>
        <v/>
      </c>
      <c r="BM103" s="1" t="str">
        <f t="shared" si="35"/>
        <v/>
      </c>
      <c r="BN103" s="1" t="str">
        <f t="shared" si="36"/>
        <v/>
      </c>
      <c r="BO103" s="1" t="str">
        <f t="shared" si="37"/>
        <v/>
      </c>
      <c r="BP103" s="1" t="str">
        <f t="shared" si="38"/>
        <v/>
      </c>
      <c r="BQ103" s="1" t="str">
        <f t="shared" si="39"/>
        <v>Micro UziMod</v>
      </c>
      <c r="BR103" s="1" t="str">
        <f t="shared" si="40"/>
        <v/>
      </c>
      <c r="BS103" s="1" t="str">
        <f t="shared" si="41"/>
        <v/>
      </c>
      <c r="BT103" s="1"/>
    </row>
    <row r="104" spans="48:72" x14ac:dyDescent="0.25">
      <c r="AV104" t="s">
        <v>1206</v>
      </c>
      <c r="AZ104" s="1" t="str">
        <f t="shared" si="22"/>
        <v/>
      </c>
      <c r="BA104" s="1" t="str">
        <f t="shared" si="23"/>
        <v/>
      </c>
      <c r="BB104" s="1" t="str">
        <f t="shared" si="24"/>
        <v/>
      </c>
      <c r="BC104" s="1" t="str">
        <f t="shared" si="25"/>
        <v/>
      </c>
      <c r="BD104" s="1" t="str">
        <f t="shared" si="26"/>
        <v/>
      </c>
      <c r="BE104" s="1" t="str">
        <f t="shared" si="27"/>
        <v/>
      </c>
      <c r="BF104" s="1" t="str">
        <f t="shared" si="28"/>
        <v/>
      </c>
      <c r="BG104" s="1" t="str">
        <f t="shared" si="29"/>
        <v>Minos</v>
      </c>
      <c r="BH104" s="1" t="str">
        <f t="shared" si="30"/>
        <v/>
      </c>
      <c r="BI104" s="1" t="str">
        <f t="shared" si="31"/>
        <v/>
      </c>
      <c r="BJ104" s="1" t="str">
        <f t="shared" si="32"/>
        <v/>
      </c>
      <c r="BK104" s="1" t="str">
        <f t="shared" si="33"/>
        <v/>
      </c>
      <c r="BL104" s="1" t="str">
        <f t="shared" si="34"/>
        <v/>
      </c>
      <c r="BM104" s="1" t="str">
        <f t="shared" si="35"/>
        <v/>
      </c>
      <c r="BN104" s="1" t="str">
        <f t="shared" si="36"/>
        <v/>
      </c>
      <c r="BO104" s="1" t="str">
        <f t="shared" si="37"/>
        <v/>
      </c>
      <c r="BP104" s="1" t="str">
        <f t="shared" si="38"/>
        <v/>
      </c>
      <c r="BQ104" s="1" t="str">
        <f t="shared" si="39"/>
        <v>Minos</v>
      </c>
      <c r="BR104" s="1" t="str">
        <f t="shared" si="40"/>
        <v/>
      </c>
      <c r="BS104" s="1" t="str">
        <f t="shared" si="41"/>
        <v/>
      </c>
      <c r="BT104" s="1"/>
    </row>
    <row r="105" spans="48:72" x14ac:dyDescent="0.25">
      <c r="AV105" t="s">
        <v>808</v>
      </c>
      <c r="AZ105" s="1" t="str">
        <f t="shared" si="22"/>
        <v/>
      </c>
      <c r="BA105" s="1" t="str">
        <f t="shared" si="23"/>
        <v/>
      </c>
      <c r="BB105" s="1" t="str">
        <f t="shared" si="24"/>
        <v/>
      </c>
      <c r="BC105" s="1" t="str">
        <f t="shared" si="25"/>
        <v/>
      </c>
      <c r="BD105" s="1" t="str">
        <f t="shared" si="26"/>
        <v/>
      </c>
      <c r="BE105" s="1" t="str">
        <f t="shared" si="27"/>
        <v/>
      </c>
      <c r="BF105" s="1" t="str">
        <f t="shared" si="28"/>
        <v/>
      </c>
      <c r="BG105" s="1" t="str">
        <f t="shared" si="29"/>
        <v>Mk23</v>
      </c>
      <c r="BH105" s="1" t="str">
        <f t="shared" si="30"/>
        <v/>
      </c>
      <c r="BI105" s="1" t="str">
        <f t="shared" si="31"/>
        <v/>
      </c>
      <c r="BJ105" s="1" t="str">
        <f t="shared" si="32"/>
        <v/>
      </c>
      <c r="BK105" s="1" t="str">
        <f t="shared" si="33"/>
        <v/>
      </c>
      <c r="BL105" s="1" t="str">
        <f t="shared" si="34"/>
        <v/>
      </c>
      <c r="BM105" s="1" t="str">
        <f t="shared" si="35"/>
        <v/>
      </c>
      <c r="BN105" s="1" t="str">
        <f t="shared" si="36"/>
        <v/>
      </c>
      <c r="BO105" s="1" t="str">
        <f t="shared" si="37"/>
        <v/>
      </c>
      <c r="BP105" s="1" t="str">
        <f t="shared" si="38"/>
        <v/>
      </c>
      <c r="BQ105" s="1" t="str">
        <f t="shared" si="39"/>
        <v>Mk23</v>
      </c>
      <c r="BR105" s="1" t="str">
        <f t="shared" si="40"/>
        <v/>
      </c>
      <c r="BS105" s="1" t="str">
        <f t="shared" si="41"/>
        <v/>
      </c>
      <c r="BT105" s="1"/>
    </row>
    <row r="106" spans="48:72" x14ac:dyDescent="0.25">
      <c r="AV106" t="s">
        <v>729</v>
      </c>
      <c r="AZ106" s="1" t="str">
        <f t="shared" si="22"/>
        <v/>
      </c>
      <c r="BA106" s="1" t="str">
        <f t="shared" si="23"/>
        <v/>
      </c>
      <c r="BB106" s="1" t="str">
        <f t="shared" si="24"/>
        <v/>
      </c>
      <c r="BC106" s="1" t="str">
        <f t="shared" si="25"/>
        <v/>
      </c>
      <c r="BD106" s="1" t="str">
        <f t="shared" si="26"/>
        <v/>
      </c>
      <c r="BE106" s="1" t="str">
        <f t="shared" si="27"/>
        <v/>
      </c>
      <c r="BF106" s="1" t="str">
        <f t="shared" si="28"/>
        <v/>
      </c>
      <c r="BG106" s="1" t="str">
        <f t="shared" si="29"/>
        <v>MondragonM1908</v>
      </c>
      <c r="BH106" s="1" t="str">
        <f t="shared" si="30"/>
        <v/>
      </c>
      <c r="BI106" s="1" t="str">
        <f t="shared" si="31"/>
        <v/>
      </c>
      <c r="BJ106" s="1" t="str">
        <f t="shared" si="32"/>
        <v/>
      </c>
      <c r="BK106" s="1" t="str">
        <f t="shared" si="33"/>
        <v/>
      </c>
      <c r="BL106" s="1" t="str">
        <f t="shared" si="34"/>
        <v/>
      </c>
      <c r="BM106" s="1" t="str">
        <f t="shared" si="35"/>
        <v/>
      </c>
      <c r="BN106" s="1" t="str">
        <f t="shared" si="36"/>
        <v/>
      </c>
      <c r="BO106" s="1" t="str">
        <f t="shared" si="37"/>
        <v/>
      </c>
      <c r="BP106" s="1" t="str">
        <f t="shared" si="38"/>
        <v/>
      </c>
      <c r="BQ106" s="1" t="str">
        <f t="shared" si="39"/>
        <v>MondragonM1908</v>
      </c>
      <c r="BR106" s="1" t="str">
        <f t="shared" si="40"/>
        <v/>
      </c>
      <c r="BS106" s="1" t="str">
        <f t="shared" si="41"/>
        <v/>
      </c>
      <c r="BT106" s="1"/>
    </row>
    <row r="107" spans="48:72" x14ac:dyDescent="0.25">
      <c r="AV107" t="s">
        <v>1708</v>
      </c>
      <c r="AZ107" s="1" t="str">
        <f t="shared" si="22"/>
        <v/>
      </c>
      <c r="BA107" s="1" t="str">
        <f t="shared" si="23"/>
        <v/>
      </c>
      <c r="BB107" s="1" t="str">
        <f t="shared" si="24"/>
        <v/>
      </c>
      <c r="BC107" s="1" t="str">
        <f t="shared" si="25"/>
        <v/>
      </c>
      <c r="BD107" s="1" t="str">
        <f t="shared" si="26"/>
        <v/>
      </c>
      <c r="BE107" s="1" t="str">
        <f t="shared" si="27"/>
        <v/>
      </c>
      <c r="BF107" s="1" t="str">
        <f t="shared" si="28"/>
        <v/>
      </c>
      <c r="BG107" s="1" t="str">
        <f t="shared" si="29"/>
        <v>MosinNagant</v>
      </c>
      <c r="BH107" s="1" t="str">
        <f t="shared" si="30"/>
        <v/>
      </c>
      <c r="BI107" s="1" t="str">
        <f t="shared" si="31"/>
        <v/>
      </c>
      <c r="BJ107" s="1" t="str">
        <f t="shared" si="32"/>
        <v/>
      </c>
      <c r="BK107" s="1" t="str">
        <f t="shared" si="33"/>
        <v/>
      </c>
      <c r="BL107" s="1" t="str">
        <f t="shared" si="34"/>
        <v/>
      </c>
      <c r="BM107" s="1" t="str">
        <f t="shared" si="35"/>
        <v/>
      </c>
      <c r="BN107" s="1" t="str">
        <f t="shared" si="36"/>
        <v/>
      </c>
      <c r="BO107" s="1" t="str">
        <f t="shared" si="37"/>
        <v/>
      </c>
      <c r="BP107" s="1" t="str">
        <f t="shared" si="38"/>
        <v/>
      </c>
      <c r="BQ107" s="1" t="str">
        <f t="shared" si="39"/>
        <v>MosinNagant</v>
      </c>
      <c r="BR107" s="1" t="str">
        <f t="shared" si="40"/>
        <v/>
      </c>
      <c r="BS107" s="1" t="str">
        <f t="shared" si="41"/>
        <v/>
      </c>
      <c r="BT107" s="1"/>
    </row>
    <row r="108" spans="48:72" x14ac:dyDescent="0.25">
      <c r="AV108" t="s">
        <v>1782</v>
      </c>
      <c r="AZ108" s="1" t="str">
        <f t="shared" si="22"/>
        <v/>
      </c>
      <c r="BA108" s="1" t="str">
        <f t="shared" si="23"/>
        <v/>
      </c>
      <c r="BB108" s="1" t="str">
        <f t="shared" si="24"/>
        <v/>
      </c>
      <c r="BC108" s="1" t="str">
        <f t="shared" si="25"/>
        <v/>
      </c>
      <c r="BD108" s="1" t="str">
        <f t="shared" si="26"/>
        <v/>
      </c>
      <c r="BE108" s="1" t="str">
        <f t="shared" si="27"/>
        <v/>
      </c>
      <c r="BF108" s="1" t="str">
        <f t="shared" si="28"/>
        <v/>
      </c>
      <c r="BG108" s="1" t="str">
        <f t="shared" si="29"/>
        <v>MosinNagantMod</v>
      </c>
      <c r="BH108" s="1" t="str">
        <f t="shared" si="30"/>
        <v/>
      </c>
      <c r="BI108" s="1" t="str">
        <f t="shared" si="31"/>
        <v/>
      </c>
      <c r="BJ108" s="1" t="str">
        <f t="shared" si="32"/>
        <v/>
      </c>
      <c r="BK108" s="1" t="str">
        <f t="shared" si="33"/>
        <v/>
      </c>
      <c r="BL108" s="1" t="str">
        <f t="shared" si="34"/>
        <v/>
      </c>
      <c r="BM108" s="1" t="str">
        <f t="shared" si="35"/>
        <v/>
      </c>
      <c r="BN108" s="1" t="str">
        <f t="shared" si="36"/>
        <v/>
      </c>
      <c r="BO108" s="1" t="str">
        <f t="shared" si="37"/>
        <v/>
      </c>
      <c r="BP108" s="1" t="str">
        <f t="shared" si="38"/>
        <v/>
      </c>
      <c r="BQ108" s="1" t="str">
        <f t="shared" si="39"/>
        <v>MosinNagantMod</v>
      </c>
      <c r="BR108" s="1" t="str">
        <f t="shared" si="40"/>
        <v/>
      </c>
      <c r="BS108" s="1" t="str">
        <f t="shared" si="41"/>
        <v/>
      </c>
      <c r="BT108" s="1"/>
    </row>
    <row r="109" spans="48:72" x14ac:dyDescent="0.25">
      <c r="AV109" t="s">
        <v>1712</v>
      </c>
      <c r="AZ109" s="1" t="str">
        <f t="shared" si="22"/>
        <v/>
      </c>
      <c r="BA109" s="1" t="str">
        <f t="shared" si="23"/>
        <v/>
      </c>
      <c r="BB109" s="1" t="str">
        <f t="shared" si="24"/>
        <v/>
      </c>
      <c r="BC109" s="1" t="str">
        <f t="shared" si="25"/>
        <v/>
      </c>
      <c r="BD109" s="1" t="str">
        <f t="shared" si="26"/>
        <v/>
      </c>
      <c r="BE109" s="1" t="str">
        <f t="shared" si="27"/>
        <v/>
      </c>
      <c r="BF109" s="1" t="str">
        <f t="shared" si="28"/>
        <v/>
      </c>
      <c r="BG109" s="1" t="str">
        <f t="shared" si="29"/>
        <v>MP443Mod</v>
      </c>
      <c r="BH109" s="1" t="str">
        <f t="shared" si="30"/>
        <v/>
      </c>
      <c r="BI109" s="1" t="str">
        <f t="shared" si="31"/>
        <v/>
      </c>
      <c r="BJ109" s="1" t="str">
        <f t="shared" si="32"/>
        <v/>
      </c>
      <c r="BK109" s="1" t="str">
        <f t="shared" si="33"/>
        <v/>
      </c>
      <c r="BL109" s="1" t="str">
        <f t="shared" si="34"/>
        <v/>
      </c>
      <c r="BM109" s="1" t="str">
        <f t="shared" si="35"/>
        <v/>
      </c>
      <c r="BN109" s="1" t="str">
        <f t="shared" si="36"/>
        <v/>
      </c>
      <c r="BO109" s="1" t="str">
        <f t="shared" si="37"/>
        <v/>
      </c>
      <c r="BP109" s="1" t="str">
        <f t="shared" si="38"/>
        <v/>
      </c>
      <c r="BQ109" s="1" t="str">
        <f t="shared" si="39"/>
        <v>MP443Mod</v>
      </c>
      <c r="BR109" s="1" t="str">
        <f t="shared" si="40"/>
        <v/>
      </c>
      <c r="BS109" s="1" t="str">
        <f t="shared" si="41"/>
        <v/>
      </c>
      <c r="BT109" s="1"/>
    </row>
    <row r="110" spans="48:72" x14ac:dyDescent="0.25">
      <c r="AV110" t="s">
        <v>730</v>
      </c>
      <c r="AZ110" s="1" t="str">
        <f t="shared" si="22"/>
        <v/>
      </c>
      <c r="BA110" s="1" t="str">
        <f t="shared" si="23"/>
        <v/>
      </c>
      <c r="BB110" s="1" t="str">
        <f t="shared" si="24"/>
        <v/>
      </c>
      <c r="BC110" s="1" t="str">
        <f t="shared" si="25"/>
        <v/>
      </c>
      <c r="BD110" s="1" t="str">
        <f t="shared" si="26"/>
        <v/>
      </c>
      <c r="BE110" s="1" t="str">
        <f t="shared" si="27"/>
        <v/>
      </c>
      <c r="BF110" s="1" t="str">
        <f t="shared" si="28"/>
        <v/>
      </c>
      <c r="BG110" s="1" t="str">
        <f t="shared" si="29"/>
        <v>MP446Mod</v>
      </c>
      <c r="BH110" s="1" t="str">
        <f t="shared" si="30"/>
        <v/>
      </c>
      <c r="BI110" s="1" t="str">
        <f t="shared" si="31"/>
        <v/>
      </c>
      <c r="BJ110" s="1" t="str">
        <f t="shared" si="32"/>
        <v/>
      </c>
      <c r="BK110" s="1" t="str">
        <f t="shared" si="33"/>
        <v/>
      </c>
      <c r="BL110" s="1" t="str">
        <f t="shared" si="34"/>
        <v/>
      </c>
      <c r="BM110" s="1" t="str">
        <f t="shared" si="35"/>
        <v/>
      </c>
      <c r="BN110" s="1" t="str">
        <f t="shared" si="36"/>
        <v/>
      </c>
      <c r="BO110" s="1" t="str">
        <f t="shared" si="37"/>
        <v/>
      </c>
      <c r="BP110" s="1" t="str">
        <f t="shared" si="38"/>
        <v/>
      </c>
      <c r="BQ110" s="1" t="str">
        <f t="shared" si="39"/>
        <v>MP446Mod</v>
      </c>
      <c r="BR110" s="1" t="str">
        <f t="shared" si="40"/>
        <v/>
      </c>
      <c r="BS110" s="1" t="str">
        <f t="shared" si="41"/>
        <v/>
      </c>
      <c r="BT110" s="1"/>
    </row>
    <row r="111" spans="48:72" x14ac:dyDescent="0.25">
      <c r="AV111" t="s">
        <v>1437</v>
      </c>
      <c r="AZ111" s="1" t="str">
        <f t="shared" si="22"/>
        <v/>
      </c>
      <c r="BA111" s="1" t="str">
        <f t="shared" si="23"/>
        <v/>
      </c>
      <c r="BB111" s="1" t="str">
        <f t="shared" si="24"/>
        <v/>
      </c>
      <c r="BC111" s="1" t="str">
        <f t="shared" si="25"/>
        <v/>
      </c>
      <c r="BD111" s="1" t="str">
        <f t="shared" si="26"/>
        <v/>
      </c>
      <c r="BE111" s="1" t="str">
        <f t="shared" si="27"/>
        <v/>
      </c>
      <c r="BF111" s="1" t="str">
        <f t="shared" si="28"/>
        <v/>
      </c>
      <c r="BG111" s="1" t="str">
        <f t="shared" si="29"/>
        <v>MP5</v>
      </c>
      <c r="BH111" s="1" t="str">
        <f t="shared" si="30"/>
        <v/>
      </c>
      <c r="BI111" s="1" t="str">
        <f t="shared" si="31"/>
        <v/>
      </c>
      <c r="BJ111" s="1" t="str">
        <f t="shared" si="32"/>
        <v/>
      </c>
      <c r="BK111" s="1" t="str">
        <f t="shared" si="33"/>
        <v/>
      </c>
      <c r="BL111" s="1" t="str">
        <f t="shared" si="34"/>
        <v/>
      </c>
      <c r="BM111" s="1" t="str">
        <f t="shared" si="35"/>
        <v/>
      </c>
      <c r="BN111" s="1" t="str">
        <f t="shared" si="36"/>
        <v/>
      </c>
      <c r="BO111" s="1" t="str">
        <f t="shared" si="37"/>
        <v/>
      </c>
      <c r="BP111" s="1" t="str">
        <f t="shared" si="38"/>
        <v/>
      </c>
      <c r="BQ111" s="1" t="str">
        <f t="shared" si="39"/>
        <v>MP5</v>
      </c>
      <c r="BR111" s="1" t="str">
        <f t="shared" si="40"/>
        <v/>
      </c>
      <c r="BS111" s="1" t="str">
        <f t="shared" si="41"/>
        <v/>
      </c>
      <c r="BT111" s="1"/>
    </row>
    <row r="112" spans="48:72" x14ac:dyDescent="0.25">
      <c r="AV112" t="s">
        <v>1710</v>
      </c>
      <c r="AZ112" s="1" t="str">
        <f t="shared" si="22"/>
        <v/>
      </c>
      <c r="BA112" s="1" t="str">
        <f t="shared" si="23"/>
        <v/>
      </c>
      <c r="BB112" s="1" t="str">
        <f t="shared" si="24"/>
        <v/>
      </c>
      <c r="BC112" s="1" t="str">
        <f t="shared" si="25"/>
        <v/>
      </c>
      <c r="BD112" s="1" t="str">
        <f t="shared" si="26"/>
        <v/>
      </c>
      <c r="BE112" s="1" t="str">
        <f t="shared" si="27"/>
        <v/>
      </c>
      <c r="BF112" s="1" t="str">
        <f t="shared" si="28"/>
        <v/>
      </c>
      <c r="BG112" s="1" t="str">
        <f t="shared" si="29"/>
        <v>MP5Mod</v>
      </c>
      <c r="BH112" s="1" t="str">
        <f t="shared" si="30"/>
        <v/>
      </c>
      <c r="BI112" s="1" t="str">
        <f t="shared" si="31"/>
        <v/>
      </c>
      <c r="BJ112" s="1" t="str">
        <f t="shared" si="32"/>
        <v/>
      </c>
      <c r="BK112" s="1" t="str">
        <f t="shared" si="33"/>
        <v/>
      </c>
      <c r="BL112" s="1" t="str">
        <f t="shared" si="34"/>
        <v/>
      </c>
      <c r="BM112" s="1" t="str">
        <f t="shared" si="35"/>
        <v/>
      </c>
      <c r="BN112" s="1" t="str">
        <f t="shared" si="36"/>
        <v/>
      </c>
      <c r="BO112" s="1" t="str">
        <f t="shared" si="37"/>
        <v/>
      </c>
      <c r="BP112" s="1" t="str">
        <f t="shared" si="38"/>
        <v/>
      </c>
      <c r="BQ112" s="1" t="str">
        <f t="shared" si="39"/>
        <v>MP5Mod</v>
      </c>
      <c r="BR112" s="1" t="str">
        <f t="shared" si="40"/>
        <v/>
      </c>
      <c r="BS112" s="1" t="str">
        <f t="shared" si="41"/>
        <v/>
      </c>
      <c r="BT112" s="1"/>
    </row>
    <row r="113" spans="48:72" x14ac:dyDescent="0.25">
      <c r="AV113" t="s">
        <v>131</v>
      </c>
      <c r="AZ113" s="1" t="str">
        <f t="shared" si="22"/>
        <v/>
      </c>
      <c r="BA113" s="1" t="str">
        <f t="shared" si="23"/>
        <v/>
      </c>
      <c r="BB113" s="1" t="str">
        <f t="shared" si="24"/>
        <v/>
      </c>
      <c r="BC113" s="1" t="str">
        <f t="shared" si="25"/>
        <v/>
      </c>
      <c r="BD113" s="1" t="str">
        <f t="shared" si="26"/>
        <v/>
      </c>
      <c r="BE113" s="1" t="str">
        <f t="shared" si="27"/>
        <v/>
      </c>
      <c r="BF113" s="1" t="str">
        <f t="shared" si="28"/>
        <v/>
      </c>
      <c r="BG113" s="1" t="str">
        <f t="shared" si="29"/>
        <v>NTW20Mod</v>
      </c>
      <c r="BH113" s="1" t="str">
        <f t="shared" si="30"/>
        <v/>
      </c>
      <c r="BI113" s="1" t="str">
        <f t="shared" si="31"/>
        <v/>
      </c>
      <c r="BJ113" s="1" t="str">
        <f t="shared" si="32"/>
        <v/>
      </c>
      <c r="BK113" s="1" t="str">
        <f t="shared" si="33"/>
        <v/>
      </c>
      <c r="BL113" s="1" t="str">
        <f t="shared" si="34"/>
        <v/>
      </c>
      <c r="BM113" s="1" t="str">
        <f t="shared" si="35"/>
        <v/>
      </c>
      <c r="BN113" s="1" t="str">
        <f t="shared" si="36"/>
        <v/>
      </c>
      <c r="BO113" s="1" t="str">
        <f t="shared" si="37"/>
        <v/>
      </c>
      <c r="BP113" s="1" t="str">
        <f t="shared" si="38"/>
        <v/>
      </c>
      <c r="BQ113" s="1" t="str">
        <f t="shared" si="39"/>
        <v>NTW20Mod</v>
      </c>
      <c r="BR113" s="1" t="str">
        <f t="shared" si="40"/>
        <v/>
      </c>
      <c r="BS113" s="1" t="str">
        <f t="shared" si="41"/>
        <v/>
      </c>
      <c r="BT113" s="1"/>
    </row>
    <row r="114" spans="48:72" x14ac:dyDescent="0.25">
      <c r="AV114" t="s">
        <v>6563</v>
      </c>
      <c r="AZ114" s="1" t="str">
        <f t="shared" si="22"/>
        <v/>
      </c>
      <c r="BA114" s="1" t="str">
        <f t="shared" si="23"/>
        <v/>
      </c>
      <c r="BB114" s="1" t="str">
        <f t="shared" si="24"/>
        <v/>
      </c>
      <c r="BC114" s="1" t="str">
        <f t="shared" si="25"/>
        <v/>
      </c>
      <c r="BD114" s="1" t="str">
        <f t="shared" si="26"/>
        <v/>
      </c>
      <c r="BE114" s="1" t="str">
        <f t="shared" si="27"/>
        <v/>
      </c>
      <c r="BF114" s="1" t="str">
        <f t="shared" si="28"/>
        <v/>
      </c>
      <c r="BG114" s="1" t="str">
        <f t="shared" si="29"/>
        <v>NZ75</v>
      </c>
      <c r="BH114" s="1" t="str">
        <f t="shared" si="30"/>
        <v/>
      </c>
      <c r="BI114" s="1" t="str">
        <f t="shared" si="31"/>
        <v/>
      </c>
      <c r="BJ114" s="1" t="str">
        <f t="shared" si="32"/>
        <v/>
      </c>
      <c r="BK114" s="1" t="str">
        <f t="shared" si="33"/>
        <v/>
      </c>
      <c r="BL114" s="1" t="str">
        <f t="shared" si="34"/>
        <v/>
      </c>
      <c r="BM114" s="1" t="str">
        <f t="shared" si="35"/>
        <v/>
      </c>
      <c r="BN114" s="1" t="str">
        <f t="shared" si="36"/>
        <v/>
      </c>
      <c r="BO114" s="1" t="str">
        <f t="shared" si="37"/>
        <v/>
      </c>
      <c r="BP114" s="1" t="str">
        <f t="shared" si="38"/>
        <v/>
      </c>
      <c r="BQ114" s="1" t="str">
        <f t="shared" si="39"/>
        <v>NZ75</v>
      </c>
      <c r="BR114" s="1" t="str">
        <f t="shared" si="40"/>
        <v/>
      </c>
      <c r="BS114" s="1" t="str">
        <f t="shared" si="41"/>
        <v/>
      </c>
      <c r="BT114" s="1"/>
    </row>
    <row r="115" spans="48:72" x14ac:dyDescent="0.25">
      <c r="AV115" t="s">
        <v>1722</v>
      </c>
      <c r="AZ115" s="1" t="str">
        <f t="shared" si="22"/>
        <v/>
      </c>
      <c r="BA115" s="1" t="str">
        <f t="shared" si="23"/>
        <v/>
      </c>
      <c r="BB115" s="1" t="str">
        <f t="shared" si="24"/>
        <v/>
      </c>
      <c r="BC115" s="1" t="str">
        <f t="shared" si="25"/>
        <v/>
      </c>
      <c r="BD115" s="1" t="str">
        <f t="shared" si="26"/>
        <v/>
      </c>
      <c r="BE115" s="1" t="str">
        <f t="shared" si="27"/>
        <v/>
      </c>
      <c r="BF115" s="1" t="str">
        <f t="shared" si="28"/>
        <v/>
      </c>
      <c r="BG115" s="1" t="str">
        <f t="shared" si="29"/>
        <v>OBRMod</v>
      </c>
      <c r="BH115" s="1" t="str">
        <f t="shared" si="30"/>
        <v/>
      </c>
      <c r="BI115" s="1" t="str">
        <f t="shared" si="31"/>
        <v/>
      </c>
      <c r="BJ115" s="1" t="str">
        <f t="shared" si="32"/>
        <v/>
      </c>
      <c r="BK115" s="1" t="str">
        <f t="shared" si="33"/>
        <v/>
      </c>
      <c r="BL115" s="1" t="str">
        <f t="shared" si="34"/>
        <v/>
      </c>
      <c r="BM115" s="1" t="str">
        <f t="shared" si="35"/>
        <v/>
      </c>
      <c r="BN115" s="1" t="str">
        <f t="shared" si="36"/>
        <v/>
      </c>
      <c r="BO115" s="1" t="str">
        <f t="shared" si="37"/>
        <v/>
      </c>
      <c r="BP115" s="1" t="str">
        <f t="shared" si="38"/>
        <v/>
      </c>
      <c r="BQ115" s="1" t="str">
        <f t="shared" si="39"/>
        <v>OBRMod</v>
      </c>
      <c r="BR115" s="1" t="str">
        <f t="shared" si="40"/>
        <v/>
      </c>
      <c r="BS115" s="1" t="str">
        <f t="shared" si="41"/>
        <v/>
      </c>
      <c r="BT115" s="1"/>
    </row>
    <row r="116" spans="48:72" x14ac:dyDescent="0.25">
      <c r="AV116" t="s">
        <v>1723</v>
      </c>
      <c r="AZ116" s="1" t="str">
        <f t="shared" si="22"/>
        <v/>
      </c>
      <c r="BA116" s="1" t="str">
        <f t="shared" si="23"/>
        <v/>
      </c>
      <c r="BB116" s="1" t="str">
        <f t="shared" si="24"/>
        <v/>
      </c>
      <c r="BC116" s="1" t="str">
        <f t="shared" si="25"/>
        <v/>
      </c>
      <c r="BD116" s="1" t="str">
        <f t="shared" si="26"/>
        <v/>
      </c>
      <c r="BE116" s="1" t="str">
        <f t="shared" si="27"/>
        <v/>
      </c>
      <c r="BF116" s="1" t="str">
        <f t="shared" si="28"/>
        <v/>
      </c>
      <c r="BG116" s="1" t="str">
        <f t="shared" si="29"/>
        <v>Ots12</v>
      </c>
      <c r="BH116" s="1" t="str">
        <f t="shared" si="30"/>
        <v/>
      </c>
      <c r="BI116" s="1" t="str">
        <f t="shared" si="31"/>
        <v/>
      </c>
      <c r="BJ116" s="1" t="str">
        <f t="shared" si="32"/>
        <v/>
      </c>
      <c r="BK116" s="1" t="str">
        <f t="shared" si="33"/>
        <v/>
      </c>
      <c r="BL116" s="1" t="str">
        <f t="shared" si="34"/>
        <v/>
      </c>
      <c r="BM116" s="1" t="str">
        <f t="shared" si="35"/>
        <v/>
      </c>
      <c r="BN116" s="1" t="str">
        <f t="shared" si="36"/>
        <v/>
      </c>
      <c r="BO116" s="1" t="str">
        <f t="shared" si="37"/>
        <v/>
      </c>
      <c r="BP116" s="1" t="str">
        <f t="shared" si="38"/>
        <v/>
      </c>
      <c r="BQ116" s="1" t="str">
        <f t="shared" si="39"/>
        <v>Ots12</v>
      </c>
      <c r="BR116" s="1" t="str">
        <f t="shared" si="40"/>
        <v/>
      </c>
      <c r="BS116" s="1" t="str">
        <f t="shared" si="41"/>
        <v/>
      </c>
      <c r="BT116" s="1"/>
    </row>
    <row r="117" spans="48:72" x14ac:dyDescent="0.25">
      <c r="AV117" t="s">
        <v>71</v>
      </c>
      <c r="AZ117" s="1" t="str">
        <f t="shared" si="22"/>
        <v/>
      </c>
      <c r="BA117" s="1" t="str">
        <f t="shared" si="23"/>
        <v/>
      </c>
      <c r="BB117" s="1" t="str">
        <f t="shared" si="24"/>
        <v/>
      </c>
      <c r="BC117" s="1" t="str">
        <f t="shared" si="25"/>
        <v/>
      </c>
      <c r="BD117" s="1" t="str">
        <f t="shared" si="26"/>
        <v/>
      </c>
      <c r="BE117" s="1" t="str">
        <f t="shared" si="27"/>
        <v/>
      </c>
      <c r="BF117" s="1" t="str">
        <f t="shared" si="28"/>
        <v/>
      </c>
      <c r="BG117" s="1" t="str">
        <f t="shared" si="29"/>
        <v>Ots44</v>
      </c>
      <c r="BH117" s="1" t="str">
        <f t="shared" si="30"/>
        <v/>
      </c>
      <c r="BI117" s="1" t="str">
        <f t="shared" si="31"/>
        <v/>
      </c>
      <c r="BJ117" s="1" t="str">
        <f t="shared" si="32"/>
        <v/>
      </c>
      <c r="BK117" s="1" t="str">
        <f t="shared" si="33"/>
        <v/>
      </c>
      <c r="BL117" s="1" t="str">
        <f t="shared" si="34"/>
        <v/>
      </c>
      <c r="BM117" s="1" t="str">
        <f t="shared" si="35"/>
        <v/>
      </c>
      <c r="BN117" s="1" t="str">
        <f t="shared" si="36"/>
        <v/>
      </c>
      <c r="BO117" s="1" t="str">
        <f t="shared" si="37"/>
        <v/>
      </c>
      <c r="BP117" s="1" t="str">
        <f t="shared" si="38"/>
        <v/>
      </c>
      <c r="BQ117" s="1" t="str">
        <f t="shared" si="39"/>
        <v>Ots44</v>
      </c>
      <c r="BR117" s="1" t="str">
        <f t="shared" si="40"/>
        <v/>
      </c>
      <c r="BS117" s="1" t="str">
        <f t="shared" si="41"/>
        <v/>
      </c>
      <c r="BT117" s="1"/>
    </row>
    <row r="118" spans="48:72" x14ac:dyDescent="0.25">
      <c r="AV118" t="s">
        <v>197</v>
      </c>
      <c r="AZ118" s="1" t="str">
        <f t="shared" si="22"/>
        <v/>
      </c>
      <c r="BA118" s="1" t="str">
        <f t="shared" si="23"/>
        <v/>
      </c>
      <c r="BB118" s="1" t="str">
        <f t="shared" si="24"/>
        <v/>
      </c>
      <c r="BC118" s="1" t="str">
        <f t="shared" si="25"/>
        <v/>
      </c>
      <c r="BD118" s="1" t="str">
        <f t="shared" si="26"/>
        <v/>
      </c>
      <c r="BE118" s="1" t="str">
        <f t="shared" si="27"/>
        <v/>
      </c>
      <c r="BF118" s="1" t="str">
        <f t="shared" si="28"/>
        <v/>
      </c>
      <c r="BG118" s="1" t="str">
        <f t="shared" si="29"/>
        <v>P08</v>
      </c>
      <c r="BH118" s="1" t="str">
        <f t="shared" si="30"/>
        <v/>
      </c>
      <c r="BI118" s="1" t="str">
        <f t="shared" si="31"/>
        <v/>
      </c>
      <c r="BJ118" s="1" t="str">
        <f t="shared" si="32"/>
        <v/>
      </c>
      <c r="BK118" s="1" t="str">
        <f t="shared" si="33"/>
        <v/>
      </c>
      <c r="BL118" s="1" t="str">
        <f t="shared" si="34"/>
        <v/>
      </c>
      <c r="BM118" s="1" t="str">
        <f t="shared" si="35"/>
        <v/>
      </c>
      <c r="BN118" s="1" t="str">
        <f t="shared" si="36"/>
        <v/>
      </c>
      <c r="BO118" s="1" t="str">
        <f t="shared" si="37"/>
        <v/>
      </c>
      <c r="BP118" s="1" t="str">
        <f t="shared" si="38"/>
        <v/>
      </c>
      <c r="BQ118" s="1" t="str">
        <f t="shared" si="39"/>
        <v>P08</v>
      </c>
      <c r="BR118" s="1" t="str">
        <f t="shared" si="40"/>
        <v/>
      </c>
      <c r="BS118" s="1" t="str">
        <f t="shared" si="41"/>
        <v/>
      </c>
      <c r="BT118" s="1"/>
    </row>
    <row r="119" spans="48:72" x14ac:dyDescent="0.25">
      <c r="AV119" t="s">
        <v>69</v>
      </c>
      <c r="AZ119" s="1" t="str">
        <f t="shared" si="22"/>
        <v/>
      </c>
      <c r="BA119" s="1" t="str">
        <f t="shared" si="23"/>
        <v/>
      </c>
      <c r="BB119" s="1" t="str">
        <f t="shared" si="24"/>
        <v/>
      </c>
      <c r="BC119" s="1" t="str">
        <f t="shared" si="25"/>
        <v/>
      </c>
      <c r="BD119" s="1" t="str">
        <f t="shared" si="26"/>
        <v/>
      </c>
      <c r="BE119" s="1" t="str">
        <f t="shared" si="27"/>
        <v/>
      </c>
      <c r="BF119" s="1" t="str">
        <f t="shared" si="28"/>
        <v/>
      </c>
      <c r="BG119" s="1" t="str">
        <f t="shared" si="29"/>
        <v>P22</v>
      </c>
      <c r="BH119" s="1" t="str">
        <f t="shared" si="30"/>
        <v/>
      </c>
      <c r="BI119" s="1" t="str">
        <f t="shared" si="31"/>
        <v/>
      </c>
      <c r="BJ119" s="1" t="str">
        <f t="shared" si="32"/>
        <v/>
      </c>
      <c r="BK119" s="1" t="str">
        <f t="shared" si="33"/>
        <v/>
      </c>
      <c r="BL119" s="1" t="str">
        <f t="shared" si="34"/>
        <v/>
      </c>
      <c r="BM119" s="1" t="str">
        <f t="shared" si="35"/>
        <v/>
      </c>
      <c r="BN119" s="1" t="str">
        <f t="shared" si="36"/>
        <v/>
      </c>
      <c r="BO119" s="1" t="str">
        <f t="shared" si="37"/>
        <v/>
      </c>
      <c r="BP119" s="1" t="str">
        <f t="shared" si="38"/>
        <v/>
      </c>
      <c r="BQ119" s="1" t="str">
        <f t="shared" si="39"/>
        <v>P22</v>
      </c>
      <c r="BR119" s="1" t="str">
        <f t="shared" si="40"/>
        <v/>
      </c>
      <c r="BS119" s="1" t="str">
        <f t="shared" si="41"/>
        <v/>
      </c>
      <c r="BT119" s="1"/>
    </row>
    <row r="120" spans="48:72" x14ac:dyDescent="0.25">
      <c r="AV120" t="s">
        <v>122</v>
      </c>
      <c r="AZ120" s="1" t="str">
        <f t="shared" si="22"/>
        <v/>
      </c>
      <c r="BA120" s="1" t="str">
        <f t="shared" si="23"/>
        <v/>
      </c>
      <c r="BB120" s="1" t="str">
        <f t="shared" si="24"/>
        <v/>
      </c>
      <c r="BC120" s="1" t="str">
        <f t="shared" si="25"/>
        <v/>
      </c>
      <c r="BD120" s="1" t="str">
        <f t="shared" si="26"/>
        <v/>
      </c>
      <c r="BE120" s="1" t="str">
        <f t="shared" si="27"/>
        <v/>
      </c>
      <c r="BF120" s="1" t="str">
        <f t="shared" si="28"/>
        <v/>
      </c>
      <c r="BG120" s="1" t="str">
        <f t="shared" si="29"/>
        <v>P38</v>
      </c>
      <c r="BH120" s="1" t="str">
        <f t="shared" si="30"/>
        <v/>
      </c>
      <c r="BI120" s="1" t="str">
        <f t="shared" si="31"/>
        <v/>
      </c>
      <c r="BJ120" s="1" t="str">
        <f t="shared" si="32"/>
        <v/>
      </c>
      <c r="BK120" s="1" t="str">
        <f t="shared" si="33"/>
        <v/>
      </c>
      <c r="BL120" s="1" t="str">
        <f t="shared" si="34"/>
        <v/>
      </c>
      <c r="BM120" s="1" t="str">
        <f t="shared" si="35"/>
        <v/>
      </c>
      <c r="BN120" s="1" t="str">
        <f t="shared" si="36"/>
        <v/>
      </c>
      <c r="BO120" s="1" t="str">
        <f t="shared" si="37"/>
        <v/>
      </c>
      <c r="BP120" s="1" t="str">
        <f t="shared" si="38"/>
        <v/>
      </c>
      <c r="BQ120" s="1" t="str">
        <f t="shared" si="39"/>
        <v>P38</v>
      </c>
      <c r="BR120" s="1" t="str">
        <f t="shared" si="40"/>
        <v/>
      </c>
      <c r="BS120" s="1" t="str">
        <f t="shared" si="41"/>
        <v/>
      </c>
      <c r="BT120" s="1"/>
    </row>
    <row r="121" spans="48:72" x14ac:dyDescent="0.25">
      <c r="AV121" t="s">
        <v>190</v>
      </c>
      <c r="AZ121" s="1" t="str">
        <f t="shared" si="22"/>
        <v/>
      </c>
      <c r="BA121" s="1" t="str">
        <f t="shared" si="23"/>
        <v/>
      </c>
      <c r="BB121" s="1" t="str">
        <f t="shared" si="24"/>
        <v/>
      </c>
      <c r="BC121" s="1" t="str">
        <f t="shared" si="25"/>
        <v/>
      </c>
      <c r="BD121" s="1" t="str">
        <f t="shared" si="26"/>
        <v/>
      </c>
      <c r="BE121" s="1" t="str">
        <f t="shared" si="27"/>
        <v/>
      </c>
      <c r="BF121" s="1" t="str">
        <f t="shared" si="28"/>
        <v/>
      </c>
      <c r="BG121" s="1" t="str">
        <f t="shared" si="29"/>
        <v>P7</v>
      </c>
      <c r="BH121" s="1" t="str">
        <f t="shared" si="30"/>
        <v/>
      </c>
      <c r="BI121" s="1" t="str">
        <f t="shared" si="31"/>
        <v/>
      </c>
      <c r="BJ121" s="1" t="str">
        <f t="shared" si="32"/>
        <v/>
      </c>
      <c r="BK121" s="1" t="str">
        <f t="shared" si="33"/>
        <v/>
      </c>
      <c r="BL121" s="1" t="str">
        <f t="shared" si="34"/>
        <v/>
      </c>
      <c r="BM121" s="1" t="str">
        <f t="shared" si="35"/>
        <v/>
      </c>
      <c r="BN121" s="1" t="str">
        <f t="shared" si="36"/>
        <v/>
      </c>
      <c r="BO121" s="1" t="str">
        <f t="shared" si="37"/>
        <v/>
      </c>
      <c r="BP121" s="1" t="str">
        <f t="shared" si="38"/>
        <v/>
      </c>
      <c r="BQ121" s="1" t="str">
        <f t="shared" si="39"/>
        <v>P7</v>
      </c>
      <c r="BR121" s="1" t="str">
        <f t="shared" si="40"/>
        <v/>
      </c>
      <c r="BS121" s="1" t="str">
        <f t="shared" si="41"/>
        <v/>
      </c>
      <c r="BT121" s="1"/>
    </row>
    <row r="122" spans="48:72" x14ac:dyDescent="0.25">
      <c r="AV122" t="s">
        <v>1421</v>
      </c>
      <c r="AZ122" s="1" t="str">
        <f t="shared" si="22"/>
        <v/>
      </c>
      <c r="BA122" s="1" t="str">
        <f t="shared" si="23"/>
        <v/>
      </c>
      <c r="BB122" s="1" t="str">
        <f t="shared" si="24"/>
        <v/>
      </c>
      <c r="BC122" s="1" t="str">
        <f t="shared" si="25"/>
        <v/>
      </c>
      <c r="BD122" s="1" t="str">
        <f t="shared" si="26"/>
        <v/>
      </c>
      <c r="BE122" s="1" t="str">
        <f t="shared" si="27"/>
        <v/>
      </c>
      <c r="BF122" s="1" t="str">
        <f t="shared" si="28"/>
        <v/>
      </c>
      <c r="BG122" s="1" t="str">
        <f t="shared" si="29"/>
        <v>P90</v>
      </c>
      <c r="BH122" s="1" t="str">
        <f t="shared" si="30"/>
        <v/>
      </c>
      <c r="BI122" s="1" t="str">
        <f t="shared" si="31"/>
        <v/>
      </c>
      <c r="BJ122" s="1" t="str">
        <f t="shared" si="32"/>
        <v/>
      </c>
      <c r="BK122" s="1" t="str">
        <f t="shared" si="33"/>
        <v/>
      </c>
      <c r="BL122" s="1" t="str">
        <f t="shared" si="34"/>
        <v/>
      </c>
      <c r="BM122" s="1" t="str">
        <f t="shared" si="35"/>
        <v/>
      </c>
      <c r="BN122" s="1" t="str">
        <f t="shared" si="36"/>
        <v/>
      </c>
      <c r="BO122" s="1" t="str">
        <f t="shared" si="37"/>
        <v/>
      </c>
      <c r="BP122" s="1" t="str">
        <f t="shared" si="38"/>
        <v/>
      </c>
      <c r="BQ122" s="1" t="str">
        <f t="shared" si="39"/>
        <v>P90</v>
      </c>
      <c r="BR122" s="1" t="str">
        <f t="shared" si="40"/>
        <v/>
      </c>
      <c r="BS122" s="1" t="str">
        <f t="shared" si="41"/>
        <v/>
      </c>
      <c r="BT122" s="1"/>
    </row>
    <row r="123" spans="48:72" x14ac:dyDescent="0.25">
      <c r="AV123" t="s">
        <v>111</v>
      </c>
      <c r="AZ123" s="1" t="str">
        <f t="shared" si="22"/>
        <v/>
      </c>
      <c r="BA123" s="1" t="str">
        <f t="shared" si="23"/>
        <v/>
      </c>
      <c r="BB123" s="1" t="str">
        <f t="shared" si="24"/>
        <v/>
      </c>
      <c r="BC123" s="1" t="str">
        <f t="shared" si="25"/>
        <v/>
      </c>
      <c r="BD123" s="1" t="str">
        <f t="shared" si="26"/>
        <v/>
      </c>
      <c r="BE123" s="1" t="str">
        <f t="shared" si="27"/>
        <v/>
      </c>
      <c r="BF123" s="1" t="str">
        <f t="shared" si="28"/>
        <v/>
      </c>
      <c r="BG123" s="1" t="str">
        <f t="shared" si="29"/>
        <v>Pekola</v>
      </c>
      <c r="BH123" s="1" t="str">
        <f t="shared" si="30"/>
        <v/>
      </c>
      <c r="BI123" s="1" t="str">
        <f t="shared" si="31"/>
        <v/>
      </c>
      <c r="BJ123" s="1" t="str">
        <f t="shared" si="32"/>
        <v/>
      </c>
      <c r="BK123" s="1" t="str">
        <f t="shared" si="33"/>
        <v/>
      </c>
      <c r="BL123" s="1" t="str">
        <f t="shared" si="34"/>
        <v/>
      </c>
      <c r="BM123" s="1" t="str">
        <f t="shared" si="35"/>
        <v/>
      </c>
      <c r="BN123" s="1" t="str">
        <f t="shared" si="36"/>
        <v/>
      </c>
      <c r="BO123" s="1" t="str">
        <f t="shared" si="37"/>
        <v/>
      </c>
      <c r="BP123" s="1" t="str">
        <f t="shared" si="38"/>
        <v/>
      </c>
      <c r="BQ123" s="1" t="str">
        <f t="shared" si="39"/>
        <v>Pekola</v>
      </c>
      <c r="BR123" s="1" t="str">
        <f t="shared" si="40"/>
        <v/>
      </c>
      <c r="BS123" s="1" t="str">
        <f t="shared" si="41"/>
        <v/>
      </c>
      <c r="BT123" s="1"/>
    </row>
    <row r="124" spans="48:72" x14ac:dyDescent="0.25">
      <c r="AV124" t="s">
        <v>1713</v>
      </c>
      <c r="AZ124" s="1" t="str">
        <f t="shared" si="22"/>
        <v/>
      </c>
      <c r="BA124" s="1" t="str">
        <f t="shared" si="23"/>
        <v/>
      </c>
      <c r="BB124" s="1" t="str">
        <f t="shared" si="24"/>
        <v/>
      </c>
      <c r="BC124" s="1" t="str">
        <f t="shared" si="25"/>
        <v/>
      </c>
      <c r="BD124" s="1" t="str">
        <f t="shared" si="26"/>
        <v/>
      </c>
      <c r="BE124" s="1" t="str">
        <f t="shared" si="27"/>
        <v/>
      </c>
      <c r="BF124" s="1" t="str">
        <f t="shared" si="28"/>
        <v/>
      </c>
      <c r="BG124" s="1" t="str">
        <f t="shared" si="29"/>
        <v>PK</v>
      </c>
      <c r="BH124" s="1" t="str">
        <f t="shared" si="30"/>
        <v/>
      </c>
      <c r="BI124" s="1" t="str">
        <f t="shared" si="31"/>
        <v/>
      </c>
      <c r="BJ124" s="1" t="str">
        <f t="shared" si="32"/>
        <v/>
      </c>
      <c r="BK124" s="1" t="str">
        <f t="shared" si="33"/>
        <v/>
      </c>
      <c r="BL124" s="1" t="str">
        <f t="shared" si="34"/>
        <v/>
      </c>
      <c r="BM124" s="1" t="str">
        <f t="shared" si="35"/>
        <v/>
      </c>
      <c r="BN124" s="1" t="str">
        <f t="shared" si="36"/>
        <v/>
      </c>
      <c r="BO124" s="1" t="str">
        <f t="shared" si="37"/>
        <v/>
      </c>
      <c r="BP124" s="1" t="str">
        <f t="shared" si="38"/>
        <v/>
      </c>
      <c r="BQ124" s="1" t="str">
        <f t="shared" si="39"/>
        <v>PK</v>
      </c>
      <c r="BR124" s="1" t="str">
        <f t="shared" si="40"/>
        <v/>
      </c>
      <c r="BS124" s="1" t="str">
        <f t="shared" si="41"/>
        <v/>
      </c>
      <c r="BT124" s="1"/>
    </row>
    <row r="125" spans="48:72" x14ac:dyDescent="0.25">
      <c r="AV125" t="s">
        <v>1161</v>
      </c>
      <c r="AZ125" s="1" t="str">
        <f t="shared" si="22"/>
        <v/>
      </c>
      <c r="BA125" s="1" t="str">
        <f t="shared" si="23"/>
        <v/>
      </c>
      <c r="BB125" s="1" t="str">
        <f t="shared" si="24"/>
        <v/>
      </c>
      <c r="BC125" s="1" t="str">
        <f t="shared" si="25"/>
        <v/>
      </c>
      <c r="BD125" s="1" t="str">
        <f t="shared" si="26"/>
        <v/>
      </c>
      <c r="BE125" s="1" t="str">
        <f t="shared" si="27"/>
        <v/>
      </c>
      <c r="BF125" s="1" t="str">
        <f t="shared" si="28"/>
        <v/>
      </c>
      <c r="BG125" s="1" t="str">
        <f t="shared" si="29"/>
        <v>PP19Mod</v>
      </c>
      <c r="BH125" s="1" t="str">
        <f t="shared" si="30"/>
        <v/>
      </c>
      <c r="BI125" s="1" t="str">
        <f t="shared" si="31"/>
        <v/>
      </c>
      <c r="BJ125" s="1" t="str">
        <f t="shared" si="32"/>
        <v/>
      </c>
      <c r="BK125" s="1" t="str">
        <f t="shared" si="33"/>
        <v/>
      </c>
      <c r="BL125" s="1" t="str">
        <f t="shared" si="34"/>
        <v/>
      </c>
      <c r="BM125" s="1" t="str">
        <f t="shared" si="35"/>
        <v/>
      </c>
      <c r="BN125" s="1" t="str">
        <f t="shared" si="36"/>
        <v/>
      </c>
      <c r="BO125" s="1" t="str">
        <f t="shared" si="37"/>
        <v/>
      </c>
      <c r="BP125" s="1" t="str">
        <f t="shared" si="38"/>
        <v/>
      </c>
      <c r="BQ125" s="1" t="str">
        <f t="shared" si="39"/>
        <v>PP19Mod</v>
      </c>
      <c r="BR125" s="1" t="str">
        <f t="shared" si="40"/>
        <v/>
      </c>
      <c r="BS125" s="1" t="str">
        <f t="shared" si="41"/>
        <v/>
      </c>
      <c r="BT125" s="1"/>
    </row>
    <row r="126" spans="48:72" x14ac:dyDescent="0.25">
      <c r="AV126" t="s">
        <v>70</v>
      </c>
      <c r="AZ126" s="1" t="str">
        <f t="shared" si="22"/>
        <v/>
      </c>
      <c r="BA126" s="1" t="str">
        <f t="shared" si="23"/>
        <v/>
      </c>
      <c r="BB126" s="1" t="str">
        <f t="shared" si="24"/>
        <v/>
      </c>
      <c r="BC126" s="1" t="str">
        <f t="shared" si="25"/>
        <v/>
      </c>
      <c r="BD126" s="1" t="str">
        <f t="shared" si="26"/>
        <v/>
      </c>
      <c r="BE126" s="1" t="str">
        <f t="shared" si="27"/>
        <v/>
      </c>
      <c r="BF126" s="1" t="str">
        <f t="shared" si="28"/>
        <v/>
      </c>
      <c r="BG126" s="1" t="str">
        <f t="shared" si="29"/>
        <v>PP2000</v>
      </c>
      <c r="BH126" s="1" t="str">
        <f t="shared" si="30"/>
        <v/>
      </c>
      <c r="BI126" s="1" t="str">
        <f t="shared" si="31"/>
        <v/>
      </c>
      <c r="BJ126" s="1" t="str">
        <f t="shared" si="32"/>
        <v/>
      </c>
      <c r="BK126" s="1" t="str">
        <f t="shared" si="33"/>
        <v/>
      </c>
      <c r="BL126" s="1" t="str">
        <f t="shared" si="34"/>
        <v/>
      </c>
      <c r="BM126" s="1" t="str">
        <f t="shared" si="35"/>
        <v/>
      </c>
      <c r="BN126" s="1" t="str">
        <f t="shared" si="36"/>
        <v/>
      </c>
      <c r="BO126" s="1" t="str">
        <f t="shared" si="37"/>
        <v/>
      </c>
      <c r="BP126" s="1" t="str">
        <f t="shared" si="38"/>
        <v/>
      </c>
      <c r="BQ126" s="1" t="str">
        <f t="shared" si="39"/>
        <v>PP2000</v>
      </c>
      <c r="BR126" s="1" t="str">
        <f t="shared" si="40"/>
        <v/>
      </c>
      <c r="BS126" s="1" t="str">
        <f t="shared" si="41"/>
        <v/>
      </c>
      <c r="BT126" s="1"/>
    </row>
    <row r="127" spans="48:72" x14ac:dyDescent="0.25">
      <c r="AV127" t="s">
        <v>6542</v>
      </c>
      <c r="AZ127" s="1" t="str">
        <f t="shared" si="22"/>
        <v/>
      </c>
      <c r="BA127" s="1" t="str">
        <f t="shared" si="23"/>
        <v/>
      </c>
      <c r="BB127" s="1" t="str">
        <f t="shared" si="24"/>
        <v/>
      </c>
      <c r="BC127" s="1" t="str">
        <f t="shared" si="25"/>
        <v/>
      </c>
      <c r="BD127" s="1" t="str">
        <f t="shared" si="26"/>
        <v/>
      </c>
      <c r="BE127" s="1" t="str">
        <f t="shared" si="27"/>
        <v/>
      </c>
      <c r="BF127" s="1" t="str">
        <f t="shared" si="28"/>
        <v/>
      </c>
      <c r="BG127" s="1" t="str">
        <f t="shared" si="29"/>
        <v>PPK</v>
      </c>
      <c r="BH127" s="1" t="str">
        <f t="shared" si="30"/>
        <v/>
      </c>
      <c r="BI127" s="1" t="str">
        <f t="shared" si="31"/>
        <v/>
      </c>
      <c r="BJ127" s="1" t="str">
        <f t="shared" si="32"/>
        <v/>
      </c>
      <c r="BK127" s="1" t="str">
        <f t="shared" si="33"/>
        <v/>
      </c>
      <c r="BL127" s="1" t="str">
        <f t="shared" si="34"/>
        <v/>
      </c>
      <c r="BM127" s="1" t="str">
        <f t="shared" si="35"/>
        <v/>
      </c>
      <c r="BN127" s="1" t="str">
        <f t="shared" si="36"/>
        <v/>
      </c>
      <c r="BO127" s="1" t="str">
        <f t="shared" si="37"/>
        <v/>
      </c>
      <c r="BP127" s="1" t="str">
        <f t="shared" si="38"/>
        <v/>
      </c>
      <c r="BQ127" s="1" t="str">
        <f t="shared" si="39"/>
        <v>PPK</v>
      </c>
      <c r="BR127" s="1" t="str">
        <f t="shared" si="40"/>
        <v/>
      </c>
      <c r="BS127" s="1" t="str">
        <f t="shared" si="41"/>
        <v/>
      </c>
      <c r="BT127" s="1"/>
    </row>
    <row r="128" spans="48:72" x14ac:dyDescent="0.25">
      <c r="AV128" t="s">
        <v>912</v>
      </c>
      <c r="AZ128" s="1" t="str">
        <f t="shared" si="22"/>
        <v/>
      </c>
      <c r="BA128" s="1" t="str">
        <f t="shared" si="23"/>
        <v/>
      </c>
      <c r="BB128" s="1" t="str">
        <f t="shared" si="24"/>
        <v/>
      </c>
      <c r="BC128" s="1" t="str">
        <f t="shared" si="25"/>
        <v/>
      </c>
      <c r="BD128" s="1" t="str">
        <f t="shared" si="26"/>
        <v/>
      </c>
      <c r="BE128" s="1" t="str">
        <f t="shared" si="27"/>
        <v/>
      </c>
      <c r="BF128" s="1" t="str">
        <f t="shared" si="28"/>
        <v/>
      </c>
      <c r="BG128" s="1" t="str">
        <f t="shared" si="29"/>
        <v>PPKMod</v>
      </c>
      <c r="BH128" s="1" t="str">
        <f t="shared" si="30"/>
        <v/>
      </c>
      <c r="BI128" s="1" t="str">
        <f t="shared" si="31"/>
        <v/>
      </c>
      <c r="BJ128" s="1" t="str">
        <f t="shared" si="32"/>
        <v/>
      </c>
      <c r="BK128" s="1" t="str">
        <f t="shared" si="33"/>
        <v/>
      </c>
      <c r="BL128" s="1" t="str">
        <f t="shared" si="34"/>
        <v/>
      </c>
      <c r="BM128" s="1" t="str">
        <f t="shared" si="35"/>
        <v/>
      </c>
      <c r="BN128" s="1" t="str">
        <f t="shared" si="36"/>
        <v/>
      </c>
      <c r="BO128" s="1" t="str">
        <f t="shared" si="37"/>
        <v/>
      </c>
      <c r="BP128" s="1" t="str">
        <f t="shared" si="38"/>
        <v/>
      </c>
      <c r="BQ128" s="1" t="str">
        <f t="shared" si="39"/>
        <v>PPKMod</v>
      </c>
      <c r="BR128" s="1" t="str">
        <f t="shared" si="40"/>
        <v/>
      </c>
      <c r="BS128" s="1" t="str">
        <f t="shared" si="41"/>
        <v/>
      </c>
      <c r="BT128" s="1"/>
    </row>
    <row r="129" spans="48:72" x14ac:dyDescent="0.25">
      <c r="AV129" t="s">
        <v>5783</v>
      </c>
      <c r="AZ129" s="1" t="str">
        <f t="shared" si="22"/>
        <v/>
      </c>
      <c r="BA129" s="1" t="str">
        <f t="shared" si="23"/>
        <v/>
      </c>
      <c r="BB129" s="1" t="str">
        <f t="shared" si="24"/>
        <v/>
      </c>
      <c r="BC129" s="1" t="str">
        <f t="shared" si="25"/>
        <v/>
      </c>
      <c r="BD129" s="1" t="str">
        <f t="shared" si="26"/>
        <v/>
      </c>
      <c r="BE129" s="1" t="str">
        <f t="shared" si="27"/>
        <v/>
      </c>
      <c r="BF129" s="1" t="str">
        <f t="shared" si="28"/>
        <v/>
      </c>
      <c r="BG129" s="1" t="str">
        <f t="shared" si="29"/>
        <v>PPSh41</v>
      </c>
      <c r="BH129" s="1" t="str">
        <f t="shared" si="30"/>
        <v/>
      </c>
      <c r="BI129" s="1" t="str">
        <f t="shared" si="31"/>
        <v/>
      </c>
      <c r="BJ129" s="1" t="str">
        <f t="shared" si="32"/>
        <v/>
      </c>
      <c r="BK129" s="1" t="str">
        <f t="shared" si="33"/>
        <v/>
      </c>
      <c r="BL129" s="1" t="str">
        <f t="shared" si="34"/>
        <v/>
      </c>
      <c r="BM129" s="1" t="str">
        <f t="shared" si="35"/>
        <v/>
      </c>
      <c r="BN129" s="1" t="str">
        <f t="shared" si="36"/>
        <v/>
      </c>
      <c r="BO129" s="1" t="str">
        <f t="shared" si="37"/>
        <v/>
      </c>
      <c r="BP129" s="1" t="str">
        <f t="shared" si="38"/>
        <v/>
      </c>
      <c r="BQ129" s="1" t="str">
        <f t="shared" si="39"/>
        <v>PPSh41</v>
      </c>
      <c r="BR129" s="1" t="str">
        <f t="shared" si="40"/>
        <v/>
      </c>
      <c r="BS129" s="1" t="str">
        <f t="shared" si="41"/>
        <v/>
      </c>
      <c r="BT129" s="1"/>
    </row>
    <row r="130" spans="48:72" x14ac:dyDescent="0.25">
      <c r="AV130" t="s">
        <v>91</v>
      </c>
      <c r="AZ130" s="1" t="str">
        <f t="shared" si="22"/>
        <v/>
      </c>
      <c r="BA130" s="1" t="str">
        <f t="shared" si="23"/>
        <v/>
      </c>
      <c r="BB130" s="1" t="str">
        <f t="shared" si="24"/>
        <v/>
      </c>
      <c r="BC130" s="1" t="str">
        <f t="shared" si="25"/>
        <v/>
      </c>
      <c r="BD130" s="1" t="str">
        <f t="shared" si="26"/>
        <v/>
      </c>
      <c r="BE130" s="1" t="str">
        <f t="shared" si="27"/>
        <v/>
      </c>
      <c r="BF130" s="1" t="str">
        <f t="shared" si="28"/>
        <v/>
      </c>
      <c r="BG130" s="1" t="str">
        <f t="shared" si="29"/>
        <v>PPsh41Mod</v>
      </c>
      <c r="BH130" s="1" t="str">
        <f t="shared" si="30"/>
        <v/>
      </c>
      <c r="BI130" s="1" t="str">
        <f t="shared" si="31"/>
        <v/>
      </c>
      <c r="BJ130" s="1" t="str">
        <f t="shared" si="32"/>
        <v/>
      </c>
      <c r="BK130" s="1" t="str">
        <f t="shared" si="33"/>
        <v/>
      </c>
      <c r="BL130" s="1" t="str">
        <f t="shared" si="34"/>
        <v/>
      </c>
      <c r="BM130" s="1" t="str">
        <f t="shared" si="35"/>
        <v/>
      </c>
      <c r="BN130" s="1" t="str">
        <f t="shared" si="36"/>
        <v/>
      </c>
      <c r="BO130" s="1" t="str">
        <f t="shared" si="37"/>
        <v/>
      </c>
      <c r="BP130" s="1" t="str">
        <f t="shared" si="38"/>
        <v/>
      </c>
      <c r="BQ130" s="1" t="str">
        <f t="shared" si="39"/>
        <v>PPsh41Mod</v>
      </c>
      <c r="BR130" s="1" t="str">
        <f t="shared" si="40"/>
        <v/>
      </c>
      <c r="BS130" s="1" t="str">
        <f t="shared" si="41"/>
        <v/>
      </c>
      <c r="BT130" s="1"/>
    </row>
    <row r="131" spans="48:72" x14ac:dyDescent="0.25">
      <c r="AV131" t="s">
        <v>186</v>
      </c>
      <c r="AZ131" s="1" t="str">
        <f t="shared" si="22"/>
        <v/>
      </c>
      <c r="BA131" s="1" t="str">
        <f t="shared" si="23"/>
        <v/>
      </c>
      <c r="BB131" s="1" t="str">
        <f t="shared" si="24"/>
        <v/>
      </c>
      <c r="BC131" s="1" t="str">
        <f t="shared" si="25"/>
        <v/>
      </c>
      <c r="BD131" s="1" t="str">
        <f t="shared" si="26"/>
        <v/>
      </c>
      <c r="BE131" s="1" t="str">
        <f t="shared" si="27"/>
        <v/>
      </c>
      <c r="BF131" s="1" t="str">
        <f t="shared" si="28"/>
        <v/>
      </c>
      <c r="BG131" s="1" t="str">
        <f t="shared" si="29"/>
        <v>PTRD</v>
      </c>
      <c r="BH131" s="1" t="str">
        <f t="shared" si="30"/>
        <v/>
      </c>
      <c r="BI131" s="1" t="str">
        <f t="shared" si="31"/>
        <v/>
      </c>
      <c r="BJ131" s="1" t="str">
        <f t="shared" si="32"/>
        <v/>
      </c>
      <c r="BK131" s="1" t="str">
        <f t="shared" si="33"/>
        <v/>
      </c>
      <c r="BL131" s="1" t="str">
        <f t="shared" si="34"/>
        <v/>
      </c>
      <c r="BM131" s="1" t="str">
        <f t="shared" si="35"/>
        <v/>
      </c>
      <c r="BN131" s="1" t="str">
        <f t="shared" si="36"/>
        <v/>
      </c>
      <c r="BO131" s="1" t="str">
        <f t="shared" si="37"/>
        <v/>
      </c>
      <c r="BP131" s="1" t="str">
        <f t="shared" si="38"/>
        <v/>
      </c>
      <c r="BQ131" s="1" t="str">
        <f t="shared" si="39"/>
        <v>PTRD</v>
      </c>
      <c r="BR131" s="1" t="str">
        <f t="shared" si="40"/>
        <v/>
      </c>
      <c r="BS131" s="1" t="str">
        <f t="shared" si="41"/>
        <v/>
      </c>
      <c r="BT131" s="1"/>
    </row>
    <row r="132" spans="48:72" x14ac:dyDescent="0.25">
      <c r="AV132" t="s">
        <v>64</v>
      </c>
      <c r="AZ132" s="1" t="str">
        <f t="shared" ref="AZ132:AZ195" si="42">IF(INDEX($C131:$AF131,MATCH(AZ$2,$C$1:$AF$1,0))="","",INDEX($C131:$AF131,MATCH(AZ$2,$C$1:$AF$1,0)))</f>
        <v/>
      </c>
      <c r="BA132" s="1" t="str">
        <f t="shared" ref="BA132:BA195" si="43">IF(INDEX($C131:$AF131,MATCH(BA$2,$C$1:$AF$1,0))="","",INDEX($C131:$AF131,MATCH(BA$2,$C$1:$AF$1,0)))</f>
        <v/>
      </c>
      <c r="BB132" s="1" t="str">
        <f t="shared" ref="BB132:BB195" si="44">IF(INDEX($C131:$AF131,MATCH(BB$2,$C$1:$AF$1,0))="","",INDEX($C131:$AF131,MATCH(BB$2,$C$1:$AF$1,0)))</f>
        <v/>
      </c>
      <c r="BC132" s="1" t="str">
        <f t="shared" ref="BC132:BC195" si="45">IF(INDEX($C131:$AF131,MATCH(BC$2,$C$1:$AF$1,0))="","",INDEX($C131:$AF131,MATCH(BC$2,$C$1:$AF$1,0)))</f>
        <v/>
      </c>
      <c r="BD132" s="1" t="str">
        <f t="shared" ref="BD132:BD195" si="46">IF(INDEX($C131:$AF131,MATCH(BD$2,$C$1:$AF$1,0))="","",INDEX($C131:$AF131,MATCH(BD$2,$C$1:$AF$1,0)))</f>
        <v/>
      </c>
      <c r="BE132" s="1" t="str">
        <f t="shared" ref="BE132:BE195" si="47">IF(INDEX($AH131:$AV131,MATCH(BE$2,$AH$1:$AV$1,0))="","",INDEX($AH131:$AV131,MATCH(BE$2,$AH$1:$AV$1,0)))</f>
        <v/>
      </c>
      <c r="BF132" s="1" t="str">
        <f t="shared" ref="BF132:BF195" si="48">IF(INDEX($AH131:$AV131,MATCH(BF$2,$AH$1:$AV$1,0))="","",INDEX($AH131:$AV131,MATCH(BF$2,$AH$1:$AV$1,0)))</f>
        <v/>
      </c>
      <c r="BG132" s="1" t="str">
        <f t="shared" ref="BG132:BG195" si="49">IF(INDEX($AH131:$AV131,MATCH(BG$2,$AH$1:$AV$1,0))="","",INDEX($AH131:$AV131,MATCH(BG$2,$AH$1:$AV$1,0)))</f>
        <v>Px4 Storm</v>
      </c>
      <c r="BH132" s="1" t="str">
        <f t="shared" ref="BH132:BH195" si="50">IF(INDEX($AH131:$AV131,MATCH(BH$2,$AH$1:$AV$1,0))="","",INDEX($AH131:$AV131,MATCH(BH$2,$AH$1:$AV$1,0)))</f>
        <v/>
      </c>
      <c r="BI132" s="1" t="str">
        <f t="shared" ref="BI132:BI195" si="51">IF(INDEX($AH131:$AV131,MATCH(BI$2,$AH$1:$AV$1,0))="","",INDEX($AH131:$AV131,MATCH(BI$2,$AH$1:$AV$1,0)))</f>
        <v/>
      </c>
      <c r="BJ132" s="1" t="str">
        <f t="shared" ref="BJ132:BJ195" si="52">IF(INDEX($AH131:$AV131,MATCH(BJ$2,$AH$1:$AV$1,0))="","",INDEX($AH131:$AV131,MATCH(BJ$2,$AH$1:$AV$1,0)))</f>
        <v/>
      </c>
      <c r="BK132" s="1" t="str">
        <f t="shared" ref="BK132:BK195" si="53">IF(INDEX($AH131:$AV131,MATCH(BK$2,$AH$1:$AV$1,0))="","",INDEX($AH131:$AV131,MATCH(BK$2,$AH$1:$AV$1,0)))</f>
        <v/>
      </c>
      <c r="BL132" s="1" t="str">
        <f t="shared" ref="BL132:BL195" si="54">IF(INDEX($AH131:$AV131,MATCH(BL$2,$AH$1:$AV$1,0))="","",INDEX($AH131:$AV131,MATCH(BL$2,$AH$1:$AV$1,0)))</f>
        <v/>
      </c>
      <c r="BM132" s="1" t="str">
        <f t="shared" ref="BM132:BM195" si="55">IF(INDEX($AH131:$AV131,MATCH(BM$2,$AH$1:$AV$1,0))="","",INDEX($AH131:$AV131,MATCH(BM$2,$AH$1:$AV$1,0)))</f>
        <v/>
      </c>
      <c r="BN132" s="1" t="str">
        <f t="shared" ref="BN132:BN195" si="56">IF(INDEX($AH131:$AV131,MATCH(BN$2,$AH$1:$AV$1,0))="","",INDEX($AH131:$AV131,MATCH(BN$2,$AH$1:$AV$1,0)))</f>
        <v/>
      </c>
      <c r="BO132" s="1" t="str">
        <f t="shared" ref="BO132:BO195" si="57">IF(INDEX($AH131:$AV131,MATCH(BO$2,$AH$1:$AV$1,0))="","",INDEX($AH131:$AV131,MATCH(BO$2,$AH$1:$AV$1,0)))</f>
        <v/>
      </c>
      <c r="BP132" s="1" t="str">
        <f t="shared" ref="BP132:BP195" si="58">IF(INDEX($AH131:$AV131,MATCH(BP$2,$AH$1:$AV$1,0))="","",INDEX($AH131:$AV131,MATCH(BP$2,$AH$1:$AV$1,0)))</f>
        <v/>
      </c>
      <c r="BQ132" s="1" t="str">
        <f t="shared" ref="BQ132:BQ195" si="59">IF(INDEX($AH131:$AV131,MATCH(BQ$2,$AH$1:$AV$1,0))="","",INDEX($AH131:$AV131,MATCH(BQ$2,$AH$1:$AV$1,0)))</f>
        <v>Px4 Storm</v>
      </c>
      <c r="BR132" s="1" t="str">
        <f t="shared" ref="BR132:BR195" si="60">IF(INDEX($AH131:$AV131,MATCH(BR$2,$AH$1:$AV$1,0))="","",INDEX($AH131:$AV131,MATCH(BR$2,$AH$1:$AV$1,0)))</f>
        <v/>
      </c>
      <c r="BS132" s="1" t="str">
        <f t="shared" ref="BS132:BS195" si="61">IF(INDEX($AH131:$AV131,MATCH(BS$2,$AH$1:$AV$1,0))="","",INDEX($AH131:$AV131,MATCH(BS$2,$AH$1:$AV$1,0)))</f>
        <v/>
      </c>
      <c r="BT132" s="1"/>
    </row>
    <row r="133" spans="48:72" x14ac:dyDescent="0.25">
      <c r="AV133" t="s">
        <v>159</v>
      </c>
      <c r="AZ133" s="1" t="str">
        <f t="shared" si="42"/>
        <v/>
      </c>
      <c r="BA133" s="1" t="str">
        <f t="shared" si="43"/>
        <v/>
      </c>
      <c r="BB133" s="1" t="str">
        <f t="shared" si="44"/>
        <v/>
      </c>
      <c r="BC133" s="1" t="str">
        <f t="shared" si="45"/>
        <v/>
      </c>
      <c r="BD133" s="1" t="str">
        <f t="shared" si="46"/>
        <v/>
      </c>
      <c r="BE133" s="1" t="str">
        <f t="shared" si="47"/>
        <v/>
      </c>
      <c r="BF133" s="1" t="str">
        <f t="shared" si="48"/>
        <v/>
      </c>
      <c r="BG133" s="1" t="str">
        <f t="shared" si="49"/>
        <v>Python</v>
      </c>
      <c r="BH133" s="1" t="str">
        <f t="shared" si="50"/>
        <v/>
      </c>
      <c r="BI133" s="1" t="str">
        <f t="shared" si="51"/>
        <v/>
      </c>
      <c r="BJ133" s="1" t="str">
        <f t="shared" si="52"/>
        <v/>
      </c>
      <c r="BK133" s="1" t="str">
        <f t="shared" si="53"/>
        <v/>
      </c>
      <c r="BL133" s="1" t="str">
        <f t="shared" si="54"/>
        <v/>
      </c>
      <c r="BM133" s="1" t="str">
        <f t="shared" si="55"/>
        <v/>
      </c>
      <c r="BN133" s="1" t="str">
        <f t="shared" si="56"/>
        <v/>
      </c>
      <c r="BO133" s="1" t="str">
        <f t="shared" si="57"/>
        <v/>
      </c>
      <c r="BP133" s="1" t="str">
        <f t="shared" si="58"/>
        <v/>
      </c>
      <c r="BQ133" s="1" t="str">
        <f t="shared" si="59"/>
        <v>Python</v>
      </c>
      <c r="BR133" s="1" t="str">
        <f t="shared" si="60"/>
        <v/>
      </c>
      <c r="BS133" s="1" t="str">
        <f t="shared" si="61"/>
        <v/>
      </c>
      <c r="BT133" s="1"/>
    </row>
    <row r="134" spans="48:72" x14ac:dyDescent="0.25">
      <c r="AV134" t="s">
        <v>230</v>
      </c>
      <c r="AZ134" s="1" t="str">
        <f t="shared" si="42"/>
        <v/>
      </c>
      <c r="BA134" s="1" t="str">
        <f t="shared" si="43"/>
        <v/>
      </c>
      <c r="BB134" s="1" t="str">
        <f t="shared" si="44"/>
        <v/>
      </c>
      <c r="BC134" s="1" t="str">
        <f t="shared" si="45"/>
        <v/>
      </c>
      <c r="BD134" s="1" t="str">
        <f t="shared" si="46"/>
        <v/>
      </c>
      <c r="BE134" s="1" t="str">
        <f t="shared" si="47"/>
        <v/>
      </c>
      <c r="BF134" s="1" t="str">
        <f t="shared" si="48"/>
        <v/>
      </c>
      <c r="BG134" s="1" t="str">
        <f t="shared" si="49"/>
        <v>PzB39</v>
      </c>
      <c r="BH134" s="1" t="str">
        <f t="shared" si="50"/>
        <v/>
      </c>
      <c r="BI134" s="1" t="str">
        <f t="shared" si="51"/>
        <v/>
      </c>
      <c r="BJ134" s="1" t="str">
        <f t="shared" si="52"/>
        <v/>
      </c>
      <c r="BK134" s="1" t="str">
        <f t="shared" si="53"/>
        <v/>
      </c>
      <c r="BL134" s="1" t="str">
        <f t="shared" si="54"/>
        <v/>
      </c>
      <c r="BM134" s="1" t="str">
        <f t="shared" si="55"/>
        <v/>
      </c>
      <c r="BN134" s="1" t="str">
        <f t="shared" si="56"/>
        <v/>
      </c>
      <c r="BO134" s="1" t="str">
        <f t="shared" si="57"/>
        <v/>
      </c>
      <c r="BP134" s="1" t="str">
        <f t="shared" si="58"/>
        <v/>
      </c>
      <c r="BQ134" s="1" t="str">
        <f t="shared" si="59"/>
        <v>PzB39</v>
      </c>
      <c r="BR134" s="1" t="str">
        <f t="shared" si="60"/>
        <v/>
      </c>
      <c r="BS134" s="1" t="str">
        <f t="shared" si="61"/>
        <v/>
      </c>
      <c r="BT134" s="1"/>
    </row>
    <row r="135" spans="48:72" x14ac:dyDescent="0.25">
      <c r="AV135" t="s">
        <v>1783</v>
      </c>
      <c r="AZ135" s="1" t="str">
        <f t="shared" si="42"/>
        <v/>
      </c>
      <c r="BA135" s="1" t="str">
        <f t="shared" si="43"/>
        <v/>
      </c>
      <c r="BB135" s="1" t="str">
        <f t="shared" si="44"/>
        <v/>
      </c>
      <c r="BC135" s="1" t="str">
        <f t="shared" si="45"/>
        <v/>
      </c>
      <c r="BD135" s="1" t="str">
        <f t="shared" si="46"/>
        <v/>
      </c>
      <c r="BE135" s="1" t="str">
        <f t="shared" si="47"/>
        <v/>
      </c>
      <c r="BF135" s="1" t="str">
        <f t="shared" si="48"/>
        <v/>
      </c>
      <c r="BG135" s="1" t="str">
        <f t="shared" si="49"/>
        <v>RFB</v>
      </c>
      <c r="BH135" s="1" t="str">
        <f t="shared" si="50"/>
        <v/>
      </c>
      <c r="BI135" s="1" t="str">
        <f t="shared" si="51"/>
        <v/>
      </c>
      <c r="BJ135" s="1" t="str">
        <f t="shared" si="52"/>
        <v/>
      </c>
      <c r="BK135" s="1" t="str">
        <f t="shared" si="53"/>
        <v/>
      </c>
      <c r="BL135" s="1" t="str">
        <f t="shared" si="54"/>
        <v/>
      </c>
      <c r="BM135" s="1" t="str">
        <f t="shared" si="55"/>
        <v/>
      </c>
      <c r="BN135" s="1" t="str">
        <f t="shared" si="56"/>
        <v/>
      </c>
      <c r="BO135" s="1" t="str">
        <f t="shared" si="57"/>
        <v/>
      </c>
      <c r="BP135" s="1" t="str">
        <f t="shared" si="58"/>
        <v/>
      </c>
      <c r="BQ135" s="1" t="str">
        <f t="shared" si="59"/>
        <v>RFB</v>
      </c>
      <c r="BR135" s="1" t="str">
        <f t="shared" si="60"/>
        <v/>
      </c>
      <c r="BS135" s="1" t="str">
        <f t="shared" si="61"/>
        <v/>
      </c>
      <c r="BT135" s="1"/>
    </row>
    <row r="136" spans="48:72" x14ac:dyDescent="0.25">
      <c r="AV136" t="s">
        <v>249</v>
      </c>
      <c r="AZ136" s="1" t="str">
        <f t="shared" si="42"/>
        <v/>
      </c>
      <c r="BA136" s="1" t="str">
        <f t="shared" si="43"/>
        <v/>
      </c>
      <c r="BB136" s="1" t="str">
        <f t="shared" si="44"/>
        <v/>
      </c>
      <c r="BC136" s="1" t="str">
        <f t="shared" si="45"/>
        <v/>
      </c>
      <c r="BD136" s="1" t="str">
        <f t="shared" si="46"/>
        <v/>
      </c>
      <c r="BE136" s="1" t="str">
        <f t="shared" si="47"/>
        <v/>
      </c>
      <c r="BF136" s="1" t="str">
        <f t="shared" si="48"/>
        <v/>
      </c>
      <c r="BG136" s="1" t="str">
        <f t="shared" si="49"/>
        <v>Ribeyrolles1918Mod</v>
      </c>
      <c r="BH136" s="1" t="str">
        <f t="shared" si="50"/>
        <v/>
      </c>
      <c r="BI136" s="1" t="str">
        <f t="shared" si="51"/>
        <v/>
      </c>
      <c r="BJ136" s="1" t="str">
        <f t="shared" si="52"/>
        <v/>
      </c>
      <c r="BK136" s="1" t="str">
        <f t="shared" si="53"/>
        <v/>
      </c>
      <c r="BL136" s="1" t="str">
        <f t="shared" si="54"/>
        <v/>
      </c>
      <c r="BM136" s="1" t="str">
        <f t="shared" si="55"/>
        <v/>
      </c>
      <c r="BN136" s="1" t="str">
        <f t="shared" si="56"/>
        <v/>
      </c>
      <c r="BO136" s="1" t="str">
        <f t="shared" si="57"/>
        <v/>
      </c>
      <c r="BP136" s="1" t="str">
        <f t="shared" si="58"/>
        <v/>
      </c>
      <c r="BQ136" s="1" t="str">
        <f t="shared" si="59"/>
        <v>Ribeyrolles1918Mod</v>
      </c>
      <c r="BR136" s="1" t="str">
        <f t="shared" si="60"/>
        <v/>
      </c>
      <c r="BS136" s="1" t="str">
        <f t="shared" si="61"/>
        <v/>
      </c>
      <c r="BT136" s="1"/>
    </row>
    <row r="137" spans="48:72" x14ac:dyDescent="0.25">
      <c r="AV137" t="s">
        <v>935</v>
      </c>
      <c r="AZ137" s="1" t="str">
        <f t="shared" si="42"/>
        <v/>
      </c>
      <c r="BA137" s="1" t="str">
        <f t="shared" si="43"/>
        <v/>
      </c>
      <c r="BB137" s="1" t="str">
        <f t="shared" si="44"/>
        <v/>
      </c>
      <c r="BC137" s="1" t="str">
        <f t="shared" si="45"/>
        <v/>
      </c>
      <c r="BD137" s="1" t="str">
        <f t="shared" si="46"/>
        <v/>
      </c>
      <c r="BE137" s="1" t="str">
        <f t="shared" si="47"/>
        <v/>
      </c>
      <c r="BF137" s="1" t="str">
        <f t="shared" si="48"/>
        <v/>
      </c>
      <c r="BG137" s="1" t="str">
        <f t="shared" si="49"/>
        <v>Rico</v>
      </c>
      <c r="BH137" s="1" t="str">
        <f t="shared" si="50"/>
        <v/>
      </c>
      <c r="BI137" s="1" t="str">
        <f t="shared" si="51"/>
        <v/>
      </c>
      <c r="BJ137" s="1" t="str">
        <f t="shared" si="52"/>
        <v/>
      </c>
      <c r="BK137" s="1" t="str">
        <f t="shared" si="53"/>
        <v/>
      </c>
      <c r="BL137" s="1" t="str">
        <f t="shared" si="54"/>
        <v/>
      </c>
      <c r="BM137" s="1" t="str">
        <f t="shared" si="55"/>
        <v/>
      </c>
      <c r="BN137" s="1" t="str">
        <f t="shared" si="56"/>
        <v/>
      </c>
      <c r="BO137" s="1" t="str">
        <f t="shared" si="57"/>
        <v/>
      </c>
      <c r="BP137" s="1" t="str">
        <f t="shared" si="58"/>
        <v/>
      </c>
      <c r="BQ137" s="1" t="str">
        <f t="shared" si="59"/>
        <v>Rico</v>
      </c>
      <c r="BR137" s="1" t="str">
        <f t="shared" si="60"/>
        <v/>
      </c>
      <c r="BS137" s="1" t="str">
        <f t="shared" si="61"/>
        <v/>
      </c>
      <c r="BT137" s="1"/>
    </row>
    <row r="138" spans="48:72" x14ac:dyDescent="0.25">
      <c r="AV138" t="s">
        <v>828</v>
      </c>
      <c r="AZ138" s="1" t="str">
        <f t="shared" si="42"/>
        <v/>
      </c>
      <c r="BA138" s="1" t="str">
        <f t="shared" si="43"/>
        <v/>
      </c>
      <c r="BB138" s="1" t="str">
        <f t="shared" si="44"/>
        <v/>
      </c>
      <c r="BC138" s="1" t="str">
        <f t="shared" si="45"/>
        <v/>
      </c>
      <c r="BD138" s="1" t="str">
        <f t="shared" si="46"/>
        <v/>
      </c>
      <c r="BE138" s="1" t="str">
        <f t="shared" si="47"/>
        <v/>
      </c>
      <c r="BF138" s="1" t="str">
        <f t="shared" si="48"/>
        <v/>
      </c>
      <c r="BG138" s="1" t="str">
        <f t="shared" si="49"/>
        <v>RMB93Mod</v>
      </c>
      <c r="BH138" s="1" t="str">
        <f t="shared" si="50"/>
        <v/>
      </c>
      <c r="BI138" s="1" t="str">
        <f t="shared" si="51"/>
        <v/>
      </c>
      <c r="BJ138" s="1" t="str">
        <f t="shared" si="52"/>
        <v/>
      </c>
      <c r="BK138" s="1" t="str">
        <f t="shared" si="53"/>
        <v/>
      </c>
      <c r="BL138" s="1" t="str">
        <f t="shared" si="54"/>
        <v/>
      </c>
      <c r="BM138" s="1" t="str">
        <f t="shared" si="55"/>
        <v/>
      </c>
      <c r="BN138" s="1" t="str">
        <f t="shared" si="56"/>
        <v/>
      </c>
      <c r="BO138" s="1" t="str">
        <f t="shared" si="57"/>
        <v/>
      </c>
      <c r="BP138" s="1" t="str">
        <f t="shared" si="58"/>
        <v/>
      </c>
      <c r="BQ138" s="1" t="str">
        <f t="shared" si="59"/>
        <v>RMB93Mod</v>
      </c>
      <c r="BR138" s="1" t="str">
        <f t="shared" si="60"/>
        <v/>
      </c>
      <c r="BS138" s="1" t="str">
        <f t="shared" si="61"/>
        <v/>
      </c>
      <c r="BT138" s="1"/>
    </row>
    <row r="139" spans="48:72" x14ac:dyDescent="0.25">
      <c r="AV139" t="s">
        <v>110</v>
      </c>
      <c r="AZ139" s="1" t="str">
        <f t="shared" si="42"/>
        <v/>
      </c>
      <c r="BA139" s="1" t="str">
        <f t="shared" si="43"/>
        <v/>
      </c>
      <c r="BB139" s="1" t="str">
        <f t="shared" si="44"/>
        <v/>
      </c>
      <c r="BC139" s="1" t="str">
        <f t="shared" si="45"/>
        <v/>
      </c>
      <c r="BD139" s="1" t="str">
        <f t="shared" si="46"/>
        <v/>
      </c>
      <c r="BE139" s="1" t="str">
        <f t="shared" si="47"/>
        <v/>
      </c>
      <c r="BF139" s="1" t="str">
        <f t="shared" si="48"/>
        <v/>
      </c>
      <c r="BG139" s="1" t="str">
        <f t="shared" si="49"/>
        <v>RO635Mod</v>
      </c>
      <c r="BH139" s="1" t="str">
        <f t="shared" si="50"/>
        <v/>
      </c>
      <c r="BI139" s="1" t="str">
        <f t="shared" si="51"/>
        <v/>
      </c>
      <c r="BJ139" s="1" t="str">
        <f t="shared" si="52"/>
        <v/>
      </c>
      <c r="BK139" s="1" t="str">
        <f t="shared" si="53"/>
        <v/>
      </c>
      <c r="BL139" s="1" t="str">
        <f t="shared" si="54"/>
        <v/>
      </c>
      <c r="BM139" s="1" t="str">
        <f t="shared" si="55"/>
        <v/>
      </c>
      <c r="BN139" s="1" t="str">
        <f t="shared" si="56"/>
        <v/>
      </c>
      <c r="BO139" s="1" t="str">
        <f t="shared" si="57"/>
        <v/>
      </c>
      <c r="BP139" s="1" t="str">
        <f t="shared" si="58"/>
        <v/>
      </c>
      <c r="BQ139" s="1" t="str">
        <f t="shared" si="59"/>
        <v>RO635Mod</v>
      </c>
      <c r="BR139" s="1" t="str">
        <f t="shared" si="60"/>
        <v/>
      </c>
      <c r="BS139" s="1" t="str">
        <f t="shared" si="61"/>
        <v/>
      </c>
      <c r="BT139" s="1"/>
    </row>
    <row r="140" spans="48:72" x14ac:dyDescent="0.25">
      <c r="AV140" t="s">
        <v>267</v>
      </c>
      <c r="AZ140" s="1" t="str">
        <f t="shared" si="42"/>
        <v/>
      </c>
      <c r="BA140" s="1" t="str">
        <f t="shared" si="43"/>
        <v/>
      </c>
      <c r="BB140" s="1" t="str">
        <f t="shared" si="44"/>
        <v/>
      </c>
      <c r="BC140" s="1" t="str">
        <f t="shared" si="45"/>
        <v/>
      </c>
      <c r="BD140" s="1" t="str">
        <f t="shared" si="46"/>
        <v/>
      </c>
      <c r="BE140" s="1" t="str">
        <f t="shared" si="47"/>
        <v/>
      </c>
      <c r="BF140" s="1" t="str">
        <f t="shared" si="48"/>
        <v/>
      </c>
      <c r="BG140" s="1" t="str">
        <f t="shared" si="49"/>
        <v>RPD</v>
      </c>
      <c r="BH140" s="1" t="str">
        <f t="shared" si="50"/>
        <v/>
      </c>
      <c r="BI140" s="1" t="str">
        <f t="shared" si="51"/>
        <v/>
      </c>
      <c r="BJ140" s="1" t="str">
        <f t="shared" si="52"/>
        <v/>
      </c>
      <c r="BK140" s="1" t="str">
        <f t="shared" si="53"/>
        <v/>
      </c>
      <c r="BL140" s="1" t="str">
        <f t="shared" si="54"/>
        <v/>
      </c>
      <c r="BM140" s="1" t="str">
        <f t="shared" si="55"/>
        <v/>
      </c>
      <c r="BN140" s="1" t="str">
        <f t="shared" si="56"/>
        <v/>
      </c>
      <c r="BO140" s="1" t="str">
        <f t="shared" si="57"/>
        <v/>
      </c>
      <c r="BP140" s="1" t="str">
        <f t="shared" si="58"/>
        <v/>
      </c>
      <c r="BQ140" s="1" t="str">
        <f t="shared" si="59"/>
        <v>RPD</v>
      </c>
      <c r="BR140" s="1" t="str">
        <f t="shared" si="60"/>
        <v/>
      </c>
      <c r="BS140" s="1" t="str">
        <f t="shared" si="61"/>
        <v/>
      </c>
      <c r="BT140" s="1"/>
    </row>
    <row r="141" spans="48:72" x14ac:dyDescent="0.25">
      <c r="AV141" t="s">
        <v>1663</v>
      </c>
      <c r="AZ141" s="1" t="str">
        <f t="shared" si="42"/>
        <v/>
      </c>
      <c r="BA141" s="1" t="str">
        <f t="shared" si="43"/>
        <v/>
      </c>
      <c r="BB141" s="1" t="str">
        <f t="shared" si="44"/>
        <v/>
      </c>
      <c r="BC141" s="1" t="str">
        <f t="shared" si="45"/>
        <v/>
      </c>
      <c r="BD141" s="1" t="str">
        <f t="shared" si="46"/>
        <v/>
      </c>
      <c r="BE141" s="1" t="str">
        <f t="shared" si="47"/>
        <v/>
      </c>
      <c r="BF141" s="1" t="str">
        <f t="shared" si="48"/>
        <v/>
      </c>
      <c r="BG141" s="1" t="str">
        <f t="shared" si="49"/>
        <v>SAAMod</v>
      </c>
      <c r="BH141" s="1" t="str">
        <f t="shared" si="50"/>
        <v/>
      </c>
      <c r="BI141" s="1" t="str">
        <f t="shared" si="51"/>
        <v/>
      </c>
      <c r="BJ141" s="1" t="str">
        <f t="shared" si="52"/>
        <v/>
      </c>
      <c r="BK141" s="1" t="str">
        <f t="shared" si="53"/>
        <v/>
      </c>
      <c r="BL141" s="1" t="str">
        <f t="shared" si="54"/>
        <v/>
      </c>
      <c r="BM141" s="1" t="str">
        <f t="shared" si="55"/>
        <v/>
      </c>
      <c r="BN141" s="1" t="str">
        <f t="shared" si="56"/>
        <v/>
      </c>
      <c r="BO141" s="1" t="str">
        <f t="shared" si="57"/>
        <v/>
      </c>
      <c r="BP141" s="1" t="str">
        <f t="shared" si="58"/>
        <v/>
      </c>
      <c r="BQ141" s="1" t="str">
        <f t="shared" si="59"/>
        <v>SAAMod</v>
      </c>
      <c r="BR141" s="1" t="str">
        <f t="shared" si="60"/>
        <v/>
      </c>
      <c r="BS141" s="1" t="str">
        <f t="shared" si="61"/>
        <v/>
      </c>
      <c r="BT141" s="1"/>
    </row>
    <row r="142" spans="48:72" x14ac:dyDescent="0.25">
      <c r="AV142" t="s">
        <v>751</v>
      </c>
      <c r="AZ142" s="1" t="str">
        <f t="shared" si="42"/>
        <v/>
      </c>
      <c r="BA142" s="1" t="str">
        <f t="shared" si="43"/>
        <v/>
      </c>
      <c r="BB142" s="1" t="str">
        <f t="shared" si="44"/>
        <v/>
      </c>
      <c r="BC142" s="1" t="str">
        <f t="shared" si="45"/>
        <v/>
      </c>
      <c r="BD142" s="1" t="str">
        <f t="shared" si="46"/>
        <v/>
      </c>
      <c r="BE142" s="1" t="str">
        <f t="shared" si="47"/>
        <v/>
      </c>
      <c r="BF142" s="1" t="str">
        <f t="shared" si="48"/>
        <v/>
      </c>
      <c r="BG142" s="1" t="str">
        <f t="shared" si="49"/>
        <v>Saiga12</v>
      </c>
      <c r="BH142" s="1" t="str">
        <f t="shared" si="50"/>
        <v/>
      </c>
      <c r="BI142" s="1" t="str">
        <f t="shared" si="51"/>
        <v/>
      </c>
      <c r="BJ142" s="1" t="str">
        <f t="shared" si="52"/>
        <v/>
      </c>
      <c r="BK142" s="1" t="str">
        <f t="shared" si="53"/>
        <v/>
      </c>
      <c r="BL142" s="1" t="str">
        <f t="shared" si="54"/>
        <v/>
      </c>
      <c r="BM142" s="1" t="str">
        <f t="shared" si="55"/>
        <v/>
      </c>
      <c r="BN142" s="1" t="str">
        <f t="shared" si="56"/>
        <v/>
      </c>
      <c r="BO142" s="1" t="str">
        <f t="shared" si="57"/>
        <v/>
      </c>
      <c r="BP142" s="1" t="str">
        <f t="shared" si="58"/>
        <v/>
      </c>
      <c r="BQ142" s="1" t="str">
        <f t="shared" si="59"/>
        <v>Saiga12</v>
      </c>
      <c r="BR142" s="1" t="str">
        <f t="shared" si="60"/>
        <v/>
      </c>
      <c r="BS142" s="1" t="str">
        <f t="shared" si="61"/>
        <v/>
      </c>
      <c r="BT142" s="1"/>
    </row>
    <row r="143" spans="48:72" x14ac:dyDescent="0.25">
      <c r="AV143" t="s">
        <v>732</v>
      </c>
      <c r="AZ143" s="1" t="str">
        <f t="shared" si="42"/>
        <v/>
      </c>
      <c r="BA143" s="1" t="str">
        <f t="shared" si="43"/>
        <v/>
      </c>
      <c r="BB143" s="1" t="str">
        <f t="shared" si="44"/>
        <v/>
      </c>
      <c r="BC143" s="1" t="str">
        <f t="shared" si="45"/>
        <v/>
      </c>
      <c r="BD143" s="1" t="str">
        <f t="shared" si="46"/>
        <v/>
      </c>
      <c r="BE143" s="1" t="str">
        <f t="shared" si="47"/>
        <v/>
      </c>
      <c r="BF143" s="1" t="str">
        <f t="shared" si="48"/>
        <v/>
      </c>
      <c r="BG143" s="1" t="str">
        <f t="shared" si="49"/>
        <v>SCW</v>
      </c>
      <c r="BH143" s="1" t="str">
        <f t="shared" si="50"/>
        <v/>
      </c>
      <c r="BI143" s="1" t="str">
        <f t="shared" si="51"/>
        <v/>
      </c>
      <c r="BJ143" s="1" t="str">
        <f t="shared" si="52"/>
        <v/>
      </c>
      <c r="BK143" s="1" t="str">
        <f t="shared" si="53"/>
        <v/>
      </c>
      <c r="BL143" s="1" t="str">
        <f t="shared" si="54"/>
        <v/>
      </c>
      <c r="BM143" s="1" t="str">
        <f t="shared" si="55"/>
        <v/>
      </c>
      <c r="BN143" s="1" t="str">
        <f t="shared" si="56"/>
        <v/>
      </c>
      <c r="BO143" s="1" t="str">
        <f t="shared" si="57"/>
        <v/>
      </c>
      <c r="BP143" s="1" t="str">
        <f t="shared" si="58"/>
        <v/>
      </c>
      <c r="BQ143" s="1" t="str">
        <f t="shared" si="59"/>
        <v>SCW</v>
      </c>
      <c r="BR143" s="1" t="str">
        <f t="shared" si="60"/>
        <v/>
      </c>
      <c r="BS143" s="1" t="str">
        <f t="shared" si="61"/>
        <v/>
      </c>
      <c r="BT143" s="1"/>
    </row>
    <row r="144" spans="48:72" x14ac:dyDescent="0.25">
      <c r="AV144" t="s">
        <v>750</v>
      </c>
      <c r="AZ144" s="1" t="str">
        <f t="shared" si="42"/>
        <v/>
      </c>
      <c r="BA144" s="1" t="str">
        <f t="shared" si="43"/>
        <v/>
      </c>
      <c r="BB144" s="1" t="str">
        <f t="shared" si="44"/>
        <v/>
      </c>
      <c r="BC144" s="1" t="str">
        <f t="shared" si="45"/>
        <v/>
      </c>
      <c r="BD144" s="1" t="str">
        <f t="shared" si="46"/>
        <v/>
      </c>
      <c r="BE144" s="1" t="str">
        <f t="shared" si="47"/>
        <v/>
      </c>
      <c r="BF144" s="1" t="str">
        <f t="shared" si="48"/>
        <v/>
      </c>
      <c r="BG144" s="1" t="str">
        <f t="shared" si="49"/>
        <v>Sei</v>
      </c>
      <c r="BH144" s="1" t="str">
        <f t="shared" si="50"/>
        <v/>
      </c>
      <c r="BI144" s="1" t="str">
        <f t="shared" si="51"/>
        <v/>
      </c>
      <c r="BJ144" s="1" t="str">
        <f t="shared" si="52"/>
        <v/>
      </c>
      <c r="BK144" s="1" t="str">
        <f t="shared" si="53"/>
        <v/>
      </c>
      <c r="BL144" s="1" t="str">
        <f t="shared" si="54"/>
        <v/>
      </c>
      <c r="BM144" s="1" t="str">
        <f t="shared" si="55"/>
        <v/>
      </c>
      <c r="BN144" s="1" t="str">
        <f t="shared" si="56"/>
        <v/>
      </c>
      <c r="BO144" s="1" t="str">
        <f t="shared" si="57"/>
        <v/>
      </c>
      <c r="BP144" s="1" t="str">
        <f t="shared" si="58"/>
        <v/>
      </c>
      <c r="BQ144" s="1" t="str">
        <f t="shared" si="59"/>
        <v>Sei</v>
      </c>
      <c r="BR144" s="1" t="str">
        <f t="shared" si="60"/>
        <v/>
      </c>
      <c r="BS144" s="1" t="str">
        <f t="shared" si="61"/>
        <v/>
      </c>
      <c r="BT144" s="1"/>
    </row>
    <row r="145" spans="48:72" x14ac:dyDescent="0.25">
      <c r="AV145" t="s">
        <v>745</v>
      </c>
      <c r="AZ145" s="1" t="str">
        <f t="shared" si="42"/>
        <v/>
      </c>
      <c r="BA145" s="1" t="str">
        <f t="shared" si="43"/>
        <v/>
      </c>
      <c r="BB145" s="1" t="str">
        <f t="shared" si="44"/>
        <v/>
      </c>
      <c r="BC145" s="1" t="str">
        <f t="shared" si="45"/>
        <v/>
      </c>
      <c r="BD145" s="1" t="str">
        <f t="shared" si="46"/>
        <v/>
      </c>
      <c r="BE145" s="1" t="str">
        <f t="shared" si="47"/>
        <v/>
      </c>
      <c r="BF145" s="1" t="str">
        <f t="shared" si="48"/>
        <v/>
      </c>
      <c r="BG145" s="1" t="str">
        <f t="shared" si="49"/>
        <v>Serdyukov</v>
      </c>
      <c r="BH145" s="1" t="str">
        <f t="shared" si="50"/>
        <v/>
      </c>
      <c r="BI145" s="1" t="str">
        <f t="shared" si="51"/>
        <v/>
      </c>
      <c r="BJ145" s="1" t="str">
        <f t="shared" si="52"/>
        <v/>
      </c>
      <c r="BK145" s="1" t="str">
        <f t="shared" si="53"/>
        <v/>
      </c>
      <c r="BL145" s="1" t="str">
        <f t="shared" si="54"/>
        <v/>
      </c>
      <c r="BM145" s="1" t="str">
        <f t="shared" si="55"/>
        <v/>
      </c>
      <c r="BN145" s="1" t="str">
        <f t="shared" si="56"/>
        <v/>
      </c>
      <c r="BO145" s="1" t="str">
        <f t="shared" si="57"/>
        <v/>
      </c>
      <c r="BP145" s="1" t="str">
        <f t="shared" si="58"/>
        <v/>
      </c>
      <c r="BQ145" s="1" t="str">
        <f t="shared" si="59"/>
        <v>Serdyukov</v>
      </c>
      <c r="BR145" s="1" t="str">
        <f t="shared" si="60"/>
        <v/>
      </c>
      <c r="BS145" s="1" t="str">
        <f t="shared" si="61"/>
        <v/>
      </c>
      <c r="BT145" s="1"/>
    </row>
    <row r="146" spans="48:72" x14ac:dyDescent="0.25">
      <c r="AV146" t="s">
        <v>81</v>
      </c>
      <c r="AZ146" s="1" t="str">
        <f t="shared" si="42"/>
        <v/>
      </c>
      <c r="BA146" s="1" t="str">
        <f t="shared" si="43"/>
        <v/>
      </c>
      <c r="BB146" s="1" t="str">
        <f t="shared" si="44"/>
        <v/>
      </c>
      <c r="BC146" s="1" t="str">
        <f t="shared" si="45"/>
        <v/>
      </c>
      <c r="BD146" s="1" t="str">
        <f t="shared" si="46"/>
        <v/>
      </c>
      <c r="BE146" s="1" t="str">
        <f t="shared" si="47"/>
        <v/>
      </c>
      <c r="BF146" s="1" t="str">
        <f t="shared" si="48"/>
        <v/>
      </c>
      <c r="BG146" s="1" t="str">
        <f t="shared" si="49"/>
        <v>SIG510</v>
      </c>
      <c r="BH146" s="1" t="str">
        <f t="shared" si="50"/>
        <v/>
      </c>
      <c r="BI146" s="1" t="str">
        <f t="shared" si="51"/>
        <v/>
      </c>
      <c r="BJ146" s="1" t="str">
        <f t="shared" si="52"/>
        <v/>
      </c>
      <c r="BK146" s="1" t="str">
        <f t="shared" si="53"/>
        <v/>
      </c>
      <c r="BL146" s="1" t="str">
        <f t="shared" si="54"/>
        <v/>
      </c>
      <c r="BM146" s="1" t="str">
        <f t="shared" si="55"/>
        <v/>
      </c>
      <c r="BN146" s="1" t="str">
        <f t="shared" si="56"/>
        <v/>
      </c>
      <c r="BO146" s="1" t="str">
        <f t="shared" si="57"/>
        <v/>
      </c>
      <c r="BP146" s="1" t="str">
        <f t="shared" si="58"/>
        <v/>
      </c>
      <c r="BQ146" s="1" t="str">
        <f t="shared" si="59"/>
        <v>SIG510</v>
      </c>
      <c r="BR146" s="1" t="str">
        <f t="shared" si="60"/>
        <v/>
      </c>
      <c r="BS146" s="1" t="str">
        <f t="shared" si="61"/>
        <v/>
      </c>
      <c r="BT146" s="1"/>
    </row>
    <row r="147" spans="48:72" x14ac:dyDescent="0.25">
      <c r="AV147" t="s">
        <v>116</v>
      </c>
      <c r="AZ147" s="1" t="str">
        <f t="shared" si="42"/>
        <v/>
      </c>
      <c r="BA147" s="1" t="str">
        <f t="shared" si="43"/>
        <v/>
      </c>
      <c r="BB147" s="1" t="str">
        <f t="shared" si="44"/>
        <v/>
      </c>
      <c r="BC147" s="1" t="str">
        <f t="shared" si="45"/>
        <v/>
      </c>
      <c r="BD147" s="1" t="str">
        <f t="shared" si="46"/>
        <v/>
      </c>
      <c r="BE147" s="1" t="str">
        <f t="shared" si="47"/>
        <v/>
      </c>
      <c r="BF147" s="1" t="str">
        <f t="shared" si="48"/>
        <v/>
      </c>
      <c r="BG147" s="1" t="str">
        <f t="shared" si="49"/>
        <v>Skorpion</v>
      </c>
      <c r="BH147" s="1" t="str">
        <f t="shared" si="50"/>
        <v/>
      </c>
      <c r="BI147" s="1" t="str">
        <f t="shared" si="51"/>
        <v/>
      </c>
      <c r="BJ147" s="1" t="str">
        <f t="shared" si="52"/>
        <v/>
      </c>
      <c r="BK147" s="1" t="str">
        <f t="shared" si="53"/>
        <v/>
      </c>
      <c r="BL147" s="1" t="str">
        <f t="shared" si="54"/>
        <v/>
      </c>
      <c r="BM147" s="1" t="str">
        <f t="shared" si="55"/>
        <v/>
      </c>
      <c r="BN147" s="1" t="str">
        <f t="shared" si="56"/>
        <v/>
      </c>
      <c r="BO147" s="1" t="str">
        <f t="shared" si="57"/>
        <v/>
      </c>
      <c r="BP147" s="1" t="str">
        <f t="shared" si="58"/>
        <v/>
      </c>
      <c r="BQ147" s="1" t="str">
        <f t="shared" si="59"/>
        <v>Skorpion</v>
      </c>
      <c r="BR147" s="1" t="str">
        <f t="shared" si="60"/>
        <v/>
      </c>
      <c r="BS147" s="1" t="str">
        <f t="shared" si="61"/>
        <v/>
      </c>
      <c r="BT147" s="1"/>
    </row>
    <row r="148" spans="48:72" x14ac:dyDescent="0.25">
      <c r="AV148" t="s">
        <v>87</v>
      </c>
      <c r="AZ148" s="1" t="str">
        <f t="shared" si="42"/>
        <v/>
      </c>
      <c r="BA148" s="1" t="str">
        <f t="shared" si="43"/>
        <v/>
      </c>
      <c r="BB148" s="1" t="str">
        <f t="shared" si="44"/>
        <v/>
      </c>
      <c r="BC148" s="1" t="str">
        <f t="shared" si="45"/>
        <v/>
      </c>
      <c r="BD148" s="1" t="str">
        <f t="shared" si="46"/>
        <v/>
      </c>
      <c r="BE148" s="1" t="str">
        <f t="shared" si="47"/>
        <v/>
      </c>
      <c r="BF148" s="1" t="str">
        <f t="shared" si="48"/>
        <v/>
      </c>
      <c r="BG148" s="1" t="str">
        <f t="shared" si="49"/>
        <v>Spectre M4</v>
      </c>
      <c r="BH148" s="1" t="str">
        <f t="shared" si="50"/>
        <v/>
      </c>
      <c r="BI148" s="1" t="str">
        <f t="shared" si="51"/>
        <v/>
      </c>
      <c r="BJ148" s="1" t="str">
        <f t="shared" si="52"/>
        <v/>
      </c>
      <c r="BK148" s="1" t="str">
        <f t="shared" si="53"/>
        <v/>
      </c>
      <c r="BL148" s="1" t="str">
        <f t="shared" si="54"/>
        <v/>
      </c>
      <c r="BM148" s="1" t="str">
        <f t="shared" si="55"/>
        <v/>
      </c>
      <c r="BN148" s="1" t="str">
        <f t="shared" si="56"/>
        <v/>
      </c>
      <c r="BO148" s="1" t="str">
        <f t="shared" si="57"/>
        <v/>
      </c>
      <c r="BP148" s="1" t="str">
        <f t="shared" si="58"/>
        <v/>
      </c>
      <c r="BQ148" s="1" t="str">
        <f t="shared" si="59"/>
        <v>Spectre M4</v>
      </c>
      <c r="BR148" s="1" t="str">
        <f t="shared" si="60"/>
        <v/>
      </c>
      <c r="BS148" s="1" t="str">
        <f t="shared" si="61"/>
        <v/>
      </c>
      <c r="BT148" s="1"/>
    </row>
    <row r="149" spans="48:72" x14ac:dyDescent="0.25">
      <c r="AV149" t="s">
        <v>1655</v>
      </c>
      <c r="AZ149" s="1" t="str">
        <f t="shared" si="42"/>
        <v/>
      </c>
      <c r="BA149" s="1" t="str">
        <f t="shared" si="43"/>
        <v/>
      </c>
      <c r="BB149" s="1" t="str">
        <f t="shared" si="44"/>
        <v/>
      </c>
      <c r="BC149" s="1" t="str">
        <f t="shared" si="45"/>
        <v/>
      </c>
      <c r="BD149" s="1" t="str">
        <f t="shared" si="46"/>
        <v/>
      </c>
      <c r="BE149" s="1" t="str">
        <f t="shared" si="47"/>
        <v/>
      </c>
      <c r="BF149" s="1" t="str">
        <f t="shared" si="48"/>
        <v/>
      </c>
      <c r="BG149" s="1" t="str">
        <f t="shared" si="49"/>
        <v>Springfield</v>
      </c>
      <c r="BH149" s="1" t="str">
        <f t="shared" si="50"/>
        <v/>
      </c>
      <c r="BI149" s="1" t="str">
        <f t="shared" si="51"/>
        <v/>
      </c>
      <c r="BJ149" s="1" t="str">
        <f t="shared" si="52"/>
        <v/>
      </c>
      <c r="BK149" s="1" t="str">
        <f t="shared" si="53"/>
        <v/>
      </c>
      <c r="BL149" s="1" t="str">
        <f t="shared" si="54"/>
        <v/>
      </c>
      <c r="BM149" s="1" t="str">
        <f t="shared" si="55"/>
        <v/>
      </c>
      <c r="BN149" s="1" t="str">
        <f t="shared" si="56"/>
        <v/>
      </c>
      <c r="BO149" s="1" t="str">
        <f t="shared" si="57"/>
        <v/>
      </c>
      <c r="BP149" s="1" t="str">
        <f t="shared" si="58"/>
        <v/>
      </c>
      <c r="BQ149" s="1" t="str">
        <f t="shared" si="59"/>
        <v>Springfield</v>
      </c>
      <c r="BR149" s="1" t="str">
        <f t="shared" si="60"/>
        <v/>
      </c>
      <c r="BS149" s="1" t="str">
        <f t="shared" si="61"/>
        <v/>
      </c>
      <c r="BT149" s="1"/>
    </row>
    <row r="150" spans="48:72" x14ac:dyDescent="0.25">
      <c r="AV150" t="s">
        <v>100</v>
      </c>
      <c r="AZ150" s="1" t="str">
        <f t="shared" si="42"/>
        <v/>
      </c>
      <c r="BA150" s="1" t="str">
        <f t="shared" si="43"/>
        <v/>
      </c>
      <c r="BB150" s="1" t="str">
        <f t="shared" si="44"/>
        <v/>
      </c>
      <c r="BC150" s="1" t="str">
        <f t="shared" si="45"/>
        <v/>
      </c>
      <c r="BD150" s="1" t="str">
        <f t="shared" si="46"/>
        <v/>
      </c>
      <c r="BE150" s="1" t="str">
        <f t="shared" si="47"/>
        <v/>
      </c>
      <c r="BF150" s="1" t="str">
        <f t="shared" si="48"/>
        <v/>
      </c>
      <c r="BG150" s="1" t="str">
        <f t="shared" si="49"/>
        <v>SR3MP</v>
      </c>
      <c r="BH150" s="1" t="str">
        <f t="shared" si="50"/>
        <v/>
      </c>
      <c r="BI150" s="1" t="str">
        <f t="shared" si="51"/>
        <v/>
      </c>
      <c r="BJ150" s="1" t="str">
        <f t="shared" si="52"/>
        <v/>
      </c>
      <c r="BK150" s="1" t="str">
        <f t="shared" si="53"/>
        <v/>
      </c>
      <c r="BL150" s="1" t="str">
        <f t="shared" si="54"/>
        <v/>
      </c>
      <c r="BM150" s="1" t="str">
        <f t="shared" si="55"/>
        <v/>
      </c>
      <c r="BN150" s="1" t="str">
        <f t="shared" si="56"/>
        <v/>
      </c>
      <c r="BO150" s="1" t="str">
        <f t="shared" si="57"/>
        <v/>
      </c>
      <c r="BP150" s="1" t="str">
        <f t="shared" si="58"/>
        <v/>
      </c>
      <c r="BQ150" s="1" t="str">
        <f t="shared" si="59"/>
        <v>SR3MP</v>
      </c>
      <c r="BR150" s="1" t="str">
        <f t="shared" si="60"/>
        <v/>
      </c>
      <c r="BS150" s="1" t="str">
        <f t="shared" si="61"/>
        <v/>
      </c>
      <c r="BT150" s="1"/>
    </row>
    <row r="151" spans="48:72" x14ac:dyDescent="0.25">
      <c r="AV151" t="s">
        <v>1711</v>
      </c>
      <c r="AZ151" s="1" t="str">
        <f t="shared" si="42"/>
        <v/>
      </c>
      <c r="BA151" s="1" t="str">
        <f t="shared" si="43"/>
        <v/>
      </c>
      <c r="BB151" s="1" t="str">
        <f t="shared" si="44"/>
        <v/>
      </c>
      <c r="BC151" s="1" t="str">
        <f t="shared" si="45"/>
        <v/>
      </c>
      <c r="BD151" s="1" t="str">
        <f t="shared" si="46"/>
        <v/>
      </c>
      <c r="BE151" s="1" t="str">
        <f t="shared" si="47"/>
        <v/>
      </c>
      <c r="BF151" s="1" t="str">
        <f t="shared" si="48"/>
        <v/>
      </c>
      <c r="BG151" s="1" t="str">
        <f t="shared" si="49"/>
        <v>ST AR-15</v>
      </c>
      <c r="BH151" s="1" t="str">
        <f t="shared" si="50"/>
        <v/>
      </c>
      <c r="BI151" s="1" t="str">
        <f t="shared" si="51"/>
        <v/>
      </c>
      <c r="BJ151" s="1" t="str">
        <f t="shared" si="52"/>
        <v/>
      </c>
      <c r="BK151" s="1" t="str">
        <f t="shared" si="53"/>
        <v/>
      </c>
      <c r="BL151" s="1" t="str">
        <f t="shared" si="54"/>
        <v/>
      </c>
      <c r="BM151" s="1" t="str">
        <f t="shared" si="55"/>
        <v/>
      </c>
      <c r="BN151" s="1" t="str">
        <f t="shared" si="56"/>
        <v/>
      </c>
      <c r="BO151" s="1" t="str">
        <f t="shared" si="57"/>
        <v/>
      </c>
      <c r="BP151" s="1" t="str">
        <f t="shared" si="58"/>
        <v/>
      </c>
      <c r="BQ151" s="1" t="str">
        <f t="shared" si="59"/>
        <v>ST AR-15</v>
      </c>
      <c r="BR151" s="1" t="str">
        <f t="shared" si="60"/>
        <v/>
      </c>
      <c r="BS151" s="1" t="str">
        <f t="shared" si="61"/>
        <v/>
      </c>
      <c r="BT151" s="1"/>
    </row>
    <row r="152" spans="48:72" x14ac:dyDescent="0.25">
      <c r="AV152" t="s">
        <v>67</v>
      </c>
      <c r="AZ152" s="1" t="str">
        <f t="shared" si="42"/>
        <v/>
      </c>
      <c r="BA152" s="1" t="str">
        <f t="shared" si="43"/>
        <v/>
      </c>
      <c r="BB152" s="1" t="str">
        <f t="shared" si="44"/>
        <v/>
      </c>
      <c r="BC152" s="1" t="str">
        <f t="shared" si="45"/>
        <v/>
      </c>
      <c r="BD152" s="1" t="str">
        <f t="shared" si="46"/>
        <v/>
      </c>
      <c r="BE152" s="1" t="str">
        <f t="shared" si="47"/>
        <v/>
      </c>
      <c r="BF152" s="1" t="str">
        <f t="shared" si="48"/>
        <v/>
      </c>
      <c r="BG152" s="1" t="str">
        <f t="shared" si="49"/>
        <v>ST AR15Mod</v>
      </c>
      <c r="BH152" s="1" t="str">
        <f t="shared" si="50"/>
        <v/>
      </c>
      <c r="BI152" s="1" t="str">
        <f t="shared" si="51"/>
        <v/>
      </c>
      <c r="BJ152" s="1" t="str">
        <f t="shared" si="52"/>
        <v/>
      </c>
      <c r="BK152" s="1" t="str">
        <f t="shared" si="53"/>
        <v/>
      </c>
      <c r="BL152" s="1" t="str">
        <f t="shared" si="54"/>
        <v/>
      </c>
      <c r="BM152" s="1" t="str">
        <f t="shared" si="55"/>
        <v/>
      </c>
      <c r="BN152" s="1" t="str">
        <f t="shared" si="56"/>
        <v/>
      </c>
      <c r="BO152" s="1" t="str">
        <f t="shared" si="57"/>
        <v/>
      </c>
      <c r="BP152" s="1" t="str">
        <f t="shared" si="58"/>
        <v/>
      </c>
      <c r="BQ152" s="1" t="str">
        <f t="shared" si="59"/>
        <v>ST AR15Mod</v>
      </c>
      <c r="BR152" s="1" t="str">
        <f t="shared" si="60"/>
        <v/>
      </c>
      <c r="BS152" s="1" t="str">
        <f t="shared" si="61"/>
        <v/>
      </c>
      <c r="BT152" s="1"/>
    </row>
    <row r="153" spans="48:72" x14ac:dyDescent="0.25">
      <c r="AV153" t="s">
        <v>740</v>
      </c>
      <c r="AZ153" s="1" t="str">
        <f t="shared" si="42"/>
        <v/>
      </c>
      <c r="BA153" s="1" t="str">
        <f t="shared" si="43"/>
        <v/>
      </c>
      <c r="BB153" s="1" t="str">
        <f t="shared" si="44"/>
        <v/>
      </c>
      <c r="BC153" s="1" t="str">
        <f t="shared" si="45"/>
        <v/>
      </c>
      <c r="BD153" s="1" t="str">
        <f t="shared" si="46"/>
        <v/>
      </c>
      <c r="BE153" s="1" t="str">
        <f t="shared" si="47"/>
        <v/>
      </c>
      <c r="BF153" s="1" t="str">
        <f t="shared" si="48"/>
        <v/>
      </c>
      <c r="BG153" s="1" t="str">
        <f t="shared" si="49"/>
        <v>Stechkin</v>
      </c>
      <c r="BH153" s="1" t="str">
        <f t="shared" si="50"/>
        <v/>
      </c>
      <c r="BI153" s="1" t="str">
        <f t="shared" si="51"/>
        <v/>
      </c>
      <c r="BJ153" s="1" t="str">
        <f t="shared" si="52"/>
        <v/>
      </c>
      <c r="BK153" s="1" t="str">
        <f t="shared" si="53"/>
        <v/>
      </c>
      <c r="BL153" s="1" t="str">
        <f t="shared" si="54"/>
        <v/>
      </c>
      <c r="BM153" s="1" t="str">
        <f t="shared" si="55"/>
        <v/>
      </c>
      <c r="BN153" s="1" t="str">
        <f t="shared" si="56"/>
        <v/>
      </c>
      <c r="BO153" s="1" t="str">
        <f t="shared" si="57"/>
        <v/>
      </c>
      <c r="BP153" s="1" t="str">
        <f t="shared" si="58"/>
        <v/>
      </c>
      <c r="BQ153" s="1" t="str">
        <f t="shared" si="59"/>
        <v>Stechkin</v>
      </c>
      <c r="BR153" s="1" t="str">
        <f t="shared" si="60"/>
        <v/>
      </c>
      <c r="BS153" s="1" t="str">
        <f t="shared" si="61"/>
        <v/>
      </c>
      <c r="BT153" s="1"/>
    </row>
    <row r="154" spans="48:72" x14ac:dyDescent="0.25">
      <c r="AV154" t="s">
        <v>737</v>
      </c>
      <c r="AZ154" s="1" t="str">
        <f t="shared" si="42"/>
        <v/>
      </c>
      <c r="BA154" s="1" t="str">
        <f t="shared" si="43"/>
        <v/>
      </c>
      <c r="BB154" s="1" t="str">
        <f t="shared" si="44"/>
        <v/>
      </c>
      <c r="BC154" s="1" t="str">
        <f t="shared" si="45"/>
        <v/>
      </c>
      <c r="BD154" s="1" t="str">
        <f t="shared" si="46"/>
        <v/>
      </c>
      <c r="BE154" s="1" t="str">
        <f t="shared" si="47"/>
        <v/>
      </c>
      <c r="BF154" s="1" t="str">
        <f t="shared" si="48"/>
        <v/>
      </c>
      <c r="BG154" s="1" t="str">
        <f t="shared" si="49"/>
        <v>StechkinMod</v>
      </c>
      <c r="BH154" s="1" t="str">
        <f t="shared" si="50"/>
        <v/>
      </c>
      <c r="BI154" s="1" t="str">
        <f t="shared" si="51"/>
        <v/>
      </c>
      <c r="BJ154" s="1" t="str">
        <f t="shared" si="52"/>
        <v/>
      </c>
      <c r="BK154" s="1" t="str">
        <f t="shared" si="53"/>
        <v/>
      </c>
      <c r="BL154" s="1" t="str">
        <f t="shared" si="54"/>
        <v/>
      </c>
      <c r="BM154" s="1" t="str">
        <f t="shared" si="55"/>
        <v/>
      </c>
      <c r="BN154" s="1" t="str">
        <f t="shared" si="56"/>
        <v/>
      </c>
      <c r="BO154" s="1" t="str">
        <f t="shared" si="57"/>
        <v/>
      </c>
      <c r="BP154" s="1" t="str">
        <f t="shared" si="58"/>
        <v/>
      </c>
      <c r="BQ154" s="1" t="str">
        <f t="shared" si="59"/>
        <v>StechkinMod</v>
      </c>
      <c r="BR154" s="1" t="str">
        <f t="shared" si="60"/>
        <v/>
      </c>
      <c r="BS154" s="1" t="str">
        <f t="shared" si="61"/>
        <v/>
      </c>
      <c r="BT154" s="1"/>
    </row>
    <row r="155" spans="48:72" x14ac:dyDescent="0.25">
      <c r="AV155" t="s">
        <v>831</v>
      </c>
      <c r="AZ155" s="1" t="str">
        <f t="shared" si="42"/>
        <v/>
      </c>
      <c r="BA155" s="1" t="str">
        <f t="shared" si="43"/>
        <v/>
      </c>
      <c r="BB155" s="1" t="str">
        <f t="shared" si="44"/>
        <v/>
      </c>
      <c r="BC155" s="1" t="str">
        <f t="shared" si="45"/>
        <v/>
      </c>
      <c r="BD155" s="1" t="str">
        <f t="shared" si="46"/>
        <v/>
      </c>
      <c r="BE155" s="1" t="str">
        <f t="shared" si="47"/>
        <v/>
      </c>
      <c r="BF155" s="1" t="str">
        <f t="shared" si="48"/>
        <v/>
      </c>
      <c r="BG155" s="1" t="str">
        <f t="shared" si="49"/>
        <v>Stella</v>
      </c>
      <c r="BH155" s="1" t="str">
        <f t="shared" si="50"/>
        <v/>
      </c>
      <c r="BI155" s="1" t="str">
        <f t="shared" si="51"/>
        <v/>
      </c>
      <c r="BJ155" s="1" t="str">
        <f t="shared" si="52"/>
        <v/>
      </c>
      <c r="BK155" s="1" t="str">
        <f t="shared" si="53"/>
        <v/>
      </c>
      <c r="BL155" s="1" t="str">
        <f t="shared" si="54"/>
        <v/>
      </c>
      <c r="BM155" s="1" t="str">
        <f t="shared" si="55"/>
        <v/>
      </c>
      <c r="BN155" s="1" t="str">
        <f t="shared" si="56"/>
        <v/>
      </c>
      <c r="BO155" s="1" t="str">
        <f t="shared" si="57"/>
        <v/>
      </c>
      <c r="BP155" s="1" t="str">
        <f t="shared" si="58"/>
        <v/>
      </c>
      <c r="BQ155" s="1" t="str">
        <f t="shared" si="59"/>
        <v>Stella</v>
      </c>
      <c r="BR155" s="1" t="str">
        <f t="shared" si="60"/>
        <v/>
      </c>
      <c r="BS155" s="1" t="str">
        <f t="shared" si="61"/>
        <v/>
      </c>
      <c r="BT155" s="1"/>
    </row>
    <row r="156" spans="48:72" x14ac:dyDescent="0.25">
      <c r="AV156" t="s">
        <v>726</v>
      </c>
      <c r="AZ156" s="1" t="str">
        <f t="shared" si="42"/>
        <v/>
      </c>
      <c r="BA156" s="1" t="str">
        <f t="shared" si="43"/>
        <v/>
      </c>
      <c r="BB156" s="1" t="str">
        <f t="shared" si="44"/>
        <v/>
      </c>
      <c r="BC156" s="1" t="str">
        <f t="shared" si="45"/>
        <v/>
      </c>
      <c r="BD156" s="1" t="str">
        <f t="shared" si="46"/>
        <v/>
      </c>
      <c r="BE156" s="1" t="str">
        <f t="shared" si="47"/>
        <v/>
      </c>
      <c r="BF156" s="1" t="str">
        <f t="shared" si="48"/>
        <v/>
      </c>
      <c r="BG156" s="1" t="str">
        <f t="shared" si="49"/>
        <v>STEN MkIIMod</v>
      </c>
      <c r="BH156" s="1" t="str">
        <f t="shared" si="50"/>
        <v/>
      </c>
      <c r="BI156" s="1" t="str">
        <f t="shared" si="51"/>
        <v/>
      </c>
      <c r="BJ156" s="1" t="str">
        <f t="shared" si="52"/>
        <v/>
      </c>
      <c r="BK156" s="1" t="str">
        <f t="shared" si="53"/>
        <v/>
      </c>
      <c r="BL156" s="1" t="str">
        <f t="shared" si="54"/>
        <v/>
      </c>
      <c r="BM156" s="1" t="str">
        <f t="shared" si="55"/>
        <v/>
      </c>
      <c r="BN156" s="1" t="str">
        <f t="shared" si="56"/>
        <v/>
      </c>
      <c r="BO156" s="1" t="str">
        <f t="shared" si="57"/>
        <v/>
      </c>
      <c r="BP156" s="1" t="str">
        <f t="shared" si="58"/>
        <v/>
      </c>
      <c r="BQ156" s="1" t="str">
        <f t="shared" si="59"/>
        <v>STEN MkIIMod</v>
      </c>
      <c r="BR156" s="1" t="str">
        <f t="shared" si="60"/>
        <v/>
      </c>
      <c r="BS156" s="1" t="str">
        <f t="shared" si="61"/>
        <v/>
      </c>
      <c r="BT156" s="1"/>
    </row>
    <row r="157" spans="48:72" x14ac:dyDescent="0.25">
      <c r="AV157" t="s">
        <v>127</v>
      </c>
      <c r="AZ157" s="1" t="str">
        <f t="shared" si="42"/>
        <v/>
      </c>
      <c r="BA157" s="1" t="str">
        <f t="shared" si="43"/>
        <v/>
      </c>
      <c r="BB157" s="1" t="str">
        <f t="shared" si="44"/>
        <v/>
      </c>
      <c r="BC157" s="1" t="str">
        <f t="shared" si="45"/>
        <v/>
      </c>
      <c r="BD157" s="1" t="str">
        <f t="shared" si="46"/>
        <v/>
      </c>
      <c r="BE157" s="1" t="str">
        <f t="shared" si="47"/>
        <v/>
      </c>
      <c r="BF157" s="1" t="str">
        <f t="shared" si="48"/>
        <v/>
      </c>
      <c r="BG157" s="1" t="str">
        <f t="shared" si="49"/>
        <v>Stg44Mod</v>
      </c>
      <c r="BH157" s="1" t="str">
        <f t="shared" si="50"/>
        <v/>
      </c>
      <c r="BI157" s="1" t="str">
        <f t="shared" si="51"/>
        <v/>
      </c>
      <c r="BJ157" s="1" t="str">
        <f t="shared" si="52"/>
        <v/>
      </c>
      <c r="BK157" s="1" t="str">
        <f t="shared" si="53"/>
        <v/>
      </c>
      <c r="BL157" s="1" t="str">
        <f t="shared" si="54"/>
        <v/>
      </c>
      <c r="BM157" s="1" t="str">
        <f t="shared" si="55"/>
        <v/>
      </c>
      <c r="BN157" s="1" t="str">
        <f t="shared" si="56"/>
        <v/>
      </c>
      <c r="BO157" s="1" t="str">
        <f t="shared" si="57"/>
        <v/>
      </c>
      <c r="BP157" s="1" t="str">
        <f t="shared" si="58"/>
        <v/>
      </c>
      <c r="BQ157" s="1" t="str">
        <f t="shared" si="59"/>
        <v>Stg44Mod</v>
      </c>
      <c r="BR157" s="1" t="str">
        <f t="shared" si="60"/>
        <v/>
      </c>
      <c r="BS157" s="1" t="str">
        <f t="shared" si="61"/>
        <v/>
      </c>
      <c r="BT157" s="1"/>
    </row>
    <row r="158" spans="48:72" x14ac:dyDescent="0.25">
      <c r="AV158" t="s">
        <v>6588</v>
      </c>
      <c r="AZ158" s="1" t="str">
        <f t="shared" si="42"/>
        <v/>
      </c>
      <c r="BA158" s="1" t="str">
        <f t="shared" si="43"/>
        <v/>
      </c>
      <c r="BB158" s="1" t="str">
        <f t="shared" si="44"/>
        <v/>
      </c>
      <c r="BC158" s="1" t="str">
        <f t="shared" si="45"/>
        <v/>
      </c>
      <c r="BD158" s="1" t="str">
        <f t="shared" si="46"/>
        <v/>
      </c>
      <c r="BE158" s="1" t="str">
        <f t="shared" si="47"/>
        <v/>
      </c>
      <c r="BF158" s="1" t="str">
        <f t="shared" si="48"/>
        <v/>
      </c>
      <c r="BG158" s="1" t="str">
        <f t="shared" si="49"/>
        <v>Suomi</v>
      </c>
      <c r="BH158" s="1" t="str">
        <f t="shared" si="50"/>
        <v/>
      </c>
      <c r="BI158" s="1" t="str">
        <f t="shared" si="51"/>
        <v/>
      </c>
      <c r="BJ158" s="1" t="str">
        <f t="shared" si="52"/>
        <v/>
      </c>
      <c r="BK158" s="1" t="str">
        <f t="shared" si="53"/>
        <v/>
      </c>
      <c r="BL158" s="1" t="str">
        <f t="shared" si="54"/>
        <v/>
      </c>
      <c r="BM158" s="1" t="str">
        <f t="shared" si="55"/>
        <v/>
      </c>
      <c r="BN158" s="1" t="str">
        <f t="shared" si="56"/>
        <v/>
      </c>
      <c r="BO158" s="1" t="str">
        <f t="shared" si="57"/>
        <v/>
      </c>
      <c r="BP158" s="1" t="str">
        <f t="shared" si="58"/>
        <v/>
      </c>
      <c r="BQ158" s="1" t="str">
        <f t="shared" si="59"/>
        <v>Suomi</v>
      </c>
      <c r="BR158" s="1" t="str">
        <f t="shared" si="60"/>
        <v/>
      </c>
      <c r="BS158" s="1" t="str">
        <f t="shared" si="61"/>
        <v/>
      </c>
      <c r="BT158" s="1"/>
    </row>
    <row r="159" spans="48:72" x14ac:dyDescent="0.25">
      <c r="AV159" t="s">
        <v>835</v>
      </c>
      <c r="AZ159" s="1" t="str">
        <f t="shared" si="42"/>
        <v/>
      </c>
      <c r="BA159" s="1" t="str">
        <f t="shared" si="43"/>
        <v/>
      </c>
      <c r="BB159" s="1" t="str">
        <f t="shared" si="44"/>
        <v/>
      </c>
      <c r="BC159" s="1" t="str">
        <f t="shared" si="45"/>
        <v/>
      </c>
      <c r="BD159" s="1" t="str">
        <f t="shared" si="46"/>
        <v/>
      </c>
      <c r="BE159" s="1" t="str">
        <f t="shared" si="47"/>
        <v/>
      </c>
      <c r="BF159" s="1" t="str">
        <f t="shared" si="48"/>
        <v/>
      </c>
      <c r="BG159" s="1" t="str">
        <f t="shared" si="49"/>
        <v>SuomiMod</v>
      </c>
      <c r="BH159" s="1" t="str">
        <f t="shared" si="50"/>
        <v/>
      </c>
      <c r="BI159" s="1" t="str">
        <f t="shared" si="51"/>
        <v/>
      </c>
      <c r="BJ159" s="1" t="str">
        <f t="shared" si="52"/>
        <v/>
      </c>
      <c r="BK159" s="1" t="str">
        <f t="shared" si="53"/>
        <v/>
      </c>
      <c r="BL159" s="1" t="str">
        <f t="shared" si="54"/>
        <v/>
      </c>
      <c r="BM159" s="1" t="str">
        <f t="shared" si="55"/>
        <v/>
      </c>
      <c r="BN159" s="1" t="str">
        <f t="shared" si="56"/>
        <v/>
      </c>
      <c r="BO159" s="1" t="str">
        <f t="shared" si="57"/>
        <v/>
      </c>
      <c r="BP159" s="1" t="str">
        <f t="shared" si="58"/>
        <v/>
      </c>
      <c r="BQ159" s="1" t="str">
        <f t="shared" si="59"/>
        <v>SuomiMod</v>
      </c>
      <c r="BR159" s="1" t="str">
        <f t="shared" si="60"/>
        <v/>
      </c>
      <c r="BS159" s="1" t="str">
        <f t="shared" si="61"/>
        <v/>
      </c>
      <c r="BT159" s="1"/>
    </row>
    <row r="160" spans="48:72" x14ac:dyDescent="0.25">
      <c r="AV160" t="s">
        <v>1709</v>
      </c>
      <c r="AZ160" s="1" t="str">
        <f t="shared" si="42"/>
        <v/>
      </c>
      <c r="BA160" s="1" t="str">
        <f t="shared" si="43"/>
        <v/>
      </c>
      <c r="BB160" s="1" t="str">
        <f t="shared" si="44"/>
        <v/>
      </c>
      <c r="BC160" s="1" t="str">
        <f t="shared" si="45"/>
        <v/>
      </c>
      <c r="BD160" s="1" t="str">
        <f t="shared" si="46"/>
        <v/>
      </c>
      <c r="BE160" s="1" t="str">
        <f t="shared" si="47"/>
        <v/>
      </c>
      <c r="BF160" s="1" t="str">
        <f t="shared" si="48"/>
        <v/>
      </c>
      <c r="BG160" s="1" t="str">
        <f t="shared" si="49"/>
        <v>Super SASSMod</v>
      </c>
      <c r="BH160" s="1" t="str">
        <f t="shared" si="50"/>
        <v/>
      </c>
      <c r="BI160" s="1" t="str">
        <f t="shared" si="51"/>
        <v/>
      </c>
      <c r="BJ160" s="1" t="str">
        <f t="shared" si="52"/>
        <v/>
      </c>
      <c r="BK160" s="1" t="str">
        <f t="shared" si="53"/>
        <v/>
      </c>
      <c r="BL160" s="1" t="str">
        <f t="shared" si="54"/>
        <v/>
      </c>
      <c r="BM160" s="1" t="str">
        <f t="shared" si="55"/>
        <v/>
      </c>
      <c r="BN160" s="1" t="str">
        <f t="shared" si="56"/>
        <v/>
      </c>
      <c r="BO160" s="1" t="str">
        <f t="shared" si="57"/>
        <v/>
      </c>
      <c r="BP160" s="1" t="str">
        <f t="shared" si="58"/>
        <v/>
      </c>
      <c r="BQ160" s="1" t="str">
        <f t="shared" si="59"/>
        <v>Super SASSMod</v>
      </c>
      <c r="BR160" s="1" t="str">
        <f t="shared" si="60"/>
        <v/>
      </c>
      <c r="BS160" s="1" t="str">
        <f t="shared" si="61"/>
        <v/>
      </c>
      <c r="BT160" s="1"/>
    </row>
    <row r="161" spans="48:72" x14ac:dyDescent="0.25">
      <c r="AV161" t="s">
        <v>92</v>
      </c>
      <c r="AZ161" s="1" t="str">
        <f t="shared" si="42"/>
        <v/>
      </c>
      <c r="BA161" s="1" t="str">
        <f t="shared" si="43"/>
        <v/>
      </c>
      <c r="BB161" s="1" t="str">
        <f t="shared" si="44"/>
        <v/>
      </c>
      <c r="BC161" s="1" t="str">
        <f t="shared" si="45"/>
        <v/>
      </c>
      <c r="BD161" s="1" t="str">
        <f t="shared" si="46"/>
        <v/>
      </c>
      <c r="BE161" s="1" t="str">
        <f t="shared" si="47"/>
        <v/>
      </c>
      <c r="BF161" s="1" t="str">
        <f t="shared" si="48"/>
        <v/>
      </c>
      <c r="BG161" s="1" t="str">
        <f t="shared" si="49"/>
        <v>SV98Mod</v>
      </c>
      <c r="BH161" s="1" t="str">
        <f t="shared" si="50"/>
        <v/>
      </c>
      <c r="BI161" s="1" t="str">
        <f t="shared" si="51"/>
        <v/>
      </c>
      <c r="BJ161" s="1" t="str">
        <f t="shared" si="52"/>
        <v/>
      </c>
      <c r="BK161" s="1" t="str">
        <f t="shared" si="53"/>
        <v/>
      </c>
      <c r="BL161" s="1" t="str">
        <f t="shared" si="54"/>
        <v/>
      </c>
      <c r="BM161" s="1" t="str">
        <f t="shared" si="55"/>
        <v/>
      </c>
      <c r="BN161" s="1" t="str">
        <f t="shared" si="56"/>
        <v/>
      </c>
      <c r="BO161" s="1" t="str">
        <f t="shared" si="57"/>
        <v/>
      </c>
      <c r="BP161" s="1" t="str">
        <f t="shared" si="58"/>
        <v/>
      </c>
      <c r="BQ161" s="1" t="str">
        <f t="shared" si="59"/>
        <v>SV98Mod</v>
      </c>
      <c r="BR161" s="1" t="str">
        <f t="shared" si="60"/>
        <v/>
      </c>
      <c r="BS161" s="1" t="str">
        <f t="shared" si="61"/>
        <v/>
      </c>
      <c r="BT161" s="1"/>
    </row>
    <row r="162" spans="48:72" x14ac:dyDescent="0.25">
      <c r="AV162" t="s">
        <v>1640</v>
      </c>
      <c r="AZ162" s="1" t="str">
        <f t="shared" si="42"/>
        <v/>
      </c>
      <c r="BA162" s="1" t="str">
        <f t="shared" si="43"/>
        <v/>
      </c>
      <c r="BB162" s="1" t="str">
        <f t="shared" si="44"/>
        <v/>
      </c>
      <c r="BC162" s="1" t="str">
        <f t="shared" si="45"/>
        <v/>
      </c>
      <c r="BD162" s="1" t="str">
        <f t="shared" si="46"/>
        <v/>
      </c>
      <c r="BE162" s="1" t="str">
        <f t="shared" si="47"/>
        <v/>
      </c>
      <c r="BF162" s="1" t="str">
        <f t="shared" si="48"/>
        <v/>
      </c>
      <c r="BG162" s="1" t="str">
        <f t="shared" si="49"/>
        <v>SVD</v>
      </c>
      <c r="BH162" s="1" t="str">
        <f t="shared" si="50"/>
        <v/>
      </c>
      <c r="BI162" s="1" t="str">
        <f t="shared" si="51"/>
        <v/>
      </c>
      <c r="BJ162" s="1" t="str">
        <f t="shared" si="52"/>
        <v/>
      </c>
      <c r="BK162" s="1" t="str">
        <f t="shared" si="53"/>
        <v/>
      </c>
      <c r="BL162" s="1" t="str">
        <f t="shared" si="54"/>
        <v/>
      </c>
      <c r="BM162" s="1" t="str">
        <f t="shared" si="55"/>
        <v/>
      </c>
      <c r="BN162" s="1" t="str">
        <f t="shared" si="56"/>
        <v/>
      </c>
      <c r="BO162" s="1" t="str">
        <f t="shared" si="57"/>
        <v/>
      </c>
      <c r="BP162" s="1" t="str">
        <f t="shared" si="58"/>
        <v/>
      </c>
      <c r="BQ162" s="1" t="str">
        <f t="shared" si="59"/>
        <v>SVD</v>
      </c>
      <c r="BR162" s="1" t="str">
        <f t="shared" si="60"/>
        <v/>
      </c>
      <c r="BS162" s="1" t="str">
        <f t="shared" si="61"/>
        <v/>
      </c>
      <c r="BT162" s="1"/>
    </row>
    <row r="163" spans="48:72" x14ac:dyDescent="0.25">
      <c r="AV163" t="s">
        <v>181</v>
      </c>
      <c r="AZ163" s="1" t="str">
        <f t="shared" si="42"/>
        <v/>
      </c>
      <c r="BA163" s="1" t="str">
        <f t="shared" si="43"/>
        <v/>
      </c>
      <c r="BB163" s="1" t="str">
        <f t="shared" si="44"/>
        <v/>
      </c>
      <c r="BC163" s="1" t="str">
        <f t="shared" si="45"/>
        <v/>
      </c>
      <c r="BD163" s="1" t="str">
        <f t="shared" si="46"/>
        <v/>
      </c>
      <c r="BE163" s="1" t="str">
        <f t="shared" si="47"/>
        <v/>
      </c>
      <c r="BF163" s="1" t="str">
        <f t="shared" si="48"/>
        <v/>
      </c>
      <c r="BG163" s="1" t="str">
        <f t="shared" si="49"/>
        <v>SVT38</v>
      </c>
      <c r="BH163" s="1" t="str">
        <f t="shared" si="50"/>
        <v/>
      </c>
      <c r="BI163" s="1" t="str">
        <f t="shared" si="51"/>
        <v/>
      </c>
      <c r="BJ163" s="1" t="str">
        <f t="shared" si="52"/>
        <v/>
      </c>
      <c r="BK163" s="1" t="str">
        <f t="shared" si="53"/>
        <v/>
      </c>
      <c r="BL163" s="1" t="str">
        <f t="shared" si="54"/>
        <v/>
      </c>
      <c r="BM163" s="1" t="str">
        <f t="shared" si="55"/>
        <v/>
      </c>
      <c r="BN163" s="1" t="str">
        <f t="shared" si="56"/>
        <v/>
      </c>
      <c r="BO163" s="1" t="str">
        <f t="shared" si="57"/>
        <v/>
      </c>
      <c r="BP163" s="1" t="str">
        <f t="shared" si="58"/>
        <v/>
      </c>
      <c r="BQ163" s="1" t="str">
        <f t="shared" si="59"/>
        <v>SVT38</v>
      </c>
      <c r="BR163" s="1" t="str">
        <f t="shared" si="60"/>
        <v/>
      </c>
      <c r="BS163" s="1" t="str">
        <f t="shared" si="61"/>
        <v/>
      </c>
      <c r="BT163" s="1"/>
    </row>
    <row r="164" spans="48:72" x14ac:dyDescent="0.25">
      <c r="AV164" t="s">
        <v>1265</v>
      </c>
      <c r="AZ164" s="1" t="str">
        <f t="shared" si="42"/>
        <v/>
      </c>
      <c r="BA164" s="1" t="str">
        <f t="shared" si="43"/>
        <v/>
      </c>
      <c r="BB164" s="1" t="str">
        <f t="shared" si="44"/>
        <v/>
      </c>
      <c r="BC164" s="1" t="str">
        <f t="shared" si="45"/>
        <v/>
      </c>
      <c r="BD164" s="1" t="str">
        <f t="shared" si="46"/>
        <v/>
      </c>
      <c r="BE164" s="1" t="str">
        <f t="shared" si="47"/>
        <v/>
      </c>
      <c r="BF164" s="1" t="str">
        <f t="shared" si="48"/>
        <v/>
      </c>
      <c r="BG164" s="1" t="str">
        <f t="shared" si="49"/>
        <v>T77</v>
      </c>
      <c r="BH164" s="1" t="str">
        <f t="shared" si="50"/>
        <v/>
      </c>
      <c r="BI164" s="1" t="str">
        <f t="shared" si="51"/>
        <v/>
      </c>
      <c r="BJ164" s="1" t="str">
        <f t="shared" si="52"/>
        <v/>
      </c>
      <c r="BK164" s="1" t="str">
        <f t="shared" si="53"/>
        <v/>
      </c>
      <c r="BL164" s="1" t="str">
        <f t="shared" si="54"/>
        <v/>
      </c>
      <c r="BM164" s="1" t="str">
        <f t="shared" si="55"/>
        <v/>
      </c>
      <c r="BN164" s="1" t="str">
        <f t="shared" si="56"/>
        <v/>
      </c>
      <c r="BO164" s="1" t="str">
        <f t="shared" si="57"/>
        <v/>
      </c>
      <c r="BP164" s="1" t="str">
        <f t="shared" si="58"/>
        <v/>
      </c>
      <c r="BQ164" s="1" t="str">
        <f t="shared" si="59"/>
        <v>T77</v>
      </c>
      <c r="BR164" s="1" t="str">
        <f t="shared" si="60"/>
        <v/>
      </c>
      <c r="BS164" s="1" t="str">
        <f t="shared" si="61"/>
        <v/>
      </c>
      <c r="BT164" s="1"/>
    </row>
    <row r="165" spans="48:72" x14ac:dyDescent="0.25">
      <c r="AV165" t="s">
        <v>739</v>
      </c>
      <c r="AZ165" s="1" t="str">
        <f t="shared" si="42"/>
        <v/>
      </c>
      <c r="BA165" s="1" t="str">
        <f t="shared" si="43"/>
        <v/>
      </c>
      <c r="BB165" s="1" t="str">
        <f t="shared" si="44"/>
        <v/>
      </c>
      <c r="BC165" s="1" t="str">
        <f t="shared" si="45"/>
        <v/>
      </c>
      <c r="BD165" s="1" t="str">
        <f t="shared" si="46"/>
        <v/>
      </c>
      <c r="BE165" s="1" t="str">
        <f t="shared" si="47"/>
        <v/>
      </c>
      <c r="BF165" s="1" t="str">
        <f t="shared" si="48"/>
        <v/>
      </c>
      <c r="BG165" s="1" t="str">
        <f t="shared" si="49"/>
        <v>TAC50</v>
      </c>
      <c r="BH165" s="1" t="str">
        <f t="shared" si="50"/>
        <v/>
      </c>
      <c r="BI165" s="1" t="str">
        <f t="shared" si="51"/>
        <v/>
      </c>
      <c r="BJ165" s="1" t="str">
        <f t="shared" si="52"/>
        <v/>
      </c>
      <c r="BK165" s="1" t="str">
        <f t="shared" si="53"/>
        <v/>
      </c>
      <c r="BL165" s="1" t="str">
        <f t="shared" si="54"/>
        <v/>
      </c>
      <c r="BM165" s="1" t="str">
        <f t="shared" si="55"/>
        <v/>
      </c>
      <c r="BN165" s="1" t="str">
        <f t="shared" si="56"/>
        <v/>
      </c>
      <c r="BO165" s="1" t="str">
        <f t="shared" si="57"/>
        <v/>
      </c>
      <c r="BP165" s="1" t="str">
        <f t="shared" si="58"/>
        <v/>
      </c>
      <c r="BQ165" s="1" t="str">
        <f t="shared" si="59"/>
        <v>TAC50</v>
      </c>
      <c r="BR165" s="1" t="str">
        <f t="shared" si="60"/>
        <v/>
      </c>
      <c r="BS165" s="1" t="str">
        <f t="shared" si="61"/>
        <v/>
      </c>
      <c r="BT165" s="1"/>
    </row>
    <row r="166" spans="48:72" x14ac:dyDescent="0.25">
      <c r="AV166" t="s">
        <v>76</v>
      </c>
      <c r="AZ166" s="1" t="str">
        <f t="shared" si="42"/>
        <v/>
      </c>
      <c r="BA166" s="1" t="str">
        <f t="shared" si="43"/>
        <v/>
      </c>
      <c r="BB166" s="1" t="str">
        <f t="shared" si="44"/>
        <v/>
      </c>
      <c r="BC166" s="1" t="str">
        <f t="shared" si="45"/>
        <v/>
      </c>
      <c r="BD166" s="1" t="str">
        <f t="shared" si="46"/>
        <v/>
      </c>
      <c r="BE166" s="1" t="str">
        <f t="shared" si="47"/>
        <v/>
      </c>
      <c r="BF166" s="1" t="str">
        <f t="shared" si="48"/>
        <v/>
      </c>
      <c r="BG166" s="1" t="str">
        <f t="shared" si="49"/>
        <v>TAR21</v>
      </c>
      <c r="BH166" s="1" t="str">
        <f t="shared" si="50"/>
        <v/>
      </c>
      <c r="BI166" s="1" t="str">
        <f t="shared" si="51"/>
        <v/>
      </c>
      <c r="BJ166" s="1" t="str">
        <f t="shared" si="52"/>
        <v/>
      </c>
      <c r="BK166" s="1" t="str">
        <f t="shared" si="53"/>
        <v/>
      </c>
      <c r="BL166" s="1" t="str">
        <f t="shared" si="54"/>
        <v/>
      </c>
      <c r="BM166" s="1" t="str">
        <f t="shared" si="55"/>
        <v/>
      </c>
      <c r="BN166" s="1" t="str">
        <f t="shared" si="56"/>
        <v/>
      </c>
      <c r="BO166" s="1" t="str">
        <f t="shared" si="57"/>
        <v/>
      </c>
      <c r="BP166" s="1" t="str">
        <f t="shared" si="58"/>
        <v/>
      </c>
      <c r="BQ166" s="1" t="str">
        <f t="shared" si="59"/>
        <v>TAR21</v>
      </c>
      <c r="BR166" s="1" t="str">
        <f t="shared" si="60"/>
        <v/>
      </c>
      <c r="BS166" s="1" t="str">
        <f t="shared" si="61"/>
        <v/>
      </c>
      <c r="BT166" s="1"/>
    </row>
    <row r="167" spans="48:72" x14ac:dyDescent="0.25">
      <c r="AV167" t="s">
        <v>250</v>
      </c>
      <c r="AZ167" s="1" t="str">
        <f t="shared" si="42"/>
        <v/>
      </c>
      <c r="BA167" s="1" t="str">
        <f t="shared" si="43"/>
        <v/>
      </c>
      <c r="BB167" s="1" t="str">
        <f t="shared" si="44"/>
        <v/>
      </c>
      <c r="BC167" s="1" t="str">
        <f t="shared" si="45"/>
        <v/>
      </c>
      <c r="BD167" s="1" t="str">
        <f t="shared" si="46"/>
        <v/>
      </c>
      <c r="BE167" s="1" t="str">
        <f t="shared" si="47"/>
        <v/>
      </c>
      <c r="BF167" s="1" t="str">
        <f t="shared" si="48"/>
        <v/>
      </c>
      <c r="BG167" s="1" t="str">
        <f t="shared" si="49"/>
        <v>Thompson</v>
      </c>
      <c r="BH167" s="1" t="str">
        <f t="shared" si="50"/>
        <v/>
      </c>
      <c r="BI167" s="1" t="str">
        <f t="shared" si="51"/>
        <v/>
      </c>
      <c r="BJ167" s="1" t="str">
        <f t="shared" si="52"/>
        <v/>
      </c>
      <c r="BK167" s="1" t="str">
        <f t="shared" si="53"/>
        <v/>
      </c>
      <c r="BL167" s="1" t="str">
        <f t="shared" si="54"/>
        <v/>
      </c>
      <c r="BM167" s="1" t="str">
        <f t="shared" si="55"/>
        <v/>
      </c>
      <c r="BN167" s="1" t="str">
        <f t="shared" si="56"/>
        <v/>
      </c>
      <c r="BO167" s="1" t="str">
        <f t="shared" si="57"/>
        <v/>
      </c>
      <c r="BP167" s="1" t="str">
        <f t="shared" si="58"/>
        <v/>
      </c>
      <c r="BQ167" s="1" t="str">
        <f t="shared" si="59"/>
        <v>Thompson</v>
      </c>
      <c r="BR167" s="1" t="str">
        <f t="shared" si="60"/>
        <v/>
      </c>
      <c r="BS167" s="1" t="str">
        <f t="shared" si="61"/>
        <v/>
      </c>
      <c r="BT167" s="1"/>
    </row>
    <row r="168" spans="48:72" x14ac:dyDescent="0.25">
      <c r="AV168" t="s">
        <v>243</v>
      </c>
      <c r="AZ168" s="1" t="str">
        <f t="shared" si="42"/>
        <v/>
      </c>
      <c r="BA168" s="1" t="str">
        <f t="shared" si="43"/>
        <v/>
      </c>
      <c r="BB168" s="1" t="str">
        <f t="shared" si="44"/>
        <v/>
      </c>
      <c r="BC168" s="1" t="str">
        <f t="shared" si="45"/>
        <v/>
      </c>
      <c r="BD168" s="1" t="str">
        <f t="shared" si="46"/>
        <v/>
      </c>
      <c r="BE168" s="1" t="str">
        <f t="shared" si="47"/>
        <v/>
      </c>
      <c r="BF168" s="1" t="str">
        <f t="shared" si="48"/>
        <v/>
      </c>
      <c r="BG168" s="1" t="str">
        <f t="shared" si="49"/>
        <v>Triela</v>
      </c>
      <c r="BH168" s="1" t="str">
        <f t="shared" si="50"/>
        <v/>
      </c>
      <c r="BI168" s="1" t="str">
        <f t="shared" si="51"/>
        <v/>
      </c>
      <c r="BJ168" s="1" t="str">
        <f t="shared" si="52"/>
        <v/>
      </c>
      <c r="BK168" s="1" t="str">
        <f t="shared" si="53"/>
        <v/>
      </c>
      <c r="BL168" s="1" t="str">
        <f t="shared" si="54"/>
        <v/>
      </c>
      <c r="BM168" s="1" t="str">
        <f t="shared" si="55"/>
        <v/>
      </c>
      <c r="BN168" s="1" t="str">
        <f t="shared" si="56"/>
        <v/>
      </c>
      <c r="BO168" s="1" t="str">
        <f t="shared" si="57"/>
        <v/>
      </c>
      <c r="BP168" s="1" t="str">
        <f t="shared" si="58"/>
        <v/>
      </c>
      <c r="BQ168" s="1" t="str">
        <f t="shared" si="59"/>
        <v>Triela</v>
      </c>
      <c r="BR168" s="1" t="str">
        <f t="shared" si="60"/>
        <v/>
      </c>
      <c r="BS168" s="1" t="str">
        <f t="shared" si="61"/>
        <v/>
      </c>
      <c r="BT168" s="1"/>
    </row>
    <row r="169" spans="48:72" x14ac:dyDescent="0.25">
      <c r="AV169" t="s">
        <v>832</v>
      </c>
      <c r="AZ169" s="1" t="str">
        <f t="shared" si="42"/>
        <v/>
      </c>
      <c r="BA169" s="1" t="str">
        <f t="shared" si="43"/>
        <v/>
      </c>
      <c r="BB169" s="1" t="str">
        <f t="shared" si="44"/>
        <v/>
      </c>
      <c r="BC169" s="1" t="str">
        <f t="shared" si="45"/>
        <v/>
      </c>
      <c r="BD169" s="1" t="str">
        <f t="shared" si="46"/>
        <v/>
      </c>
      <c r="BE169" s="1" t="str">
        <f t="shared" si="47"/>
        <v/>
      </c>
      <c r="BF169" s="1" t="str">
        <f t="shared" si="48"/>
        <v/>
      </c>
      <c r="BG169" s="1" t="str">
        <f t="shared" si="49"/>
        <v>Type 4</v>
      </c>
      <c r="BH169" s="1" t="str">
        <f t="shared" si="50"/>
        <v/>
      </c>
      <c r="BI169" s="1" t="str">
        <f t="shared" si="51"/>
        <v/>
      </c>
      <c r="BJ169" s="1" t="str">
        <f t="shared" si="52"/>
        <v/>
      </c>
      <c r="BK169" s="1" t="str">
        <f t="shared" si="53"/>
        <v/>
      </c>
      <c r="BL169" s="1" t="str">
        <f t="shared" si="54"/>
        <v/>
      </c>
      <c r="BM169" s="1" t="str">
        <f t="shared" si="55"/>
        <v/>
      </c>
      <c r="BN169" s="1" t="str">
        <f t="shared" si="56"/>
        <v/>
      </c>
      <c r="BO169" s="1" t="str">
        <f t="shared" si="57"/>
        <v/>
      </c>
      <c r="BP169" s="1" t="str">
        <f t="shared" si="58"/>
        <v/>
      </c>
      <c r="BQ169" s="1" t="str">
        <f t="shared" si="59"/>
        <v>Type 4</v>
      </c>
      <c r="BR169" s="1" t="str">
        <f t="shared" si="60"/>
        <v/>
      </c>
      <c r="BS169" s="1" t="str">
        <f t="shared" si="61"/>
        <v/>
      </c>
      <c r="BT169" s="1"/>
    </row>
    <row r="170" spans="48:72" x14ac:dyDescent="0.25">
      <c r="AV170" t="s">
        <v>224</v>
      </c>
      <c r="AZ170" s="1" t="str">
        <f t="shared" si="42"/>
        <v/>
      </c>
      <c r="BA170" s="1" t="str">
        <f t="shared" si="43"/>
        <v/>
      </c>
      <c r="BB170" s="1" t="str">
        <f t="shared" si="44"/>
        <v/>
      </c>
      <c r="BC170" s="1" t="str">
        <f t="shared" si="45"/>
        <v/>
      </c>
      <c r="BD170" s="1" t="str">
        <f t="shared" si="46"/>
        <v/>
      </c>
      <c r="BE170" s="1" t="str">
        <f t="shared" si="47"/>
        <v/>
      </c>
      <c r="BF170" s="1" t="str">
        <f t="shared" si="48"/>
        <v/>
      </c>
      <c r="BG170" s="1" t="str">
        <f t="shared" si="49"/>
        <v>Type 56 RMod</v>
      </c>
      <c r="BH170" s="1" t="str">
        <f t="shared" si="50"/>
        <v/>
      </c>
      <c r="BI170" s="1" t="str">
        <f t="shared" si="51"/>
        <v/>
      </c>
      <c r="BJ170" s="1" t="str">
        <f t="shared" si="52"/>
        <v/>
      </c>
      <c r="BK170" s="1" t="str">
        <f t="shared" si="53"/>
        <v/>
      </c>
      <c r="BL170" s="1" t="str">
        <f t="shared" si="54"/>
        <v/>
      </c>
      <c r="BM170" s="1" t="str">
        <f t="shared" si="55"/>
        <v/>
      </c>
      <c r="BN170" s="1" t="str">
        <f t="shared" si="56"/>
        <v/>
      </c>
      <c r="BO170" s="1" t="str">
        <f t="shared" si="57"/>
        <v/>
      </c>
      <c r="BP170" s="1" t="str">
        <f t="shared" si="58"/>
        <v/>
      </c>
      <c r="BQ170" s="1" t="str">
        <f t="shared" si="59"/>
        <v>Type 56 RMod</v>
      </c>
      <c r="BR170" s="1" t="str">
        <f t="shared" si="60"/>
        <v/>
      </c>
      <c r="BS170" s="1" t="str">
        <f t="shared" si="61"/>
        <v/>
      </c>
      <c r="BT170" s="1"/>
    </row>
    <row r="171" spans="48:72" x14ac:dyDescent="0.25">
      <c r="AV171" t="s">
        <v>239</v>
      </c>
      <c r="AZ171" s="1" t="str">
        <f t="shared" si="42"/>
        <v/>
      </c>
      <c r="BA171" s="1" t="str">
        <f t="shared" si="43"/>
        <v/>
      </c>
      <c r="BB171" s="1" t="str">
        <f t="shared" si="44"/>
        <v/>
      </c>
      <c r="BC171" s="1" t="str">
        <f t="shared" si="45"/>
        <v/>
      </c>
      <c r="BD171" s="1" t="str">
        <f t="shared" si="46"/>
        <v/>
      </c>
      <c r="BE171" s="1" t="str">
        <f t="shared" si="47"/>
        <v/>
      </c>
      <c r="BF171" s="1" t="str">
        <f t="shared" si="48"/>
        <v/>
      </c>
      <c r="BG171" s="1" t="str">
        <f t="shared" si="49"/>
        <v>Type 79</v>
      </c>
      <c r="BH171" s="1" t="str">
        <f t="shared" si="50"/>
        <v/>
      </c>
      <c r="BI171" s="1" t="str">
        <f t="shared" si="51"/>
        <v/>
      </c>
      <c r="BJ171" s="1" t="str">
        <f t="shared" si="52"/>
        <v/>
      </c>
      <c r="BK171" s="1" t="str">
        <f t="shared" si="53"/>
        <v/>
      </c>
      <c r="BL171" s="1" t="str">
        <f t="shared" si="54"/>
        <v/>
      </c>
      <c r="BM171" s="1" t="str">
        <f t="shared" si="55"/>
        <v/>
      </c>
      <c r="BN171" s="1" t="str">
        <f t="shared" si="56"/>
        <v/>
      </c>
      <c r="BO171" s="1" t="str">
        <f t="shared" si="57"/>
        <v/>
      </c>
      <c r="BP171" s="1" t="str">
        <f t="shared" si="58"/>
        <v/>
      </c>
      <c r="BQ171" s="1" t="str">
        <f t="shared" si="59"/>
        <v>Type 79</v>
      </c>
      <c r="BR171" s="1" t="str">
        <f t="shared" si="60"/>
        <v/>
      </c>
      <c r="BS171" s="1" t="str">
        <f t="shared" si="61"/>
        <v/>
      </c>
      <c r="BT171" s="1"/>
    </row>
    <row r="172" spans="48:72" x14ac:dyDescent="0.25">
      <c r="AV172" t="s">
        <v>136</v>
      </c>
      <c r="AZ172" s="1" t="str">
        <f t="shared" si="42"/>
        <v/>
      </c>
      <c r="BA172" s="1" t="str">
        <f t="shared" si="43"/>
        <v/>
      </c>
      <c r="BB172" s="1" t="str">
        <f t="shared" si="44"/>
        <v/>
      </c>
      <c r="BC172" s="1" t="str">
        <f t="shared" si="45"/>
        <v/>
      </c>
      <c r="BD172" s="1" t="str">
        <f t="shared" si="46"/>
        <v/>
      </c>
      <c r="BE172" s="1" t="str">
        <f t="shared" si="47"/>
        <v/>
      </c>
      <c r="BF172" s="1" t="str">
        <f t="shared" si="48"/>
        <v/>
      </c>
      <c r="BG172" s="1" t="str">
        <f t="shared" si="49"/>
        <v>Type03</v>
      </c>
      <c r="BH172" s="1" t="str">
        <f t="shared" si="50"/>
        <v/>
      </c>
      <c r="BI172" s="1" t="str">
        <f t="shared" si="51"/>
        <v/>
      </c>
      <c r="BJ172" s="1" t="str">
        <f t="shared" si="52"/>
        <v/>
      </c>
      <c r="BK172" s="1" t="str">
        <f t="shared" si="53"/>
        <v/>
      </c>
      <c r="BL172" s="1" t="str">
        <f t="shared" si="54"/>
        <v/>
      </c>
      <c r="BM172" s="1" t="str">
        <f t="shared" si="55"/>
        <v/>
      </c>
      <c r="BN172" s="1" t="str">
        <f t="shared" si="56"/>
        <v/>
      </c>
      <c r="BO172" s="1" t="str">
        <f t="shared" si="57"/>
        <v/>
      </c>
      <c r="BP172" s="1" t="str">
        <f t="shared" si="58"/>
        <v/>
      </c>
      <c r="BQ172" s="1" t="str">
        <f t="shared" si="59"/>
        <v>Type03</v>
      </c>
      <c r="BR172" s="1" t="str">
        <f t="shared" si="60"/>
        <v/>
      </c>
      <c r="BS172" s="1" t="str">
        <f t="shared" si="61"/>
        <v/>
      </c>
      <c r="BT172" s="1"/>
    </row>
    <row r="173" spans="48:72" x14ac:dyDescent="0.25">
      <c r="AV173" t="s">
        <v>118</v>
      </c>
      <c r="AZ173" s="1" t="str">
        <f t="shared" si="42"/>
        <v/>
      </c>
      <c r="BA173" s="1" t="str">
        <f t="shared" si="43"/>
        <v/>
      </c>
      <c r="BB173" s="1" t="str">
        <f t="shared" si="44"/>
        <v/>
      </c>
      <c r="BC173" s="1" t="str">
        <f t="shared" si="45"/>
        <v/>
      </c>
      <c r="BD173" s="1" t="str">
        <f t="shared" si="46"/>
        <v/>
      </c>
      <c r="BE173" s="1" t="str">
        <f t="shared" si="47"/>
        <v/>
      </c>
      <c r="BF173" s="1" t="str">
        <f t="shared" si="48"/>
        <v/>
      </c>
      <c r="BG173" s="1" t="str">
        <f t="shared" si="49"/>
        <v>Type63</v>
      </c>
      <c r="BH173" s="1" t="str">
        <f t="shared" si="50"/>
        <v/>
      </c>
      <c r="BI173" s="1" t="str">
        <f t="shared" si="51"/>
        <v/>
      </c>
      <c r="BJ173" s="1" t="str">
        <f t="shared" si="52"/>
        <v/>
      </c>
      <c r="BK173" s="1" t="str">
        <f t="shared" si="53"/>
        <v/>
      </c>
      <c r="BL173" s="1" t="str">
        <f t="shared" si="54"/>
        <v/>
      </c>
      <c r="BM173" s="1" t="str">
        <f t="shared" si="55"/>
        <v/>
      </c>
      <c r="BN173" s="1" t="str">
        <f t="shared" si="56"/>
        <v/>
      </c>
      <c r="BO173" s="1" t="str">
        <f t="shared" si="57"/>
        <v/>
      </c>
      <c r="BP173" s="1" t="str">
        <f t="shared" si="58"/>
        <v/>
      </c>
      <c r="BQ173" s="1" t="str">
        <f t="shared" si="59"/>
        <v>Type63</v>
      </c>
      <c r="BR173" s="1" t="str">
        <f t="shared" si="60"/>
        <v/>
      </c>
      <c r="BS173" s="1" t="str">
        <f t="shared" si="61"/>
        <v/>
      </c>
      <c r="BT173" s="1"/>
    </row>
    <row r="174" spans="48:72" x14ac:dyDescent="0.25">
      <c r="AV174" t="s">
        <v>741</v>
      </c>
      <c r="AZ174" s="1" t="str">
        <f t="shared" si="42"/>
        <v/>
      </c>
      <c r="BA174" s="1" t="str">
        <f t="shared" si="43"/>
        <v/>
      </c>
      <c r="BB174" s="1" t="str">
        <f t="shared" si="44"/>
        <v/>
      </c>
      <c r="BC174" s="1" t="str">
        <f t="shared" si="45"/>
        <v/>
      </c>
      <c r="BD174" s="1" t="str">
        <f t="shared" si="46"/>
        <v/>
      </c>
      <c r="BE174" s="1" t="str">
        <f t="shared" si="47"/>
        <v/>
      </c>
      <c r="BF174" s="1" t="str">
        <f t="shared" si="48"/>
        <v/>
      </c>
      <c r="BG174" s="1" t="str">
        <f t="shared" si="49"/>
        <v>Type64</v>
      </c>
      <c r="BH174" s="1" t="str">
        <f t="shared" si="50"/>
        <v/>
      </c>
      <c r="BI174" s="1" t="str">
        <f t="shared" si="51"/>
        <v/>
      </c>
      <c r="BJ174" s="1" t="str">
        <f t="shared" si="52"/>
        <v/>
      </c>
      <c r="BK174" s="1" t="str">
        <f t="shared" si="53"/>
        <v/>
      </c>
      <c r="BL174" s="1" t="str">
        <f t="shared" si="54"/>
        <v/>
      </c>
      <c r="BM174" s="1" t="str">
        <f t="shared" si="55"/>
        <v/>
      </c>
      <c r="BN174" s="1" t="str">
        <f t="shared" si="56"/>
        <v/>
      </c>
      <c r="BO174" s="1" t="str">
        <f t="shared" si="57"/>
        <v/>
      </c>
      <c r="BP174" s="1" t="str">
        <f t="shared" si="58"/>
        <v/>
      </c>
      <c r="BQ174" s="1" t="str">
        <f t="shared" si="59"/>
        <v>Type64</v>
      </c>
      <c r="BR174" s="1" t="str">
        <f t="shared" si="60"/>
        <v/>
      </c>
      <c r="BS174" s="1" t="str">
        <f t="shared" si="61"/>
        <v/>
      </c>
      <c r="BT174" s="1"/>
    </row>
    <row r="175" spans="48:72" x14ac:dyDescent="0.25">
      <c r="AV175" t="s">
        <v>836</v>
      </c>
      <c r="AZ175" s="1" t="str">
        <f t="shared" si="42"/>
        <v/>
      </c>
      <c r="BA175" s="1" t="str">
        <f t="shared" si="43"/>
        <v/>
      </c>
      <c r="BB175" s="1" t="str">
        <f t="shared" si="44"/>
        <v/>
      </c>
      <c r="BC175" s="1" t="str">
        <f t="shared" si="45"/>
        <v/>
      </c>
      <c r="BD175" s="1" t="str">
        <f t="shared" si="46"/>
        <v/>
      </c>
      <c r="BE175" s="1" t="str">
        <f t="shared" si="47"/>
        <v/>
      </c>
      <c r="BF175" s="1" t="str">
        <f t="shared" si="48"/>
        <v/>
      </c>
      <c r="BG175" s="1" t="str">
        <f t="shared" si="49"/>
        <v>Type64Mod</v>
      </c>
      <c r="BH175" s="1" t="str">
        <f t="shared" si="50"/>
        <v/>
      </c>
      <c r="BI175" s="1" t="str">
        <f t="shared" si="51"/>
        <v/>
      </c>
      <c r="BJ175" s="1" t="str">
        <f t="shared" si="52"/>
        <v/>
      </c>
      <c r="BK175" s="1" t="str">
        <f t="shared" si="53"/>
        <v/>
      </c>
      <c r="BL175" s="1" t="str">
        <f t="shared" si="54"/>
        <v/>
      </c>
      <c r="BM175" s="1" t="str">
        <f t="shared" si="55"/>
        <v/>
      </c>
      <c r="BN175" s="1" t="str">
        <f t="shared" si="56"/>
        <v/>
      </c>
      <c r="BO175" s="1" t="str">
        <f t="shared" si="57"/>
        <v/>
      </c>
      <c r="BP175" s="1" t="str">
        <f t="shared" si="58"/>
        <v/>
      </c>
      <c r="BQ175" s="1" t="str">
        <f t="shared" si="59"/>
        <v>Type64Mod</v>
      </c>
      <c r="BR175" s="1" t="str">
        <f t="shared" si="60"/>
        <v/>
      </c>
      <c r="BS175" s="1" t="str">
        <f t="shared" si="61"/>
        <v/>
      </c>
      <c r="BT175" s="1"/>
    </row>
    <row r="176" spans="48:72" x14ac:dyDescent="0.25">
      <c r="AV176" t="s">
        <v>119</v>
      </c>
      <c r="AZ176" s="1" t="str">
        <f t="shared" si="42"/>
        <v/>
      </c>
      <c r="BA176" s="1" t="str">
        <f t="shared" si="43"/>
        <v/>
      </c>
      <c r="BB176" s="1" t="str">
        <f t="shared" si="44"/>
        <v/>
      </c>
      <c r="BC176" s="1" t="str">
        <f t="shared" si="45"/>
        <v/>
      </c>
      <c r="BD176" s="1" t="str">
        <f t="shared" si="46"/>
        <v/>
      </c>
      <c r="BE176" s="1" t="str">
        <f t="shared" si="47"/>
        <v/>
      </c>
      <c r="BF176" s="1" t="str">
        <f t="shared" si="48"/>
        <v/>
      </c>
      <c r="BG176" s="1" t="str">
        <f t="shared" si="49"/>
        <v>Type80Mod</v>
      </c>
      <c r="BH176" s="1" t="str">
        <f t="shared" si="50"/>
        <v/>
      </c>
      <c r="BI176" s="1" t="str">
        <f t="shared" si="51"/>
        <v/>
      </c>
      <c r="BJ176" s="1" t="str">
        <f t="shared" si="52"/>
        <v/>
      </c>
      <c r="BK176" s="1" t="str">
        <f t="shared" si="53"/>
        <v/>
      </c>
      <c r="BL176" s="1" t="str">
        <f t="shared" si="54"/>
        <v/>
      </c>
      <c r="BM176" s="1" t="str">
        <f t="shared" si="55"/>
        <v/>
      </c>
      <c r="BN176" s="1" t="str">
        <f t="shared" si="56"/>
        <v/>
      </c>
      <c r="BO176" s="1" t="str">
        <f t="shared" si="57"/>
        <v/>
      </c>
      <c r="BP176" s="1" t="str">
        <f t="shared" si="58"/>
        <v/>
      </c>
      <c r="BQ176" s="1" t="str">
        <f t="shared" si="59"/>
        <v>Type80Mod</v>
      </c>
      <c r="BR176" s="1" t="str">
        <f t="shared" si="60"/>
        <v/>
      </c>
      <c r="BS176" s="1" t="str">
        <f t="shared" si="61"/>
        <v/>
      </c>
      <c r="BT176" s="1"/>
    </row>
    <row r="177" spans="48:72" x14ac:dyDescent="0.25">
      <c r="AV177" t="s">
        <v>841</v>
      </c>
      <c r="AZ177" s="1" t="str">
        <f t="shared" si="42"/>
        <v/>
      </c>
      <c r="BA177" s="1" t="str">
        <f t="shared" si="43"/>
        <v/>
      </c>
      <c r="BB177" s="1" t="str">
        <f t="shared" si="44"/>
        <v/>
      </c>
      <c r="BC177" s="1" t="str">
        <f t="shared" si="45"/>
        <v/>
      </c>
      <c r="BD177" s="1" t="str">
        <f t="shared" si="46"/>
        <v/>
      </c>
      <c r="BE177" s="1" t="str">
        <f t="shared" si="47"/>
        <v/>
      </c>
      <c r="BF177" s="1" t="str">
        <f t="shared" si="48"/>
        <v/>
      </c>
      <c r="BG177" s="1" t="str">
        <f t="shared" si="49"/>
        <v>Type88</v>
      </c>
      <c r="BH177" s="1" t="str">
        <f t="shared" si="50"/>
        <v/>
      </c>
      <c r="BI177" s="1" t="str">
        <f t="shared" si="51"/>
        <v/>
      </c>
      <c r="BJ177" s="1" t="str">
        <f t="shared" si="52"/>
        <v/>
      </c>
      <c r="BK177" s="1" t="str">
        <f t="shared" si="53"/>
        <v/>
      </c>
      <c r="BL177" s="1" t="str">
        <f t="shared" si="54"/>
        <v/>
      </c>
      <c r="BM177" s="1" t="str">
        <f t="shared" si="55"/>
        <v/>
      </c>
      <c r="BN177" s="1" t="str">
        <f t="shared" si="56"/>
        <v/>
      </c>
      <c r="BO177" s="1" t="str">
        <f t="shared" si="57"/>
        <v/>
      </c>
      <c r="BP177" s="1" t="str">
        <f t="shared" si="58"/>
        <v/>
      </c>
      <c r="BQ177" s="1" t="str">
        <f t="shared" si="59"/>
        <v>Type88</v>
      </c>
      <c r="BR177" s="1" t="str">
        <f t="shared" si="60"/>
        <v/>
      </c>
      <c r="BS177" s="1" t="str">
        <f t="shared" si="61"/>
        <v/>
      </c>
      <c r="BT177" s="1"/>
    </row>
    <row r="178" spans="48:72" x14ac:dyDescent="0.25">
      <c r="AV178" t="s">
        <v>712</v>
      </c>
      <c r="AZ178" s="1" t="str">
        <f t="shared" si="42"/>
        <v/>
      </c>
      <c r="BA178" s="1" t="str">
        <f t="shared" si="43"/>
        <v/>
      </c>
      <c r="BB178" s="1" t="str">
        <f t="shared" si="44"/>
        <v/>
      </c>
      <c r="BC178" s="1" t="str">
        <f t="shared" si="45"/>
        <v/>
      </c>
      <c r="BD178" s="1" t="str">
        <f t="shared" si="46"/>
        <v/>
      </c>
      <c r="BE178" s="1" t="str">
        <f t="shared" si="47"/>
        <v/>
      </c>
      <c r="BF178" s="1" t="str">
        <f t="shared" si="48"/>
        <v/>
      </c>
      <c r="BG178" s="1" t="str">
        <f t="shared" si="49"/>
        <v>Type88Mod</v>
      </c>
      <c r="BH178" s="1" t="str">
        <f t="shared" si="50"/>
        <v/>
      </c>
      <c r="BI178" s="1" t="str">
        <f t="shared" si="51"/>
        <v/>
      </c>
      <c r="BJ178" s="1" t="str">
        <f t="shared" si="52"/>
        <v/>
      </c>
      <c r="BK178" s="1" t="str">
        <f t="shared" si="53"/>
        <v/>
      </c>
      <c r="BL178" s="1" t="str">
        <f t="shared" si="54"/>
        <v/>
      </c>
      <c r="BM178" s="1" t="str">
        <f t="shared" si="55"/>
        <v/>
      </c>
      <c r="BN178" s="1" t="str">
        <f t="shared" si="56"/>
        <v/>
      </c>
      <c r="BO178" s="1" t="str">
        <f t="shared" si="57"/>
        <v/>
      </c>
      <c r="BP178" s="1" t="str">
        <f t="shared" si="58"/>
        <v/>
      </c>
      <c r="BQ178" s="1" t="str">
        <f t="shared" si="59"/>
        <v>Type88Mod</v>
      </c>
      <c r="BR178" s="1" t="str">
        <f t="shared" si="60"/>
        <v/>
      </c>
      <c r="BS178" s="1" t="str">
        <f t="shared" si="61"/>
        <v/>
      </c>
      <c r="BT178" s="1"/>
    </row>
    <row r="179" spans="48:72" x14ac:dyDescent="0.25">
      <c r="AV179" t="s">
        <v>734</v>
      </c>
      <c r="AZ179" s="1" t="str">
        <f t="shared" si="42"/>
        <v/>
      </c>
      <c r="BA179" s="1" t="str">
        <f t="shared" si="43"/>
        <v/>
      </c>
      <c r="BB179" s="1" t="str">
        <f t="shared" si="44"/>
        <v/>
      </c>
      <c r="BC179" s="1" t="str">
        <f t="shared" si="45"/>
        <v/>
      </c>
      <c r="BD179" s="1" t="str">
        <f t="shared" si="46"/>
        <v/>
      </c>
      <c r="BE179" s="1" t="str">
        <f t="shared" si="47"/>
        <v/>
      </c>
      <c r="BF179" s="1" t="str">
        <f t="shared" si="48"/>
        <v/>
      </c>
      <c r="BG179" s="1" t="str">
        <f t="shared" si="49"/>
        <v>Type95/97</v>
      </c>
      <c r="BH179" s="1" t="str">
        <f t="shared" si="50"/>
        <v/>
      </c>
      <c r="BI179" s="1" t="str">
        <f t="shared" si="51"/>
        <v/>
      </c>
      <c r="BJ179" s="1" t="str">
        <f t="shared" si="52"/>
        <v/>
      </c>
      <c r="BK179" s="1" t="str">
        <f t="shared" si="53"/>
        <v/>
      </c>
      <c r="BL179" s="1" t="str">
        <f t="shared" si="54"/>
        <v/>
      </c>
      <c r="BM179" s="1" t="str">
        <f t="shared" si="55"/>
        <v/>
      </c>
      <c r="BN179" s="1" t="str">
        <f t="shared" si="56"/>
        <v/>
      </c>
      <c r="BO179" s="1" t="str">
        <f t="shared" si="57"/>
        <v/>
      </c>
      <c r="BP179" s="1" t="str">
        <f t="shared" si="58"/>
        <v/>
      </c>
      <c r="BQ179" s="1" t="str">
        <f t="shared" si="59"/>
        <v>Type95/97</v>
      </c>
      <c r="BR179" s="1" t="str">
        <f t="shared" si="60"/>
        <v/>
      </c>
      <c r="BS179" s="1" t="str">
        <f t="shared" si="61"/>
        <v/>
      </c>
      <c r="BT179" s="1"/>
    </row>
    <row r="180" spans="48:72" x14ac:dyDescent="0.25">
      <c r="AV180" t="s">
        <v>731</v>
      </c>
      <c r="AZ180" s="1" t="str">
        <f t="shared" si="42"/>
        <v/>
      </c>
      <c r="BA180" s="1" t="str">
        <f t="shared" si="43"/>
        <v/>
      </c>
      <c r="BB180" s="1" t="str">
        <f t="shared" si="44"/>
        <v/>
      </c>
      <c r="BC180" s="1" t="str">
        <f t="shared" si="45"/>
        <v/>
      </c>
      <c r="BD180" s="1" t="str">
        <f t="shared" si="46"/>
        <v/>
      </c>
      <c r="BE180" s="1" t="str">
        <f t="shared" si="47"/>
        <v/>
      </c>
      <c r="BF180" s="1" t="str">
        <f t="shared" si="48"/>
        <v/>
      </c>
      <c r="BG180" s="1" t="str">
        <f t="shared" si="49"/>
        <v>Type97SMod</v>
      </c>
      <c r="BH180" s="1" t="str">
        <f t="shared" si="50"/>
        <v/>
      </c>
      <c r="BI180" s="1" t="str">
        <f t="shared" si="51"/>
        <v/>
      </c>
      <c r="BJ180" s="1" t="str">
        <f t="shared" si="52"/>
        <v/>
      </c>
      <c r="BK180" s="1" t="str">
        <f t="shared" si="53"/>
        <v/>
      </c>
      <c r="BL180" s="1" t="str">
        <f t="shared" si="54"/>
        <v/>
      </c>
      <c r="BM180" s="1" t="str">
        <f t="shared" si="55"/>
        <v/>
      </c>
      <c r="BN180" s="1" t="str">
        <f t="shared" si="56"/>
        <v/>
      </c>
      <c r="BO180" s="1" t="str">
        <f t="shared" si="57"/>
        <v/>
      </c>
      <c r="BP180" s="1" t="str">
        <f t="shared" si="58"/>
        <v/>
      </c>
      <c r="BQ180" s="1" t="str">
        <f t="shared" si="59"/>
        <v>Type97SMod</v>
      </c>
      <c r="BR180" s="1" t="str">
        <f t="shared" si="60"/>
        <v/>
      </c>
      <c r="BS180" s="1" t="str">
        <f t="shared" si="61"/>
        <v/>
      </c>
      <c r="BT180" s="1"/>
    </row>
    <row r="181" spans="48:72" x14ac:dyDescent="0.25">
      <c r="AV181" t="s">
        <v>265</v>
      </c>
      <c r="AZ181" s="1" t="str">
        <f t="shared" si="42"/>
        <v/>
      </c>
      <c r="BA181" s="1" t="str">
        <f t="shared" si="43"/>
        <v/>
      </c>
      <c r="BB181" s="1" t="str">
        <f t="shared" si="44"/>
        <v/>
      </c>
      <c r="BC181" s="1" t="str">
        <f t="shared" si="45"/>
        <v/>
      </c>
      <c r="BD181" s="1" t="str">
        <f t="shared" si="46"/>
        <v/>
      </c>
      <c r="BE181" s="1" t="str">
        <f t="shared" si="47"/>
        <v/>
      </c>
      <c r="BF181" s="1" t="str">
        <f t="shared" si="48"/>
        <v/>
      </c>
      <c r="BG181" s="1" t="str">
        <f t="shared" si="49"/>
        <v>UMP</v>
      </c>
      <c r="BH181" s="1" t="str">
        <f t="shared" si="50"/>
        <v/>
      </c>
      <c r="BI181" s="1" t="str">
        <f t="shared" si="51"/>
        <v/>
      </c>
      <c r="BJ181" s="1" t="str">
        <f t="shared" si="52"/>
        <v/>
      </c>
      <c r="BK181" s="1" t="str">
        <f t="shared" si="53"/>
        <v/>
      </c>
      <c r="BL181" s="1" t="str">
        <f t="shared" si="54"/>
        <v/>
      </c>
      <c r="BM181" s="1" t="str">
        <f t="shared" si="55"/>
        <v/>
      </c>
      <c r="BN181" s="1" t="str">
        <f t="shared" si="56"/>
        <v/>
      </c>
      <c r="BO181" s="1" t="str">
        <f t="shared" si="57"/>
        <v/>
      </c>
      <c r="BP181" s="1" t="str">
        <f t="shared" si="58"/>
        <v/>
      </c>
      <c r="BQ181" s="1" t="str">
        <f t="shared" si="59"/>
        <v>UMP</v>
      </c>
      <c r="BR181" s="1" t="str">
        <f t="shared" si="60"/>
        <v/>
      </c>
      <c r="BS181" s="1" t="str">
        <f t="shared" si="61"/>
        <v/>
      </c>
      <c r="BT181" s="1"/>
    </row>
    <row r="182" spans="48:72" x14ac:dyDescent="0.25">
      <c r="AV182" t="s">
        <v>264</v>
      </c>
      <c r="AZ182" s="1" t="str">
        <f t="shared" si="42"/>
        <v/>
      </c>
      <c r="BA182" s="1" t="str">
        <f t="shared" si="43"/>
        <v/>
      </c>
      <c r="BB182" s="1" t="str">
        <f t="shared" si="44"/>
        <v/>
      </c>
      <c r="BC182" s="1" t="str">
        <f t="shared" si="45"/>
        <v/>
      </c>
      <c r="BD182" s="1" t="str">
        <f t="shared" si="46"/>
        <v/>
      </c>
      <c r="BE182" s="1" t="str">
        <f t="shared" si="47"/>
        <v/>
      </c>
      <c r="BF182" s="1" t="str">
        <f t="shared" si="48"/>
        <v/>
      </c>
      <c r="BG182" s="1" t="str">
        <f t="shared" si="49"/>
        <v>UMP45Mod</v>
      </c>
      <c r="BH182" s="1" t="str">
        <f t="shared" si="50"/>
        <v/>
      </c>
      <c r="BI182" s="1" t="str">
        <f t="shared" si="51"/>
        <v/>
      </c>
      <c r="BJ182" s="1" t="str">
        <f t="shared" si="52"/>
        <v/>
      </c>
      <c r="BK182" s="1" t="str">
        <f t="shared" si="53"/>
        <v/>
      </c>
      <c r="BL182" s="1" t="str">
        <f t="shared" si="54"/>
        <v/>
      </c>
      <c r="BM182" s="1" t="str">
        <f t="shared" si="55"/>
        <v/>
      </c>
      <c r="BN182" s="1" t="str">
        <f t="shared" si="56"/>
        <v/>
      </c>
      <c r="BO182" s="1" t="str">
        <f t="shared" si="57"/>
        <v/>
      </c>
      <c r="BP182" s="1" t="str">
        <f t="shared" si="58"/>
        <v/>
      </c>
      <c r="BQ182" s="1" t="str">
        <f t="shared" si="59"/>
        <v>UMP45Mod</v>
      </c>
      <c r="BR182" s="1" t="str">
        <f t="shared" si="60"/>
        <v/>
      </c>
      <c r="BS182" s="1" t="str">
        <f t="shared" si="61"/>
        <v/>
      </c>
      <c r="BT182" s="1"/>
    </row>
    <row r="183" spans="48:72" x14ac:dyDescent="0.25">
      <c r="AV183" t="s">
        <v>97</v>
      </c>
      <c r="AZ183" s="1" t="str">
        <f t="shared" si="42"/>
        <v/>
      </c>
      <c r="BA183" s="1" t="str">
        <f t="shared" si="43"/>
        <v/>
      </c>
      <c r="BB183" s="1" t="str">
        <f t="shared" si="44"/>
        <v/>
      </c>
      <c r="BC183" s="1" t="str">
        <f t="shared" si="45"/>
        <v/>
      </c>
      <c r="BD183" s="1" t="str">
        <f t="shared" si="46"/>
        <v/>
      </c>
      <c r="BE183" s="1" t="str">
        <f t="shared" si="47"/>
        <v/>
      </c>
      <c r="BF183" s="1" t="str">
        <f t="shared" si="48"/>
        <v/>
      </c>
      <c r="BG183" s="1" t="str">
        <f t="shared" si="49"/>
        <v>UMP9Mod</v>
      </c>
      <c r="BH183" s="1" t="str">
        <f t="shared" si="50"/>
        <v/>
      </c>
      <c r="BI183" s="1" t="str">
        <f t="shared" si="51"/>
        <v/>
      </c>
      <c r="BJ183" s="1" t="str">
        <f t="shared" si="52"/>
        <v/>
      </c>
      <c r="BK183" s="1" t="str">
        <f t="shared" si="53"/>
        <v/>
      </c>
      <c r="BL183" s="1" t="str">
        <f t="shared" si="54"/>
        <v/>
      </c>
      <c r="BM183" s="1" t="str">
        <f t="shared" si="55"/>
        <v/>
      </c>
      <c r="BN183" s="1" t="str">
        <f t="shared" si="56"/>
        <v/>
      </c>
      <c r="BO183" s="1" t="str">
        <f t="shared" si="57"/>
        <v/>
      </c>
      <c r="BP183" s="1" t="str">
        <f t="shared" si="58"/>
        <v/>
      </c>
      <c r="BQ183" s="1" t="str">
        <f t="shared" si="59"/>
        <v>UMP9Mod</v>
      </c>
      <c r="BR183" s="1" t="str">
        <f t="shared" si="60"/>
        <v/>
      </c>
      <c r="BS183" s="1" t="str">
        <f t="shared" si="61"/>
        <v/>
      </c>
      <c r="BT183" s="1"/>
    </row>
    <row r="184" spans="48:72" x14ac:dyDescent="0.25">
      <c r="AV184" t="s">
        <v>95</v>
      </c>
      <c r="AZ184" s="1" t="str">
        <f t="shared" si="42"/>
        <v/>
      </c>
      <c r="BA184" s="1" t="str">
        <f t="shared" si="43"/>
        <v/>
      </c>
      <c r="BB184" s="1" t="str">
        <f t="shared" si="44"/>
        <v/>
      </c>
      <c r="BC184" s="1" t="str">
        <f t="shared" si="45"/>
        <v/>
      </c>
      <c r="BD184" s="1" t="str">
        <f t="shared" si="46"/>
        <v/>
      </c>
      <c r="BE184" s="1" t="str">
        <f t="shared" si="47"/>
        <v/>
      </c>
      <c r="BF184" s="1" t="str">
        <f t="shared" si="48"/>
        <v/>
      </c>
      <c r="BG184" s="1" t="str">
        <f t="shared" si="49"/>
        <v>VM59</v>
      </c>
      <c r="BH184" s="1" t="str">
        <f t="shared" si="50"/>
        <v/>
      </c>
      <c r="BI184" s="1" t="str">
        <f t="shared" si="51"/>
        <v/>
      </c>
      <c r="BJ184" s="1" t="str">
        <f t="shared" si="52"/>
        <v/>
      </c>
      <c r="BK184" s="1" t="str">
        <f t="shared" si="53"/>
        <v/>
      </c>
      <c r="BL184" s="1" t="str">
        <f t="shared" si="54"/>
        <v/>
      </c>
      <c r="BM184" s="1" t="str">
        <f t="shared" si="55"/>
        <v/>
      </c>
      <c r="BN184" s="1" t="str">
        <f t="shared" si="56"/>
        <v/>
      </c>
      <c r="BO184" s="1" t="str">
        <f t="shared" si="57"/>
        <v/>
      </c>
      <c r="BP184" s="1" t="str">
        <f t="shared" si="58"/>
        <v/>
      </c>
      <c r="BQ184" s="1" t="str">
        <f t="shared" si="59"/>
        <v>VM59</v>
      </c>
      <c r="BR184" s="1" t="str">
        <f t="shared" si="60"/>
        <v/>
      </c>
      <c r="BS184" s="1" t="str">
        <f t="shared" si="61"/>
        <v/>
      </c>
      <c r="BT184" s="1"/>
    </row>
    <row r="185" spans="48:72" x14ac:dyDescent="0.25">
      <c r="AV185" t="s">
        <v>837</v>
      </c>
      <c r="AZ185" s="1" t="str">
        <f t="shared" si="42"/>
        <v/>
      </c>
      <c r="BA185" s="1" t="str">
        <f t="shared" si="43"/>
        <v/>
      </c>
      <c r="BB185" s="1" t="str">
        <f t="shared" si="44"/>
        <v/>
      </c>
      <c r="BC185" s="1" t="str">
        <f t="shared" si="45"/>
        <v/>
      </c>
      <c r="BD185" s="1" t="str">
        <f t="shared" si="46"/>
        <v/>
      </c>
      <c r="BE185" s="1" t="str">
        <f t="shared" si="47"/>
        <v/>
      </c>
      <c r="BF185" s="1" t="str">
        <f t="shared" si="48"/>
        <v/>
      </c>
      <c r="BG185" s="1" t="str">
        <f t="shared" si="49"/>
        <v>WA2000</v>
      </c>
      <c r="BH185" s="1" t="str">
        <f t="shared" si="50"/>
        <v/>
      </c>
      <c r="BI185" s="1" t="str">
        <f t="shared" si="51"/>
        <v/>
      </c>
      <c r="BJ185" s="1" t="str">
        <f t="shared" si="52"/>
        <v/>
      </c>
      <c r="BK185" s="1" t="str">
        <f t="shared" si="53"/>
        <v/>
      </c>
      <c r="BL185" s="1" t="str">
        <f t="shared" si="54"/>
        <v/>
      </c>
      <c r="BM185" s="1" t="str">
        <f t="shared" si="55"/>
        <v/>
      </c>
      <c r="BN185" s="1" t="str">
        <f t="shared" si="56"/>
        <v/>
      </c>
      <c r="BO185" s="1" t="str">
        <f t="shared" si="57"/>
        <v/>
      </c>
      <c r="BP185" s="1" t="str">
        <f t="shared" si="58"/>
        <v/>
      </c>
      <c r="BQ185" s="1" t="str">
        <f t="shared" si="59"/>
        <v>WA2000</v>
      </c>
      <c r="BR185" s="1" t="str">
        <f t="shared" si="60"/>
        <v/>
      </c>
      <c r="BS185" s="1" t="str">
        <f t="shared" si="61"/>
        <v/>
      </c>
      <c r="BT185" s="1"/>
    </row>
    <row r="186" spans="48:72" x14ac:dyDescent="0.25">
      <c r="AV186" t="s">
        <v>936</v>
      </c>
      <c r="AZ186" s="1" t="str">
        <f t="shared" si="42"/>
        <v/>
      </c>
      <c r="BA186" s="1" t="str">
        <f t="shared" si="43"/>
        <v/>
      </c>
      <c r="BB186" s="1" t="str">
        <f t="shared" si="44"/>
        <v/>
      </c>
      <c r="BC186" s="1" t="str">
        <f t="shared" si="45"/>
        <v/>
      </c>
      <c r="BD186" s="1" t="str">
        <f t="shared" si="46"/>
        <v/>
      </c>
      <c r="BE186" s="1" t="str">
        <f t="shared" si="47"/>
        <v/>
      </c>
      <c r="BF186" s="1" t="str">
        <f t="shared" si="48"/>
        <v/>
      </c>
      <c r="BG186" s="1" t="str">
        <f t="shared" si="49"/>
        <v>Welrod MkIIMod</v>
      </c>
      <c r="BH186" s="1" t="str">
        <f t="shared" si="50"/>
        <v/>
      </c>
      <c r="BI186" s="1" t="str">
        <f t="shared" si="51"/>
        <v/>
      </c>
      <c r="BJ186" s="1" t="str">
        <f t="shared" si="52"/>
        <v/>
      </c>
      <c r="BK186" s="1" t="str">
        <f t="shared" si="53"/>
        <v/>
      </c>
      <c r="BL186" s="1" t="str">
        <f t="shared" si="54"/>
        <v/>
      </c>
      <c r="BM186" s="1" t="str">
        <f t="shared" si="55"/>
        <v/>
      </c>
      <c r="BN186" s="1" t="str">
        <f t="shared" si="56"/>
        <v/>
      </c>
      <c r="BO186" s="1" t="str">
        <f t="shared" si="57"/>
        <v/>
      </c>
      <c r="BP186" s="1" t="str">
        <f t="shared" si="58"/>
        <v/>
      </c>
      <c r="BQ186" s="1" t="str">
        <f t="shared" si="59"/>
        <v>Welrod MkIIMod</v>
      </c>
      <c r="BR186" s="1" t="str">
        <f t="shared" si="60"/>
        <v/>
      </c>
      <c r="BS186" s="1" t="str">
        <f t="shared" si="61"/>
        <v/>
      </c>
      <c r="BT186" s="1"/>
    </row>
    <row r="187" spans="48:72" x14ac:dyDescent="0.25">
      <c r="AV187" t="s">
        <v>5798</v>
      </c>
      <c r="AZ187" s="1" t="str">
        <f t="shared" si="42"/>
        <v/>
      </c>
      <c r="BA187" s="1" t="str">
        <f t="shared" si="43"/>
        <v/>
      </c>
      <c r="BB187" s="1" t="str">
        <f t="shared" si="44"/>
        <v/>
      </c>
      <c r="BC187" s="1" t="str">
        <f t="shared" si="45"/>
        <v/>
      </c>
      <c r="BD187" s="1" t="str">
        <f t="shared" si="46"/>
        <v/>
      </c>
      <c r="BE187" s="1" t="str">
        <f t="shared" si="47"/>
        <v/>
      </c>
      <c r="BF187" s="1" t="str">
        <f t="shared" si="48"/>
        <v/>
      </c>
      <c r="BG187" s="1" t="str">
        <f t="shared" si="49"/>
        <v>XM3Mod</v>
      </c>
      <c r="BH187" s="1" t="str">
        <f t="shared" si="50"/>
        <v/>
      </c>
      <c r="BI187" s="1" t="str">
        <f t="shared" si="51"/>
        <v/>
      </c>
      <c r="BJ187" s="1" t="str">
        <f t="shared" si="52"/>
        <v/>
      </c>
      <c r="BK187" s="1" t="str">
        <f t="shared" si="53"/>
        <v/>
      </c>
      <c r="BL187" s="1" t="str">
        <f t="shared" si="54"/>
        <v/>
      </c>
      <c r="BM187" s="1" t="str">
        <f t="shared" si="55"/>
        <v/>
      </c>
      <c r="BN187" s="1" t="str">
        <f t="shared" si="56"/>
        <v/>
      </c>
      <c r="BO187" s="1" t="str">
        <f t="shared" si="57"/>
        <v/>
      </c>
      <c r="BP187" s="1" t="str">
        <f t="shared" si="58"/>
        <v/>
      </c>
      <c r="BQ187" s="1" t="str">
        <f t="shared" si="59"/>
        <v>XM3Mod</v>
      </c>
      <c r="BR187" s="1" t="str">
        <f t="shared" si="60"/>
        <v/>
      </c>
      <c r="BS187" s="1" t="str">
        <f t="shared" si="61"/>
        <v/>
      </c>
      <c r="BT187" s="1"/>
    </row>
    <row r="188" spans="48:72" x14ac:dyDescent="0.25">
      <c r="AV188" t="s">
        <v>1719</v>
      </c>
      <c r="AZ188" s="1" t="str">
        <f t="shared" si="42"/>
        <v/>
      </c>
      <c r="BA188" s="1" t="str">
        <f t="shared" si="43"/>
        <v/>
      </c>
      <c r="BB188" s="1" t="str">
        <f t="shared" si="44"/>
        <v/>
      </c>
      <c r="BC188" s="1" t="str">
        <f t="shared" si="45"/>
        <v/>
      </c>
      <c r="BD188" s="1" t="str">
        <f t="shared" si="46"/>
        <v/>
      </c>
      <c r="BE188" s="1" t="str">
        <f t="shared" si="47"/>
        <v/>
      </c>
      <c r="BF188" s="1" t="str">
        <f t="shared" si="48"/>
        <v/>
      </c>
      <c r="BG188" s="1" t="str">
        <f t="shared" si="49"/>
        <v>XM8Mod</v>
      </c>
      <c r="BH188" s="1" t="str">
        <f t="shared" si="50"/>
        <v/>
      </c>
      <c r="BI188" s="1" t="str">
        <f t="shared" si="51"/>
        <v/>
      </c>
      <c r="BJ188" s="1" t="str">
        <f t="shared" si="52"/>
        <v/>
      </c>
      <c r="BK188" s="1" t="str">
        <f t="shared" si="53"/>
        <v/>
      </c>
      <c r="BL188" s="1" t="str">
        <f t="shared" si="54"/>
        <v/>
      </c>
      <c r="BM188" s="1" t="str">
        <f t="shared" si="55"/>
        <v/>
      </c>
      <c r="BN188" s="1" t="str">
        <f t="shared" si="56"/>
        <v/>
      </c>
      <c r="BO188" s="1" t="str">
        <f t="shared" si="57"/>
        <v/>
      </c>
      <c r="BP188" s="1" t="str">
        <f t="shared" si="58"/>
        <v/>
      </c>
      <c r="BQ188" s="1" t="str">
        <f t="shared" si="59"/>
        <v>XM8Mod</v>
      </c>
      <c r="BR188" s="1" t="str">
        <f t="shared" si="60"/>
        <v/>
      </c>
      <c r="BS188" s="1" t="str">
        <f t="shared" si="61"/>
        <v/>
      </c>
      <c r="BT188" s="1"/>
    </row>
    <row r="189" spans="48:72" x14ac:dyDescent="0.25">
      <c r="AZ189" s="1" t="str">
        <f t="shared" si="42"/>
        <v/>
      </c>
      <c r="BA189" s="1" t="str">
        <f t="shared" si="43"/>
        <v/>
      </c>
      <c r="BB189" s="1" t="str">
        <f t="shared" si="44"/>
        <v/>
      </c>
      <c r="BC189" s="1" t="str">
        <f t="shared" si="45"/>
        <v/>
      </c>
      <c r="BD189" s="1" t="str">
        <f t="shared" si="46"/>
        <v/>
      </c>
      <c r="BE189" s="1" t="str">
        <f t="shared" si="47"/>
        <v/>
      </c>
      <c r="BF189" s="1" t="str">
        <f t="shared" si="48"/>
        <v/>
      </c>
      <c r="BG189" s="1" t="str">
        <f t="shared" si="49"/>
        <v>Yurine</v>
      </c>
      <c r="BH189" s="1" t="str">
        <f t="shared" si="50"/>
        <v/>
      </c>
      <c r="BI189" s="1" t="str">
        <f t="shared" si="51"/>
        <v/>
      </c>
      <c r="BJ189" s="1" t="str">
        <f t="shared" si="52"/>
        <v/>
      </c>
      <c r="BK189" s="1" t="str">
        <f t="shared" si="53"/>
        <v/>
      </c>
      <c r="BL189" s="1" t="str">
        <f t="shared" si="54"/>
        <v/>
      </c>
      <c r="BM189" s="1" t="str">
        <f t="shared" si="55"/>
        <v/>
      </c>
      <c r="BN189" s="1" t="str">
        <f t="shared" si="56"/>
        <v/>
      </c>
      <c r="BO189" s="1" t="str">
        <f t="shared" si="57"/>
        <v/>
      </c>
      <c r="BP189" s="1" t="str">
        <f t="shared" si="58"/>
        <v/>
      </c>
      <c r="BQ189" s="1" t="str">
        <f t="shared" si="59"/>
        <v>Yurine</v>
      </c>
      <c r="BR189" s="1" t="str">
        <f t="shared" si="60"/>
        <v/>
      </c>
      <c r="BS189" s="1" t="str">
        <f t="shared" si="61"/>
        <v/>
      </c>
      <c r="BT189" s="1"/>
    </row>
    <row r="190" spans="48:72" x14ac:dyDescent="0.25">
      <c r="AZ190" s="1" t="str">
        <f t="shared" si="42"/>
        <v/>
      </c>
      <c r="BA190" s="1" t="str">
        <f t="shared" si="43"/>
        <v/>
      </c>
      <c r="BB190" s="1" t="str">
        <f t="shared" si="44"/>
        <v/>
      </c>
      <c r="BC190" s="1" t="str">
        <f t="shared" si="45"/>
        <v/>
      </c>
      <c r="BD190" s="1" t="str">
        <f t="shared" si="46"/>
        <v/>
      </c>
      <c r="BE190" s="1" t="str">
        <f t="shared" si="47"/>
        <v/>
      </c>
      <c r="BF190" s="1" t="str">
        <f t="shared" si="48"/>
        <v/>
      </c>
      <c r="BG190" s="1" t="str">
        <f t="shared" si="49"/>
        <v/>
      </c>
      <c r="BH190" s="1" t="str">
        <f t="shared" si="50"/>
        <v/>
      </c>
      <c r="BI190" s="1" t="str">
        <f t="shared" si="51"/>
        <v/>
      </c>
      <c r="BJ190" s="1" t="str">
        <f t="shared" si="52"/>
        <v/>
      </c>
      <c r="BK190" s="1" t="str">
        <f t="shared" si="53"/>
        <v/>
      </c>
      <c r="BL190" s="1" t="str">
        <f t="shared" si="54"/>
        <v/>
      </c>
      <c r="BM190" s="1" t="str">
        <f t="shared" si="55"/>
        <v/>
      </c>
      <c r="BN190" s="1" t="str">
        <f t="shared" si="56"/>
        <v/>
      </c>
      <c r="BO190" s="1" t="str">
        <f t="shared" si="57"/>
        <v/>
      </c>
      <c r="BP190" s="1" t="str">
        <f t="shared" si="58"/>
        <v/>
      </c>
      <c r="BQ190" s="1" t="str">
        <f t="shared" si="59"/>
        <v/>
      </c>
      <c r="BR190" s="1" t="str">
        <f t="shared" si="60"/>
        <v/>
      </c>
      <c r="BS190" s="1" t="str">
        <f t="shared" si="61"/>
        <v/>
      </c>
      <c r="BT190" s="1"/>
    </row>
    <row r="191" spans="48:72" x14ac:dyDescent="0.25">
      <c r="AZ191" s="1" t="str">
        <f t="shared" si="42"/>
        <v/>
      </c>
      <c r="BA191" s="1" t="str">
        <f t="shared" si="43"/>
        <v/>
      </c>
      <c r="BB191" s="1" t="str">
        <f t="shared" si="44"/>
        <v/>
      </c>
      <c r="BC191" s="1" t="str">
        <f t="shared" si="45"/>
        <v/>
      </c>
      <c r="BD191" s="1" t="str">
        <f t="shared" si="46"/>
        <v/>
      </c>
      <c r="BE191" s="1" t="str">
        <f t="shared" si="47"/>
        <v/>
      </c>
      <c r="BF191" s="1" t="str">
        <f t="shared" si="48"/>
        <v/>
      </c>
      <c r="BG191" s="1" t="str">
        <f t="shared" si="49"/>
        <v/>
      </c>
      <c r="BH191" s="1" t="str">
        <f t="shared" si="50"/>
        <v/>
      </c>
      <c r="BI191" s="1" t="str">
        <f t="shared" si="51"/>
        <v/>
      </c>
      <c r="BJ191" s="1" t="str">
        <f t="shared" si="52"/>
        <v/>
      </c>
      <c r="BK191" s="1" t="str">
        <f t="shared" si="53"/>
        <v/>
      </c>
      <c r="BL191" s="1" t="str">
        <f t="shared" si="54"/>
        <v/>
      </c>
      <c r="BM191" s="1" t="str">
        <f t="shared" si="55"/>
        <v/>
      </c>
      <c r="BN191" s="1" t="str">
        <f t="shared" si="56"/>
        <v/>
      </c>
      <c r="BO191" s="1" t="str">
        <f t="shared" si="57"/>
        <v/>
      </c>
      <c r="BP191" s="1" t="str">
        <f t="shared" si="58"/>
        <v/>
      </c>
      <c r="BQ191" s="1" t="str">
        <f t="shared" si="59"/>
        <v/>
      </c>
      <c r="BR191" s="1" t="str">
        <f t="shared" si="60"/>
        <v/>
      </c>
      <c r="BS191" s="1" t="str">
        <f t="shared" si="61"/>
        <v/>
      </c>
      <c r="BT191" s="1"/>
    </row>
    <row r="192" spans="48:72" x14ac:dyDescent="0.25">
      <c r="AZ192" s="1" t="str">
        <f t="shared" si="42"/>
        <v/>
      </c>
      <c r="BA192" s="1" t="str">
        <f t="shared" si="43"/>
        <v/>
      </c>
      <c r="BB192" s="1" t="str">
        <f t="shared" si="44"/>
        <v/>
      </c>
      <c r="BC192" s="1" t="str">
        <f t="shared" si="45"/>
        <v/>
      </c>
      <c r="BD192" s="1" t="str">
        <f t="shared" si="46"/>
        <v/>
      </c>
      <c r="BE192" s="1" t="str">
        <f t="shared" si="47"/>
        <v/>
      </c>
      <c r="BF192" s="1" t="str">
        <f t="shared" si="48"/>
        <v/>
      </c>
      <c r="BG192" s="1" t="str">
        <f t="shared" si="49"/>
        <v/>
      </c>
      <c r="BH192" s="1" t="str">
        <f t="shared" si="50"/>
        <v/>
      </c>
      <c r="BI192" s="1" t="str">
        <f t="shared" si="51"/>
        <v/>
      </c>
      <c r="BJ192" s="1" t="str">
        <f t="shared" si="52"/>
        <v/>
      </c>
      <c r="BK192" s="1" t="str">
        <f t="shared" si="53"/>
        <v/>
      </c>
      <c r="BL192" s="1" t="str">
        <f t="shared" si="54"/>
        <v/>
      </c>
      <c r="BM192" s="1" t="str">
        <f t="shared" si="55"/>
        <v/>
      </c>
      <c r="BN192" s="1" t="str">
        <f t="shared" si="56"/>
        <v/>
      </c>
      <c r="BO192" s="1" t="str">
        <f t="shared" si="57"/>
        <v/>
      </c>
      <c r="BP192" s="1" t="str">
        <f t="shared" si="58"/>
        <v/>
      </c>
      <c r="BQ192" s="1" t="str">
        <f t="shared" si="59"/>
        <v/>
      </c>
      <c r="BR192" s="1" t="str">
        <f t="shared" si="60"/>
        <v/>
      </c>
      <c r="BS192" s="1" t="str">
        <f t="shared" si="61"/>
        <v/>
      </c>
      <c r="BT192" s="1"/>
    </row>
    <row r="193" spans="52:72" x14ac:dyDescent="0.25">
      <c r="AZ193" s="1" t="str">
        <f t="shared" si="42"/>
        <v/>
      </c>
      <c r="BA193" s="1" t="str">
        <f t="shared" si="43"/>
        <v/>
      </c>
      <c r="BB193" s="1" t="str">
        <f t="shared" si="44"/>
        <v/>
      </c>
      <c r="BC193" s="1" t="str">
        <f t="shared" si="45"/>
        <v/>
      </c>
      <c r="BD193" s="1" t="str">
        <f t="shared" si="46"/>
        <v/>
      </c>
      <c r="BE193" s="1" t="str">
        <f t="shared" si="47"/>
        <v/>
      </c>
      <c r="BF193" s="1" t="str">
        <f t="shared" si="48"/>
        <v/>
      </c>
      <c r="BG193" s="1" t="str">
        <f t="shared" si="49"/>
        <v/>
      </c>
      <c r="BH193" s="1" t="str">
        <f t="shared" si="50"/>
        <v/>
      </c>
      <c r="BI193" s="1" t="str">
        <f t="shared" si="51"/>
        <v/>
      </c>
      <c r="BJ193" s="1" t="str">
        <f t="shared" si="52"/>
        <v/>
      </c>
      <c r="BK193" s="1" t="str">
        <f t="shared" si="53"/>
        <v/>
      </c>
      <c r="BL193" s="1" t="str">
        <f t="shared" si="54"/>
        <v/>
      </c>
      <c r="BM193" s="1" t="str">
        <f t="shared" si="55"/>
        <v/>
      </c>
      <c r="BN193" s="1" t="str">
        <f t="shared" si="56"/>
        <v/>
      </c>
      <c r="BO193" s="1" t="str">
        <f t="shared" si="57"/>
        <v/>
      </c>
      <c r="BP193" s="1" t="str">
        <f t="shared" si="58"/>
        <v/>
      </c>
      <c r="BQ193" s="1" t="str">
        <f t="shared" si="59"/>
        <v/>
      </c>
      <c r="BR193" s="1" t="str">
        <f t="shared" si="60"/>
        <v/>
      </c>
      <c r="BS193" s="1" t="str">
        <f t="shared" si="61"/>
        <v/>
      </c>
      <c r="BT193" s="1"/>
    </row>
    <row r="194" spans="52:72" x14ac:dyDescent="0.25">
      <c r="AZ194" s="1" t="str">
        <f t="shared" si="42"/>
        <v/>
      </c>
      <c r="BA194" s="1" t="str">
        <f t="shared" si="43"/>
        <v/>
      </c>
      <c r="BB194" s="1" t="str">
        <f t="shared" si="44"/>
        <v/>
      </c>
      <c r="BC194" s="1" t="str">
        <f t="shared" si="45"/>
        <v/>
      </c>
      <c r="BD194" s="1" t="str">
        <f t="shared" si="46"/>
        <v/>
      </c>
      <c r="BE194" s="1" t="str">
        <f t="shared" si="47"/>
        <v/>
      </c>
      <c r="BF194" s="1" t="str">
        <f t="shared" si="48"/>
        <v/>
      </c>
      <c r="BG194" s="1" t="str">
        <f t="shared" si="49"/>
        <v/>
      </c>
      <c r="BH194" s="1" t="str">
        <f t="shared" si="50"/>
        <v/>
      </c>
      <c r="BI194" s="1" t="str">
        <f t="shared" si="51"/>
        <v/>
      </c>
      <c r="BJ194" s="1" t="str">
        <f t="shared" si="52"/>
        <v/>
      </c>
      <c r="BK194" s="1" t="str">
        <f t="shared" si="53"/>
        <v/>
      </c>
      <c r="BL194" s="1" t="str">
        <f t="shared" si="54"/>
        <v/>
      </c>
      <c r="BM194" s="1" t="str">
        <f t="shared" si="55"/>
        <v/>
      </c>
      <c r="BN194" s="1" t="str">
        <f t="shared" si="56"/>
        <v/>
      </c>
      <c r="BO194" s="1" t="str">
        <f t="shared" si="57"/>
        <v/>
      </c>
      <c r="BP194" s="1" t="str">
        <f t="shared" si="58"/>
        <v/>
      </c>
      <c r="BQ194" s="1" t="str">
        <f t="shared" si="59"/>
        <v/>
      </c>
      <c r="BR194" s="1" t="str">
        <f t="shared" si="60"/>
        <v/>
      </c>
      <c r="BS194" s="1" t="str">
        <f t="shared" si="61"/>
        <v/>
      </c>
      <c r="BT194" s="1"/>
    </row>
    <row r="195" spans="52:72" x14ac:dyDescent="0.25">
      <c r="AZ195" s="1" t="str">
        <f t="shared" si="42"/>
        <v/>
      </c>
      <c r="BA195" s="1" t="str">
        <f t="shared" si="43"/>
        <v/>
      </c>
      <c r="BB195" s="1" t="str">
        <f t="shared" si="44"/>
        <v/>
      </c>
      <c r="BC195" s="1" t="str">
        <f t="shared" si="45"/>
        <v/>
      </c>
      <c r="BD195" s="1" t="str">
        <f t="shared" si="46"/>
        <v/>
      </c>
      <c r="BE195" s="1" t="str">
        <f t="shared" si="47"/>
        <v/>
      </c>
      <c r="BF195" s="1" t="str">
        <f t="shared" si="48"/>
        <v/>
      </c>
      <c r="BG195" s="1" t="str">
        <f t="shared" si="49"/>
        <v/>
      </c>
      <c r="BH195" s="1" t="str">
        <f t="shared" si="50"/>
        <v/>
      </c>
      <c r="BI195" s="1" t="str">
        <f t="shared" si="51"/>
        <v/>
      </c>
      <c r="BJ195" s="1" t="str">
        <f t="shared" si="52"/>
        <v/>
      </c>
      <c r="BK195" s="1" t="str">
        <f t="shared" si="53"/>
        <v/>
      </c>
      <c r="BL195" s="1" t="str">
        <f t="shared" si="54"/>
        <v/>
      </c>
      <c r="BM195" s="1" t="str">
        <f t="shared" si="55"/>
        <v/>
      </c>
      <c r="BN195" s="1" t="str">
        <f t="shared" si="56"/>
        <v/>
      </c>
      <c r="BO195" s="1" t="str">
        <f t="shared" si="57"/>
        <v/>
      </c>
      <c r="BP195" s="1" t="str">
        <f t="shared" si="58"/>
        <v/>
      </c>
      <c r="BQ195" s="1" t="str">
        <f t="shared" si="59"/>
        <v/>
      </c>
      <c r="BR195" s="1" t="str">
        <f t="shared" si="60"/>
        <v/>
      </c>
      <c r="BS195" s="1" t="str">
        <f t="shared" si="61"/>
        <v/>
      </c>
      <c r="BT195" s="1"/>
    </row>
    <row r="196" spans="52:72" x14ac:dyDescent="0.25">
      <c r="AZ196" s="1" t="str">
        <f t="shared" ref="AZ196:AZ252" si="62">IF(INDEX($C195:$AF195,MATCH(AZ$2,$C$1:$AF$1,0))="","",INDEX($C195:$AF195,MATCH(AZ$2,$C$1:$AF$1,0)))</f>
        <v/>
      </c>
      <c r="BA196" s="1" t="str">
        <f t="shared" ref="BA196:BA252" si="63">IF(INDEX($C195:$AF195,MATCH(BA$2,$C$1:$AF$1,0))="","",INDEX($C195:$AF195,MATCH(BA$2,$C$1:$AF$1,0)))</f>
        <v/>
      </c>
      <c r="BB196" s="1" t="str">
        <f t="shared" ref="BB196:BB252" si="64">IF(INDEX($C195:$AF195,MATCH(BB$2,$C$1:$AF$1,0))="","",INDEX($C195:$AF195,MATCH(BB$2,$C$1:$AF$1,0)))</f>
        <v/>
      </c>
      <c r="BC196" s="1" t="str">
        <f t="shared" ref="BC196:BC252" si="65">IF(INDEX($C195:$AF195,MATCH(BC$2,$C$1:$AF$1,0))="","",INDEX($C195:$AF195,MATCH(BC$2,$C$1:$AF$1,0)))</f>
        <v/>
      </c>
      <c r="BD196" s="1" t="str">
        <f t="shared" ref="BD196:BD252" si="66">IF(INDEX($C195:$AF195,MATCH(BD$2,$C$1:$AF$1,0))="","",INDEX($C195:$AF195,MATCH(BD$2,$C$1:$AF$1,0)))</f>
        <v/>
      </c>
      <c r="BE196" s="1" t="str">
        <f t="shared" ref="BE196:BE252" si="67">IF(INDEX($AH195:$AV195,MATCH(BE$2,$AH$1:$AV$1,0))="","",INDEX($AH195:$AV195,MATCH(BE$2,$AH$1:$AV$1,0)))</f>
        <v/>
      </c>
      <c r="BF196" s="1" t="str">
        <f t="shared" ref="BF196:BF252" si="68">IF(INDEX($AH195:$AV195,MATCH(BF$2,$AH$1:$AV$1,0))="","",INDEX($AH195:$AV195,MATCH(BF$2,$AH$1:$AV$1,0)))</f>
        <v/>
      </c>
      <c r="BG196" s="1" t="str">
        <f t="shared" ref="BG196:BG252" si="69">IF(INDEX($AH195:$AV195,MATCH(BG$2,$AH$1:$AV$1,0))="","",INDEX($AH195:$AV195,MATCH(BG$2,$AH$1:$AV$1,0)))</f>
        <v/>
      </c>
      <c r="BH196" s="1" t="str">
        <f t="shared" ref="BH196:BH252" si="70">IF(INDEX($AH195:$AV195,MATCH(BH$2,$AH$1:$AV$1,0))="","",INDEX($AH195:$AV195,MATCH(BH$2,$AH$1:$AV$1,0)))</f>
        <v/>
      </c>
      <c r="BI196" s="1" t="str">
        <f t="shared" ref="BI196:BI252" si="71">IF(INDEX($AH195:$AV195,MATCH(BI$2,$AH$1:$AV$1,0))="","",INDEX($AH195:$AV195,MATCH(BI$2,$AH$1:$AV$1,0)))</f>
        <v/>
      </c>
      <c r="BJ196" s="1" t="str">
        <f t="shared" ref="BJ196:BJ252" si="72">IF(INDEX($AH195:$AV195,MATCH(BJ$2,$AH$1:$AV$1,0))="","",INDEX($AH195:$AV195,MATCH(BJ$2,$AH$1:$AV$1,0)))</f>
        <v/>
      </c>
      <c r="BK196" s="1" t="str">
        <f t="shared" ref="BK196:BK252" si="73">IF(INDEX($AH195:$AV195,MATCH(BK$2,$AH$1:$AV$1,0))="","",INDEX($AH195:$AV195,MATCH(BK$2,$AH$1:$AV$1,0)))</f>
        <v/>
      </c>
      <c r="BL196" s="1" t="str">
        <f t="shared" ref="BL196:BL252" si="74">IF(INDEX($AH195:$AV195,MATCH(BL$2,$AH$1:$AV$1,0))="","",INDEX($AH195:$AV195,MATCH(BL$2,$AH$1:$AV$1,0)))</f>
        <v/>
      </c>
      <c r="BM196" s="1" t="str">
        <f t="shared" ref="BM196:BM252" si="75">IF(INDEX($AH195:$AV195,MATCH(BM$2,$AH$1:$AV$1,0))="","",INDEX($AH195:$AV195,MATCH(BM$2,$AH$1:$AV$1,0)))</f>
        <v/>
      </c>
      <c r="BN196" s="1" t="str">
        <f t="shared" ref="BN196:BN252" si="76">IF(INDEX($AH195:$AV195,MATCH(BN$2,$AH$1:$AV$1,0))="","",INDEX($AH195:$AV195,MATCH(BN$2,$AH$1:$AV$1,0)))</f>
        <v/>
      </c>
      <c r="BO196" s="1" t="str">
        <f t="shared" ref="BO196:BO252" si="77">IF(INDEX($AH195:$AV195,MATCH(BO$2,$AH$1:$AV$1,0))="","",INDEX($AH195:$AV195,MATCH(BO$2,$AH$1:$AV$1,0)))</f>
        <v/>
      </c>
      <c r="BP196" s="1" t="str">
        <f t="shared" ref="BP196:BP252" si="78">IF(INDEX($AH195:$AV195,MATCH(BP$2,$AH$1:$AV$1,0))="","",INDEX($AH195:$AV195,MATCH(BP$2,$AH$1:$AV$1,0)))</f>
        <v/>
      </c>
      <c r="BQ196" s="1" t="str">
        <f t="shared" ref="BQ196:BQ252" si="79">IF(INDEX($AH195:$AV195,MATCH(BQ$2,$AH$1:$AV$1,0))="","",INDEX($AH195:$AV195,MATCH(BQ$2,$AH$1:$AV$1,0)))</f>
        <v/>
      </c>
      <c r="BR196" s="1" t="str">
        <f t="shared" ref="BR196:BR252" si="80">IF(INDEX($AH195:$AV195,MATCH(BR$2,$AH$1:$AV$1,0))="","",INDEX($AH195:$AV195,MATCH(BR$2,$AH$1:$AV$1,0)))</f>
        <v/>
      </c>
      <c r="BS196" s="1" t="str">
        <f t="shared" ref="BS196:BS252" si="81">IF(INDEX($AH195:$AV195,MATCH(BS$2,$AH$1:$AV$1,0))="","",INDEX($AH195:$AV195,MATCH(BS$2,$AH$1:$AV$1,0)))</f>
        <v/>
      </c>
      <c r="BT196" s="1"/>
    </row>
    <row r="197" spans="52:72" x14ac:dyDescent="0.25">
      <c r="AZ197" s="1" t="str">
        <f t="shared" si="62"/>
        <v/>
      </c>
      <c r="BA197" s="1" t="str">
        <f t="shared" si="63"/>
        <v/>
      </c>
      <c r="BB197" s="1" t="str">
        <f t="shared" si="64"/>
        <v/>
      </c>
      <c r="BC197" s="1" t="str">
        <f t="shared" si="65"/>
        <v/>
      </c>
      <c r="BD197" s="1" t="str">
        <f t="shared" si="66"/>
        <v/>
      </c>
      <c r="BE197" s="1" t="str">
        <f t="shared" si="67"/>
        <v/>
      </c>
      <c r="BF197" s="1" t="str">
        <f t="shared" si="68"/>
        <v/>
      </c>
      <c r="BG197" s="1" t="str">
        <f t="shared" si="69"/>
        <v/>
      </c>
      <c r="BH197" s="1" t="str">
        <f t="shared" si="70"/>
        <v/>
      </c>
      <c r="BI197" s="1" t="str">
        <f t="shared" si="71"/>
        <v/>
      </c>
      <c r="BJ197" s="1" t="str">
        <f t="shared" si="72"/>
        <v/>
      </c>
      <c r="BK197" s="1" t="str">
        <f t="shared" si="73"/>
        <v/>
      </c>
      <c r="BL197" s="1" t="str">
        <f t="shared" si="74"/>
        <v/>
      </c>
      <c r="BM197" s="1" t="str">
        <f t="shared" si="75"/>
        <v/>
      </c>
      <c r="BN197" s="1" t="str">
        <f t="shared" si="76"/>
        <v/>
      </c>
      <c r="BO197" s="1" t="str">
        <f t="shared" si="77"/>
        <v/>
      </c>
      <c r="BP197" s="1" t="str">
        <f t="shared" si="78"/>
        <v/>
      </c>
      <c r="BQ197" s="1" t="str">
        <f t="shared" si="79"/>
        <v/>
      </c>
      <c r="BR197" s="1" t="str">
        <f t="shared" si="80"/>
        <v/>
      </c>
      <c r="BS197" s="1" t="str">
        <f t="shared" si="81"/>
        <v/>
      </c>
      <c r="BT197" s="1"/>
    </row>
    <row r="198" spans="52:72" x14ac:dyDescent="0.25">
      <c r="AZ198" s="1" t="str">
        <f t="shared" si="62"/>
        <v/>
      </c>
      <c r="BA198" s="1" t="str">
        <f t="shared" si="63"/>
        <v/>
      </c>
      <c r="BB198" s="1" t="str">
        <f t="shared" si="64"/>
        <v/>
      </c>
      <c r="BC198" s="1" t="str">
        <f t="shared" si="65"/>
        <v/>
      </c>
      <c r="BD198" s="1" t="str">
        <f t="shared" si="66"/>
        <v/>
      </c>
      <c r="BE198" s="1" t="str">
        <f t="shared" si="67"/>
        <v/>
      </c>
      <c r="BF198" s="1" t="str">
        <f t="shared" si="68"/>
        <v/>
      </c>
      <c r="BG198" s="1" t="str">
        <f t="shared" si="69"/>
        <v/>
      </c>
      <c r="BH198" s="1" t="str">
        <f t="shared" si="70"/>
        <v/>
      </c>
      <c r="BI198" s="1" t="str">
        <f t="shared" si="71"/>
        <v/>
      </c>
      <c r="BJ198" s="1" t="str">
        <f t="shared" si="72"/>
        <v/>
      </c>
      <c r="BK198" s="1" t="str">
        <f t="shared" si="73"/>
        <v/>
      </c>
      <c r="BL198" s="1" t="str">
        <f t="shared" si="74"/>
        <v/>
      </c>
      <c r="BM198" s="1" t="str">
        <f t="shared" si="75"/>
        <v/>
      </c>
      <c r="BN198" s="1" t="str">
        <f t="shared" si="76"/>
        <v/>
      </c>
      <c r="BO198" s="1" t="str">
        <f t="shared" si="77"/>
        <v/>
      </c>
      <c r="BP198" s="1" t="str">
        <f t="shared" si="78"/>
        <v/>
      </c>
      <c r="BQ198" s="1" t="str">
        <f t="shared" si="79"/>
        <v/>
      </c>
      <c r="BR198" s="1" t="str">
        <f t="shared" si="80"/>
        <v/>
      </c>
      <c r="BS198" s="1" t="str">
        <f t="shared" si="81"/>
        <v/>
      </c>
      <c r="BT198" s="1"/>
    </row>
    <row r="199" spans="52:72" x14ac:dyDescent="0.25">
      <c r="AZ199" s="1" t="str">
        <f t="shared" si="62"/>
        <v/>
      </c>
      <c r="BA199" s="1" t="str">
        <f t="shared" si="63"/>
        <v/>
      </c>
      <c r="BB199" s="1" t="str">
        <f t="shared" si="64"/>
        <v/>
      </c>
      <c r="BC199" s="1" t="str">
        <f t="shared" si="65"/>
        <v/>
      </c>
      <c r="BD199" s="1" t="str">
        <f t="shared" si="66"/>
        <v/>
      </c>
      <c r="BE199" s="1" t="str">
        <f t="shared" si="67"/>
        <v/>
      </c>
      <c r="BF199" s="1" t="str">
        <f t="shared" si="68"/>
        <v/>
      </c>
      <c r="BG199" s="1" t="str">
        <f t="shared" si="69"/>
        <v/>
      </c>
      <c r="BH199" s="1" t="str">
        <f t="shared" si="70"/>
        <v/>
      </c>
      <c r="BI199" s="1" t="str">
        <f t="shared" si="71"/>
        <v/>
      </c>
      <c r="BJ199" s="1" t="str">
        <f t="shared" si="72"/>
        <v/>
      </c>
      <c r="BK199" s="1" t="str">
        <f t="shared" si="73"/>
        <v/>
      </c>
      <c r="BL199" s="1" t="str">
        <f t="shared" si="74"/>
        <v/>
      </c>
      <c r="BM199" s="1" t="str">
        <f t="shared" si="75"/>
        <v/>
      </c>
      <c r="BN199" s="1" t="str">
        <f t="shared" si="76"/>
        <v/>
      </c>
      <c r="BO199" s="1" t="str">
        <f t="shared" si="77"/>
        <v/>
      </c>
      <c r="BP199" s="1" t="str">
        <f t="shared" si="78"/>
        <v/>
      </c>
      <c r="BQ199" s="1" t="str">
        <f t="shared" si="79"/>
        <v/>
      </c>
      <c r="BR199" s="1" t="str">
        <f t="shared" si="80"/>
        <v/>
      </c>
      <c r="BS199" s="1" t="str">
        <f t="shared" si="81"/>
        <v/>
      </c>
      <c r="BT199" s="1"/>
    </row>
    <row r="200" spans="52:72" x14ac:dyDescent="0.25">
      <c r="AZ200" s="1" t="str">
        <f t="shared" si="62"/>
        <v/>
      </c>
      <c r="BA200" s="1" t="str">
        <f t="shared" si="63"/>
        <v/>
      </c>
      <c r="BB200" s="1" t="str">
        <f t="shared" si="64"/>
        <v/>
      </c>
      <c r="BC200" s="1" t="str">
        <f t="shared" si="65"/>
        <v/>
      </c>
      <c r="BD200" s="1" t="str">
        <f t="shared" si="66"/>
        <v/>
      </c>
      <c r="BE200" s="1" t="str">
        <f t="shared" si="67"/>
        <v/>
      </c>
      <c r="BF200" s="1" t="str">
        <f t="shared" si="68"/>
        <v/>
      </c>
      <c r="BG200" s="1" t="str">
        <f t="shared" si="69"/>
        <v/>
      </c>
      <c r="BH200" s="1" t="str">
        <f t="shared" si="70"/>
        <v/>
      </c>
      <c r="BI200" s="1" t="str">
        <f t="shared" si="71"/>
        <v/>
      </c>
      <c r="BJ200" s="1" t="str">
        <f t="shared" si="72"/>
        <v/>
      </c>
      <c r="BK200" s="1" t="str">
        <f t="shared" si="73"/>
        <v/>
      </c>
      <c r="BL200" s="1" t="str">
        <f t="shared" si="74"/>
        <v/>
      </c>
      <c r="BM200" s="1" t="str">
        <f t="shared" si="75"/>
        <v/>
      </c>
      <c r="BN200" s="1" t="str">
        <f t="shared" si="76"/>
        <v/>
      </c>
      <c r="BO200" s="1" t="str">
        <f t="shared" si="77"/>
        <v/>
      </c>
      <c r="BP200" s="1" t="str">
        <f t="shared" si="78"/>
        <v/>
      </c>
      <c r="BQ200" s="1" t="str">
        <f t="shared" si="79"/>
        <v/>
      </c>
      <c r="BR200" s="1" t="str">
        <f t="shared" si="80"/>
        <v/>
      </c>
      <c r="BS200" s="1" t="str">
        <f t="shared" si="81"/>
        <v/>
      </c>
      <c r="BT200" s="1"/>
    </row>
    <row r="201" spans="52:72" x14ac:dyDescent="0.25">
      <c r="AZ201" s="1" t="str">
        <f t="shared" si="62"/>
        <v/>
      </c>
      <c r="BA201" s="1" t="str">
        <f t="shared" si="63"/>
        <v/>
      </c>
      <c r="BB201" s="1" t="str">
        <f t="shared" si="64"/>
        <v/>
      </c>
      <c r="BC201" s="1" t="str">
        <f t="shared" si="65"/>
        <v/>
      </c>
      <c r="BD201" s="1" t="str">
        <f t="shared" si="66"/>
        <v/>
      </c>
      <c r="BE201" s="1" t="str">
        <f t="shared" si="67"/>
        <v/>
      </c>
      <c r="BF201" s="1" t="str">
        <f t="shared" si="68"/>
        <v/>
      </c>
      <c r="BG201" s="1" t="str">
        <f t="shared" si="69"/>
        <v/>
      </c>
      <c r="BH201" s="1" t="str">
        <f t="shared" si="70"/>
        <v/>
      </c>
      <c r="BI201" s="1" t="str">
        <f t="shared" si="71"/>
        <v/>
      </c>
      <c r="BJ201" s="1" t="str">
        <f t="shared" si="72"/>
        <v/>
      </c>
      <c r="BK201" s="1" t="str">
        <f t="shared" si="73"/>
        <v/>
      </c>
      <c r="BL201" s="1" t="str">
        <f t="shared" si="74"/>
        <v/>
      </c>
      <c r="BM201" s="1" t="str">
        <f t="shared" si="75"/>
        <v/>
      </c>
      <c r="BN201" s="1" t="str">
        <f t="shared" si="76"/>
        <v/>
      </c>
      <c r="BO201" s="1" t="str">
        <f t="shared" si="77"/>
        <v/>
      </c>
      <c r="BP201" s="1" t="str">
        <f t="shared" si="78"/>
        <v/>
      </c>
      <c r="BQ201" s="1" t="str">
        <f t="shared" si="79"/>
        <v/>
      </c>
      <c r="BR201" s="1" t="str">
        <f t="shared" si="80"/>
        <v/>
      </c>
      <c r="BS201" s="1" t="str">
        <f t="shared" si="81"/>
        <v/>
      </c>
      <c r="BT201" s="1"/>
    </row>
    <row r="202" spans="52:72" x14ac:dyDescent="0.25">
      <c r="AZ202" s="1" t="str">
        <f t="shared" si="62"/>
        <v/>
      </c>
      <c r="BA202" s="1" t="str">
        <f t="shared" si="63"/>
        <v/>
      </c>
      <c r="BB202" s="1" t="str">
        <f t="shared" si="64"/>
        <v/>
      </c>
      <c r="BC202" s="1" t="str">
        <f t="shared" si="65"/>
        <v/>
      </c>
      <c r="BD202" s="1" t="str">
        <f t="shared" si="66"/>
        <v/>
      </c>
      <c r="BE202" s="1" t="str">
        <f t="shared" si="67"/>
        <v/>
      </c>
      <c r="BF202" s="1" t="str">
        <f t="shared" si="68"/>
        <v/>
      </c>
      <c r="BG202" s="1" t="str">
        <f t="shared" si="69"/>
        <v/>
      </c>
      <c r="BH202" s="1" t="str">
        <f t="shared" si="70"/>
        <v/>
      </c>
      <c r="BI202" s="1" t="str">
        <f t="shared" si="71"/>
        <v/>
      </c>
      <c r="BJ202" s="1" t="str">
        <f t="shared" si="72"/>
        <v/>
      </c>
      <c r="BK202" s="1" t="str">
        <f t="shared" si="73"/>
        <v/>
      </c>
      <c r="BL202" s="1" t="str">
        <f t="shared" si="74"/>
        <v/>
      </c>
      <c r="BM202" s="1" t="str">
        <f t="shared" si="75"/>
        <v/>
      </c>
      <c r="BN202" s="1" t="str">
        <f t="shared" si="76"/>
        <v/>
      </c>
      <c r="BO202" s="1" t="str">
        <f t="shared" si="77"/>
        <v/>
      </c>
      <c r="BP202" s="1" t="str">
        <f t="shared" si="78"/>
        <v/>
      </c>
      <c r="BQ202" s="1" t="str">
        <f t="shared" si="79"/>
        <v/>
      </c>
      <c r="BR202" s="1" t="str">
        <f t="shared" si="80"/>
        <v/>
      </c>
      <c r="BS202" s="1" t="str">
        <f t="shared" si="81"/>
        <v/>
      </c>
      <c r="BT202" s="1"/>
    </row>
    <row r="203" spans="52:72" x14ac:dyDescent="0.25">
      <c r="AZ203" s="1" t="str">
        <f t="shared" si="62"/>
        <v/>
      </c>
      <c r="BA203" s="1" t="str">
        <f t="shared" si="63"/>
        <v/>
      </c>
      <c r="BB203" s="1" t="str">
        <f t="shared" si="64"/>
        <v/>
      </c>
      <c r="BC203" s="1" t="str">
        <f t="shared" si="65"/>
        <v/>
      </c>
      <c r="BD203" s="1" t="str">
        <f t="shared" si="66"/>
        <v/>
      </c>
      <c r="BE203" s="1" t="str">
        <f t="shared" si="67"/>
        <v/>
      </c>
      <c r="BF203" s="1" t="str">
        <f t="shared" si="68"/>
        <v/>
      </c>
      <c r="BG203" s="1" t="str">
        <f t="shared" si="69"/>
        <v/>
      </c>
      <c r="BH203" s="1" t="str">
        <f t="shared" si="70"/>
        <v/>
      </c>
      <c r="BI203" s="1" t="str">
        <f t="shared" si="71"/>
        <v/>
      </c>
      <c r="BJ203" s="1" t="str">
        <f t="shared" si="72"/>
        <v/>
      </c>
      <c r="BK203" s="1" t="str">
        <f t="shared" si="73"/>
        <v/>
      </c>
      <c r="BL203" s="1" t="str">
        <f t="shared" si="74"/>
        <v/>
      </c>
      <c r="BM203" s="1" t="str">
        <f t="shared" si="75"/>
        <v/>
      </c>
      <c r="BN203" s="1" t="str">
        <f t="shared" si="76"/>
        <v/>
      </c>
      <c r="BO203" s="1" t="str">
        <f t="shared" si="77"/>
        <v/>
      </c>
      <c r="BP203" s="1" t="str">
        <f t="shared" si="78"/>
        <v/>
      </c>
      <c r="BQ203" s="1" t="str">
        <f t="shared" si="79"/>
        <v/>
      </c>
      <c r="BR203" s="1" t="str">
        <f t="shared" si="80"/>
        <v/>
      </c>
      <c r="BS203" s="1" t="str">
        <f t="shared" si="81"/>
        <v/>
      </c>
      <c r="BT203" s="1"/>
    </row>
    <row r="204" spans="52:72" x14ac:dyDescent="0.25">
      <c r="AZ204" s="1" t="str">
        <f t="shared" si="62"/>
        <v/>
      </c>
      <c r="BA204" s="1" t="str">
        <f t="shared" si="63"/>
        <v/>
      </c>
      <c r="BB204" s="1" t="str">
        <f t="shared" si="64"/>
        <v/>
      </c>
      <c r="BC204" s="1" t="str">
        <f t="shared" si="65"/>
        <v/>
      </c>
      <c r="BD204" s="1" t="str">
        <f t="shared" si="66"/>
        <v/>
      </c>
      <c r="BE204" s="1" t="str">
        <f t="shared" si="67"/>
        <v/>
      </c>
      <c r="BF204" s="1" t="str">
        <f t="shared" si="68"/>
        <v/>
      </c>
      <c r="BG204" s="1" t="str">
        <f t="shared" si="69"/>
        <v/>
      </c>
      <c r="BH204" s="1" t="str">
        <f t="shared" si="70"/>
        <v/>
      </c>
      <c r="BI204" s="1" t="str">
        <f t="shared" si="71"/>
        <v/>
      </c>
      <c r="BJ204" s="1" t="str">
        <f t="shared" si="72"/>
        <v/>
      </c>
      <c r="BK204" s="1" t="str">
        <f t="shared" si="73"/>
        <v/>
      </c>
      <c r="BL204" s="1" t="str">
        <f t="shared" si="74"/>
        <v/>
      </c>
      <c r="BM204" s="1" t="str">
        <f t="shared" si="75"/>
        <v/>
      </c>
      <c r="BN204" s="1" t="str">
        <f t="shared" si="76"/>
        <v/>
      </c>
      <c r="BO204" s="1" t="str">
        <f t="shared" si="77"/>
        <v/>
      </c>
      <c r="BP204" s="1" t="str">
        <f t="shared" si="78"/>
        <v/>
      </c>
      <c r="BQ204" s="1" t="str">
        <f t="shared" si="79"/>
        <v/>
      </c>
      <c r="BR204" s="1" t="str">
        <f t="shared" si="80"/>
        <v/>
      </c>
      <c r="BS204" s="1" t="str">
        <f t="shared" si="81"/>
        <v/>
      </c>
      <c r="BT204" s="1"/>
    </row>
    <row r="205" spans="52:72" x14ac:dyDescent="0.25">
      <c r="AZ205" s="1" t="str">
        <f t="shared" si="62"/>
        <v/>
      </c>
      <c r="BA205" s="1" t="str">
        <f t="shared" si="63"/>
        <v/>
      </c>
      <c r="BB205" s="1" t="str">
        <f t="shared" si="64"/>
        <v/>
      </c>
      <c r="BC205" s="1" t="str">
        <f t="shared" si="65"/>
        <v/>
      </c>
      <c r="BD205" s="1" t="str">
        <f t="shared" si="66"/>
        <v/>
      </c>
      <c r="BE205" s="1" t="str">
        <f t="shared" si="67"/>
        <v/>
      </c>
      <c r="BF205" s="1" t="str">
        <f t="shared" si="68"/>
        <v/>
      </c>
      <c r="BG205" s="1" t="str">
        <f t="shared" si="69"/>
        <v/>
      </c>
      <c r="BH205" s="1" t="str">
        <f t="shared" si="70"/>
        <v/>
      </c>
      <c r="BI205" s="1" t="str">
        <f t="shared" si="71"/>
        <v/>
      </c>
      <c r="BJ205" s="1" t="str">
        <f t="shared" si="72"/>
        <v/>
      </c>
      <c r="BK205" s="1" t="str">
        <f t="shared" si="73"/>
        <v/>
      </c>
      <c r="BL205" s="1" t="str">
        <f t="shared" si="74"/>
        <v/>
      </c>
      <c r="BM205" s="1" t="str">
        <f t="shared" si="75"/>
        <v/>
      </c>
      <c r="BN205" s="1" t="str">
        <f t="shared" si="76"/>
        <v/>
      </c>
      <c r="BO205" s="1" t="str">
        <f t="shared" si="77"/>
        <v/>
      </c>
      <c r="BP205" s="1" t="str">
        <f t="shared" si="78"/>
        <v/>
      </c>
      <c r="BQ205" s="1" t="str">
        <f t="shared" si="79"/>
        <v/>
      </c>
      <c r="BR205" s="1" t="str">
        <f t="shared" si="80"/>
        <v/>
      </c>
      <c r="BS205" s="1" t="str">
        <f t="shared" si="81"/>
        <v/>
      </c>
      <c r="BT205" s="1"/>
    </row>
    <row r="206" spans="52:72" x14ac:dyDescent="0.25">
      <c r="AZ206" s="1" t="str">
        <f t="shared" si="62"/>
        <v/>
      </c>
      <c r="BA206" s="1" t="str">
        <f t="shared" si="63"/>
        <v/>
      </c>
      <c r="BB206" s="1" t="str">
        <f t="shared" si="64"/>
        <v/>
      </c>
      <c r="BC206" s="1" t="str">
        <f t="shared" si="65"/>
        <v/>
      </c>
      <c r="BD206" s="1" t="str">
        <f t="shared" si="66"/>
        <v/>
      </c>
      <c r="BE206" s="1" t="str">
        <f t="shared" si="67"/>
        <v/>
      </c>
      <c r="BF206" s="1" t="str">
        <f t="shared" si="68"/>
        <v/>
      </c>
      <c r="BG206" s="1" t="str">
        <f t="shared" si="69"/>
        <v/>
      </c>
      <c r="BH206" s="1" t="str">
        <f t="shared" si="70"/>
        <v/>
      </c>
      <c r="BI206" s="1" t="str">
        <f t="shared" si="71"/>
        <v/>
      </c>
      <c r="BJ206" s="1" t="str">
        <f t="shared" si="72"/>
        <v/>
      </c>
      <c r="BK206" s="1" t="str">
        <f t="shared" si="73"/>
        <v/>
      </c>
      <c r="BL206" s="1" t="str">
        <f t="shared" si="74"/>
        <v/>
      </c>
      <c r="BM206" s="1" t="str">
        <f t="shared" si="75"/>
        <v/>
      </c>
      <c r="BN206" s="1" t="str">
        <f t="shared" si="76"/>
        <v/>
      </c>
      <c r="BO206" s="1" t="str">
        <f t="shared" si="77"/>
        <v/>
      </c>
      <c r="BP206" s="1" t="str">
        <f t="shared" si="78"/>
        <v/>
      </c>
      <c r="BQ206" s="1" t="str">
        <f t="shared" si="79"/>
        <v/>
      </c>
      <c r="BR206" s="1" t="str">
        <f t="shared" si="80"/>
        <v/>
      </c>
      <c r="BS206" s="1" t="str">
        <f t="shared" si="81"/>
        <v/>
      </c>
      <c r="BT206" s="1"/>
    </row>
    <row r="207" spans="52:72" x14ac:dyDescent="0.25">
      <c r="AZ207" s="1" t="str">
        <f t="shared" si="62"/>
        <v/>
      </c>
      <c r="BA207" s="1" t="str">
        <f t="shared" si="63"/>
        <v/>
      </c>
      <c r="BB207" s="1" t="str">
        <f t="shared" si="64"/>
        <v/>
      </c>
      <c r="BC207" s="1" t="str">
        <f t="shared" si="65"/>
        <v/>
      </c>
      <c r="BD207" s="1" t="str">
        <f t="shared" si="66"/>
        <v/>
      </c>
      <c r="BE207" s="1" t="str">
        <f t="shared" si="67"/>
        <v/>
      </c>
      <c r="BF207" s="1" t="str">
        <f t="shared" si="68"/>
        <v/>
      </c>
      <c r="BG207" s="1" t="str">
        <f t="shared" si="69"/>
        <v/>
      </c>
      <c r="BH207" s="1" t="str">
        <f t="shared" si="70"/>
        <v/>
      </c>
      <c r="BI207" s="1" t="str">
        <f t="shared" si="71"/>
        <v/>
      </c>
      <c r="BJ207" s="1" t="str">
        <f t="shared" si="72"/>
        <v/>
      </c>
      <c r="BK207" s="1" t="str">
        <f t="shared" si="73"/>
        <v/>
      </c>
      <c r="BL207" s="1" t="str">
        <f t="shared" si="74"/>
        <v/>
      </c>
      <c r="BM207" s="1" t="str">
        <f t="shared" si="75"/>
        <v/>
      </c>
      <c r="BN207" s="1" t="str">
        <f t="shared" si="76"/>
        <v/>
      </c>
      <c r="BO207" s="1" t="str">
        <f t="shared" si="77"/>
        <v/>
      </c>
      <c r="BP207" s="1" t="str">
        <f t="shared" si="78"/>
        <v/>
      </c>
      <c r="BQ207" s="1" t="str">
        <f t="shared" si="79"/>
        <v/>
      </c>
      <c r="BR207" s="1" t="str">
        <f t="shared" si="80"/>
        <v/>
      </c>
      <c r="BS207" s="1" t="str">
        <f t="shared" si="81"/>
        <v/>
      </c>
      <c r="BT207" s="1"/>
    </row>
    <row r="208" spans="52:72" x14ac:dyDescent="0.25">
      <c r="AZ208" s="1" t="str">
        <f t="shared" si="62"/>
        <v/>
      </c>
      <c r="BA208" s="1" t="str">
        <f t="shared" si="63"/>
        <v/>
      </c>
      <c r="BB208" s="1" t="str">
        <f t="shared" si="64"/>
        <v/>
      </c>
      <c r="BC208" s="1" t="str">
        <f t="shared" si="65"/>
        <v/>
      </c>
      <c r="BD208" s="1" t="str">
        <f t="shared" si="66"/>
        <v/>
      </c>
      <c r="BE208" s="1" t="str">
        <f t="shared" si="67"/>
        <v/>
      </c>
      <c r="BF208" s="1" t="str">
        <f t="shared" si="68"/>
        <v/>
      </c>
      <c r="BG208" s="1" t="str">
        <f t="shared" si="69"/>
        <v/>
      </c>
      <c r="BH208" s="1" t="str">
        <f t="shared" si="70"/>
        <v/>
      </c>
      <c r="BI208" s="1" t="str">
        <f t="shared" si="71"/>
        <v/>
      </c>
      <c r="BJ208" s="1" t="str">
        <f t="shared" si="72"/>
        <v/>
      </c>
      <c r="BK208" s="1" t="str">
        <f t="shared" si="73"/>
        <v/>
      </c>
      <c r="BL208" s="1" t="str">
        <f t="shared" si="74"/>
        <v/>
      </c>
      <c r="BM208" s="1" t="str">
        <f t="shared" si="75"/>
        <v/>
      </c>
      <c r="BN208" s="1" t="str">
        <f t="shared" si="76"/>
        <v/>
      </c>
      <c r="BO208" s="1" t="str">
        <f t="shared" si="77"/>
        <v/>
      </c>
      <c r="BP208" s="1" t="str">
        <f t="shared" si="78"/>
        <v/>
      </c>
      <c r="BQ208" s="1" t="str">
        <f t="shared" si="79"/>
        <v/>
      </c>
      <c r="BR208" s="1" t="str">
        <f t="shared" si="80"/>
        <v/>
      </c>
      <c r="BS208" s="1" t="str">
        <f t="shared" si="81"/>
        <v/>
      </c>
      <c r="BT208" s="1"/>
    </row>
    <row r="209" spans="52:72" x14ac:dyDescent="0.25">
      <c r="AZ209" s="1" t="str">
        <f t="shared" si="62"/>
        <v/>
      </c>
      <c r="BA209" s="1" t="str">
        <f t="shared" si="63"/>
        <v/>
      </c>
      <c r="BB209" s="1" t="str">
        <f t="shared" si="64"/>
        <v/>
      </c>
      <c r="BC209" s="1" t="str">
        <f t="shared" si="65"/>
        <v/>
      </c>
      <c r="BD209" s="1" t="str">
        <f t="shared" si="66"/>
        <v/>
      </c>
      <c r="BE209" s="1" t="str">
        <f t="shared" si="67"/>
        <v/>
      </c>
      <c r="BF209" s="1" t="str">
        <f t="shared" si="68"/>
        <v/>
      </c>
      <c r="BG209" s="1" t="str">
        <f t="shared" si="69"/>
        <v/>
      </c>
      <c r="BH209" s="1" t="str">
        <f t="shared" si="70"/>
        <v/>
      </c>
      <c r="BI209" s="1" t="str">
        <f t="shared" si="71"/>
        <v/>
      </c>
      <c r="BJ209" s="1" t="str">
        <f t="shared" si="72"/>
        <v/>
      </c>
      <c r="BK209" s="1" t="str">
        <f t="shared" si="73"/>
        <v/>
      </c>
      <c r="BL209" s="1" t="str">
        <f t="shared" si="74"/>
        <v/>
      </c>
      <c r="BM209" s="1" t="str">
        <f t="shared" si="75"/>
        <v/>
      </c>
      <c r="BN209" s="1" t="str">
        <f t="shared" si="76"/>
        <v/>
      </c>
      <c r="BO209" s="1" t="str">
        <f t="shared" si="77"/>
        <v/>
      </c>
      <c r="BP209" s="1" t="str">
        <f t="shared" si="78"/>
        <v/>
      </c>
      <c r="BQ209" s="1" t="str">
        <f t="shared" si="79"/>
        <v/>
      </c>
      <c r="BR209" s="1" t="str">
        <f t="shared" si="80"/>
        <v/>
      </c>
      <c r="BS209" s="1" t="str">
        <f t="shared" si="81"/>
        <v/>
      </c>
      <c r="BT209" s="1"/>
    </row>
    <row r="210" spans="52:72" x14ac:dyDescent="0.25">
      <c r="AZ210" s="1" t="str">
        <f t="shared" si="62"/>
        <v/>
      </c>
      <c r="BA210" s="1" t="str">
        <f t="shared" si="63"/>
        <v/>
      </c>
      <c r="BB210" s="1" t="str">
        <f t="shared" si="64"/>
        <v/>
      </c>
      <c r="BC210" s="1" t="str">
        <f t="shared" si="65"/>
        <v/>
      </c>
      <c r="BD210" s="1" t="str">
        <f t="shared" si="66"/>
        <v/>
      </c>
      <c r="BE210" s="1" t="str">
        <f t="shared" si="67"/>
        <v/>
      </c>
      <c r="BF210" s="1" t="str">
        <f t="shared" si="68"/>
        <v/>
      </c>
      <c r="BG210" s="1" t="str">
        <f t="shared" si="69"/>
        <v/>
      </c>
      <c r="BH210" s="1" t="str">
        <f t="shared" si="70"/>
        <v/>
      </c>
      <c r="BI210" s="1" t="str">
        <f t="shared" si="71"/>
        <v/>
      </c>
      <c r="BJ210" s="1" t="str">
        <f t="shared" si="72"/>
        <v/>
      </c>
      <c r="BK210" s="1" t="str">
        <f t="shared" si="73"/>
        <v/>
      </c>
      <c r="BL210" s="1" t="str">
        <f t="shared" si="74"/>
        <v/>
      </c>
      <c r="BM210" s="1" t="str">
        <f t="shared" si="75"/>
        <v/>
      </c>
      <c r="BN210" s="1" t="str">
        <f t="shared" si="76"/>
        <v/>
      </c>
      <c r="BO210" s="1" t="str">
        <f t="shared" si="77"/>
        <v/>
      </c>
      <c r="BP210" s="1" t="str">
        <f t="shared" si="78"/>
        <v/>
      </c>
      <c r="BQ210" s="1" t="str">
        <f t="shared" si="79"/>
        <v/>
      </c>
      <c r="BR210" s="1" t="str">
        <f t="shared" si="80"/>
        <v/>
      </c>
      <c r="BS210" s="1" t="str">
        <f t="shared" si="81"/>
        <v/>
      </c>
      <c r="BT210" s="1"/>
    </row>
    <row r="211" spans="52:72" x14ac:dyDescent="0.25">
      <c r="AZ211" s="1" t="str">
        <f t="shared" si="62"/>
        <v/>
      </c>
      <c r="BA211" s="1" t="str">
        <f t="shared" si="63"/>
        <v/>
      </c>
      <c r="BB211" s="1" t="str">
        <f t="shared" si="64"/>
        <v/>
      </c>
      <c r="BC211" s="1" t="str">
        <f t="shared" si="65"/>
        <v/>
      </c>
      <c r="BD211" s="1" t="str">
        <f t="shared" si="66"/>
        <v/>
      </c>
      <c r="BE211" s="1" t="str">
        <f t="shared" si="67"/>
        <v/>
      </c>
      <c r="BF211" s="1" t="str">
        <f t="shared" si="68"/>
        <v/>
      </c>
      <c r="BG211" s="1" t="str">
        <f t="shared" si="69"/>
        <v/>
      </c>
      <c r="BH211" s="1" t="str">
        <f t="shared" si="70"/>
        <v/>
      </c>
      <c r="BI211" s="1" t="str">
        <f t="shared" si="71"/>
        <v/>
      </c>
      <c r="BJ211" s="1" t="str">
        <f t="shared" si="72"/>
        <v/>
      </c>
      <c r="BK211" s="1" t="str">
        <f t="shared" si="73"/>
        <v/>
      </c>
      <c r="BL211" s="1" t="str">
        <f t="shared" si="74"/>
        <v/>
      </c>
      <c r="BM211" s="1" t="str">
        <f t="shared" si="75"/>
        <v/>
      </c>
      <c r="BN211" s="1" t="str">
        <f t="shared" si="76"/>
        <v/>
      </c>
      <c r="BO211" s="1" t="str">
        <f t="shared" si="77"/>
        <v/>
      </c>
      <c r="BP211" s="1" t="str">
        <f t="shared" si="78"/>
        <v/>
      </c>
      <c r="BQ211" s="1" t="str">
        <f t="shared" si="79"/>
        <v/>
      </c>
      <c r="BR211" s="1" t="str">
        <f t="shared" si="80"/>
        <v/>
      </c>
      <c r="BS211" s="1" t="str">
        <f t="shared" si="81"/>
        <v/>
      </c>
      <c r="BT211" s="1"/>
    </row>
    <row r="212" spans="52:72" x14ac:dyDescent="0.25">
      <c r="AZ212" s="1" t="str">
        <f t="shared" si="62"/>
        <v/>
      </c>
      <c r="BA212" s="1" t="str">
        <f t="shared" si="63"/>
        <v/>
      </c>
      <c r="BB212" s="1" t="str">
        <f t="shared" si="64"/>
        <v/>
      </c>
      <c r="BC212" s="1" t="str">
        <f t="shared" si="65"/>
        <v/>
      </c>
      <c r="BD212" s="1" t="str">
        <f t="shared" si="66"/>
        <v/>
      </c>
      <c r="BE212" s="1" t="str">
        <f t="shared" si="67"/>
        <v/>
      </c>
      <c r="BF212" s="1" t="str">
        <f t="shared" si="68"/>
        <v/>
      </c>
      <c r="BG212" s="1" t="str">
        <f t="shared" si="69"/>
        <v/>
      </c>
      <c r="BH212" s="1" t="str">
        <f t="shared" si="70"/>
        <v/>
      </c>
      <c r="BI212" s="1" t="str">
        <f t="shared" si="71"/>
        <v/>
      </c>
      <c r="BJ212" s="1" t="str">
        <f t="shared" si="72"/>
        <v/>
      </c>
      <c r="BK212" s="1" t="str">
        <f t="shared" si="73"/>
        <v/>
      </c>
      <c r="BL212" s="1" t="str">
        <f t="shared" si="74"/>
        <v/>
      </c>
      <c r="BM212" s="1" t="str">
        <f t="shared" si="75"/>
        <v/>
      </c>
      <c r="BN212" s="1" t="str">
        <f t="shared" si="76"/>
        <v/>
      </c>
      <c r="BO212" s="1" t="str">
        <f t="shared" si="77"/>
        <v/>
      </c>
      <c r="BP212" s="1" t="str">
        <f t="shared" si="78"/>
        <v/>
      </c>
      <c r="BQ212" s="1" t="str">
        <f t="shared" si="79"/>
        <v/>
      </c>
      <c r="BR212" s="1" t="str">
        <f t="shared" si="80"/>
        <v/>
      </c>
      <c r="BS212" s="1" t="str">
        <f t="shared" si="81"/>
        <v/>
      </c>
      <c r="BT212" s="1"/>
    </row>
    <row r="213" spans="52:72" x14ac:dyDescent="0.25">
      <c r="AZ213" s="1" t="str">
        <f t="shared" si="62"/>
        <v/>
      </c>
      <c r="BA213" s="1" t="str">
        <f t="shared" si="63"/>
        <v/>
      </c>
      <c r="BB213" s="1" t="str">
        <f t="shared" si="64"/>
        <v/>
      </c>
      <c r="BC213" s="1" t="str">
        <f t="shared" si="65"/>
        <v/>
      </c>
      <c r="BD213" s="1" t="str">
        <f t="shared" si="66"/>
        <v/>
      </c>
      <c r="BE213" s="1" t="str">
        <f t="shared" si="67"/>
        <v/>
      </c>
      <c r="BF213" s="1" t="str">
        <f t="shared" si="68"/>
        <v/>
      </c>
      <c r="BG213" s="1" t="str">
        <f t="shared" si="69"/>
        <v/>
      </c>
      <c r="BH213" s="1" t="str">
        <f t="shared" si="70"/>
        <v/>
      </c>
      <c r="BI213" s="1" t="str">
        <f t="shared" si="71"/>
        <v/>
      </c>
      <c r="BJ213" s="1" t="str">
        <f t="shared" si="72"/>
        <v/>
      </c>
      <c r="BK213" s="1" t="str">
        <f t="shared" si="73"/>
        <v/>
      </c>
      <c r="BL213" s="1" t="str">
        <f t="shared" si="74"/>
        <v/>
      </c>
      <c r="BM213" s="1" t="str">
        <f t="shared" si="75"/>
        <v/>
      </c>
      <c r="BN213" s="1" t="str">
        <f t="shared" si="76"/>
        <v/>
      </c>
      <c r="BO213" s="1" t="str">
        <f t="shared" si="77"/>
        <v/>
      </c>
      <c r="BP213" s="1" t="str">
        <f t="shared" si="78"/>
        <v/>
      </c>
      <c r="BQ213" s="1" t="str">
        <f t="shared" si="79"/>
        <v/>
      </c>
      <c r="BR213" s="1" t="str">
        <f t="shared" si="80"/>
        <v/>
      </c>
      <c r="BS213" s="1" t="str">
        <f t="shared" si="81"/>
        <v/>
      </c>
      <c r="BT213" s="1"/>
    </row>
    <row r="214" spans="52:72" x14ac:dyDescent="0.25">
      <c r="AZ214" s="1" t="str">
        <f t="shared" si="62"/>
        <v/>
      </c>
      <c r="BA214" s="1" t="str">
        <f t="shared" si="63"/>
        <v/>
      </c>
      <c r="BB214" s="1" t="str">
        <f t="shared" si="64"/>
        <v/>
      </c>
      <c r="BC214" s="1" t="str">
        <f t="shared" si="65"/>
        <v/>
      </c>
      <c r="BD214" s="1" t="str">
        <f t="shared" si="66"/>
        <v/>
      </c>
      <c r="BE214" s="1" t="str">
        <f t="shared" si="67"/>
        <v/>
      </c>
      <c r="BF214" s="1" t="str">
        <f t="shared" si="68"/>
        <v/>
      </c>
      <c r="BG214" s="1" t="str">
        <f t="shared" si="69"/>
        <v/>
      </c>
      <c r="BH214" s="1" t="str">
        <f t="shared" si="70"/>
        <v/>
      </c>
      <c r="BI214" s="1" t="str">
        <f t="shared" si="71"/>
        <v/>
      </c>
      <c r="BJ214" s="1" t="str">
        <f t="shared" si="72"/>
        <v/>
      </c>
      <c r="BK214" s="1" t="str">
        <f t="shared" si="73"/>
        <v/>
      </c>
      <c r="BL214" s="1" t="str">
        <f t="shared" si="74"/>
        <v/>
      </c>
      <c r="BM214" s="1" t="str">
        <f t="shared" si="75"/>
        <v/>
      </c>
      <c r="BN214" s="1" t="str">
        <f t="shared" si="76"/>
        <v/>
      </c>
      <c r="BO214" s="1" t="str">
        <f t="shared" si="77"/>
        <v/>
      </c>
      <c r="BP214" s="1" t="str">
        <f t="shared" si="78"/>
        <v/>
      </c>
      <c r="BQ214" s="1" t="str">
        <f t="shared" si="79"/>
        <v/>
      </c>
      <c r="BR214" s="1" t="str">
        <f t="shared" si="80"/>
        <v/>
      </c>
      <c r="BS214" s="1" t="str">
        <f t="shared" si="81"/>
        <v/>
      </c>
      <c r="BT214" s="1"/>
    </row>
    <row r="215" spans="52:72" x14ac:dyDescent="0.25">
      <c r="AZ215" s="1" t="str">
        <f t="shared" si="62"/>
        <v/>
      </c>
      <c r="BA215" s="1" t="str">
        <f t="shared" si="63"/>
        <v/>
      </c>
      <c r="BB215" s="1" t="str">
        <f t="shared" si="64"/>
        <v/>
      </c>
      <c r="BC215" s="1" t="str">
        <f t="shared" si="65"/>
        <v/>
      </c>
      <c r="BD215" s="1" t="str">
        <f t="shared" si="66"/>
        <v/>
      </c>
      <c r="BE215" s="1" t="str">
        <f t="shared" si="67"/>
        <v/>
      </c>
      <c r="BF215" s="1" t="str">
        <f t="shared" si="68"/>
        <v/>
      </c>
      <c r="BG215" s="1" t="str">
        <f t="shared" si="69"/>
        <v/>
      </c>
      <c r="BH215" s="1" t="str">
        <f t="shared" si="70"/>
        <v/>
      </c>
      <c r="BI215" s="1" t="str">
        <f t="shared" si="71"/>
        <v/>
      </c>
      <c r="BJ215" s="1" t="str">
        <f t="shared" si="72"/>
        <v/>
      </c>
      <c r="BK215" s="1" t="str">
        <f t="shared" si="73"/>
        <v/>
      </c>
      <c r="BL215" s="1" t="str">
        <f t="shared" si="74"/>
        <v/>
      </c>
      <c r="BM215" s="1" t="str">
        <f t="shared" si="75"/>
        <v/>
      </c>
      <c r="BN215" s="1" t="str">
        <f t="shared" si="76"/>
        <v/>
      </c>
      <c r="BO215" s="1" t="str">
        <f t="shared" si="77"/>
        <v/>
      </c>
      <c r="BP215" s="1" t="str">
        <f t="shared" si="78"/>
        <v/>
      </c>
      <c r="BQ215" s="1" t="str">
        <f t="shared" si="79"/>
        <v/>
      </c>
      <c r="BR215" s="1" t="str">
        <f t="shared" si="80"/>
        <v/>
      </c>
      <c r="BS215" s="1" t="str">
        <f t="shared" si="81"/>
        <v/>
      </c>
      <c r="BT215" s="1"/>
    </row>
    <row r="216" spans="52:72" x14ac:dyDescent="0.25">
      <c r="AZ216" s="1" t="str">
        <f t="shared" si="62"/>
        <v/>
      </c>
      <c r="BA216" s="1" t="str">
        <f t="shared" si="63"/>
        <v/>
      </c>
      <c r="BB216" s="1" t="str">
        <f t="shared" si="64"/>
        <v/>
      </c>
      <c r="BC216" s="1" t="str">
        <f t="shared" si="65"/>
        <v/>
      </c>
      <c r="BD216" s="1" t="str">
        <f t="shared" si="66"/>
        <v/>
      </c>
      <c r="BE216" s="1" t="str">
        <f t="shared" si="67"/>
        <v/>
      </c>
      <c r="BF216" s="1" t="str">
        <f t="shared" si="68"/>
        <v/>
      </c>
      <c r="BG216" s="1" t="str">
        <f t="shared" si="69"/>
        <v/>
      </c>
      <c r="BH216" s="1" t="str">
        <f t="shared" si="70"/>
        <v/>
      </c>
      <c r="BI216" s="1" t="str">
        <f t="shared" si="71"/>
        <v/>
      </c>
      <c r="BJ216" s="1" t="str">
        <f t="shared" si="72"/>
        <v/>
      </c>
      <c r="BK216" s="1" t="str">
        <f t="shared" si="73"/>
        <v/>
      </c>
      <c r="BL216" s="1" t="str">
        <f t="shared" si="74"/>
        <v/>
      </c>
      <c r="BM216" s="1" t="str">
        <f t="shared" si="75"/>
        <v/>
      </c>
      <c r="BN216" s="1" t="str">
        <f t="shared" si="76"/>
        <v/>
      </c>
      <c r="BO216" s="1" t="str">
        <f t="shared" si="77"/>
        <v/>
      </c>
      <c r="BP216" s="1" t="str">
        <f t="shared" si="78"/>
        <v/>
      </c>
      <c r="BQ216" s="1" t="str">
        <f t="shared" si="79"/>
        <v/>
      </c>
      <c r="BR216" s="1" t="str">
        <f t="shared" si="80"/>
        <v/>
      </c>
      <c r="BS216" s="1" t="str">
        <f t="shared" si="81"/>
        <v/>
      </c>
      <c r="BT216" s="1"/>
    </row>
    <row r="217" spans="52:72" x14ac:dyDescent="0.25">
      <c r="AZ217" s="1" t="str">
        <f t="shared" si="62"/>
        <v/>
      </c>
      <c r="BA217" s="1" t="str">
        <f t="shared" si="63"/>
        <v/>
      </c>
      <c r="BB217" s="1" t="str">
        <f t="shared" si="64"/>
        <v/>
      </c>
      <c r="BC217" s="1" t="str">
        <f t="shared" si="65"/>
        <v/>
      </c>
      <c r="BD217" s="1" t="str">
        <f t="shared" si="66"/>
        <v/>
      </c>
      <c r="BE217" s="1" t="str">
        <f t="shared" si="67"/>
        <v/>
      </c>
      <c r="BF217" s="1" t="str">
        <f t="shared" si="68"/>
        <v/>
      </c>
      <c r="BG217" s="1" t="str">
        <f t="shared" si="69"/>
        <v/>
      </c>
      <c r="BH217" s="1" t="str">
        <f t="shared" si="70"/>
        <v/>
      </c>
      <c r="BI217" s="1" t="str">
        <f t="shared" si="71"/>
        <v/>
      </c>
      <c r="BJ217" s="1" t="str">
        <f t="shared" si="72"/>
        <v/>
      </c>
      <c r="BK217" s="1" t="str">
        <f t="shared" si="73"/>
        <v/>
      </c>
      <c r="BL217" s="1" t="str">
        <f t="shared" si="74"/>
        <v/>
      </c>
      <c r="BM217" s="1" t="str">
        <f t="shared" si="75"/>
        <v/>
      </c>
      <c r="BN217" s="1" t="str">
        <f t="shared" si="76"/>
        <v/>
      </c>
      <c r="BO217" s="1" t="str">
        <f t="shared" si="77"/>
        <v/>
      </c>
      <c r="BP217" s="1" t="str">
        <f t="shared" si="78"/>
        <v/>
      </c>
      <c r="BQ217" s="1" t="str">
        <f t="shared" si="79"/>
        <v/>
      </c>
      <c r="BR217" s="1" t="str">
        <f t="shared" si="80"/>
        <v/>
      </c>
      <c r="BS217" s="1" t="str">
        <f t="shared" si="81"/>
        <v/>
      </c>
      <c r="BT217" s="1"/>
    </row>
    <row r="218" spans="52:72" x14ac:dyDescent="0.25">
      <c r="AZ218" s="1" t="str">
        <f t="shared" si="62"/>
        <v/>
      </c>
      <c r="BA218" s="1" t="str">
        <f t="shared" si="63"/>
        <v/>
      </c>
      <c r="BB218" s="1" t="str">
        <f t="shared" si="64"/>
        <v/>
      </c>
      <c r="BC218" s="1" t="str">
        <f t="shared" si="65"/>
        <v/>
      </c>
      <c r="BD218" s="1" t="str">
        <f t="shared" si="66"/>
        <v/>
      </c>
      <c r="BE218" s="1" t="str">
        <f t="shared" si="67"/>
        <v/>
      </c>
      <c r="BF218" s="1" t="str">
        <f t="shared" si="68"/>
        <v/>
      </c>
      <c r="BG218" s="1" t="str">
        <f t="shared" si="69"/>
        <v/>
      </c>
      <c r="BH218" s="1" t="str">
        <f t="shared" si="70"/>
        <v/>
      </c>
      <c r="BI218" s="1" t="str">
        <f t="shared" si="71"/>
        <v/>
      </c>
      <c r="BJ218" s="1" t="str">
        <f t="shared" si="72"/>
        <v/>
      </c>
      <c r="BK218" s="1" t="str">
        <f t="shared" si="73"/>
        <v/>
      </c>
      <c r="BL218" s="1" t="str">
        <f t="shared" si="74"/>
        <v/>
      </c>
      <c r="BM218" s="1" t="str">
        <f t="shared" si="75"/>
        <v/>
      </c>
      <c r="BN218" s="1" t="str">
        <f t="shared" si="76"/>
        <v/>
      </c>
      <c r="BO218" s="1" t="str">
        <f t="shared" si="77"/>
        <v/>
      </c>
      <c r="BP218" s="1" t="str">
        <f t="shared" si="78"/>
        <v/>
      </c>
      <c r="BQ218" s="1" t="str">
        <f t="shared" si="79"/>
        <v/>
      </c>
      <c r="BR218" s="1" t="str">
        <f t="shared" si="80"/>
        <v/>
      </c>
      <c r="BS218" s="1" t="str">
        <f t="shared" si="81"/>
        <v/>
      </c>
      <c r="BT218" s="1"/>
    </row>
    <row r="219" spans="52:72" x14ac:dyDescent="0.25">
      <c r="AZ219" s="1" t="str">
        <f t="shared" si="62"/>
        <v/>
      </c>
      <c r="BA219" s="1" t="str">
        <f t="shared" si="63"/>
        <v/>
      </c>
      <c r="BB219" s="1" t="str">
        <f t="shared" si="64"/>
        <v/>
      </c>
      <c r="BC219" s="1" t="str">
        <f t="shared" si="65"/>
        <v/>
      </c>
      <c r="BD219" s="1" t="str">
        <f t="shared" si="66"/>
        <v/>
      </c>
      <c r="BE219" s="1" t="str">
        <f t="shared" si="67"/>
        <v/>
      </c>
      <c r="BF219" s="1" t="str">
        <f t="shared" si="68"/>
        <v/>
      </c>
      <c r="BG219" s="1" t="str">
        <f t="shared" si="69"/>
        <v/>
      </c>
      <c r="BH219" s="1" t="str">
        <f t="shared" si="70"/>
        <v/>
      </c>
      <c r="BI219" s="1" t="str">
        <f t="shared" si="71"/>
        <v/>
      </c>
      <c r="BJ219" s="1" t="str">
        <f t="shared" si="72"/>
        <v/>
      </c>
      <c r="BK219" s="1" t="str">
        <f t="shared" si="73"/>
        <v/>
      </c>
      <c r="BL219" s="1" t="str">
        <f t="shared" si="74"/>
        <v/>
      </c>
      <c r="BM219" s="1" t="str">
        <f t="shared" si="75"/>
        <v/>
      </c>
      <c r="BN219" s="1" t="str">
        <f t="shared" si="76"/>
        <v/>
      </c>
      <c r="BO219" s="1" t="str">
        <f t="shared" si="77"/>
        <v/>
      </c>
      <c r="BP219" s="1" t="str">
        <f t="shared" si="78"/>
        <v/>
      </c>
      <c r="BQ219" s="1" t="str">
        <f t="shared" si="79"/>
        <v/>
      </c>
      <c r="BR219" s="1" t="str">
        <f t="shared" si="80"/>
        <v/>
      </c>
      <c r="BS219" s="1" t="str">
        <f t="shared" si="81"/>
        <v/>
      </c>
      <c r="BT219" s="1"/>
    </row>
    <row r="220" spans="52:72" x14ac:dyDescent="0.25">
      <c r="AZ220" s="1" t="str">
        <f t="shared" si="62"/>
        <v/>
      </c>
      <c r="BA220" s="1" t="str">
        <f t="shared" si="63"/>
        <v/>
      </c>
      <c r="BB220" s="1" t="str">
        <f t="shared" si="64"/>
        <v/>
      </c>
      <c r="BC220" s="1" t="str">
        <f t="shared" si="65"/>
        <v/>
      </c>
      <c r="BD220" s="1" t="str">
        <f t="shared" si="66"/>
        <v/>
      </c>
      <c r="BE220" s="1" t="str">
        <f t="shared" si="67"/>
        <v/>
      </c>
      <c r="BF220" s="1" t="str">
        <f t="shared" si="68"/>
        <v/>
      </c>
      <c r="BG220" s="1" t="str">
        <f t="shared" si="69"/>
        <v/>
      </c>
      <c r="BH220" s="1" t="str">
        <f t="shared" si="70"/>
        <v/>
      </c>
      <c r="BI220" s="1" t="str">
        <f t="shared" si="71"/>
        <v/>
      </c>
      <c r="BJ220" s="1" t="str">
        <f t="shared" si="72"/>
        <v/>
      </c>
      <c r="BK220" s="1" t="str">
        <f t="shared" si="73"/>
        <v/>
      </c>
      <c r="BL220" s="1" t="str">
        <f t="shared" si="74"/>
        <v/>
      </c>
      <c r="BM220" s="1" t="str">
        <f t="shared" si="75"/>
        <v/>
      </c>
      <c r="BN220" s="1" t="str">
        <f t="shared" si="76"/>
        <v/>
      </c>
      <c r="BO220" s="1" t="str">
        <f t="shared" si="77"/>
        <v/>
      </c>
      <c r="BP220" s="1" t="str">
        <f t="shared" si="78"/>
        <v/>
      </c>
      <c r="BQ220" s="1" t="str">
        <f t="shared" si="79"/>
        <v/>
      </c>
      <c r="BR220" s="1" t="str">
        <f t="shared" si="80"/>
        <v/>
      </c>
      <c r="BS220" s="1" t="str">
        <f t="shared" si="81"/>
        <v/>
      </c>
      <c r="BT220" s="1"/>
    </row>
    <row r="221" spans="52:72" x14ac:dyDescent="0.25">
      <c r="AZ221" s="1" t="str">
        <f t="shared" si="62"/>
        <v/>
      </c>
      <c r="BA221" s="1" t="str">
        <f t="shared" si="63"/>
        <v/>
      </c>
      <c r="BB221" s="1" t="str">
        <f t="shared" si="64"/>
        <v/>
      </c>
      <c r="BC221" s="1" t="str">
        <f t="shared" si="65"/>
        <v/>
      </c>
      <c r="BD221" s="1" t="str">
        <f t="shared" si="66"/>
        <v/>
      </c>
      <c r="BE221" s="1" t="str">
        <f t="shared" si="67"/>
        <v/>
      </c>
      <c r="BF221" s="1" t="str">
        <f t="shared" si="68"/>
        <v/>
      </c>
      <c r="BG221" s="1" t="str">
        <f t="shared" si="69"/>
        <v/>
      </c>
      <c r="BH221" s="1" t="str">
        <f t="shared" si="70"/>
        <v/>
      </c>
      <c r="BI221" s="1" t="str">
        <f t="shared" si="71"/>
        <v/>
      </c>
      <c r="BJ221" s="1" t="str">
        <f t="shared" si="72"/>
        <v/>
      </c>
      <c r="BK221" s="1" t="str">
        <f t="shared" si="73"/>
        <v/>
      </c>
      <c r="BL221" s="1" t="str">
        <f t="shared" si="74"/>
        <v/>
      </c>
      <c r="BM221" s="1" t="str">
        <f t="shared" si="75"/>
        <v/>
      </c>
      <c r="BN221" s="1" t="str">
        <f t="shared" si="76"/>
        <v/>
      </c>
      <c r="BO221" s="1" t="str">
        <f t="shared" si="77"/>
        <v/>
      </c>
      <c r="BP221" s="1" t="str">
        <f t="shared" si="78"/>
        <v/>
      </c>
      <c r="BQ221" s="1" t="str">
        <f t="shared" si="79"/>
        <v/>
      </c>
      <c r="BR221" s="1" t="str">
        <f t="shared" si="80"/>
        <v/>
      </c>
      <c r="BS221" s="1" t="str">
        <f t="shared" si="81"/>
        <v/>
      </c>
      <c r="BT221" s="1"/>
    </row>
    <row r="222" spans="52:72" x14ac:dyDescent="0.25">
      <c r="AZ222" s="1" t="str">
        <f t="shared" si="62"/>
        <v/>
      </c>
      <c r="BA222" s="1" t="str">
        <f t="shared" si="63"/>
        <v/>
      </c>
      <c r="BB222" s="1" t="str">
        <f t="shared" si="64"/>
        <v/>
      </c>
      <c r="BC222" s="1" t="str">
        <f t="shared" si="65"/>
        <v/>
      </c>
      <c r="BD222" s="1" t="str">
        <f t="shared" si="66"/>
        <v/>
      </c>
      <c r="BE222" s="1" t="str">
        <f t="shared" si="67"/>
        <v/>
      </c>
      <c r="BF222" s="1" t="str">
        <f t="shared" si="68"/>
        <v/>
      </c>
      <c r="BG222" s="1" t="str">
        <f t="shared" si="69"/>
        <v/>
      </c>
      <c r="BH222" s="1" t="str">
        <f t="shared" si="70"/>
        <v/>
      </c>
      <c r="BI222" s="1" t="str">
        <f t="shared" si="71"/>
        <v/>
      </c>
      <c r="BJ222" s="1" t="str">
        <f t="shared" si="72"/>
        <v/>
      </c>
      <c r="BK222" s="1" t="str">
        <f t="shared" si="73"/>
        <v/>
      </c>
      <c r="BL222" s="1" t="str">
        <f t="shared" si="74"/>
        <v/>
      </c>
      <c r="BM222" s="1" t="str">
        <f t="shared" si="75"/>
        <v/>
      </c>
      <c r="BN222" s="1" t="str">
        <f t="shared" si="76"/>
        <v/>
      </c>
      <c r="BO222" s="1" t="str">
        <f t="shared" si="77"/>
        <v/>
      </c>
      <c r="BP222" s="1" t="str">
        <f t="shared" si="78"/>
        <v/>
      </c>
      <c r="BQ222" s="1" t="str">
        <f t="shared" si="79"/>
        <v/>
      </c>
      <c r="BR222" s="1" t="str">
        <f t="shared" si="80"/>
        <v/>
      </c>
      <c r="BS222" s="1" t="str">
        <f t="shared" si="81"/>
        <v/>
      </c>
      <c r="BT222" s="1"/>
    </row>
    <row r="223" spans="52:72" x14ac:dyDescent="0.25">
      <c r="AZ223" s="1" t="str">
        <f t="shared" si="62"/>
        <v/>
      </c>
      <c r="BA223" s="1" t="str">
        <f t="shared" si="63"/>
        <v/>
      </c>
      <c r="BB223" s="1" t="str">
        <f t="shared" si="64"/>
        <v/>
      </c>
      <c r="BC223" s="1" t="str">
        <f t="shared" si="65"/>
        <v/>
      </c>
      <c r="BD223" s="1" t="str">
        <f t="shared" si="66"/>
        <v/>
      </c>
      <c r="BE223" s="1" t="str">
        <f t="shared" si="67"/>
        <v/>
      </c>
      <c r="BF223" s="1" t="str">
        <f t="shared" si="68"/>
        <v/>
      </c>
      <c r="BG223" s="1" t="str">
        <f t="shared" si="69"/>
        <v/>
      </c>
      <c r="BH223" s="1" t="str">
        <f t="shared" si="70"/>
        <v/>
      </c>
      <c r="BI223" s="1" t="str">
        <f t="shared" si="71"/>
        <v/>
      </c>
      <c r="BJ223" s="1" t="str">
        <f t="shared" si="72"/>
        <v/>
      </c>
      <c r="BK223" s="1" t="str">
        <f t="shared" si="73"/>
        <v/>
      </c>
      <c r="BL223" s="1" t="str">
        <f t="shared" si="74"/>
        <v/>
      </c>
      <c r="BM223" s="1" t="str">
        <f t="shared" si="75"/>
        <v/>
      </c>
      <c r="BN223" s="1" t="str">
        <f t="shared" si="76"/>
        <v/>
      </c>
      <c r="BO223" s="1" t="str">
        <f t="shared" si="77"/>
        <v/>
      </c>
      <c r="BP223" s="1" t="str">
        <f t="shared" si="78"/>
        <v/>
      </c>
      <c r="BQ223" s="1" t="str">
        <f t="shared" si="79"/>
        <v/>
      </c>
      <c r="BR223" s="1" t="str">
        <f t="shared" si="80"/>
        <v/>
      </c>
      <c r="BS223" s="1" t="str">
        <f t="shared" si="81"/>
        <v/>
      </c>
      <c r="BT223" s="1"/>
    </row>
    <row r="224" spans="52:72" x14ac:dyDescent="0.25">
      <c r="AZ224" s="1" t="str">
        <f t="shared" si="62"/>
        <v/>
      </c>
      <c r="BA224" s="1" t="str">
        <f t="shared" si="63"/>
        <v/>
      </c>
      <c r="BB224" s="1" t="str">
        <f t="shared" si="64"/>
        <v/>
      </c>
      <c r="BC224" s="1" t="str">
        <f t="shared" si="65"/>
        <v/>
      </c>
      <c r="BD224" s="1" t="str">
        <f t="shared" si="66"/>
        <v/>
      </c>
      <c r="BE224" s="1" t="str">
        <f t="shared" si="67"/>
        <v/>
      </c>
      <c r="BF224" s="1" t="str">
        <f t="shared" si="68"/>
        <v/>
      </c>
      <c r="BG224" s="1" t="str">
        <f t="shared" si="69"/>
        <v/>
      </c>
      <c r="BH224" s="1" t="str">
        <f t="shared" si="70"/>
        <v/>
      </c>
      <c r="BI224" s="1" t="str">
        <f t="shared" si="71"/>
        <v/>
      </c>
      <c r="BJ224" s="1" t="str">
        <f t="shared" si="72"/>
        <v/>
      </c>
      <c r="BK224" s="1" t="str">
        <f t="shared" si="73"/>
        <v/>
      </c>
      <c r="BL224" s="1" t="str">
        <f t="shared" si="74"/>
        <v/>
      </c>
      <c r="BM224" s="1" t="str">
        <f t="shared" si="75"/>
        <v/>
      </c>
      <c r="BN224" s="1" t="str">
        <f t="shared" si="76"/>
        <v/>
      </c>
      <c r="BO224" s="1" t="str">
        <f t="shared" si="77"/>
        <v/>
      </c>
      <c r="BP224" s="1" t="str">
        <f t="shared" si="78"/>
        <v/>
      </c>
      <c r="BQ224" s="1" t="str">
        <f t="shared" si="79"/>
        <v/>
      </c>
      <c r="BR224" s="1" t="str">
        <f t="shared" si="80"/>
        <v/>
      </c>
      <c r="BS224" s="1" t="str">
        <f t="shared" si="81"/>
        <v/>
      </c>
      <c r="BT224" s="1"/>
    </row>
    <row r="225" spans="52:72" x14ac:dyDescent="0.25">
      <c r="AZ225" s="1" t="str">
        <f t="shared" si="62"/>
        <v/>
      </c>
      <c r="BA225" s="1" t="str">
        <f t="shared" si="63"/>
        <v/>
      </c>
      <c r="BB225" s="1" t="str">
        <f t="shared" si="64"/>
        <v/>
      </c>
      <c r="BC225" s="1" t="str">
        <f t="shared" si="65"/>
        <v/>
      </c>
      <c r="BD225" s="1" t="str">
        <f t="shared" si="66"/>
        <v/>
      </c>
      <c r="BE225" s="1" t="str">
        <f t="shared" si="67"/>
        <v/>
      </c>
      <c r="BF225" s="1" t="str">
        <f t="shared" si="68"/>
        <v/>
      </c>
      <c r="BG225" s="1" t="str">
        <f t="shared" si="69"/>
        <v/>
      </c>
      <c r="BH225" s="1" t="str">
        <f t="shared" si="70"/>
        <v/>
      </c>
      <c r="BI225" s="1" t="str">
        <f t="shared" si="71"/>
        <v/>
      </c>
      <c r="BJ225" s="1" t="str">
        <f t="shared" si="72"/>
        <v/>
      </c>
      <c r="BK225" s="1" t="str">
        <f t="shared" si="73"/>
        <v/>
      </c>
      <c r="BL225" s="1" t="str">
        <f t="shared" si="74"/>
        <v/>
      </c>
      <c r="BM225" s="1" t="str">
        <f t="shared" si="75"/>
        <v/>
      </c>
      <c r="BN225" s="1" t="str">
        <f t="shared" si="76"/>
        <v/>
      </c>
      <c r="BO225" s="1" t="str">
        <f t="shared" si="77"/>
        <v/>
      </c>
      <c r="BP225" s="1" t="str">
        <f t="shared" si="78"/>
        <v/>
      </c>
      <c r="BQ225" s="1" t="str">
        <f t="shared" si="79"/>
        <v/>
      </c>
      <c r="BR225" s="1" t="str">
        <f t="shared" si="80"/>
        <v/>
      </c>
      <c r="BS225" s="1" t="str">
        <f t="shared" si="81"/>
        <v/>
      </c>
      <c r="BT225" s="1"/>
    </row>
    <row r="226" spans="52:72" x14ac:dyDescent="0.25">
      <c r="AZ226" s="1" t="str">
        <f t="shared" si="62"/>
        <v/>
      </c>
      <c r="BA226" s="1" t="str">
        <f t="shared" si="63"/>
        <v/>
      </c>
      <c r="BB226" s="1" t="str">
        <f t="shared" si="64"/>
        <v/>
      </c>
      <c r="BC226" s="1" t="str">
        <f t="shared" si="65"/>
        <v/>
      </c>
      <c r="BD226" s="1" t="str">
        <f t="shared" si="66"/>
        <v/>
      </c>
      <c r="BE226" s="1" t="str">
        <f t="shared" si="67"/>
        <v/>
      </c>
      <c r="BF226" s="1" t="str">
        <f t="shared" si="68"/>
        <v/>
      </c>
      <c r="BG226" s="1" t="str">
        <f t="shared" si="69"/>
        <v/>
      </c>
      <c r="BH226" s="1" t="str">
        <f t="shared" si="70"/>
        <v/>
      </c>
      <c r="BI226" s="1" t="str">
        <f t="shared" si="71"/>
        <v/>
      </c>
      <c r="BJ226" s="1" t="str">
        <f t="shared" si="72"/>
        <v/>
      </c>
      <c r="BK226" s="1" t="str">
        <f t="shared" si="73"/>
        <v/>
      </c>
      <c r="BL226" s="1" t="str">
        <f t="shared" si="74"/>
        <v/>
      </c>
      <c r="BM226" s="1" t="str">
        <f t="shared" si="75"/>
        <v/>
      </c>
      <c r="BN226" s="1" t="str">
        <f t="shared" si="76"/>
        <v/>
      </c>
      <c r="BO226" s="1" t="str">
        <f t="shared" si="77"/>
        <v/>
      </c>
      <c r="BP226" s="1" t="str">
        <f t="shared" si="78"/>
        <v/>
      </c>
      <c r="BQ226" s="1" t="str">
        <f t="shared" si="79"/>
        <v/>
      </c>
      <c r="BR226" s="1" t="str">
        <f t="shared" si="80"/>
        <v/>
      </c>
      <c r="BS226" s="1" t="str">
        <f t="shared" si="81"/>
        <v/>
      </c>
      <c r="BT226" s="1"/>
    </row>
    <row r="227" spans="52:72" x14ac:dyDescent="0.25">
      <c r="AZ227" s="1" t="str">
        <f t="shared" si="62"/>
        <v/>
      </c>
      <c r="BA227" s="1" t="str">
        <f t="shared" si="63"/>
        <v/>
      </c>
      <c r="BB227" s="1" t="str">
        <f t="shared" si="64"/>
        <v/>
      </c>
      <c r="BC227" s="1" t="str">
        <f t="shared" si="65"/>
        <v/>
      </c>
      <c r="BD227" s="1" t="str">
        <f t="shared" si="66"/>
        <v/>
      </c>
      <c r="BE227" s="1" t="str">
        <f t="shared" si="67"/>
        <v/>
      </c>
      <c r="BF227" s="1" t="str">
        <f t="shared" si="68"/>
        <v/>
      </c>
      <c r="BG227" s="1" t="str">
        <f t="shared" si="69"/>
        <v/>
      </c>
      <c r="BH227" s="1" t="str">
        <f t="shared" si="70"/>
        <v/>
      </c>
      <c r="BI227" s="1" t="str">
        <f t="shared" si="71"/>
        <v/>
      </c>
      <c r="BJ227" s="1" t="str">
        <f t="shared" si="72"/>
        <v/>
      </c>
      <c r="BK227" s="1" t="str">
        <f t="shared" si="73"/>
        <v/>
      </c>
      <c r="BL227" s="1" t="str">
        <f t="shared" si="74"/>
        <v/>
      </c>
      <c r="BM227" s="1" t="str">
        <f t="shared" si="75"/>
        <v/>
      </c>
      <c r="BN227" s="1" t="str">
        <f t="shared" si="76"/>
        <v/>
      </c>
      <c r="BO227" s="1" t="str">
        <f t="shared" si="77"/>
        <v/>
      </c>
      <c r="BP227" s="1" t="str">
        <f t="shared" si="78"/>
        <v/>
      </c>
      <c r="BQ227" s="1" t="str">
        <f t="shared" si="79"/>
        <v/>
      </c>
      <c r="BR227" s="1" t="str">
        <f t="shared" si="80"/>
        <v/>
      </c>
      <c r="BS227" s="1" t="str">
        <f t="shared" si="81"/>
        <v/>
      </c>
      <c r="BT227" s="1"/>
    </row>
    <row r="228" spans="52:72" x14ac:dyDescent="0.25">
      <c r="AZ228" s="1" t="str">
        <f t="shared" si="62"/>
        <v/>
      </c>
      <c r="BA228" s="1" t="str">
        <f t="shared" si="63"/>
        <v/>
      </c>
      <c r="BB228" s="1" t="str">
        <f t="shared" si="64"/>
        <v/>
      </c>
      <c r="BC228" s="1" t="str">
        <f t="shared" si="65"/>
        <v/>
      </c>
      <c r="BD228" s="1" t="str">
        <f t="shared" si="66"/>
        <v/>
      </c>
      <c r="BE228" s="1" t="str">
        <f t="shared" si="67"/>
        <v/>
      </c>
      <c r="BF228" s="1" t="str">
        <f t="shared" si="68"/>
        <v/>
      </c>
      <c r="BG228" s="1" t="str">
        <f t="shared" si="69"/>
        <v/>
      </c>
      <c r="BH228" s="1" t="str">
        <f t="shared" si="70"/>
        <v/>
      </c>
      <c r="BI228" s="1" t="str">
        <f t="shared" si="71"/>
        <v/>
      </c>
      <c r="BJ228" s="1" t="str">
        <f t="shared" si="72"/>
        <v/>
      </c>
      <c r="BK228" s="1" t="str">
        <f t="shared" si="73"/>
        <v/>
      </c>
      <c r="BL228" s="1" t="str">
        <f t="shared" si="74"/>
        <v/>
      </c>
      <c r="BM228" s="1" t="str">
        <f t="shared" si="75"/>
        <v/>
      </c>
      <c r="BN228" s="1" t="str">
        <f t="shared" si="76"/>
        <v/>
      </c>
      <c r="BO228" s="1" t="str">
        <f t="shared" si="77"/>
        <v/>
      </c>
      <c r="BP228" s="1" t="str">
        <f t="shared" si="78"/>
        <v/>
      </c>
      <c r="BQ228" s="1" t="str">
        <f t="shared" si="79"/>
        <v/>
      </c>
      <c r="BR228" s="1" t="str">
        <f t="shared" si="80"/>
        <v/>
      </c>
      <c r="BS228" s="1" t="str">
        <f t="shared" si="81"/>
        <v/>
      </c>
      <c r="BT228" s="1"/>
    </row>
    <row r="229" spans="52:72" x14ac:dyDescent="0.25">
      <c r="AZ229" s="1" t="str">
        <f t="shared" si="62"/>
        <v/>
      </c>
      <c r="BA229" s="1" t="str">
        <f t="shared" si="63"/>
        <v/>
      </c>
      <c r="BB229" s="1" t="str">
        <f t="shared" si="64"/>
        <v/>
      </c>
      <c r="BC229" s="1" t="str">
        <f t="shared" si="65"/>
        <v/>
      </c>
      <c r="BD229" s="1" t="str">
        <f t="shared" si="66"/>
        <v/>
      </c>
      <c r="BE229" s="1" t="str">
        <f t="shared" si="67"/>
        <v/>
      </c>
      <c r="BF229" s="1" t="str">
        <f t="shared" si="68"/>
        <v/>
      </c>
      <c r="BG229" s="1" t="str">
        <f t="shared" si="69"/>
        <v/>
      </c>
      <c r="BH229" s="1" t="str">
        <f t="shared" si="70"/>
        <v/>
      </c>
      <c r="BI229" s="1" t="str">
        <f t="shared" si="71"/>
        <v/>
      </c>
      <c r="BJ229" s="1" t="str">
        <f t="shared" si="72"/>
        <v/>
      </c>
      <c r="BK229" s="1" t="str">
        <f t="shared" si="73"/>
        <v/>
      </c>
      <c r="BL229" s="1" t="str">
        <f t="shared" si="74"/>
        <v/>
      </c>
      <c r="BM229" s="1" t="str">
        <f t="shared" si="75"/>
        <v/>
      </c>
      <c r="BN229" s="1" t="str">
        <f t="shared" si="76"/>
        <v/>
      </c>
      <c r="BO229" s="1" t="str">
        <f t="shared" si="77"/>
        <v/>
      </c>
      <c r="BP229" s="1" t="str">
        <f t="shared" si="78"/>
        <v/>
      </c>
      <c r="BQ229" s="1" t="str">
        <f t="shared" si="79"/>
        <v/>
      </c>
      <c r="BR229" s="1" t="str">
        <f t="shared" si="80"/>
        <v/>
      </c>
      <c r="BS229" s="1" t="str">
        <f t="shared" si="81"/>
        <v/>
      </c>
      <c r="BT229" s="1"/>
    </row>
    <row r="230" spans="52:72" x14ac:dyDescent="0.25">
      <c r="AZ230" s="1" t="str">
        <f t="shared" si="62"/>
        <v/>
      </c>
      <c r="BA230" s="1" t="str">
        <f t="shared" si="63"/>
        <v/>
      </c>
      <c r="BB230" s="1" t="str">
        <f t="shared" si="64"/>
        <v/>
      </c>
      <c r="BC230" s="1" t="str">
        <f t="shared" si="65"/>
        <v/>
      </c>
      <c r="BD230" s="1" t="str">
        <f t="shared" si="66"/>
        <v/>
      </c>
      <c r="BE230" s="1" t="str">
        <f t="shared" si="67"/>
        <v/>
      </c>
      <c r="BF230" s="1" t="str">
        <f t="shared" si="68"/>
        <v/>
      </c>
      <c r="BG230" s="1" t="str">
        <f t="shared" si="69"/>
        <v/>
      </c>
      <c r="BH230" s="1" t="str">
        <f t="shared" si="70"/>
        <v/>
      </c>
      <c r="BI230" s="1" t="str">
        <f t="shared" si="71"/>
        <v/>
      </c>
      <c r="BJ230" s="1" t="str">
        <f t="shared" si="72"/>
        <v/>
      </c>
      <c r="BK230" s="1" t="str">
        <f t="shared" si="73"/>
        <v/>
      </c>
      <c r="BL230" s="1" t="str">
        <f t="shared" si="74"/>
        <v/>
      </c>
      <c r="BM230" s="1" t="str">
        <f t="shared" si="75"/>
        <v/>
      </c>
      <c r="BN230" s="1" t="str">
        <f t="shared" si="76"/>
        <v/>
      </c>
      <c r="BO230" s="1" t="str">
        <f t="shared" si="77"/>
        <v/>
      </c>
      <c r="BP230" s="1" t="str">
        <f t="shared" si="78"/>
        <v/>
      </c>
      <c r="BQ230" s="1" t="str">
        <f t="shared" si="79"/>
        <v/>
      </c>
      <c r="BR230" s="1" t="str">
        <f t="shared" si="80"/>
        <v/>
      </c>
      <c r="BS230" s="1" t="str">
        <f t="shared" si="81"/>
        <v/>
      </c>
      <c r="BT230" s="1"/>
    </row>
    <row r="231" spans="52:72" x14ac:dyDescent="0.25">
      <c r="AZ231" s="1" t="str">
        <f t="shared" si="62"/>
        <v/>
      </c>
      <c r="BA231" s="1" t="str">
        <f t="shared" si="63"/>
        <v/>
      </c>
      <c r="BB231" s="1" t="str">
        <f t="shared" si="64"/>
        <v/>
      </c>
      <c r="BC231" s="1" t="str">
        <f t="shared" si="65"/>
        <v/>
      </c>
      <c r="BD231" s="1" t="str">
        <f t="shared" si="66"/>
        <v/>
      </c>
      <c r="BE231" s="1" t="str">
        <f t="shared" si="67"/>
        <v/>
      </c>
      <c r="BF231" s="1" t="str">
        <f t="shared" si="68"/>
        <v/>
      </c>
      <c r="BG231" s="1" t="str">
        <f t="shared" si="69"/>
        <v/>
      </c>
      <c r="BH231" s="1" t="str">
        <f t="shared" si="70"/>
        <v/>
      </c>
      <c r="BI231" s="1" t="str">
        <f t="shared" si="71"/>
        <v/>
      </c>
      <c r="BJ231" s="1" t="str">
        <f t="shared" si="72"/>
        <v/>
      </c>
      <c r="BK231" s="1" t="str">
        <f t="shared" si="73"/>
        <v/>
      </c>
      <c r="BL231" s="1" t="str">
        <f t="shared" si="74"/>
        <v/>
      </c>
      <c r="BM231" s="1" t="str">
        <f t="shared" si="75"/>
        <v/>
      </c>
      <c r="BN231" s="1" t="str">
        <f t="shared" si="76"/>
        <v/>
      </c>
      <c r="BO231" s="1" t="str">
        <f t="shared" si="77"/>
        <v/>
      </c>
      <c r="BP231" s="1" t="str">
        <f t="shared" si="78"/>
        <v/>
      </c>
      <c r="BQ231" s="1" t="str">
        <f t="shared" si="79"/>
        <v/>
      </c>
      <c r="BR231" s="1" t="str">
        <f t="shared" si="80"/>
        <v/>
      </c>
      <c r="BS231" s="1" t="str">
        <f t="shared" si="81"/>
        <v/>
      </c>
      <c r="BT231" s="1"/>
    </row>
    <row r="232" spans="52:72" x14ac:dyDescent="0.25">
      <c r="AZ232" s="1" t="str">
        <f t="shared" si="62"/>
        <v/>
      </c>
      <c r="BA232" s="1" t="str">
        <f t="shared" si="63"/>
        <v/>
      </c>
      <c r="BB232" s="1" t="str">
        <f t="shared" si="64"/>
        <v/>
      </c>
      <c r="BC232" s="1" t="str">
        <f t="shared" si="65"/>
        <v/>
      </c>
      <c r="BD232" s="1" t="str">
        <f t="shared" si="66"/>
        <v/>
      </c>
      <c r="BE232" s="1" t="str">
        <f t="shared" si="67"/>
        <v/>
      </c>
      <c r="BF232" s="1" t="str">
        <f t="shared" si="68"/>
        <v/>
      </c>
      <c r="BG232" s="1" t="str">
        <f t="shared" si="69"/>
        <v/>
      </c>
      <c r="BH232" s="1" t="str">
        <f t="shared" si="70"/>
        <v/>
      </c>
      <c r="BI232" s="1" t="str">
        <f t="shared" si="71"/>
        <v/>
      </c>
      <c r="BJ232" s="1" t="str">
        <f t="shared" si="72"/>
        <v/>
      </c>
      <c r="BK232" s="1" t="str">
        <f t="shared" si="73"/>
        <v/>
      </c>
      <c r="BL232" s="1" t="str">
        <f t="shared" si="74"/>
        <v/>
      </c>
      <c r="BM232" s="1" t="str">
        <f t="shared" si="75"/>
        <v/>
      </c>
      <c r="BN232" s="1" t="str">
        <f t="shared" si="76"/>
        <v/>
      </c>
      <c r="BO232" s="1" t="str">
        <f t="shared" si="77"/>
        <v/>
      </c>
      <c r="BP232" s="1" t="str">
        <f t="shared" si="78"/>
        <v/>
      </c>
      <c r="BQ232" s="1" t="str">
        <f t="shared" si="79"/>
        <v/>
      </c>
      <c r="BR232" s="1" t="str">
        <f t="shared" si="80"/>
        <v/>
      </c>
      <c r="BS232" s="1" t="str">
        <f t="shared" si="81"/>
        <v/>
      </c>
      <c r="BT232" s="1"/>
    </row>
    <row r="233" spans="52:72" x14ac:dyDescent="0.25">
      <c r="AZ233" s="1" t="str">
        <f t="shared" si="62"/>
        <v/>
      </c>
      <c r="BA233" s="1" t="str">
        <f t="shared" si="63"/>
        <v/>
      </c>
      <c r="BB233" s="1" t="str">
        <f t="shared" si="64"/>
        <v/>
      </c>
      <c r="BC233" s="1" t="str">
        <f t="shared" si="65"/>
        <v/>
      </c>
      <c r="BD233" s="1" t="str">
        <f t="shared" si="66"/>
        <v/>
      </c>
      <c r="BE233" s="1" t="str">
        <f t="shared" si="67"/>
        <v/>
      </c>
      <c r="BF233" s="1" t="str">
        <f t="shared" si="68"/>
        <v/>
      </c>
      <c r="BG233" s="1" t="str">
        <f t="shared" si="69"/>
        <v/>
      </c>
      <c r="BH233" s="1" t="str">
        <f t="shared" si="70"/>
        <v/>
      </c>
      <c r="BI233" s="1" t="str">
        <f t="shared" si="71"/>
        <v/>
      </c>
      <c r="BJ233" s="1" t="str">
        <f t="shared" si="72"/>
        <v/>
      </c>
      <c r="BK233" s="1" t="str">
        <f t="shared" si="73"/>
        <v/>
      </c>
      <c r="BL233" s="1" t="str">
        <f t="shared" si="74"/>
        <v/>
      </c>
      <c r="BM233" s="1" t="str">
        <f t="shared" si="75"/>
        <v/>
      </c>
      <c r="BN233" s="1" t="str">
        <f t="shared" si="76"/>
        <v/>
      </c>
      <c r="BO233" s="1" t="str">
        <f t="shared" si="77"/>
        <v/>
      </c>
      <c r="BP233" s="1" t="str">
        <f t="shared" si="78"/>
        <v/>
      </c>
      <c r="BQ233" s="1" t="str">
        <f t="shared" si="79"/>
        <v/>
      </c>
      <c r="BR233" s="1" t="str">
        <f t="shared" si="80"/>
        <v/>
      </c>
      <c r="BS233" s="1" t="str">
        <f t="shared" si="81"/>
        <v/>
      </c>
      <c r="BT233" s="1"/>
    </row>
    <row r="234" spans="52:72" x14ac:dyDescent="0.25">
      <c r="AZ234" s="1" t="str">
        <f t="shared" si="62"/>
        <v/>
      </c>
      <c r="BA234" s="1" t="str">
        <f t="shared" si="63"/>
        <v/>
      </c>
      <c r="BB234" s="1" t="str">
        <f t="shared" si="64"/>
        <v/>
      </c>
      <c r="BC234" s="1" t="str">
        <f t="shared" si="65"/>
        <v/>
      </c>
      <c r="BD234" s="1" t="str">
        <f t="shared" si="66"/>
        <v/>
      </c>
      <c r="BE234" s="1" t="str">
        <f t="shared" si="67"/>
        <v/>
      </c>
      <c r="BF234" s="1" t="str">
        <f t="shared" si="68"/>
        <v/>
      </c>
      <c r="BG234" s="1" t="str">
        <f t="shared" si="69"/>
        <v/>
      </c>
      <c r="BH234" s="1" t="str">
        <f t="shared" si="70"/>
        <v/>
      </c>
      <c r="BI234" s="1" t="str">
        <f t="shared" si="71"/>
        <v/>
      </c>
      <c r="BJ234" s="1" t="str">
        <f t="shared" si="72"/>
        <v/>
      </c>
      <c r="BK234" s="1" t="str">
        <f t="shared" si="73"/>
        <v/>
      </c>
      <c r="BL234" s="1" t="str">
        <f t="shared" si="74"/>
        <v/>
      </c>
      <c r="BM234" s="1" t="str">
        <f t="shared" si="75"/>
        <v/>
      </c>
      <c r="BN234" s="1" t="str">
        <f t="shared" si="76"/>
        <v/>
      </c>
      <c r="BO234" s="1" t="str">
        <f t="shared" si="77"/>
        <v/>
      </c>
      <c r="BP234" s="1" t="str">
        <f t="shared" si="78"/>
        <v/>
      </c>
      <c r="BQ234" s="1" t="str">
        <f t="shared" si="79"/>
        <v/>
      </c>
      <c r="BR234" s="1" t="str">
        <f t="shared" si="80"/>
        <v/>
      </c>
      <c r="BS234" s="1" t="str">
        <f t="shared" si="81"/>
        <v/>
      </c>
      <c r="BT234" s="1"/>
    </row>
    <row r="235" spans="52:72" x14ac:dyDescent="0.25">
      <c r="AZ235" s="1" t="str">
        <f t="shared" si="62"/>
        <v/>
      </c>
      <c r="BA235" s="1" t="str">
        <f t="shared" si="63"/>
        <v/>
      </c>
      <c r="BB235" s="1" t="str">
        <f t="shared" si="64"/>
        <v/>
      </c>
      <c r="BC235" s="1" t="str">
        <f t="shared" si="65"/>
        <v/>
      </c>
      <c r="BD235" s="1" t="str">
        <f t="shared" si="66"/>
        <v/>
      </c>
      <c r="BE235" s="1" t="str">
        <f t="shared" si="67"/>
        <v/>
      </c>
      <c r="BF235" s="1" t="str">
        <f t="shared" si="68"/>
        <v/>
      </c>
      <c r="BG235" s="1" t="str">
        <f t="shared" si="69"/>
        <v/>
      </c>
      <c r="BH235" s="1" t="str">
        <f t="shared" si="70"/>
        <v/>
      </c>
      <c r="BI235" s="1" t="str">
        <f t="shared" si="71"/>
        <v/>
      </c>
      <c r="BJ235" s="1" t="str">
        <f t="shared" si="72"/>
        <v/>
      </c>
      <c r="BK235" s="1" t="str">
        <f t="shared" si="73"/>
        <v/>
      </c>
      <c r="BL235" s="1" t="str">
        <f t="shared" si="74"/>
        <v/>
      </c>
      <c r="BM235" s="1" t="str">
        <f t="shared" si="75"/>
        <v/>
      </c>
      <c r="BN235" s="1" t="str">
        <f t="shared" si="76"/>
        <v/>
      </c>
      <c r="BO235" s="1" t="str">
        <f t="shared" si="77"/>
        <v/>
      </c>
      <c r="BP235" s="1" t="str">
        <f t="shared" si="78"/>
        <v/>
      </c>
      <c r="BQ235" s="1" t="str">
        <f t="shared" si="79"/>
        <v/>
      </c>
      <c r="BR235" s="1" t="str">
        <f t="shared" si="80"/>
        <v/>
      </c>
      <c r="BS235" s="1" t="str">
        <f t="shared" si="81"/>
        <v/>
      </c>
      <c r="BT235" s="1"/>
    </row>
    <row r="236" spans="52:72" x14ac:dyDescent="0.25">
      <c r="AZ236" s="1" t="str">
        <f t="shared" si="62"/>
        <v/>
      </c>
      <c r="BA236" s="1" t="str">
        <f t="shared" si="63"/>
        <v/>
      </c>
      <c r="BB236" s="1" t="str">
        <f t="shared" si="64"/>
        <v/>
      </c>
      <c r="BC236" s="1" t="str">
        <f t="shared" si="65"/>
        <v/>
      </c>
      <c r="BD236" s="1" t="str">
        <f t="shared" si="66"/>
        <v/>
      </c>
      <c r="BE236" s="1" t="str">
        <f t="shared" si="67"/>
        <v/>
      </c>
      <c r="BF236" s="1" t="str">
        <f t="shared" si="68"/>
        <v/>
      </c>
      <c r="BG236" s="1" t="str">
        <f t="shared" si="69"/>
        <v/>
      </c>
      <c r="BH236" s="1" t="str">
        <f t="shared" si="70"/>
        <v/>
      </c>
      <c r="BI236" s="1" t="str">
        <f t="shared" si="71"/>
        <v/>
      </c>
      <c r="BJ236" s="1" t="str">
        <f t="shared" si="72"/>
        <v/>
      </c>
      <c r="BK236" s="1" t="str">
        <f t="shared" si="73"/>
        <v/>
      </c>
      <c r="BL236" s="1" t="str">
        <f t="shared" si="74"/>
        <v/>
      </c>
      <c r="BM236" s="1" t="str">
        <f t="shared" si="75"/>
        <v/>
      </c>
      <c r="BN236" s="1" t="str">
        <f t="shared" si="76"/>
        <v/>
      </c>
      <c r="BO236" s="1" t="str">
        <f t="shared" si="77"/>
        <v/>
      </c>
      <c r="BP236" s="1" t="str">
        <f t="shared" si="78"/>
        <v/>
      </c>
      <c r="BQ236" s="1" t="str">
        <f t="shared" si="79"/>
        <v/>
      </c>
      <c r="BR236" s="1" t="str">
        <f t="shared" si="80"/>
        <v/>
      </c>
      <c r="BS236" s="1" t="str">
        <f t="shared" si="81"/>
        <v/>
      </c>
      <c r="BT236" s="1"/>
    </row>
    <row r="237" spans="52:72" x14ac:dyDescent="0.25">
      <c r="AZ237" s="1" t="str">
        <f t="shared" si="62"/>
        <v/>
      </c>
      <c r="BA237" s="1" t="str">
        <f t="shared" si="63"/>
        <v/>
      </c>
      <c r="BB237" s="1" t="str">
        <f t="shared" si="64"/>
        <v/>
      </c>
      <c r="BC237" s="1" t="str">
        <f t="shared" si="65"/>
        <v/>
      </c>
      <c r="BD237" s="1" t="str">
        <f t="shared" si="66"/>
        <v/>
      </c>
      <c r="BE237" s="1" t="str">
        <f t="shared" si="67"/>
        <v/>
      </c>
      <c r="BF237" s="1" t="str">
        <f t="shared" si="68"/>
        <v/>
      </c>
      <c r="BG237" s="1" t="str">
        <f t="shared" si="69"/>
        <v/>
      </c>
      <c r="BH237" s="1" t="str">
        <f t="shared" si="70"/>
        <v/>
      </c>
      <c r="BI237" s="1" t="str">
        <f t="shared" si="71"/>
        <v/>
      </c>
      <c r="BJ237" s="1" t="str">
        <f t="shared" si="72"/>
        <v/>
      </c>
      <c r="BK237" s="1" t="str">
        <f t="shared" si="73"/>
        <v/>
      </c>
      <c r="BL237" s="1" t="str">
        <f t="shared" si="74"/>
        <v/>
      </c>
      <c r="BM237" s="1" t="str">
        <f t="shared" si="75"/>
        <v/>
      </c>
      <c r="BN237" s="1" t="str">
        <f t="shared" si="76"/>
        <v/>
      </c>
      <c r="BO237" s="1" t="str">
        <f t="shared" si="77"/>
        <v/>
      </c>
      <c r="BP237" s="1" t="str">
        <f t="shared" si="78"/>
        <v/>
      </c>
      <c r="BQ237" s="1" t="str">
        <f t="shared" si="79"/>
        <v/>
      </c>
      <c r="BR237" s="1" t="str">
        <f t="shared" si="80"/>
        <v/>
      </c>
      <c r="BS237" s="1" t="str">
        <f t="shared" si="81"/>
        <v/>
      </c>
      <c r="BT237" s="1"/>
    </row>
    <row r="238" spans="52:72" x14ac:dyDescent="0.25">
      <c r="AZ238" s="1" t="str">
        <f t="shared" si="62"/>
        <v/>
      </c>
      <c r="BA238" s="1" t="str">
        <f t="shared" si="63"/>
        <v/>
      </c>
      <c r="BB238" s="1" t="str">
        <f t="shared" si="64"/>
        <v/>
      </c>
      <c r="BC238" s="1" t="str">
        <f t="shared" si="65"/>
        <v/>
      </c>
      <c r="BD238" s="1" t="str">
        <f t="shared" si="66"/>
        <v/>
      </c>
      <c r="BE238" s="1" t="str">
        <f t="shared" si="67"/>
        <v/>
      </c>
      <c r="BF238" s="1" t="str">
        <f t="shared" si="68"/>
        <v/>
      </c>
      <c r="BG238" s="1" t="str">
        <f t="shared" si="69"/>
        <v/>
      </c>
      <c r="BH238" s="1" t="str">
        <f t="shared" si="70"/>
        <v/>
      </c>
      <c r="BI238" s="1" t="str">
        <f t="shared" si="71"/>
        <v/>
      </c>
      <c r="BJ238" s="1" t="str">
        <f t="shared" si="72"/>
        <v/>
      </c>
      <c r="BK238" s="1" t="str">
        <f t="shared" si="73"/>
        <v/>
      </c>
      <c r="BL238" s="1" t="str">
        <f t="shared" si="74"/>
        <v/>
      </c>
      <c r="BM238" s="1" t="str">
        <f t="shared" si="75"/>
        <v/>
      </c>
      <c r="BN238" s="1" t="str">
        <f t="shared" si="76"/>
        <v/>
      </c>
      <c r="BO238" s="1" t="str">
        <f t="shared" si="77"/>
        <v/>
      </c>
      <c r="BP238" s="1" t="str">
        <f t="shared" si="78"/>
        <v/>
      </c>
      <c r="BQ238" s="1" t="str">
        <f t="shared" si="79"/>
        <v/>
      </c>
      <c r="BR238" s="1" t="str">
        <f t="shared" si="80"/>
        <v/>
      </c>
      <c r="BS238" s="1" t="str">
        <f t="shared" si="81"/>
        <v/>
      </c>
      <c r="BT238" s="1"/>
    </row>
    <row r="239" spans="52:72" x14ac:dyDescent="0.25">
      <c r="AZ239" s="1" t="str">
        <f t="shared" si="62"/>
        <v/>
      </c>
      <c r="BA239" s="1" t="str">
        <f t="shared" si="63"/>
        <v/>
      </c>
      <c r="BB239" s="1" t="str">
        <f t="shared" si="64"/>
        <v/>
      </c>
      <c r="BC239" s="1" t="str">
        <f t="shared" si="65"/>
        <v/>
      </c>
      <c r="BD239" s="1" t="str">
        <f t="shared" si="66"/>
        <v/>
      </c>
      <c r="BE239" s="1" t="str">
        <f t="shared" si="67"/>
        <v/>
      </c>
      <c r="BF239" s="1" t="str">
        <f t="shared" si="68"/>
        <v/>
      </c>
      <c r="BG239" s="1" t="str">
        <f t="shared" si="69"/>
        <v/>
      </c>
      <c r="BH239" s="1" t="str">
        <f t="shared" si="70"/>
        <v/>
      </c>
      <c r="BI239" s="1" t="str">
        <f t="shared" si="71"/>
        <v/>
      </c>
      <c r="BJ239" s="1" t="str">
        <f t="shared" si="72"/>
        <v/>
      </c>
      <c r="BK239" s="1" t="str">
        <f t="shared" si="73"/>
        <v/>
      </c>
      <c r="BL239" s="1" t="str">
        <f t="shared" si="74"/>
        <v/>
      </c>
      <c r="BM239" s="1" t="str">
        <f t="shared" si="75"/>
        <v/>
      </c>
      <c r="BN239" s="1" t="str">
        <f t="shared" si="76"/>
        <v/>
      </c>
      <c r="BO239" s="1" t="str">
        <f t="shared" si="77"/>
        <v/>
      </c>
      <c r="BP239" s="1" t="str">
        <f t="shared" si="78"/>
        <v/>
      </c>
      <c r="BQ239" s="1" t="str">
        <f t="shared" si="79"/>
        <v/>
      </c>
      <c r="BR239" s="1" t="str">
        <f t="shared" si="80"/>
        <v/>
      </c>
      <c r="BS239" s="1" t="str">
        <f t="shared" si="81"/>
        <v/>
      </c>
      <c r="BT239" s="1"/>
    </row>
    <row r="240" spans="52:72" x14ac:dyDescent="0.25">
      <c r="AZ240" s="1" t="str">
        <f t="shared" si="62"/>
        <v/>
      </c>
      <c r="BA240" s="1" t="str">
        <f t="shared" si="63"/>
        <v/>
      </c>
      <c r="BB240" s="1" t="str">
        <f t="shared" si="64"/>
        <v/>
      </c>
      <c r="BC240" s="1" t="str">
        <f t="shared" si="65"/>
        <v/>
      </c>
      <c r="BD240" s="1" t="str">
        <f t="shared" si="66"/>
        <v/>
      </c>
      <c r="BE240" s="1" t="str">
        <f t="shared" si="67"/>
        <v/>
      </c>
      <c r="BF240" s="1" t="str">
        <f t="shared" si="68"/>
        <v/>
      </c>
      <c r="BG240" s="1" t="str">
        <f t="shared" si="69"/>
        <v/>
      </c>
      <c r="BH240" s="1" t="str">
        <f t="shared" si="70"/>
        <v/>
      </c>
      <c r="BI240" s="1" t="str">
        <f t="shared" si="71"/>
        <v/>
      </c>
      <c r="BJ240" s="1" t="str">
        <f t="shared" si="72"/>
        <v/>
      </c>
      <c r="BK240" s="1" t="str">
        <f t="shared" si="73"/>
        <v/>
      </c>
      <c r="BL240" s="1" t="str">
        <f t="shared" si="74"/>
        <v/>
      </c>
      <c r="BM240" s="1" t="str">
        <f t="shared" si="75"/>
        <v/>
      </c>
      <c r="BN240" s="1" t="str">
        <f t="shared" si="76"/>
        <v/>
      </c>
      <c r="BO240" s="1" t="str">
        <f t="shared" si="77"/>
        <v/>
      </c>
      <c r="BP240" s="1" t="str">
        <f t="shared" si="78"/>
        <v/>
      </c>
      <c r="BQ240" s="1" t="str">
        <f t="shared" si="79"/>
        <v/>
      </c>
      <c r="BR240" s="1" t="str">
        <f t="shared" si="80"/>
        <v/>
      </c>
      <c r="BS240" s="1" t="str">
        <f t="shared" si="81"/>
        <v/>
      </c>
      <c r="BT240" s="1"/>
    </row>
    <row r="241" spans="52:72" x14ac:dyDescent="0.25">
      <c r="AZ241" s="1" t="str">
        <f t="shared" si="62"/>
        <v/>
      </c>
      <c r="BA241" s="1" t="str">
        <f t="shared" si="63"/>
        <v/>
      </c>
      <c r="BB241" s="1" t="str">
        <f t="shared" si="64"/>
        <v/>
      </c>
      <c r="BC241" s="1" t="str">
        <f t="shared" si="65"/>
        <v/>
      </c>
      <c r="BD241" s="1" t="str">
        <f t="shared" si="66"/>
        <v/>
      </c>
      <c r="BE241" s="1" t="str">
        <f t="shared" si="67"/>
        <v/>
      </c>
      <c r="BF241" s="1" t="str">
        <f t="shared" si="68"/>
        <v/>
      </c>
      <c r="BG241" s="1" t="str">
        <f t="shared" si="69"/>
        <v/>
      </c>
      <c r="BH241" s="1" t="str">
        <f t="shared" si="70"/>
        <v/>
      </c>
      <c r="BI241" s="1" t="str">
        <f t="shared" si="71"/>
        <v/>
      </c>
      <c r="BJ241" s="1" t="str">
        <f t="shared" si="72"/>
        <v/>
      </c>
      <c r="BK241" s="1" t="str">
        <f t="shared" si="73"/>
        <v/>
      </c>
      <c r="BL241" s="1" t="str">
        <f t="shared" si="74"/>
        <v/>
      </c>
      <c r="BM241" s="1" t="str">
        <f t="shared" si="75"/>
        <v/>
      </c>
      <c r="BN241" s="1" t="str">
        <f t="shared" si="76"/>
        <v/>
      </c>
      <c r="BO241" s="1" t="str">
        <f t="shared" si="77"/>
        <v/>
      </c>
      <c r="BP241" s="1" t="str">
        <f t="shared" si="78"/>
        <v/>
      </c>
      <c r="BQ241" s="1" t="str">
        <f t="shared" si="79"/>
        <v/>
      </c>
      <c r="BR241" s="1" t="str">
        <f t="shared" si="80"/>
        <v/>
      </c>
      <c r="BS241" s="1" t="str">
        <f t="shared" si="81"/>
        <v/>
      </c>
      <c r="BT241" s="1"/>
    </row>
    <row r="242" spans="52:72" x14ac:dyDescent="0.25">
      <c r="AZ242" s="1" t="str">
        <f t="shared" si="62"/>
        <v/>
      </c>
      <c r="BA242" s="1" t="str">
        <f t="shared" si="63"/>
        <v/>
      </c>
      <c r="BB242" s="1" t="str">
        <f t="shared" si="64"/>
        <v/>
      </c>
      <c r="BC242" s="1" t="str">
        <f t="shared" si="65"/>
        <v/>
      </c>
      <c r="BD242" s="1" t="str">
        <f t="shared" si="66"/>
        <v/>
      </c>
      <c r="BE242" s="1" t="str">
        <f t="shared" si="67"/>
        <v/>
      </c>
      <c r="BF242" s="1" t="str">
        <f t="shared" si="68"/>
        <v/>
      </c>
      <c r="BG242" s="1" t="str">
        <f t="shared" si="69"/>
        <v/>
      </c>
      <c r="BH242" s="1" t="str">
        <f t="shared" si="70"/>
        <v/>
      </c>
      <c r="BI242" s="1" t="str">
        <f t="shared" si="71"/>
        <v/>
      </c>
      <c r="BJ242" s="1" t="str">
        <f t="shared" si="72"/>
        <v/>
      </c>
      <c r="BK242" s="1" t="str">
        <f t="shared" si="73"/>
        <v/>
      </c>
      <c r="BL242" s="1" t="str">
        <f t="shared" si="74"/>
        <v/>
      </c>
      <c r="BM242" s="1" t="str">
        <f t="shared" si="75"/>
        <v/>
      </c>
      <c r="BN242" s="1" t="str">
        <f t="shared" si="76"/>
        <v/>
      </c>
      <c r="BO242" s="1" t="str">
        <f t="shared" si="77"/>
        <v/>
      </c>
      <c r="BP242" s="1" t="str">
        <f t="shared" si="78"/>
        <v/>
      </c>
      <c r="BQ242" s="1" t="str">
        <f t="shared" si="79"/>
        <v/>
      </c>
      <c r="BR242" s="1" t="str">
        <f t="shared" si="80"/>
        <v/>
      </c>
      <c r="BS242" s="1" t="str">
        <f t="shared" si="81"/>
        <v/>
      </c>
      <c r="BT242" s="1"/>
    </row>
    <row r="243" spans="52:72" x14ac:dyDescent="0.25">
      <c r="AZ243" s="1" t="str">
        <f t="shared" si="62"/>
        <v/>
      </c>
      <c r="BA243" s="1" t="str">
        <f t="shared" si="63"/>
        <v/>
      </c>
      <c r="BB243" s="1" t="str">
        <f t="shared" si="64"/>
        <v/>
      </c>
      <c r="BC243" s="1" t="str">
        <f t="shared" si="65"/>
        <v/>
      </c>
      <c r="BD243" s="1" t="str">
        <f t="shared" si="66"/>
        <v/>
      </c>
      <c r="BE243" s="1" t="str">
        <f t="shared" si="67"/>
        <v/>
      </c>
      <c r="BF243" s="1" t="str">
        <f t="shared" si="68"/>
        <v/>
      </c>
      <c r="BG243" s="1" t="str">
        <f t="shared" si="69"/>
        <v/>
      </c>
      <c r="BH243" s="1" t="str">
        <f t="shared" si="70"/>
        <v/>
      </c>
      <c r="BI243" s="1" t="str">
        <f t="shared" si="71"/>
        <v/>
      </c>
      <c r="BJ243" s="1" t="str">
        <f t="shared" si="72"/>
        <v/>
      </c>
      <c r="BK243" s="1" t="str">
        <f t="shared" si="73"/>
        <v/>
      </c>
      <c r="BL243" s="1" t="str">
        <f t="shared" si="74"/>
        <v/>
      </c>
      <c r="BM243" s="1" t="str">
        <f t="shared" si="75"/>
        <v/>
      </c>
      <c r="BN243" s="1" t="str">
        <f t="shared" si="76"/>
        <v/>
      </c>
      <c r="BO243" s="1" t="str">
        <f t="shared" si="77"/>
        <v/>
      </c>
      <c r="BP243" s="1" t="str">
        <f t="shared" si="78"/>
        <v/>
      </c>
      <c r="BQ243" s="1" t="str">
        <f t="shared" si="79"/>
        <v/>
      </c>
      <c r="BR243" s="1" t="str">
        <f t="shared" si="80"/>
        <v/>
      </c>
      <c r="BS243" s="1" t="str">
        <f t="shared" si="81"/>
        <v/>
      </c>
      <c r="BT243" s="1"/>
    </row>
    <row r="244" spans="52:72" x14ac:dyDescent="0.25">
      <c r="AZ244" s="1" t="str">
        <f t="shared" si="62"/>
        <v/>
      </c>
      <c r="BA244" s="1" t="str">
        <f t="shared" si="63"/>
        <v/>
      </c>
      <c r="BB244" s="1" t="str">
        <f t="shared" si="64"/>
        <v/>
      </c>
      <c r="BC244" s="1" t="str">
        <f t="shared" si="65"/>
        <v/>
      </c>
      <c r="BD244" s="1" t="str">
        <f t="shared" si="66"/>
        <v/>
      </c>
      <c r="BE244" s="1" t="str">
        <f t="shared" si="67"/>
        <v/>
      </c>
      <c r="BF244" s="1" t="str">
        <f t="shared" si="68"/>
        <v/>
      </c>
      <c r="BG244" s="1" t="str">
        <f t="shared" si="69"/>
        <v/>
      </c>
      <c r="BH244" s="1" t="str">
        <f t="shared" si="70"/>
        <v/>
      </c>
      <c r="BI244" s="1" t="str">
        <f t="shared" si="71"/>
        <v/>
      </c>
      <c r="BJ244" s="1" t="str">
        <f t="shared" si="72"/>
        <v/>
      </c>
      <c r="BK244" s="1" t="str">
        <f t="shared" si="73"/>
        <v/>
      </c>
      <c r="BL244" s="1" t="str">
        <f t="shared" si="74"/>
        <v/>
      </c>
      <c r="BM244" s="1" t="str">
        <f t="shared" si="75"/>
        <v/>
      </c>
      <c r="BN244" s="1" t="str">
        <f t="shared" si="76"/>
        <v/>
      </c>
      <c r="BO244" s="1" t="str">
        <f t="shared" si="77"/>
        <v/>
      </c>
      <c r="BP244" s="1" t="str">
        <f t="shared" si="78"/>
        <v/>
      </c>
      <c r="BQ244" s="1" t="str">
        <f t="shared" si="79"/>
        <v/>
      </c>
      <c r="BR244" s="1" t="str">
        <f t="shared" si="80"/>
        <v/>
      </c>
      <c r="BS244" s="1" t="str">
        <f t="shared" si="81"/>
        <v/>
      </c>
      <c r="BT244" s="1"/>
    </row>
    <row r="245" spans="52:72" x14ac:dyDescent="0.25">
      <c r="AZ245" s="1" t="str">
        <f t="shared" si="62"/>
        <v/>
      </c>
      <c r="BA245" s="1" t="str">
        <f t="shared" si="63"/>
        <v/>
      </c>
      <c r="BB245" s="1" t="str">
        <f t="shared" si="64"/>
        <v/>
      </c>
      <c r="BC245" s="1" t="str">
        <f t="shared" si="65"/>
        <v/>
      </c>
      <c r="BD245" s="1" t="str">
        <f t="shared" si="66"/>
        <v/>
      </c>
      <c r="BE245" s="1" t="str">
        <f t="shared" si="67"/>
        <v/>
      </c>
      <c r="BF245" s="1" t="str">
        <f t="shared" si="68"/>
        <v/>
      </c>
      <c r="BG245" s="1" t="str">
        <f t="shared" si="69"/>
        <v/>
      </c>
      <c r="BH245" s="1" t="str">
        <f t="shared" si="70"/>
        <v/>
      </c>
      <c r="BI245" s="1" t="str">
        <f t="shared" si="71"/>
        <v/>
      </c>
      <c r="BJ245" s="1" t="str">
        <f t="shared" si="72"/>
        <v/>
      </c>
      <c r="BK245" s="1" t="str">
        <f t="shared" si="73"/>
        <v/>
      </c>
      <c r="BL245" s="1" t="str">
        <f t="shared" si="74"/>
        <v/>
      </c>
      <c r="BM245" s="1" t="str">
        <f t="shared" si="75"/>
        <v/>
      </c>
      <c r="BN245" s="1" t="str">
        <f t="shared" si="76"/>
        <v/>
      </c>
      <c r="BO245" s="1" t="str">
        <f t="shared" si="77"/>
        <v/>
      </c>
      <c r="BP245" s="1" t="str">
        <f t="shared" si="78"/>
        <v/>
      </c>
      <c r="BQ245" s="1" t="str">
        <f t="shared" si="79"/>
        <v/>
      </c>
      <c r="BR245" s="1" t="str">
        <f t="shared" si="80"/>
        <v/>
      </c>
      <c r="BS245" s="1" t="str">
        <f t="shared" si="81"/>
        <v/>
      </c>
      <c r="BT245" s="1"/>
    </row>
    <row r="246" spans="52:72" x14ac:dyDescent="0.25">
      <c r="AZ246" s="1" t="str">
        <f t="shared" si="62"/>
        <v/>
      </c>
      <c r="BA246" s="1" t="str">
        <f t="shared" si="63"/>
        <v/>
      </c>
      <c r="BB246" s="1" t="str">
        <f t="shared" si="64"/>
        <v/>
      </c>
      <c r="BC246" s="1" t="str">
        <f t="shared" si="65"/>
        <v/>
      </c>
      <c r="BD246" s="1" t="str">
        <f t="shared" si="66"/>
        <v/>
      </c>
      <c r="BE246" s="1" t="str">
        <f t="shared" si="67"/>
        <v/>
      </c>
      <c r="BF246" s="1" t="str">
        <f t="shared" si="68"/>
        <v/>
      </c>
      <c r="BG246" s="1" t="str">
        <f t="shared" si="69"/>
        <v/>
      </c>
      <c r="BH246" s="1" t="str">
        <f t="shared" si="70"/>
        <v/>
      </c>
      <c r="BI246" s="1" t="str">
        <f t="shared" si="71"/>
        <v/>
      </c>
      <c r="BJ246" s="1" t="str">
        <f t="shared" si="72"/>
        <v/>
      </c>
      <c r="BK246" s="1" t="str">
        <f t="shared" si="73"/>
        <v/>
      </c>
      <c r="BL246" s="1" t="str">
        <f t="shared" si="74"/>
        <v/>
      </c>
      <c r="BM246" s="1" t="str">
        <f t="shared" si="75"/>
        <v/>
      </c>
      <c r="BN246" s="1" t="str">
        <f t="shared" si="76"/>
        <v/>
      </c>
      <c r="BO246" s="1" t="str">
        <f t="shared" si="77"/>
        <v/>
      </c>
      <c r="BP246" s="1" t="str">
        <f t="shared" si="78"/>
        <v/>
      </c>
      <c r="BQ246" s="1" t="str">
        <f t="shared" si="79"/>
        <v/>
      </c>
      <c r="BR246" s="1" t="str">
        <f t="shared" si="80"/>
        <v/>
      </c>
      <c r="BS246" s="1" t="str">
        <f t="shared" si="81"/>
        <v/>
      </c>
      <c r="BT246" s="1"/>
    </row>
    <row r="247" spans="52:72" x14ac:dyDescent="0.25">
      <c r="AZ247" s="1" t="str">
        <f t="shared" si="62"/>
        <v/>
      </c>
      <c r="BA247" s="1" t="str">
        <f t="shared" si="63"/>
        <v/>
      </c>
      <c r="BB247" s="1" t="str">
        <f t="shared" si="64"/>
        <v/>
      </c>
      <c r="BC247" s="1" t="str">
        <f t="shared" si="65"/>
        <v/>
      </c>
      <c r="BD247" s="1" t="str">
        <f t="shared" si="66"/>
        <v/>
      </c>
      <c r="BE247" s="1" t="str">
        <f t="shared" si="67"/>
        <v/>
      </c>
      <c r="BF247" s="1" t="str">
        <f t="shared" si="68"/>
        <v/>
      </c>
      <c r="BG247" s="1" t="str">
        <f t="shared" si="69"/>
        <v/>
      </c>
      <c r="BH247" s="1" t="str">
        <f t="shared" si="70"/>
        <v/>
      </c>
      <c r="BI247" s="1" t="str">
        <f t="shared" si="71"/>
        <v/>
      </c>
      <c r="BJ247" s="1" t="str">
        <f t="shared" si="72"/>
        <v/>
      </c>
      <c r="BK247" s="1" t="str">
        <f t="shared" si="73"/>
        <v/>
      </c>
      <c r="BL247" s="1" t="str">
        <f t="shared" si="74"/>
        <v/>
      </c>
      <c r="BM247" s="1" t="str">
        <f t="shared" si="75"/>
        <v/>
      </c>
      <c r="BN247" s="1" t="str">
        <f t="shared" si="76"/>
        <v/>
      </c>
      <c r="BO247" s="1" t="str">
        <f t="shared" si="77"/>
        <v/>
      </c>
      <c r="BP247" s="1" t="str">
        <f t="shared" si="78"/>
        <v/>
      </c>
      <c r="BQ247" s="1" t="str">
        <f t="shared" si="79"/>
        <v/>
      </c>
      <c r="BR247" s="1" t="str">
        <f t="shared" si="80"/>
        <v/>
      </c>
      <c r="BS247" s="1" t="str">
        <f t="shared" si="81"/>
        <v/>
      </c>
      <c r="BT247" s="1"/>
    </row>
    <row r="248" spans="52:72" x14ac:dyDescent="0.25">
      <c r="AZ248" s="1" t="str">
        <f t="shared" si="62"/>
        <v/>
      </c>
      <c r="BA248" s="1" t="str">
        <f t="shared" si="63"/>
        <v/>
      </c>
      <c r="BB248" s="1" t="str">
        <f t="shared" si="64"/>
        <v/>
      </c>
      <c r="BC248" s="1" t="str">
        <f t="shared" si="65"/>
        <v/>
      </c>
      <c r="BD248" s="1" t="str">
        <f t="shared" si="66"/>
        <v/>
      </c>
      <c r="BE248" s="1" t="str">
        <f t="shared" si="67"/>
        <v/>
      </c>
      <c r="BF248" s="1" t="str">
        <f t="shared" si="68"/>
        <v/>
      </c>
      <c r="BG248" s="1" t="str">
        <f t="shared" si="69"/>
        <v/>
      </c>
      <c r="BH248" s="1" t="str">
        <f t="shared" si="70"/>
        <v/>
      </c>
      <c r="BI248" s="1" t="str">
        <f t="shared" si="71"/>
        <v/>
      </c>
      <c r="BJ248" s="1" t="str">
        <f t="shared" si="72"/>
        <v/>
      </c>
      <c r="BK248" s="1" t="str">
        <f t="shared" si="73"/>
        <v/>
      </c>
      <c r="BL248" s="1" t="str">
        <f t="shared" si="74"/>
        <v/>
      </c>
      <c r="BM248" s="1" t="str">
        <f t="shared" si="75"/>
        <v/>
      </c>
      <c r="BN248" s="1" t="str">
        <f t="shared" si="76"/>
        <v/>
      </c>
      <c r="BO248" s="1" t="str">
        <f t="shared" si="77"/>
        <v/>
      </c>
      <c r="BP248" s="1" t="str">
        <f t="shared" si="78"/>
        <v/>
      </c>
      <c r="BQ248" s="1" t="str">
        <f t="shared" si="79"/>
        <v/>
      </c>
      <c r="BR248" s="1" t="str">
        <f t="shared" si="80"/>
        <v/>
      </c>
      <c r="BS248" s="1" t="str">
        <f t="shared" si="81"/>
        <v/>
      </c>
      <c r="BT248" s="1"/>
    </row>
    <row r="249" spans="52:72" x14ac:dyDescent="0.25">
      <c r="AZ249" s="1" t="str">
        <f t="shared" si="62"/>
        <v/>
      </c>
      <c r="BA249" s="1" t="str">
        <f t="shared" si="63"/>
        <v/>
      </c>
      <c r="BB249" s="1" t="str">
        <f t="shared" si="64"/>
        <v/>
      </c>
      <c r="BC249" s="1" t="str">
        <f t="shared" si="65"/>
        <v/>
      </c>
      <c r="BD249" s="1" t="str">
        <f t="shared" si="66"/>
        <v/>
      </c>
      <c r="BE249" s="1" t="str">
        <f t="shared" si="67"/>
        <v/>
      </c>
      <c r="BF249" s="1" t="str">
        <f t="shared" si="68"/>
        <v/>
      </c>
      <c r="BG249" s="1" t="str">
        <f t="shared" si="69"/>
        <v/>
      </c>
      <c r="BH249" s="1" t="str">
        <f t="shared" si="70"/>
        <v/>
      </c>
      <c r="BI249" s="1" t="str">
        <f t="shared" si="71"/>
        <v/>
      </c>
      <c r="BJ249" s="1" t="str">
        <f t="shared" si="72"/>
        <v/>
      </c>
      <c r="BK249" s="1" t="str">
        <f t="shared" si="73"/>
        <v/>
      </c>
      <c r="BL249" s="1" t="str">
        <f t="shared" si="74"/>
        <v/>
      </c>
      <c r="BM249" s="1" t="str">
        <f t="shared" si="75"/>
        <v/>
      </c>
      <c r="BN249" s="1" t="str">
        <f t="shared" si="76"/>
        <v/>
      </c>
      <c r="BO249" s="1" t="str">
        <f t="shared" si="77"/>
        <v/>
      </c>
      <c r="BP249" s="1" t="str">
        <f t="shared" si="78"/>
        <v/>
      </c>
      <c r="BQ249" s="1" t="str">
        <f t="shared" si="79"/>
        <v/>
      </c>
      <c r="BR249" s="1" t="str">
        <f t="shared" si="80"/>
        <v/>
      </c>
      <c r="BS249" s="1" t="str">
        <f t="shared" si="81"/>
        <v/>
      </c>
      <c r="BT249" s="1"/>
    </row>
    <row r="250" spans="52:72" x14ac:dyDescent="0.25">
      <c r="AZ250" s="1" t="str">
        <f t="shared" si="62"/>
        <v/>
      </c>
      <c r="BA250" s="1" t="str">
        <f t="shared" si="63"/>
        <v/>
      </c>
      <c r="BB250" s="1" t="str">
        <f t="shared" si="64"/>
        <v/>
      </c>
      <c r="BC250" s="1" t="str">
        <f t="shared" si="65"/>
        <v/>
      </c>
      <c r="BD250" s="1" t="str">
        <f t="shared" si="66"/>
        <v/>
      </c>
      <c r="BE250" s="1" t="str">
        <f t="shared" si="67"/>
        <v/>
      </c>
      <c r="BF250" s="1" t="str">
        <f t="shared" si="68"/>
        <v/>
      </c>
      <c r="BG250" s="1" t="str">
        <f t="shared" si="69"/>
        <v/>
      </c>
      <c r="BH250" s="1" t="str">
        <f t="shared" si="70"/>
        <v/>
      </c>
      <c r="BI250" s="1" t="str">
        <f t="shared" si="71"/>
        <v/>
      </c>
      <c r="BJ250" s="1" t="str">
        <f t="shared" si="72"/>
        <v/>
      </c>
      <c r="BK250" s="1" t="str">
        <f t="shared" si="73"/>
        <v/>
      </c>
      <c r="BL250" s="1" t="str">
        <f t="shared" si="74"/>
        <v/>
      </c>
      <c r="BM250" s="1" t="str">
        <f t="shared" si="75"/>
        <v/>
      </c>
      <c r="BN250" s="1" t="str">
        <f t="shared" si="76"/>
        <v/>
      </c>
      <c r="BO250" s="1" t="str">
        <f t="shared" si="77"/>
        <v/>
      </c>
      <c r="BP250" s="1" t="str">
        <f t="shared" si="78"/>
        <v/>
      </c>
      <c r="BQ250" s="1" t="str">
        <f t="shared" si="79"/>
        <v/>
      </c>
      <c r="BR250" s="1" t="str">
        <f t="shared" si="80"/>
        <v/>
      </c>
      <c r="BS250" s="1" t="str">
        <f t="shared" si="81"/>
        <v/>
      </c>
      <c r="BT250" s="1"/>
    </row>
    <row r="251" spans="52:72" x14ac:dyDescent="0.25">
      <c r="AZ251" s="1" t="str">
        <f t="shared" si="62"/>
        <v/>
      </c>
      <c r="BA251" s="1" t="str">
        <f t="shared" si="63"/>
        <v/>
      </c>
      <c r="BB251" s="1" t="str">
        <f t="shared" si="64"/>
        <v/>
      </c>
      <c r="BC251" s="1" t="str">
        <f t="shared" si="65"/>
        <v/>
      </c>
      <c r="BD251" s="1" t="str">
        <f t="shared" si="66"/>
        <v/>
      </c>
      <c r="BE251" s="1" t="str">
        <f t="shared" si="67"/>
        <v/>
      </c>
      <c r="BF251" s="1" t="str">
        <f t="shared" si="68"/>
        <v/>
      </c>
      <c r="BG251" s="1" t="str">
        <f t="shared" si="69"/>
        <v/>
      </c>
      <c r="BH251" s="1" t="str">
        <f t="shared" si="70"/>
        <v/>
      </c>
      <c r="BI251" s="1" t="str">
        <f t="shared" si="71"/>
        <v/>
      </c>
      <c r="BJ251" s="1" t="str">
        <f t="shared" si="72"/>
        <v/>
      </c>
      <c r="BK251" s="1" t="str">
        <f t="shared" si="73"/>
        <v/>
      </c>
      <c r="BL251" s="1" t="str">
        <f t="shared" si="74"/>
        <v/>
      </c>
      <c r="BM251" s="1" t="str">
        <f t="shared" si="75"/>
        <v/>
      </c>
      <c r="BN251" s="1" t="str">
        <f t="shared" si="76"/>
        <v/>
      </c>
      <c r="BO251" s="1" t="str">
        <f t="shared" si="77"/>
        <v/>
      </c>
      <c r="BP251" s="1" t="str">
        <f t="shared" si="78"/>
        <v/>
      </c>
      <c r="BQ251" s="1" t="str">
        <f t="shared" si="79"/>
        <v/>
      </c>
      <c r="BR251" s="1" t="str">
        <f t="shared" si="80"/>
        <v/>
      </c>
      <c r="BS251" s="1" t="str">
        <f t="shared" si="81"/>
        <v/>
      </c>
      <c r="BT251" s="1"/>
    </row>
    <row r="252" spans="52:72" x14ac:dyDescent="0.25">
      <c r="AZ252" s="1" t="str">
        <f t="shared" si="62"/>
        <v/>
      </c>
      <c r="BA252" s="1" t="str">
        <f t="shared" si="63"/>
        <v/>
      </c>
      <c r="BB252" s="1" t="str">
        <f t="shared" si="64"/>
        <v/>
      </c>
      <c r="BC252" s="1" t="str">
        <f t="shared" si="65"/>
        <v/>
      </c>
      <c r="BD252" s="1" t="str">
        <f t="shared" si="66"/>
        <v/>
      </c>
      <c r="BE252" s="1" t="str">
        <f t="shared" si="67"/>
        <v/>
      </c>
      <c r="BF252" s="1" t="str">
        <f t="shared" si="68"/>
        <v/>
      </c>
      <c r="BG252" s="1" t="str">
        <f t="shared" si="69"/>
        <v/>
      </c>
      <c r="BH252" s="1" t="str">
        <f t="shared" si="70"/>
        <v/>
      </c>
      <c r="BI252" s="1" t="str">
        <f t="shared" si="71"/>
        <v/>
      </c>
      <c r="BJ252" s="1" t="str">
        <f t="shared" si="72"/>
        <v/>
      </c>
      <c r="BK252" s="1" t="str">
        <f t="shared" si="73"/>
        <v/>
      </c>
      <c r="BL252" s="1" t="str">
        <f t="shared" si="74"/>
        <v/>
      </c>
      <c r="BM252" s="1" t="str">
        <f t="shared" si="75"/>
        <v/>
      </c>
      <c r="BN252" s="1" t="str">
        <f t="shared" si="76"/>
        <v/>
      </c>
      <c r="BO252" s="1" t="str">
        <f t="shared" si="77"/>
        <v/>
      </c>
      <c r="BP252" s="1" t="str">
        <f t="shared" si="78"/>
        <v/>
      </c>
      <c r="BQ252" s="1" t="str">
        <f t="shared" si="79"/>
        <v/>
      </c>
      <c r="BR252" s="1" t="str">
        <f t="shared" si="80"/>
        <v/>
      </c>
      <c r="BS252" s="1" t="str">
        <f t="shared" si="81"/>
        <v/>
      </c>
      <c r="BT252" s="1"/>
    </row>
  </sheetData>
  <sortState ref="AV2:AV188">
    <sortCondition ref="AV2"/>
  </sortState>
  <pageMargins left="0.7" right="0.7" top="0.75" bottom="0.75" header="0.3" footer="0.3"/>
  <pageSetup orientation="portrait" horizontalDpi="0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4B0EAC4-2986-47AD-BE2D-7A7D7FF544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55</vt:i4>
      </vt:variant>
    </vt:vector>
  </HeadingPairs>
  <TitlesOfParts>
    <vt:vector size="83" baseType="lpstr">
      <vt:lpstr>Main</vt:lpstr>
      <vt:lpstr>TargetTrain Lists</vt:lpstr>
      <vt:lpstr>Preset Teams</vt:lpstr>
      <vt:lpstr>Preset Teams SF</vt:lpstr>
      <vt:lpstr>Doll</vt:lpstr>
      <vt:lpstr>Equip</vt:lpstr>
      <vt:lpstr>Fairy</vt:lpstr>
      <vt:lpstr>HOC</vt:lpstr>
      <vt:lpstr>SF</vt:lpstr>
      <vt:lpstr>SF Chip</vt:lpstr>
      <vt:lpstr>SF Team</vt:lpstr>
      <vt:lpstr>Mission_Act_Info</vt:lpstr>
      <vt:lpstr>Spot_Act_Info_Day</vt:lpstr>
      <vt:lpstr>Spot_Act_Info_Night</vt:lpstr>
      <vt:lpstr>GFBattleSimulator</vt:lpstr>
      <vt:lpstr>G&amp;K Stat Calc</vt:lpstr>
      <vt:lpstr>SF Stat Calc</vt:lpstr>
      <vt:lpstr>Fairy Data</vt:lpstr>
      <vt:lpstr>Talent Data</vt:lpstr>
      <vt:lpstr>Strat Buff Data</vt:lpstr>
      <vt:lpstr>Equip Data</vt:lpstr>
      <vt:lpstr>Doll Data</vt:lpstr>
      <vt:lpstr>SF Data</vt:lpstr>
      <vt:lpstr>SF Chip Data</vt:lpstr>
      <vt:lpstr>SF Resolution</vt:lpstr>
      <vt:lpstr>Exp Tables</vt:lpstr>
      <vt:lpstr>Misc Inputs</vt:lpstr>
      <vt:lpstr>Dropdowns</vt:lpstr>
      <vt:lpstr>BossHP</vt:lpstr>
      <vt:lpstr>ChipJSONPath</vt:lpstr>
      <vt:lpstr>CustomStatInput</vt:lpstr>
      <vt:lpstr>DayNight</vt:lpstr>
      <vt:lpstr>DebuffSelection</vt:lpstr>
      <vt:lpstr>DollJSONPath</vt:lpstr>
      <vt:lpstr>EchelonInput</vt:lpstr>
      <vt:lpstr>EchType</vt:lpstr>
      <vt:lpstr>EnemyID</vt:lpstr>
      <vt:lpstr>EquipJSONPath</vt:lpstr>
      <vt:lpstr>equipScript</vt:lpstr>
      <vt:lpstr>FairyInput</vt:lpstr>
      <vt:lpstr>FairyJSONPath</vt:lpstr>
      <vt:lpstr>FairySkill</vt:lpstr>
      <vt:lpstr>gunScript</vt:lpstr>
      <vt:lpstr>HOCJSONPath</vt:lpstr>
      <vt:lpstr>HOCSelection</vt:lpstr>
      <vt:lpstr>HOCSupport</vt:lpstr>
      <vt:lpstr>ListOfPresets</vt:lpstr>
      <vt:lpstr>ListOfPresetsSF</vt:lpstr>
      <vt:lpstr>MissionJSON</vt:lpstr>
      <vt:lpstr>NodeColor</vt:lpstr>
      <vt:lpstr>OneStack</vt:lpstr>
      <vt:lpstr>PositionInput</vt:lpstr>
      <vt:lpstr>Preset</vt:lpstr>
      <vt:lpstr>PresetSF</vt:lpstr>
      <vt:lpstr>SeedNum</vt:lpstr>
      <vt:lpstr>SFChipJSONPath</vt:lpstr>
      <vt:lpstr>SFCustomStatInput</vt:lpstr>
      <vt:lpstr>SFEchelonInput</vt:lpstr>
      <vt:lpstr>SFHOCSelection</vt:lpstr>
      <vt:lpstr>SFJSONPath</vt:lpstr>
      <vt:lpstr>SFPositionInput</vt:lpstr>
      <vt:lpstr>sfResolScript</vt:lpstr>
      <vt:lpstr>sfScript</vt:lpstr>
      <vt:lpstr>SFTeamJSONPath</vt:lpstr>
      <vt:lpstr>SimJSON</vt:lpstr>
      <vt:lpstr>SpotDayJSON</vt:lpstr>
      <vt:lpstr>SpotNightJSON</vt:lpstr>
      <vt:lpstr>StratBuff1</vt:lpstr>
      <vt:lpstr>StratBuff2</vt:lpstr>
      <vt:lpstr>StratBuff3</vt:lpstr>
      <vt:lpstr>StratConfig1</vt:lpstr>
      <vt:lpstr>StratConfig2</vt:lpstr>
      <vt:lpstr>StratConfig3</vt:lpstr>
      <vt:lpstr>StrategyInput</vt:lpstr>
      <vt:lpstr>StratSkill1</vt:lpstr>
      <vt:lpstr>StratSL1</vt:lpstr>
      <vt:lpstr>StratSL2</vt:lpstr>
      <vt:lpstr>StratSL3</vt:lpstr>
      <vt:lpstr>ThreeStack</vt:lpstr>
      <vt:lpstr>TurnNum</vt:lpstr>
      <vt:lpstr>TwoStack</vt:lpstr>
      <vt:lpstr>UseCustomStats</vt:lpstr>
      <vt:lpstr>UseSFCustomHP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Danny Ly</dc:creator>
  <cp:lastModifiedBy>Randomqwerty</cp:lastModifiedBy>
  <dcterms:created xsi:type="dcterms:W3CDTF">2021-03-06T22:53:28Z</dcterms:created>
  <dcterms:modified xsi:type="dcterms:W3CDTF">2022-07-14T01:56:31Z</dcterms:modified>
</cp:coreProperties>
</file>