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9"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4478EE7B-254D-4439-845F-07FA0F9E6EA2}"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9" i="52" l="1"/>
  <c r="AC18" i="52"/>
  <c r="AC17" i="52"/>
  <c r="AC16" i="52"/>
  <c r="AC15" i="52"/>
  <c r="AC14" i="52"/>
  <c r="AC13" i="52"/>
  <c r="AC12" i="52"/>
  <c r="AC11" i="52"/>
  <c r="AC10" i="52"/>
  <c r="AC9" i="52"/>
  <c r="AC8" i="52"/>
  <c r="AC7" i="52"/>
  <c r="AC6" i="52"/>
  <c r="AC5" i="52"/>
  <c r="AC4" i="52"/>
  <c r="AC2" i="52"/>
  <c r="AE4" i="52"/>
  <c r="AF4" i="52"/>
  <c r="AG4" i="52"/>
  <c r="AE5" i="52"/>
  <c r="AF5" i="52"/>
  <c r="AG5" i="52"/>
  <c r="AE6" i="52"/>
  <c r="AF6" i="52"/>
  <c r="AG6" i="52"/>
  <c r="AE7" i="52"/>
  <c r="AF7" i="52"/>
  <c r="AG7" i="52"/>
  <c r="AE8" i="52"/>
  <c r="AF8" i="52"/>
  <c r="AG8" i="52"/>
  <c r="AE9" i="52"/>
  <c r="AF9" i="52"/>
  <c r="AG9" i="52"/>
  <c r="AE10" i="52"/>
  <c r="AF10" i="52"/>
  <c r="AG10" i="52"/>
  <c r="AE11" i="52"/>
  <c r="AF11" i="52"/>
  <c r="AG11" i="52"/>
  <c r="AE12" i="52"/>
  <c r="AF12" i="52"/>
  <c r="AG12" i="52"/>
  <c r="AE13" i="52"/>
  <c r="AF13" i="52"/>
  <c r="AG13" i="52"/>
  <c r="AE14" i="52"/>
  <c r="AF14" i="52"/>
  <c r="AG14" i="52"/>
  <c r="AE15" i="52"/>
  <c r="AF15" i="52"/>
  <c r="AG15" i="52"/>
  <c r="AE16" i="52"/>
  <c r="AF16" i="52"/>
  <c r="AG16" i="52"/>
  <c r="AE17" i="52"/>
  <c r="AF17" i="52"/>
  <c r="AG17" i="52"/>
  <c r="AE18" i="52"/>
  <c r="AF18" i="52"/>
  <c r="AG18" i="52"/>
  <c r="AE19" i="52"/>
  <c r="AF19" i="52"/>
  <c r="AG19" i="52"/>
  <c r="AG2" i="52"/>
  <c r="AF2" i="52"/>
  <c r="AE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3" i="52" l="1"/>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Y2" i="52" l="1"/>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22" i="3" l="1"/>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<sst xmlns="http://schemas.openxmlformats.org/spreadsheetml/2006/main" count="27902" uniqueCount="8874">
  <si>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</si>
  <si>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</si>
  <si>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</si>
  <si>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</si>
  <si>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</si>
  <si>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</si>
  <si>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</si>
  <si>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</si>
  <si>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</si>
  <si>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</si>
  <si>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</si>
  <si>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</si>
  <si>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</si>
  <si>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</si>
  <si>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</si>
  <si>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</si>
  <si>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</si>
  <si>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</si>
  <si>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</si>
  <si>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</si>
  <si>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</si>
  <si>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</si>
  <si>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</si>
  <si>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</si>
  <si>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</si>
  <si>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</si>
  <si>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</si>
  <si>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</si>
  <si>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</si>
  <si>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</si>
  <si>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</si>
  <si>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</si>
  <si>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</si>
  <si>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</si>
  <si>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</si>
  <si>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</si>
  <si>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</si>
  <si>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</si>
  <si>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</si>
  <si>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</si>
  <si>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</si>
  <si>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</si>
  <si>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</si>
  <si>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</si>
  <si>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</si>
  <si>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</si>
  <si>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</si>
  <si>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</si>
  <si>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</si>
  <si>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</si>
  <si>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</si>
  <si>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</si>
  <si>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</si>
  <si>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</si>
  <si>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</si>
  <si>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</si>
  <si>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</si>
  <si>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</si>
  <si>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</si>
  <si>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</si>
  <si>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</si>
  <si>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</si>
  <si>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</si>
  <si>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</si>
  <si>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</si>
  <si>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</si>
  <si>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</si>
  <si>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</si>
  <si>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</si>
  <si>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</si>
  <si>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</si>
  <si>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</si>
  <si>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</si>
  <si>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</si>
  <si>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</si>
  <si>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</si>
  <si>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</si>
  <si>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</si>
  <si>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</si>
  <si>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</si>
  <si>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</si>
  <si>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</si>
  <si>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</si>
  <si>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</si>
  <si>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</si>
  <si>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</si>
  <si>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</si>
  <si>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</si>
  <si>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</si>
  <si>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</si>
  <si>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</si>
  <si>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</si>
  <si>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</si>
  <si>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</si>
  <si>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</si>
  <si>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</si>
  <si>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</si>
  <si>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</si>
  <si>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</si>
  <si>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</si>
  <si>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</si>
  <si>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</si>
  <si>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</si>
  <si>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</si>
  <si>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</si>
  <si>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</si>
  <si>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</si>
  <si>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</si>
  <si>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</si>
  <si>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</si>
  <si>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</si>
  <si>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</si>
  <si>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</si>
  <si>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</si>
  <si>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</si>
  <si>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</si>
  <si>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</si>
  <si>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</si>
  <si>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</si>
  <si>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</si>
  <si>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</si>
  <si>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</si>
  <si>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</si>
  <si>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</si>
  <si>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</si>
  <si>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</si>
  <si>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</si>
  <si>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</si>
  <si>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</si>
  <si>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</si>
  <si>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</si>
  <si>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</si>
  <si>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</si>
  <si>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</si>
  <si>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</si>
  <si>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</si>
  <si>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</si>
  <si>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</si>
  <si>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</si>
  <si>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</si>
  <si>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</si>
  <si>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</si>
  <si>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</si>
  <si>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</si>
  <si>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</si>
  <si>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</si>
  <si>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</si>
  <si>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</si>
  <si>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</si>
  <si>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</si>
  <si>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</si>
  <si>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</si>
  <si>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</si>
  <si>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</si>
  <si>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</si>
  <si>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</si>
  <si>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</si>
  <si>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</si>
  <si>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</si>
  <si>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</si>
  <si>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</si>
  <si>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</si>
  <si>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</si>
  <si>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</si>
  <si>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</si>
  <si>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</si>
  <si>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</si>
  <si>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</si>
  <si>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</si>
  <si>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</si>
  <si>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</si>
  <si>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</si>
  <si>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</si>
  <si>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</si>
  <si>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</si>
  <si>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</si>
  <si>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</si>
  <si>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</si>
  <si>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</si>
  <si>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</si>
  <si>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</si>
  <si>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</si>
  <si>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</si>
  <si>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</si>
  <si>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</si>
  <si>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</si>
  <si>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</si>
  <si>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</si>
  <si>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</si>
  <si>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</si>
  <si>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</si>
  <si>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</si>
  <si>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</si>
  <si>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</si>
  <si>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</si>
  <si>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</si>
  <si>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</si>
  <si>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</si>
  <si>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</si>
  <si>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</si>
  <si>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</si>
  <si>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</si>
  <si>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</si>
  <si>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</si>
  <si>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</si>
  <si>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</si>
  <si>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</si>
  <si>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</si>
  <si>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</si>
  <si>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</si>
  <si>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</si>
  <si>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</si>
  <si>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</si>
  <si>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</si>
  <si>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</si>
  <si>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</si>
  <si>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</si>
  <si>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</si>
  <si>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</si>
  <si>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</si>
  <si>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</si>
  <si>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</si>
  <si>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</si>
  <si>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</si>
  <si>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</si>
  <si>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</si>
  <si>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</si>
  <si>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</si>
  <si>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</si>
  <si>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</si>
  <si>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</si>
  <si>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</si>
  <si>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</si>
  <si>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</si>
  <si>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</si>
  <si>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</si>
  <si>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</si>
  <si>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</si>
  <si>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</si>
  <si>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</si>
  <si>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</si>
  <si>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</si>
  <si>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</si>
  <si>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</si>
  <si>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</si>
  <si>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</si>
  <si>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</si>
  <si>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</si>
  <si>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</si>
  <si>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</si>
  <si>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</si>
  <si>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</si>
  <si>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</si>
  <si>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</si>
  <si>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</si>
  <si>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</si>
  <si>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</si>
  <si>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</si>
  <si>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</si>
  <si>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</si>
  <si>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</si>
  <si>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</si>
  <si>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</si>
  <si>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</si>
  <si>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</si>
  <si>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</si>
  <si>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</si>
  <si>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</si>
  <si>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</si>
  <si>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</si>
  <si>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</si>
  <si>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</si>
  <si>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</si>
  <si>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</si>
  <si>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</si>
  <si>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</si>
  <si>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</si>
  <si>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</si>
  <si>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</si>
  <si>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</si>
  <si>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</si>
  <si>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</si>
  <si>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</si>
  <si>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</si>
  <si>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</si>
  <si>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</si>
  <si>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</si>
  <si>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</si>
  <si>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</si>
  <si>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</si>
  <si>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</si>
  <si>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</si>
  <si>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</si>
  <si>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</si>
  <si>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</si>
  <si>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</si>
  <si>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</si>
  <si>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</si>
  <si>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</si>
  <si>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</si>
  <si>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</si>
  <si>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</si>
  <si>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</si>
  <si>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</si>
  <si>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</si>
  <si>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</si>
  <si>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</si>
  <si>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</si>
  <si>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</si>
  <si>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</si>
  <si>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</si>
  <si>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</si>
  <si>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</si>
  <si>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</si>
  <si>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</si>
  <si>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</si>
  <si>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</si>
  <si>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</si>
  <si>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</si>
  <si>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</si>
  <si>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</si>
  <si>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</si>
  <si>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</si>
  <si>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</si>
  <si>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</si>
  <si>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</si>
  <si>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</si>
  <si>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</si>
  <si>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</si>
  <si>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</si>
  <si>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</si>
  <si>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</si>
  <si>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</si>
  <si>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</si>
  <si>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</si>
  <si>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</si>
  <si>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</si>
  <si>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</si>
  <si>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</si>
  <si>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</si>
  <si>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</si>
  <si>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</si>
  <si>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</si>
  <si>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</si>
  <si>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</si>
  <si>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</si>
  <si>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</si>
  <si>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</si>
  <si>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</si>
  <si>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</si>
  <si>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</si>
  <si>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</si>
  <si>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</si>
  <si>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</si>
  <si>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</si>
  <si>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</si>
  <si>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</si>
  <si>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</si>
  <si>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</si>
  <si>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</si>
  <si>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</si>
  <si>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</si>
  <si>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</si>
  <si>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</si>
  <si>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</si>
  <si>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</si>
  <si>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</si>
  <si>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</si>
  <si>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</si>
  <si>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</si>
  <si>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</si>
  <si>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</si>
  <si>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</si>
  <si>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</si>
  <si>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</si>
  <si>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</si>
  <si>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</si>
  <si>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</si>
  <si>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</si>
  <si>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</si>
  <si>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</si>
  <si>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</si>
  <si>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</si>
  <si>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</si>
  <si>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</si>
  <si>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</si>
  <si>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</si>
  <si>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</si>
  <si>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</si>
  <si>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</si>
  <si>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</si>
  <si>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</si>
  <si>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</si>
  <si>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</si>
  <si>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</si>
  <si>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</si>
  <si>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</si>
  <si>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</si>
  <si>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</si>
  <si>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</si>
  <si>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</si>
  <si>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</si>
  <si>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</si>
  <si>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</si>
  <si>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</si>
  <si>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</si>
  <si>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</si>
  <si>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</si>
  <si>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</si>
  <si>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</si>
  <si>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</si>
  <si>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</si>
  <si>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</si>
  <si>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</si>
  <si>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</si>
  <si>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</si>
  <si>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</si>
  <si>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</si>
  <si>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</si>
  <si>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</si>
  <si>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</si>
  <si>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</si>
  <si>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</si>
  <si>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</si>
  <si>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</si>
  <si>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</si>
  <si>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</si>
  <si>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</si>
  <si>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</si>
  <si>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</si>
  <si>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</si>
  <si>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</si>
  <si>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</si>
  <si>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</si>
  <si>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</si>
  <si>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</si>
  <si>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</si>
  <si>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</si>
  <si>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</si>
  <si>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</si>
  <si>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</si>
  <si>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</si>
  <si>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</si>
  <si>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</si>
  <si>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</si>
  <si>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</si>
  <si>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</si>
  <si>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</si>
  <si>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</si>
  <si>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</si>
  <si>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</si>
  <si>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</si>
  <si>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</si>
  <si>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</si>
  <si>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</si>
  <si>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</si>
  <si>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</si>
  <si>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</si>
  <si>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</si>
  <si>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</si>
  <si>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</si>
  <si>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</si>
  <si>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</si>
  <si>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</si>
  <si>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</si>
  <si>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</si>
  <si>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</si>
  <si>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</si>
  <si>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</si>
  <si>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</si>
  <si>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</si>
  <si>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</si>
  <si>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</si>
  <si>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</si>
  <si>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</si>
  <si>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</si>
  <si>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</si>
  <si>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</si>
  <si>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</si>
  <si>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</si>
  <si>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</si>
  <si>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</si>
  <si>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</si>
  <si>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</si>
  <si>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</si>
  <si>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</si>
  <si>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</si>
  <si>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</si>
  <si>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</si>
  <si>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</si>
  <si>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</si>
  <si>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</si>
  <si>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</si>
  <si>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</si>
  <si>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</si>
  <si>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</si>
  <si>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</si>
  <si>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</si>
  <si>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</si>
  <si>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</si>
  <si>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</si>
  <si>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</si>
  <si>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</si>
  <si>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</si>
  <si>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</si>
  <si>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</si>
  <si>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</si>
  <si>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</si>
  <si>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</si>
  <si>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</si>
  <si>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</si>
  <si>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</si>
  <si>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</si>
  <si>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</si>
  <si>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</si>
  <si>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</si>
  <si>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</si>
  <si>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</si>
  <si>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</si>
  <si>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</si>
  <si>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</si>
  <si>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</si>
  <si>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</si>
  <si>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</si>
  <si>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</si>
  <si>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</si>
  <si>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</si>
  <si>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</si>
  <si>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</si>
  <si>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</si>
  <si>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</si>
  <si>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</si>
  <si>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</si>
  <si>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</si>
  <si>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</si>
  <si>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</si>
  <si>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</si>
  <si>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</si>
  <si>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</si>
  <si>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</si>
  <si>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</si>
  <si>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</si>
  <si>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</si>
  <si>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</si>
  <si>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</si>
  <si>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</si>
  <si>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</si>
  <si>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</si>
  <si>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</si>
  <si>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</si>
  <si>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</si>
  <si>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</si>
  <si>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</si>
  <si>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</si>
  <si>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</si>
  <si>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</si>
  <si>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</si>
  <si>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</si>
  <si>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</si>
  <si>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</si>
  <si>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</si>
  <si>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</si>
  <si>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</si>
  <si>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</si>
  <si>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</si>
  <si>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</si>
  <si>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</si>
  <si>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</si>
  <si>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</si>
  <si>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</si>
  <si>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</si>
  <si>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</si>
  <si>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</si>
  <si>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</si>
  <si>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</si>
  <si>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</si>
  <si>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</si>
  <si>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</si>
  <si>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</si>
  <si>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</si>
  <si>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</si>
  <si>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</si>
  <si>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</si>
  <si>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</si>
  <si>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</si>
  <si>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</si>
  <si>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</si>
  <si>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</si>
  <si>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</si>
  <si>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</si>
  <si>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</si>
  <si>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</si>
  <si>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</si>
  <si>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</si>
  <si>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</si>
  <si>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</si>
  <si>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</si>
  <si>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</si>
  <si>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</si>
  <si>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</si>
  <si>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</si>
  <si>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</si>
  <si>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</si>
  <si>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</si>
  <si>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</si>
  <si>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</si>
  <si>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</si>
  <si>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</si>
  <si>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</si>
  <si>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</si>
  <si>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</si>
  <si>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</si>
  <si>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</si>
  <si>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</si>
  <si>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</si>
  <si>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</si>
  <si>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</si>
  <si>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</si>
  <si>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</si>
  <si>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</si>
  <si>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</si>
  <si>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</si>
  <si>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</si>
  <si>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</si>
  <si>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</si>
  <si>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</si>
  <si>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</si>
  <si>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</si>
  <si>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</si>
  <si>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</si>
  <si>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</si>
  <si>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</si>
  <si>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</si>
  <si>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</si>
  <si>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</si>
  <si>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</si>
  <si>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</si>
  <si>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</si>
  <si>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</si>
  <si>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</si>
  <si>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</si>
  <si>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</si>
  <si>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</si>
  <si>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</si>
  <si>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</si>
  <si>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</si>
  <si>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</si>
  <si>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</si>
  <si>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</si>
  <si>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</si>
  <si>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</si>
  <si>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</si>
  <si>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</si>
  <si>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</si>
  <si>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</si>
  <si>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</si>
  <si>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</si>
  <si>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</si>
  <si>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</si>
  <si>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</si>
  <si>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</si>
  <si>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</si>
  <si>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</si>
  <si>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</si>
  <si>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</si>
  <si>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</si>
  <si>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</si>
  <si>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</si>
  <si>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</si>
  <si>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</si>
  <si>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</si>
  <si>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</si>
  <si>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</si>
  <si>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</si>
  <si>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</si>
  <si>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</si>
  <si>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</si>
  <si>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</si>
  <si>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</si>
  <si>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</si>
  <si>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</si>
  <si>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</si>
  <si>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</si>
  <si>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</si>
  <si>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</si>
  <si>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</si>
  <si>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</si>
  <si>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</si>
  <si>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</si>
  <si>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</si>
  <si>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</si>
  <si>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</si>
  <si>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</si>
  <si>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</si>
  <si>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</si>
  <si>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</si>
  <si>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</si>
  <si>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</si>
  <si>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</si>
  <si>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</si>
  <si>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</si>
  <si>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</si>
  <si>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</si>
  <si>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</si>
  <si>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</si>
  <si>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</si>
  <si>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</si>
  <si>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</si>
  <si>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</si>
  <si>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</si>
  <si>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</si>
  <si>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</si>
  <si>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</si>
  <si>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</si>
  <si>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</si>
  <si>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</si>
  <si>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</si>
  <si>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</si>
  <si>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</si>
  <si>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</si>
  <si>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</si>
  <si>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</si>
  <si>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</si>
  <si>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</si>
  <si>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</si>
  <si>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</si>
  <si>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</si>
  <si>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</si>
  <si>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</si>
  <si>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</si>
  <si>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</si>
  <si>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</si>
  <si>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</si>
  <si>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</si>
  <si>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</si>
  <si>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</si>
  <si>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</si>
  <si>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</si>
  <si>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</si>
  <si>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</si>
  <si>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</si>
  <si>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</si>
  <si>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</si>
  <si>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</si>
  <si>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</si>
  <si>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</si>
  <si>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</si>
  <si>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</si>
  <si>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</si>
  <si>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</si>
  <si>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</si>
  <si>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</si>
  <si>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</si>
  <si>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</si>
  <si>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</si>
  <si>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</si>
  <si>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</si>
  <si>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</si>
  <si>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</si>
  <si>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</si>
  <si>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</si>
  <si>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</si>
  <si>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</si>
  <si>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</si>
  <si>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</si>
  <si>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</si>
  <si>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</si>
  <si>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</si>
  <si>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</si>
  <si>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</si>
  <si>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</si>
  <si>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</si>
  <si>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</si>
  <si>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</si>
  <si>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</si>
  <si>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</si>
  <si>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</si>
  <si>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</si>
  <si>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</si>
  <si>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</si>
  <si>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</si>
  <si>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</si>
  <si>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</si>
  <si>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</si>
  <si>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</si>
  <si>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</si>
  <si>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</si>
  <si>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</si>
  <si>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</si>
  <si>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</si>
  <si>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</si>
  <si>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</si>
  <si>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</si>
  <si>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</si>
  <si>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</si>
  <si>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</si>
  <si>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</si>
  <si>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</si>
  <si>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</si>
  <si>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</si>
  <si>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</si>
  <si>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</si>
  <si>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</si>
  <si>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</si>
  <si>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</si>
  <si>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</si>
  <si>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</si>
  <si>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</si>
  <si>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</si>
  <si>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</si>
  <si>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</si>
  <si>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</si>
  <si>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</si>
  <si>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</si>
  <si>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</si>
  <si>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</si>
  <si>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</si>
  <si>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</si>
  <si>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</si>
  <si>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</si>
  <si>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</si>
  <si>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</si>
  <si>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</si>
  <si>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</si>
  <si>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</si>
  <si>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</si>
  <si>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</si>
  <si>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</si>
  <si>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</si>
  <si>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</si>
  <si>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</si>
  <si>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</si>
  <si>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</si>
  <si>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</si>
  <si>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</si>
  <si>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</si>
  <si>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</si>
  <si>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</si>
  <si>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</si>
  <si>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</si>
  <si>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</si>
  <si>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</si>
  <si>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</si>
  <si>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</si>
  <si>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</si>
  <si>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</si>
  <si>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</si>
  <si>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</si>
  <si>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</si>
  <si>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</si>
  <si>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</si>
  <si>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</si>
  <si>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</si>
  <si>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</si>
  <si>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</si>
  <si>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</si>
  <si>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</si>
  <si>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</si>
  <si>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</si>
  <si>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</si>
  <si>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</si>
  <si>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</si>
  <si>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</si>
  <si>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</si>
  <si>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</si>
  <si>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</si>
  <si>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</si>
  <si>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</si>
  <si>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</si>
  <si>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</si>
  <si>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</si>
  <si>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</si>
  <si>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</si>
  <si>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</si>
  <si>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</si>
  <si>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</si>
  <si>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</si>
  <si>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</si>
  <si>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</si>
  <si>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</si>
  <si>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</si>
  <si>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</si>
  <si>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</si>
  <si>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</si>
  <si>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</si>
  <si>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</si>
  <si>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</si>
  <si>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</si>
  <si>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</si>
  <si>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</si>
  <si>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</si>
  <si>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</si>
  <si>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</si>
  <si>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</si>
  <si>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</si>
  <si>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</si>
  <si>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</si>
  <si>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</si>
  <si>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</si>
  <si>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</si>
  <si>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</si>
  <si>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</si>
  <si>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</si>
  <si>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</si>
  <si>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</si>
  <si>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</si>
  <si>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</si>
  <si>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</si>
  <si>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</si>
  <si>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</si>
  <si>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</si>
  <si>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</si>
  <si>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</si>
  <si>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</si>
  <si>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</si>
  <si>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</si>
  <si>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</si>
  <si>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</si>
  <si>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</si>
  <si>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</si>
  <si>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</si>
  <si>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</si>
  <si>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</si>
  <si>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</si>
  <si>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</si>
  <si>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</si>
  <si>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</si>
  <si>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</si>
  <si>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</si>
  <si>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</si>
  <si>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</si>
  <si>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</si>
  <si>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</si>
  <si>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</si>
  <si>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</si>
  <si>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</si>
  <si>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</si>
  <si>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</si>
  <si>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</si>
  <si>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</si>
  <si>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</si>
  <si>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</si>
  <si>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</si>
  <si>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</si>
  <si>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</si>
  <si>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</si>
  <si>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</si>
  <si>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</si>
  <si>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</si>
  <si>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</si>
  <si>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</si>
  <si>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</si>
  <si>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</si>
  <si>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</si>
  <si>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</si>
  <si>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</si>
  <si>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</si>
  <si>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</si>
  <si>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</si>
  <si>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</si>
  <si>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</si>
  <si>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</si>
  <si>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</si>
  <si>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</si>
  <si>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</si>
  <si>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</si>
  <si>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</si>
  <si>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</si>
  <si>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</si>
  <si>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</si>
  <si>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</si>
  <si>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</si>
  <si>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</si>
  <si>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</si>
  <si>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</si>
  <si>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</si>
  <si>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</si>
  <si>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</si>
  <si>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</si>
  <si>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</si>
  <si>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</si>
  <si>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</si>
  <si>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</si>
  <si>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</si>
  <si>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</si>
  <si>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</si>
  <si>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</si>
  <si>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</si>
  <si>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</si>
  <si>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</si>
  <si>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</si>
  <si>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</si>
  <si>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</si>
  <si>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</si>
  <si>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</si>
  <si>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</si>
  <si>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</si>
  <si>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</si>
  <si>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</si>
  <si>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</si>
  <si>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</si>
  <si>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</si>
  <si>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</si>
  <si>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</si>
  <si>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</si>
  <si>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</si>
  <si>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</si>
  <si>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</si>
  <si>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</si>
  <si>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</si>
  <si>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</si>
  <si>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</si>
  <si>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</si>
  <si>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</si>
  <si>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</si>
  <si>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</si>
  <si>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</si>
  <si>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</si>
  <si>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</si>
  <si>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</si>
  <si>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</si>
  <si>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</si>
  <si>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</si>
  <si>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</si>
  <si>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</si>
  <si>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</si>
  <si>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</si>
  <si>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</si>
  <si>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</si>
  <si>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</si>
  <si>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</si>
  <si>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</si>
  <si>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</si>
  <si>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</si>
  <si>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</si>
  <si>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</si>
  <si>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</si>
  <si>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</si>
  <si>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</si>
  <si>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</si>
  <si>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</si>
  <si>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</si>
  <si>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</si>
  <si>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</si>
  <si>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</si>
  <si>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</si>
  <si>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</si>
  <si>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</si>
  <si>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</si>
  <si>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</si>
  <si>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</si>
  <si>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</si>
  <si>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</si>
  <si>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</si>
  <si>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</si>
  <si>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</si>
  <si>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</si>
  <si>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</si>
  <si>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</si>
  <si>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</si>
  <si>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</si>
  <si>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</si>
  <si>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</si>
  <si>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</si>
  <si>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</si>
  <si>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</si>
  <si>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</si>
  <si>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</si>
  <si>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</si>
  <si>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</si>
  <si>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</si>
  <si>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</si>
  <si>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</si>
  <si>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</si>
  <si>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</si>
  <si>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</si>
  <si>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</si>
  <si>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</si>
  <si>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</si>
  <si>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</si>
  <si>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</si>
  <si>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</si>
  <si>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</si>
  <si>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</si>
  <si>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</si>
  <si>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</si>
  <si>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</si>
  <si>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</si>
  <si>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</si>
  <si>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</si>
  <si>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</si>
  <si>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</si>
  <si>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</si>
  <si>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</si>
  <si>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</si>
  <si>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</si>
  <si>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</si>
  <si>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</si>
  <si>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</si>
  <si>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</si>
  <si>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</si>
  <si>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</si>
  <si>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</si>
  <si>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</si>
  <si>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</si>
  <si>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</si>
  <si>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</si>
  <si>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</si>
  <si>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</si>
  <si>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</si>
  <si>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</si>
  <si>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</si>
  <si>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</si>
  <si>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</si>
  <si>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</si>
  <si>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</si>
  <si>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</si>
  <si>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</si>
  <si>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</si>
  <si>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</si>
  <si>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</si>
  <si>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</si>
  <si>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</si>
  <si>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</si>
  <si>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</si>
  <si>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</si>
  <si>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</si>
  <si>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</si>
  <si>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</si>
  <si>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</si>
  <si>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</si>
  <si>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</si>
  <si>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</si>
  <si>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</si>
  <si>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</si>
  <si>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</si>
  <si>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</si>
  <si>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</si>
  <si>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</si>
  <si>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</si>
  <si>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</si>
  <si>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</si>
  <si>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</si>
  <si>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</si>
  <si>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</si>
  <si>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</si>
  <si>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</si>
  <si>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</si>
  <si>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</si>
  <si>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</si>
  <si>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</si>
  <si>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</si>
  <si>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</si>
  <si>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</si>
  <si>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</si>
  <si>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</si>
  <si>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</si>
  <si>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</si>
  <si>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</si>
  <si>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</si>
  <si>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</si>
  <si>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</si>
  <si>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</si>
  <si>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</si>
  <si>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</si>
  <si>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</si>
  <si>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</si>
  <si>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</si>
  <si>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</si>
  <si>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</si>
  <si>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</si>
  <si>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</si>
  <si>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</si>
  <si>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</si>
  <si>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</si>
  <si>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</si>
  <si>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</si>
  <si>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</si>
  <si>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</si>
  <si>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</si>
  <si>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</si>
  <si>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</si>
  <si>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</si>
  <si>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</si>
  <si>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</si>
  <si>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</si>
  <si>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</si>
  <si>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</si>
  <si>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</si>
  <si>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</si>
  <si>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</si>
  <si>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</si>
  <si>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</si>
  <si>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</si>
  <si>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</si>
  <si>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</si>
  <si>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</si>
  <si>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</si>
  <si>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</si>
  <si>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</si>
  <si>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</si>
  <si>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</si>
  <si>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</si>
  <si>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</si>
  <si>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</si>
  <si>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</si>
  <si>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</si>
  <si>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</si>
  <si>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</si>
  <si>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</si>
  <si>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</si>
  <si>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</si>
  <si>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</si>
  <si>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</si>
  <si>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</si>
  <si>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</si>
  <si>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</si>
  <si>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</si>
  <si>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</si>
  <si>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</si>
  <si>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</si>
  <si>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</si>
  <si>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</si>
  <si>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</si>
  <si>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</si>
  <si>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</si>
  <si>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</si>
  <si>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</si>
  <si>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</si>
  <si>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</si>
  <si>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</si>
  <si>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</si>
  <si>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</si>
  <si>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</si>
  <si>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</si>
  <si>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</si>
  <si>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</si>
  <si>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</si>
  <si>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</si>
  <si>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</si>
  <si>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</si>
  <si>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</si>
  <si>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</si>
  <si>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</si>
  <si>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</si>
  <si>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</si>
  <si>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</si>
  <si>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</si>
  <si>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</si>
  <si>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</si>
  <si>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</si>
  <si>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</si>
  <si>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</si>
  <si>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</si>
  <si>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</si>
  <si>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</si>
  <si>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</si>
  <si>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</si>
  <si>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</si>
  <si>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</si>
  <si>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</si>
  <si>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</si>
  <si>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</si>
  <si>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</si>
  <si>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</si>
  <si>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</si>
  <si>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</si>
  <si>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</si>
  <si>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</si>
  <si>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</si>
  <si>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</si>
  <si>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</si>
  <si>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</si>
  <si>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</si>
  <si>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</si>
  <si>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</si>
  <si>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</si>
  <si>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</si>
  <si>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</si>
  <si>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</si>
  <si>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</si>
  <si>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</si>
  <si>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</si>
  <si>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</si>
  <si>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</si>
  <si>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</si>
  <si>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</si>
  <si>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</si>
  <si>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</si>
  <si>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</si>
  <si>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</si>
  <si>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</si>
  <si>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</si>
  <si>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</si>
  <si>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</si>
  <si>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</si>
  <si>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</si>
  <si>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</si>
  <si>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</si>
  <si>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</si>
  <si>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</si>
  <si>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</si>
  <si>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</si>
  <si>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</si>
  <si>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</si>
  <si>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</si>
  <si>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</si>
  <si>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</si>
  <si>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</si>
  <si>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</si>
  <si>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</si>
  <si>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</si>
  <si>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</si>
  <si>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</si>
  <si>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</si>
  <si>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</si>
  <si>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</si>
  <si>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</si>
  <si>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</si>
  <si>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</si>
  <si>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</si>
  <si>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</si>
  <si>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</si>
  <si>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</si>
  <si>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</si>
  <si>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</si>
  <si>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</si>
  <si>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</si>
  <si>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</si>
  <si>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</si>
  <si>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</si>
  <si>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</si>
  <si>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</si>
  <si>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</si>
  <si>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</si>
  <si>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</si>
  <si>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</si>
  <si>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</si>
  <si>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</si>
  <si>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</si>
  <si>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</si>
  <si>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</si>
  <si>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</si>
  <si>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</si>
  <si>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</si>
  <si>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</si>
  <si>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</si>
  <si>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</si>
  <si>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</si>
  <si>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</si>
  <si>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</si>
  <si>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</si>
  <si>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</si>
  <si>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</si>
  <si>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</si>
  <si>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</si>
  <si>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</si>
  <si>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</si>
  <si>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</si>
  <si>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</si>
  <si>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</si>
  <si>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</si>
  <si>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</si>
  <si>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</si>
  <si>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</si>
  <si>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</si>
  <si>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</si>
  <si>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</si>
  <si>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</si>
  <si>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</si>
  <si>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</si>
  <si>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</si>
  <si>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</si>
  <si>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</si>
  <si>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</si>
  <si>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</si>
  <si>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</si>
  <si>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</si>
  <si>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</si>
  <si>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</si>
  <si>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</si>
  <si>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</si>
  <si>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</si>
  <si>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</si>
  <si>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</si>
  <si>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</si>
  <si>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</si>
  <si>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</si>
  <si>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</si>
  <si>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</si>
  <si>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</si>
  <si>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</si>
  <si>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</si>
  <si>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</si>
  <si>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</si>
  <si>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</si>
  <si>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</si>
  <si>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</si>
  <si>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</si>
  <si>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</si>
  <si>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</si>
  <si>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</si>
  <si>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</si>
  <si>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</si>
  <si>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</si>
  <si>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</si>
  <si>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</si>
  <si>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</si>
  <si>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</si>
  <si>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</si>
  <si>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</si>
  <si>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</si>
  <si>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</si>
  <si>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</si>
  <si>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</si>
  <si>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</si>
  <si>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</si>
  <si>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</si>
  <si>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</si>
  <si>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</si>
  <si>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</si>
  <si>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</si>
  <si>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</si>
  <si>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</si>
  <si>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</si>
  <si>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</si>
  <si>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</si>
  <si>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</si>
  <si>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</si>
  <si>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</si>
  <si>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</si>
  <si>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</si>
  <si>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</si>
  <si>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</si>
  <si>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</si>
  <si>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</si>
  <si>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</si>
  <si>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</si>
  <si>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</si>
  <si>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</si>
  <si>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</si>
  <si>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</si>
  <si>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</si>
  <si>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</si>
  <si>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</si>
  <si>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</si>
  <si>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</si>
  <si>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</si>
  <si>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</si>
  <si>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</si>
  <si>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</si>
  <si>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</si>
  <si>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</si>
  <si>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</si>
  <si>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</si>
  <si>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</si>
  <si>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</si>
  <si>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</si>
  <si>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</si>
  <si>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</si>
  <si>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</si>
  <si>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</si>
  <si>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</si>
  <si>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</si>
  <si>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</si>
  <si>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</si>
  <si>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</si>
  <si>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</si>
  <si>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</si>
  <si>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</si>
  <si>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</si>
  <si>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</si>
  <si>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</si>
  <si>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</si>
  <si>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</si>
  <si>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</si>
  <si>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</si>
  <si>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</si>
  <si>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</si>
  <si>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</si>
  <si>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</si>
  <si>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</si>
  <si>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</si>
  <si>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</si>
  <si>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</si>
  <si>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</si>
  <si>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</si>
  <si>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</si>
  <si>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</si>
  <si>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</si>
  <si>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</si>
  <si>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</si>
  <si>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</si>
  <si>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</si>
  <si>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</si>
  <si>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</si>
  <si>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</si>
  <si>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</si>
  <si>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</si>
  <si>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</si>
  <si>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</si>
  <si>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</si>
  <si>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</si>
  <si>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</si>
  <si>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</si>
  <si>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</si>
  <si>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</si>
  <si>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</si>
  <si>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</si>
  <si>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</si>
  <si>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</si>
  <si>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</si>
  <si>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</si>
  <si>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</si>
  <si>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</si>
  <si>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</si>
  <si>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</si>
  <si>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</si>
  <si>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</si>
  <si>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</si>
  <si>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</si>
  <si>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</si>
  <si>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</si>
  <si>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</si>
  <si>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</si>
  <si>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</si>
  <si>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</si>
  <si>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</si>
  <si>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</si>
  <si>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</si>
  <si>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</si>
  <si>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</si>
  <si>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</si>
  <si>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</si>
  <si>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</si>
  <si>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</si>
  <si>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</si>
  <si>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</si>
  <si>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</si>
  <si>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</si>
  <si>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</si>
  <si>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</si>
  <si>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</si>
  <si>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</si>
  <si>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</si>
  <si>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</si>
  <si>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</si>
  <si>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</si>
  <si>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</si>
  <si>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</si>
  <si>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</si>
  <si>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</si>
  <si>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</si>
  <si>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</si>
  <si>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</si>
  <si>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</si>
  <si>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</si>
  <si>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</si>
  <si>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</si>
  <si>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</si>
  <si>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</si>
  <si>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</si>
  <si>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</si>
  <si>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</si>
  <si>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</si>
  <si>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</si>
  <si>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</si>
  <si>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</si>
  <si>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</si>
  <si>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</si>
  <si>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</si>
  <si>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</si>
  <si>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</si>
  <si>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</si>
  <si>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</si>
  <si>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</si>
  <si>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</si>
  <si>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</si>
  <si>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</si>
  <si>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</si>
  <si>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</si>
  <si>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</si>
  <si>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</si>
  <si>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</si>
  <si>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</si>
  <si>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</si>
  <si>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</si>
  <si>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</si>
  <si>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</si>
  <si>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</si>
  <si>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</si>
  <si>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</si>
  <si>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</si>
  <si>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</si>
  <si>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</si>
  <si>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</si>
  <si>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</si>
  <si>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</si>
  <si>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</si>
  <si>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</si>
  <si>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</si>
  <si>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</si>
  <si>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</si>
  <si>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</si>
  <si>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</si>
  <si>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</si>
  <si>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</si>
  <si>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</si>
  <si>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</si>
  <si>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</si>
  <si>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</si>
  <si>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</si>
  <si>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</si>
  <si>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</si>
  <si>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</si>
  <si>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</si>
  <si>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</si>
  <si>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</si>
  <si>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</si>
  <si>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</si>
  <si>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</si>
  <si>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</si>
  <si>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</si>
  <si>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</si>
  <si>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</si>
  <si>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</si>
  <si>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</si>
  <si>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</si>
  <si>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</si>
  <si>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</si>
  <si>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</si>
  <si>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</si>
  <si>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</si>
  <si>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</si>
  <si>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</si>
  <si>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</si>
  <si>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</si>
  <si>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</si>
  <si>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</si>
  <si>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</si>
  <si>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</si>
  <si>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</si>
  <si>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</si>
  <si>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</si>
  <si>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</si>
  <si>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</si>
  <si>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</si>
  <si>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</si>
  <si>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</si>
  <si>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</si>
  <si>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</si>
  <si>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</si>
  <si>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</si>
  <si>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</si>
  <si>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</si>
  <si>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</si>
  <si>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</si>
  <si>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</si>
  <si>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</si>
  <si>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</si>
  <si>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</si>
  <si>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</si>
  <si>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</si>
  <si>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</si>
  <si>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</si>
  <si>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</si>
  <si>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</si>
  <si>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</si>
  <si>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</si>
  <si>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</si>
  <si>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</si>
  <si>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</si>
  <si>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</si>
  <si>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</si>
  <si>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</si>
  <si>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</si>
  <si>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</si>
  <si>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</si>
  <si>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</si>
  <si>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</si>
  <si>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</si>
  <si>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</si>
  <si>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</si>
  <si>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</si>
  <si>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</si>
  <si>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</si>
  <si>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</si>
  <si>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</si>
  <si>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</si>
  <si>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</si>
  <si>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</si>
  <si>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</si>
  <si>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</si>
  <si>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</si>
  <si>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</si>
  <si>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</si>
  <si>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</si>
  <si>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</si>
  <si>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</si>
  <si>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</si>
  <si>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</si>
  <si>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</si>
  <si>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</si>
  <si>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</si>
  <si>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</si>
  <si>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</si>
  <si>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</si>
  <si>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</si>
  <si>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</si>
  <si>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</si>
  <si>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</si>
  <si>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</si>
  <si>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</si>
  <si>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</si>
  <si>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</si>
  <si>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</si>
  <si>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</si>
  <si>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</si>
  <si>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</si>
  <si>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</si>
  <si>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</si>
  <si>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</si>
  <si>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</si>
  <si>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</si>
  <si>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</si>
  <si>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</si>
  <si>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</si>
  <si>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</si>
  <si>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</si>
  <si>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</si>
  <si>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</si>
  <si>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</si>
  <si>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</si>
  <si>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</si>
  <si>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</si>
  <si>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</si>
  <si>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</si>
  <si>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</si>
  <si>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</si>
  <si>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</si>
  <si>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</si>
  <si>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</si>
  <si>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</si>
  <si>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</si>
  <si>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</si>
  <si>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</si>
  <si>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</si>
  <si>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</si>
  <si>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</si>
  <si>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</si>
  <si>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</si>
  <si>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</si>
  <si>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</si>
  <si>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</si>
  <si>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</si>
  <si>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</si>
  <si>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</si>
  <si>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</si>
  <si>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</si>
  <si>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</si>
  <si>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</si>
  <si>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</si>
  <si>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</si>
  <si>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</si>
  <si>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</si>
  <si>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</si>
  <si>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</si>
  <si>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</si>
  <si>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</si>
  <si>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</si>
  <si>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</si>
  <si>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</si>
  <si>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</si>
  <si>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</si>
  <si>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</si>
  <si>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</si>
  <si>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</si>
  <si>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</si>
  <si>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</si>
  <si>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</si>
  <si>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</si>
  <si>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</si>
  <si>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</si>
  <si>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</si>
  <si>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</si>
  <si>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</si>
  <si>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</si>
  <si>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</si>
  <si>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</si>
  <si>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</si>
  <si>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</si>
  <si>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</si>
  <si>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</si>
  <si>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</si>
  <si>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</si>
  <si>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</si>
  <si>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</si>
  <si>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</si>
  <si>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</si>
  <si>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</si>
  <si>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</si>
  <si>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</si>
  <si>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</si>
  <si>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</si>
  <si>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</si>
  <si>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</si>
  <si>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</si>
  <si>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</si>
  <si>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</si>
  <si>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</si>
  <si>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</si>
  <si>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</si>
  <si>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</si>
  <si>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</si>
  <si>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</si>
  <si>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</si>
  <si>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</si>
  <si>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</si>
  <si>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</si>
  <si>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</si>
  <si>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</si>
  <si>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</si>
  <si>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</si>
  <si>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</si>
  <si>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</si>
  <si>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</si>
  <si>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</si>
  <si>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</si>
  <si>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</si>
  <si>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</si>
  <si>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</si>
  <si>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</si>
  <si>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</si>
  <si>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</si>
  <si>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</si>
  <si>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</si>
  <si>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</si>
  <si>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</si>
  <si>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</si>
  <si>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</si>
  <si>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</si>
  <si>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</si>
  <si>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</si>
  <si>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</si>
  <si>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</si>
  <si>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</si>
  <si>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</si>
  <si>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</si>
  <si>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</si>
  <si>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</si>
  <si>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</si>
  <si>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</si>
  <si>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</si>
  <si>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</si>
  <si>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</si>
  <si>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</si>
  <si>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</si>
  <si>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</si>
  <si>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</si>
  <si>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</si>
  <si>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</si>
  <si>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</si>
  <si>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</si>
  <si>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</si>
  <si>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</si>
  <si>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</si>
  <si>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</si>
  <si>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</si>
  <si>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</si>
  <si>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</si>
  <si>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</si>
  <si>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</si>
  <si>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</si>
  <si>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</si>
  <si>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</si>
  <si>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</si>
  <si>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</si>
  <si>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</si>
  <si>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</si>
  <si>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</si>
  <si>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</si>
  <si>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</si>
  <si>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</si>
  <si>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</si>
  <si>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</si>
  <si>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</si>
  <si>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</si>
  <si>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</si>
  <si>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</si>
  <si>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</si>
  <si>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</si>
  <si>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</si>
  <si>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</si>
  <si>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</si>
  <si>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</si>
  <si>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</si>
  <si>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</si>
  <si>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</si>
  <si>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</si>
  <si>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</si>
  <si>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</si>
  <si>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</si>
  <si>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</si>
  <si>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</si>
  <si>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</si>
  <si>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</si>
  <si>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</si>
  <si>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</si>
  <si>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</si>
  <si>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</si>
  <si>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</si>
  <si>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</si>
  <si>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</si>
  <si>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</si>
  <si>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</si>
  <si>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</si>
  <si>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</si>
  <si>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</si>
  <si>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</si>
  <si>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</si>
  <si>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</si>
  <si>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</si>
  <si>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</si>
  <si>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</si>
  <si>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</si>
  <si>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</si>
  <si>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</si>
  <si>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</si>
  <si>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</si>
  <si>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</si>
  <si>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</si>
  <si>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</si>
  <si>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</si>
  <si>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</si>
  <si>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</si>
  <si>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</si>
  <si>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</si>
  <si>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</si>
  <si>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</si>
  <si>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</si>
  <si>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</si>
  <si>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</si>
  <si>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</si>
  <si>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</si>
  <si>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</si>
  <si>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</si>
  <si>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</si>
  <si>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</si>
  <si>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</si>
  <si>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</si>
  <si>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</si>
  <si>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</si>
  <si>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</si>
  <si>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</si>
  <si>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</si>
  <si>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</si>
  <si>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</si>
  <si>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</si>
  <si>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</si>
  <si>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</si>
  <si>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</si>
  <si>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</si>
  <si>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</si>
  <si>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</si>
  <si>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</si>
  <si>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</si>
  <si>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</si>
  <si>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</si>
  <si>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</si>
  <si>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</si>
  <si>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</si>
  <si>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</si>
  <si>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</si>
  <si>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</si>
  <si>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</si>
  <si>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</si>
  <si>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</si>
  <si>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</si>
  <si>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</si>
  <si>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</si>
  <si>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</si>
  <si>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</si>
  <si>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</si>
  <si>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</si>
  <si>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</si>
  <si>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</si>
  <si>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</si>
  <si>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</si>
  <si>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</si>
  <si>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</si>
  <si>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</si>
  <si>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</si>
  <si>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</si>
  <si>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</si>
  <si>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</si>
  <si>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</si>
  <si>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</si>
  <si>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</si>
  <si>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</si>
  <si>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</si>
  <si>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</si>
  <si>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</si>
  <si>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</si>
  <si>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</si>
  <si>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</si>
  <si>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</si>
  <si>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</si>
  <si>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</si>
  <si>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</si>
  <si>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</si>
  <si>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</si>
  <si>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</si>
  <si>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</si>
  <si>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</si>
  <si>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</si>
  <si>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</si>
  <si>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</si>
  <si>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</si>
  <si>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</si>
  <si>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</si>
  <si>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</si>
  <si>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</si>
  <si>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</si>
  <si>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</si>
  <si>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</si>
  <si>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</si>
  <si>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</si>
  <si>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</si>
  <si>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</si>
  <si>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</si>
  <si>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</si>
  <si>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</si>
  <si>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</si>
  <si>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</si>
  <si>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</si>
  <si>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</si>
  <si>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</si>
  <si>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</si>
  <si>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</si>
  <si>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</si>
  <si>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</si>
  <si>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</si>
  <si>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</si>
  <si>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</si>
  <si>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</si>
  <si>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</si>
  <si>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</si>
  <si>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</si>
  <si>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</si>
  <si>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</si>
  <si>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</si>
  <si>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</si>
  <si>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</si>
  <si>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</si>
  <si>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</si>
  <si>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</si>
  <si>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</si>
  <si>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</si>
  <si>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</si>
  <si>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</si>
  <si>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</si>
  <si>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</si>
  <si>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</si>
  <si>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</si>
  <si>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</si>
  <si>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</si>
  <si>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</si>
  <si>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</si>
  <si>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</si>
  <si>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</si>
  <si>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</si>
  <si>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</si>
  <si>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</si>
  <si>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</si>
  <si>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</si>
  <si>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</si>
  <si>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</si>
  <si>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</si>
  <si>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</si>
  <si>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</si>
  <si>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</si>
  <si>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</si>
  <si>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</si>
  <si>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</si>
  <si>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</si>
  <si>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</si>
  <si>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</si>
  <si>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</si>
  <si>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</si>
  <si>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</si>
  <si>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</si>
  <si>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</si>
  <si>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</si>
  <si>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</si>
  <si>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</si>
  <si>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</si>
  <si>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</si>
  <si>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</si>
  <si>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</si>
  <si>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</si>
  <si>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</si>
  <si>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</si>
  <si>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</si>
  <si>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</si>
  <si>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</si>
  <si>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</si>
  <si>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</si>
  <si>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</si>
  <si>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</si>
  <si>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</si>
  <si>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</si>
  <si>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</si>
  <si>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</si>
  <si>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</si>
  <si>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</si>
  <si>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</si>
  <si>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</si>
  <si>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</si>
  <si>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</si>
  <si>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</si>
  <si>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</si>
  <si>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</si>
  <si>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</si>
  <si>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</si>
  <si>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</si>
  <si>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</si>
  <si>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</si>
  <si>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</si>
  <si>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</si>
  <si>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</si>
  <si>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</si>
  <si>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</si>
  <si>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</si>
  <si>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</si>
  <si>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</si>
  <si>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</si>
  <si>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</si>
  <si>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</si>
  <si>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</si>
  <si>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</si>
  <si>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</si>
  <si>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</si>
  <si>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</si>
  <si>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</si>
  <si>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</si>
  <si>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</si>
  <si>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</si>
  <si>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</si>
  <si>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</si>
  <si>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</si>
  <si>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</si>
  <si>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</si>
  <si>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</si>
  <si>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</si>
  <si>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</si>
  <si>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</si>
  <si>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</si>
  <si>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</si>
  <si>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</si>
  <si>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</si>
  <si>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</si>
  <si>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</si>
  <si>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</si>
  <si>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</si>
  <si>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</si>
  <si>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</si>
  <si>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</si>
  <si>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</si>
  <si>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</si>
  <si>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</si>
  <si>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</si>
  <si>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</si>
  <si>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</si>
  <si>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</si>
  <si>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</si>
  <si>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</si>
  <si>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</si>
  <si>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</si>
  <si>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</si>
  <si>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</si>
  <si>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</si>
  <si>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</si>
  <si>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</si>
  <si>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</si>
  <si>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</si>
  <si>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</si>
  <si>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</si>
  <si>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</si>
  <si>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</si>
  <si>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</si>
  <si>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</si>
  <si>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</si>
  <si>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</si>
  <si>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</si>
  <si>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</si>
  <si>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</si>
  <si>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</si>
  <si>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</si>
  <si>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</si>
  <si>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</si>
  <si>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</si>
  <si>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</si>
  <si>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</si>
  <si>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</si>
  <si>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</si>
  <si>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</si>
  <si>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</si>
  <si>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</si>
  <si>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</si>
  <si>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</si>
  <si>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</si>
  <si>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</si>
  <si>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</si>
  <si>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</si>
  <si>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</si>
  <si>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</si>
  <si>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</si>
  <si>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</si>
  <si>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</si>
  <si>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</si>
  <si>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</si>
  <si>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</si>
  <si>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</si>
  <si>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</si>
  <si>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</si>
  <si>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</si>
  <si>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</si>
  <si>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</si>
  <si>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</si>
  <si>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</si>
  <si>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</si>
  <si>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</si>
  <si>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</si>
  <si>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</si>
  <si>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</si>
  <si>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</si>
  <si>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</si>
  <si>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</si>
  <si>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</si>
  <si>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</si>
  <si>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</si>
  <si>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</si>
  <si>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</si>
  <si>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</si>
  <si>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</si>
  <si>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</si>
  <si>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</si>
  <si>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</si>
  <si>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</si>
  <si>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</si>
  <si>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</si>
  <si>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</si>
  <si>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</si>
  <si>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</si>
  <si>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</si>
  <si>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</si>
  <si>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</si>
  <si>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</si>
  <si>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</si>
  <si>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</si>
  <si>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</si>
  <si>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</si>
  <si>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</si>
  <si>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</si>
  <si>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</si>
  <si>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</si>
  <si>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</si>
  <si>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</si>
  <si>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</si>
  <si>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</si>
  <si>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</si>
  <si>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</si>
  <si>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</si>
  <si>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</si>
  <si>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</si>
  <si>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</si>
  <si>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</si>
  <si>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</si>
  <si>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</si>
  <si>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</si>
  <si>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</si>
  <si>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</si>
  <si>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</si>
  <si>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</si>
  <si>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</si>
  <si>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</si>
  <si>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</si>
  <si>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</si>
  <si>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</si>
  <si>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</si>
  <si>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</si>
  <si>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</si>
  <si>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</si>
  <si>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</si>
  <si>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</si>
  <si>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</si>
  <si>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</si>
  <si>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</si>
  <si>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</si>
  <si>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</si>
  <si>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</si>
  <si>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</si>
  <si>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</si>
  <si>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</si>
  <si>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</si>
  <si>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</si>
  <si>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</si>
  <si>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</si>
  <si>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</si>
  <si>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</si>
  <si>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</si>
  <si>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</si>
  <si>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</si>
  <si>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</si>
  <si>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</si>
  <si>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</si>
  <si>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</si>
  <si>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</si>
  <si>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</si>
  <si>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</si>
  <si>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</si>
  <si>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</si>
  <si>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</si>
  <si>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</si>
  <si>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</si>
  <si>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</si>
  <si>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</si>
  <si>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</si>
  <si>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</si>
  <si>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</si>
  <si>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</si>
  <si>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</si>
  <si>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</si>
  <si>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</si>
  <si>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</si>
  <si>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</si>
  <si>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</si>
  <si>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</si>
  <si>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</si>
  <si>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</si>
  <si>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</si>
  <si>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</si>
  <si>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</si>
  <si>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</si>
  <si>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</si>
  <si>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</si>
  <si>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</si>
  <si>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</si>
  <si>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</si>
  <si>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</si>
  <si>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</si>
  <si>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</si>
  <si>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</si>
  <si>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</si>
  <si>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</si>
  <si>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</si>
  <si>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</si>
  <si>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</si>
  <si>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</si>
  <si>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</si>
  <si>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</si>
  <si>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</si>
  <si>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</si>
  <si>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</si>
  <si>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</si>
  <si>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</si>
  <si>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</si>
  <si>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</si>
  <si>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</si>
  <si>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</si>
  <si>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</si>
  <si>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</si>
  <si>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</si>
  <si>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</si>
  <si>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</si>
  <si>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</si>
  <si>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</si>
  <si>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</si>
  <si>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</si>
  <si>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</si>
  <si>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</si>
  <si>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</si>
  <si>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</si>
  <si>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</si>
  <si>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</si>
  <si>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</si>
  <si>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</si>
  <si>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</si>
  <si>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</si>
  <si>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</si>
  <si>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</si>
  <si>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</si>
  <si>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</si>
  <si>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</si>
  <si>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</si>
  <si>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</si>
  <si>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</si>
  <si>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</si>
  <si>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</si>
  <si>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</si>
  <si>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</si>
  <si>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</si>
  <si>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</si>
  <si>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</si>
  <si>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</si>
  <si>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</si>
  <si>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</si>
  <si>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</si>
  <si>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</si>
  <si>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</si>
  <si>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</si>
  <si>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</si>
  <si>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</si>
  <si>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</si>
  <si>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</si>
  <si>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</si>
  <si>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</si>
  <si>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</si>
  <si>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</si>
  <si>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</si>
  <si>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</si>
  <si>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</si>
  <si>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</si>
  <si>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</si>
  <si>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</si>
  <si>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</si>
  <si>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</si>
  <si>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</si>
  <si>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</si>
  <si>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</si>
  <si>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</si>
  <si>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</si>
  <si>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</si>
  <si>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</si>
  <si>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</si>
  <si>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</si>
  <si>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</si>
  <si>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</si>
  <si>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</si>
  <si>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</si>
  <si>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</si>
  <si>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</si>
  <si>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</si>
  <si>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</si>
  <si>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</si>
  <si>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</si>
  <si>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</si>
  <si>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</si>
  <si>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</si>
  <si>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</si>
  <si>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</si>
  <si>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</si>
  <si>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</si>
  <si>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</si>
  <si>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</si>
  <si>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</si>
  <si>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</si>
  <si>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</si>
  <si>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</si>
  <si>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</si>
  <si>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</si>
  <si>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</si>
  <si>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</si>
  <si>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</si>
  <si>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</si>
  <si>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</si>
  <si>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</si>
  <si>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</si>
  <si>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</si>
  <si>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</si>
  <si>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</si>
  <si>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</si>
  <si>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</si>
  <si>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</si>
  <si>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</si>
  <si>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</si>
  <si>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</si>
  <si>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</si>
  <si>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</si>
  <si>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</si>
  <si>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</si>
  <si>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</si>
  <si>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</si>
  <si>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</si>
  <si>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</si>
  <si>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</si>
  <si>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</si>
  <si>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</si>
  <si>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</si>
  <si>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</si>
  <si>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</si>
  <si>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</si>
  <si>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</si>
  <si>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</si>
  <si>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</si>
  <si>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</si>
  <si>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</si>
  <si>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</si>
  <si>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</si>
  <si>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</si>
  <si>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</si>
  <si>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</si>
  <si>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</si>
  <si>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</si>
  <si>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</si>
  <si>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</si>
  <si>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</si>
  <si>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</si>
  <si>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</si>
  <si>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</si>
  <si>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</si>
  <si>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</si>
  <si>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</si>
  <si>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</si>
  <si>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</si>
  <si>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</si>
  <si>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</si>
  <si>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</si>
  <si>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</si>
  <si>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</si>
  <si>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</si>
  <si>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</si>
  <si>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</si>
  <si>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</si>
  <si>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</si>
  <si>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</si>
  <si>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</si>
  <si>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</si>
  <si>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</si>
  <si>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</si>
  <si>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</si>
  <si>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</si>
  <si>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</si>
  <si>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</si>
  <si>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</si>
  <si>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</si>
  <si>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</si>
  <si>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</si>
  <si>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</si>
  <si>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</si>
  <si>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</si>
  <si>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</si>
  <si>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</si>
  <si>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</si>
  <si>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</si>
  <si>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</si>
  <si>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</si>
  <si>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</si>
  <si>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</si>
  <si>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</si>
  <si>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</si>
  <si>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</si>
  <si>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</si>
  <si>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</si>
  <si>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</si>
  <si>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</si>
  <si>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</si>
  <si>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</si>
  <si>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</si>
  <si>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</si>
  <si>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</si>
  <si>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</si>
  <si>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</si>
  <si>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</si>
  <si>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</si>
  <si>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</si>
  <si>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</si>
  <si>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</si>
  <si>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</si>
  <si>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</si>
  <si>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</si>
  <si>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</si>
  <si>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</si>
  <si>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</si>
  <si>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</si>
  <si>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</si>
  <si>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</si>
  <si>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</si>
  <si>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</si>
  <si>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</si>
  <si>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</si>
  <si>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</si>
  <si>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</si>
  <si>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</si>
  <si>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</si>
  <si>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</si>
  <si>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</si>
  <si>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</si>
  <si>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</si>
  <si>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</si>
  <si>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</si>
  <si>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</si>
  <si>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</si>
  <si>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</si>
  <si>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</si>
  <si>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</si>
  <si>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</si>
  <si>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</si>
  <si>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</si>
  <si>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</si>
  <si>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</si>
  <si>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</si>
  <si>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</si>
  <si>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</si>
  <si>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</si>
  <si>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</si>
  <si>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</si>
  <si>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</si>
  <si>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</si>
  <si>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</si>
  <si>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</si>
  <si>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</si>
  <si>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</si>
  <si>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</si>
  <si>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</si>
  <si>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</si>
  <si>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</si>
  <si>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</si>
  <si>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</si>
  <si>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</si>
  <si>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</si>
  <si>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</si>
  <si>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</si>
  <si>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</si>
  <si>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</si>
  <si>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</si>
  <si>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</si>
  <si>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</si>
  <si>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</si>
  <si>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</si>
  <si>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</si>
  <si>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</si>
  <si>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</si>
  <si>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</si>
  <si>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</si>
  <si>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</si>
  <si>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</si>
  <si>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</si>
  <si>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</si>
  <si>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</si>
  <si>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</si>
  <si>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</si>
  <si>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</si>
  <si>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</si>
  <si>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</si>
  <si>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</si>
  <si>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</si>
  <si>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</si>
  <si>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</si>
  <si>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</si>
  <si>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</si>
  <si>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</si>
  <si>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</si>
  <si>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</si>
  <si>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</si>
  <si>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</si>
  <si>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</si>
  <si>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</si>
  <si>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</si>
  <si>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</si>
  <si>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</si>
  <si>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</si>
  <si>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</si>
  <si>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</si>
  <si>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</si>
  <si>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</si>
  <si>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</si>
  <si>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</si>
  <si>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</si>
  <si>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</si>
  <si>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</si>
  <si>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</si>
  <si>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</si>
  <si>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</si>
  <si>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</si>
  <si>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</si>
  <si>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</si>
  <si>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</si>
  <si>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</si>
  <si>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</si>
  <si>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</si>
  <si>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</si>
  <si>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</si>
  <si>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</si>
  <si>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</si>
  <si>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</si>
  <si>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</si>
  <si>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</si>
  <si>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</si>
  <si>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</si>
  <si>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</si>
  <si>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</si>
  <si>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</si>
  <si>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</si>
  <si>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</si>
  <si>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</si>
  <si>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</si>
  <si>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</si>
  <si>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</si>
  <si>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</si>
  <si>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</si>
  <si>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</si>
  <si>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</si>
  <si>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</si>
  <si>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</si>
  <si>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</si>
  <si>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</si>
  <si>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</si>
  <si>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</si>
  <si>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</si>
  <si>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</si>
  <si>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</si>
  <si>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</si>
  <si>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</si>
  <si>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</si>
  <si>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</si>
  <si>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</si>
  <si>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</si>
  <si>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</si>
  <si>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</si>
  <si>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</si>
  <si>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</si>
  <si>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</si>
  <si>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</si>
  <si>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</si>
  <si>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</si>
  <si>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</si>
  <si>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</si>
  <si>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</si>
  <si>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</si>
  <si>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</si>
  <si>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</si>
  <si>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</si>
  <si>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</si>
  <si>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</si>
  <si>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</si>
  <si>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</si>
  <si>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</si>
  <si>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</si>
  <si>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</si>
  <si>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</si>
  <si>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</si>
  <si>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</si>
  <si>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</si>
  <si>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</si>
  <si>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</si>
  <si>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</si>
  <si>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</si>
  <si>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</si>
  <si>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</si>
  <si>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</si>
  <si>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</si>
  <si>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</si>
  <si>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</si>
  <si>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</si>
  <si>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</si>
  <si>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</si>
  <si>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</si>
  <si>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</si>
  <si>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</si>
  <si>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</si>
  <si>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</si>
  <si>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</si>
  <si>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</si>
  <si>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</si>
  <si>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</si>
  <si>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</si>
  <si>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</si>
  <si>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</si>
  <si>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</si>
  <si>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</si>
  <si>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</si>
  <si>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</si>
  <si>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</si>
  <si>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</si>
  <si>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</si>
  <si>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</si>
  <si>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</si>
  <si>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</si>
  <si>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</si>
  <si>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</si>
  <si>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</si>
  <si>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</si>
  <si>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</si>
  <si>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</si>
  <si>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</si>
  <si>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</si>
  <si>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</si>
  <si>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</si>
  <si>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</si>
  <si>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</si>
  <si>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</si>
  <si>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</si>
  <si>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</si>
  <si>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</si>
  <si>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</si>
  <si>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</si>
  <si>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</si>
  <si>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</si>
  <si>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</si>
  <si>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</si>
  <si>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</si>
  <si>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</si>
  <si>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</si>
  <si>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</si>
  <si>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</si>
  <si>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</si>
  <si>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</si>
  <si>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</si>
  <si>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</si>
  <si>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</si>
  <si>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</si>
  <si>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</si>
  <si>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</si>
  <si>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</si>
  <si>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</si>
  <si>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</si>
  <si>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</si>
  <si>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</si>
  <si>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</si>
  <si>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</si>
  <si>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</si>
  <si>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</si>
  <si>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</si>
  <si>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</si>
  <si>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</si>
  <si>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</si>
  <si>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</si>
  <si>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</si>
  <si>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</si>
  <si>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</si>
  <si>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</si>
  <si>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</si>
  <si>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</si>
  <si>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</si>
  <si>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</si>
  <si>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</si>
  <si>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</si>
  <si>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</si>
  <si>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</si>
  <si>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</si>
  <si>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</si>
  <si>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</si>
  <si>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</si>
  <si>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</si>
  <si>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</si>
  <si>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</si>
  <si>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</si>
  <si>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</si>
  <si>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</si>
  <si>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</si>
  <si>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</si>
  <si>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</si>
  <si>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</si>
  <si>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</si>
  <si>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</si>
  <si>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</si>
  <si>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</si>
  <si>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</si>
  <si>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</si>
  <si>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</si>
  <si>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</si>
  <si>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</si>
  <si>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</si>
  <si>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</si>
  <si>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</si>
  <si>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</si>
  <si>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</si>
  <si>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</si>
  <si>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</si>
  <si>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</si>
  <si>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</si>
  <si>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</si>
  <si>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</si>
  <si>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</si>
  <si>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</si>
  <si>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</si>
  <si>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</si>
  <si>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</si>
  <si>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</si>
  <si>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</si>
  <si>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</si>
  <si>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</si>
  <si>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</si>
  <si>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</si>
  <si>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</si>
  <si>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</si>
  <si>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</si>
  <si>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</si>
  <si>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</si>
  <si>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</si>
  <si>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</si>
  <si>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</si>
  <si>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</si>
  <si>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</si>
  <si>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</si>
  <si>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</si>
  <si>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</si>
  <si>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</si>
  <si>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</si>
  <si>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</si>
  <si>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</si>
  <si>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</si>
  <si>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</si>
  <si>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</si>
  <si>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</si>
  <si>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</si>
  <si>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</si>
  <si>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</si>
  <si>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</si>
  <si>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</si>
  <si>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</si>
  <si>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</si>
  <si>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</si>
  <si>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</si>
  <si>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</si>
  <si>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</si>
  <si>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</si>
  <si>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</si>
  <si>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</si>
  <si>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</si>
  <si>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</si>
  <si>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</si>
  <si>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</si>
  <si>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</si>
  <si>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</si>
  <si>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</si>
  <si>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</si>
  <si>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</si>
  <si>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</si>
  <si>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</si>
  <si>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</si>
  <si>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</si>
  <si>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</si>
  <si>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</si>
  <si>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</si>
  <si>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</si>
  <si>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</si>
  <si>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</si>
  <si>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</si>
  <si>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</si>
  <si>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</si>
  <si>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</si>
  <si>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</si>
  <si>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</si>
  <si>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</si>
  <si>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</si>
  <si>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</si>
  <si>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</si>
  <si>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</si>
  <si>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</si>
  <si>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</si>
  <si>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</si>
  <si>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</si>
  <si>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</si>
  <si>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</si>
  <si>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</si>
  <si>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</si>
  <si>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</si>
  <si>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</si>
  <si>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</si>
  <si>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</si>
  <si>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</si>
  <si>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</si>
  <si>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</si>
  <si>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</si>
  <si>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</si>
  <si>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</si>
  <si>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</si>
  <si>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</si>
  <si>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</si>
  <si>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</si>
  <si>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</si>
  <si>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</si>
  <si>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</si>
  <si>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</si>
  <si>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</si>
  <si>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</si>
  <si>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</si>
  <si>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</si>
  <si>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</si>
  <si>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</si>
  <si>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</si>
  <si>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</si>
  <si>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</si>
  <si>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</si>
  <si>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</si>
  <si>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</si>
  <si>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</si>
  <si>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</si>
  <si>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</si>
  <si>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</si>
  <si>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</si>
  <si>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</si>
  <si>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</si>
  <si>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</si>
  <si>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</si>
  <si>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</si>
  <si>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</si>
  <si>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</si>
  <si>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</si>
  <si>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</si>
  <si>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</si>
  <si>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</si>
  <si>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</si>
  <si>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</si>
  <si>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</si>
  <si>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</si>
  <si>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</si>
  <si>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</si>
  <si>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</si>
  <si>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</si>
  <si>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</si>
  <si>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</si>
  <si>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</si>
  <si>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</si>
  <si>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</si>
  <si>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</si>
  <si>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</si>
  <si>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</si>
  <si>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</si>
  <si>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</si>
  <si>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</si>
  <si>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</si>
  <si>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</si>
  <si>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</si>
  <si>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</si>
  <si>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</si>
  <si>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</si>
  <si>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</si>
  <si>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</si>
  <si>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</si>
  <si>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</si>
  <si>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</si>
  <si>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</si>
  <si>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</si>
  <si>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</si>
  <si>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</si>
  <si>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</si>
  <si>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</si>
  <si>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</si>
  <si>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</si>
  <si>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</si>
  <si>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</si>
  <si>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</si>
  <si>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</si>
  <si>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</si>
  <si>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</si>
  <si>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</si>
  <si>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</si>
  <si>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</si>
  <si>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</si>
  <si>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</si>
  <si>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</si>
  <si>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</si>
  <si>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</si>
  <si>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</si>
  <si>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</si>
  <si>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</si>
  <si>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</si>
  <si>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</si>
  <si>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</si>
  <si>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</si>
  <si>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</si>
  <si>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</si>
  <si>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</si>
  <si>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</si>
  <si>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</si>
  <si>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</si>
  <si>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</si>
  <si>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</si>
  <si>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</si>
  <si>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</si>
  <si>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</si>
  <si>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</si>
  <si>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</si>
  <si>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</si>
  <si>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</si>
  <si>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</si>
  <si>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</si>
  <si>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</si>
  <si>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</si>
  <si>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</si>
  <si>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</si>
  <si>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</si>
  <si>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</si>
  <si>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</si>
  <si>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</si>
  <si>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</si>
  <si>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</si>
  <si>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</si>
  <si>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</si>
  <si>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</si>
  <si>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</si>
  <si>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</si>
  <si>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</si>
  <si>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</si>
  <si>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</si>
  <si>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</si>
  <si>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</si>
  <si>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</si>
  <si>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</si>
  <si>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</si>
  <si>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</si>
  <si>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</si>
  <si>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</si>
  <si>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</si>
  <si>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</si>
  <si>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</si>
  <si>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</si>
  <si>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</si>
  <si>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</si>
  <si>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</si>
  <si>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</si>
  <si>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</si>
  <si>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</si>
  <si>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</si>
  <si>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</si>
  <si>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</si>
  <si>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</si>
  <si>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</si>
  <si>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</si>
  <si>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</si>
  <si>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</si>
  <si>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</si>
  <si>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</si>
  <si>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</si>
  <si>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</si>
  <si>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</si>
  <si>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</si>
  <si>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</si>
  <si>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</si>
  <si>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</si>
  <si>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</si>
  <si>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</si>
  <si>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</si>
  <si>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</si>
  <si>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</si>
  <si>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</si>
  <si>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</si>
  <si>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</si>
  <si>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</si>
  <si>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</si>
  <si>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</si>
  <si>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</si>
  <si>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</si>
  <si>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</si>
  <si>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</si>
  <si>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</si>
  <si>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</si>
  <si>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</si>
  <si>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</si>
  <si>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</si>
  <si>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</si>
  <si>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</si>
  <si>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</si>
  <si>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</si>
  <si>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</si>
  <si>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</si>
  <si>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</si>
  <si>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</si>
  <si>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</si>
  <si>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</si>
  <si>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</si>
  <si>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</si>
  <si>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</si>
  <si>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</si>
  <si>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</si>
  <si>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</si>
  <si>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</si>
  <si>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</si>
  <si>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</si>
  <si>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</si>
  <si>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</si>
  <si>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</si>
  <si>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</si>
  <si>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</si>
  <si>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</si>
  <si>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</si>
  <si>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</si>
  <si>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</si>
  <si>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</si>
  <si>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</si>
  <si>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</si>
  <si>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</si>
  <si>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</si>
  <si>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</si>
  <si>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</si>
  <si>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</si>
  <si>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</si>
  <si>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</si>
  <si>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</si>
  <si>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</si>
  <si>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</si>
  <si>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</si>
  <si>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</si>
  <si>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</si>
  <si>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</si>
  <si>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</si>
  <si>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</si>
  <si>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</si>
  <si>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</si>
  <si>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</si>
  <si>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</si>
  <si>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</si>
  <si>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</si>
  <si>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</si>
  <si>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</si>
  <si>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</si>
  <si>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</si>
  <si>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</si>
  <si>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</si>
  <si>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</si>
  <si>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</si>
  <si>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</si>
  <si>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</si>
  <si>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</si>
  <si>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</si>
  <si>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</si>
  <si>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</si>
  <si>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</si>
  <si>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</si>
  <si>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</si>
  <si>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</si>
  <si>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</si>
  <si>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</si>
  <si>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</si>
  <si>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</si>
  <si>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</si>
  <si>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</si>
  <si>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</si>
  <si>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</si>
  <si>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</si>
  <si>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</si>
  <si>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</si>
  <si>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</si>
  <si>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</si>
  <si>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</si>
  <si>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</si>
  <si>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</si>
  <si>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</si>
  <si>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</si>
  <si>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</si>
  <si>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</si>
  <si>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</si>
  <si>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</si>
  <si>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</si>
  <si>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</si>
  <si>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</si>
  <si>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</si>
  <si>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</si>
  <si>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</si>
  <si>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</si>
  <si>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</si>
  <si>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</si>
  <si>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</si>
  <si>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</si>
  <si>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</si>
  <si>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</si>
  <si>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</si>
  <si>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</si>
  <si>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</si>
  <si>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</si>
  <si>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</si>
  <si>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</si>
  <si>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</si>
  <si>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</si>
  <si>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</si>
  <si>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</si>
  <si>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</si>
  <si>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</si>
  <si>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</si>
  <si>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</si>
  <si>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</si>
  <si>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</si>
  <si>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</si>
  <si>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</si>
  <si>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</si>
  <si>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</si>
  <si>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</si>
  <si>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</si>
  <si>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</si>
  <si>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</si>
  <si>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</si>
  <si>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</si>
  <si>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</si>
  <si>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</si>
  <si>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</si>
  <si>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</si>
  <si>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</si>
  <si>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</si>
  <si>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</si>
  <si>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</si>
  <si>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</si>
  <si>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</si>
  <si>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</si>
  <si>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</si>
  <si>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</si>
  <si>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</si>
  <si>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</si>
  <si>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</si>
  <si>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</si>
  <si>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</si>
  <si>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</si>
  <si>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</si>
  <si>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</si>
  <si>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</si>
  <si>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</si>
  <si>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</si>
  <si>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</si>
  <si>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</si>
  <si>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</si>
  <si>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</si>
  <si>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</si>
  <si>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</si>
  <si>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</si>
  <si>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</si>
  <si>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</si>
  <si>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</si>
  <si>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</si>
  <si>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</si>
  <si>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</si>
  <si>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</si>
  <si>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</si>
  <si>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</si>
  <si>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</si>
  <si>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</si>
  <si>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</si>
  <si>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</si>
  <si>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</si>
  <si>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</si>
  <si>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</si>
  <si>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</si>
  <si>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</si>
  <si>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</si>
  <si>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</si>
  <si>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</si>
  <si>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</si>
  <si>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</si>
  <si>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</si>
  <si>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</si>
  <si>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</si>
  <si>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</si>
  <si>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</si>
  <si>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</si>
  <si>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</si>
  <si>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</si>
  <si>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</si>
  <si>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</si>
  <si>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</si>
  <si>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</si>
  <si>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</si>
  <si>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</si>
  <si>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</si>
  <si>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</si>
  <si>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</si>
  <si>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</si>
  <si>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</si>
  <si>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</si>
  <si>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</si>
  <si>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</si>
  <si>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</si>
  <si>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</si>
  <si>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</si>
  <si>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</si>
  <si>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</si>
  <si>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</si>
  <si>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</si>
  <si>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</si>
  <si>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</si>
  <si>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</si>
  <si>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</si>
  <si>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</si>
  <si>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</si>
  <si>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</si>
  <si>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</si>
  <si>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</si>
  <si>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</si>
  <si>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</si>
  <si>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</si>
  <si>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</si>
  <si>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</si>
  <si>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</si>
  <si>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</si>
  <si>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</si>
  <si>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</si>
  <si>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</si>
  <si>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</si>
  <si>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</si>
  <si>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</si>
  <si>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</si>
  <si>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</si>
  <si>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</si>
  <si>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</si>
  <si>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</si>
  <si>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</si>
  <si>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</si>
  <si>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</si>
  <si>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</si>
  <si>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</si>
  <si>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</si>
  <si>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</si>
  <si>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</si>
  <si>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</si>
  <si>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</si>
  <si>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</si>
  <si>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</si>
  <si>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</si>
  <si>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</si>
  <si>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</si>
  <si>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</si>
  <si>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</si>
  <si>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</si>
  <si>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</si>
  <si>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</si>
  <si>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</si>
  <si>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</si>
  <si>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</si>
  <si>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</si>
  <si>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</si>
  <si>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</si>
  <si>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</si>
  <si>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</si>
  <si>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</si>
  <si>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</si>
  <si>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</si>
  <si>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</si>
  <si>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</si>
  <si>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</si>
  <si>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</si>
  <si>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</si>
  <si>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</si>
  <si>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</si>
  <si>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</si>
  <si>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</si>
  <si>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</si>
  <si>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</si>
  <si>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</si>
  <si>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</si>
  <si>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</si>
  <si>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</si>
  <si>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</si>
  <si>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</si>
  <si>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</si>
  <si>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</si>
  <si>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</si>
  <si>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</si>
  <si>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</si>
  <si>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</si>
  <si>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</si>
  <si>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</si>
  <si>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</si>
  <si>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</si>
  <si>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</si>
  <si>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</si>
  <si>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</si>
  <si>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</si>
  <si>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</si>
  <si>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</si>
  <si>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</si>
  <si>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</si>
  <si>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</si>
  <si>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</si>
  <si>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</si>
  <si>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</si>
  <si>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</si>
  <si>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</si>
  <si>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</si>
  <si>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</si>
  <si>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</si>
  <si>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</si>
  <si>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</si>
  <si>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</si>
  <si>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</si>
  <si>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</si>
  <si>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</si>
  <si>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</si>
  <si>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</si>
  <si>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</si>
  <si>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</si>
  <si>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</si>
  <si>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</si>
  <si>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</si>
  <si>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</si>
  <si>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</si>
  <si>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</si>
  <si>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</si>
  <si>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</si>
  <si>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</si>
  <si>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</si>
  <si>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</si>
  <si>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</si>
  <si>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</si>
  <si>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</si>
  <si>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</si>
  <si>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</si>
  <si>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</si>
  <si>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</si>
  <si>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</si>
  <si>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</si>
  <si>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</si>
  <si>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</si>
  <si>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</si>
  <si>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</si>
  <si>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</si>
  <si>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</si>
  <si>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</si>
  <si>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</si>
  <si>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</si>
  <si>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</si>
  <si>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</si>
  <si>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</si>
  <si>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</si>
  <si>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</si>
  <si>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</si>
  <si>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</si>
  <si>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</si>
  <si>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</si>
  <si>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</si>
  <si>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</si>
  <si>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</si>
  <si>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</si>
  <si>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</si>
  <si>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</si>
  <si>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</si>
  <si>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</si>
  <si>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</si>
  <si>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</si>
  <si>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</si>
  <si>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</si>
  <si>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</si>
  <si>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</si>
  <si>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</si>
  <si>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</si>
  <si>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</si>
  <si>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</si>
  <si>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</si>
  <si>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</si>
  <si>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</si>
  <si>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</si>
  <si>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</si>
  <si>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</si>
  <si>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</si>
  <si>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</si>
  <si>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</si>
  <si>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</si>
  <si>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</si>
  <si>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</si>
  <si>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</si>
  <si>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</si>
  <si>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</si>
  <si>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</si>
  <si>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</si>
  <si>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</si>
  <si>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</si>
  <si>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</si>
  <si>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</si>
  <si>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</si>
  <si>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</si>
  <si>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</si>
  <si>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</si>
  <si>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</si>
  <si>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</si>
  <si>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</si>
  <si>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</si>
  <si>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</si>
  <si>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</si>
  <si>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</si>
  <si>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</si>
  <si>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</si>
  <si>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</si>
  <si>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</si>
  <si>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</si>
  <si>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</si>
  <si>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</si>
  <si>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</si>
  <si>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</si>
  <si>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</si>
  <si>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</si>
  <si>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</si>
  <si>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</si>
  <si>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</si>
  <si>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</si>
  <si>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</si>
  <si>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</si>
  <si>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</si>
  <si>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</si>
  <si>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</si>
  <si>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</si>
  <si>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</si>
  <si>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</si>
  <si>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</si>
  <si>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</si>
  <si>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</si>
  <si>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</si>
  <si>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</si>
  <si>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</si>
  <si>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</si>
  <si>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</si>
  <si>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</si>
  <si>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</si>
  <si>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</si>
  <si>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</si>
  <si>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</si>
  <si>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</si>
  <si>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</si>
  <si>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</si>
  <si>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</si>
  <si>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</si>
  <si>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</si>
  <si>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</si>
  <si>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</si>
  <si>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</si>
  <si>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</si>
  <si>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</si>
  <si>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</si>
  <si>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</si>
  <si>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</si>
  <si>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</si>
  <si>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</si>
  <si>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</si>
  <si>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</si>
  <si>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</si>
  <si>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</si>
  <si>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</si>
  <si>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</si>
  <si>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</si>
  <si>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</si>
  <si>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</si>
  <si>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</si>
  <si>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</si>
  <si>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</si>
  <si>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</si>
  <si>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</si>
  <si>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</si>
  <si>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</si>
  <si>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</si>
  <si>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</si>
  <si>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</si>
  <si>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</si>
  <si>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</si>
  <si>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</si>
  <si>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</si>
  <si>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</si>
  <si>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</si>
  <si>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</si>
  <si>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</si>
  <si>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</si>
  <si>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</si>
  <si>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</si>
  <si>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</si>
  <si>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</si>
  <si>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</si>
  <si>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</si>
  <si>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</si>
  <si>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</si>
  <si>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</si>
  <si>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</si>
  <si>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</si>
  <si>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</si>
  <si>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</si>
  <si>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</si>
  <si>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</si>
  <si>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</si>
  <si>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</si>
  <si>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</si>
  <si>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</si>
  <si>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</si>
  <si>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</si>
  <si>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</si>
  <si>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</si>
  <si>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</si>
  <si>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</si>
  <si>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</si>
  <si>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</si>
  <si>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</si>
  <si>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</si>
  <si>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</si>
  <si>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</si>
  <si>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</si>
  <si>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</si>
  <si>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</si>
  <si>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</si>
  <si>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</si>
  <si>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</si>
  <si>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</si>
  <si>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</si>
  <si>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</si>
  <si>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</si>
  <si>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</si>
  <si>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</si>
  <si>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</si>
  <si>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</si>
  <si>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</si>
  <si>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</si>
  <si>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</si>
  <si>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</si>
  <si>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</si>
  <si>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</si>
  <si>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</si>
  <si>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</si>
  <si>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</si>
  <si>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</si>
  <si>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</si>
  <si>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</si>
  <si>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</si>
  <si>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</si>
  <si>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</si>
  <si>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</si>
  <si>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</si>
  <si>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</si>
  <si>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</si>
  <si>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</si>
  <si>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</si>
  <si>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</si>
  <si>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</si>
  <si>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</si>
  <si>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</si>
  <si>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</si>
  <si>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</si>
  <si>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</si>
  <si>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</si>
  <si>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</si>
  <si>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</si>
  <si>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</si>
  <si>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</si>
  <si>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</si>
  <si>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</si>
  <si>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</si>
  <si>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</si>
  <si>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</si>
  <si>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</si>
  <si>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</si>
  <si>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</si>
  <si>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</si>
  <si>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</si>
  <si>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</si>
  <si>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</si>
  <si>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</si>
  <si>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</si>
  <si>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</si>
  <si>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</si>
  <si>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</si>
  <si>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</si>
  <si>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</si>
  <si>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</si>
  <si>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</si>
  <si>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</si>
  <si>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</si>
  <si>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</si>
  <si>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</si>
  <si>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</si>
  <si>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</si>
  <si>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</si>
  <si>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</si>
  <si>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</si>
  <si>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</si>
  <si>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</si>
  <si>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</si>
  <si>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</si>
  <si>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</si>
  <si>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</si>
  <si>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</si>
  <si>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</si>
  <si>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</si>
  <si>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</si>
  <si>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</si>
  <si>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</si>
  <si>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</si>
  <si>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</si>
  <si>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</si>
  <si>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</si>
  <si>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</si>
  <si>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</si>
  <si>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</si>
  <si>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</si>
  <si>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</si>
  <si>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</si>
  <si>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</si>
  <si>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</si>
  <si>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</si>
  <si>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</si>
  <si>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</si>
  <si>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</si>
  <si>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</si>
  <si>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</si>
  <si>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</si>
  <si>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</si>
  <si>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</si>
  <si>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</si>
  <si>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</si>
  <si>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</si>
  <si>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</si>
  <si>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</si>
  <si>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</si>
  <si>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</si>
  <si>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</si>
  <si>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</si>
  <si>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</si>
  <si>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</si>
  <si>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</si>
  <si>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</si>
  <si>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</si>
  <si>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</si>
  <si>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</si>
  <si>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</si>
  <si>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</si>
  <si>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</si>
  <si>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</si>
  <si>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</si>
  <si>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</si>
  <si>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</si>
  <si>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</si>
  <si>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</si>
  <si>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</si>
  <si>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</si>
  <si>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</si>
  <si>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</si>
  <si>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</si>
  <si>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</si>
  <si>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</si>
  <si>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</si>
  <si>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</si>
  <si>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</si>
  <si>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</si>
  <si>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</si>
  <si>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</si>
  <si>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</si>
  <si>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</si>
  <si>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</si>
  <si>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</si>
  <si>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</si>
  <si>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</si>
  <si>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</si>
  <si>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</si>
  <si>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</si>
  <si>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</si>
  <si>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</si>
  <si>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</si>
  <si>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</si>
  <si>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</si>
  <si>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</si>
  <si>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</si>
  <si>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</si>
  <si>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</si>
  <si>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</si>
  <si>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</si>
  <si>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</si>
  <si>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</si>
  <si>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</si>
  <si>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</si>
  <si>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</si>
  <si>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</si>
  <si>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</si>
  <si>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</si>
  <si>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</si>
  <si>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</si>
  <si>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</si>
  <si>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</si>
  <si>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</si>
  <si>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</si>
  <si>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</si>
  <si>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</si>
  <si>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</si>
  <si>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</si>
  <si>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</si>
  <si>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</si>
  <si>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</si>
  <si>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</si>
  <si>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</si>
  <si>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</si>
  <si>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</si>
  <si>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</si>
  <si>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</si>
  <si>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</si>
  <si>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</si>
  <si>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</si>
  <si>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</si>
  <si>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</si>
  <si>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</si>
  <si>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</si>
  <si>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</si>
  <si>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</si>
  <si>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</si>
  <si>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</si>
  <si>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</si>
  <si>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</si>
  <si>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</si>
  <si>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</si>
  <si>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</si>
  <si>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</si>
  <si>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</si>
  <si>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</si>
  <si>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</si>
  <si>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</si>
  <si>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</si>
  <si>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</si>
  <si>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</si>
  <si>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</si>
  <si>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</si>
  <si>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</si>
  <si>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</si>
  <si>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</si>
  <si>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</si>
  <si>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</si>
  <si>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</si>
  <si>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</si>
  <si>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</si>
  <si>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</si>
  <si>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</si>
  <si>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</si>
  <si>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</si>
  <si>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</si>
  <si>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</si>
  <si>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</si>
  <si>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</si>
  <si>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</si>
  <si>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</si>
  <si>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</si>
  <si>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</si>
  <si>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</si>
  <si>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</si>
  <si>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</si>
  <si>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</si>
  <si>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</si>
  <si>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</si>
  <si>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</si>
  <si>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</si>
  <si>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</si>
  <si>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</si>
  <si>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</si>
  <si>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</si>
  <si>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</si>
  <si>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</si>
  <si>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</si>
  <si>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</si>
  <si>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</si>
  <si>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</si>
  <si>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</si>
  <si>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</si>
  <si>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</si>
  <si>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</si>
  <si>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</si>
  <si>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</si>
  <si>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</si>
  <si>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</si>
  <si>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</si>
  <si>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</si>
  <si>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</si>
  <si>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</si>
  <si>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</si>
  <si>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</si>
  <si>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</si>
  <si>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</si>
  <si>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</si>
  <si>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</si>
  <si>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</si>
  <si>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</si>
  <si>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</si>
  <si>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</si>
  <si>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</si>
  <si>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</si>
  <si>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</si>
  <si>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</si>
  <si>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</si>
  <si>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</si>
  <si>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</si>
  <si>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</si>
  <si>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</si>
  <si>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</si>
  <si>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</si>
  <si>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</si>
  <si>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</si>
  <si>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</si>
  <si>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</si>
  <si>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</si>
  <si>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</si>
  <si>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</si>
  <si>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</si>
  <si>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</si>
  <si>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</si>
  <si>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</si>
  <si>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</si>
  <si>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</si>
  <si>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</si>
  <si>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</si>
  <si>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</si>
  <si>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</si>
  <si>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</si>
  <si>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</si>
  <si>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</si>
  <si>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</si>
  <si>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</si>
  <si>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</si>
  <si>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</si>
  <si>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</si>
  <si>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</si>
  <si>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</si>
  <si>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</si>
  <si>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</si>
  <si>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</si>
  <si>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</si>
  <si>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</si>
  <si>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</si>
  <si>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</si>
  <si>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</si>
  <si>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</si>
  <si>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</si>
  <si>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</si>
  <si>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</si>
  <si>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</si>
  <si>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</si>
  <si>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</si>
  <si>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</si>
  <si>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</si>
  <si>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</si>
  <si>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</si>
  <si>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</si>
  <si>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</si>
  <si>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</si>
  <si>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</si>
  <si>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</si>
  <si>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</si>
  <si>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</si>
  <si>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</si>
  <si>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</si>
  <si>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</si>
  <si>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</si>
  <si>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</si>
  <si>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</si>
  <si>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</si>
  <si>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</si>
  <si>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</si>
  <si>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</si>
  <si>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</si>
  <si>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</si>
  <si>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</si>
  <si>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</si>
  <si>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</si>
  <si>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</si>
  <si>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</si>
  <si>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</si>
  <si>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</si>
  <si>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</si>
  <si>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</si>
  <si>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</si>
  <si>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</si>
  <si>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</si>
  <si>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</si>
  <si>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</si>
  <si>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</si>
  <si>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</si>
  <si>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</si>
  <si>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</si>
  <si>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</si>
  <si>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</si>
  <si>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</si>
  <si>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</si>
  <si>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</si>
  <si>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</si>
  <si>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</si>
  <si>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</si>
  <si>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</si>
  <si>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</si>
  <si>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</si>
  <si>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</si>
  <si>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</si>
  <si>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</si>
  <si>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</si>
  <si>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</si>
  <si>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</si>
  <si>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</si>
  <si>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</si>
  <si>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</si>
  <si>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</si>
  <si>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</si>
  <si>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</si>
  <si>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</si>
  <si>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</si>
  <si>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</si>
  <si>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</si>
  <si>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</si>
  <si>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</si>
  <si>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</si>
  <si>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</si>
  <si>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</si>
  <si>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</si>
  <si>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</si>
  <si>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</si>
  <si>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</si>
  <si>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</si>
  <si>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</si>
  <si>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</si>
  <si>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</si>
  <si>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</si>
  <si>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</si>
  <si>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</si>
  <si>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</si>
  <si>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</si>
  <si>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</si>
  <si>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</si>
  <si>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</si>
  <si>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</si>
  <si>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</si>
  <si>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</si>
  <si>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</si>
  <si>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</si>
  <si>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</si>
  <si>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</si>
  <si>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</si>
  <si>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</si>
  <si>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</si>
  <si>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</si>
  <si>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</si>
  <si>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</si>
  <si>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</si>
  <si>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</si>
  <si>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</si>
  <si>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</si>
  <si>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</si>
  <si>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</si>
  <si>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</si>
  <si>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</si>
  <si>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</si>
  <si>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</si>
  <si>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</si>
  <si>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</si>
  <si>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</si>
  <si>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</si>
  <si>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</si>
  <si>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</si>
  <si>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</si>
  <si>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</si>
  <si>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</si>
  <si>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</si>
  <si>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</si>
  <si>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</si>
  <si>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</si>
  <si>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</si>
  <si>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</si>
  <si>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</si>
  <si>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</si>
  <si>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</si>
  <si>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</si>
  <si>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</si>
  <si>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</si>
  <si>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</si>
  <si>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</si>
  <si>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</si>
  <si>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</si>
  <si>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</si>
  <si>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</si>
  <si>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</si>
  <si>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</si>
  <si>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</si>
  <si>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</si>
  <si>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</si>
  <si>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</si>
  <si>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</si>
  <si>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</si>
  <si>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</si>
  <si>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</si>
  <si>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</si>
  <si>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</si>
  <si>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</si>
  <si>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</si>
  <si>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</si>
  <si>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</si>
  <si>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</si>
  <si>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</si>
  <si>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</si>
  <si>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</si>
  <si>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</si>
  <si>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</si>
  <si>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</si>
  <si>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</si>
  <si>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</si>
  <si>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</si>
  <si>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</si>
  <si>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</si>
  <si>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</si>
  <si>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</si>
  <si>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</si>
  <si>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</si>
  <si>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</si>
  <si>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</si>
  <si>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</si>
  <si>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</si>
  <si>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</si>
  <si>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</si>
  <si>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</si>
  <si>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</si>
  <si>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</si>
  <si>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</si>
  <si>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</si>
  <si>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</si>
  <si>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</si>
  <si>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</si>
  <si>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</si>
  <si>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</si>
  <si>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</si>
  <si>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</si>
  <si>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</si>
  <si>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</si>
  <si>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</si>
  <si>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</si>
  <si>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</si>
  <si>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</si>
  <si>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</si>
  <si>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</si>
  <si>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</si>
  <si>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</si>
  <si>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</si>
  <si>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</si>
  <si>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</si>
  <si>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</si>
  <si>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</si>
  <si>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</si>
  <si>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</si>
  <si>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</si>
  <si>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</si>
  <si>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</si>
  <si>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</si>
  <si>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</si>
  <si>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</si>
  <si>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</si>
  <si>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</si>
  <si>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</si>
  <si>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</si>
  <si>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</si>
  <si>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</si>
  <si>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</si>
  <si>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</si>
  <si>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</si>
  <si>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</si>
  <si>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</si>
  <si>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</si>
  <si>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</si>
  <si>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</si>
  <si>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</si>
  <si>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</si>
  <si>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</si>
  <si>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</si>
  <si>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</si>
  <si>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</si>
  <si>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</si>
  <si>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</si>
  <si>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</si>
  <si>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</si>
  <si>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</si>
  <si>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</si>
  <si>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</si>
  <si>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</si>
  <si>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</si>
  <si>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</si>
  <si>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</si>
  <si>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</si>
  <si>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</si>
  <si>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</si>
  <si>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</si>
  <si>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</si>
  <si>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</si>
  <si>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</si>
  <si>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</si>
  <si>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</si>
  <si>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</si>
  <si>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</si>
  <si>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</si>
  <si>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</si>
  <si>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</si>
  <si>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</si>
  <si>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</si>
  <si>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</si>
  <si>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</si>
  <si>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</si>
  <si>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</si>
  <si>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</si>
  <si>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</si>
  <si>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</si>
  <si>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</si>
  <si>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</si>
  <si>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</si>
  <si>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</si>
  <si>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</si>
  <si>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</si>
  <si>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</si>
  <si>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</si>
  <si>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</si>
  <si>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</si>
  <si>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</si>
  <si>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</si>
  <si>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</si>
  <si>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</si>
  <si>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</si>
  <si>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</si>
  <si>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</si>
  <si>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</si>
  <si>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</si>
  <si>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</si>
  <si>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</si>
  <si>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</si>
  <si>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</si>
  <si>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</si>
  <si>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</si>
  <si>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</si>
  <si>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</si>
  <si>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</si>
  <si>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</si>
  <si>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</si>
  <si>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</si>
  <si>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</si>
  <si>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</si>
  <si>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</si>
  <si>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</si>
  <si>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</si>
  <si>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</si>
  <si>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</si>
  <si>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</si>
  <si>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</si>
  <si>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</si>
  <si>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</si>
  <si>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</si>
  <si>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</si>
  <si>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</si>
  <si>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</si>
  <si>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</si>
  <si>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</si>
  <si>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</si>
  <si>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</si>
  <si>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</si>
  <si>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</si>
  <si>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</si>
  <si>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</si>
  <si>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</si>
  <si>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</si>
  <si>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</si>
  <si>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</si>
  <si>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</si>
  <si>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</si>
  <si>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</si>
  <si>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</si>
  <si>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</si>
  <si>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</si>
  <si>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</si>
  <si>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</si>
  <si>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</si>
  <si>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</si>
  <si>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</si>
  <si>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</si>
  <si>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</si>
  <si>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</si>
  <si>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</si>
  <si>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</si>
  <si>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</si>
  <si>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</si>
  <si>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</si>
  <si>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</si>
  <si>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</si>
  <si>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</si>
  <si>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</si>
  <si>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</si>
  <si>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</si>
  <si>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</si>
  <si>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</si>
  <si>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</si>
  <si>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</si>
  <si>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</si>
  <si>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</si>
  <si>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</si>
  <si>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</si>
  <si>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</si>
  <si>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</si>
  <si>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</si>
  <si>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</si>
  <si>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</si>
  <si>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</si>
  <si>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</si>
  <si>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</si>
  <si>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</si>
  <si>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</si>
  <si>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</si>
  <si>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</si>
  <si>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</si>
  <si>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</si>
  <si>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</si>
  <si>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</si>
  <si>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</si>
  <si>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</si>
  <si>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</si>
  <si>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</si>
  <si>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</si>
  <si>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</si>
  <si>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</si>
  <si>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</si>
  <si>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</si>
  <si>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</si>
  <si>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</si>
  <si>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</si>
  <si>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</si>
  <si>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</si>
  <si>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</si>
  <si>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</si>
  <si>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</si>
  <si>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</si>
  <si>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</si>
  <si>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</si>
  <si>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</si>
  <si>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</si>
  <si>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</si>
  <si>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</si>
  <si>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</si>
  <si>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</si>
  <si>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</si>
  <si>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</si>
  <si>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</si>
  <si>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</si>
  <si>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</si>
  <si>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</si>
  <si>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</si>
  <si>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</si>
  <si>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</si>
  <si>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</si>
  <si>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</si>
  <si>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</si>
  <si>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</si>
  <si>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</si>
  <si>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</si>
  <si>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</si>
  <si>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</si>
  <si>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</si>
  <si>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</si>
  <si>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</si>
  <si>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</si>
  <si>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</si>
  <si>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</si>
  <si>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</si>
  <si>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</si>
  <si>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</si>
  <si>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</si>
  <si>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</si>
  <si>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</si>
  <si>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</si>
  <si>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</si>
  <si>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</si>
  <si>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</si>
  <si>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</si>
  <si>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</si>
  <si>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</si>
  <si>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</si>
  <si>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</si>
  <si>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</si>
  <si>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</si>
  <si>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</si>
  <si>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</si>
  <si>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</si>
  <si>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</si>
  <si>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</si>
  <si>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</si>
  <si>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</si>
  <si>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</si>
  <si>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</si>
  <si>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</si>
  <si>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</si>
  <si>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</si>
  <si>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</si>
  <si>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</si>
  <si>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</si>
  <si>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</si>
  <si>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</si>
  <si>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</si>
  <si>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</si>
  <si>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</si>
  <si>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</si>
  <si>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</si>
  <si>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</si>
  <si>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</si>
  <si>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</si>
  <si>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</si>
  <si>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</si>
  <si>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</si>
  <si>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</si>
  <si>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</si>
  <si>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</si>
  <si>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</si>
  <si>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</si>
  <si>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</si>
  <si>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</si>
  <si>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</si>
  <si>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</si>
  <si>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</si>
  <si>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</si>
  <si>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</si>
  <si>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</si>
  <si>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</si>
  <si>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</si>
  <si>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</si>
  <si>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</si>
  <si>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</si>
  <si>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</si>
  <si>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</si>
  <si>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</si>
  <si>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</si>
  <si>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</si>
  <si>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</si>
  <si>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</si>
  <si>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</si>
  <si>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</si>
  <si>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</si>
  <si>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</si>
  <si>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</si>
  <si>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</si>
  <si>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</si>
  <si>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</si>
  <si>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</si>
  <si>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</si>
  <si>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</si>
  <si>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</si>
  <si>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</si>
  <si>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</si>
  <si>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</si>
  <si>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</si>
  <si>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</si>
  <si>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</si>
  <si>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</si>
  <si>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</si>
  <si>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</si>
  <si>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</si>
  <si>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</si>
  <si>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</si>
  <si>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</si>
  <si>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</si>
  <si>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</si>
  <si>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</si>
  <si>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</si>
  <si>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</si>
  <si>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</si>
  <si>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</si>
  <si>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</si>
  <si>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</si>
  <si>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</si>
  <si>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</si>
  <si>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</si>
  <si>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</si>
  <si>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</si>
  <si>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</si>
  <si>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</si>
  <si>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</si>
  <si>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</si>
  <si>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</si>
  <si>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</si>
  <si>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</si>
  <si>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</si>
  <si>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</si>
  <si>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</si>
  <si>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</si>
  <si>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</si>
  <si>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</si>
  <si>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</si>
  <si>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</si>
  <si>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</si>
  <si>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</si>
  <si>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</si>
  <si>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</si>
  <si>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</si>
  <si>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</si>
  <si>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</si>
  <si>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</si>
  <si>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</si>
  <si>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</si>
  <si>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</si>
  <si>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</si>
  <si>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</si>
  <si>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</si>
  <si>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</si>
  <si>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</si>
  <si>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</si>
  <si>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</si>
  <si>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</si>
  <si>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</si>
  <si>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</si>
  <si>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</si>
  <si>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</si>
  <si>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</si>
  <si>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</si>
  <si>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</si>
  <si>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</si>
  <si>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</si>
  <si>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</si>
  <si>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</si>
  <si>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</si>
  <si>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</si>
  <si>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</si>
  <si>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</si>
  <si>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</si>
  <si>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</si>
  <si>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</si>
  <si>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</si>
  <si>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</si>
  <si>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</si>
  <si>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</si>
  <si>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</si>
  <si>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</si>
  <si>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</si>
  <si>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</si>
  <si>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</si>
  <si>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</si>
  <si>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</si>
  <si>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</si>
  <si>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</si>
  <si>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</si>
  <si>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</si>
  <si>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</si>
  <si>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</si>
  <si>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</si>
  <si>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</si>
  <si>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</si>
  <si>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</si>
  <si>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</si>
  <si>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</si>
  <si>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</si>
  <si>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</si>
  <si>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</si>
  <si>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</si>
  <si>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</si>
  <si>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</si>
  <si>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</si>
  <si>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</si>
  <si>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</si>
  <si>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</si>
  <si>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</si>
  <si>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</si>
  <si>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</si>
  <si>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</si>
  <si>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</si>
  <si>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</si>
  <si>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</si>
  <si>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</si>
  <si>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</si>
  <si>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</si>
  <si>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</si>
  <si>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</si>
  <si>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</si>
  <si>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</si>
  <si>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</si>
  <si>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</si>
  <si>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</si>
  <si>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</si>
  <si>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</si>
  <si>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</si>
  <si>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</si>
  <si>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</si>
  <si>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</si>
  <si>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</si>
  <si>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</si>
  <si>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</si>
  <si>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</si>
  <si>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</si>
  <si>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</si>
  <si>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</si>
  <si>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</si>
  <si>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</si>
  <si>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</si>
  <si>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</si>
  <si>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</si>
  <si>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</si>
  <si>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</si>
  <si>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</si>
  <si>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</si>
  <si>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</si>
  <si>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</si>
  <si>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</si>
  <si>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</si>
  <si>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</si>
  <si>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</si>
  <si>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</si>
  <si>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</si>
  <si>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</si>
  <si>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</si>
  <si>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</si>
  <si>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</si>
  <si>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</si>
  <si>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</si>
  <si>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</si>
  <si>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</si>
  <si>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</si>
  <si>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</si>
  <si>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</si>
  <si>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</si>
  <si>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</si>
  <si>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</si>
  <si>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</si>
  <si>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</si>
  <si>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</si>
  <si>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</si>
  <si>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</si>
  <si>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</si>
  <si>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</si>
  <si>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</si>
  <si>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</si>
  <si>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</si>
  <si>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</si>
  <si>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</si>
  <si>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</si>
  <si>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</si>
  <si>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</si>
  <si>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</si>
  <si>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</si>
  <si>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</si>
  <si>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</si>
  <si>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</si>
  <si>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</si>
  <si>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</si>
  <si>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</si>
  <si>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</si>
  <si>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</si>
  <si>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</si>
  <si>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</si>
  <si>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</si>
  <si>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</si>
  <si>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</si>
  <si>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</si>
  <si>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</si>
  <si>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</si>
  <si>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</si>
  <si>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</si>
  <si>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</si>
  <si>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</si>
  <si>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</si>
  <si>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</si>
  <si>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</si>
  <si>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</si>
  <si>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</si>
  <si>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</si>
  <si>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</si>
  <si>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</si>
  <si>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</si>
  <si>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</si>
  <si>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</si>
  <si>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</si>
  <si>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</si>
  <si>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</si>
  <si>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</si>
  <si>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</si>
  <si>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</si>
  <si>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</si>
  <si>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</si>
  <si>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</si>
  <si>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</si>
  <si>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</si>
  <si>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</si>
  <si>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</si>
  <si>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</si>
  <si>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</si>
  <si>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</si>
  <si>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</si>
  <si>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</si>
  <si>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</si>
  <si>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</si>
  <si>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</si>
  <si>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</si>
  <si>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</si>
  <si>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</si>
  <si>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</si>
  <si>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</si>
  <si>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</si>
  <si>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</si>
  <si>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</si>
  <si>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</si>
  <si>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</si>
  <si>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</si>
  <si>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</si>
  <si>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</si>
  <si>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</si>
  <si>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</si>
  <si>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</si>
  <si>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</si>
  <si>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</si>
  <si>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</si>
  <si>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</si>
  <si>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</si>
  <si>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</si>
  <si>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</si>
  <si>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</si>
  <si>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</si>
  <si>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</si>
  <si>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</si>
  <si>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</si>
  <si>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</si>
  <si>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</si>
  <si>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</si>
  <si>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</si>
  <si>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</si>
  <si>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</si>
  <si>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</si>
  <si>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</si>
  <si>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</si>
  <si>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</si>
  <si>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</si>
  <si>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</si>
  <si>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</si>
  <si>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</si>
  <si>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</si>
  <si>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</si>
  <si>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</si>
  <si>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</si>
  <si>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</si>
  <si>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</si>
  <si>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</si>
  <si>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</si>
  <si>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</si>
  <si>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</si>
  <si>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</si>
  <si>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</si>
  <si>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</si>
  <si>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</si>
  <si>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</si>
  <si>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</si>
  <si>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</si>
  <si>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</si>
  <si>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</si>
  <si>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</si>
  <si>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</si>
  <si>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</si>
  <si>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</si>
  <si>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</si>
  <si>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</si>
  <si>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</si>
  <si>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</si>
  <si>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</si>
  <si>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</si>
  <si>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</si>
  <si>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</si>
  <si>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</si>
  <si>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</si>
  <si>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</si>
  <si>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</si>
  <si>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</si>
  <si>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</si>
  <si>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</si>
  <si>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</si>
  <si>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</si>
  <si>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</si>
  <si>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</si>
  <si>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</si>
  <si>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</si>
  <si>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</si>
  <si>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</si>
  <si>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</si>
  <si>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</si>
  <si>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</si>
  <si>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</si>
  <si>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</si>
  <si>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</si>
  <si>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</si>
  <si>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</si>
  <si>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</si>
  <si>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</si>
  <si>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</si>
  <si>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</si>
  <si>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</si>
  <si>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</si>
  <si>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</si>
  <si>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</si>
  <si>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</si>
  <si>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</si>
  <si>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</si>
  <si>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</si>
  <si>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</si>
  <si>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</si>
  <si>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</si>
  <si>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</si>
  <si>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</si>
  <si>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</si>
  <si>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</si>
  <si>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</si>
  <si>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</si>
  <si>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</si>
  <si>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</si>
  <si>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</si>
  <si>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</si>
  <si>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</si>
  <si>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</si>
  <si>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</si>
  <si>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</si>
  <si>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</si>
  <si>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</si>
  <si>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</si>
  <si>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</si>
  <si>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</si>
  <si>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</si>
  <si>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</si>
  <si>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</si>
  <si>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</si>
  <si>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</si>
  <si>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</si>
  <si>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</si>
  <si>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</si>
  <si>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</si>
  <si>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</si>
  <si>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</si>
  <si>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</si>
  <si>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</si>
  <si>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</si>
  <si>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</si>
  <si>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</si>
  <si>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</si>
  <si>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</si>
  <si>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</si>
  <si>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</si>
  <si>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</si>
  <si>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</si>
  <si>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</si>
  <si>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</si>
  <si>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</si>
  <si>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</si>
  <si>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</si>
  <si>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</si>
  <si>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</si>
  <si>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</si>
  <si>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</si>
  <si>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</si>
  <si>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</si>
  <si>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</si>
  <si>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</si>
  <si>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</si>
  <si>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</si>
  <si>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</si>
  <si>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</si>
  <si>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</si>
  <si>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</si>
  <si>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</si>
  <si>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</si>
  <si>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</si>
  <si>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</si>
  <si>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</si>
  <si>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</si>
  <si>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</si>
  <si>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</si>
  <si>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</si>
  <si>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</si>
  <si>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</si>
  <si>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</si>
  <si>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</si>
  <si>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</si>
  <si>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</si>
  <si>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</si>
  <si>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</si>
  <si>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</si>
  <si>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</si>
  <si>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</si>
  <si>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</si>
  <si>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</si>
  <si>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</si>
  <si>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</si>
  <si>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</si>
  <si>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</si>
  <si>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</si>
  <si>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</si>
  <si>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</si>
  <si>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</si>
  <si>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</si>
  <si>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</si>
  <si>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</si>
  <si>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</si>
  <si>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</si>
  <si>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</si>
  <si>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</si>
  <si>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</si>
  <si>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</si>
  <si>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</si>
  <si>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</si>
  <si>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</si>
  <si>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</si>
  <si>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</si>
  <si>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</si>
  <si>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</si>
  <si>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</si>
  <si>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</si>
  <si>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</si>
  <si>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</si>
  <si>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</si>
  <si>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</si>
  <si>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</si>
  <si>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</si>
  <si>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</si>
  <si>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</si>
  <si>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</si>
  <si>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</si>
  <si>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</si>
  <si>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</si>
  <si>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</si>
  <si>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</si>
  <si>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</si>
  <si>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</si>
  <si>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</si>
  <si>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</si>
  <si>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</si>
  <si>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</si>
  <si>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</si>
  <si>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</si>
  <si>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</si>
  <si>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</si>
  <si>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</si>
  <si>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</si>
  <si>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</si>
  <si>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</si>
  <si>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</si>
  <si>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</si>
  <si>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</si>
  <si>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</si>
  <si>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</si>
  <si>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</si>
  <si>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</si>
  <si>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</si>
  <si>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</si>
  <si>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</si>
  <si>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</si>
  <si>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</si>
  <si>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</si>
  <si>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</si>
  <si>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</si>
  <si>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</si>
  <si>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</si>
  <si>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</si>
  <si>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</si>
  <si>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</si>
  <si>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</si>
  <si>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</si>
  <si>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</si>
  <si>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</si>
  <si>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</si>
  <si>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</si>
  <si>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</si>
  <si>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</si>
  <si>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</si>
  <si>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</si>
  <si>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</si>
  <si>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</si>
  <si>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</si>
  <si>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</si>
  <si>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</si>
  <si>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</si>
  <si>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</si>
  <si>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</si>
  <si>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</si>
  <si>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</si>
  <si>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</si>
  <si>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</si>
  <si>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</si>
  <si>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</si>
  <si>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</si>
  <si>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</si>
  <si>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</si>
  <si>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</si>
  <si>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</si>
  <si>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</si>
  <si>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</si>
  <si>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</si>
  <si>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</si>
  <si>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</si>
  <si>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</si>
  <si>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</si>
  <si>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</si>
  <si>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</si>
  <si>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</si>
  <si>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</si>
  <si>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</si>
  <si>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</si>
  <si>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</si>
  <si>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</si>
  <si>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</si>
  <si>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</si>
  <si>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</si>
  <si>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</si>
  <si>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</si>
  <si>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</si>
  <si>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</si>
  <si>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</si>
  <si>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</si>
  <si>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</si>
  <si>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</si>
  <si>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</si>
  <si>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</si>
  <si>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</si>
  <si>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</si>
  <si>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</si>
  <si>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</si>
  <si>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</si>
  <si>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</si>
  <si>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</si>
  <si>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</si>
  <si>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</si>
  <si>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</si>
  <si>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</si>
  <si>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</si>
  <si>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</si>
  <si>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</si>
  <si>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</si>
  <si>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</si>
  <si>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</si>
  <si>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</si>
  <si>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</si>
  <si>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</si>
  <si>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</si>
  <si>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</si>
  <si>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</si>
  <si>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</si>
  <si>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</si>
  <si>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</si>
  <si>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</si>
  <si>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</si>
  <si>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</si>
  <si>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</si>
  <si>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</si>
  <si>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</si>
  <si>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</si>
  <si>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</si>
  <si>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</si>
  <si>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</si>
  <si>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</si>
  <si>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</si>
  <si>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</si>
  <si>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</si>
  <si>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</si>
  <si>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</si>
  <si>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</si>
  <si>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</si>
  <si>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</si>
  <si>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</si>
  <si>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</si>
  <si>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</si>
  <si>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</si>
  <si>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</si>
  <si>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</si>
  <si>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</si>
  <si>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</si>
  <si>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</si>
  <si>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</si>
  <si>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</si>
  <si>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</si>
  <si>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</si>
  <si>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</si>
  <si>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</si>
  <si>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</si>
  <si>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</si>
  <si>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</si>
  <si>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</si>
  <si>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</si>
  <si>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</si>
  <si>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</si>
  <si>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</si>
  <si>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</si>
  <si>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</si>
  <si>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</si>
  <si>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</si>
  <si>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</si>
  <si>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</si>
  <si>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</si>
  <si>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</si>
  <si>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</si>
  <si>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</si>
  <si>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</si>
  <si>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</si>
  <si>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</si>
  <si>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</si>
  <si>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</si>
  <si>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</si>
  <si>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</si>
  <si>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</si>
  <si>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</si>
  <si>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</si>
  <si>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</si>
  <si>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</si>
  <si>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</si>
  <si>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</si>
  <si>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</si>
  <si>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</si>
  <si>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</si>
  <si>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</si>
  <si>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</si>
  <si>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</si>
  <si>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</si>
  <si>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</si>
  <si>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</si>
  <si>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</si>
  <si>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</si>
  <si>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</si>
  <si>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</si>
  <si>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</si>
  <si>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</si>
  <si>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</si>
  <si>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</si>
  <si>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</si>
  <si>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</si>
  <si>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</si>
  <si>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</si>
  <si>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</si>
  <si>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</si>
  <si>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</si>
  <si>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</si>
  <si>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</si>
  <si>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</si>
  <si>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</si>
  <si>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</si>
  <si>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</si>
  <si>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</si>
  <si>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</si>
  <si>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</si>
  <si>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</si>
  <si>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</si>
  <si>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</si>
  <si>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</si>
  <si>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</si>
  <si>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</si>
  <si>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</si>
  <si>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</si>
  <si>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</si>
  <si>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</si>
  <si>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</si>
  <si>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</si>
  <si>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</si>
  <si>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</si>
  <si>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</si>
  <si>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</si>
  <si>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</si>
  <si>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</si>
  <si>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</si>
  <si>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</si>
  <si>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</si>
  <si>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</si>
  <si>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</si>
  <si>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</si>
  <si>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</si>
  <si>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</si>
  <si>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</si>
  <si>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</si>
  <si>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</si>
  <si>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</si>
  <si>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</si>
  <si>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</si>
  <si>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</si>
  <si>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</si>
  <si>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</si>
  <si>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</si>
  <si>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</si>
  <si>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</si>
  <si>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</si>
  <si>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</si>
  <si>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</si>
  <si>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</si>
  <si>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</si>
  <si>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</si>
  <si>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</si>
  <si>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</si>
  <si>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</si>
  <si>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</si>
  <si>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</si>
  <si>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</si>
  <si>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</si>
  <si>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</si>
  <si>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</si>
  <si>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</si>
  <si>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</si>
  <si>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</si>
  <si>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</si>
  <si>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</si>
  <si>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</si>
  <si>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</si>
  <si>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</si>
  <si>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</si>
  <si>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</si>
  <si>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</si>
  <si>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</si>
  <si>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</si>
  <si>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</si>
  <si>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</si>
  <si>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</si>
  <si>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</si>
  <si>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</si>
  <si>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</si>
  <si>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</si>
  <si>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</si>
  <si>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</si>
  <si>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</si>
  <si>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</si>
  <si>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</si>
  <si>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</si>
  <si>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</si>
  <si>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</si>
  <si>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</si>
  <si>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</si>
  <si>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</si>
  <si>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</si>
  <si>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</si>
  <si>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</si>
  <si>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</si>
  <si>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</si>
  <si>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</si>
  <si>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</si>
  <si>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</si>
  <si>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</si>
  <si>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</si>
  <si>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</si>
  <si>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</si>
  <si>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</si>
  <si>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</si>
  <si>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</si>
  <si>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</si>
  <si>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</si>
  <si>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</si>
  <si>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</si>
  <si>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</si>
  <si>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</si>
  <si>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</si>
  <si>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</si>
  <si>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</si>
  <si>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</si>
  <si>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</si>
  <si>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</si>
  <si>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</si>
  <si>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</si>
  <si>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</si>
  <si>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</si>
  <si>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</si>
  <si>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</si>
  <si>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</si>
  <si>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</si>
  <si>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</si>
  <si>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</si>
  <si>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</si>
  <si>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</si>
  <si>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</si>
  <si>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</si>
  <si>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</si>
  <si>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</si>
  <si>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</si>
  <si>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</si>
  <si>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</si>
  <si>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</si>
  <si>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</si>
  <si>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</si>
  <si>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</si>
  <si>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</si>
  <si>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</si>
  <si>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</si>
  <si>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</si>
  <si>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</si>
  <si>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</si>
  <si>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</si>
  <si>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</si>
  <si>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</si>
  <si>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</si>
  <si>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</si>
  <si>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</si>
  <si>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</si>
  <si>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</si>
  <si>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</si>
  <si>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</si>
  <si>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</si>
  <si>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</si>
  <si>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</si>
  <si>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</si>
  <si>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</si>
  <si>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</si>
  <si>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</si>
  <si>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</si>
  <si>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</si>
  <si>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</si>
  <si>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</si>
  <si>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</si>
  <si>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</si>
  <si>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</si>
  <si>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</si>
  <si>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</si>
  <si>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</si>
  <si>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</si>
  <si>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</si>
  <si>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</si>
  <si>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</si>
  <si>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</si>
  <si>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</si>
  <si>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</si>
  <si>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</si>
  <si>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</si>
  <si>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</si>
  <si>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</si>
  <si>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</si>
  <si>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</si>
  <si>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</si>
  <si>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</si>
  <si>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</si>
  <si>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</si>
  <si>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</si>
  <si>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</si>
  <si>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</si>
  <si>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</si>
  <si>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</si>
  <si>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</si>
  <si>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</si>
  <si>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</si>
  <si>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</si>
  <si>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</si>
  <si>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</si>
  <si>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</si>
  <si>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</si>
  <si>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</si>
  <si>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</si>
  <si>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</si>
  <si>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</si>
  <si>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</si>
  <si>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</si>
  <si>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</si>
  <si>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</si>
  <si>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</si>
  <si>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</si>
  <si>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</si>
  <si>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</si>
  <si>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</si>
  <si>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</si>
  <si>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</si>
  <si>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</si>
  <si>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</si>
  <si>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</si>
  <si>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</si>
  <si>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</si>
  <si>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</si>
  <si>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</si>
  <si>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</si>
  <si>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</si>
  <si>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</si>
  <si>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</si>
  <si>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</si>
  <si>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</si>
  <si>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</si>
  <si>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</si>
  <si>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</si>
  <si>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</si>
  <si>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</si>
  <si>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</si>
  <si>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</si>
  <si>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</si>
  <si>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</si>
  <si>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</si>
  <si>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</si>
  <si>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</si>
  <si>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</si>
  <si>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</si>
  <si>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</si>
  <si>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</si>
  <si>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</si>
  <si>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</si>
  <si>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</si>
  <si>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</si>
  <si>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</si>
  <si>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</si>
  <si>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</si>
  <si>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</si>
  <si>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</si>
  <si>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</si>
  <si>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</si>
  <si>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</si>
  <si>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</si>
  <si>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</si>
  <si>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</si>
  <si>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</si>
  <si>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</si>
  <si>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</si>
  <si>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</si>
  <si>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</si>
  <si>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</si>
  <si>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</si>
  <si>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</si>
  <si>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</si>
  <si>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</si>
  <si>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</si>
  <si>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</si>
  <si>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</si>
  <si>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</si>
  <si>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</si>
  <si>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</si>
  <si>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</si>
  <si>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</si>
  <si>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</si>
  <si>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</si>
  <si>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</si>
  <si>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</si>
  <si>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</si>
  <si>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</si>
  <si>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</si>
  <si>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</si>
  <si>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</si>
  <si>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</si>
  <si>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</si>
  <si>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</si>
  <si>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</si>
  <si>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</si>
  <si>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</si>
  <si>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</si>
  <si>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</si>
  <si>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</si>
  <si>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</si>
  <si>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</si>
  <si>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</si>
  <si>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</si>
  <si>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</si>
  <si>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</si>
  <si>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</si>
  <si>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</si>
  <si>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</si>
  <si>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</si>
  <si>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</si>
  <si>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</si>
  <si>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</si>
  <si>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</si>
  <si>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</si>
  <si>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</si>
  <si>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</si>
  <si>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</si>
  <si>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</si>
  <si>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</si>
  <si>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</si>
  <si>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</si>
  <si>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</si>
  <si>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</si>
  <si>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</si>
  <si>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</si>
  <si>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</si>
  <si>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</si>
  <si>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</si>
  <si>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</si>
  <si>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</si>
  <si>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</si>
  <si>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</si>
  <si>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</si>
  <si>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</si>
  <si>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</si>
  <si>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</si>
  <si>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</si>
  <si>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</si>
  <si>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</si>
  <si>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</si>
  <si>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</si>
  <si>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</si>
  <si>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</si>
  <si>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</si>
  <si>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</si>
  <si>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</si>
  <si>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</si>
  <si>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</si>
  <si>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</si>
  <si>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</si>
  <si>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</si>
  <si>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</si>
  <si>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</si>
  <si>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</si>
  <si>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</si>
  <si>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</si>
  <si>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</si>
  <si>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</si>
  <si>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</si>
  <si>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</si>
  <si>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</si>
  <si>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</si>
  <si>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</si>
  <si>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</si>
  <si>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</si>
  <si>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</si>
  <si>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</si>
  <si>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</si>
  <si>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</si>
  <si>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</si>
  <si>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</si>
  <si>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</si>
  <si>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</si>
  <si>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</si>
  <si>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</si>
  <si>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</si>
  <si>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</si>
  <si>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</si>
  <si>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</si>
  <si>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</si>
  <si>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</si>
  <si>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</si>
  <si>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</si>
  <si>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</si>
  <si>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</si>
  <si>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</si>
  <si>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</si>
  <si>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</si>
  <si>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</si>
  <si>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</si>
  <si>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</si>
  <si>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</si>
  <si>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</si>
  <si>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</si>
  <si>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</si>
  <si>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</si>
  <si>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</si>
  <si>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</si>
  <si>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</si>
  <si>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</si>
  <si>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</si>
  <si>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</si>
  <si>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</si>
  <si>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</si>
  <si>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</si>
  <si>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</si>
  <si>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</si>
  <si>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</si>
  <si>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</si>
  <si>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</si>
  <si>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</si>
  <si>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</si>
  <si>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</si>
  <si>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</si>
  <si>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</si>
  <si>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</si>
  <si>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</si>
  <si>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</si>
  <si>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</si>
  <si>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</si>
  <si>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</si>
  <si>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</si>
  <si>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</si>
  <si>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</si>
  <si>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</si>
  <si>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</si>
  <si>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</si>
  <si>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</si>
  <si>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</si>
  <si>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</si>
  <si>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</si>
  <si>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</si>
  <si>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</si>
  <si>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</si>
  <si>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</si>
  <si>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</si>
  <si>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</si>
  <si>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</si>
  <si>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</si>
  <si>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</si>
  <si>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</si>
  <si>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</si>
  <si>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</si>
  <si>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</si>
  <si>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</si>
  <si>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</si>
  <si>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</si>
  <si>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</si>
  <si>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</si>
  <si>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</si>
  <si>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</si>
  <si>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</si>
  <si>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</si>
  <si>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</si>
  <si>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</si>
  <si>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</si>
  <si>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</si>
  <si>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</si>
  <si>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</si>
  <si>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</si>
  <si>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</si>
  <si>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</si>
  <si>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</si>
  <si>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</si>
  <si>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</si>
  <si>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</si>
  <si>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</si>
  <si>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</si>
  <si>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</si>
  <si>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</si>
  <si>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</si>
  <si>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</si>
  <si>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</si>
  <si>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</si>
  <si>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</si>
  <si>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</si>
  <si>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</si>
  <si>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</si>
  <si>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</si>
  <si>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</si>
  <si>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</si>
  <si>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</si>
  <si>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</si>
  <si>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</si>
  <si>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</si>
  <si>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</si>
  <si>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</si>
  <si>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</si>
  <si>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</si>
  <si>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</si>
  <si>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</si>
  <si>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</si>
  <si>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</si>
  <si>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</si>
  <si>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</si>
  <si>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</si>
  <si>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</si>
  <si>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</si>
  <si>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</si>
  <si>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</si>
  <si>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</si>
  <si>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</si>
  <si>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</si>
  <si>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</si>
  <si>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</si>
  <si>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</si>
  <si>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</si>
  <si>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</si>
  <si>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</si>
  <si>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</si>
  <si>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</si>
  <si>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</si>
  <si>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</si>
  <si>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</si>
  <si>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</si>
  <si>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</si>
  <si>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</si>
  <si>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</si>
  <si>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</si>
  <si>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</si>
  <si>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</si>
  <si>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</si>
  <si>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</si>
  <si>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</si>
  <si>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</si>
  <si>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</si>
  <si>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</si>
  <si>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</si>
  <si>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</si>
  <si>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</si>
  <si>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</si>
  <si>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</si>
  <si>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</si>
  <si>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</si>
  <si>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</si>
  <si>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</si>
  <si>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</si>
  <si>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</si>
  <si>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</si>
  <si>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</si>
  <si>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</si>
  <si>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</si>
  <si>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</si>
  <si>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</si>
  <si>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</si>
  <si>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</si>
  <si>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</si>
  <si>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</si>
  <si>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</si>
  <si>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</si>
  <si>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</si>
  <si>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</si>
  <si>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</si>
  <si>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</si>
  <si>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</si>
  <si>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</si>
  <si>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</si>
  <si>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</si>
  <si>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</si>
  <si>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</si>
  <si>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</si>
  <si>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</si>
  <si>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</si>
  <si>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</si>
  <si>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</si>
  <si>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</si>
  <si>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</si>
  <si>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</si>
  <si>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</si>
  <si>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</si>
  <si>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</si>
  <si>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</si>
  <si>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</si>
  <si>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</si>
  <si>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</si>
  <si>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</si>
  <si>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</si>
  <si>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</si>
  <si>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</si>
  <si>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</si>
  <si>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</si>
  <si>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</si>
  <si>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</si>
  <si>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</si>
  <si>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</si>
  <si>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</si>
  <si>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</si>
  <si>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</si>
  <si>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</si>
  <si>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</si>
  <si>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</si>
  <si>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</si>
  <si>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</si>
  <si>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</si>
  <si>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</si>
  <si>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</si>
  <si>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</si>
  <si>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</si>
  <si>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</si>
  <si>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</si>
  <si>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</si>
  <si>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</si>
  <si>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</si>
  <si>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</si>
  <si>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</si>
  <si>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</si>
  <si>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</si>
  <si>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</si>
  <si>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</si>
  <si>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</si>
  <si>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</si>
  <si>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</si>
  <si>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</si>
  <si>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</si>
  <si>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</si>
  <si>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</si>
  <si>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</si>
  <si>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</si>
  <si>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</si>
  <si>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</si>
  <si>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</si>
  <si>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</si>
  <si>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</si>
  <si>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</si>
  <si>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</si>
  <si>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</si>
  <si>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</si>
  <si>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</si>
  <si>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</si>
  <si>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</si>
  <si>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</si>
  <si>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</si>
  <si>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</si>
  <si>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</si>
  <si>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</si>
  <si>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</si>
  <si>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</si>
  <si>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</si>
  <si>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</si>
  <si>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</si>
  <si>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</si>
  <si>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</si>
  <si>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</si>
  <si>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</si>
  <si>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</si>
  <si>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</si>
  <si>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</si>
  <si>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</si>
  <si>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</si>
  <si>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</si>
  <si>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</si>
  <si>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</si>
  <si>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</si>
  <si>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</si>
  <si>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</si>
  <si>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</si>
  <si>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</si>
  <si>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</si>
  <si>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</si>
  <si>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</si>
  <si>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</si>
  <si>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</si>
  <si>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</si>
  <si>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</si>
  <si>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</si>
  <si>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</si>
  <si>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</si>
  <si>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</si>
  <si>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</si>
  <si>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</si>
  <si>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</si>
  <si>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</si>
  <si>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</si>
  <si>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</si>
  <si>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</si>
  <si>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</si>
  <si>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</si>
  <si>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</si>
  <si>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</si>
  <si>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</si>
  <si>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</si>
  <si>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</si>
  <si>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</si>
  <si>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</si>
  <si>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</si>
  <si>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</si>
  <si>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</si>
  <si>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</si>
  <si>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</si>
  <si>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</si>
  <si>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</si>
  <si>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</si>
  <si>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</si>
  <si>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</si>
  <si>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</si>
  <si>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</si>
  <si>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</si>
  <si>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</si>
  <si>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</si>
  <si>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</si>
  <si>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</si>
  <si>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</si>
  <si>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</si>
  <si>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</si>
  <si>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</si>
  <si>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</si>
  <si>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</si>
  <si>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</si>
  <si>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</si>
  <si>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</si>
  <si>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</si>
  <si>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</si>
  <si>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</si>
  <si>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</si>
  <si>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</si>
  <si>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</si>
  <si>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</si>
  <si>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</si>
  <si>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</si>
  <si>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</si>
  <si>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</si>
  <si>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</si>
  <si>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</si>
  <si>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</si>
  <si>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</si>
  <si>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</si>
  <si>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</si>
  <si>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</si>
  <si>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</si>
  <si>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</si>
  <si>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</si>
  <si>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</si>
  <si>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</si>
  <si>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</si>
  <si>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</si>
  <si>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</si>
  <si>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</si>
  <si>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</si>
  <si>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</si>
  <si>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</si>
  <si>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</si>
  <si>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</si>
  <si>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</si>
  <si>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</si>
  <si>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</si>
  <si>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</si>
  <si>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</si>
  <si>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</si>
  <si>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</si>
  <si>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</si>
  <si>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</si>
  <si>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</si>
  <si>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</si>
  <si>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</si>
  <si>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</si>
  <si>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</si>
  <si>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</si>
  <si>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</si>
  <si>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</si>
  <si>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</si>
  <si>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</si>
  <si>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</si>
  <si>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</si>
  <si>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</si>
  <si>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</si>
  <si>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</si>
  <si>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</si>
  <si>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</si>
  <si>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</si>
  <si>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</si>
  <si>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</si>
  <si>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</si>
  <si>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</si>
  <si>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</si>
  <si>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</si>
  <si>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</si>
  <si>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</si>
  <si>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</si>
  <si>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</si>
  <si>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</si>
  <si>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</si>
  <si>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</si>
  <si>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</si>
  <si>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</si>
  <si>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</si>
  <si>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</si>
  <si>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</si>
  <si>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</si>
  <si>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</si>
  <si>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</si>
  <si>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</si>
  <si>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</si>
  <si>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</si>
  <si>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</si>
  <si>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</si>
  <si>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</si>
  <si>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</si>
  <si>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</si>
  <si>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</si>
  <si>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</si>
  <si>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</si>
  <si>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</si>
  <si>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</si>
  <si>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</si>
  <si>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</si>
  <si>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</si>
  <si>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</si>
  <si>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</si>
  <si>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</si>
  <si>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</si>
  <si>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</si>
  <si>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</si>
  <si>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</si>
  <si>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</si>
  <si>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</si>
  <si>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</si>
  <si>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</si>
  <si>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</si>
  <si>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</si>
  <si>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</si>
  <si>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</si>
  <si>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</si>
  <si>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</si>
  <si>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</si>
  <si>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</si>
  <si>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</si>
  <si>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</si>
  <si>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</si>
  <si>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</si>
  <si>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</si>
  <si>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</si>
  <si>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</si>
  <si>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</si>
  <si>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</si>
  <si>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</si>
  <si>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</si>
  <si>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</si>
  <si>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</si>
  <si>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</si>
  <si>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</si>
  <si>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</si>
  <si>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</si>
  <si>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</si>
  <si>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</si>
  <si>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</si>
  <si>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</si>
  <si>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</si>
  <si>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</si>
  <si>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</si>
  <si>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</si>
  <si>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</si>
  <si>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</si>
  <si>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</si>
  <si>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</si>
  <si>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</si>
  <si>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</si>
  <si>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</si>
  <si>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</si>
  <si>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</si>
  <si>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</si>
  <si>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</si>
  <si>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</si>
  <si>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</si>
  <si>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</si>
  <si>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</si>
  <si>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</si>
  <si>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</si>
  <si>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</si>
  <si>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</si>
  <si>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</si>
  <si>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</si>
  <si>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</si>
  <si>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</si>
  <si>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</si>
  <si>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</si>
  <si>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</si>
  <si>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</si>
  <si>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</si>
  <si>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</si>
  <si>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</si>
  <si>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</si>
  <si>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</si>
  <si>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</si>
  <si>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</si>
  <si>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</si>
  <si>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</si>
  <si>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</si>
  <si>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</si>
  <si>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</si>
  <si>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</si>
  <si>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</si>
  <si>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</si>
  <si>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</si>
  <si>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</si>
  <si>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</si>
  <si>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</si>
  <si>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</si>
  <si>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</si>
  <si>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</si>
  <si>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</si>
  <si>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</si>
  <si>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</si>
  <si>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</si>
  <si>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</si>
  <si>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</si>
  <si>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</si>
  <si>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</si>
  <si>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</si>
  <si>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</si>
  <si>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</si>
  <si>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</si>
  <si>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</si>
  <si>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</si>
  <si>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</si>
  <si>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</si>
  <si>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</si>
  <si>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</si>
  <si>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</si>
  <si>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</si>
  <si>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</si>
  <si>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</si>
  <si>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</si>
  <si>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</si>
  <si>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</si>
  <si>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</si>
  <si>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</si>
  <si>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</si>
  <si>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</si>
  <si>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</si>
  <si>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</si>
  <si>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</si>
  <si>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</si>
  <si>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</si>
  <si>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</si>
  <si>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</si>
  <si>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</si>
  <si>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</si>
  <si>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</si>
  <si>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</si>
  <si>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</si>
  <si>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</si>
  <si>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</si>
  <si>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</si>
  <si>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</si>
  <si>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</si>
  <si>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</si>
  <si>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</si>
  <si>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</si>
  <si>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</si>
  <si>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</si>
  <si>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</si>
  <si>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</si>
  <si>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</si>
  <si>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</si>
  <si>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</si>
  <si>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</si>
  <si>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</si>
  <si>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</si>
  <si>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</si>
  <si>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</si>
  <si>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</si>
  <si>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</si>
  <si>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</si>
  <si>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</si>
  <si>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</si>
  <si>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</si>
  <si>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</si>
  <si>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</si>
  <si>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</si>
  <si>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</si>
  <si>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</si>
  <si>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</si>
  <si>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</si>
  <si>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</si>
  <si>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</si>
  <si>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</si>
  <si>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</si>
  <si>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</si>
  <si>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</si>
  <si>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</si>
  <si>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</si>
  <si>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</si>
  <si>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</si>
  <si>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</si>
  <si>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</si>
  <si>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</si>
  <si>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</si>
  <si>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</si>
  <si>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</si>
  <si>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</si>
  <si>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</si>
  <si>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</si>
  <si>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</si>
  <si>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</si>
  <si>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</si>
  <si>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</si>
  <si>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</si>
  <si>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</si>
  <si>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</si>
  <si>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</si>
  <si>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</si>
  <si>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</si>
  <si>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</si>
  <si>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</si>
  <si>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</si>
  <si>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</si>
  <si>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</si>
  <si>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</si>
  <si>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</si>
  <si>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</si>
  <si>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</si>
  <si>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</si>
  <si>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</si>
  <si>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</si>
  <si>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</si>
  <si>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</si>
  <si>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</si>
  <si>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</si>
  <si>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</si>
  <si>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</si>
  <si>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</si>
  <si>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</si>
  <si>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</si>
  <si>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</si>
  <si>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</si>
  <si>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</si>
  <si>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</si>
  <si>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</si>
  <si>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</si>
  <si>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</si>
  <si>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</si>
  <si>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</si>
  <si>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</si>
  <si>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</si>
  <si>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</si>
  <si>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</si>
  <si>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</si>
  <si>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</si>
  <si>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</si>
  <si>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</si>
  <si>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</si>
  <si>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</si>
  <si>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</si>
  <si>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</si>
  <si>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</si>
  <si>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</si>
  <si>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</si>
  <si>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</si>
  <si>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</si>
  <si>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</si>
  <si>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</si>
  <si>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</si>
  <si>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</si>
  <si>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</si>
  <si>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</si>
  <si>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</si>
  <si>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</si>
  <si>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</si>
  <si>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</si>
  <si>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</si>
  <si>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</si>
  <si>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</si>
  <si>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</si>
  <si>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</si>
  <si>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</si>
  <si>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</si>
  <si>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</si>
  <si>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</si>
  <si>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</si>
  <si>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</si>
  <si>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</si>
  <si>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</si>
  <si>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</si>
  <si>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</si>
  <si>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</si>
  <si>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</si>
  <si>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</si>
  <si>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</si>
  <si>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</si>
  <si>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</si>
  <si>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</si>
  <si>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</si>
  <si>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</si>
  <si>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</si>
  <si>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</si>
  <si>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</si>
  <si>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</si>
  <si>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</si>
  <si>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</si>
  <si>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</si>
  <si>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</si>
  <si>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</si>
  <si>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</si>
  <si>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</si>
  <si>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</si>
  <si>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</si>
  <si>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</si>
  <si>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</si>
  <si>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</si>
  <si>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</si>
  <si>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</si>
  <si>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</si>
  <si>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</si>
  <si>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</si>
  <si>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</si>
  <si>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</si>
  <si>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</si>
  <si>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</si>
  <si>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</si>
  <si>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</si>
  <si>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</si>
  <si>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</si>
  <si>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</si>
  <si>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</si>
  <si>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</si>
  <si>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</si>
  <si>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</si>
  <si>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</si>
  <si>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</si>
  <si>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</si>
  <si>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</si>
  <si>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</si>
  <si>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</si>
  <si>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</si>
  <si>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</si>
  <si>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</si>
  <si>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</si>
  <si>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</si>
  <si>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</si>
  <si>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</si>
  <si>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</si>
  <si>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</si>
  <si>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</si>
  <si>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</si>
  <si>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</si>
  <si>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</si>
  <si>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</si>
  <si>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</si>
  <si>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</si>
  <si>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</si>
  <si>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</si>
  <si>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</si>
  <si>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</si>
  <si>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</si>
  <si>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</si>
  <si>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</si>
  <si>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</si>
  <si>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</si>
  <si>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</si>
  <si>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</si>
  <si>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</si>
  <si>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</si>
  <si>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</si>
  <si>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</si>
  <si>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</si>
  <si>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</si>
  <si>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</si>
  <si>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</si>
  <si>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</si>
  <si>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</si>
  <si>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</si>
  <si>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</si>
  <si>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</si>
  <si>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</si>
  <si>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</si>
  <si>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</si>
  <si>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</si>
  <si>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</si>
  <si>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</si>
  <si>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</si>
  <si>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</si>
  <si>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</si>
  <si>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</si>
  <si>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</si>
  <si>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</si>
  <si>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</si>
  <si>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</si>
  <si>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</si>
  <si>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</si>
  <si>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</si>
  <si>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</si>
  <si>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</si>
  <si>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</si>
  <si>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</si>
  <si>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</si>
  <si>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</si>
  <si>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</si>
  <si>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</si>
  <si>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</si>
  <si>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</si>
  <si>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</si>
  <si>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</si>
  <si>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</si>
  <si>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</si>
  <si>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</si>
  <si>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</si>
  <si>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</si>
  <si>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</si>
  <si>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</si>
  <si>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</si>
  <si>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</si>
  <si>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</si>
  <si>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</si>
  <si>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</si>
  <si>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</si>
  <si>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</si>
  <si>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</si>
  <si>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</si>
  <si>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</si>
  <si>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</si>
  <si>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</si>
  <si>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</si>
  <si>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</si>
  <si>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</si>
  <si>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</si>
  <si>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</si>
  <si>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</si>
  <si>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</si>
  <si>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</si>
  <si>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</si>
  <si>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</si>
  <si>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</si>
  <si>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</si>
  <si>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</si>
  <si>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</si>
  <si>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</si>
  <si>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</si>
  <si>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</si>
  <si>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</si>
  <si>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</si>
  <si>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</si>
  <si>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</si>
  <si>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</si>
  <si>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</si>
  <si>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</si>
  <si>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</si>
  <si>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</si>
  <si>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</si>
  <si>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</si>
  <si>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</si>
  <si>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</si>
  <si>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</si>
  <si>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</si>
  <si>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</si>
  <si>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</si>
  <si>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</si>
  <si>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</si>
  <si>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</si>
  <si>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</si>
  <si>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</si>
  <si>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</si>
  <si>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</si>
  <si>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</si>
  <si>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</si>
  <si>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</si>
  <si>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</si>
  <si>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</si>
  <si>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</si>
  <si>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</si>
  <si>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</si>
  <si>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</si>
  <si>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</si>
  <si>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</si>
  <si>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</si>
  <si>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</si>
  <si>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</si>
  <si>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</si>
  <si>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</si>
  <si>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</si>
  <si>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</si>
  <si>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</si>
  <si>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</si>
  <si>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</si>
  <si>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</si>
  <si>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</si>
  <si>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</si>
  <si>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</si>
  <si>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</si>
  <si>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</si>
  <si>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</si>
  <si>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</si>
  <si>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</si>
  <si>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</si>
  <si>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</si>
  <si>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</si>
  <si>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</si>
  <si>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</si>
  <si>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</si>
  <si>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</si>
  <si>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</si>
  <si>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</si>
  <si>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</si>
  <si>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</si>
  <si>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</si>
  <si>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</si>
  <si>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</si>
  <si>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</si>
  <si>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</si>
  <si>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</si>
  <si>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</si>
  <si>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</si>
  <si>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</si>
  <si>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</si>
  <si>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</si>
  <si>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</si>
  <si>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</si>
  <si>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</si>
  <si>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</si>
  <si>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</si>
  <si>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</si>
  <si>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</si>
  <si>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</si>
  <si>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</si>
  <si>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</si>
  <si>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</si>
  <si>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</si>
  <si>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</si>
  <si>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</si>
  <si>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</si>
  <si>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</si>
  <si>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</si>
  <si>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</si>
  <si>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</si>
  <si>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</si>
  <si>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</si>
  <si>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</si>
  <si>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</si>
  <si>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</si>
  <si>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</si>
  <si>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</si>
  <si>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</si>
  <si>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</si>
  <si>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</si>
  <si>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</si>
  <si>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</si>
  <si>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</si>
  <si>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</si>
  <si>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</si>
  <si>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</si>
  <si>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</si>
  <si>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</si>
  <si>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</si>
  <si>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</si>
  <si>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</si>
  <si>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</si>
  <si>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</si>
  <si>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</si>
  <si>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</si>
  <si>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</si>
  <si>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</si>
  <si>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</si>
  <si>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</si>
  <si>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</si>
  <si>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</si>
  <si>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</si>
  <si>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</si>
  <si>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</si>
  <si>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</si>
  <si>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</si>
  <si>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</si>
  <si>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</si>
  <si>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</si>
  <si>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</si>
  <si>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</si>
  <si>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</si>
  <si>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</si>
  <si>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</si>
  <si>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</si>
  <si>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</si>
  <si>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</si>
  <si>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</si>
  <si>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</si>
  <si>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</si>
  <si>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</si>
  <si>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</si>
  <si>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</si>
  <si>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</si>
  <si>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</si>
  <si>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</si>
  <si>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</si>
  <si>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</si>
  <si>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</si>
  <si>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</si>
  <si>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</si>
  <si>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</si>
  <si>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</si>
  <si>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</si>
  <si>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</si>
  <si>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</si>
  <si>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</si>
  <si>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</si>
  <si>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</si>
  <si>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</si>
  <si>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</si>
  <si>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</si>
  <si>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</si>
  <si>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</si>
  <si>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</si>
  <si>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</si>
  <si>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</si>
  <si>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</si>
  <si>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</si>
  <si>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</si>
  <si>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</si>
  <si>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</si>
  <si>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</si>
  <si>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</si>
  <si>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</si>
  <si>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</si>
  <si>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</si>
  <si>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</si>
  <si>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</si>
  <si>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</si>
  <si>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</si>
  <si>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</si>
  <si>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</si>
  <si>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</si>
  <si>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</si>
  <si>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</si>
  <si>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</si>
  <si>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</si>
  <si>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</si>
  <si>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</si>
  <si>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</si>
  <si>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</si>
  <si>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</si>
  <si>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</si>
  <si>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</si>
  <si>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</si>
  <si>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</si>
  <si>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</si>
  <si>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</si>
  <si>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</si>
  <si>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</si>
  <si>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</si>
  <si>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</si>
  <si>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</si>
  <si>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</si>
  <si>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</si>
  <si>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</si>
  <si>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</si>
  <si>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</si>
  <si>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</si>
  <si>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</si>
  <si>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</si>
  <si>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</si>
  <si>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</si>
  <si>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</si>
  <si>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</si>
  <si>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</si>
  <si>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</si>
  <si>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</si>
  <si>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</si>
  <si>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</si>
  <si>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</si>
  <si>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</si>
  <si>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</si>
  <si>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</si>
  <si>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</si>
  <si>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</si>
  <si>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</si>
  <si>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</si>
  <si>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</si>
  <si>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</si>
  <si>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</si>
  <si>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</si>
  <si>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</si>
  <si>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</si>
  <si>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</si>
  <si>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</si>
  <si>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</si>
  <si>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</si>
  <si>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</si>
  <si>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</si>
  <si>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</si>
  <si>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</si>
  <si>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</si>
  <si>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</si>
  <si>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</si>
  <si>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</si>
  <si>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</si>
  <si>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</si>
  <si>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</si>
  <si>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</si>
  <si>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</si>
  <si>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</si>
  <si>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</si>
  <si>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</si>
  <si>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</si>
  <si>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</si>
  <si>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</si>
  <si>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</si>
  <si>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</si>
  <si>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</si>
  <si>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</si>
  <si>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</si>
  <si>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</si>
  <si>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</si>
  <si>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</si>
  <si>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</si>
  <si>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</si>
  <si>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</si>
  <si>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</si>
  <si>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</si>
  <si>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</si>
  <si>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</si>
  <si>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</si>
  <si>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</si>
  <si>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</si>
  <si>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</si>
  <si>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</si>
  <si>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</si>
  <si>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</si>
  <si>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</si>
  <si>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</si>
  <si>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</si>
  <si>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</si>
  <si>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</si>
  <si>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</si>
  <si>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</si>
  <si>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</si>
  <si>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</si>
  <si>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</si>
  <si>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</si>
  <si>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</si>
  <si>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</si>
  <si>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</si>
  <si>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</si>
  <si>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</si>
  <si>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</si>
  <si>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</si>
  <si>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</si>
  <si>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</si>
  <si>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</si>
  <si>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</si>
  <si>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</si>
  <si>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</si>
  <si>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</si>
  <si>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</si>
  <si>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</si>
  <si>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</si>
  <si>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</si>
  <si>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</si>
  <si>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</si>
  <si>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</si>
  <si>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</si>
  <si>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</si>
  <si>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</si>
  <si>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</si>
  <si>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</si>
  <si>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</si>
  <si>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</si>
  <si>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</si>
  <si>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</si>
  <si>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</si>
  <si>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</si>
  <si>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</si>
  <si>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</si>
  <si>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</si>
  <si>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</si>
  <si>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</si>
  <si>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</si>
  <si>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</si>
  <si>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</si>
  <si>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</si>
  <si>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</si>
  <si>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</si>
  <si>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</si>
  <si>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</si>
  <si>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</si>
  <si>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</si>
  <si>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</si>
  <si>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</si>
  <si>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</si>
  <si>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</si>
  <si>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</si>
  <si>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</si>
  <si>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</si>
  <si>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</si>
  <si>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</si>
  <si>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</si>
  <si>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</si>
  <si>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</si>
  <si>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</si>
  <si>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</si>
  <si>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</si>
  <si>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</si>
  <si>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</si>
  <si>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</si>
  <si>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</si>
  <si>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</si>
  <si>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</si>
  <si>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</si>
  <si>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</si>
  <si>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</si>
  <si>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</si>
  <si>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</si>
  <si>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</si>
  <si>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</si>
  <si>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</si>
  <si>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</si>
  <si>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</si>
  <si>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</si>
  <si>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</si>
  <si>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</si>
  <si>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</si>
  <si>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</si>
  <si>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</si>
  <si>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</si>
  <si>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</si>
  <si>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</si>
  <si>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</si>
  <si>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</si>
  <si>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</si>
  <si>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</si>
  <si>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</si>
  <si>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</si>
  <si>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</si>
  <si>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</si>
  <si>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</si>
  <si>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</si>
  <si>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</si>
  <si>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</si>
  <si>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</si>
  <si>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</si>
  <si>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</si>
  <si>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</si>
  <si>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</si>
  <si>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</si>
  <si>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</si>
  <si>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</si>
  <si>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</si>
  <si>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</si>
  <si>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</si>
  <si>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</si>
  <si>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</si>
  <si>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</si>
  <si>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</si>
  <si>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</si>
  <si>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</si>
  <si>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</si>
  <si>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</si>
  <si>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</si>
  <si>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</si>
  <si>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</si>
  <si>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</si>
  <si>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</si>
  <si>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</si>
  <si>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</si>
  <si>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</si>
  <si>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</si>
  <si>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</si>
  <si>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</si>
  <si>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</si>
  <si>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</si>
  <si>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</si>
  <si>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</si>
  <si>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</si>
  <si>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</si>
  <si>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</si>
  <si>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</si>
  <si>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</si>
  <si>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</si>
  <si>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</si>
  <si>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</si>
  <si>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</si>
  <si>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</si>
  <si>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</si>
  <si>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</si>
  <si>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</si>
  <si>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</si>
  <si>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</si>
  <si>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</si>
  <si>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</si>
  <si>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</si>
  <si>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</si>
  <si>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</si>
  <si>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</si>
  <si>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</si>
  <si>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</si>
  <si>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</si>
  <si>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</si>
  <si>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</si>
  <si>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</si>
  <si>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</si>
  <si>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</si>
  <si>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</si>
  <si>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</si>
  <si>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</si>
  <si>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</si>
  <si>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</si>
  <si>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</si>
  <si>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</si>
  <si>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</si>
  <si>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</si>
  <si>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</si>
  <si>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</si>
  <si>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</si>
  <si>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</si>
  <si>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</si>
  <si>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</si>
  <si>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</si>
  <si>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</si>
  <si>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</si>
  <si>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</si>
  <si>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</si>
  <si>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</si>
  <si>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</si>
  <si>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</si>
  <si>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</si>
  <si>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</si>
  <si>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</si>
  <si>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</si>
  <si>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</si>
  <si>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</si>
  <si>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</si>
  <si>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</si>
  <si>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</si>
  <si>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</si>
  <si>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</si>
  <si>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</si>
  <si>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</si>
  <si>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</si>
  <si>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</si>
  <si>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</si>
  <si>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</si>
  <si>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</si>
  <si>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</si>
  <si>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</si>
  <si>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</si>
  <si>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</si>
  <si>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</si>
  <si>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</si>
  <si>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</si>
  <si>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</si>
  <si>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</si>
  <si>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</si>
  <si>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</si>
  <si>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</si>
  <si>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</si>
  <si>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</si>
  <si>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</si>
  <si>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</si>
  <si>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</si>
  <si>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</si>
  <si>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</si>
  <si>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</si>
  <si>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</si>
  <si>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</si>
  <si>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</si>
  <si>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</si>
  <si>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</si>
  <si>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</si>
  <si>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</si>
  <si>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</si>
  <si>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</si>
  <si>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</si>
  <si>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</si>
  <si>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</si>
  <si>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</si>
  <si>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</si>
  <si>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</si>
  <si>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</si>
  <si>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</si>
  <si>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</si>
  <si>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</si>
  <si>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</si>
  <si>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</si>
  <si>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</si>
  <si>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</si>
  <si>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</si>
  <si>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</si>
  <si>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</si>
  <si>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</si>
  <si>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</si>
  <si>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</si>
  <si>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</si>
  <si>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</si>
  <si>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</si>
  <si>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</si>
  <si>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</si>
  <si>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</si>
  <si>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</si>
  <si>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</si>
  <si>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</si>
  <si>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</si>
  <si>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</si>
  <si>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</si>
  <si>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</si>
  <si>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</si>
  <si>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</si>
  <si>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</si>
  <si>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</si>
  <si>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</si>
  <si>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</si>
  <si>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</si>
  <si>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</si>
  <si>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</si>
  <si>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</si>
  <si>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</si>
  <si>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</si>
  <si>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</si>
  <si>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</si>
  <si>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</si>
  <si>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</si>
  <si>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</si>
  <si>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</si>
  <si>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</si>
  <si>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</si>
  <si>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</si>
  <si>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</si>
  <si>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</si>
  <si>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</si>
  <si>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</si>
  <si>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</si>
  <si>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</si>
  <si>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</si>
  <si>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</si>
  <si>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</si>
  <si>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</si>
  <si>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</si>
  <si>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</si>
  <si>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</si>
  <si>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</si>
  <si>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</si>
  <si>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</si>
  <si>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</si>
  <si>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</si>
  <si>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</si>
  <si>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</si>
  <si>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</si>
  <si>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</si>
  <si>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</si>
  <si>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</si>
  <si>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</si>
  <si>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</si>
  <si>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</si>
  <si>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</si>
  <si>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</si>
  <si>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</si>
  <si>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</si>
  <si>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</si>
  <si>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</si>
  <si>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</si>
  <si>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</si>
  <si>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</si>
  <si>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</si>
  <si>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</si>
  <si>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</si>
  <si>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</si>
  <si>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</si>
  <si>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</si>
  <si>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</si>
  <si>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</si>
  <si>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</si>
  <si>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</si>
  <si>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</si>
  <si>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</si>
  <si>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</si>
  <si>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</si>
  <si>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</si>
  <si>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</si>
  <si>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</si>
  <si>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</si>
  <si>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</si>
  <si>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</si>
  <si>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</si>
  <si>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</si>
  <si>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</si>
  <si>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</si>
  <si>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</si>
  <si>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</si>
  <si>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</si>
  <si>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</si>
  <si>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</si>
  <si>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</si>
  <si>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</si>
  <si>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</si>
  <si>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</si>
  <si>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</si>
  <si>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</si>
  <si>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</si>
  <si>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</si>
  <si>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</si>
  <si>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</si>
  <si>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</si>
  <si>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</si>
  <si>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</si>
  <si>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</si>
  <si>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</si>
  <si>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</si>
  <si>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</si>
  <si>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</si>
  <si>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</si>
  <si>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</si>
  <si>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</si>
  <si>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</si>
  <si>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</si>
  <si>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</si>
  <si>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</si>
  <si>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</si>
  <si>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</si>
  <si>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</si>
  <si>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</si>
  <si>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</si>
  <si>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</si>
  <si>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</si>
  <si>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</si>
  <si>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</si>
  <si>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</si>
  <si>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</si>
  <si>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</si>
  <si>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</si>
  <si>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</si>
  <si>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</si>
  <si>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</si>
  <si>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</si>
  <si>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</si>
  <si>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</si>
  <si>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</si>
  <si>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</si>
  <si>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</si>
  <si>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</si>
  <si>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</si>
  <si>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</si>
  <si>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</si>
  <si>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</si>
  <si>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</si>
  <si>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</si>
  <si>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</si>
  <si>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</si>
  <si>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</si>
  <si>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</si>
  <si>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</si>
  <si>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</si>
  <si>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</si>
  <si>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</si>
  <si>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</si>
  <si>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</si>
  <si>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</si>
  <si>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</si>
  <si>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</si>
  <si>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</si>
  <si>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</si>
  <si>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</si>
  <si>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</si>
  <si>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</si>
  <si>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</si>
  <si>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</si>
  <si>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</si>
  <si>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</si>
  <si>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</si>
  <si>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</si>
  <si>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</si>
  <si>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</si>
  <si>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</si>
  <si>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</si>
  <si>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</si>
  <si>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</si>
  <si>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</si>
  <si>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</si>
  <si>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</si>
  <si>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</si>
  <si>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</si>
  <si>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</si>
  <si>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</si>
  <si>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</si>
  <si>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</si>
  <si>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</si>
  <si>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</si>
  <si>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</si>
  <si>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</si>
  <si>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</si>
  <si>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</si>
  <si>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</si>
  <si>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</si>
  <si>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</si>
  <si>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</si>
  <si>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</si>
  <si>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</si>
  <si>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</si>
  <si>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</si>
  <si>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</si>
  <si>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</si>
  <si>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</si>
  <si>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</si>
  <si>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</si>
  <si>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</si>
  <si>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</si>
  <si>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</si>
  <si>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</si>
  <si>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</si>
  <si>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</si>
  <si>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</si>
  <si>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</si>
  <si>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</si>
  <si>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</si>
  <si>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</si>
  <si>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</si>
  <si>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</si>
  <si>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</si>
  <si>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</si>
  <si>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</si>
  <si>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</si>
  <si>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</si>
  <si>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</si>
  <si>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</si>
  <si>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</si>
  <si>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</si>
  <si>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</si>
  <si>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</si>
  <si>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</si>
  <si>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</si>
  <si>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</si>
  <si>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</si>
  <si>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</si>
  <si>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</si>
  <si>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</si>
  <si>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</si>
  <si>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</si>
  <si>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</si>
  <si>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</si>
  <si>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</si>
  <si>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</si>
  <si>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</si>
  <si>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</si>
  <si>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</si>
  <si>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</si>
  <si>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</si>
  <si>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</si>
  <si>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</si>
  <si>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</si>
  <si>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</si>
  <si>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</si>
  <si>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</si>
  <si>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</si>
  <si>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</si>
  <si>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</si>
  <si>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</si>
  <si>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</si>
  <si>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</si>
  <si>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</si>
  <si>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</si>
  <si>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</si>
  <si>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</si>
  <si>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</si>
  <si>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</si>
  <si>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</si>
  <si>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</si>
  <si>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</si>
  <si>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</si>
  <si>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</si>
  <si>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</si>
  <si>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</si>
  <si>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</si>
  <si>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</si>
  <si>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</si>
  <si>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</si>
  <si>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</si>
  <si>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</si>
  <si>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</si>
  <si>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</si>
  <si>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</si>
  <si>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</si>
  <si>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</si>
  <si>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</si>
  <si>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</si>
  <si>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</si>
  <si>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</si>
  <si>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</si>
  <si>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</si>
  <si>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</si>
  <si>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</si>
  <si>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</si>
  <si>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</si>
  <si>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</si>
  <si>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</si>
  <si>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</si>
  <si>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</si>
  <si>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</si>
  <si>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</si>
  <si>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</si>
  <si>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</si>
  <si>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</si>
  <si>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</si>
  <si>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</si>
  <si>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</si>
  <si>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</si>
  <si>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</si>
  <si>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</si>
  <si>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</si>
  <si>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</si>
  <si>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</si>
  <si>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</si>
  <si>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</si>
  <si>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</si>
  <si>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</si>
  <si>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</si>
  <si>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</si>
  <si>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</si>
  <si>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</si>
  <si>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</si>
  <si>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</si>
  <si>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</si>
  <si>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</si>
  <si>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</si>
  <si>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</si>
  <si>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</si>
  <si>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</si>
  <si>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</si>
  <si>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</si>
  <si>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</si>
  <si>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</si>
  <si>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</si>
  <si>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</si>
  <si>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</si>
  <si>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</si>
  <si>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</si>
  <si>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</si>
  <si>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</si>
  <si>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</si>
  <si>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</si>
  <si>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</si>
  <si>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</si>
  <si>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</si>
  <si>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</si>
  <si>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</si>
  <si>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</si>
  <si>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</si>
  <si>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</si>
  <si>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</si>
  <si>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</si>
  <si>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</si>
  <si>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</si>
  <si>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</si>
  <si>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</si>
  <si>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</si>
  <si>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</si>
  <si>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</si>
  <si>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</si>
  <si>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</si>
  <si>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</si>
  <si>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</si>
  <si>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</si>
  <si>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</si>
  <si>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</si>
  <si>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</si>
  <si>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</si>
  <si>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</si>
  <si>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</si>
  <si>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</si>
  <si>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</si>
  <si>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</si>
  <si>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</si>
  <si>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</si>
  <si>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</si>
  <si>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</si>
  <si>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</si>
  <si>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</si>
  <si>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</si>
  <si>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</si>
  <si>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</si>
  <si>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</si>
  <si>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</si>
  <si>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</si>
  <si>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</si>
  <si>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</si>
  <si>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</si>
  <si>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</si>
  <si>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</si>
  <si>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</si>
  <si>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</si>
  <si>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</si>
  <si>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</si>
  <si>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</si>
  <si>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</si>
  <si>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</si>
  <si>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</si>
  <si>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</si>
  <si>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</si>
  <si>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</si>
  <si>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</si>
  <si>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</si>
  <si>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</si>
  <si>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</si>
  <si>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</si>
  <si>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</si>
  <si>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</si>
  <si>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</si>
  <si>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</si>
  <si>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</si>
  <si>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</si>
  <si>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</si>
  <si>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</si>
  <si>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</si>
  <si>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</si>
  <si>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</si>
  <si>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</si>
  <si>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</si>
  <si>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</si>
  <si>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</si>
  <si>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</si>
  <si>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</si>
  <si>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</si>
  <si>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</si>
  <si>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</si>
  <si>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</si>
  <si>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</si>
  <si>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</si>
  <si>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</si>
  <si>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</si>
  <si>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</si>
  <si>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</si>
  <si>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</si>
  <si>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</si>
  <si>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</si>
  <si>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</si>
  <si>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</si>
  <si>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</si>
  <si>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</si>
  <si>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</si>
  <si>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</si>
  <si>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</si>
  <si>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</si>
  <si>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</si>
  <si>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</si>
  <si>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</si>
  <si>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</si>
  <si>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</si>
  <si>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</si>
  <si>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</si>
  <si>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</si>
  <si>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</si>
  <si>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</si>
  <si>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</si>
  <si>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</si>
  <si>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</si>
  <si>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</si>
  <si>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</si>
  <si>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</si>
  <si>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</si>
  <si>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</si>
  <si>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</si>
  <si>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</si>
  <si>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</si>
  <si>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</si>
  <si>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</si>
  <si>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</si>
  <si>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</si>
  <si>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</si>
  <si>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</si>
  <si>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</si>
  <si>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</si>
  <si>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</si>
  <si>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</si>
  <si>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</si>
  <si>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</si>
  <si>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</si>
  <si>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</si>
  <si>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</si>
  <si>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</si>
  <si>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</si>
  <si>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</si>
  <si>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</si>
  <si>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</si>
  <si>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</si>
  <si>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</si>
  <si>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</si>
  <si>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</si>
  <si>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</si>
  <si>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</si>
  <si>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</si>
  <si>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</si>
  <si>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</si>
  <si>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</si>
  <si>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</si>
  <si>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</si>
  <si>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</si>
  <si>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</si>
  <si>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</si>
  <si>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</si>
  <si>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</si>
  <si>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</si>
  <si>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</si>
  <si>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</si>
  <si>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</si>
  <si>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</si>
  <si>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</si>
  <si>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</si>
  <si>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</si>
  <si>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</si>
  <si>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</si>
  <si>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</si>
  <si>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</si>
  <si>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</si>
  <si>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</si>
  <si>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</si>
  <si>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</si>
  <si>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</si>
  <si>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</si>
  <si>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</si>
  <si>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</si>
  <si>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</si>
  <si>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</si>
  <si>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</si>
  <si>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</si>
  <si>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</si>
  <si>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</si>
  <si>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</si>
  <si>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</si>
  <si>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</si>
  <si>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</si>
  <si>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</si>
  <si>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</si>
  <si>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</si>
  <si>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</si>
  <si>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</si>
  <si>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</si>
  <si>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</si>
  <si>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</si>
  <si>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</si>
  <si>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</si>
  <si>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</si>
  <si>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</si>
  <si>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</si>
  <si>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</si>
  <si>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</si>
  <si>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</si>
  <si>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</si>
  <si>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</si>
  <si>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</si>
  <si>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</si>
  <si>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</si>
  <si>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</si>
  <si>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</si>
  <si>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</si>
  <si>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</si>
  <si>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</si>
  <si>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</si>
  <si>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</si>
  <si>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</si>
  <si>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</si>
  <si>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</si>
  <si>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</si>
  <si>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</si>
  <si>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</si>
  <si>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</si>
  <si>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</si>
  <si>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</si>
  <si>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</si>
  <si>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</si>
  <si>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</si>
  <si>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</si>
  <si>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</si>
  <si>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</si>
  <si>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</si>
  <si>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</si>
  <si>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</si>
  <si>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</si>
  <si>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</si>
  <si>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</si>
  <si>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</si>
  <si>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</si>
  <si>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</si>
  <si>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</si>
  <si>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</si>
  <si>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</si>
  <si>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</si>
  <si>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</si>
  <si>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</si>
  <si>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</si>
  <si>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</si>
  <si>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</si>
  <si>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</si>
  <si>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</si>
  <si>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</si>
  <si>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</si>
  <si>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</si>
  <si>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</si>
  <si>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</si>
  <si>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</si>
  <si>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</si>
  <si>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</si>
  <si>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</si>
  <si>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</si>
  <si>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</si>
  <si>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</si>
  <si>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</si>
  <si>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</si>
  <si>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</si>
  <si>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</si>
  <si>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</si>
  <si>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</si>
  <si>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</si>
  <si>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</si>
  <si>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</si>
  <si>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</si>
  <si>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</si>
  <si>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</si>
  <si>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</si>
  <si>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</si>
  <si>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</si>
  <si>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</si>
  <si>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</si>
  <si>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</si>
  <si>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</si>
  <si>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</si>
  <si>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</si>
  <si>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</si>
  <si>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</si>
  <si>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</si>
  <si>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</si>
  <si>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</si>
  <si>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</si>
  <si>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</si>
  <si>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</si>
  <si>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</si>
  <si>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</si>
  <si>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</si>
  <si>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</si>
  <si>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</si>
  <si>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</si>
  <si>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</si>
  <si>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</si>
  <si>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</si>
  <si>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</si>
  <si>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</si>
  <si>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</si>
  <si>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</si>
  <si>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</si>
  <si>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</si>
  <si>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</si>
  <si>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</si>
  <si>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</si>
  <si>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</si>
  <si>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</si>
  <si>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</si>
  <si>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</si>
  <si>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</si>
  <si>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</si>
  <si>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</si>
  <si>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</si>
  <si>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</si>
  <si>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</si>
  <si>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</si>
  <si>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</si>
  <si>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</si>
  <si>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</si>
  <si>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</si>
  <si>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</si>
  <si>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</si>
  <si>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</si>
  <si>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</si>
  <si>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</si>
  <si>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</si>
  <si>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</si>
  <si>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</si>
  <si>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</si>
  <si>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</si>
  <si>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</si>
  <si>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</si>
  <si>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</si>
  <si>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</si>
  <si>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</si>
  <si>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</si>
  <si>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</si>
  <si>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</si>
  <si>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</si>
  <si>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</si>
  <si>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</si>
  <si>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</si>
  <si>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</si>
  <si>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</si>
  <si>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</si>
  <si>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</si>
  <si>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</si>
  <si>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</si>
  <si>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</si>
  <si>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</si>
  <si>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</si>
  <si>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</si>
  <si>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</si>
  <si>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</si>
  <si>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</si>
  <si>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</si>
  <si>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</si>
  <si>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</si>
  <si>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</si>
  <si>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</si>
  <si>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</si>
  <si>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</si>
  <si>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</si>
  <si>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</si>
  <si>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</si>
  <si>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</si>
  <si>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</si>
  <si>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</si>
  <si>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</si>
  <si>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</si>
  <si>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</si>
  <si>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</si>
  <si>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</si>
  <si>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</si>
  <si>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</si>
  <si>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</si>
  <si>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</si>
  <si>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</si>
  <si>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</si>
  <si>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</si>
  <si>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</si>
  <si>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</si>
  <si>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</si>
  <si>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</si>
  <si>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</si>
  <si>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</si>
  <si>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</si>
  <si>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</si>
  <si>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</si>
  <si>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</si>
  <si>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</si>
  <si>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</si>
  <si>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</si>
  <si>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</si>
  <si>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</si>
  <si>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</si>
  <si>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</si>
  <si>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</si>
  <si>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</si>
  <si>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</si>
  <si>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</si>
  <si>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</si>
  <si>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</si>
  <si>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</si>
  <si>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</si>
  <si>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</si>
  <si>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</si>
  <si>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</si>
  <si>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</si>
  <si>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</si>
  <si>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</si>
  <si>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</si>
  <si>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</si>
  <si>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</si>
  <si>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</si>
  <si>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</si>
  <si>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</si>
  <si>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</si>
  <si>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</si>
  <si>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</si>
  <si>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</si>
  <si>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</si>
  <si>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</si>
  <si>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</si>
  <si>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</si>
  <si>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</si>
  <si>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</si>
  <si>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</si>
  <si>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</si>
  <si>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</si>
  <si>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</si>
  <si>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</si>
  <si>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</si>
  <si>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</si>
  <si>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</si>
  <si>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</si>
  <si>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</si>
  <si>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</si>
  <si>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</si>
  <si>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</si>
  <si>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</si>
  <si>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</si>
  <si>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</si>
  <si>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</si>
  <si>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</si>
  <si>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</si>
  <si>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</si>
  <si>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</si>
  <si>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</si>
  <si>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</si>
  <si>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</si>
  <si>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</si>
  <si>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</si>
  <si>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</si>
  <si>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</si>
  <si>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</si>
  <si>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</si>
  <si>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</si>
  <si>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</si>
  <si>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</si>
  <si>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</si>
  <si>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</si>
  <si>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</si>
  <si>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</si>
  <si>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</si>
  <si>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</si>
  <si>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</si>
  <si>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</si>
  <si>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</si>
  <si>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</si>
  <si>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</si>
  <si>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</si>
  <si>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</si>
  <si>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</si>
  <si>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</si>
  <si>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</si>
  <si>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</si>
  <si>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</si>
  <si>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</si>
  <si>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</si>
  <si>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</si>
  <si>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</si>
  <si>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</si>
  <si>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</si>
  <si>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</si>
  <si>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</si>
  <si>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</si>
  <si>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</si>
  <si>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</si>
  <si>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</si>
  <si>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</si>
  <si>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</si>
  <si>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</si>
  <si>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</si>
  <si>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</si>
  <si>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</si>
  <si>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</si>
  <si>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</si>
  <si>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</si>
  <si>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</si>
  <si>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</si>
  <si>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</si>
  <si>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</si>
  <si>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</si>
  <si>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</si>
  <si>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</si>
  <si>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</si>
  <si>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</si>
  <si>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</si>
  <si>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</si>
  <si>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</si>
  <si>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</si>
  <si>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</si>
  <si>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</si>
  <si>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</si>
  <si>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</si>
  <si>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</si>
  <si>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</si>
  <si>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</si>
  <si>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</si>
  <si>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</si>
  <si>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</si>
  <si>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</si>
  <si>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</si>
  <si>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</si>
  <si>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</si>
  <si>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</si>
  <si>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</si>
  <si>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</si>
  <si>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</si>
  <si>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</si>
  <si>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</si>
  <si>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</si>
  <si>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</si>
  <si>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</si>
  <si>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</si>
  <si>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</si>
  <si>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</si>
  <si>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</si>
  <si>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</si>
  <si>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</si>
  <si>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</si>
  <si>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</si>
  <si>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</si>
  <si>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</si>
  <si>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</si>
  <si>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</si>
  <si>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</si>
  <si>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</si>
  <si>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</si>
  <si>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</si>
  <si>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</si>
  <si>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</si>
  <si>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</si>
  <si>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</si>
  <si>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</si>
  <si>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</si>
  <si>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</si>
  <si>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</si>
  <si>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</si>
  <si>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</si>
  <si>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</si>
  <si>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</si>
  <si>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</si>
  <si>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</si>
  <si>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</si>
  <si>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</si>
  <si>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</si>
  <si>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</si>
  <si>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</si>
  <si>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</si>
  <si>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</si>
  <si>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</si>
  <si>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</si>
  <si>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</si>
  <si>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</si>
  <si>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</si>
  <si>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</si>
  <si>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</si>
  <si>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</si>
  <si>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</si>
  <si>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</si>
  <si>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</si>
  <si>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</si>
  <si>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</si>
  <si>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</si>
  <si>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</si>
  <si>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</si>
  <si>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</si>
  <si>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</si>
  <si>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</si>
  <si>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</si>
  <si>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</si>
  <si>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</si>
  <si>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</si>
  <si>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</si>
  <si>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</si>
  <si>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</si>
  <si>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</si>
  <si>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</si>
  <si>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</si>
  <si>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</si>
  <si>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</si>
  <si>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</si>
  <si>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</si>
  <si>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</si>
  <si>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</si>
  <si>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</si>
  <si>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</si>
  <si>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</si>
  <si>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</si>
  <si>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</si>
  <si>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</si>
  <si>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</si>
  <si>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</si>
  <si>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</si>
  <si>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</si>
  <si>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</si>
  <si>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</si>
  <si>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</si>
  <si>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</si>
  <si>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</si>
  <si>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</si>
  <si>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</si>
  <si>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</si>
  <si>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</si>
  <si>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</si>
  <si>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</si>
  <si>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</si>
  <si>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</si>
  <si>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</si>
  <si>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</si>
  <si>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</si>
  <si>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</si>
  <si>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</si>
  <si>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</si>
  <si>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</si>
  <si>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</si>
  <si>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</si>
  <si>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</si>
  <si>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</si>
  <si>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</si>
  <si>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</si>
  <si>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</si>
  <si>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</si>
  <si>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</si>
  <si>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</si>
  <si>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</si>
  <si>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</si>
  <si>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</si>
  <si>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</si>
  <si>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</si>
  <si>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</si>
  <si>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</si>
  <si>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</si>
  <si>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</si>
  <si>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</si>
  <si>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</si>
  <si>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</si>
  <si>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</si>
  <si>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</si>
  <si>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</si>
  <si>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</si>
  <si>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</si>
  <si>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</si>
  <si>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</si>
  <si>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</si>
  <si>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</si>
  <si>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</si>
  <si>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</si>
  <si>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</si>
  <si>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</si>
  <si>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</si>
  <si>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</si>
  <si>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</si>
  <si>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</si>
  <si>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</si>
  <si>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</si>
  <si>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</si>
  <si>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</si>
  <si>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</si>
  <si>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</si>
  <si>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</si>
  <si>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</si>
  <si>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</si>
  <si>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</si>
  <si>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</si>
  <si>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</si>
  <si>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</si>
  <si>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</si>
  <si>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</si>
  <si>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</si>
  <si>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</si>
  <si>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</si>
  <si>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</si>
  <si>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</si>
  <si>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</si>
  <si>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</si>
  <si>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</si>
  <si>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</si>
  <si>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</si>
  <si>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</si>
  <si>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</si>
  <si>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</si>
  <si>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</si>
  <si>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</si>
  <si>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</si>
  <si>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</si>
  <si>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</si>
  <si>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</si>
  <si>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</si>
  <si>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</si>
  <si>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</si>
  <si>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</si>
  <si>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</si>
  <si>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</si>
  <si>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</si>
  <si>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</si>
  <si>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</si>
  <si>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</si>
  <si>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</si>
  <si>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</si>
  <si>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</si>
  <si>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</si>
  <si>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</si>
  <si>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</si>
  <si>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</si>
  <si>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</si>
  <si>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</si>
  <si>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</si>
  <si>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</si>
  <si>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</si>
  <si>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</si>
  <si>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</si>
  <si>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</si>
  <si>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</si>
  <si>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</si>
  <si>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</si>
  <si>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</si>
  <si>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</si>
  <si>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</si>
  <si>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</si>
  <si>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</si>
  <si>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</si>
  <si>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</si>
  <si>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</si>
  <si>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</si>
  <si>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</si>
  <si>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</si>
  <si>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</si>
  <si>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</si>
  <si>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</si>
  <si>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</si>
  <si>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</si>
  <si>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</si>
  <si>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</si>
  <si>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</si>
  <si>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</si>
  <si>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</si>
  <si>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</si>
  <si>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</si>
  <si>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</si>
  <si>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</si>
  <si>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</si>
  <si>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</si>
  <si>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</si>
  <si>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</si>
  <si>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</si>
  <si>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</si>
  <si>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</si>
  <si>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</si>
  <si>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</si>
  <si>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</si>
  <si>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</si>
  <si>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</si>
  <si>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</si>
  <si>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</si>
  <si>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</si>
  <si>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</si>
  <si>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</si>
  <si>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</si>
  <si>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</si>
  <si>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</si>
  <si>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</si>
  <si>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</si>
  <si>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</si>
  <si>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</si>
  <si>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</si>
  <si>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</si>
  <si>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</si>
  <si>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</si>
  <si>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</si>
  <si>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</si>
  <si>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</si>
  <si>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</si>
  <si>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</si>
  <si>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</si>
  <si>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</si>
  <si>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</si>
  <si>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</si>
  <si>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</si>
  <si>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</si>
  <si>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</si>
  <si>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</si>
  <si>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</si>
  <si>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</si>
  <si>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</si>
  <si>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</si>
  <si>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</si>
  <si>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</si>
  <si>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</si>
  <si>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</si>
  <si>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</si>
  <si>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</si>
  <si>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</si>
  <si>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</si>
  <si>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</si>
  <si>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</si>
  <si>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</si>
  <si>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</si>
  <si>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</si>
  <si>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</si>
  <si>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</si>
  <si>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</si>
  <si>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</si>
  <si>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</si>
  <si>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</si>
  <si>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</si>
  <si>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</si>
  <si>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</si>
  <si>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</si>
  <si>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</si>
  <si>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</si>
  <si>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</si>
  <si>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</si>
  <si>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</si>
  <si>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</si>
  <si>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</si>
  <si>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</si>
  <si>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</si>
  <si>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</si>
  <si>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</si>
  <si>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</si>
  <si>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</si>
  <si>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</si>
  <si>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</si>
  <si>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</si>
  <si>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</si>
  <si>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</si>
  <si>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</si>
  <si>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</si>
  <si>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</si>
  <si>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</si>
  <si>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</si>
  <si>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</si>
  <si>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</si>
  <si>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</si>
  <si>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</si>
  <si>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</si>
  <si>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</si>
  <si>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</si>
  <si>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</si>
  <si>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</si>
  <si>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</si>
  <si>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</si>
  <si>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</si>
  <si>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</si>
  <si>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</si>
  <si>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</si>
  <si>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</si>
  <si>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</si>
  <si>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</si>
  <si>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</si>
  <si>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</si>
  <si>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</si>
  <si>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</si>
  <si>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</si>
  <si>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</si>
  <si>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</si>
  <si>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</si>
  <si>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</si>
  <si>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</si>
  <si>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</si>
  <si>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</si>
  <si>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</si>
  <si>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</si>
  <si>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</si>
  <si>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</si>
  <si>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</si>
  <si>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</si>
  <si>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</si>
  <si>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</si>
  <si>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</si>
  <si>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</si>
  <si>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</si>
  <si>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</si>
  <si>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</si>
  <si>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</si>
  <si>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</si>
  <si>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</si>
  <si>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</si>
  <si>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</si>
  <si>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</si>
  <si>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</si>
  <si>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</si>
  <si>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</si>
  <si>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</si>
  <si>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</si>
  <si>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</si>
  <si>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</si>
  <si>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</si>
  <si>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</si>
  <si>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</si>
  <si>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</si>
  <si>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</si>
  <si>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</si>
  <si>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</si>
  <si>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</si>
  <si>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</si>
  <si>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</si>
  <si>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</si>
  <si>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</si>
  <si>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</si>
  <si>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</si>
  <si>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</si>
  <si>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</si>
  <si>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</si>
  <si>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</si>
  <si>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</si>
  <si>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</si>
  <si>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</si>
  <si>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</si>
  <si>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</si>
  <si>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</si>
  <si>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</si>
  <si>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</si>
  <si>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</si>
  <si>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</si>
  <si>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</si>
  <si>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</si>
  <si>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</si>
  <si>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</si>
  <si>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</si>
  <si>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</si>
  <si>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</si>
  <si>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</si>
  <si>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</si>
  <si>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</si>
  <si>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</si>
  <si>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</si>
  <si>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</si>
  <si>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</si>
  <si>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</si>
  <si>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</si>
  <si>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</si>
  <si>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</si>
  <si>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</si>
  <si>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</si>
  <si>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</si>
  <si>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</si>
  <si>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</si>
  <si>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</si>
  <si>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</si>
  <si>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</si>
  <si>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</si>
  <si>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</si>
  <si>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</si>
  <si>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</si>
  <si>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</si>
  <si>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</si>
  <si>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</si>
  <si>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</si>
  <si>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</si>
  <si>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</si>
  <si>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</si>
  <si>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</si>
  <si>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</si>
  <si>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</si>
  <si>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</si>
  <si>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</si>
  <si>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</si>
  <si>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</si>
  <si>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</si>
  <si>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</si>
  <si>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</si>
  <si>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</si>
  <si>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</si>
  <si>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</si>
  <si>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</si>
  <si>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</si>
  <si>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</si>
  <si>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</si>
  <si>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</si>
  <si>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</si>
  <si>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</si>
  <si>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</si>
  <si>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</si>
  <si>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</si>
  <si>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</si>
  <si>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</si>
  <si>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</si>
  <si>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</si>
  <si>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</si>
  <si>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</si>
  <si>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</si>
  <si>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</si>
  <si>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</si>
  <si>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</si>
  <si>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</si>
  <si>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</si>
  <si>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</si>
  <si>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</si>
  <si>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</si>
  <si>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</si>
  <si>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</si>
  <si>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</si>
  <si>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</si>
  <si>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</si>
  <si>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</si>
  <si>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</si>
  <si>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</si>
  <si>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</si>
  <si>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</si>
  <si>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</si>
  <si>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</si>
  <si>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</si>
  <si>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</si>
  <si>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</si>
  <si>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</si>
  <si>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</si>
  <si>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</si>
  <si>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</si>
  <si>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</si>
  <si>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</si>
  <si>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</si>
  <si>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</si>
  <si>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</si>
  <si>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</si>
  <si>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</si>
  <si>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</si>
  <si>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</si>
  <si>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</si>
  <si>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</si>
  <si>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</si>
  <si>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</si>
  <si>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</si>
  <si>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</si>
  <si>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</si>
  <si>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</si>
  <si>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</si>
  <si>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</si>
  <si>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</si>
  <si>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</si>
  <si>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</si>
  <si>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</si>
  <si>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</si>
  <si>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</si>
  <si>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</si>
  <si>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</si>
  <si>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</si>
  <si>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</si>
  <si>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</si>
  <si>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</si>
  <si>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</si>
  <si>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</si>
  <si>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</si>
  <si>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</si>
  <si>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</si>
  <si>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</si>
  <si>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</si>
  <si>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</si>
  <si>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</si>
  <si>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</si>
  <si>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</si>
  <si>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</si>
  <si>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</si>
  <si>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</si>
  <si>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</si>
  <si>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</si>
  <si>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</si>
  <si>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</si>
  <si>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</si>
  <si>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</si>
  <si>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</si>
  <si>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</si>
  <si>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</si>
  <si>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</si>
  <si>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</si>
  <si>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</si>
  <si>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</si>
  <si>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</si>
  <si>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</si>
  <si>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</si>
  <si>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</si>
  <si>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</si>
  <si>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</si>
  <si>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</si>
  <si>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</si>
  <si>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</si>
  <si>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</si>
  <si>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</si>
  <si>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</si>
  <si>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</si>
  <si>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</si>
  <si>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</si>
  <si>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</si>
  <si>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</si>
  <si>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</si>
  <si>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</si>
  <si>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</si>
  <si>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</si>
  <si>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</si>
  <si>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</si>
  <si>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</si>
  <si>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</si>
  <si>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</si>
  <si>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</si>
  <si>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</si>
  <si>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</si>
  <si>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</si>
  <si>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</si>
  <si>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</si>
  <si>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</si>
  <si>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</si>
  <si>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</si>
  <si>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</si>
  <si>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</si>
  <si>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</si>
  <si>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</si>
  <si>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</si>
  <si>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</si>
  <si>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</si>
  <si>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</si>
  <si>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</si>
  <si>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</si>
  <si>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</si>
  <si>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</si>
  <si>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</si>
  <si>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</si>
  <si>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</si>
  <si>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</si>
  <si>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</si>
  <si>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</si>
  <si>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</si>
  <si>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</si>
  <si>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</si>
  <si>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</si>
  <si>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</si>
  <si>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</si>
  <si>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</si>
  <si>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</si>
  <si>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</si>
  <si>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</si>
  <si>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</si>
  <si>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</si>
  <si>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</si>
  <si>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</si>
  <si>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</si>
  <si>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</si>
  <si>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</si>
  <si>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</si>
  <si>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</si>
  <si>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</si>
  <si>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</si>
  <si>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</si>
  <si>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</si>
  <si>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</si>
  <si>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</si>
  <si>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</si>
  <si>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</si>
  <si>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</si>
  <si>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</si>
  <si>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</si>
  <si>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</si>
  <si>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</si>
  <si>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</si>
  <si>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</si>
  <si>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</si>
  <si>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</si>
  <si>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</si>
  <si>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</si>
  <si>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</si>
  <si>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</si>
  <si>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</si>
  <si>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</si>
  <si>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</si>
  <si>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</si>
  <si>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</si>
  <si>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</si>
  <si>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</si>
  <si>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</si>
  <si>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</si>
  <si>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</si>
  <si>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</si>
  <si>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</si>
  <si>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</si>
  <si>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</si>
  <si>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</si>
  <si>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</si>
  <si>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</si>
  <si>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</si>
  <si>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</si>
  <si>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</si>
  <si>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</si>
  <si>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</si>
  <si>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</si>
  <si>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</si>
  <si>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</si>
  <si>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</si>
  <si>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</si>
  <si>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</si>
  <si>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</si>
  <si>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</si>
  <si>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</si>
  <si>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</si>
  <si>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</si>
  <si>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</si>
  <si>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</si>
  <si>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</si>
  <si>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</si>
  <si>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</si>
  <si>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</si>
  <si>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</si>
  <si>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</si>
  <si>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</si>
  <si>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</si>
  <si>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</si>
  <si>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</si>
  <si>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</si>
  <si>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</si>
  <si>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</si>
  <si>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</si>
  <si>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</si>
  <si>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</si>
  <si>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</si>
  <si>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</si>
  <si>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</si>
  <si>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</si>
  <si>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</si>
  <si>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</si>
  <si>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</si>
  <si>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</si>
  <si>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</si>
  <si>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</si>
  <si>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</si>
  <si>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</si>
  <si>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</si>
  <si>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</si>
  <si>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</si>
  <si>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</si>
  <si>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</si>
  <si>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</si>
  <si>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</si>
  <si>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</si>
  <si>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</si>
  <si>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</si>
  <si>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</si>
  <si>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</si>
  <si>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</si>
  <si>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</si>
  <si>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</si>
  <si>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</si>
  <si>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</si>
  <si>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</si>
  <si>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</si>
  <si>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</si>
  <si>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</si>
  <si>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</si>
  <si>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</si>
  <si>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</si>
  <si>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</si>
  <si>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</si>
  <si>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</si>
  <si>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</si>
  <si>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</si>
  <si>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</si>
  <si>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</si>
  <si>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</si>
  <si>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</si>
  <si>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</si>
  <si>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</si>
  <si>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</si>
  <si>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</si>
  <si>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</si>
  <si>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</si>
  <si>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</si>
  <si>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</si>
  <si>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</si>
  <si>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</si>
  <si>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</si>
  <si>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</si>
  <si>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</si>
  <si>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</si>
  <si>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</si>
  <si>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</si>
  <si>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</si>
  <si>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</si>
  <si>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</si>
  <si>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</si>
  <si>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</si>
  <si>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</si>
  <si>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</si>
  <si>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</si>
  <si>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</si>
  <si>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</si>
  <si>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</si>
  <si>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</si>
  <si>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</si>
  <si>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</si>
  <si>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</si>
  <si>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</si>
  <si>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</si>
  <si>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</si>
  <si>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</si>
  <si>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</si>
  <si>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</si>
  <si>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</si>
  <si>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</si>
  <si>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</si>
  <si>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</si>
  <si>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</si>
  <si>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</si>
  <si>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</si>
  <si>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</si>
  <si>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</si>
  <si>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</si>
  <si>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</si>
  <si>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</si>
  <si>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</si>
  <si>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</si>
  <si>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</si>
  <si>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</si>
  <si>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</si>
  <si>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</si>
  <si>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</si>
  <si>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</si>
  <si>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</si>
  <si>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</si>
  <si>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</si>
  <si>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</si>
  <si>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</si>
  <si>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</si>
  <si>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</si>
  <si>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</si>
  <si>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</si>
  <si>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</si>
  <si>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</si>
  <si>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</si>
  <si>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</si>
  <si>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</si>
  <si>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</si>
  <si>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</si>
  <si>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</si>
  <si>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</si>
  <si>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</si>
  <si>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</si>
  <si>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</si>
  <si>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</si>
  <si>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</si>
  <si>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</si>
  <si>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</si>
  <si>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</si>
  <si>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</si>
  <si>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</si>
  <si>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</si>
  <si>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</si>
  <si>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</si>
  <si>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</si>
  <si>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</si>
  <si>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</si>
  <si>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</si>
  <si>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</si>
  <si>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</si>
  <si>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</si>
  <si>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</si>
  <si>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</si>
  <si>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</si>
  <si>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</si>
  <si>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</si>
  <si>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</si>
  <si>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</si>
  <si>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</si>
  <si>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</si>
  <si>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</si>
  <si>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</si>
  <si>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</si>
  <si>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</si>
  <si>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</si>
  <si>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</si>
  <si>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</si>
  <si>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</si>
  <si>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</si>
  <si>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</si>
  <si>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</si>
  <si>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</si>
  <si>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</si>
  <si>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</si>
  <si>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</si>
  <si>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</si>
  <si>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</si>
  <si>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</si>
  <si>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</si>
  <si>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</si>
  <si>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</si>
  <si>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</si>
  <si>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</si>
  <si>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</si>
  <si>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</si>
  <si>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</si>
  <si>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</si>
  <si>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</si>
  <si>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</si>
  <si>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</si>
  <si>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</si>
  <si>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</si>
  <si>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</si>
  <si>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</si>
  <si>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</si>
  <si>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</si>
  <si>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</si>
  <si>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</si>
  <si>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</si>
  <si>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</si>
  <si>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</si>
  <si>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</si>
  <si>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</si>
  <si>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</si>
  <si>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</si>
  <si>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</si>
  <si>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</si>
  <si>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</si>
  <si>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</si>
  <si>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</si>
  <si>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</si>
  <si>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</si>
  <si>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</si>
  <si>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</si>
  <si>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</si>
  <si>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</si>
  <si>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</si>
  <si>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</si>
  <si>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</si>
  <si>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</si>
  <si>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</si>
  <si>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</si>
  <si>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</si>
  <si>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</si>
  <si>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</si>
  <si>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</si>
  <si>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</si>
  <si>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</si>
  <si>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</si>
  <si>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</si>
  <si>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</si>
  <si>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</si>
  <si>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</si>
  <si>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</si>
  <si>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</si>
  <si>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</si>
  <si>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</si>
  <si>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</si>
  <si>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</si>
  <si>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</si>
  <si>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</si>
  <si>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</si>
  <si>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</si>
  <si>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</si>
  <si>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</si>
  <si>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</si>
  <si>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</si>
  <si>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</si>
  <si>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</si>
  <si>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</si>
  <si>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</si>
  <si>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</si>
  <si>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</si>
  <si>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</si>
  <si>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</si>
  <si>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</si>
  <si>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</si>
  <si>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</si>
  <si>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</si>
  <si>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</si>
  <si>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</si>
  <si>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</si>
  <si>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</si>
  <si>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</si>
  <si>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</si>
  <si>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</si>
  <si>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</si>
  <si>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</si>
  <si>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</si>
  <si>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</si>
  <si>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</si>
  <si>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</si>
  <si>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</si>
  <si>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</si>
  <si>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</si>
  <si>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</si>
  <si>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</si>
  <si>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</si>
  <si>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</si>
  <si>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</si>
  <si>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</si>
  <si>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</si>
  <si>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</si>
  <si>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</si>
  <si>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</si>
  <si>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</si>
  <si>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</si>
  <si>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</si>
  <si>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</si>
  <si>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</si>
  <si>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</si>
  <si>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</si>
  <si>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</si>
  <si>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</si>
  <si>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</si>
  <si>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</si>
  <si>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</si>
  <si>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</si>
  <si>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</si>
  <si>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</si>
  <si>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</si>
  <si>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</si>
  <si>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</si>
  <si>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</si>
  <si>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</si>
  <si>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</si>
  <si>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</si>
  <si>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</si>
  <si>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</si>
  <si>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</si>
  <si>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</si>
  <si>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</si>
  <si>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</si>
  <si>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</si>
  <si>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</si>
  <si>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</si>
  <si>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</si>
  <si>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</si>
  <si>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</si>
  <si>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</si>
  <si>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r>
      <t xml:space="preserve">GFL KR Battle Sim - JSON Creator </t>
    </r>
    <r>
      <rPr>
        <b/>
        <sz val="12"/>
        <rFont val="Calibri"/>
        <family val="2"/>
        <scheme val="minor"/>
      </rPr>
      <t>(last updated May 6,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</si>
</sst>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8873</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8560</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8291</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8256</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8255</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8258</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8273</v>
      </c>
    </row>
    <row r="72" spans="1:19" outlineLevel="1" x14ac:dyDescent="0.25">
      <c r="A72" s="159" t="s">
        <v>8274</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8275</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8259</v>
      </c>
      <c r="K78" s="299"/>
      <c r="M78" s="151"/>
    </row>
    <row r="79" spans="1:19" outlineLevel="1" x14ac:dyDescent="0.25">
      <c r="A79" s="155" t="s">
        <v>8323</v>
      </c>
    </row>
    <row r="80" spans="1:19" outlineLevel="1" x14ac:dyDescent="0.25">
      <c r="A80" s="279" t="s">
        <v>8244</v>
      </c>
      <c r="B80" s="277" t="s">
        <v>8251</v>
      </c>
      <c r="C80" s="278"/>
      <c r="D80" s="277" t="s">
        <v>8725</v>
      </c>
      <c r="E80" s="278"/>
      <c r="F80" s="277" t="s">
        <v>8724</v>
      </c>
      <c r="G80" s="278"/>
      <c r="H80" s="277" t="s">
        <v>8252</v>
      </c>
      <c r="I80" s="278"/>
      <c r="J80" s="277" t="s">
        <v>8253</v>
      </c>
      <c r="K80" s="278"/>
      <c r="L80" s="277" t="s">
        <v>8863</v>
      </c>
      <c r="M80" s="278"/>
      <c r="N80" s="277" t="s">
        <v>8864</v>
      </c>
      <c r="O80" s="278"/>
      <c r="P80" s="277" t="s">
        <v>8865</v>
      </c>
      <c r="Q80" s="278"/>
      <c r="R80" s="277" t="s">
        <v>8866</v>
      </c>
      <c r="S80" s="278"/>
    </row>
    <row r="81" spans="1:19" outlineLevel="1" x14ac:dyDescent="0.25">
      <c r="A81" s="164" t="s">
        <v>8311</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8307</v>
      </c>
      <c r="B82" s="315" t="s">
        <v>8292</v>
      </c>
      <c r="C82" s="316">
        <v>10</v>
      </c>
      <c r="D82" s="315" t="s">
        <v>8833</v>
      </c>
      <c r="E82" s="316">
        <v>10</v>
      </c>
      <c r="F82" s="315" t="s">
        <v>8299</v>
      </c>
      <c r="G82" s="316">
        <v>10</v>
      </c>
      <c r="H82" s="315" t="s">
        <v>8850</v>
      </c>
      <c r="I82" s="316">
        <v>10</v>
      </c>
      <c r="J82" s="315" t="s">
        <v>8303</v>
      </c>
      <c r="K82" s="316">
        <v>10</v>
      </c>
      <c r="L82" s="315" t="s">
        <v>8293</v>
      </c>
      <c r="M82" s="316">
        <v>10</v>
      </c>
      <c r="N82" s="315" t="s">
        <v>638</v>
      </c>
      <c r="O82" s="316">
        <v>10</v>
      </c>
      <c r="P82" s="315" t="s">
        <v>8858</v>
      </c>
      <c r="Q82" s="316">
        <v>10</v>
      </c>
      <c r="R82" s="315" t="s">
        <v>640</v>
      </c>
      <c r="S82" s="316">
        <v>10</v>
      </c>
    </row>
    <row r="83" spans="1:19" s="256" customFormat="1" outlineLevel="1" x14ac:dyDescent="0.25">
      <c r="A83" s="132" t="s">
        <v>8308</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8309</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8310</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8724</v>
      </c>
      <c r="C87" s="278"/>
      <c r="D87" s="277" t="s">
        <v>8725</v>
      </c>
      <c r="E87" s="278"/>
      <c r="F87" s="277" t="s">
        <v>8252</v>
      </c>
      <c r="G87" s="278"/>
      <c r="H87" s="277" t="s">
        <v>8725</v>
      </c>
      <c r="I87" s="278"/>
      <c r="J87" s="277" t="s">
        <v>8253</v>
      </c>
      <c r="K87" s="278"/>
      <c r="L87" s="277" t="s">
        <v>8863</v>
      </c>
      <c r="M87" s="278"/>
      <c r="N87" s="277" t="s">
        <v>8864</v>
      </c>
      <c r="O87" s="278"/>
      <c r="P87" s="277" t="s">
        <v>8865</v>
      </c>
      <c r="Q87" s="278"/>
      <c r="R87" s="277" t="s">
        <v>8866</v>
      </c>
      <c r="S87" s="278"/>
    </row>
    <row r="88" spans="1:19" s="256" customFormat="1" outlineLevel="1" x14ac:dyDescent="0.25">
      <c r="A88" s="164" t="s">
        <v>8311</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8307</v>
      </c>
      <c r="B89" s="306" t="s">
        <v>8292</v>
      </c>
      <c r="C89" s="154">
        <v>10</v>
      </c>
      <c r="D89" s="307" t="s">
        <v>8850</v>
      </c>
      <c r="E89" s="154">
        <v>10</v>
      </c>
      <c r="F89" s="307" t="s">
        <v>8853</v>
      </c>
      <c r="G89" s="154">
        <v>10</v>
      </c>
      <c r="H89" s="307" t="s">
        <v>8833</v>
      </c>
      <c r="I89" s="154">
        <v>10</v>
      </c>
      <c r="J89" s="307" t="s">
        <v>8303</v>
      </c>
      <c r="K89" s="154">
        <v>10</v>
      </c>
      <c r="L89" s="307" t="s">
        <v>8293</v>
      </c>
      <c r="M89" s="154">
        <v>10</v>
      </c>
      <c r="N89" s="307" t="s">
        <v>638</v>
      </c>
      <c r="O89" s="154">
        <v>10</v>
      </c>
      <c r="P89" s="307" t="s">
        <v>8858</v>
      </c>
      <c r="Q89" s="154">
        <v>10</v>
      </c>
      <c r="R89" s="307" t="s">
        <v>640</v>
      </c>
      <c r="S89" s="154">
        <v>10</v>
      </c>
    </row>
    <row r="90" spans="1:19" s="256" customFormat="1" outlineLevel="1" x14ac:dyDescent="0.25">
      <c r="A90" s="132" t="s">
        <v>8308</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8309</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8310</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8355</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8482</v>
      </c>
      <c r="E97" s="161"/>
      <c r="F97" s="162"/>
      <c r="G97" s="163" t="s">
        <v>769</v>
      </c>
      <c r="H97" s="161"/>
      <c r="I97" s="162"/>
      <c r="J97" s="163" t="s">
        <v>8357</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8483</v>
      </c>
      <c r="G98" s="165">
        <v>1</v>
      </c>
      <c r="H98" s="165">
        <v>2</v>
      </c>
      <c r="I98" s="166">
        <v>3</v>
      </c>
      <c r="J98" s="167" t="s">
        <v>8358</v>
      </c>
      <c r="K98" s="165" t="s">
        <v>8359</v>
      </c>
      <c r="L98" s="165" t="s">
        <v>8360</v>
      </c>
      <c r="M98" s="165" t="s">
        <v>8361</v>
      </c>
      <c r="N98" s="165" t="s">
        <v>8362</v>
      </c>
      <c r="O98" s="165" t="s">
        <v>8363</v>
      </c>
      <c r="P98" s="165" t="s">
        <v>8364</v>
      </c>
      <c r="Q98" s="165" t="s">
        <v>8365</v>
      </c>
      <c r="R98" s="165" t="s">
        <v>8366</v>
      </c>
      <c r="S98" s="166" t="s">
        <v>8367</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8331</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8356</v>
      </c>
    </row>
    <row r="123" spans="1:16" outlineLevel="1" x14ac:dyDescent="0.25">
      <c r="A123" s="159" t="s">
        <v>8549</v>
      </c>
      <c r="B123" s="159"/>
      <c r="C123" s="159"/>
      <c r="E123" s="214"/>
    </row>
    <row r="124" spans="1:16" outlineLevel="1" x14ac:dyDescent="0.25">
      <c r="A124" s="193" t="s">
        <v>8547</v>
      </c>
      <c r="B124" s="181" t="s">
        <v>783</v>
      </c>
      <c r="C124" s="182" t="s">
        <v>769</v>
      </c>
      <c r="D124" s="181" t="s">
        <v>6591</v>
      </c>
      <c r="E124" s="182" t="s">
        <v>769</v>
      </c>
      <c r="F124" s="181" t="s">
        <v>7095</v>
      </c>
      <c r="G124" s="182" t="s">
        <v>1767</v>
      </c>
      <c r="H124" s="181" t="s">
        <v>8548</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8753</v>
      </c>
      <c r="I1" t="s">
        <v>8</v>
      </c>
      <c r="J1" t="s">
        <v>8830</v>
      </c>
      <c r="K1" t="s">
        <v>701</v>
      </c>
    </row>
    <row r="2" spans="1:11" x14ac:dyDescent="0.25">
      <c r="A2" t="s">
        <v>1778</v>
      </c>
      <c r="B2" t="s">
        <v>8749</v>
      </c>
      <c r="C2" t="s">
        <v>956</v>
      </c>
      <c r="D2" t="s">
        <v>8750</v>
      </c>
      <c r="E2" t="s">
        <v>8751</v>
      </c>
      <c r="F2" t="s">
        <v>8752</v>
      </c>
      <c r="H2" t="s">
        <v>8754</v>
      </c>
      <c r="I2" t="s">
        <v>8313</v>
      </c>
      <c r="J2">
        <v>220183</v>
      </c>
      <c r="K2" t="s">
        <v>8755</v>
      </c>
    </row>
    <row r="3" spans="1:11" x14ac:dyDescent="0.25">
      <c r="A3" t="s">
        <v>8187</v>
      </c>
      <c r="B3">
        <v>24</v>
      </c>
      <c r="C3">
        <v>28</v>
      </c>
      <c r="D3">
        <v>33</v>
      </c>
      <c r="E3">
        <v>38</v>
      </c>
      <c r="F3">
        <v>48</v>
      </c>
      <c r="H3" t="s">
        <v>8754</v>
      </c>
      <c r="I3" t="s">
        <v>8312</v>
      </c>
      <c r="J3">
        <v>770037</v>
      </c>
      <c r="K3" t="s">
        <v>8756</v>
      </c>
    </row>
    <row r="4" spans="1:11" x14ac:dyDescent="0.25">
      <c r="A4" t="s">
        <v>8188</v>
      </c>
      <c r="B4">
        <v>24</v>
      </c>
      <c r="C4">
        <v>28</v>
      </c>
      <c r="D4">
        <v>33</v>
      </c>
      <c r="E4">
        <v>38</v>
      </c>
      <c r="F4">
        <v>48</v>
      </c>
      <c r="H4" t="s">
        <v>8754</v>
      </c>
      <c r="I4" t="s">
        <v>8757</v>
      </c>
      <c r="J4">
        <v>770104</v>
      </c>
      <c r="K4" t="s">
        <v>8758</v>
      </c>
    </row>
    <row r="5" spans="1:11" x14ac:dyDescent="0.25">
      <c r="A5" t="s">
        <v>8189</v>
      </c>
      <c r="B5">
        <v>8</v>
      </c>
      <c r="C5">
        <v>9</v>
      </c>
      <c r="D5">
        <v>11</v>
      </c>
      <c r="E5">
        <v>12</v>
      </c>
      <c r="F5">
        <v>16</v>
      </c>
      <c r="H5" t="s">
        <v>8754</v>
      </c>
      <c r="I5" t="s">
        <v>8759</v>
      </c>
      <c r="J5">
        <v>770040</v>
      </c>
      <c r="K5" t="s">
        <v>8760</v>
      </c>
    </row>
    <row r="6" spans="1:11" x14ac:dyDescent="0.25">
      <c r="A6" t="s">
        <v>7738</v>
      </c>
      <c r="B6">
        <v>16</v>
      </c>
      <c r="C6">
        <v>19</v>
      </c>
      <c r="D6">
        <v>22</v>
      </c>
      <c r="E6">
        <v>25</v>
      </c>
      <c r="F6">
        <v>32</v>
      </c>
      <c r="H6" t="s">
        <v>8754</v>
      </c>
      <c r="I6" t="s">
        <v>8761</v>
      </c>
      <c r="J6">
        <v>770114</v>
      </c>
      <c r="K6" t="s">
        <v>8762</v>
      </c>
    </row>
    <row r="7" spans="1:11" x14ac:dyDescent="0.25">
      <c r="A7" t="s">
        <v>878</v>
      </c>
      <c r="B7">
        <v>5</v>
      </c>
      <c r="C7">
        <v>6</v>
      </c>
      <c r="D7">
        <v>7</v>
      </c>
      <c r="E7">
        <v>8</v>
      </c>
      <c r="F7">
        <v>10</v>
      </c>
      <c r="H7" t="s">
        <v>8754</v>
      </c>
      <c r="I7" t="s">
        <v>8763</v>
      </c>
      <c r="J7">
        <v>770039</v>
      </c>
      <c r="K7" t="s">
        <v>8764</v>
      </c>
    </row>
    <row r="8" spans="1:11" x14ac:dyDescent="0.25">
      <c r="A8" t="s">
        <v>38</v>
      </c>
      <c r="B8">
        <v>5</v>
      </c>
      <c r="C8">
        <v>6</v>
      </c>
      <c r="D8">
        <v>7</v>
      </c>
      <c r="E8">
        <v>8</v>
      </c>
      <c r="F8">
        <v>10</v>
      </c>
      <c r="H8" t="s">
        <v>8754</v>
      </c>
      <c r="I8" t="s">
        <v>8765</v>
      </c>
      <c r="J8">
        <v>770041</v>
      </c>
      <c r="K8" t="s">
        <v>8766</v>
      </c>
    </row>
    <row r="9" spans="1:11" x14ac:dyDescent="0.25">
      <c r="A9" t="s">
        <v>278</v>
      </c>
      <c r="B9">
        <v>2</v>
      </c>
      <c r="C9">
        <v>3</v>
      </c>
      <c r="D9">
        <v>4</v>
      </c>
      <c r="E9">
        <v>5</v>
      </c>
      <c r="F9">
        <v>6</v>
      </c>
      <c r="H9" t="s">
        <v>8767</v>
      </c>
      <c r="I9" t="s">
        <v>8768</v>
      </c>
      <c r="J9">
        <v>770093</v>
      </c>
      <c r="K9" t="s">
        <v>8769</v>
      </c>
    </row>
    <row r="10" spans="1:11" x14ac:dyDescent="0.25">
      <c r="A10" t="s">
        <v>39</v>
      </c>
      <c r="B10">
        <v>2</v>
      </c>
      <c r="C10">
        <v>3</v>
      </c>
      <c r="D10">
        <v>4</v>
      </c>
      <c r="E10">
        <v>5</v>
      </c>
      <c r="F10">
        <v>6</v>
      </c>
      <c r="H10" t="s">
        <v>8767</v>
      </c>
      <c r="I10" t="s">
        <v>8770</v>
      </c>
      <c r="J10">
        <v>770092</v>
      </c>
      <c r="K10" t="s">
        <v>8771</v>
      </c>
    </row>
    <row r="11" spans="1:11" x14ac:dyDescent="0.25">
      <c r="A11" t="s">
        <v>8268</v>
      </c>
      <c r="B11">
        <v>10</v>
      </c>
      <c r="C11">
        <v>12</v>
      </c>
      <c r="D11">
        <v>14</v>
      </c>
      <c r="E11">
        <v>16</v>
      </c>
      <c r="F11">
        <v>20</v>
      </c>
      <c r="H11" t="s">
        <v>8767</v>
      </c>
      <c r="I11" t="s">
        <v>8772</v>
      </c>
      <c r="J11">
        <v>770028</v>
      </c>
      <c r="K11" t="s">
        <v>8773</v>
      </c>
    </row>
    <row r="12" spans="1:11" x14ac:dyDescent="0.25">
      <c r="A12" t="s">
        <v>8269</v>
      </c>
      <c r="B12">
        <v>10</v>
      </c>
      <c r="C12">
        <v>12</v>
      </c>
      <c r="D12">
        <v>14</v>
      </c>
      <c r="E12">
        <v>16</v>
      </c>
      <c r="F12">
        <v>20</v>
      </c>
      <c r="H12" t="s">
        <v>8767</v>
      </c>
      <c r="I12" t="s">
        <v>8774</v>
      </c>
      <c r="J12">
        <v>770100</v>
      </c>
      <c r="K12" t="s">
        <v>8775</v>
      </c>
    </row>
    <row r="13" spans="1:11" x14ac:dyDescent="0.25">
      <c r="A13" t="s">
        <v>8191</v>
      </c>
      <c r="B13">
        <v>13</v>
      </c>
      <c r="C13">
        <v>15</v>
      </c>
      <c r="D13">
        <v>18</v>
      </c>
      <c r="E13">
        <v>20</v>
      </c>
      <c r="F13">
        <v>26</v>
      </c>
      <c r="H13" t="s">
        <v>8767</v>
      </c>
      <c r="I13" t="s">
        <v>8317</v>
      </c>
      <c r="J13">
        <v>770026</v>
      </c>
      <c r="K13" t="s">
        <v>8776</v>
      </c>
    </row>
    <row r="14" spans="1:11" x14ac:dyDescent="0.25">
      <c r="A14" t="s">
        <v>8192</v>
      </c>
      <c r="B14">
        <v>38</v>
      </c>
      <c r="C14">
        <v>45</v>
      </c>
      <c r="D14">
        <v>53</v>
      </c>
      <c r="E14">
        <v>60</v>
      </c>
      <c r="F14">
        <v>76</v>
      </c>
      <c r="H14" t="s">
        <v>8767</v>
      </c>
      <c r="I14" t="s">
        <v>8777</v>
      </c>
      <c r="J14">
        <v>220182</v>
      </c>
      <c r="K14" t="s">
        <v>8778</v>
      </c>
    </row>
    <row r="15" spans="1:11" x14ac:dyDescent="0.25">
      <c r="A15" t="s">
        <v>8190</v>
      </c>
      <c r="B15">
        <v>19</v>
      </c>
      <c r="C15">
        <v>22</v>
      </c>
      <c r="D15">
        <v>26</v>
      </c>
      <c r="E15">
        <v>30</v>
      </c>
      <c r="F15">
        <v>38</v>
      </c>
      <c r="H15" t="s">
        <v>8767</v>
      </c>
      <c r="I15" t="s">
        <v>8316</v>
      </c>
      <c r="J15">
        <v>770030</v>
      </c>
      <c r="K15" t="s">
        <v>8779</v>
      </c>
    </row>
    <row r="16" spans="1:11" x14ac:dyDescent="0.25">
      <c r="A16" t="s">
        <v>1798</v>
      </c>
      <c r="B16" t="s">
        <v>8322</v>
      </c>
      <c r="C16" t="s">
        <v>8322</v>
      </c>
      <c r="D16" t="s">
        <v>8322</v>
      </c>
      <c r="E16" t="s">
        <v>8322</v>
      </c>
      <c r="F16" t="s">
        <v>8322</v>
      </c>
      <c r="H16" t="s">
        <v>8767</v>
      </c>
      <c r="I16" t="s">
        <v>8780</v>
      </c>
      <c r="J16">
        <v>770032</v>
      </c>
      <c r="K16" t="s">
        <v>8781</v>
      </c>
    </row>
    <row r="17" spans="8:11" x14ac:dyDescent="0.25">
      <c r="H17" t="s">
        <v>8767</v>
      </c>
      <c r="I17" t="s">
        <v>8782</v>
      </c>
      <c r="J17">
        <v>770034</v>
      </c>
      <c r="K17" t="s">
        <v>8783</v>
      </c>
    </row>
    <row r="18" spans="8:11" x14ac:dyDescent="0.25">
      <c r="H18" t="s">
        <v>640</v>
      </c>
      <c r="I18" t="s">
        <v>8784</v>
      </c>
      <c r="J18">
        <v>770024</v>
      </c>
      <c r="K18" t="s">
        <v>8785</v>
      </c>
    </row>
    <row r="19" spans="8:11" x14ac:dyDescent="0.25">
      <c r="H19" t="s">
        <v>640</v>
      </c>
      <c r="I19" t="s">
        <v>7380</v>
      </c>
      <c r="J19">
        <v>770109</v>
      </c>
      <c r="K19" t="s">
        <v>8786</v>
      </c>
    </row>
    <row r="20" spans="8:11" x14ac:dyDescent="0.25">
      <c r="H20" t="s">
        <v>640</v>
      </c>
      <c r="I20" t="s">
        <v>8787</v>
      </c>
      <c r="J20">
        <v>770091</v>
      </c>
      <c r="K20" t="s">
        <v>8788</v>
      </c>
    </row>
    <row r="21" spans="8:11" x14ac:dyDescent="0.25">
      <c r="H21" t="s">
        <v>640</v>
      </c>
      <c r="I21" t="s">
        <v>8319</v>
      </c>
      <c r="J21">
        <v>770090</v>
      </c>
      <c r="K21" t="s">
        <v>8789</v>
      </c>
    </row>
    <row r="22" spans="8:11" x14ac:dyDescent="0.25">
      <c r="H22" t="s">
        <v>640</v>
      </c>
      <c r="I22" t="s">
        <v>8790</v>
      </c>
      <c r="J22">
        <v>770107</v>
      </c>
      <c r="K22" t="s">
        <v>8791</v>
      </c>
    </row>
    <row r="23" spans="8:11" x14ac:dyDescent="0.25">
      <c r="H23" t="s">
        <v>640</v>
      </c>
      <c r="I23" t="s">
        <v>8792</v>
      </c>
      <c r="J23">
        <v>770096</v>
      </c>
      <c r="K23" t="s">
        <v>8793</v>
      </c>
    </row>
    <row r="24" spans="8:11" x14ac:dyDescent="0.25">
      <c r="H24" t="s">
        <v>640</v>
      </c>
      <c r="I24" t="s">
        <v>8794</v>
      </c>
      <c r="J24">
        <v>770014</v>
      </c>
      <c r="K24" t="s">
        <v>8795</v>
      </c>
    </row>
    <row r="25" spans="8:11" x14ac:dyDescent="0.25">
      <c r="H25" t="s">
        <v>640</v>
      </c>
      <c r="I25" t="s">
        <v>8318</v>
      </c>
      <c r="J25">
        <v>770016</v>
      </c>
      <c r="K25" t="s">
        <v>8796</v>
      </c>
    </row>
    <row r="26" spans="8:11" x14ac:dyDescent="0.25">
      <c r="H26" t="s">
        <v>640</v>
      </c>
      <c r="I26" t="s">
        <v>8797</v>
      </c>
      <c r="J26">
        <v>770019</v>
      </c>
      <c r="K26" t="s">
        <v>8798</v>
      </c>
    </row>
    <row r="27" spans="8:11" x14ac:dyDescent="0.25">
      <c r="H27" t="s">
        <v>8297</v>
      </c>
      <c r="I27" t="s">
        <v>8799</v>
      </c>
      <c r="J27">
        <v>220173</v>
      </c>
      <c r="K27" t="s">
        <v>8800</v>
      </c>
    </row>
    <row r="28" spans="8:11" x14ac:dyDescent="0.25">
      <c r="H28" t="s">
        <v>8297</v>
      </c>
      <c r="I28" t="s">
        <v>8801</v>
      </c>
      <c r="J28">
        <v>220181</v>
      </c>
      <c r="K28" t="s">
        <v>8802</v>
      </c>
    </row>
    <row r="29" spans="8:11" x14ac:dyDescent="0.25">
      <c r="H29" t="s">
        <v>8297</v>
      </c>
      <c r="I29" t="s">
        <v>8803</v>
      </c>
      <c r="J29">
        <v>220175</v>
      </c>
      <c r="K29" t="s">
        <v>8804</v>
      </c>
    </row>
    <row r="30" spans="8:11" x14ac:dyDescent="0.25">
      <c r="H30" t="s">
        <v>8297</v>
      </c>
      <c r="I30" t="s">
        <v>8320</v>
      </c>
      <c r="J30">
        <v>220167</v>
      </c>
      <c r="K30" t="s">
        <v>8805</v>
      </c>
    </row>
    <row r="31" spans="8:11" x14ac:dyDescent="0.25">
      <c r="H31" t="s">
        <v>8297</v>
      </c>
      <c r="I31" t="s">
        <v>8806</v>
      </c>
      <c r="J31">
        <v>220185</v>
      </c>
      <c r="K31" t="s">
        <v>8807</v>
      </c>
    </row>
    <row r="32" spans="8:11" x14ac:dyDescent="0.25">
      <c r="H32" t="s">
        <v>8297</v>
      </c>
      <c r="I32" t="s">
        <v>8808</v>
      </c>
      <c r="J32">
        <v>220180</v>
      </c>
      <c r="K32" t="s">
        <v>8809</v>
      </c>
    </row>
    <row r="33" spans="8:11" x14ac:dyDescent="0.25">
      <c r="H33" t="s">
        <v>8298</v>
      </c>
      <c r="I33" t="s">
        <v>8810</v>
      </c>
      <c r="J33">
        <v>770038</v>
      </c>
      <c r="K33" t="s">
        <v>8811</v>
      </c>
    </row>
    <row r="34" spans="8:11" x14ac:dyDescent="0.25">
      <c r="H34" t="s">
        <v>8298</v>
      </c>
      <c r="I34" t="s">
        <v>8812</v>
      </c>
      <c r="J34">
        <v>770036</v>
      </c>
      <c r="K34" t="s">
        <v>8813</v>
      </c>
    </row>
    <row r="35" spans="8:11" x14ac:dyDescent="0.25">
      <c r="H35" t="s">
        <v>8298</v>
      </c>
      <c r="I35" t="s">
        <v>8321</v>
      </c>
      <c r="J35">
        <v>770113</v>
      </c>
      <c r="K35" t="s">
        <v>8814</v>
      </c>
    </row>
    <row r="36" spans="8:11" x14ac:dyDescent="0.25">
      <c r="H36" t="s">
        <v>8298</v>
      </c>
      <c r="I36" t="s">
        <v>7336</v>
      </c>
      <c r="J36">
        <v>770106</v>
      </c>
      <c r="K36" t="s">
        <v>8815</v>
      </c>
    </row>
    <row r="37" spans="8:11" x14ac:dyDescent="0.25">
      <c r="H37" t="s">
        <v>8298</v>
      </c>
      <c r="I37" t="s">
        <v>8816</v>
      </c>
      <c r="J37">
        <v>220187</v>
      </c>
      <c r="K37" t="s">
        <v>8817</v>
      </c>
    </row>
    <row r="38" spans="8:11" x14ac:dyDescent="0.25">
      <c r="H38" t="s">
        <v>8298</v>
      </c>
      <c r="I38" t="s">
        <v>8818</v>
      </c>
      <c r="J38">
        <v>770125</v>
      </c>
      <c r="K38" t="s">
        <v>8819</v>
      </c>
    </row>
    <row r="39" spans="8:11" x14ac:dyDescent="0.25">
      <c r="H39" t="s">
        <v>8749</v>
      </c>
      <c r="I39" t="s">
        <v>8820</v>
      </c>
      <c r="J39">
        <v>770084</v>
      </c>
      <c r="K39" t="s">
        <v>8821</v>
      </c>
    </row>
    <row r="40" spans="8:11" x14ac:dyDescent="0.25">
      <c r="H40" t="s">
        <v>8749</v>
      </c>
      <c r="I40" t="s">
        <v>8822</v>
      </c>
      <c r="J40">
        <v>770081</v>
      </c>
      <c r="K40" t="s">
        <v>8823</v>
      </c>
    </row>
    <row r="41" spans="8:11" x14ac:dyDescent="0.25">
      <c r="H41" t="s">
        <v>8749</v>
      </c>
      <c r="I41" t="s">
        <v>8314</v>
      </c>
      <c r="J41">
        <v>770045</v>
      </c>
      <c r="K41" t="s">
        <v>8824</v>
      </c>
    </row>
    <row r="42" spans="8:11" x14ac:dyDescent="0.25">
      <c r="H42" t="s">
        <v>8749</v>
      </c>
      <c r="I42" t="s">
        <v>8825</v>
      </c>
      <c r="J42">
        <v>770082</v>
      </c>
      <c r="K42" t="s">
        <v>8826</v>
      </c>
    </row>
    <row r="43" spans="8:11" x14ac:dyDescent="0.25">
      <c r="H43" t="s">
        <v>8749</v>
      </c>
      <c r="I43" t="s">
        <v>8315</v>
      </c>
      <c r="J43">
        <v>770046</v>
      </c>
      <c r="K43" t="s">
        <v>8827</v>
      </c>
    </row>
    <row r="44" spans="8:11" x14ac:dyDescent="0.25">
      <c r="H44" t="s">
        <v>8749</v>
      </c>
      <c r="I44" t="s">
        <v>8828</v>
      </c>
      <c r="J44">
        <v>770047</v>
      </c>
      <c r="K44" t="s">
        <v>8829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8368</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8369</v>
      </c>
      <c r="X1" s="91" t="s">
        <v>8370</v>
      </c>
      <c r="Y1" s="91" t="s">
        <v>8371</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8372</v>
      </c>
      <c r="D1" s="91" t="s">
        <v>8373</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5" x14ac:dyDescent="0.25"/>
  <sheetData>
    <row r="1" spans="1:33" s="10" customFormat="1" x14ac:dyDescent="0.25">
      <c r="A1" s="40" t="s">
        <v>25</v>
      </c>
      <c r="B1" s="40" t="s">
        <v>26</v>
      </c>
      <c r="C1" s="40" t="s">
        <v>8260</v>
      </c>
      <c r="D1" s="40" t="s">
        <v>8177</v>
      </c>
      <c r="E1" s="40" t="s">
        <v>8261</v>
      </c>
      <c r="F1" s="40" t="s">
        <v>54</v>
      </c>
      <c r="G1" s="40" t="s">
        <v>44</v>
      </c>
      <c r="H1" s="40" t="s">
        <v>8262</v>
      </c>
      <c r="I1" s="40" t="s">
        <v>8263</v>
      </c>
      <c r="J1" s="40" t="s">
        <v>8264</v>
      </c>
      <c r="K1" s="40" t="s">
        <v>8265</v>
      </c>
      <c r="L1" s="40" t="s">
        <v>8266</v>
      </c>
      <c r="M1" s="40" t="s">
        <v>8267</v>
      </c>
      <c r="N1" s="40" t="s">
        <v>8187</v>
      </c>
      <c r="O1" s="40" t="s">
        <v>8188</v>
      </c>
      <c r="P1" s="40" t="s">
        <v>8189</v>
      </c>
      <c r="Q1" s="40" t="s">
        <v>7738</v>
      </c>
      <c r="R1" s="40" t="s">
        <v>878</v>
      </c>
      <c r="S1" s="40" t="s">
        <v>38</v>
      </c>
      <c r="T1" s="40" t="s">
        <v>278</v>
      </c>
      <c r="U1" s="40" t="s">
        <v>39</v>
      </c>
      <c r="V1" s="40" t="s">
        <v>8268</v>
      </c>
      <c r="W1" s="40" t="s">
        <v>8269</v>
      </c>
      <c r="X1" s="40" t="s">
        <v>8191</v>
      </c>
      <c r="Y1" s="40" t="s">
        <v>8192</v>
      </c>
      <c r="Z1" s="40" t="s">
        <v>8190</v>
      </c>
      <c r="AA1" s="40" t="s">
        <v>8178</v>
      </c>
      <c r="AB1" s="40" t="s">
        <v>8179</v>
      </c>
      <c r="AC1" s="40" t="s">
        <v>1798</v>
      </c>
    </row>
    <row r="2" spans="1:33" x14ac:dyDescent="0.25">
      <c r="A2" s="47">
        <f>IF(Main!B82="","",ROW()-1)</f>
        <v>1</v>
      </c>
      <c r="B2" s="47">
        <v>1234567</v>
      </c>
      <c r="C2" s="47">
        <f>VLOOKUP(Main!B82,'Vehicle Comp Data'!$B:$E,4,FALSE)</f>
        <v>1113</v>
      </c>
      <c r="D2" s="47">
        <f>VLOOKUP(E2,'Exp Tables'!$X$3:$Z$13,3,FALSE)</f>
        <v>32660</v>
      </c>
      <c r="E2" s="47">
        <f>Main!C82</f>
        <v>10</v>
      </c>
      <c r="F2" s="47">
        <v>0</v>
      </c>
      <c r="G2" s="47">
        <v>0</v>
      </c>
      <c r="H2" s="47" t="str">
        <f>IFERROR(Main!B83&amp;":"&amp;IF(Main!B83="skill",VLOOKUP(Main!C83,'Vehicle Substats'!$I$2:$J$50,2,FALSE),VLOOKUP(Main!B83,'Vehicle Substats'!$A$1:$F$16,6,FALSE)),"")</f>
        <v/>
      </c>
      <c r="I2" s="47" t="str">
        <f>IFERROR(Main!B84&amp;":"&amp;IF(Main!B84="skill",VLOOKUP(Main!C84,'Vehicle Substats'!$I$2:$J$50,2,FALSE),VLOOKUP(Main!B84,'Vehicle Substats'!$A$1:$F$16,6,FALSE)),"")</f>
        <v/>
      </c>
      <c r="J2" s="47" t="str">
        <f>IFERROR(Main!B85&amp;":"&amp;IF(Main!B85="skill",VLOOKUP(Main!C85,'Vehicle Substats'!$I$2:$J$50,2,FALSE),VLOOKUP(Main!B85,'Vehicle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47"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8">
        <f>IF(Main!B89="","",ROW()-1)</f>
        <v>2</v>
      </c>
      <c r="B3" s="48">
        <v>1234567</v>
      </c>
      <c r="C3" s="48">
        <f>VLOOKUP(Main!B89,'Vehicle Comp Data'!$B:$E,4,FALSE)</f>
        <v>1113</v>
      </c>
      <c r="D3" s="48">
        <f>VLOOKUP(E3,'Exp Tables'!$X$3:$Z$13,3,FALSE)</f>
        <v>32660</v>
      </c>
      <c r="E3" s="48">
        <f>Main!C89</f>
        <v>10</v>
      </c>
      <c r="F3" s="48">
        <v>0</v>
      </c>
      <c r="G3" s="48">
        <v>0</v>
      </c>
      <c r="H3" s="48" t="str">
        <f>IFERROR(Main!B90&amp;":"&amp;IF(Main!B90="skill",VLOOKUP(Main!C90,'Vehicle Substats'!$I$2:$J$50,2,FALSE),VLOOKUP(Main!B90,'Vehicle Substats'!$A$1:$F$16,6,FALSE)),"")</f>
        <v/>
      </c>
      <c r="I3" s="48" t="str">
        <f>IFERROR(Main!B91&amp;":"&amp;IF(Main!B91="skill",VLOOKUP(Main!C91,'Vehicle Substats'!$I$2:$J$50,2,FALSE),VLOOKUP(Main!B91,'Vehicle Substats'!$A$1:$F$16,6,FALSE)),"")</f>
        <v/>
      </c>
      <c r="J3" s="48" t="str">
        <f>IFERROR(Main!B92&amp;":"&amp;IF(Main!B92="skill",VLOOKUP(Main!C92,'Vehicle Substats'!$I$2:$J$50,2,FALSE),VLOOKUP(Main!B92,'Vehicle Substats'!$A$1:$F$16,6,FALSE)),"")</f>
        <v/>
      </c>
      <c r="K3" s="48"/>
      <c r="L3" s="48"/>
      <c r="M3" s="48" t="str">
        <f t="shared" ref="M3:M19" si="2">IF(H3&lt;&gt;"",1,"")&amp;IF(I3&lt;&gt;"",",2","")&amp;IF(J3&lt;&gt;"",",3","")</f>
        <v/>
      </c>
      <c r="N3" s="48">
        <f t="shared" ref="N3:AB18" si="3">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48"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47">
        <f>IF(Main!D82="","",ROW()-1)</f>
        <v>3</v>
      </c>
      <c r="B4" s="47">
        <v>1234567</v>
      </c>
      <c r="C4" s="47">
        <f>VLOOKUP(Main!D82,'Vehicle Comp Data'!$B:$E,4,FALSE)</f>
        <v>1127</v>
      </c>
      <c r="D4" s="47">
        <f>VLOOKUP(E4,'Exp Tables'!$X$3:$Z$13,3,FALSE)</f>
        <v>32660</v>
      </c>
      <c r="E4" s="47">
        <f>Main!E82</f>
        <v>10</v>
      </c>
      <c r="F4" s="47">
        <v>0</v>
      </c>
      <c r="G4" s="47">
        <v>0</v>
      </c>
      <c r="H4" s="47" t="str">
        <f>IFERROR(Main!D83&amp;":"&amp;IF(Main!D83="skill",VLOOKUP(Main!E83,'Vehicle Substats'!$I$2:$J$50,2,FALSE),VLOOKUP(Main!D83,'Vehicle Substats'!$A$1:$F$16,6,FALSE)),"")</f>
        <v/>
      </c>
      <c r="I4" s="47" t="str">
        <f>IFERROR(Main!D84&amp;":"&amp;IF(Main!D84="skill",VLOOKUP(Main!E84,'Vehicle Substats'!$I$2:$J$50,2,FALSE),VLOOKUP(Main!D84,'Vehicle Substats'!$A$1:$F$16,6,FALSE)),"")</f>
        <v/>
      </c>
      <c r="J4" s="47" t="str">
        <f>IFERROR(Main!D85&amp;":"&amp;IF(Main!D85="skill",VLOOKUP(Main!E85,'Vehicle Substats'!$I$2:$J$50,2,FALSE),VLOOKUP(Main!D85,'Vehicle Substats'!$A$1:$F$16,6,FALSE)),"")</f>
        <v/>
      </c>
      <c r="K4" s="47"/>
      <c r="L4" s="47"/>
      <c r="M4" s="47" t="str">
        <f t="shared" si="2"/>
        <v/>
      </c>
      <c r="N4" s="47">
        <f t="shared" si="3"/>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47" t="str">
        <f t="shared" ref="AC4:AC19" si="7">AE4&amp;IF(AND(AE4&lt;&gt;"",AF4&lt;&gt;""),",","")&amp;AF4&amp;IF(AND(OR(AE4&lt;&gt;"",AF4&lt;&gt;""),AG4&lt;&gt;""),",","")&amp;AG4</f>
        <v/>
      </c>
      <c r="AE4" t="str">
        <f t="shared" si="4"/>
        <v/>
      </c>
      <c r="AF4" t="str">
        <f t="shared" si="5"/>
        <v/>
      </c>
      <c r="AG4" t="str">
        <f t="shared" si="6"/>
        <v/>
      </c>
    </row>
    <row r="5" spans="1:33" x14ac:dyDescent="0.25">
      <c r="A5" s="48">
        <f>IF(Main!D89="","",ROW()-1)</f>
        <v>4</v>
      </c>
      <c r="B5" s="48">
        <v>1234567</v>
      </c>
      <c r="C5" s="48">
        <f>VLOOKUP(Main!D89,'Vehicle Comp Data'!$B:$E,4,FALSE)</f>
        <v>1102</v>
      </c>
      <c r="D5" s="48">
        <f>VLOOKUP(E5,'Exp Tables'!$X$3:$Z$13,3,FALSE)</f>
        <v>32660</v>
      </c>
      <c r="E5" s="48">
        <f>Main!E89</f>
        <v>10</v>
      </c>
      <c r="F5" s="48">
        <v>0</v>
      </c>
      <c r="G5" s="48">
        <v>0</v>
      </c>
      <c r="H5" s="48" t="str">
        <f>IFERROR(Main!D90&amp;":"&amp;IF(Main!D90="skill",VLOOKUP(Main!E90,'Vehicle Substats'!$I$2:$J$50,2,FALSE),VLOOKUP(Main!D90,'Vehicle Substats'!$A$1:$F$16,6,FALSE)),"")</f>
        <v/>
      </c>
      <c r="I5" s="48" t="str">
        <f>IFERROR(Main!D91&amp;":"&amp;IF(Main!D91="skill",VLOOKUP(Main!E91,'Vehicle Substats'!$I$2:$J$50,2,FALSE),VLOOKUP(Main!D91,'Vehicle Substats'!$A$1:$F$16,6,FALSE)),"")</f>
        <v/>
      </c>
      <c r="J5" s="48" t="str">
        <f>IFERROR(Main!D92&amp;":"&amp;IF(Main!D92="skill",VLOOKUP(Main!E92,'Vehicle Substats'!$I$2:$J$50,2,FALSE),VLOOKUP(Main!D92,'Vehicle Substats'!$A$1:$F$16,6,FALSE)),"")</f>
        <v/>
      </c>
      <c r="K5" s="48"/>
      <c r="L5" s="48"/>
      <c r="M5" s="48" t="str">
        <f t="shared" si="2"/>
        <v/>
      </c>
      <c r="N5" s="48">
        <f t="shared" si="3"/>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48" t="str">
        <f t="shared" si="7"/>
        <v/>
      </c>
      <c r="AE5" t="str">
        <f t="shared" si="4"/>
        <v/>
      </c>
      <c r="AF5" t="str">
        <f t="shared" si="5"/>
        <v/>
      </c>
      <c r="AG5" t="str">
        <f t="shared" si="6"/>
        <v/>
      </c>
    </row>
    <row r="6" spans="1:33" x14ac:dyDescent="0.25">
      <c r="A6" s="47">
        <f>IF(Main!F82="","",ROW()-1)</f>
        <v>5</v>
      </c>
      <c r="B6" s="47">
        <v>1234567</v>
      </c>
      <c r="C6" s="47">
        <f>VLOOKUP(Main!F82,'Vehicle Comp Data'!$B:$E,4,FALSE)</f>
        <v>1110</v>
      </c>
      <c r="D6" s="47">
        <f>VLOOKUP(E6,'Exp Tables'!$X$3:$Z$13,3,FALSE)</f>
        <v>32660</v>
      </c>
      <c r="E6" s="47">
        <f>Main!G82</f>
        <v>10</v>
      </c>
      <c r="F6" s="47">
        <v>0</v>
      </c>
      <c r="G6" s="47">
        <v>0</v>
      </c>
      <c r="H6" s="47" t="str">
        <f>IFERROR(Main!F83&amp;":"&amp;IF(Main!F83="skill",VLOOKUP(Main!G83,'Vehicle Substats'!$I$2:$J$50,2,FALSE),VLOOKUP(Main!F83,'Vehicle Substats'!$A$1:$F$16,6,FALSE)),"")</f>
        <v/>
      </c>
      <c r="I6" s="47" t="str">
        <f>IFERROR(Main!F84&amp;":"&amp;IF(Main!F84="skill",VLOOKUP(Main!G84,'Vehicle Substats'!$I$2:$J$50,2,FALSE),VLOOKUP(Main!F84,'Vehicle Substats'!$A$1:$F$16,6,FALSE)),"")</f>
        <v/>
      </c>
      <c r="J6" s="47" t="str">
        <f>IFERROR(Main!F85&amp;":"&amp;IF(Main!F85="skill",VLOOKUP(Main!G85,'Vehicle Substats'!$I$2:$J$50,2,FALSE),VLOOKUP(Main!F85,'Vehicle Substats'!$A$1:$F$16,6,FALSE)),"")</f>
        <v/>
      </c>
      <c r="K6" s="47"/>
      <c r="L6" s="47"/>
      <c r="M6" s="47" t="str">
        <f t="shared" si="2"/>
        <v/>
      </c>
      <c r="N6" s="47">
        <f t="shared" si="3"/>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47" t="str">
        <f t="shared" si="7"/>
        <v/>
      </c>
      <c r="AE6" t="str">
        <f t="shared" si="4"/>
        <v/>
      </c>
      <c r="AF6" t="str">
        <f t="shared" si="5"/>
        <v/>
      </c>
      <c r="AG6" t="str">
        <f t="shared" si="6"/>
        <v/>
      </c>
    </row>
    <row r="7" spans="1:33" x14ac:dyDescent="0.25">
      <c r="A7" s="48">
        <f>IF(Main!F89="","",ROW()-1)</f>
        <v>6</v>
      </c>
      <c r="B7" s="48">
        <v>1234567</v>
      </c>
      <c r="C7" s="48">
        <f>VLOOKUP(Main!F89,'Vehicle Comp Data'!$B:$E,4,FALSE)</f>
        <v>1107</v>
      </c>
      <c r="D7" s="48">
        <f>VLOOKUP(E7,'Exp Tables'!$X$3:$Z$13,3,FALSE)</f>
        <v>32660</v>
      </c>
      <c r="E7" s="48">
        <f>Main!G89</f>
        <v>10</v>
      </c>
      <c r="F7" s="48">
        <v>0</v>
      </c>
      <c r="G7" s="48">
        <v>0</v>
      </c>
      <c r="H7" s="48" t="str">
        <f>IFERROR(Main!F90&amp;":"&amp;IF(Main!F90="skill",VLOOKUP(Main!G90,'Vehicle Substats'!$I$2:$J$50,2,FALSE),VLOOKUP(Main!F90,'Vehicle Substats'!$A$1:$F$16,6,FALSE)),"")</f>
        <v/>
      </c>
      <c r="I7" s="48" t="str">
        <f>IFERROR(Main!F91&amp;":"&amp;IF(Main!F91="skill",VLOOKUP(Main!G91,'Vehicle Substats'!$I$2:$J$50,2,FALSE),VLOOKUP(Main!F91,'Vehicle Substats'!$A$1:$F$16,6,FALSE)),"")</f>
        <v/>
      </c>
      <c r="J7" s="48" t="str">
        <f>IFERROR(Main!F92&amp;":"&amp;IF(Main!F92="skill",VLOOKUP(Main!G92,'Vehicle Substats'!$I$2:$J$50,2,FALSE),VLOOKUP(Main!F92,'Vehicle Substats'!$A$1:$F$16,6,FALSE)),"")</f>
        <v/>
      </c>
      <c r="K7" s="48"/>
      <c r="L7" s="48"/>
      <c r="M7" s="48" t="str">
        <f t="shared" si="2"/>
        <v/>
      </c>
      <c r="N7" s="48">
        <f t="shared" si="3"/>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48" t="str">
        <f t="shared" si="7"/>
        <v/>
      </c>
      <c r="AE7" t="str">
        <f t="shared" si="4"/>
        <v/>
      </c>
      <c r="AF7" t="str">
        <f t="shared" si="5"/>
        <v/>
      </c>
      <c r="AG7" t="str">
        <f t="shared" si="6"/>
        <v/>
      </c>
    </row>
    <row r="8" spans="1:33" x14ac:dyDescent="0.25">
      <c r="A8" s="311">
        <f>IF(Main!H82="","",IF(Main!C75&lt;7,"",ROW()-1))</f>
        <v>7</v>
      </c>
      <c r="B8" s="47">
        <v>1234567</v>
      </c>
      <c r="C8" s="47">
        <f>VLOOKUP(Main!H82,'Vehicle Comp Data'!$B:$E,4,FALSE)</f>
        <v>1102</v>
      </c>
      <c r="D8" s="47">
        <f>VLOOKUP(E8,'Exp Tables'!$X$3:$Z$13,3,FALSE)</f>
        <v>32660</v>
      </c>
      <c r="E8" s="47">
        <f>Main!I82</f>
        <v>10</v>
      </c>
      <c r="F8" s="47">
        <v>0</v>
      </c>
      <c r="G8" s="47">
        <v>0</v>
      </c>
      <c r="H8" s="47" t="str">
        <f>IFERROR(Main!H83&amp;":"&amp;IF(Main!H83="skill",VLOOKUP(Main!I83,'Vehicle Substats'!$I$2:$J$50,2,FALSE),VLOOKUP(Main!H83,'Vehicle Substats'!$A$1:$F$16,6,FALSE)),"")</f>
        <v/>
      </c>
      <c r="I8" s="47" t="str">
        <f>IFERROR(Main!H84&amp;":"&amp;IF(Main!H84="skill",VLOOKUP(Main!I84,'Vehicle Substats'!$I$2:$J$50,2,FALSE),VLOOKUP(Main!H84,'Vehicle Substats'!$A$1:$F$16,6,FALSE)),"")</f>
        <v/>
      </c>
      <c r="J8" s="47" t="str">
        <f>IFERROR(Main!H85&amp;":"&amp;IF(Main!H85="skill",VLOOKUP(Main!I85,'Vehicle Substats'!$I$2:$J$50,2,FALSE),VLOOKUP(Main!H85,'Vehicle Substats'!$A$1:$F$16,6,FALSE)),"")</f>
        <v/>
      </c>
      <c r="K8" s="47"/>
      <c r="L8" s="47"/>
      <c r="M8" s="47" t="str">
        <f t="shared" si="2"/>
        <v/>
      </c>
      <c r="N8" s="47">
        <f t="shared" si="3"/>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47" t="str">
        <f t="shared" si="7"/>
        <v/>
      </c>
      <c r="AE8" t="str">
        <f t="shared" si="4"/>
        <v/>
      </c>
      <c r="AF8" t="str">
        <f t="shared" si="5"/>
        <v/>
      </c>
      <c r="AG8" t="str">
        <f t="shared" si="6"/>
        <v/>
      </c>
    </row>
    <row r="9" spans="1:33" x14ac:dyDescent="0.25">
      <c r="A9" s="312">
        <f>IF(Main!H89="","",IF(Main!C76&lt;7,"",ROW()-1))</f>
        <v>8</v>
      </c>
      <c r="B9" s="48">
        <v>1234567</v>
      </c>
      <c r="C9" s="48">
        <f>VLOOKUP(Main!H89,'Vehicle Comp Data'!$B:$E,4,FALSE)</f>
        <v>1127</v>
      </c>
      <c r="D9" s="48">
        <f>VLOOKUP(E9,'Exp Tables'!$X$3:$Z$13,3,FALSE)</f>
        <v>32660</v>
      </c>
      <c r="E9" s="48">
        <f>Main!I89</f>
        <v>10</v>
      </c>
      <c r="F9" s="48">
        <v>0</v>
      </c>
      <c r="G9" s="48">
        <v>0</v>
      </c>
      <c r="H9" s="48" t="str">
        <f>IFERROR(Main!H90&amp;":"&amp;IF(Main!H90="skill",VLOOKUP(Main!I90,'Vehicle Substats'!$I$2:$J$50,2,FALSE),VLOOKUP(Main!H90,'Vehicle Substats'!$A$1:$F$16,6,FALSE)),"")</f>
        <v/>
      </c>
      <c r="I9" s="48" t="str">
        <f>IFERROR(Main!H91&amp;":"&amp;IF(Main!H91="skill",VLOOKUP(Main!I91,'Vehicle Substats'!$I$2:$J$50,2,FALSE),VLOOKUP(Main!H91,'Vehicle Substats'!$A$1:$F$16,6,FALSE)),"")</f>
        <v/>
      </c>
      <c r="J9" s="48" t="str">
        <f>IFERROR(Main!H92&amp;":"&amp;IF(Main!H92="skill",VLOOKUP(Main!I92,'Vehicle Substats'!$I$2:$J$50,2,FALSE),VLOOKUP(Main!H92,'Vehicle Substats'!$A$1:$F$16,6,FALSE)),"")</f>
        <v/>
      </c>
      <c r="K9" s="48"/>
      <c r="L9" s="48"/>
      <c r="M9" s="48" t="str">
        <f t="shared" si="2"/>
        <v/>
      </c>
      <c r="N9" s="48">
        <f t="shared" si="3"/>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48" t="str">
        <f t="shared" si="7"/>
        <v/>
      </c>
      <c r="AE9" t="str">
        <f t="shared" si="4"/>
        <v/>
      </c>
      <c r="AF9" t="str">
        <f t="shared" si="5"/>
        <v/>
      </c>
      <c r="AG9" t="str">
        <f t="shared" si="6"/>
        <v/>
      </c>
    </row>
    <row r="10" spans="1:33" x14ac:dyDescent="0.25">
      <c r="A10" s="311">
        <f>IF(Main!J82="","",IF(Main!C75&lt;12,"",ROW()-1))</f>
        <v>9</v>
      </c>
      <c r="B10" s="47">
        <v>1234567</v>
      </c>
      <c r="C10" s="47">
        <f>VLOOKUP(Main!J82,'Vehicle Comp Data'!$B:$E,4,FALSE)</f>
        <v>1115</v>
      </c>
      <c r="D10" s="47">
        <f>VLOOKUP(E10,'Exp Tables'!$X$3:$Z$13,3,FALSE)</f>
        <v>32660</v>
      </c>
      <c r="E10" s="47">
        <f>Main!K82</f>
        <v>10</v>
      </c>
      <c r="F10" s="47">
        <v>0</v>
      </c>
      <c r="G10" s="47">
        <v>0</v>
      </c>
      <c r="H10" s="47" t="str">
        <f>IFERROR(Main!J83&amp;":"&amp;IF(Main!J83="skill",VLOOKUP(Main!K83,'Vehicle Substats'!$I$2:$J$50,2,FALSE),VLOOKUP(Main!J83,'Vehicle Substats'!$A$1:$F$16,6,FALSE)),"")</f>
        <v/>
      </c>
      <c r="I10" s="47" t="str">
        <f>IFERROR(Main!J84&amp;":"&amp;IF(Main!J84="skill",VLOOKUP(Main!K84,'Vehicle Substats'!$I$2:$J$50,2,FALSE),VLOOKUP(Main!J84,'Vehicle Substats'!$A$1:$F$16,6,FALSE)),"")</f>
        <v/>
      </c>
      <c r="J10" s="47" t="str">
        <f>IFERROR(Main!J85&amp;":"&amp;IF(Main!J85="skill",VLOOKUP(Main!K85,'Vehicle Substats'!$I$2:$J$50,2,FALSE),VLOOKUP(Main!J85,'Vehicle Substats'!$A$1:$F$16,6,FALSE)),"")</f>
        <v/>
      </c>
      <c r="K10" s="47"/>
      <c r="L10" s="47"/>
      <c r="M10" s="47" t="str">
        <f t="shared" si="2"/>
        <v/>
      </c>
      <c r="N10" s="47">
        <f t="shared" si="3"/>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47" t="str">
        <f t="shared" si="7"/>
        <v/>
      </c>
      <c r="AE10" t="str">
        <f t="shared" si="4"/>
        <v/>
      </c>
      <c r="AF10" t="str">
        <f t="shared" si="5"/>
        <v/>
      </c>
      <c r="AG10" t="str">
        <f t="shared" si="6"/>
        <v/>
      </c>
    </row>
    <row r="11" spans="1:33" x14ac:dyDescent="0.25">
      <c r="A11" s="312">
        <f>IF(Main!J89="","",IF(Main!C76&lt;12,"",ROW()-1))</f>
        <v>10</v>
      </c>
      <c r="B11" s="48">
        <v>1234567</v>
      </c>
      <c r="C11" s="48">
        <f>VLOOKUP(Main!J89,'Vehicle Comp Data'!$B:$E,4,FALSE)</f>
        <v>1115</v>
      </c>
      <c r="D11" s="48">
        <f>VLOOKUP(E11,'Exp Tables'!$X$3:$Z$13,3,FALSE)</f>
        <v>32660</v>
      </c>
      <c r="E11" s="48">
        <f>Main!K89</f>
        <v>10</v>
      </c>
      <c r="F11" s="48">
        <v>0</v>
      </c>
      <c r="G11" s="48">
        <v>0</v>
      </c>
      <c r="H11" s="308" t="str">
        <f>IFERROR(Main!J90&amp;":"&amp;IF(Main!J90="skill",VLOOKUP(Main!K90,'Vehicle Substats'!$I$2:$J$50,2,FALSE),VLOOKUP(Main!J90,'Vehicle Substats'!$A$1:$F$16,6,FALSE)),"")</f>
        <v/>
      </c>
      <c r="I11" s="308" t="str">
        <f>IFERROR(Main!J91&amp;":"&amp;IF(Main!J91="skill",VLOOKUP(Main!K91,'Vehicle Substats'!$I$2:$J$50,2,FALSE),VLOOKUP(Main!J91,'Vehicle Substats'!$A$1:$F$16,6,FALSE)),"")</f>
        <v/>
      </c>
      <c r="J11" s="308" t="str">
        <f>IFERROR(Main!J92&amp;":"&amp;IF(Main!J92="skill",VLOOKUP(Main!K92,'Vehicle Substats'!$I$2:$J$50,2,FALSE),VLOOKUP(Main!J92,'Vehicle Substats'!$A$1:$F$16,6,FALSE)),"")</f>
        <v/>
      </c>
      <c r="K11" s="308"/>
      <c r="L11" s="308"/>
      <c r="M11" s="308" t="str">
        <f t="shared" si="2"/>
        <v/>
      </c>
      <c r="N11" s="48">
        <f t="shared" si="3"/>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48" t="str">
        <f t="shared" si="7"/>
        <v/>
      </c>
      <c r="AE11" t="str">
        <f t="shared" si="4"/>
        <v/>
      </c>
      <c r="AF11" t="str">
        <f t="shared" si="5"/>
        <v/>
      </c>
      <c r="AG11" t="str">
        <f t="shared" si="6"/>
        <v/>
      </c>
    </row>
    <row r="12" spans="1:33" x14ac:dyDescent="0.25">
      <c r="A12" s="47">
        <f>IF(Main!L82="","",ROW()-1)</f>
        <v>11</v>
      </c>
      <c r="B12" s="47">
        <v>1234567</v>
      </c>
      <c r="C12" s="47">
        <f>VLOOKUP(Main!L82,'Vehicle Comp Data'!$B:$E,4,FALSE)</f>
        <v>1004</v>
      </c>
      <c r="D12" s="47">
        <f>VLOOKUP(E12,'Exp Tables'!$X$3:$Z$13,3,FALSE)</f>
        <v>32660</v>
      </c>
      <c r="E12" s="47">
        <f>Main!M82</f>
        <v>10</v>
      </c>
      <c r="F12" s="47">
        <v>0</v>
      </c>
      <c r="G12" s="47">
        <v>0</v>
      </c>
      <c r="H12" s="309" t="str">
        <f>IFERROR(Main!L83&amp;":"&amp;IF(Main!L83="skill",VLOOKUP(Main!M83,'Vehicle Substats'!$I$2:$J$50,2,FALSE),VLOOKUP(Main!L83,'Vehicle Substats'!$A$1:$F$16,6,FALSE)),"")</f>
        <v/>
      </c>
      <c r="I12" s="309" t="str">
        <f>IFERROR(Main!L84&amp;":"&amp;IF(Main!L84="skill",VLOOKUP(Main!M84,'Vehicle Substats'!$I$2:$J$50,2,FALSE),VLOOKUP(Main!L84,'Vehicle Substats'!$A$1:$F$16,6,FALSE)),"")</f>
        <v/>
      </c>
      <c r="J12" s="309" t="str">
        <f>IFERROR(Main!L85&amp;":"&amp;IF(Main!L85="skill",VLOOKUP(Main!M85,'Vehicle Substats'!$I$2:$J$50,2,FALSE),VLOOKUP(Main!L85,'Vehicle Substats'!$A$1:$F$16,6,FALSE)),"")</f>
        <v/>
      </c>
      <c r="K12" s="309"/>
      <c r="L12" s="309"/>
      <c r="M12" s="309" t="str">
        <f t="shared" si="2"/>
        <v/>
      </c>
      <c r="N12" s="47">
        <f t="shared" si="3"/>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47" t="str">
        <f t="shared" si="7"/>
        <v/>
      </c>
      <c r="AE12" t="str">
        <f t="shared" si="4"/>
        <v/>
      </c>
      <c r="AF12" t="str">
        <f t="shared" si="5"/>
        <v/>
      </c>
      <c r="AG12" t="str">
        <f t="shared" si="6"/>
        <v/>
      </c>
    </row>
    <row r="13" spans="1:33" x14ac:dyDescent="0.25">
      <c r="A13" s="48">
        <f>IF(Main!L89="","",ROW()-1)</f>
        <v>12</v>
      </c>
      <c r="B13" s="48">
        <v>1234567</v>
      </c>
      <c r="C13" s="48">
        <f>VLOOKUP(Main!L89,'Vehicle Comp Data'!$B:$E,4,FALSE)</f>
        <v>1004</v>
      </c>
      <c r="D13" s="48">
        <f>VLOOKUP(E13,'Exp Tables'!$X$3:$Z$13,3,FALSE)</f>
        <v>32660</v>
      </c>
      <c r="E13" s="48">
        <f>Main!M89</f>
        <v>10</v>
      </c>
      <c r="F13" s="48">
        <v>0</v>
      </c>
      <c r="G13" s="48">
        <v>0</v>
      </c>
      <c r="H13" s="308" t="str">
        <f>IFERROR(Main!L90&amp;":"&amp;IF(Main!L90="skill",VLOOKUP(Main!M90,'Vehicle Substats'!$I$2:$J$50,2,FALSE),VLOOKUP(Main!L90,'Vehicle Substats'!$A$1:$F$16,6,FALSE)),"")</f>
        <v/>
      </c>
      <c r="I13" s="308" t="str">
        <f>IFERROR(Main!L91&amp;":"&amp;IF(Main!L91="skill",VLOOKUP(Main!M91,'Vehicle Substats'!$I$2:$J$50,2,FALSE),VLOOKUP(Main!L91,'Vehicle Substats'!$A$1:$F$16,6,FALSE)),"")</f>
        <v/>
      </c>
      <c r="J13" s="308" t="str">
        <f>IFERROR(Main!L92&amp;":"&amp;IF(Main!L92="skill",VLOOKUP(Main!M92,'Vehicle Substats'!$I$2:$J$50,2,FALSE),VLOOKUP(Main!L92,'Vehicle Substats'!$A$1:$F$16,6,FALSE)),"")</f>
        <v/>
      </c>
      <c r="K13" s="308"/>
      <c r="L13" s="308"/>
      <c r="M13" s="308" t="str">
        <f t="shared" si="2"/>
        <v/>
      </c>
      <c r="N13" s="48">
        <f t="shared" si="3"/>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48" t="str">
        <f t="shared" si="7"/>
        <v/>
      </c>
      <c r="AE13" t="str">
        <f t="shared" si="4"/>
        <v/>
      </c>
      <c r="AF13" t="str">
        <f t="shared" si="5"/>
        <v/>
      </c>
      <c r="AG13" t="str">
        <f t="shared" si="6"/>
        <v/>
      </c>
    </row>
    <row r="14" spans="1:33" x14ac:dyDescent="0.25">
      <c r="A14" s="47">
        <f>IF(Main!N82="","",ROW()-1)</f>
        <v>13</v>
      </c>
      <c r="B14" s="47">
        <v>1234567</v>
      </c>
      <c r="C14" s="47">
        <f>VLOOKUP(Main!N82,'Vehicle Comp Data'!$B:$E,4,FALSE)</f>
        <v>1005</v>
      </c>
      <c r="D14" s="47">
        <f>VLOOKUP(E14,'Exp Tables'!$X$3:$Z$13,3,FALSE)</f>
        <v>32660</v>
      </c>
      <c r="E14" s="47">
        <f>Main!O82</f>
        <v>10</v>
      </c>
      <c r="F14" s="47">
        <v>0</v>
      </c>
      <c r="G14" s="47">
        <v>0</v>
      </c>
      <c r="H14" s="309" t="str">
        <f>IFERROR(Main!N83&amp;":"&amp;IF(Main!N83="skill",VLOOKUP(Main!O83,'Vehicle Substats'!$I$2:$J$50,2,FALSE),VLOOKUP(Main!N83,'Vehicle Substats'!$A$1:$F$16,6,FALSE)),"")</f>
        <v/>
      </c>
      <c r="I14" s="309" t="str">
        <f>IFERROR(Main!N84&amp;":"&amp;IF(Main!N84="skill",VLOOKUP(Main!O84,'Vehicle Substats'!$I$2:$J$50,2,FALSE),VLOOKUP(Main!N84,'Vehicle Substats'!$A$1:$F$16,6,FALSE)),"")</f>
        <v/>
      </c>
      <c r="J14" s="309" t="str">
        <f>IFERROR(Main!N85&amp;":"&amp;IF(Main!N85="skill",VLOOKUP(Main!O85,'Vehicle Substats'!$I$2:$J$50,2,FALSE),VLOOKUP(Main!N85,'Vehicle Substats'!$A$1:$F$16,6,FALSE)),"")</f>
        <v/>
      </c>
      <c r="K14" s="309"/>
      <c r="L14" s="309"/>
      <c r="M14" s="309" t="str">
        <f t="shared" si="2"/>
        <v/>
      </c>
      <c r="N14" s="47">
        <f t="shared" si="3"/>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47" t="str">
        <f t="shared" si="7"/>
        <v/>
      </c>
      <c r="AE14" t="str">
        <f t="shared" si="4"/>
        <v/>
      </c>
      <c r="AF14" t="str">
        <f t="shared" si="5"/>
        <v/>
      </c>
      <c r="AG14" t="str">
        <f t="shared" si="6"/>
        <v/>
      </c>
    </row>
    <row r="15" spans="1:33" x14ac:dyDescent="0.25">
      <c r="A15" s="48">
        <f>IF(Main!N89="","",ROW()-1)</f>
        <v>14</v>
      </c>
      <c r="B15" s="48">
        <v>1234567</v>
      </c>
      <c r="C15" s="48">
        <f>VLOOKUP(Main!N89,'Vehicle Comp Data'!$B:$E,4,FALSE)</f>
        <v>1005</v>
      </c>
      <c r="D15" s="48">
        <f>VLOOKUP(E15,'Exp Tables'!$X$3:$Z$13,3,FALSE)</f>
        <v>32660</v>
      </c>
      <c r="E15" s="48">
        <f>Main!O89</f>
        <v>10</v>
      </c>
      <c r="F15" s="48">
        <v>0</v>
      </c>
      <c r="G15" s="48">
        <v>0</v>
      </c>
      <c r="H15" s="308" t="str">
        <f>IFERROR(Main!N90&amp;":"&amp;IF(Main!N90="skill",VLOOKUP(Main!O90,'Vehicle Substats'!$I$2:$J$50,2,FALSE),VLOOKUP(Main!N90,'Vehicle Substats'!$A$1:$F$16,6,FALSE)),"")</f>
        <v/>
      </c>
      <c r="I15" s="308" t="str">
        <f>IFERROR(Main!N91&amp;":"&amp;IF(Main!N91="skill",VLOOKUP(Main!O91,'Vehicle Substats'!$I$2:$J$50,2,FALSE),VLOOKUP(Main!N91,'Vehicle Substats'!$A$1:$F$16,6,FALSE)),"")</f>
        <v/>
      </c>
      <c r="J15" s="308" t="str">
        <f>IFERROR(Main!N92&amp;":"&amp;IF(Main!N92="skill",VLOOKUP(Main!O92,'Vehicle Substats'!$I$2:$J$50,2,FALSE),VLOOKUP(Main!N92,'Vehicle Substats'!$A$1:$F$16,6,FALSE)),"")</f>
        <v/>
      </c>
      <c r="K15" s="308"/>
      <c r="L15" s="308"/>
      <c r="M15" s="308" t="str">
        <f t="shared" si="2"/>
        <v/>
      </c>
      <c r="N15" s="48">
        <f t="shared" si="3"/>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48" t="str">
        <f t="shared" si="7"/>
        <v/>
      </c>
      <c r="AE15" t="str">
        <f t="shared" si="4"/>
        <v/>
      </c>
      <c r="AF15" t="str">
        <f t="shared" si="5"/>
        <v/>
      </c>
      <c r="AG15" t="str">
        <f t="shared" si="6"/>
        <v/>
      </c>
    </row>
    <row r="16" spans="1:33" x14ac:dyDescent="0.25">
      <c r="A16" s="47">
        <f>IF(Main!P82="","",ROW()-1)</f>
        <v>15</v>
      </c>
      <c r="B16" s="47">
        <v>1234567</v>
      </c>
      <c r="C16" s="47">
        <f>VLOOKUP(Main!P82,'Vehicle Comp Data'!$B:$E,4,FALSE)</f>
        <v>1010</v>
      </c>
      <c r="D16" s="47">
        <f>VLOOKUP(E16,'Exp Tables'!$X$3:$Z$13,3,FALSE)</f>
        <v>32660</v>
      </c>
      <c r="E16" s="47">
        <f>Main!Q82</f>
        <v>10</v>
      </c>
      <c r="F16" s="47">
        <v>0</v>
      </c>
      <c r="G16" s="47">
        <v>0</v>
      </c>
      <c r="H16" s="309" t="str">
        <f>IFERROR(Main!P83&amp;":"&amp;IF(Main!P83="skill",VLOOKUP(Main!Q83,'Vehicle Substats'!$I$2:$J$50,2,FALSE),VLOOKUP(Main!P83,'Vehicle Substats'!$A$1:$F$16,6,FALSE)),"")</f>
        <v/>
      </c>
      <c r="I16" s="309" t="str">
        <f>IFERROR(Main!P84&amp;":"&amp;IF(Main!P84="skill",VLOOKUP(Main!Q84,'Vehicle Substats'!$I$2:$J$50,2,FALSE),VLOOKUP(Main!P84,'Vehicle Substats'!$A$1:$F$16,6,FALSE)),"")</f>
        <v/>
      </c>
      <c r="J16" s="309" t="str">
        <f>IFERROR(Main!P85&amp;":"&amp;IF(Main!P85="skill",VLOOKUP(Main!Q85,'Vehicle Substats'!$I$2:$J$50,2,FALSE),VLOOKUP(Main!P85,'Vehicle Substats'!$A$1:$F$16,6,FALSE)),"")</f>
        <v/>
      </c>
      <c r="K16" s="309"/>
      <c r="L16" s="309"/>
      <c r="M16" s="309" t="str">
        <f t="shared" si="2"/>
        <v/>
      </c>
      <c r="N16" s="47">
        <f t="shared" si="3"/>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47" t="str">
        <f t="shared" si="7"/>
        <v/>
      </c>
      <c r="AE16" t="str">
        <f t="shared" si="4"/>
        <v/>
      </c>
      <c r="AF16" t="str">
        <f t="shared" si="5"/>
        <v/>
      </c>
      <c r="AG16" t="str">
        <f t="shared" si="6"/>
        <v/>
      </c>
    </row>
    <row r="17" spans="1:33" x14ac:dyDescent="0.25">
      <c r="A17" s="48">
        <f>IF(Main!P89="","",ROW()-1)</f>
        <v>16</v>
      </c>
      <c r="B17" s="48">
        <v>1234567</v>
      </c>
      <c r="C17" s="48">
        <f>VLOOKUP(Main!P89,'Vehicle Comp Data'!$B:$E,4,FALSE)</f>
        <v>1010</v>
      </c>
      <c r="D17" s="48">
        <f>VLOOKUP(E17,'Exp Tables'!$X$3:$Z$13,3,FALSE)</f>
        <v>32660</v>
      </c>
      <c r="E17" s="48">
        <f>Main!Q89</f>
        <v>10</v>
      </c>
      <c r="F17" s="48">
        <v>0</v>
      </c>
      <c r="G17" s="48">
        <v>0</v>
      </c>
      <c r="H17" s="308" t="str">
        <f>IFERROR(Main!P90&amp;":"&amp;IF(Main!P90="skill",VLOOKUP(Main!Q90,'Vehicle Substats'!$I$2:$J$50,2,FALSE),VLOOKUP(Main!P90,'Vehicle Substats'!$A$1:$F$16,6,FALSE)),"")</f>
        <v/>
      </c>
      <c r="I17" s="308" t="str">
        <f>IFERROR(Main!P91&amp;":"&amp;IF(Main!P91="skill",VLOOKUP(Main!Q91,'Vehicle Substats'!$I$2:$J$50,2,FALSE),VLOOKUP(Main!P91,'Vehicle Substats'!$A$1:$F$16,6,FALSE)),"")</f>
        <v/>
      </c>
      <c r="J17" s="308" t="str">
        <f>IFERROR(Main!P92&amp;":"&amp;IF(Main!P92="skill",VLOOKUP(Main!Q92,'Vehicle Substats'!$I$2:$J$50,2,FALSE),VLOOKUP(Main!P92,'Vehicle Substats'!$A$1:$F$16,6,FALSE)),"")</f>
        <v/>
      </c>
      <c r="K17" s="308"/>
      <c r="L17" s="308"/>
      <c r="M17" s="308" t="str">
        <f t="shared" si="2"/>
        <v/>
      </c>
      <c r="N17" s="48">
        <f t="shared" si="3"/>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48" t="str">
        <f t="shared" si="7"/>
        <v/>
      </c>
      <c r="AE17" t="str">
        <f t="shared" si="4"/>
        <v/>
      </c>
      <c r="AF17" t="str">
        <f t="shared" si="5"/>
        <v/>
      </c>
      <c r="AG17" t="str">
        <f t="shared" si="6"/>
        <v/>
      </c>
    </row>
    <row r="18" spans="1:33" x14ac:dyDescent="0.25">
      <c r="A18" s="47">
        <f>IF(Main!R82="","",ROW()-1)</f>
        <v>17</v>
      </c>
      <c r="B18" s="47">
        <v>1234567</v>
      </c>
      <c r="C18" s="47">
        <f>VLOOKUP(Main!R82,'Vehicle Comp Data'!$B:$E,4,FALSE)</f>
        <v>1011</v>
      </c>
      <c r="D18" s="47">
        <f>VLOOKUP(E18,'Exp Tables'!$X$3:$Z$13,3,FALSE)</f>
        <v>32660</v>
      </c>
      <c r="E18" s="47">
        <f>Main!S82</f>
        <v>10</v>
      </c>
      <c r="F18" s="47">
        <v>0</v>
      </c>
      <c r="G18" s="47">
        <v>0</v>
      </c>
      <c r="H18" s="309" t="str">
        <f>IFERROR(Main!R83&amp;":"&amp;IF(Main!R83="skill",VLOOKUP(Main!S83,'Vehicle Substats'!$I$2:$J$50,2,FALSE),VLOOKUP(Main!R83,'Vehicle Substats'!$A$1:$F$16,6,FALSE)),"")</f>
        <v/>
      </c>
      <c r="I18" s="309" t="str">
        <f>IFERROR(Main!R84&amp;":"&amp;IF(Main!R84="skill",VLOOKUP(Main!S84,'Vehicle Substats'!$I$2:$J$50,2,FALSE),VLOOKUP(Main!R84,'Vehicle Substats'!$A$1:$F$16,6,FALSE)),"")</f>
        <v/>
      </c>
      <c r="J18" s="309" t="str">
        <f>IFERROR(Main!R85&amp;":"&amp;IF(Main!R85="skill",VLOOKUP(Main!S85,'Vehicle Substats'!$I$2:$J$50,2,FALSE),VLOOKUP(Main!R85,'Vehicle Substats'!$A$1:$F$16,6,FALSE)),"")</f>
        <v/>
      </c>
      <c r="K18" s="309"/>
      <c r="L18" s="309"/>
      <c r="M18" s="309" t="str">
        <f t="shared" si="2"/>
        <v/>
      </c>
      <c r="N18" s="47">
        <f t="shared" si="3"/>
        <v>0</v>
      </c>
      <c r="O18" s="47">
        <f t="shared" si="3"/>
        <v>0</v>
      </c>
      <c r="P18" s="47">
        <f t="shared" si="3"/>
        <v>0</v>
      </c>
      <c r="Q18" s="47">
        <f t="shared" si="3"/>
        <v>0</v>
      </c>
      <c r="R18" s="47">
        <f t="shared" si="3"/>
        <v>0</v>
      </c>
      <c r="S18" s="47">
        <f t="shared" si="3"/>
        <v>0</v>
      </c>
      <c r="T18" s="47">
        <f t="shared" si="3"/>
        <v>0</v>
      </c>
      <c r="U18" s="47">
        <f t="shared" si="3"/>
        <v>0</v>
      </c>
      <c r="V18" s="47">
        <f t="shared" si="3"/>
        <v>0</v>
      </c>
      <c r="W18" s="47">
        <f t="shared" si="3"/>
        <v>0</v>
      </c>
      <c r="X18" s="47">
        <f t="shared" si="3"/>
        <v>0</v>
      </c>
      <c r="Y18" s="47">
        <f t="shared" si="3"/>
        <v>0</v>
      </c>
      <c r="Z18" s="47">
        <f t="shared" si="3"/>
        <v>0</v>
      </c>
      <c r="AA18" s="47">
        <f t="shared" si="3"/>
        <v>0</v>
      </c>
      <c r="AB18" s="47">
        <f t="shared" si="3"/>
        <v>0</v>
      </c>
      <c r="AC18" s="47" t="str">
        <f t="shared" si="7"/>
        <v/>
      </c>
      <c r="AE18" t="str">
        <f t="shared" si="4"/>
        <v/>
      </c>
      <c r="AF18" t="str">
        <f t="shared" si="5"/>
        <v/>
      </c>
      <c r="AG18" t="str">
        <f t="shared" si="6"/>
        <v/>
      </c>
    </row>
    <row r="19" spans="1:33" x14ac:dyDescent="0.25">
      <c r="A19" s="48">
        <f>IF(Main!R89="","",ROW()-1)</f>
        <v>18</v>
      </c>
      <c r="B19" s="48">
        <v>1234567</v>
      </c>
      <c r="C19" s="48">
        <f>VLOOKUP(Main!R89,'Vehicle Comp Data'!$B:$E,4,FALSE)</f>
        <v>1011</v>
      </c>
      <c r="D19" s="48">
        <f>VLOOKUP(E19,'Exp Tables'!$X$3:$Z$13,3,FALSE)</f>
        <v>32660</v>
      </c>
      <c r="E19" s="48">
        <f>Main!S89</f>
        <v>10</v>
      </c>
      <c r="F19" s="48">
        <v>0</v>
      </c>
      <c r="G19" s="48">
        <v>0</v>
      </c>
      <c r="H19" s="308" t="str">
        <f>IFERROR(Main!R90&amp;":"&amp;IF(Main!R90="skill",VLOOKUP(Main!S90,'Vehicle Substats'!$I$2:$J$50,2,FALSE),VLOOKUP(Main!R90,'Vehicle Substats'!$A$1:$F$16,6,FALSE)),"")</f>
        <v/>
      </c>
      <c r="I19" s="308" t="str">
        <f>IFERROR(Main!R91&amp;":"&amp;IF(Main!R91="skill",VLOOKUP(Main!S91,'Vehicle Substats'!$I$2:$J$50,2,FALSE),VLOOKUP(Main!R91,'Vehicle Substats'!$A$1:$F$16,6,FALSE)),"")</f>
        <v/>
      </c>
      <c r="J19" s="308" t="str">
        <f>IFERROR(Main!R92&amp;":"&amp;IF(Main!R92="skill",VLOOKUP(Main!S92,'Vehicle Substats'!$I$2:$J$50,2,FALSE),VLOOKUP(Main!R92,'Vehicle Substats'!$A$1:$F$16,6,FALSE)),"")</f>
        <v/>
      </c>
      <c r="K19" s="308"/>
      <c r="L19" s="308"/>
      <c r="M19" s="308" t="str">
        <f t="shared" si="2"/>
        <v/>
      </c>
      <c r="N19" s="48">
        <f t="shared" ref="N19:AB19" si="8">IFERROR(IF(LEFT($H19,FIND(":",$H19)-1)=N$1,SUBSTITUTE($H19,N$1&amp;":",""),0)+
IF(LEFT($I19,FIND(":",$I19)-1)=N$1,SUBSTITUTE($I19,N$1&amp;":",""),0)+
IF(LEFT($J19,FIND(":",$J19)-1)=N$1,SUBSTITUTE($J19,N$1&amp;":",""),0),0)</f>
        <v>0</v>
      </c>
      <c r="O19" s="48">
        <f t="shared" si="8"/>
        <v>0</v>
      </c>
      <c r="P19" s="48">
        <f t="shared" si="8"/>
        <v>0</v>
      </c>
      <c r="Q19" s="48">
        <f t="shared" si="8"/>
        <v>0</v>
      </c>
      <c r="R19" s="48">
        <f t="shared" si="8"/>
        <v>0</v>
      </c>
      <c r="S19" s="48">
        <f t="shared" si="8"/>
        <v>0</v>
      </c>
      <c r="T19" s="48">
        <f t="shared" si="8"/>
        <v>0</v>
      </c>
      <c r="U19" s="48">
        <f t="shared" si="8"/>
        <v>0</v>
      </c>
      <c r="V19" s="48">
        <f t="shared" si="8"/>
        <v>0</v>
      </c>
      <c r="W19" s="48">
        <f t="shared" si="8"/>
        <v>0</v>
      </c>
      <c r="X19" s="48">
        <f t="shared" si="8"/>
        <v>0</v>
      </c>
      <c r="Y19" s="48">
        <f t="shared" si="8"/>
        <v>0</v>
      </c>
      <c r="Z19" s="48">
        <f t="shared" si="8"/>
        <v>0</v>
      </c>
      <c r="AA19" s="48">
        <f t="shared" si="8"/>
        <v>0</v>
      </c>
      <c r="AB19" s="48">
        <f t="shared" si="8"/>
        <v>0</v>
      </c>
      <c r="AC19" s="48" t="str">
        <f t="shared" si="7"/>
        <v/>
      </c>
      <c r="AE19" t="str">
        <f t="shared" si="4"/>
        <v/>
      </c>
      <c r="AF19" t="str">
        <f t="shared" si="5"/>
        <v/>
      </c>
      <c r="AG19" t="str">
        <f t="shared" si="6"/>
        <v/>
      </c>
    </row>
    <row r="21" spans="1:33" x14ac:dyDescent="0.25">
      <c r="G21" s="220"/>
    </row>
    <row r="27" spans="1:33" x14ac:dyDescent="0.25">
      <c r="A27" s="310"/>
      <c r="B27" s="310"/>
      <c r="C27" s="310"/>
      <c r="D27" s="310"/>
      <c r="E27" s="310"/>
    </row>
    <row r="28" spans="1:33" x14ac:dyDescent="0.25">
      <c r="A28" s="310"/>
      <c r="B28" s="310"/>
      <c r="C28" s="310"/>
      <c r="D28" s="310"/>
      <c r="E28" s="310"/>
    </row>
    <row r="29" spans="1:33" x14ac:dyDescent="0.25">
      <c r="A29" s="310"/>
      <c r="B29" s="310"/>
      <c r="C29" s="310"/>
      <c r="D29" s="310"/>
      <c r="E29" s="310"/>
    </row>
    <row r="30" spans="1:33"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8558</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8559</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8559</v>
      </c>
      <c r="E12" s="1" t="str">
        <f>IF(DayNight&lt;&gt;"Day","",_xlfn.IFNA(MATCH(A12,Main!$I$125:$I$127,0),""))</f>
        <v/>
      </c>
    </row>
    <row r="13" spans="1:6" x14ac:dyDescent="0.25">
      <c r="A13" s="1">
        <f t="shared" ref="A13" si="5">A4</f>
        <v>102</v>
      </c>
      <c r="B13" s="1">
        <f t="shared" si="3"/>
        <v>64</v>
      </c>
      <c r="C13" s="9" t="str">
        <f t="shared" si="4"/>
        <v>"ally_instance_ids": [],</v>
      </c>
      <c r="D13" s="1" t="s">
        <v>8559</v>
      </c>
      <c r="E13" s="1" t="str">
        <f>IF(DayNight&lt;&gt;"Day","",_xlfn.IFNA(MATCH(A13,Main!$I$125:$I$127,0),""))</f>
        <v/>
      </c>
    </row>
    <row r="14" spans="1:6" x14ac:dyDescent="0.25">
      <c r="A14" s="1">
        <f t="shared" ref="A14" si="6">A5</f>
        <v>104</v>
      </c>
      <c r="B14" s="1">
        <f t="shared" si="3"/>
        <v>112</v>
      </c>
      <c r="C14" s="9" t="str">
        <f t="shared" si="4"/>
        <v>"ally_instance_ids": [],</v>
      </c>
      <c r="D14" s="1" t="s">
        <v>8559</v>
      </c>
      <c r="E14" s="1" t="str">
        <f>IF(DayNight&lt;&gt;"Day","",_xlfn.IFNA(MATCH(A14,Main!$I$125:$I$127,0),""))</f>
        <v/>
      </c>
    </row>
    <row r="15" spans="1:6" x14ac:dyDescent="0.25">
      <c r="A15" s="1">
        <f t="shared" ref="A15" si="7">A6</f>
        <v>105</v>
      </c>
      <c r="B15" s="1">
        <f t="shared" si="3"/>
        <v>136</v>
      </c>
      <c r="C15" s="9" t="str">
        <f t="shared" si="4"/>
        <v>"ally_instance_ids": [],</v>
      </c>
      <c r="D15" s="1" t="s">
        <v>8559</v>
      </c>
      <c r="E15" s="1" t="str">
        <f>IF(DayNight&lt;&gt;"Day","",_xlfn.IFNA(MATCH(A15,Main!$I$125:$I$127,0),""))</f>
        <v/>
      </c>
    </row>
    <row r="16" spans="1:6" x14ac:dyDescent="0.25">
      <c r="A16" s="1">
        <f t="shared" ref="A16" si="8">A7</f>
        <v>106</v>
      </c>
      <c r="B16" s="1">
        <f t="shared" si="3"/>
        <v>160</v>
      </c>
      <c r="C16" s="9" t="str">
        <f t="shared" si="4"/>
        <v>"ally_instance_ids": [],</v>
      </c>
      <c r="D16" s="1" t="s">
        <v>8559</v>
      </c>
      <c r="E16" s="1" t="str">
        <f>IF(DayNight&lt;&gt;"Day","",_xlfn.IFNA(MATCH(A16,Main!$I$125:$I$127,0),""))</f>
        <v/>
      </c>
    </row>
    <row r="17" spans="1:5" x14ac:dyDescent="0.25">
      <c r="A17" s="1">
        <f t="shared" ref="A17" si="9">A8</f>
        <v>107</v>
      </c>
      <c r="B17" s="1">
        <f t="shared" si="3"/>
        <v>184</v>
      </c>
      <c r="C17" s="9" t="str">
        <f t="shared" si="4"/>
        <v>"ally_instance_ids": [],</v>
      </c>
      <c r="D17" s="1" t="s">
        <v>8559</v>
      </c>
      <c r="E17" s="1" t="str">
        <f>IF(DayNight&lt;&gt;"Day","",_xlfn.IFNA(MATCH(A17,Main!$I$125:$I$127,0),""))</f>
        <v/>
      </c>
    </row>
    <row r="18" spans="1:5" x14ac:dyDescent="0.25">
      <c r="A18" s="1">
        <f t="shared" ref="A18" si="10">A9</f>
        <v>99</v>
      </c>
      <c r="B18" s="1">
        <f t="shared" si="3"/>
        <v>203</v>
      </c>
      <c r="C18" s="9" t="str">
        <f t="shared" si="4"/>
        <v>"ally_instance_ids": [],</v>
      </c>
      <c r="D18" s="1" t="s">
        <v>8559</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8559</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8559</v>
      </c>
      <c r="E34" s="1" t="str">
        <f>IF(DayNight&lt;&gt;"Night","",_xlfn.IFNA(MATCH(A34,Main!$I$125:$I$127,0),""))</f>
        <v/>
      </c>
    </row>
    <row r="35" spans="1:5" x14ac:dyDescent="0.25">
      <c r="A35" s="1">
        <f t="shared" ref="A35" si="4">A4</f>
        <v>7119</v>
      </c>
      <c r="B35" s="1">
        <f t="shared" si="2"/>
        <v>64</v>
      </c>
      <c r="C35" s="9" t="str">
        <f t="shared" si="3"/>
        <v>"ally_instance_ids": [],</v>
      </c>
      <c r="D35" s="1" t="s">
        <v>8559</v>
      </c>
      <c r="E35" s="1" t="str">
        <f>IF(DayNight&lt;&gt;"Night","",_xlfn.IFNA(MATCH(A35,Main!$I$125:$I$127,0),""))</f>
        <v/>
      </c>
    </row>
    <row r="36" spans="1:5" x14ac:dyDescent="0.25">
      <c r="A36" s="1">
        <f t="shared" ref="A36" si="5">A5</f>
        <v>7120</v>
      </c>
      <c r="B36" s="1">
        <f t="shared" si="2"/>
        <v>88</v>
      </c>
      <c r="C36" s="9" t="str">
        <f t="shared" si="3"/>
        <v>"ally_instance_ids": [],</v>
      </c>
      <c r="D36" s="1" t="s">
        <v>8559</v>
      </c>
      <c r="E36" s="1" t="str">
        <f>IF(DayNight&lt;&gt;"Night","",_xlfn.IFNA(MATCH(A36,Main!$I$125:$I$127,0),""))</f>
        <v/>
      </c>
    </row>
    <row r="37" spans="1:5" x14ac:dyDescent="0.25">
      <c r="A37" s="1">
        <f t="shared" ref="A37" si="6">A6</f>
        <v>7121</v>
      </c>
      <c r="B37" s="1">
        <f t="shared" si="2"/>
        <v>112</v>
      </c>
      <c r="C37" s="9" t="str">
        <f t="shared" si="3"/>
        <v>"ally_instance_ids": [],</v>
      </c>
      <c r="D37" s="1" t="s">
        <v>8559</v>
      </c>
      <c r="E37" s="1" t="str">
        <f>IF(DayNight&lt;&gt;"Night","",_xlfn.IFNA(MATCH(A37,Main!$I$125:$I$127,0),""))</f>
        <v/>
      </c>
    </row>
    <row r="38" spans="1:5" x14ac:dyDescent="0.25">
      <c r="A38" s="1">
        <f t="shared" ref="A38" si="7">A7</f>
        <v>7122</v>
      </c>
      <c r="B38" s="1">
        <f t="shared" si="2"/>
        <v>136</v>
      </c>
      <c r="C38" s="9" t="str">
        <f t="shared" si="3"/>
        <v>"ally_instance_ids": [],</v>
      </c>
      <c r="D38" s="1" t="s">
        <v>8559</v>
      </c>
      <c r="E38" s="1" t="str">
        <f>IF(DayNight&lt;&gt;"Night","",_xlfn.IFNA(MATCH(A38,Main!$I$125:$I$127,0),""))</f>
        <v/>
      </c>
    </row>
    <row r="39" spans="1:5" x14ac:dyDescent="0.25">
      <c r="A39" s="1">
        <f t="shared" ref="A39" si="8">A8</f>
        <v>7123</v>
      </c>
      <c r="B39" s="1">
        <f t="shared" si="2"/>
        <v>160</v>
      </c>
      <c r="C39" s="9" t="str">
        <f t="shared" si="3"/>
        <v>"ally_instance_ids": [],</v>
      </c>
      <c r="D39" s="1" t="s">
        <v>8559</v>
      </c>
      <c r="E39" s="1" t="str">
        <f>IF(DayNight&lt;&gt;"Night","",_xlfn.IFNA(MATCH(A39,Main!$I$125:$I$127,0),""))</f>
        <v/>
      </c>
    </row>
    <row r="40" spans="1:5" x14ac:dyDescent="0.25">
      <c r="A40" s="1">
        <f t="shared" ref="A40" si="9">A9</f>
        <v>7124</v>
      </c>
      <c r="B40" s="1">
        <f t="shared" si="2"/>
        <v>184</v>
      </c>
      <c r="C40" s="9" t="str">
        <f t="shared" si="3"/>
        <v>"ally_instance_ids": [],</v>
      </c>
      <c r="D40" s="1" t="s">
        <v>8559</v>
      </c>
      <c r="E40" s="1" t="str">
        <f>IF(DayNight&lt;&gt;"Night","",_xlfn.IFNA(MATCH(A40,Main!$I$125:$I$127,0),""))</f>
        <v/>
      </c>
    </row>
    <row r="41" spans="1:5" x14ac:dyDescent="0.25">
      <c r="A41" s="1">
        <f t="shared" ref="A41" si="10">A10</f>
        <v>7126</v>
      </c>
      <c r="B41" s="1">
        <f t="shared" si="2"/>
        <v>208</v>
      </c>
      <c r="C41" s="9" t="str">
        <f t="shared" si="3"/>
        <v>"ally_instance_ids": [],</v>
      </c>
      <c r="D41" s="1" t="s">
        <v>8559</v>
      </c>
      <c r="E41" s="1" t="str">
        <f>IF(DayNight&lt;&gt;"Night","",_xlfn.IFNA(MATCH(A41,Main!$I$125:$I$127,0),""))</f>
        <v/>
      </c>
    </row>
    <row r="42" spans="1:5" x14ac:dyDescent="0.25">
      <c r="A42" s="1">
        <f t="shared" ref="A42" si="11">A11</f>
        <v>7127</v>
      </c>
      <c r="B42" s="1">
        <f t="shared" si="2"/>
        <v>232</v>
      </c>
      <c r="C42" s="9" t="str">
        <f t="shared" si="3"/>
        <v>"ally_instance_ids": [],</v>
      </c>
      <c r="D42" s="1" t="s">
        <v>8559</v>
      </c>
      <c r="E42" s="1" t="str">
        <f>IF(DayNight&lt;&gt;"Night","",_xlfn.IFNA(MATCH(A42,Main!$I$125:$I$127,0),""))</f>
        <v/>
      </c>
    </row>
    <row r="43" spans="1:5" x14ac:dyDescent="0.25">
      <c r="A43" s="1">
        <f t="shared" ref="A43" si="12">A12</f>
        <v>7128</v>
      </c>
      <c r="B43" s="1">
        <f t="shared" si="2"/>
        <v>256</v>
      </c>
      <c r="C43" s="9" t="str">
        <f t="shared" si="3"/>
        <v>"ally_instance_ids": [],</v>
      </c>
      <c r="D43" s="1" t="s">
        <v>8559</v>
      </c>
      <c r="E43" s="1" t="str">
        <f>IF(DayNight&lt;&gt;"Night","",_xlfn.IFNA(MATCH(A43,Main!$I$125:$I$127,0),""))</f>
        <v/>
      </c>
    </row>
    <row r="44" spans="1:5" x14ac:dyDescent="0.25">
      <c r="A44" s="1">
        <f t="shared" ref="A44" si="13">A13</f>
        <v>7129</v>
      </c>
      <c r="B44" s="1">
        <f t="shared" si="2"/>
        <v>280</v>
      </c>
      <c r="C44" s="9" t="str">
        <f t="shared" si="3"/>
        <v>"ally_instance_ids": [],</v>
      </c>
      <c r="D44" s="1" t="s">
        <v>8559</v>
      </c>
      <c r="E44" s="1" t="str">
        <f>IF(DayNight&lt;&gt;"Night","",_xlfn.IFNA(MATCH(A44,Main!$I$125:$I$127,0),""))</f>
        <v/>
      </c>
    </row>
    <row r="45" spans="1:5" x14ac:dyDescent="0.25">
      <c r="A45" s="1">
        <f t="shared" ref="A45" si="14">A14</f>
        <v>7130</v>
      </c>
      <c r="B45" s="1">
        <f t="shared" si="2"/>
        <v>304</v>
      </c>
      <c r="C45" s="9" t="str">
        <f t="shared" si="3"/>
        <v>"ally_instance_ids": [],</v>
      </c>
      <c r="D45" s="1" t="s">
        <v>8559</v>
      </c>
      <c r="E45" s="1" t="str">
        <f>IF(DayNight&lt;&gt;"Night","",_xlfn.IFNA(MATCH(A45,Main!$I$125:$I$127,0),""))</f>
        <v/>
      </c>
    </row>
    <row r="46" spans="1:5" x14ac:dyDescent="0.25">
      <c r="A46" s="1">
        <f t="shared" ref="A46" si="15">A15</f>
        <v>7131</v>
      </c>
      <c r="B46" s="1">
        <f t="shared" si="2"/>
        <v>328</v>
      </c>
      <c r="C46" s="9" t="str">
        <f t="shared" si="3"/>
        <v>"ally_instance_ids": [],</v>
      </c>
      <c r="D46" s="1" t="s">
        <v>8559</v>
      </c>
      <c r="E46" s="1" t="str">
        <f>IF(DayNight&lt;&gt;"Night","",_xlfn.IFNA(MATCH(A46,Main!$I$125:$I$127,0),""))</f>
        <v/>
      </c>
    </row>
    <row r="47" spans="1:5" x14ac:dyDescent="0.25">
      <c r="A47" s="1">
        <f t="shared" ref="A47" si="16">A16</f>
        <v>7132</v>
      </c>
      <c r="B47" s="1">
        <f t="shared" si="2"/>
        <v>352</v>
      </c>
      <c r="C47" s="9" t="str">
        <f t="shared" si="3"/>
        <v>"ally_instance_ids": [],</v>
      </c>
      <c r="D47" s="1" t="s">
        <v>8559</v>
      </c>
      <c r="E47" s="1" t="str">
        <f>IF(DayNight&lt;&gt;"Night","",_xlfn.IFNA(MATCH(A47,Main!$I$125:$I$127,0),""))</f>
        <v/>
      </c>
    </row>
    <row r="48" spans="1:5" x14ac:dyDescent="0.25">
      <c r="A48" s="1">
        <f t="shared" ref="A48" si="17">A17</f>
        <v>7133</v>
      </c>
      <c r="B48" s="1">
        <f t="shared" si="2"/>
        <v>376</v>
      </c>
      <c r="C48" s="9" t="str">
        <f t="shared" si="3"/>
        <v>"ally_instance_ids": [],</v>
      </c>
      <c r="D48" s="1" t="s">
        <v>8559</v>
      </c>
      <c r="E48" s="1" t="str">
        <f>IF(DayNight&lt;&gt;"Night","",_xlfn.IFNA(MATCH(A48,Main!$I$125:$I$127,0),""))</f>
        <v/>
      </c>
    </row>
    <row r="49" spans="1:5" x14ac:dyDescent="0.25">
      <c r="A49" s="1">
        <f t="shared" ref="A49" si="18">A18</f>
        <v>7134</v>
      </c>
      <c r="B49" s="1">
        <f t="shared" si="2"/>
        <v>400</v>
      </c>
      <c r="C49" s="9" t="str">
        <f t="shared" si="3"/>
        <v>"ally_instance_ids": [],</v>
      </c>
      <c r="D49" s="1" t="s">
        <v>8559</v>
      </c>
      <c r="E49" s="1" t="str">
        <f>IF(DayNight&lt;&gt;"Night","",_xlfn.IFNA(MATCH(A49,Main!$I$125:$I$127,0),""))</f>
        <v/>
      </c>
    </row>
    <row r="50" spans="1:5" x14ac:dyDescent="0.25">
      <c r="A50" s="1">
        <f t="shared" ref="A50" si="19">A19</f>
        <v>7135</v>
      </c>
      <c r="B50" s="1">
        <f t="shared" si="2"/>
        <v>424</v>
      </c>
      <c r="C50" s="9" t="str">
        <f t="shared" si="3"/>
        <v>"ally_instance_ids": [],</v>
      </c>
      <c r="D50" s="1" t="s">
        <v>8559</v>
      </c>
      <c r="E50" s="1" t="str">
        <f>IF(DayNight&lt;&gt;"Night","",_xlfn.IFNA(MATCH(A50,Main!$I$125:$I$127,0),""))</f>
        <v/>
      </c>
    </row>
    <row r="51" spans="1:5" x14ac:dyDescent="0.25">
      <c r="A51" s="1">
        <f t="shared" ref="A51" si="20">A20</f>
        <v>7136</v>
      </c>
      <c r="B51" s="1">
        <f t="shared" si="2"/>
        <v>448</v>
      </c>
      <c r="C51" s="9" t="str">
        <f t="shared" si="3"/>
        <v>"ally_instance_ids": [],</v>
      </c>
      <c r="D51" s="1" t="s">
        <v>8559</v>
      </c>
      <c r="E51" s="1" t="str">
        <f>IF(DayNight&lt;&gt;"Night","",_xlfn.IFNA(MATCH(A51,Main!$I$125:$I$127,0),""))</f>
        <v/>
      </c>
    </row>
    <row r="52" spans="1:5" x14ac:dyDescent="0.25">
      <c r="A52" s="1">
        <f t="shared" ref="A52" si="21">A21</f>
        <v>7137</v>
      </c>
      <c r="B52" s="1">
        <f t="shared" si="2"/>
        <v>472</v>
      </c>
      <c r="C52" s="9" t="str">
        <f t="shared" si="3"/>
        <v>"ally_instance_ids": [],</v>
      </c>
      <c r="D52" s="1" t="s">
        <v>8559</v>
      </c>
      <c r="E52" s="1" t="str">
        <f>IF(DayNight&lt;&gt;"Night","",_xlfn.IFNA(MATCH(A52,Main!$I$125:$I$127,0),""))</f>
        <v/>
      </c>
    </row>
    <row r="53" spans="1:5" x14ac:dyDescent="0.25">
      <c r="A53" s="1">
        <f t="shared" ref="A53" si="22">A22</f>
        <v>7138</v>
      </c>
      <c r="B53" s="1">
        <f t="shared" si="2"/>
        <v>496</v>
      </c>
      <c r="C53" s="9" t="str">
        <f t="shared" si="3"/>
        <v>"ally_instance_ids": [],</v>
      </c>
      <c r="D53" s="1" t="s">
        <v>8559</v>
      </c>
      <c r="E53" s="1" t="str">
        <f>IF(DayNight&lt;&gt;"Night","",_xlfn.IFNA(MATCH(A53,Main!$I$125:$I$127,0),""))</f>
        <v/>
      </c>
    </row>
    <row r="54" spans="1:5" x14ac:dyDescent="0.25">
      <c r="A54" s="1">
        <f t="shared" ref="A54" si="23">A23</f>
        <v>7139</v>
      </c>
      <c r="B54" s="1">
        <f t="shared" si="2"/>
        <v>520</v>
      </c>
      <c r="C54" s="9" t="str">
        <f t="shared" si="3"/>
        <v>"ally_instance_ids": [],</v>
      </c>
      <c r="D54" s="1" t="s">
        <v>8559</v>
      </c>
      <c r="E54" s="1" t="str">
        <f>IF(DayNight&lt;&gt;"Night","",_xlfn.IFNA(MATCH(A54,Main!$I$125:$I$127,0),""))</f>
        <v/>
      </c>
    </row>
    <row r="55" spans="1:5" x14ac:dyDescent="0.25">
      <c r="A55" s="1">
        <f t="shared" ref="A55" si="24">A24</f>
        <v>7140</v>
      </c>
      <c r="B55" s="1">
        <f t="shared" si="2"/>
        <v>544</v>
      </c>
      <c r="C55" s="9" t="str">
        <f t="shared" si="3"/>
        <v>"ally_instance_ids": [],</v>
      </c>
      <c r="D55" s="1" t="s">
        <v>8559</v>
      </c>
      <c r="E55" s="1" t="str">
        <f>IF(DayNight&lt;&gt;"Night","",_xlfn.IFNA(MATCH(A55,Main!$I$125:$I$127,0),""))</f>
        <v/>
      </c>
    </row>
    <row r="56" spans="1:5" x14ac:dyDescent="0.25">
      <c r="A56" s="1">
        <f t="shared" ref="A56" si="25">A25</f>
        <v>7141</v>
      </c>
      <c r="B56" s="1">
        <f t="shared" si="2"/>
        <v>568</v>
      </c>
      <c r="C56" s="9" t="str">
        <f t="shared" si="3"/>
        <v>"ally_instance_ids": [],</v>
      </c>
      <c r="D56" s="1" t="s">
        <v>8559</v>
      </c>
      <c r="E56" s="1" t="str">
        <f>IF(DayNight&lt;&gt;"Night","",_xlfn.IFNA(MATCH(A56,Main!$I$125:$I$127,0),""))</f>
        <v/>
      </c>
    </row>
    <row r="57" spans="1:5" x14ac:dyDescent="0.25">
      <c r="A57" s="1">
        <f t="shared" ref="A57" si="26">A26</f>
        <v>7142</v>
      </c>
      <c r="B57" s="1">
        <f t="shared" si="2"/>
        <v>592</v>
      </c>
      <c r="C57" s="9" t="str">
        <f t="shared" si="3"/>
        <v>"ally_instance_ids": [],</v>
      </c>
      <c r="D57" s="1" t="s">
        <v>8559</v>
      </c>
      <c r="E57" s="1" t="str">
        <f>IF(DayNight&lt;&gt;"Night","",_xlfn.IFNA(MATCH(A57,Main!$I$125:$I$127,0),""))</f>
        <v/>
      </c>
    </row>
    <row r="58" spans="1:5" x14ac:dyDescent="0.25">
      <c r="A58" s="1">
        <f t="shared" ref="A58" si="27">A27</f>
        <v>7143</v>
      </c>
      <c r="B58" s="1">
        <f t="shared" si="2"/>
        <v>616</v>
      </c>
      <c r="C58" s="9" t="str">
        <f t="shared" si="3"/>
        <v>"ally_instance_ids": [],</v>
      </c>
      <c r="D58" s="1" t="s">
        <v>8559</v>
      </c>
      <c r="E58" s="1" t="str">
        <f>IF(DayNight&lt;&gt;"Night","",_xlfn.IFNA(MATCH(A58,Main!$I$125:$I$127,0),""))</f>
        <v/>
      </c>
    </row>
    <row r="59" spans="1:5" x14ac:dyDescent="0.25">
      <c r="A59" s="1">
        <f t="shared" ref="A59" si="28">A28</f>
        <v>7144</v>
      </c>
      <c r="B59" s="1">
        <f t="shared" si="2"/>
        <v>640</v>
      </c>
      <c r="C59" s="9" t="str">
        <f t="shared" si="3"/>
        <v>"ally_instance_ids": [],</v>
      </c>
      <c r="D59" s="1" t="s">
        <v>8559</v>
      </c>
      <c r="E59" s="1" t="str">
        <f>IF(DayNight&lt;&gt;"Night","",_xlfn.IFNA(MATCH(A59,Main!$I$125:$I$127,0),""))</f>
        <v/>
      </c>
    </row>
    <row r="60" spans="1:5" x14ac:dyDescent="0.25">
      <c r="A60" s="1">
        <f t="shared" ref="A60" si="29">A29</f>
        <v>7145</v>
      </c>
      <c r="B60" s="1">
        <f t="shared" si="2"/>
        <v>664</v>
      </c>
      <c r="C60" s="9" t="str">
        <f t="shared" si="3"/>
        <v>"ally_instance_ids": [],</v>
      </c>
      <c r="D60" s="1" t="s">
        <v>8559</v>
      </c>
      <c r="E60" s="1" t="str">
        <f>IF(DayNight&lt;&gt;"Night","",_xlfn.IFNA(MATCH(A60,Main!$I$125:$I$127,0),""))</f>
        <v/>
      </c>
    </row>
    <row r="61" spans="1:5" x14ac:dyDescent="0.25">
      <c r="A61" s="1">
        <f t="shared" ref="A61" si="30">A30</f>
        <v>7146</v>
      </c>
      <c r="B61" s="1">
        <f t="shared" si="2"/>
        <v>688</v>
      </c>
      <c r="C61" s="9" t="str">
        <f t="shared" si="3"/>
        <v>"ally_instance_ids": [],</v>
      </c>
      <c r="D61" s="1" t="s">
        <v>8559</v>
      </c>
      <c r="E61" s="1" t="str">
        <f>IF(DayNight&lt;&gt;"Night","",_xlfn.IFNA(MATCH(A61,Main!$I$125:$I$127,0),""))</f>
        <v/>
      </c>
    </row>
    <row r="62" spans="1:5" x14ac:dyDescent="0.25">
      <c r="A62" s="1">
        <f t="shared" ref="A62" si="31">A31</f>
        <v>7125</v>
      </c>
      <c r="B62" s="1">
        <f t="shared" si="2"/>
        <v>712</v>
      </c>
      <c r="C62" s="9" t="str">
        <f t="shared" si="3"/>
        <v>"ally_instance_ids": [],</v>
      </c>
      <c r="D62" s="1" t="s">
        <v>8559</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8272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8276</v>
      </c>
      <c r="B2" s="1">
        <v>10</v>
      </c>
      <c r="C2" s="9" t="str">
        <f>CHAR(34)&amp;A2&amp;CHAR(34)&amp;": "&amp;CHAR(34)&amp;IF(DayNight="Day",107,7173)&amp;CHAR(34)&amp;","</f>
        <v>"from_spot_id": "107",</v>
      </c>
    </row>
    <row r="3" spans="1:3" x14ac:dyDescent="0.25">
      <c r="A3" t="s">
        <v>8277</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8331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6"/>
  <sheetViews>
    <sheetView topLeftCell="AA1" workbookViewId="0">
      <pane ySplit="1" topLeftCell="A374" activePane="bottomLeft" state="frozen"/>
      <selection activeCell="AZ2" sqref="AZ2"/>
      <selection pane="bottomLeft" activeCell="AZ2" sqref="AZ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8279</v>
      </c>
      <c r="C364" t="s">
        <v>8280</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8306</v>
      </c>
      <c r="AH364" s="1">
        <v>3360</v>
      </c>
      <c r="AI364" t="s">
        <v>1844</v>
      </c>
      <c r="AJ364">
        <v>0</v>
      </c>
      <c r="AK364" s="1" t="s">
        <v>8281</v>
      </c>
      <c r="AL364" s="1" t="s">
        <v>8282</v>
      </c>
      <c r="AM364" s="1">
        <v>0.55000000000000004</v>
      </c>
      <c r="AN364" s="1">
        <v>0.16</v>
      </c>
      <c r="AO364" s="1">
        <v>0.6</v>
      </c>
      <c r="AP364" s="1">
        <v>0.16</v>
      </c>
      <c r="AQ364" s="1">
        <v>3</v>
      </c>
      <c r="AR364" t="s">
        <v>8283</v>
      </c>
      <c r="AS364">
        <v>0</v>
      </c>
      <c r="AT364" t="s">
        <v>8284</v>
      </c>
      <c r="AU364">
        <v>10</v>
      </c>
      <c r="AV364">
        <v>20070</v>
      </c>
      <c r="AX364">
        <v>0</v>
      </c>
    </row>
    <row r="365" spans="1:50" x14ac:dyDescent="0.25">
      <c r="A365">
        <v>366</v>
      </c>
      <c r="B365" t="s">
        <v>8285</v>
      </c>
      <c r="C365" t="s">
        <v>8286</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8305</v>
      </c>
      <c r="AH365" s="1">
        <v>3300</v>
      </c>
      <c r="AI365" t="s">
        <v>1844</v>
      </c>
      <c r="AJ365">
        <v>0</v>
      </c>
      <c r="AK365" s="1" t="s">
        <v>8287</v>
      </c>
      <c r="AL365" s="1" t="s">
        <v>8288</v>
      </c>
      <c r="AM365" s="1">
        <v>0.08</v>
      </c>
      <c r="AN365" s="1">
        <v>0.5</v>
      </c>
      <c r="AO365" s="1">
        <v>0.3</v>
      </c>
      <c r="AP365" s="1">
        <v>0.3</v>
      </c>
      <c r="AQ365" s="1">
        <v>3</v>
      </c>
      <c r="AR365" t="s">
        <v>8289</v>
      </c>
      <c r="AS365">
        <v>0</v>
      </c>
      <c r="AT365" t="s">
        <v>8290</v>
      </c>
      <c r="AU365">
        <v>10</v>
      </c>
      <c r="AV365">
        <v>19066</v>
      </c>
      <c r="AX365">
        <v>0</v>
      </c>
    </row>
    <row r="366" spans="1:50" x14ac:dyDescent="0.25">
      <c r="A366">
        <v>367</v>
      </c>
      <c r="B366" t="s">
        <v>8324</v>
      </c>
      <c r="C366" t="s">
        <v>8325</v>
      </c>
      <c r="D366">
        <v>5</v>
      </c>
      <c r="E366">
        <v>3</v>
      </c>
      <c r="F366">
        <v>20</v>
      </c>
      <c r="G366" s="1" t="s">
        <v>329</v>
      </c>
      <c r="H366" s="1" t="s">
        <v>332</v>
      </c>
      <c r="I366" s="1" t="s">
        <v>8326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8327</v>
      </c>
      <c r="AL366" s="1" t="s">
        <v>8328</v>
      </c>
      <c r="AM366" s="1">
        <v>0.3</v>
      </c>
      <c r="AN366" s="1">
        <v>0.25</v>
      </c>
      <c r="AO366" s="1">
        <v>0.12</v>
      </c>
      <c r="AP366" s="1">
        <v>0.38</v>
      </c>
      <c r="AQ366" s="1">
        <v>3</v>
      </c>
      <c r="AR366" t="s">
        <v>8329</v>
      </c>
      <c r="AS366">
        <v>0</v>
      </c>
      <c r="AT366" t="s">
        <v>8330</v>
      </c>
      <c r="AU366">
        <v>10</v>
      </c>
      <c r="AV366">
        <v>20071</v>
      </c>
      <c r="AX366">
        <v>0</v>
      </c>
    </row>
    <row r="367" spans="1:50" x14ac:dyDescent="0.25">
      <c r="A367">
        <v>368</v>
      </c>
      <c r="B367" t="s">
        <v>8343</v>
      </c>
      <c r="C367" t="s">
        <v>8344</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8354</v>
      </c>
      <c r="AH367" s="1">
        <v>3600</v>
      </c>
      <c r="AI367" t="s">
        <v>1844</v>
      </c>
      <c r="AJ367">
        <v>0</v>
      </c>
      <c r="AK367" s="1" t="s">
        <v>8345</v>
      </c>
      <c r="AL367" s="1" t="s">
        <v>8346</v>
      </c>
      <c r="AM367" s="1">
        <v>0.15</v>
      </c>
      <c r="AN367" s="1">
        <v>0.6</v>
      </c>
      <c r="AO367" s="1">
        <v>0.38</v>
      </c>
      <c r="AP367" s="1">
        <v>0.23</v>
      </c>
      <c r="AQ367" s="1">
        <v>3</v>
      </c>
      <c r="AR367" t="s">
        <v>1530</v>
      </c>
      <c r="AS367">
        <v>0</v>
      </c>
      <c r="AT367" t="s">
        <v>8347</v>
      </c>
      <c r="AU367">
        <v>10</v>
      </c>
      <c r="AV367">
        <v>19067</v>
      </c>
      <c r="AX367">
        <v>0</v>
      </c>
    </row>
    <row r="368" spans="1:50" x14ac:dyDescent="0.25">
      <c r="A368">
        <v>369</v>
      </c>
      <c r="B368" t="s">
        <v>8348</v>
      </c>
      <c r="C368" t="s">
        <v>8349</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8353</v>
      </c>
      <c r="AH368" s="1">
        <v>3300</v>
      </c>
      <c r="AI368" t="s">
        <v>1844</v>
      </c>
      <c r="AJ368">
        <v>0</v>
      </c>
      <c r="AK368" s="1" t="s">
        <v>8350</v>
      </c>
      <c r="AL368" s="1" t="s">
        <v>8351</v>
      </c>
      <c r="AM368" s="1">
        <v>0.08</v>
      </c>
      <c r="AN368" s="1">
        <v>0.5</v>
      </c>
      <c r="AO368" s="1">
        <v>0.3</v>
      </c>
      <c r="AP368" s="1">
        <v>0.3</v>
      </c>
      <c r="AQ368" s="1">
        <v>3</v>
      </c>
      <c r="AR368" t="s">
        <v>6948</v>
      </c>
      <c r="AS368">
        <v>0</v>
      </c>
      <c r="AT368" t="s">
        <v>8352</v>
      </c>
      <c r="AU368">
        <v>10</v>
      </c>
      <c r="AV368">
        <v>19068</v>
      </c>
      <c r="AX368">
        <v>0</v>
      </c>
    </row>
    <row r="369" spans="1:50" x14ac:dyDescent="0.25">
      <c r="A369">
        <v>370</v>
      </c>
      <c r="B369" t="s">
        <v>8513</v>
      </c>
      <c r="C369" t="s">
        <v>8514</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8515</v>
      </c>
      <c r="AL369" s="1" t="s">
        <v>8516</v>
      </c>
      <c r="AM369" s="1">
        <v>0.15</v>
      </c>
      <c r="AN369" s="1">
        <v>0.6</v>
      </c>
      <c r="AO369" s="1">
        <v>0.38</v>
      </c>
      <c r="AP369" s="1">
        <v>0.23</v>
      </c>
      <c r="AQ369" s="1">
        <v>3</v>
      </c>
      <c r="AR369" t="s">
        <v>1474</v>
      </c>
      <c r="AS369">
        <v>0</v>
      </c>
      <c r="AT369" t="s">
        <v>8517</v>
      </c>
      <c r="AU369">
        <v>10</v>
      </c>
      <c r="AV369">
        <v>19069</v>
      </c>
      <c r="AX369">
        <v>0</v>
      </c>
    </row>
    <row r="370" spans="1:50" x14ac:dyDescent="0.25">
      <c r="A370">
        <v>371</v>
      </c>
      <c r="B370" t="s">
        <v>8518</v>
      </c>
      <c r="C370" t="s">
        <v>8519</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8529</v>
      </c>
      <c r="AH370" s="1">
        <v>3360</v>
      </c>
      <c r="AI370" t="s">
        <v>1844</v>
      </c>
      <c r="AJ370">
        <v>0</v>
      </c>
      <c r="AK370" s="1" t="s">
        <v>8520</v>
      </c>
      <c r="AL370" s="1" t="s">
        <v>8521</v>
      </c>
      <c r="AM370" s="1">
        <v>0.55000000000000004</v>
      </c>
      <c r="AN370" s="1">
        <v>0.16</v>
      </c>
      <c r="AO370" s="1">
        <v>0.6</v>
      </c>
      <c r="AP370" s="1">
        <v>0.16</v>
      </c>
      <c r="AQ370" s="1">
        <v>3</v>
      </c>
      <c r="AR370" t="s">
        <v>8522</v>
      </c>
      <c r="AS370">
        <v>0</v>
      </c>
      <c r="AT370" t="s">
        <v>8523</v>
      </c>
      <c r="AU370">
        <v>10</v>
      </c>
      <c r="AV370">
        <v>20072</v>
      </c>
      <c r="AX370">
        <v>0</v>
      </c>
    </row>
    <row r="371" spans="1:50" x14ac:dyDescent="0.25">
      <c r="A371">
        <v>372</v>
      </c>
      <c r="B371" t="s">
        <v>8524</v>
      </c>
      <c r="C371" t="s">
        <v>8525</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8530</v>
      </c>
      <c r="AH371" s="1">
        <v>3420</v>
      </c>
      <c r="AI371" t="s">
        <v>1844</v>
      </c>
      <c r="AJ371">
        <v>0</v>
      </c>
      <c r="AK371" s="1" t="s">
        <v>8526</v>
      </c>
      <c r="AL371" s="1" t="s">
        <v>8527</v>
      </c>
      <c r="AM371" s="1">
        <v>0.08</v>
      </c>
      <c r="AN371" s="1">
        <v>0.39</v>
      </c>
      <c r="AO371" s="1">
        <v>0.08</v>
      </c>
      <c r="AP371" s="1">
        <v>0.48</v>
      </c>
      <c r="AQ371" s="1">
        <v>3</v>
      </c>
      <c r="AR371" t="s">
        <v>1471</v>
      </c>
      <c r="AS371">
        <v>0</v>
      </c>
      <c r="AT371" t="s">
        <v>8528</v>
      </c>
      <c r="AU371">
        <v>10</v>
      </c>
      <c r="AV371">
        <v>19070</v>
      </c>
      <c r="AX371">
        <v>0</v>
      </c>
    </row>
    <row r="372" spans="1:50" x14ac:dyDescent="0.25">
      <c r="A372">
        <v>373</v>
      </c>
      <c r="B372" t="s">
        <v>8531</v>
      </c>
      <c r="C372" t="s">
        <v>8532</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8533</v>
      </c>
      <c r="AM372" s="1">
        <v>0.08</v>
      </c>
      <c r="AN372" s="1">
        <v>0.5</v>
      </c>
      <c r="AO372" s="1">
        <v>0.3</v>
      </c>
      <c r="AP372" s="1">
        <v>0.3</v>
      </c>
      <c r="AQ372" s="1">
        <v>3</v>
      </c>
      <c r="AR372" t="s">
        <v>1553</v>
      </c>
      <c r="AS372">
        <v>759303</v>
      </c>
      <c r="AT372" t="s">
        <v>8534</v>
      </c>
      <c r="AU372">
        <v>10</v>
      </c>
      <c r="AV372">
        <v>19071</v>
      </c>
      <c r="AX372">
        <v>0</v>
      </c>
    </row>
    <row r="373" spans="1:50" x14ac:dyDescent="0.25">
      <c r="A373">
        <v>374</v>
      </c>
      <c r="B373" t="s">
        <v>8535</v>
      </c>
      <c r="C373" t="s">
        <v>8536</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8545</v>
      </c>
      <c r="AH373" s="1">
        <v>3060</v>
      </c>
      <c r="AI373" t="s">
        <v>1844</v>
      </c>
      <c r="AJ373">
        <v>0</v>
      </c>
      <c r="AK373" s="1" t="s">
        <v>8537</v>
      </c>
      <c r="AL373" s="1" t="s">
        <v>8538</v>
      </c>
      <c r="AM373" s="1">
        <v>0.3</v>
      </c>
      <c r="AN373" s="1">
        <v>0.23</v>
      </c>
      <c r="AO373" s="1">
        <v>0.15</v>
      </c>
      <c r="AP373" s="1">
        <v>0.38</v>
      </c>
      <c r="AQ373" s="1">
        <v>3</v>
      </c>
      <c r="AR373" t="s">
        <v>7083</v>
      </c>
      <c r="AS373">
        <v>0</v>
      </c>
      <c r="AT373" t="s">
        <v>8539</v>
      </c>
      <c r="AU373">
        <v>10</v>
      </c>
      <c r="AV373">
        <v>20073</v>
      </c>
      <c r="AX373">
        <v>0</v>
      </c>
    </row>
    <row r="374" spans="1:50" x14ac:dyDescent="0.25">
      <c r="A374">
        <v>375</v>
      </c>
      <c r="B374" t="s">
        <v>8540</v>
      </c>
      <c r="C374" t="s">
        <v>8541</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8546</v>
      </c>
      <c r="AH374" s="1">
        <v>3540</v>
      </c>
      <c r="AI374" t="s">
        <v>1844</v>
      </c>
      <c r="AJ374">
        <v>0</v>
      </c>
      <c r="AK374" s="1" t="s">
        <v>8542</v>
      </c>
      <c r="AL374" s="1" t="s">
        <v>8543</v>
      </c>
      <c r="AM374" s="1">
        <v>0.45</v>
      </c>
      <c r="AN374" s="1">
        <v>0.15</v>
      </c>
      <c r="AO374" s="1">
        <v>0.3</v>
      </c>
      <c r="AP374" s="1">
        <v>0.15</v>
      </c>
      <c r="AQ374" s="1">
        <v>3</v>
      </c>
      <c r="AR374" t="s">
        <v>1578</v>
      </c>
      <c r="AS374">
        <v>0</v>
      </c>
      <c r="AT374" t="s">
        <v>8544</v>
      </c>
      <c r="AU374">
        <v>10</v>
      </c>
      <c r="AV374">
        <v>18116</v>
      </c>
      <c r="AX374">
        <v>0</v>
      </c>
    </row>
    <row r="375" spans="1:50" x14ac:dyDescent="0.25">
      <c r="A375">
        <v>376</v>
      </c>
      <c r="B375" t="s">
        <v>8561</v>
      </c>
      <c r="C375" t="s">
        <v>8562</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8563</v>
      </c>
      <c r="AL375" s="1" t="s">
        <v>8564</v>
      </c>
      <c r="AM375" s="1">
        <v>0.23</v>
      </c>
      <c r="AN375" s="1">
        <v>0.23</v>
      </c>
      <c r="AO375" s="1">
        <v>0.33</v>
      </c>
      <c r="AP375" s="1">
        <v>0.38</v>
      </c>
      <c r="AQ375" s="1">
        <v>3</v>
      </c>
      <c r="AR375" t="s">
        <v>1478</v>
      </c>
      <c r="AS375">
        <v>0</v>
      </c>
      <c r="AT375" t="s">
        <v>8565</v>
      </c>
      <c r="AU375">
        <v>10</v>
      </c>
      <c r="AV375">
        <v>20074</v>
      </c>
      <c r="AX375">
        <v>0</v>
      </c>
    </row>
    <row r="376" spans="1:50" x14ac:dyDescent="0.25">
      <c r="A376">
        <v>377</v>
      </c>
      <c r="B376" t="s">
        <v>8566</v>
      </c>
      <c r="C376" t="s">
        <v>8567</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8568</v>
      </c>
      <c r="AM376" s="1">
        <v>0.3</v>
      </c>
      <c r="AN376" s="1">
        <v>0.23</v>
      </c>
      <c r="AO376" s="1">
        <v>0.15</v>
      </c>
      <c r="AP376" s="1">
        <v>0.38</v>
      </c>
      <c r="AQ376" s="1">
        <v>3</v>
      </c>
      <c r="AR376" t="s">
        <v>1584</v>
      </c>
      <c r="AS376">
        <v>0</v>
      </c>
      <c r="AT376" t="s">
        <v>1807</v>
      </c>
      <c r="AU376">
        <v>10</v>
      </c>
      <c r="AV376">
        <v>20075</v>
      </c>
      <c r="AX376">
        <v>0</v>
      </c>
    </row>
    <row r="377" spans="1:50" x14ac:dyDescent="0.25">
      <c r="A377">
        <v>378</v>
      </c>
      <c r="B377" t="s">
        <v>8569</v>
      </c>
      <c r="C377" t="s">
        <v>8570</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8571</v>
      </c>
      <c r="AL377" s="1" t="s">
        <v>8572</v>
      </c>
      <c r="AM377" s="1">
        <v>0.48</v>
      </c>
      <c r="AN377" s="1">
        <v>0.48</v>
      </c>
      <c r="AO377" s="1">
        <v>0.08</v>
      </c>
      <c r="AP377" s="1">
        <v>0.25</v>
      </c>
      <c r="AQ377" s="1">
        <v>3</v>
      </c>
      <c r="AR377" t="s">
        <v>1474</v>
      </c>
      <c r="AS377">
        <v>0</v>
      </c>
      <c r="AT377" t="s">
        <v>1807</v>
      </c>
      <c r="AU377">
        <v>10</v>
      </c>
      <c r="AV377">
        <v>19072</v>
      </c>
      <c r="AX377">
        <v>0</v>
      </c>
    </row>
    <row r="378" spans="1:50" x14ac:dyDescent="0.25">
      <c r="A378">
        <v>379</v>
      </c>
      <c r="B378" t="s">
        <v>8573</v>
      </c>
      <c r="C378" t="s">
        <v>8574</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8575</v>
      </c>
      <c r="AL378" s="1" t="s">
        <v>8576</v>
      </c>
      <c r="AM378" s="1">
        <v>0.3</v>
      </c>
      <c r="AN378" s="1">
        <v>0.25</v>
      </c>
      <c r="AO378" s="1">
        <v>0.12</v>
      </c>
      <c r="AP378" s="1">
        <v>0.38</v>
      </c>
      <c r="AQ378" s="1">
        <v>3</v>
      </c>
      <c r="AR378" t="s">
        <v>1758</v>
      </c>
      <c r="AS378">
        <v>0</v>
      </c>
      <c r="AT378" t="s">
        <v>1807</v>
      </c>
      <c r="AU378">
        <v>10</v>
      </c>
      <c r="AV378">
        <v>20076</v>
      </c>
      <c r="AX378">
        <v>0</v>
      </c>
    </row>
    <row r="379" spans="1:50" x14ac:dyDescent="0.25">
      <c r="A379">
        <v>380</v>
      </c>
      <c r="B379" t="s">
        <v>8611</v>
      </c>
      <c r="C379" t="s">
        <v>8612</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8627</v>
      </c>
      <c r="AH379" s="1">
        <v>3120</v>
      </c>
      <c r="AI379" t="s">
        <v>1844</v>
      </c>
      <c r="AJ379">
        <v>0</v>
      </c>
      <c r="AK379" s="1" t="s">
        <v>8610</v>
      </c>
      <c r="AL379" s="1" t="s">
        <v>8613</v>
      </c>
      <c r="AM379" s="1">
        <v>0.3</v>
      </c>
      <c r="AN379" s="1">
        <v>0.25</v>
      </c>
      <c r="AO379" s="1">
        <v>0.12</v>
      </c>
      <c r="AP379" s="1">
        <v>0.38</v>
      </c>
      <c r="AQ379" s="1">
        <v>3</v>
      </c>
      <c r="AR379" t="s">
        <v>1476</v>
      </c>
      <c r="AS379">
        <v>0</v>
      </c>
      <c r="AT379" t="s">
        <v>1807</v>
      </c>
      <c r="AU379">
        <v>10</v>
      </c>
      <c r="AV379">
        <v>20062</v>
      </c>
      <c r="AX379">
        <v>0</v>
      </c>
    </row>
    <row r="380" spans="1:50" x14ac:dyDescent="0.25">
      <c r="A380">
        <v>381</v>
      </c>
      <c r="B380" t="s">
        <v>8614</v>
      </c>
      <c r="C380" t="s">
        <v>8615</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8628</v>
      </c>
      <c r="AH380" s="1">
        <v>3120</v>
      </c>
      <c r="AI380" t="s">
        <v>1844</v>
      </c>
      <c r="AJ380">
        <v>0</v>
      </c>
      <c r="AK380" s="1" t="s">
        <v>8609</v>
      </c>
      <c r="AL380" s="1" t="s">
        <v>8616</v>
      </c>
      <c r="AM380" s="1">
        <v>0.3</v>
      </c>
      <c r="AN380" s="1">
        <v>0.25</v>
      </c>
      <c r="AO380" s="1">
        <v>0.12</v>
      </c>
      <c r="AP380" s="1">
        <v>0.38</v>
      </c>
      <c r="AQ380" s="1">
        <v>3</v>
      </c>
      <c r="AR380" t="s">
        <v>1479</v>
      </c>
      <c r="AS380">
        <v>0</v>
      </c>
      <c r="AT380" t="s">
        <v>1807</v>
      </c>
      <c r="AU380">
        <v>10</v>
      </c>
      <c r="AV380">
        <v>20079</v>
      </c>
      <c r="AX380">
        <v>0</v>
      </c>
    </row>
    <row r="381" spans="1:50" x14ac:dyDescent="0.25">
      <c r="A381">
        <v>382</v>
      </c>
      <c r="B381" t="s">
        <v>8617</v>
      </c>
      <c r="C381" t="s">
        <v>8618</v>
      </c>
      <c r="D381">
        <v>5</v>
      </c>
      <c r="E381">
        <v>2</v>
      </c>
      <c r="F381">
        <v>19</v>
      </c>
      <c r="G381" s="1" t="s">
        <v>329</v>
      </c>
      <c r="H381" s="1" t="s">
        <v>329</v>
      </c>
      <c r="I381" s="1" t="s">
        <v>329</v>
      </c>
      <c r="J381" s="1" t="s">
        <v>329</v>
      </c>
      <c r="K381" s="1" t="s">
        <v>329</v>
      </c>
      <c r="L381" s="1" t="s">
        <v>339</v>
      </c>
      <c r="M381" s="1" t="s">
        <v>329</v>
      </c>
      <c r="N381" s="1" t="s">
        <v>8619</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8596</v>
      </c>
      <c r="AH381" s="1">
        <v>3300</v>
      </c>
      <c r="AI381" t="s">
        <v>1844</v>
      </c>
      <c r="AJ381">
        <v>0</v>
      </c>
      <c r="AK381" s="1" t="s">
        <v>8620</v>
      </c>
      <c r="AL381" s="1" t="s">
        <v>8621</v>
      </c>
      <c r="AM381" s="1">
        <v>0.08</v>
      </c>
      <c r="AN381" s="1">
        <v>0.5</v>
      </c>
      <c r="AO381" s="1">
        <v>0.3</v>
      </c>
      <c r="AP381" s="1">
        <v>0.3</v>
      </c>
      <c r="AQ381" s="1">
        <v>3</v>
      </c>
      <c r="AR381" t="s">
        <v>8289</v>
      </c>
      <c r="AS381">
        <v>0</v>
      </c>
      <c r="AT381" t="s">
        <v>1807</v>
      </c>
      <c r="AU381">
        <v>10</v>
      </c>
      <c r="AV381">
        <v>19073</v>
      </c>
      <c r="AX381">
        <v>0</v>
      </c>
    </row>
    <row r="382" spans="1:50" x14ac:dyDescent="0.25">
      <c r="A382">
        <v>383</v>
      </c>
      <c r="B382" t="s">
        <v>8622</v>
      </c>
      <c r="C382" t="s">
        <v>8623</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8602</v>
      </c>
      <c r="AH382" s="1">
        <v>3060</v>
      </c>
      <c r="AI382" t="s">
        <v>1844</v>
      </c>
      <c r="AJ382">
        <v>0</v>
      </c>
      <c r="AK382" s="1" t="s">
        <v>8624</v>
      </c>
      <c r="AL382" s="1" t="s">
        <v>8625</v>
      </c>
      <c r="AM382" s="1">
        <v>0.3</v>
      </c>
      <c r="AN382" s="1">
        <v>0.23</v>
      </c>
      <c r="AO382" s="1">
        <v>0.15</v>
      </c>
      <c r="AP382" s="1">
        <v>0.38</v>
      </c>
      <c r="AQ382" s="1">
        <v>3</v>
      </c>
      <c r="AR382" t="s">
        <v>8626</v>
      </c>
      <c r="AS382">
        <v>0</v>
      </c>
      <c r="AT382" t="s">
        <v>1807</v>
      </c>
      <c r="AU382">
        <v>10</v>
      </c>
      <c r="AV382">
        <v>20080</v>
      </c>
      <c r="AX382">
        <v>0</v>
      </c>
    </row>
    <row r="383" spans="1:50" x14ac:dyDescent="0.25">
      <c r="A383">
        <v>384</v>
      </c>
      <c r="B383" t="s">
        <v>8639</v>
      </c>
      <c r="C383" t="s">
        <v>8640</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8650</v>
      </c>
      <c r="AH383" s="1">
        <v>3120</v>
      </c>
      <c r="AI383" t="s">
        <v>1844</v>
      </c>
      <c r="AJ383">
        <v>0</v>
      </c>
      <c r="AK383" s="1" t="s">
        <v>8641</v>
      </c>
      <c r="AL383" s="1" t="s">
        <v>8642</v>
      </c>
      <c r="AM383" s="1">
        <v>0.3</v>
      </c>
      <c r="AN383" s="1">
        <v>0.25</v>
      </c>
      <c r="AO383" s="1">
        <v>0.12</v>
      </c>
      <c r="AP383" s="1">
        <v>0.38</v>
      </c>
      <c r="AQ383" s="1">
        <v>3</v>
      </c>
      <c r="AR383" t="s">
        <v>1479</v>
      </c>
      <c r="AS383">
        <v>0</v>
      </c>
      <c r="AT383" t="s">
        <v>8643</v>
      </c>
      <c r="AU383">
        <v>10</v>
      </c>
      <c r="AV383">
        <v>20081</v>
      </c>
      <c r="AX383">
        <v>0</v>
      </c>
    </row>
    <row r="384" spans="1:50" x14ac:dyDescent="0.25">
      <c r="A384">
        <v>385</v>
      </c>
      <c r="B384" t="s">
        <v>8644</v>
      </c>
      <c r="C384" t="s">
        <v>8645</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8651</v>
      </c>
      <c r="AH384" s="1">
        <v>3420</v>
      </c>
      <c r="AI384" t="s">
        <v>1844</v>
      </c>
      <c r="AJ384">
        <v>0</v>
      </c>
      <c r="AK384" s="1" t="s">
        <v>8646</v>
      </c>
      <c r="AL384" s="1" t="s">
        <v>8647</v>
      </c>
      <c r="AM384" s="1">
        <v>0.1</v>
      </c>
      <c r="AN384" s="1">
        <v>0.1</v>
      </c>
      <c r="AO384" s="1">
        <v>0.1</v>
      </c>
      <c r="AP384" s="1">
        <v>0.55000000000000004</v>
      </c>
      <c r="AQ384" s="1">
        <v>3</v>
      </c>
      <c r="AR384" t="s">
        <v>8648</v>
      </c>
      <c r="AS384">
        <v>0</v>
      </c>
      <c r="AT384" t="s">
        <v>8649</v>
      </c>
      <c r="AU384">
        <v>10</v>
      </c>
      <c r="AV384">
        <v>20082</v>
      </c>
      <c r="AX384">
        <v>0</v>
      </c>
    </row>
    <row r="385" spans="1:50" x14ac:dyDescent="0.25">
      <c r="A385">
        <v>386</v>
      </c>
      <c r="B385" t="s">
        <v>8675</v>
      </c>
      <c r="C385" t="s">
        <v>8676</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8677</v>
      </c>
      <c r="AL385" s="1" t="s">
        <v>8678</v>
      </c>
      <c r="AM385" s="1">
        <v>0.45</v>
      </c>
      <c r="AN385" s="1">
        <v>0.15</v>
      </c>
      <c r="AO385" s="1">
        <v>0.3</v>
      </c>
      <c r="AP385" s="1">
        <v>0.15</v>
      </c>
      <c r="AQ385" s="1">
        <v>3</v>
      </c>
      <c r="AR385" t="s">
        <v>1515</v>
      </c>
      <c r="AS385">
        <v>0</v>
      </c>
      <c r="AT385" t="s">
        <v>8679</v>
      </c>
      <c r="AU385">
        <v>10</v>
      </c>
      <c r="AV385">
        <v>18118</v>
      </c>
      <c r="AX385">
        <v>0</v>
      </c>
    </row>
    <row r="386" spans="1:50" x14ac:dyDescent="0.25">
      <c r="A386">
        <v>387</v>
      </c>
      <c r="B386" t="s">
        <v>8680</v>
      </c>
      <c r="C386" t="s">
        <v>8681</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8653</v>
      </c>
      <c r="AH386" s="1">
        <v>3600</v>
      </c>
      <c r="AI386" t="s">
        <v>1844</v>
      </c>
      <c r="AJ386">
        <v>0</v>
      </c>
      <c r="AK386" s="1" t="s">
        <v>8682</v>
      </c>
      <c r="AL386" s="1" t="s">
        <v>8683</v>
      </c>
      <c r="AM386" s="1">
        <v>0.3</v>
      </c>
      <c r="AN386" s="1">
        <v>0.23</v>
      </c>
      <c r="AO386" s="1">
        <v>0.15</v>
      </c>
      <c r="AP386" s="1">
        <v>0.38</v>
      </c>
      <c r="AQ386" s="1">
        <v>3</v>
      </c>
      <c r="AR386" t="s">
        <v>1758</v>
      </c>
      <c r="AS386">
        <v>0</v>
      </c>
      <c r="AT386" t="s">
        <v>1807</v>
      </c>
      <c r="AU386">
        <v>10</v>
      </c>
      <c r="AV386">
        <v>20077</v>
      </c>
      <c r="AX386">
        <v>0</v>
      </c>
    </row>
    <row r="387" spans="1:50" x14ac:dyDescent="0.25">
      <c r="A387">
        <v>388</v>
      </c>
      <c r="B387" t="s">
        <v>8684</v>
      </c>
      <c r="C387" t="s">
        <v>8685</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8661</v>
      </c>
      <c r="AH387" s="1">
        <v>3060</v>
      </c>
      <c r="AI387" t="s">
        <v>1844</v>
      </c>
      <c r="AJ387">
        <v>0</v>
      </c>
      <c r="AK387" s="1" t="s">
        <v>8686</v>
      </c>
      <c r="AL387" s="1" t="s">
        <v>8687</v>
      </c>
      <c r="AM387" s="1">
        <v>0.3</v>
      </c>
      <c r="AN387" s="1">
        <v>0.23</v>
      </c>
      <c r="AO387" s="1">
        <v>0.15</v>
      </c>
      <c r="AP387" s="1">
        <v>0.38</v>
      </c>
      <c r="AQ387" s="1">
        <v>3</v>
      </c>
      <c r="AR387" t="s">
        <v>7083</v>
      </c>
      <c r="AS387">
        <v>0</v>
      </c>
      <c r="AT387" t="s">
        <v>1807</v>
      </c>
      <c r="AU387">
        <v>10</v>
      </c>
      <c r="AV387">
        <v>20078</v>
      </c>
      <c r="AX387">
        <v>0</v>
      </c>
    </row>
    <row r="388" spans="1:50" x14ac:dyDescent="0.25">
      <c r="A388">
        <v>389</v>
      </c>
      <c r="B388" t="s">
        <v>8688</v>
      </c>
      <c r="C388" t="s">
        <v>8689</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8692</v>
      </c>
      <c r="AH388" s="1">
        <v>2700</v>
      </c>
      <c r="AI388" t="s">
        <v>1844</v>
      </c>
      <c r="AJ388">
        <v>0</v>
      </c>
      <c r="AK388" s="1" t="s">
        <v>8690</v>
      </c>
      <c r="AL388" s="1" t="s">
        <v>8691</v>
      </c>
      <c r="AM388" s="1">
        <v>0.45</v>
      </c>
      <c r="AN388" s="1">
        <v>0.15</v>
      </c>
      <c r="AO388" s="1">
        <v>0.3</v>
      </c>
      <c r="AP388" s="1">
        <v>0.15</v>
      </c>
      <c r="AQ388" s="1">
        <v>3</v>
      </c>
      <c r="AR388" t="s">
        <v>1562</v>
      </c>
      <c r="AS388">
        <v>0</v>
      </c>
      <c r="AT388" t="s">
        <v>1807</v>
      </c>
      <c r="AU388">
        <v>10</v>
      </c>
      <c r="AV388">
        <v>18117</v>
      </c>
      <c r="AX388">
        <v>0</v>
      </c>
    </row>
    <row r="389" spans="1:50" x14ac:dyDescent="0.25">
      <c r="A389">
        <v>390</v>
      </c>
      <c r="B389" t="s">
        <v>8693</v>
      </c>
      <c r="C389" t="s">
        <v>8694</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8704</v>
      </c>
      <c r="AH389" s="1">
        <v>3600</v>
      </c>
      <c r="AI389" t="s">
        <v>1844</v>
      </c>
      <c r="AJ389">
        <v>0</v>
      </c>
      <c r="AK389" s="1" t="s">
        <v>8695</v>
      </c>
      <c r="AL389" s="1" t="s">
        <v>8696</v>
      </c>
      <c r="AM389" s="1">
        <v>0.3</v>
      </c>
      <c r="AN389" s="1">
        <v>0.25</v>
      </c>
      <c r="AO389" s="1">
        <v>0.12</v>
      </c>
      <c r="AP389" s="1">
        <v>0.38</v>
      </c>
      <c r="AQ389" s="1">
        <v>3</v>
      </c>
      <c r="AR389" t="s">
        <v>8697</v>
      </c>
      <c r="AS389">
        <v>0</v>
      </c>
      <c r="AT389" t="s">
        <v>8698</v>
      </c>
      <c r="AU389">
        <v>10</v>
      </c>
      <c r="AV389">
        <v>20079</v>
      </c>
      <c r="AX389">
        <v>0</v>
      </c>
    </row>
    <row r="390" spans="1:50" x14ac:dyDescent="0.25">
      <c r="A390">
        <v>391</v>
      </c>
      <c r="B390" t="s">
        <v>8699</v>
      </c>
      <c r="C390" t="s">
        <v>8700</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8705</v>
      </c>
      <c r="AH390" s="1">
        <v>3600</v>
      </c>
      <c r="AI390" t="s">
        <v>1919</v>
      </c>
      <c r="AJ390">
        <v>0</v>
      </c>
      <c r="AK390" s="1" t="s">
        <v>8701</v>
      </c>
      <c r="AL390" s="1" t="s">
        <v>8702</v>
      </c>
      <c r="AM390" s="1">
        <v>0.48</v>
      </c>
      <c r="AN390" s="1">
        <v>0.48</v>
      </c>
      <c r="AO390" s="1">
        <v>0.08</v>
      </c>
      <c r="AP390" s="1">
        <v>0.25</v>
      </c>
      <c r="AQ390" s="1">
        <v>3</v>
      </c>
      <c r="AR390" t="s">
        <v>1494</v>
      </c>
      <c r="AS390">
        <v>0</v>
      </c>
      <c r="AT390" t="s">
        <v>8703</v>
      </c>
      <c r="AU390">
        <v>10</v>
      </c>
      <c r="AV390">
        <v>19074</v>
      </c>
      <c r="AX390">
        <v>0</v>
      </c>
    </row>
    <row r="391" spans="1:50" x14ac:dyDescent="0.25">
      <c r="A391">
        <v>392</v>
      </c>
      <c r="B391" t="s">
        <v>8706</v>
      </c>
      <c r="C391" t="s">
        <v>8707</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8708</v>
      </c>
      <c r="AL391" s="1" t="s">
        <v>8709</v>
      </c>
      <c r="AM391" s="1">
        <v>0.48</v>
      </c>
      <c r="AN391" s="1">
        <v>0.48</v>
      </c>
      <c r="AO391" s="1">
        <v>0.08</v>
      </c>
      <c r="AP391" s="1">
        <v>0.25</v>
      </c>
      <c r="AQ391" s="1">
        <v>3</v>
      </c>
      <c r="AR391" t="s">
        <v>1490</v>
      </c>
      <c r="AS391">
        <v>0</v>
      </c>
      <c r="AT391" t="s">
        <v>8710</v>
      </c>
      <c r="AU391">
        <v>10</v>
      </c>
      <c r="AV391">
        <v>19075</v>
      </c>
      <c r="AX391">
        <v>0</v>
      </c>
    </row>
    <row r="392" spans="1:50" x14ac:dyDescent="0.25">
      <c r="A392">
        <v>393</v>
      </c>
      <c r="B392" t="s">
        <v>8711</v>
      </c>
      <c r="C392" t="s">
        <v>8712</v>
      </c>
      <c r="D392">
        <v>5</v>
      </c>
      <c r="E392">
        <v>2</v>
      </c>
      <c r="F392">
        <v>19</v>
      </c>
      <c r="G392" s="1" t="s">
        <v>329</v>
      </c>
      <c r="H392" s="1" t="s">
        <v>329</v>
      </c>
      <c r="I392" s="1" t="s">
        <v>329</v>
      </c>
      <c r="J392" s="1" t="s">
        <v>329</v>
      </c>
      <c r="K392" s="1" t="s">
        <v>329</v>
      </c>
      <c r="L392" s="1" t="s">
        <v>336</v>
      </c>
      <c r="M392" s="1" t="s">
        <v>329</v>
      </c>
      <c r="N392" s="1" t="s">
        <v>7304</v>
      </c>
      <c r="O392" s="1" t="s">
        <v>329</v>
      </c>
      <c r="P392" s="1" t="s">
        <v>329</v>
      </c>
      <c r="Q392" s="1" t="s">
        <v>329</v>
      </c>
      <c r="R392" s="1" t="s">
        <v>329</v>
      </c>
      <c r="S392" s="1" t="s">
        <v>329</v>
      </c>
      <c r="T392" s="1" t="s">
        <v>329</v>
      </c>
      <c r="U392" s="1">
        <v>0</v>
      </c>
      <c r="V392" s="1">
        <v>0</v>
      </c>
      <c r="W392" s="1">
        <v>0</v>
      </c>
      <c r="X392" s="1">
        <v>0</v>
      </c>
      <c r="Y392" s="1">
        <v>0</v>
      </c>
      <c r="Z392" s="1">
        <v>0</v>
      </c>
      <c r="AA392" s="1">
        <v>0</v>
      </c>
      <c r="AB392" s="1">
        <v>0</v>
      </c>
      <c r="AC392" s="1">
        <v>0</v>
      </c>
      <c r="AD392" s="1">
        <v>4</v>
      </c>
      <c r="AE392" s="1">
        <v>2</v>
      </c>
      <c r="AF392" s="1">
        <v>3</v>
      </c>
      <c r="AG392" s="242" t="s">
        <v>8721</v>
      </c>
      <c r="AH392" s="1">
        <v>3300</v>
      </c>
      <c r="AI392" t="s">
        <v>1844</v>
      </c>
      <c r="AJ392">
        <v>0</v>
      </c>
      <c r="AK392" s="1" t="s">
        <v>8713</v>
      </c>
      <c r="AL392" s="1" t="s">
        <v>8714</v>
      </c>
      <c r="AM392" s="1">
        <v>0.08</v>
      </c>
      <c r="AN392" s="1">
        <v>0.5</v>
      </c>
      <c r="AO392" s="1">
        <v>0.3</v>
      </c>
      <c r="AP392" s="1">
        <v>0.3</v>
      </c>
      <c r="AQ392" s="1">
        <v>3</v>
      </c>
      <c r="AR392" t="s">
        <v>8289</v>
      </c>
      <c r="AS392">
        <v>0</v>
      </c>
      <c r="AT392" t="s">
        <v>8715</v>
      </c>
      <c r="AU392">
        <v>10</v>
      </c>
      <c r="AV392">
        <v>19076</v>
      </c>
      <c r="AX392">
        <v>0</v>
      </c>
    </row>
    <row r="393" spans="1:50" x14ac:dyDescent="0.25">
      <c r="A393">
        <v>394</v>
      </c>
      <c r="B393" t="s">
        <v>8716</v>
      </c>
      <c r="C393" t="s">
        <v>8717</v>
      </c>
      <c r="D393">
        <v>5</v>
      </c>
      <c r="E393">
        <v>3</v>
      </c>
      <c r="F393">
        <v>20</v>
      </c>
      <c r="G393" s="1" t="s">
        <v>329</v>
      </c>
      <c r="H393" s="1" t="s">
        <v>329</v>
      </c>
      <c r="I393" s="1" t="s">
        <v>329</v>
      </c>
      <c r="J393" s="1" t="s">
        <v>329</v>
      </c>
      <c r="K393" s="1" t="s">
        <v>329</v>
      </c>
      <c r="L393" s="1" t="s">
        <v>329</v>
      </c>
      <c r="M393" s="1" t="s">
        <v>403</v>
      </c>
      <c r="N393" s="1" t="s">
        <v>329</v>
      </c>
      <c r="O393" s="1" t="s">
        <v>325</v>
      </c>
      <c r="P393" s="1" t="s">
        <v>329</v>
      </c>
      <c r="Q393" s="1" t="s">
        <v>329</v>
      </c>
      <c r="R393" s="1" t="s">
        <v>329</v>
      </c>
      <c r="S393" s="1" t="s">
        <v>329</v>
      </c>
      <c r="T393" s="1" t="s">
        <v>329</v>
      </c>
      <c r="U393" s="1">
        <v>0</v>
      </c>
      <c r="V393" s="1">
        <v>0</v>
      </c>
      <c r="W393" s="1">
        <v>0</v>
      </c>
      <c r="X393" s="1">
        <v>0</v>
      </c>
      <c r="Y393" s="1">
        <v>0</v>
      </c>
      <c r="Z393" s="1">
        <v>0</v>
      </c>
      <c r="AA393" s="1">
        <v>0</v>
      </c>
      <c r="AB393" s="1">
        <v>0</v>
      </c>
      <c r="AC393" s="1">
        <v>2</v>
      </c>
      <c r="AD393" s="1">
        <v>2</v>
      </c>
      <c r="AE393" s="1">
        <v>3</v>
      </c>
      <c r="AF393" s="1">
        <v>3</v>
      </c>
      <c r="AG393" s="242" t="s">
        <v>8722</v>
      </c>
      <c r="AH393" s="1">
        <v>3060</v>
      </c>
      <c r="AI393" t="s">
        <v>1844</v>
      </c>
      <c r="AJ393">
        <v>0</v>
      </c>
      <c r="AK393" s="1" t="s">
        <v>487</v>
      </c>
      <c r="AL393" s="1" t="s">
        <v>8718</v>
      </c>
      <c r="AM393" s="1">
        <v>0.23</v>
      </c>
      <c r="AN393" s="1">
        <v>0.23</v>
      </c>
      <c r="AO393" s="1">
        <v>0.33</v>
      </c>
      <c r="AP393" s="1">
        <v>0.38</v>
      </c>
      <c r="AQ393" s="1">
        <v>3</v>
      </c>
      <c r="AR393" t="s">
        <v>8719</v>
      </c>
      <c r="AS393">
        <v>0</v>
      </c>
      <c r="AT393" t="s">
        <v>8720</v>
      </c>
      <c r="AU393">
        <v>10</v>
      </c>
      <c r="AV393">
        <v>20081</v>
      </c>
      <c r="AX393">
        <v>0</v>
      </c>
    </row>
    <row r="394" spans="1:50" x14ac:dyDescent="0.25">
      <c r="A394">
        <v>395</v>
      </c>
      <c r="B394" t="s">
        <v>8739</v>
      </c>
      <c r="C394" t="s">
        <v>8740</v>
      </c>
      <c r="D394">
        <v>5</v>
      </c>
      <c r="E394">
        <v>3</v>
      </c>
      <c r="F394">
        <v>20</v>
      </c>
      <c r="G394" s="1" t="s">
        <v>329</v>
      </c>
      <c r="H394" s="1" t="s">
        <v>332</v>
      </c>
      <c r="I394" s="1" t="s">
        <v>8326</v>
      </c>
      <c r="J394" s="1" t="s">
        <v>329</v>
      </c>
      <c r="K394" s="1" t="s">
        <v>329</v>
      </c>
      <c r="L394" s="1" t="s">
        <v>329</v>
      </c>
      <c r="M394" s="1" t="s">
        <v>329</v>
      </c>
      <c r="N394" s="1" t="s">
        <v>329</v>
      </c>
      <c r="O394" s="1" t="s">
        <v>329</v>
      </c>
      <c r="P394" s="1" t="s">
        <v>329</v>
      </c>
      <c r="Q394" s="1" t="s">
        <v>329</v>
      </c>
      <c r="R394" s="1" t="s">
        <v>329</v>
      </c>
      <c r="S394" s="1" t="s">
        <v>329</v>
      </c>
      <c r="T394" s="1" t="s">
        <v>329</v>
      </c>
      <c r="U394" s="1">
        <v>0</v>
      </c>
      <c r="V394" s="1">
        <v>0</v>
      </c>
      <c r="W394" s="1">
        <v>0</v>
      </c>
      <c r="X394" s="1">
        <v>0</v>
      </c>
      <c r="Y394" s="1">
        <v>0</v>
      </c>
      <c r="Z394" s="1">
        <v>0</v>
      </c>
      <c r="AA394" s="1">
        <v>0</v>
      </c>
      <c r="AB394" s="1">
        <v>0</v>
      </c>
      <c r="AC394" s="1">
        <v>4</v>
      </c>
      <c r="AD394" s="1">
        <v>2</v>
      </c>
      <c r="AE394" s="1">
        <v>0</v>
      </c>
      <c r="AF394" s="1">
        <v>4</v>
      </c>
      <c r="AG394" s="242" t="s">
        <v>1612</v>
      </c>
      <c r="AH394" s="1">
        <v>3120</v>
      </c>
      <c r="AI394" t="s">
        <v>1844</v>
      </c>
      <c r="AJ394">
        <v>0</v>
      </c>
      <c r="AK394" s="1" t="s">
        <v>4910</v>
      </c>
      <c r="AL394" s="1" t="s">
        <v>8741</v>
      </c>
      <c r="AM394" s="1">
        <v>0.3</v>
      </c>
      <c r="AN394" s="1">
        <v>0.25</v>
      </c>
      <c r="AO394" s="1">
        <v>0.12</v>
      </c>
      <c r="AP394" s="1">
        <v>0.38</v>
      </c>
      <c r="AQ394" s="1">
        <v>3</v>
      </c>
      <c r="AR394" t="s">
        <v>8329</v>
      </c>
      <c r="AS394">
        <v>0</v>
      </c>
      <c r="AT394" t="s">
        <v>1807</v>
      </c>
      <c r="AU394">
        <v>10</v>
      </c>
      <c r="AV394">
        <v>20082</v>
      </c>
      <c r="AX394">
        <v>0</v>
      </c>
    </row>
    <row r="395" spans="1:50" x14ac:dyDescent="0.25">
      <c r="A395">
        <v>396</v>
      </c>
      <c r="B395" t="s">
        <v>8742</v>
      </c>
      <c r="C395" t="s">
        <v>8743</v>
      </c>
      <c r="D395">
        <v>5</v>
      </c>
      <c r="E395">
        <v>3</v>
      </c>
      <c r="F395">
        <v>20</v>
      </c>
      <c r="G395" s="1" t="s">
        <v>329</v>
      </c>
      <c r="H395" s="1" t="s">
        <v>329</v>
      </c>
      <c r="I395" s="1" t="s">
        <v>8046</v>
      </c>
      <c r="J395" s="1" t="s">
        <v>329</v>
      </c>
      <c r="K395" s="1" t="s">
        <v>329</v>
      </c>
      <c r="L395" s="1" t="s">
        <v>8152</v>
      </c>
      <c r="M395" s="1" t="s">
        <v>329</v>
      </c>
      <c r="N395" s="1" t="s">
        <v>329</v>
      </c>
      <c r="O395" s="1" t="s">
        <v>329</v>
      </c>
      <c r="P395" s="1" t="s">
        <v>329</v>
      </c>
      <c r="Q395" s="1" t="s">
        <v>329</v>
      </c>
      <c r="R395" s="1" t="s">
        <v>329</v>
      </c>
      <c r="S395" s="1" t="s">
        <v>329</v>
      </c>
      <c r="T395" s="1" t="s">
        <v>329</v>
      </c>
      <c r="U395" s="1">
        <v>0</v>
      </c>
      <c r="V395" s="1">
        <v>0</v>
      </c>
      <c r="W395" s="1">
        <v>0</v>
      </c>
      <c r="X395" s="1">
        <v>0</v>
      </c>
      <c r="Y395" s="1">
        <v>0</v>
      </c>
      <c r="Z395" s="1">
        <v>0</v>
      </c>
      <c r="AA395" s="1">
        <v>0</v>
      </c>
      <c r="AB395" s="1">
        <v>0</v>
      </c>
      <c r="AC395" s="1">
        <v>4</v>
      </c>
      <c r="AD395" s="1">
        <v>2</v>
      </c>
      <c r="AE395" s="1">
        <v>0</v>
      </c>
      <c r="AF395" s="1">
        <v>4</v>
      </c>
      <c r="AG395" s="242" t="s">
        <v>8747</v>
      </c>
      <c r="AH395" s="1">
        <v>3120</v>
      </c>
      <c r="AI395" t="s">
        <v>1844</v>
      </c>
      <c r="AJ395">
        <v>0</v>
      </c>
      <c r="AK395" s="1" t="s">
        <v>8738</v>
      </c>
      <c r="AL395" s="1" t="s">
        <v>8744</v>
      </c>
      <c r="AM395" s="1">
        <v>0.3</v>
      </c>
      <c r="AN395" s="1">
        <v>0.25</v>
      </c>
      <c r="AO395" s="1">
        <v>0.12</v>
      </c>
      <c r="AP395" s="1">
        <v>0.38</v>
      </c>
      <c r="AQ395" s="1">
        <v>3</v>
      </c>
      <c r="AR395" t="s">
        <v>8745</v>
      </c>
      <c r="AS395">
        <v>0</v>
      </c>
      <c r="AT395" t="s">
        <v>8746</v>
      </c>
      <c r="AU395">
        <v>10</v>
      </c>
      <c r="AV395">
        <v>20080</v>
      </c>
      <c r="AX395">
        <v>0</v>
      </c>
    </row>
    <row r="396" spans="1:50" x14ac:dyDescent="0.25">
      <c r="A396">
        <v>397</v>
      </c>
      <c r="B396" t="s">
        <v>8867</v>
      </c>
      <c r="C396" t="s">
        <v>8868</v>
      </c>
      <c r="D396">
        <v>5</v>
      </c>
      <c r="E396">
        <v>1</v>
      </c>
      <c r="F396">
        <v>18</v>
      </c>
      <c r="G396" s="1" t="s">
        <v>329</v>
      </c>
      <c r="H396" s="1" t="s">
        <v>339</v>
      </c>
      <c r="I396" s="1" t="s">
        <v>329</v>
      </c>
      <c r="J396" s="1" t="s">
        <v>329</v>
      </c>
      <c r="K396" s="1" t="s">
        <v>329</v>
      </c>
      <c r="L396" s="1" t="s">
        <v>329</v>
      </c>
      <c r="M396" s="1" t="s">
        <v>329</v>
      </c>
      <c r="N396" s="1" t="s">
        <v>329</v>
      </c>
      <c r="O396" s="1" t="s">
        <v>329</v>
      </c>
      <c r="P396" s="1" t="s">
        <v>329</v>
      </c>
      <c r="Q396" s="1" t="s">
        <v>329</v>
      </c>
      <c r="R396" s="1" t="s">
        <v>329</v>
      </c>
      <c r="S396" s="1" t="s">
        <v>329</v>
      </c>
      <c r="T396" s="1" t="s">
        <v>335</v>
      </c>
      <c r="U396" s="1">
        <v>0</v>
      </c>
      <c r="V396" s="1">
        <v>0</v>
      </c>
      <c r="W396" s="1">
        <v>0</v>
      </c>
      <c r="X396" s="1">
        <v>0</v>
      </c>
      <c r="Y396" s="1">
        <v>0</v>
      </c>
      <c r="Z396" s="1">
        <v>0</v>
      </c>
      <c r="AA396" s="1">
        <v>0</v>
      </c>
      <c r="AB396" s="1">
        <v>0</v>
      </c>
      <c r="AC396" s="1">
        <v>1</v>
      </c>
      <c r="AD396" s="1">
        <v>4</v>
      </c>
      <c r="AE396" s="1">
        <v>1</v>
      </c>
      <c r="AF396" s="1">
        <v>1</v>
      </c>
      <c r="AG396" s="242" t="s">
        <v>1640</v>
      </c>
      <c r="AH396" s="1">
        <v>3360</v>
      </c>
      <c r="AI396" t="s">
        <v>1844</v>
      </c>
      <c r="AJ396">
        <v>0</v>
      </c>
      <c r="AK396" s="1" t="s">
        <v>8869</v>
      </c>
      <c r="AL396" s="1" t="s">
        <v>8870</v>
      </c>
      <c r="AM396" s="1">
        <v>0.55000000000000004</v>
      </c>
      <c r="AN396" s="1">
        <v>0.23</v>
      </c>
      <c r="AO396" s="1">
        <v>0.23</v>
      </c>
      <c r="AP396" s="1">
        <v>0.23</v>
      </c>
      <c r="AQ396" s="1">
        <v>3</v>
      </c>
      <c r="AR396" t="s">
        <v>8871</v>
      </c>
      <c r="AS396">
        <v>0</v>
      </c>
      <c r="AT396" t="s">
        <v>8872</v>
      </c>
      <c r="AU396">
        <v>10</v>
      </c>
      <c r="AV396">
        <v>18118</v>
      </c>
      <c r="AX396">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6"/>
  <sheetViews>
    <sheetView workbookViewId="0">
      <pane ySplit="1" topLeftCell="A605" activePane="bottomLeft" state="frozen"/>
      <selection activeCell="L2" sqref="L2"/>
      <selection pane="bottomLeft" activeCell="C626" sqref="C626"/>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8747</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8484</v>
      </c>
      <c r="C614" s="242" t="s">
        <v>8485</v>
      </c>
      <c r="D614" t="s">
        <v>8485</v>
      </c>
      <c r="E614" t="s">
        <v>329</v>
      </c>
      <c r="F614" t="s">
        <v>329</v>
      </c>
      <c r="G614" t="s">
        <v>8486</v>
      </c>
      <c r="H614" t="s">
        <v>8487</v>
      </c>
      <c r="I614" t="s">
        <v>8488</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8489</v>
      </c>
      <c r="AK614" t="s">
        <v>329</v>
      </c>
      <c r="AL614">
        <v>18</v>
      </c>
      <c r="AM614" t="s">
        <v>4859</v>
      </c>
      <c r="AN614" t="s">
        <v>4985</v>
      </c>
      <c r="AO614" t="s">
        <v>5206</v>
      </c>
      <c r="AP614">
        <v>0</v>
      </c>
      <c r="AQ614" t="s">
        <v>1168</v>
      </c>
      <c r="AR614" t="s">
        <v>1169</v>
      </c>
      <c r="AS614" t="s">
        <v>6972</v>
      </c>
      <c r="AT614" t="s">
        <v>329</v>
      </c>
      <c r="AU614">
        <v>238</v>
      </c>
      <c r="AV614">
        <v>0</v>
      </c>
      <c r="AW614" t="s">
        <v>8490</v>
      </c>
      <c r="AX614" t="s">
        <v>332</v>
      </c>
      <c r="AY614">
        <v>5</v>
      </c>
      <c r="AZ614">
        <v>0</v>
      </c>
      <c r="BA614" t="s">
        <v>329</v>
      </c>
      <c r="BB614" t="s">
        <v>329</v>
      </c>
      <c r="BC614" t="s">
        <v>329</v>
      </c>
      <c r="BD614">
        <v>10403</v>
      </c>
      <c r="BE614">
        <v>0</v>
      </c>
    </row>
    <row r="615" spans="1:57" x14ac:dyDescent="0.25">
      <c r="A615">
        <v>396</v>
      </c>
      <c r="B615" t="s">
        <v>8491</v>
      </c>
      <c r="C615" s="242" t="s">
        <v>8492</v>
      </c>
      <c r="D615" t="s">
        <v>8492</v>
      </c>
      <c r="E615" t="s">
        <v>329</v>
      </c>
      <c r="F615" t="s">
        <v>329</v>
      </c>
      <c r="G615" t="s">
        <v>8493</v>
      </c>
      <c r="H615" t="s">
        <v>8494</v>
      </c>
      <c r="I615" t="s">
        <v>8495</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8496</v>
      </c>
      <c r="AK615" t="s">
        <v>8497</v>
      </c>
      <c r="AL615">
        <v>18</v>
      </c>
      <c r="AM615" t="s">
        <v>4859</v>
      </c>
      <c r="AN615" t="s">
        <v>8498</v>
      </c>
      <c r="AO615" t="s">
        <v>5115</v>
      </c>
      <c r="AP615">
        <v>0</v>
      </c>
      <c r="AQ615" t="s">
        <v>1168</v>
      </c>
      <c r="AR615" t="s">
        <v>1169</v>
      </c>
      <c r="AS615" t="s">
        <v>6972</v>
      </c>
      <c r="AT615" t="s">
        <v>329</v>
      </c>
      <c r="AU615">
        <v>238</v>
      </c>
      <c r="AV615">
        <v>0</v>
      </c>
      <c r="AW615" t="s">
        <v>8490</v>
      </c>
      <c r="AX615" t="s">
        <v>332</v>
      </c>
      <c r="AY615">
        <v>4</v>
      </c>
      <c r="AZ615">
        <v>0</v>
      </c>
      <c r="BA615" t="s">
        <v>329</v>
      </c>
      <c r="BB615" t="s">
        <v>329</v>
      </c>
      <c r="BC615" t="s">
        <v>4770</v>
      </c>
      <c r="BD615">
        <v>10402</v>
      </c>
      <c r="BE615">
        <v>0</v>
      </c>
    </row>
    <row r="616" spans="1:57" x14ac:dyDescent="0.25">
      <c r="A616">
        <v>397</v>
      </c>
      <c r="B616" t="s">
        <v>8499</v>
      </c>
      <c r="C616" s="242" t="s">
        <v>8500</v>
      </c>
      <c r="D616" t="s">
        <v>8500</v>
      </c>
      <c r="E616" t="s">
        <v>329</v>
      </c>
      <c r="F616" t="s">
        <v>329</v>
      </c>
      <c r="G616" t="s">
        <v>8501</v>
      </c>
      <c r="H616" t="s">
        <v>8502</v>
      </c>
      <c r="I616" t="s">
        <v>8503</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8504</v>
      </c>
      <c r="AK616" t="s">
        <v>329</v>
      </c>
      <c r="AL616">
        <v>8</v>
      </c>
      <c r="AM616" t="s">
        <v>4717</v>
      </c>
      <c r="AN616" t="s">
        <v>4729</v>
      </c>
      <c r="AO616" t="s">
        <v>4943</v>
      </c>
      <c r="AP616">
        <v>0</v>
      </c>
      <c r="AQ616" t="s">
        <v>1201</v>
      </c>
      <c r="AR616" t="s">
        <v>1202</v>
      </c>
      <c r="AS616" t="s">
        <v>6973</v>
      </c>
      <c r="AT616" t="s">
        <v>329</v>
      </c>
      <c r="AU616">
        <v>164</v>
      </c>
      <c r="AV616">
        <v>0</v>
      </c>
      <c r="AW616" t="s">
        <v>8490</v>
      </c>
      <c r="AX616" t="s">
        <v>4720</v>
      </c>
      <c r="AY616">
        <v>5</v>
      </c>
      <c r="AZ616">
        <v>0</v>
      </c>
      <c r="BA616" t="s">
        <v>329</v>
      </c>
      <c r="BB616" t="s">
        <v>329</v>
      </c>
      <c r="BC616" t="s">
        <v>4721</v>
      </c>
      <c r="BD616">
        <v>10202</v>
      </c>
      <c r="BE616">
        <v>0</v>
      </c>
    </row>
    <row r="617" spans="1:57" x14ac:dyDescent="0.25">
      <c r="A617">
        <v>398</v>
      </c>
      <c r="B617" t="s">
        <v>8505</v>
      </c>
      <c r="C617" s="242" t="s">
        <v>8506</v>
      </c>
      <c r="D617" t="s">
        <v>8506</v>
      </c>
      <c r="E617" t="s">
        <v>329</v>
      </c>
      <c r="F617" t="s">
        <v>329</v>
      </c>
      <c r="G617" t="s">
        <v>8507</v>
      </c>
      <c r="H617" t="s">
        <v>8508</v>
      </c>
      <c r="I617" t="s">
        <v>8509</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8510</v>
      </c>
      <c r="AK617" t="s">
        <v>8511</v>
      </c>
      <c r="AL617">
        <v>8</v>
      </c>
      <c r="AM617" t="s">
        <v>4717</v>
      </c>
      <c r="AN617" t="s">
        <v>8512</v>
      </c>
      <c r="AO617" t="s">
        <v>5191</v>
      </c>
      <c r="AP617">
        <v>0</v>
      </c>
      <c r="AQ617" t="s">
        <v>1201</v>
      </c>
      <c r="AR617" t="s">
        <v>1202</v>
      </c>
      <c r="AS617" t="s">
        <v>6973</v>
      </c>
      <c r="AT617" t="s">
        <v>329</v>
      </c>
      <c r="AU617">
        <v>164</v>
      </c>
      <c r="AV617">
        <v>0</v>
      </c>
      <c r="AW617" t="s">
        <v>8490</v>
      </c>
      <c r="AX617" t="s">
        <v>4720</v>
      </c>
      <c r="AY617">
        <v>5</v>
      </c>
      <c r="AZ617">
        <v>0</v>
      </c>
      <c r="BA617" t="s">
        <v>329</v>
      </c>
      <c r="BB617" t="s">
        <v>329</v>
      </c>
      <c r="BC617" t="s">
        <v>4721</v>
      </c>
      <c r="BD617">
        <v>10202</v>
      </c>
      <c r="BE617">
        <v>0</v>
      </c>
    </row>
    <row r="618" spans="1:57" x14ac:dyDescent="0.25">
      <c r="A618">
        <v>20131</v>
      </c>
      <c r="B618" t="s">
        <v>8582</v>
      </c>
      <c r="C618" s="242" t="s">
        <v>8627</v>
      </c>
      <c r="D618" t="s">
        <v>8583</v>
      </c>
      <c r="E618" t="s">
        <v>8578</v>
      </c>
      <c r="F618" t="s">
        <v>8579</v>
      </c>
      <c r="G618" t="s">
        <v>8584</v>
      </c>
      <c r="H618" t="s">
        <v>8585</v>
      </c>
      <c r="I618" t="s">
        <v>8586</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8587</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8588</v>
      </c>
      <c r="C619" s="242" t="s">
        <v>8628</v>
      </c>
      <c r="D619" t="s">
        <v>8589</v>
      </c>
      <c r="E619" t="s">
        <v>329</v>
      </c>
      <c r="F619" t="s">
        <v>329</v>
      </c>
      <c r="G619" t="s">
        <v>8590</v>
      </c>
      <c r="H619" t="s">
        <v>8591</v>
      </c>
      <c r="I619" t="s">
        <v>8592</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8593</v>
      </c>
      <c r="AK619" t="s">
        <v>8594</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8595</v>
      </c>
      <c r="C620" s="242" t="s">
        <v>8596</v>
      </c>
      <c r="D620" t="s">
        <v>8596</v>
      </c>
      <c r="E620" t="s">
        <v>8580</v>
      </c>
      <c r="F620" t="s">
        <v>329</v>
      </c>
      <c r="G620" t="s">
        <v>8597</v>
      </c>
      <c r="H620" t="s">
        <v>8598</v>
      </c>
      <c r="I620" t="s">
        <v>8599</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8600</v>
      </c>
      <c r="AK620" t="s">
        <v>1268</v>
      </c>
      <c r="AL620">
        <v>13</v>
      </c>
      <c r="AM620" t="s">
        <v>4763</v>
      </c>
      <c r="AN620" t="s">
        <v>4885</v>
      </c>
      <c r="AO620" t="s">
        <v>4833</v>
      </c>
      <c r="AP620">
        <v>0</v>
      </c>
      <c r="AQ620" t="s">
        <v>1747</v>
      </c>
      <c r="AR620" t="s">
        <v>1142</v>
      </c>
      <c r="AS620" t="s">
        <v>8577</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8601</v>
      </c>
      <c r="C621" s="242" t="s">
        <v>8602</v>
      </c>
      <c r="D621" t="s">
        <v>8602</v>
      </c>
      <c r="E621" t="s">
        <v>8581</v>
      </c>
      <c r="F621" t="s">
        <v>329</v>
      </c>
      <c r="G621" t="s">
        <v>8603</v>
      </c>
      <c r="H621" t="s">
        <v>8604</v>
      </c>
      <c r="I621" t="s">
        <v>8605</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8606</v>
      </c>
      <c r="AK621" t="s">
        <v>8607</v>
      </c>
      <c r="AL621">
        <v>13</v>
      </c>
      <c r="AM621" t="s">
        <v>4720</v>
      </c>
      <c r="AN621" t="s">
        <v>4835</v>
      </c>
      <c r="AO621" t="s">
        <v>8608</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8629</v>
      </c>
      <c r="C622" s="242" t="s">
        <v>8630</v>
      </c>
      <c r="D622" t="s">
        <v>8630</v>
      </c>
      <c r="E622" t="s">
        <v>329</v>
      </c>
      <c r="F622" t="s">
        <v>329</v>
      </c>
      <c r="G622" t="s">
        <v>8631</v>
      </c>
      <c r="H622" t="s">
        <v>8632</v>
      </c>
      <c r="I622" t="s">
        <v>8633</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8634</v>
      </c>
      <c r="AK622" t="s">
        <v>8635</v>
      </c>
      <c r="AL622">
        <v>17</v>
      </c>
      <c r="AM622" t="s">
        <v>1807</v>
      </c>
      <c r="AN622" t="s">
        <v>8636</v>
      </c>
      <c r="AO622" t="s">
        <v>4876</v>
      </c>
      <c r="AP622">
        <v>0</v>
      </c>
      <c r="AQ622" t="s">
        <v>4743</v>
      </c>
      <c r="AR622" t="s">
        <v>1120</v>
      </c>
      <c r="AS622" t="s">
        <v>1121</v>
      </c>
      <c r="AT622" t="s">
        <v>329</v>
      </c>
      <c r="AU622">
        <v>96</v>
      </c>
      <c r="AV622">
        <v>0</v>
      </c>
      <c r="AW622" t="s">
        <v>8637</v>
      </c>
      <c r="AX622" t="s">
        <v>8638</v>
      </c>
      <c r="AY622">
        <v>5</v>
      </c>
      <c r="AZ622">
        <v>0</v>
      </c>
      <c r="BA622" t="s">
        <v>329</v>
      </c>
      <c r="BB622" t="s">
        <v>329</v>
      </c>
      <c r="BC622" t="s">
        <v>4770</v>
      </c>
      <c r="BD622">
        <v>10402</v>
      </c>
      <c r="BE622">
        <v>0</v>
      </c>
    </row>
    <row r="623" spans="1:57" x14ac:dyDescent="0.25">
      <c r="A623">
        <v>1042</v>
      </c>
      <c r="B623" t="s">
        <v>8652</v>
      </c>
      <c r="C623" s="242" t="s">
        <v>8653</v>
      </c>
      <c r="D623" t="s">
        <v>8653</v>
      </c>
      <c r="E623" t="s">
        <v>329</v>
      </c>
      <c r="F623" t="s">
        <v>329</v>
      </c>
      <c r="G623" t="s">
        <v>8654</v>
      </c>
      <c r="H623" t="s">
        <v>8655</v>
      </c>
      <c r="I623" t="s">
        <v>8656</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8657</v>
      </c>
      <c r="AK623" t="s">
        <v>8658</v>
      </c>
      <c r="AL623">
        <v>13</v>
      </c>
      <c r="AM623" t="s">
        <v>1807</v>
      </c>
      <c r="AN623" t="s">
        <v>6981</v>
      </c>
      <c r="AO623" t="s">
        <v>4752</v>
      </c>
      <c r="AP623">
        <v>0</v>
      </c>
      <c r="AQ623" t="s">
        <v>1119</v>
      </c>
      <c r="AR623" t="s">
        <v>1120</v>
      </c>
      <c r="AS623" t="s">
        <v>4762</v>
      </c>
      <c r="AT623" t="s">
        <v>329</v>
      </c>
      <c r="AU623">
        <v>1035</v>
      </c>
      <c r="AV623">
        <v>1</v>
      </c>
      <c r="AW623" t="s">
        <v>8659</v>
      </c>
      <c r="AX623" t="s">
        <v>6941</v>
      </c>
      <c r="AY623">
        <v>7</v>
      </c>
      <c r="AZ623">
        <v>0</v>
      </c>
      <c r="BA623" t="s">
        <v>329</v>
      </c>
      <c r="BB623" t="s">
        <v>329</v>
      </c>
      <c r="BC623" t="s">
        <v>5387</v>
      </c>
      <c r="BD623">
        <v>0</v>
      </c>
      <c r="BE623">
        <v>0</v>
      </c>
    </row>
    <row r="624" spans="1:57" x14ac:dyDescent="0.25">
      <c r="A624">
        <v>1043</v>
      </c>
      <c r="B624" t="s">
        <v>8660</v>
      </c>
      <c r="C624" s="242" t="s">
        <v>8661</v>
      </c>
      <c r="D624" t="s">
        <v>8661</v>
      </c>
      <c r="E624" t="s">
        <v>329</v>
      </c>
      <c r="F624" t="s">
        <v>329</v>
      </c>
      <c r="G624" t="s">
        <v>8662</v>
      </c>
      <c r="H624" t="s">
        <v>8663</v>
      </c>
      <c r="I624" t="s">
        <v>8664</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8665</v>
      </c>
      <c r="AK624" t="s">
        <v>8666</v>
      </c>
      <c r="AL624">
        <v>13</v>
      </c>
      <c r="AM624" t="s">
        <v>399</v>
      </c>
      <c r="AN624" t="s">
        <v>5385</v>
      </c>
      <c r="AO624" t="s">
        <v>5259</v>
      </c>
      <c r="AP624">
        <v>0</v>
      </c>
      <c r="AQ624" t="s">
        <v>1131</v>
      </c>
      <c r="AR624" t="s">
        <v>1155</v>
      </c>
      <c r="AS624" t="s">
        <v>1745</v>
      </c>
      <c r="AT624" t="s">
        <v>329</v>
      </c>
      <c r="AU624">
        <v>1007</v>
      </c>
      <c r="AV624">
        <v>1</v>
      </c>
      <c r="AW624" t="s">
        <v>8659</v>
      </c>
      <c r="AX624" t="s">
        <v>8667</v>
      </c>
      <c r="AY624">
        <v>7</v>
      </c>
      <c r="AZ624">
        <v>0</v>
      </c>
      <c r="BA624" t="s">
        <v>329</v>
      </c>
      <c r="BB624" t="s">
        <v>329</v>
      </c>
      <c r="BC624" t="s">
        <v>5387</v>
      </c>
      <c r="BD624">
        <v>0</v>
      </c>
      <c r="BE624">
        <v>0</v>
      </c>
    </row>
    <row r="625" spans="1:57" x14ac:dyDescent="0.25">
      <c r="A625">
        <v>1044</v>
      </c>
      <c r="B625" t="s">
        <v>8668</v>
      </c>
      <c r="C625" s="242" t="s">
        <v>8692</v>
      </c>
      <c r="D625" t="s">
        <v>8669</v>
      </c>
      <c r="E625" t="s">
        <v>329</v>
      </c>
      <c r="F625" t="s">
        <v>329</v>
      </c>
      <c r="G625" t="s">
        <v>8670</v>
      </c>
      <c r="H625" t="s">
        <v>8671</v>
      </c>
      <c r="I625" t="s">
        <v>8672</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8673</v>
      </c>
      <c r="AK625" t="s">
        <v>8674</v>
      </c>
      <c r="AL625">
        <v>18</v>
      </c>
      <c r="AM625" t="s">
        <v>4859</v>
      </c>
      <c r="AN625" t="s">
        <v>4938</v>
      </c>
      <c r="AO625" t="s">
        <v>5156</v>
      </c>
      <c r="AP625">
        <v>0</v>
      </c>
      <c r="AQ625" t="s">
        <v>1168</v>
      </c>
      <c r="AR625" t="s">
        <v>4912</v>
      </c>
      <c r="AS625" t="s">
        <v>6972</v>
      </c>
      <c r="AT625" t="s">
        <v>329</v>
      </c>
      <c r="AU625">
        <v>1026</v>
      </c>
      <c r="AV625">
        <v>1</v>
      </c>
      <c r="AW625" t="s">
        <v>8659</v>
      </c>
      <c r="AX625" t="s">
        <v>6757</v>
      </c>
      <c r="AY625">
        <v>7</v>
      </c>
      <c r="AZ625">
        <v>0</v>
      </c>
      <c r="BA625" t="s">
        <v>329</v>
      </c>
      <c r="BB625" t="s">
        <v>329</v>
      </c>
      <c r="BC625" t="s">
        <v>5387</v>
      </c>
      <c r="BD625">
        <v>0</v>
      </c>
      <c r="BE625">
        <v>0</v>
      </c>
    </row>
    <row r="626" spans="1:57" x14ac:dyDescent="0.25">
      <c r="A626">
        <v>20127</v>
      </c>
      <c r="B626" t="s">
        <v>8730</v>
      </c>
      <c r="C626" s="242" t="s">
        <v>8748</v>
      </c>
      <c r="D626" t="s">
        <v>8731</v>
      </c>
      <c r="E626" t="s">
        <v>8728</v>
      </c>
      <c r="F626" t="s">
        <v>8729</v>
      </c>
      <c r="G626" t="s">
        <v>8732</v>
      </c>
      <c r="H626" t="s">
        <v>8733</v>
      </c>
      <c r="I626" t="s">
        <v>8734</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8735</v>
      </c>
      <c r="AK626" t="s">
        <v>8736</v>
      </c>
      <c r="AL626">
        <v>13</v>
      </c>
      <c r="AM626" t="s">
        <v>4791</v>
      </c>
      <c r="AN626" t="s">
        <v>4796</v>
      </c>
      <c r="AO626" t="s">
        <v>8737</v>
      </c>
      <c r="AP626">
        <v>0</v>
      </c>
      <c r="AQ626" t="s">
        <v>1745</v>
      </c>
      <c r="AR626" t="s">
        <v>1744</v>
      </c>
      <c r="AS626" t="s">
        <v>1131</v>
      </c>
      <c r="AT626" t="s">
        <v>329</v>
      </c>
      <c r="AU626">
        <v>127</v>
      </c>
      <c r="AV626">
        <v>0</v>
      </c>
      <c r="AW626" t="s">
        <v>5016</v>
      </c>
      <c r="AX626" t="s">
        <v>5417</v>
      </c>
      <c r="AY626">
        <v>6</v>
      </c>
      <c r="AZ626">
        <v>3127</v>
      </c>
      <c r="BA626" t="s">
        <v>329</v>
      </c>
      <c r="BB626" t="s">
        <v>4953</v>
      </c>
      <c r="BC626" t="s">
        <v>4784</v>
      </c>
      <c r="BD626">
        <v>0</v>
      </c>
      <c r="BE626">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8332</v>
      </c>
      <c r="C10" t="s">
        <v>8333</v>
      </c>
      <c r="D10" t="s">
        <v>8333</v>
      </c>
      <c r="E10" t="s">
        <v>8334</v>
      </c>
      <c r="F10" t="s">
        <v>6785</v>
      </c>
      <c r="G10" t="s">
        <v>4486</v>
      </c>
      <c r="H10" t="s">
        <v>8335</v>
      </c>
      <c r="I10">
        <v>1</v>
      </c>
      <c r="J10">
        <v>1</v>
      </c>
      <c r="K10" t="s">
        <v>973</v>
      </c>
      <c r="L10">
        <v>1</v>
      </c>
      <c r="M10">
        <v>126</v>
      </c>
      <c r="N10" t="s">
        <v>974</v>
      </c>
      <c r="O10">
        <v>10</v>
      </c>
      <c r="P10">
        <v>0</v>
      </c>
      <c r="Q10">
        <v>5</v>
      </c>
      <c r="R10">
        <v>750885</v>
      </c>
      <c r="S10">
        <v>1</v>
      </c>
      <c r="T10">
        <v>750887</v>
      </c>
      <c r="U10">
        <v>750888</v>
      </c>
      <c r="V10">
        <v>750889</v>
      </c>
      <c r="W10" t="s">
        <v>8336</v>
      </c>
      <c r="X10" t="s">
        <v>8337</v>
      </c>
      <c r="Y10" t="s">
        <v>8338</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8339</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42" customWidth="1"/>
    <col min="2" max="2" width="28.5703125" bestFit="1" customWidth="1"/>
  </cols>
  <sheetData>
    <row r="1" spans="1:21" x14ac:dyDescent="0.25">
      <c r="A1" s="10" t="s">
        <v>8723</v>
      </c>
      <c r="B1" s="10" t="s">
        <v>8</v>
      </c>
      <c r="C1" s="10">
        <v>3</v>
      </c>
      <c r="D1" s="10">
        <v>4</v>
      </c>
      <c r="E1" s="10">
        <v>5</v>
      </c>
      <c r="G1" s="10" t="s">
        <v>8726</v>
      </c>
      <c r="H1" t="s">
        <v>8251</v>
      </c>
      <c r="I1" t="s">
        <v>8725</v>
      </c>
      <c r="J1" t="s">
        <v>8724</v>
      </c>
      <c r="K1" t="s">
        <v>8252</v>
      </c>
      <c r="L1" t="s">
        <v>8253</v>
      </c>
      <c r="N1" s="10" t="s">
        <v>8727</v>
      </c>
      <c r="O1" t="s">
        <v>8724</v>
      </c>
      <c r="P1" t="s">
        <v>8252</v>
      </c>
      <c r="Q1" t="s">
        <v>8252</v>
      </c>
      <c r="R1" t="s">
        <v>8725</v>
      </c>
      <c r="S1" t="s">
        <v>8253</v>
      </c>
      <c r="U1" t="s">
        <v>8254</v>
      </c>
    </row>
    <row r="2" spans="1:21" x14ac:dyDescent="0.25">
      <c r="A2" s="16" t="s">
        <v>8254</v>
      </c>
      <c r="B2" t="s">
        <v>8293</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s="16" t="s">
        <v>8254</v>
      </c>
      <c r="B3" t="s">
        <v>638</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s="16" t="s">
        <v>8254</v>
      </c>
      <c r="B4" t="s">
        <v>8858</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s="16" t="s">
        <v>8254</v>
      </c>
      <c r="B5" t="s">
        <v>640</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s="16" t="s">
        <v>8254</v>
      </c>
      <c r="B6" t="s">
        <v>8859</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s="16" t="s">
        <v>8254</v>
      </c>
      <c r="B7" t="s">
        <v>8294</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s="16" t="s">
        <v>8254</v>
      </c>
      <c r="B8" t="s">
        <v>8295</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s="16" t="s">
        <v>8254</v>
      </c>
      <c r="B9" t="s">
        <v>8296</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s="16" t="s">
        <v>8254</v>
      </c>
      <c r="B10" t="s">
        <v>8860</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s="16" t="s">
        <v>8254</v>
      </c>
      <c r="B11" t="s">
        <v>8861</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s="16" t="s">
        <v>8254</v>
      </c>
      <c r="B12" t="s">
        <v>867</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s="16" t="s">
        <v>8254</v>
      </c>
      <c r="B13" t="s">
        <v>868</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s="16" t="s">
        <v>8254</v>
      </c>
      <c r="B14" t="s">
        <v>8862</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s="16" t="s">
        <v>8251</v>
      </c>
      <c r="B15" t="s">
        <v>8292</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s="16" t="s">
        <v>8251</v>
      </c>
      <c r="B16" t="s">
        <v>8299</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s="16" t="s">
        <v>8251</v>
      </c>
      <c r="B17" t="s">
        <v>8844</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s="16" t="s">
        <v>8251</v>
      </c>
      <c r="B18" t="s">
        <v>8300</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s="16" t="s">
        <v>8251</v>
      </c>
      <c r="B19" t="s">
        <v>8846</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s="16" t="s">
        <v>8251</v>
      </c>
      <c r="B20" t="s">
        <v>8847</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s="16" t="s">
        <v>8251</v>
      </c>
      <c r="B21" t="s">
        <v>8843</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s="16" t="s">
        <v>8251</v>
      </c>
      <c r="B22" t="s">
        <v>8848</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s="16" t="s">
        <v>8251</v>
      </c>
      <c r="B23" t="s">
        <v>8845</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s="16" t="s">
        <v>8251</v>
      </c>
      <c r="B24" t="s">
        <v>8301</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s="16" t="s">
        <v>8252</v>
      </c>
      <c r="B25" t="s">
        <v>8850</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s="16" t="s">
        <v>8252</v>
      </c>
      <c r="B26" t="s">
        <v>8853</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s="16" t="s">
        <v>8252</v>
      </c>
      <c r="B27" t="s">
        <v>8849</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s="16" t="s">
        <v>8252</v>
      </c>
      <c r="B28" t="s">
        <v>8302</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s="16" t="s">
        <v>8252</v>
      </c>
      <c r="B29" t="s">
        <v>8852</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s="16" t="s">
        <v>8252</v>
      </c>
      <c r="B30" t="s">
        <v>8856</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s="16" t="s">
        <v>8252</v>
      </c>
      <c r="B31" t="s">
        <v>8855</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s="16" t="s">
        <v>8252</v>
      </c>
      <c r="B32" t="s">
        <v>8851</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s="16" t="s">
        <v>8252</v>
      </c>
      <c r="B33" t="s">
        <v>8857</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s="16" t="s">
        <v>8252</v>
      </c>
      <c r="B34" t="s">
        <v>8854</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s="16" t="s">
        <v>640</v>
      </c>
      <c r="B35" t="s">
        <v>8833</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s="16" t="s">
        <v>640</v>
      </c>
      <c r="B36" t="s">
        <v>8834</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s="16" t="s">
        <v>640</v>
      </c>
      <c r="B37" t="s">
        <v>8835</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s="16" t="s">
        <v>640</v>
      </c>
      <c r="B38" t="s">
        <v>8832</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s="16" t="s">
        <v>640</v>
      </c>
      <c r="B39" t="s">
        <v>8831</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s="16" t="s">
        <v>8253</v>
      </c>
      <c r="B40" t="s">
        <v>8303</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s="16" t="s">
        <v>8253</v>
      </c>
      <c r="B41" t="s">
        <v>8304</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s="16" t="s">
        <v>8253</v>
      </c>
      <c r="B42" t="s">
        <v>8841</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s="16" t="s">
        <v>8253</v>
      </c>
      <c r="B43" t="s">
        <v>8842</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s="16" t="s">
        <v>8253</v>
      </c>
      <c r="B44" t="s">
        <v>8840</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s="16" t="s">
        <v>8253</v>
      </c>
      <c r="B45" t="s">
        <v>8837</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s="16" t="s">
        <v>8253</v>
      </c>
      <c r="B46" t="s">
        <v>8838</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s="16" t="s">
        <v>8253</v>
      </c>
      <c r="B47" t="s">
        <v>8839</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s="16" t="s">
        <v>8253</v>
      </c>
      <c r="B48" t="s">
        <v>8836</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s="16"/>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8478</v>
      </c>
      <c r="F1" s="323" t="s">
        <v>873</v>
      </c>
      <c r="G1" s="323" t="s">
        <v>876</v>
      </c>
      <c r="H1" s="323" t="s">
        <v>875</v>
      </c>
      <c r="I1" s="323" t="s">
        <v>874</v>
      </c>
      <c r="J1" s="323" t="s">
        <v>877</v>
      </c>
      <c r="K1" s="323" t="s">
        <v>878</v>
      </c>
      <c r="L1" s="323" t="s">
        <v>38</v>
      </c>
      <c r="M1" s="323" t="s">
        <v>879</v>
      </c>
      <c r="N1" s="323" t="s">
        <v>8477</v>
      </c>
      <c r="O1" s="323" t="s">
        <v>8476</v>
      </c>
      <c r="P1" s="323" t="s">
        <v>8475</v>
      </c>
      <c r="Q1" s="323" t="s">
        <v>8474</v>
      </c>
    </row>
    <row r="2" spans="1:17" x14ac:dyDescent="0.25">
      <c r="A2" s="1">
        <v>1001</v>
      </c>
      <c r="B2" s="1" t="s">
        <v>8473</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8472</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8471</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8470</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8469</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8468</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8467</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8466</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8465</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8464</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8463</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8462</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8461</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8460</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8459</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8458</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8457</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8456</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8455</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8454</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8453</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8452</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8451</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8450</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8449</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8448</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8447</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8446</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8445</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8444</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8443</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8442</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8441</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8440</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8439</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8438</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8437</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8436</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8435</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8434</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8433</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8432</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8431</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8430</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8429</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8428</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8427</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8426</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8425</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8424</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8423</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8422</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8421</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8420</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8419</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8418</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8417</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8416</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8415</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8414</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8413</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8412</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8411</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8410</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8409</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8408</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8407</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8406</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8405</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8404</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8403</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8402</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8401</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8400</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8399</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8398</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8397</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8396</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8395</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8394</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8393</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8392</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8391</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8390</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8389</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8388</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8387</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8386</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8385</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8384</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8383</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8382</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8381</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8380</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8379</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8378</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8377</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8376</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8375</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8374</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8340</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8339</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8339</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8339</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8339</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8270</v>
      </c>
      <c r="Y1" s="300"/>
      <c r="Z1" s="300"/>
      <c r="AB1" s="324"/>
      <c r="AC1" s="300" t="s">
        <v>8479</v>
      </c>
      <c r="AD1" s="325"/>
      <c r="AE1" s="325"/>
      <c r="AF1" s="325"/>
      <c r="AG1" s="325"/>
      <c r="AH1" s="325"/>
      <c r="AI1" s="300" t="s">
        <v>8480</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8481</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8550</v>
      </c>
    </row>
    <row r="34" spans="1:6" x14ac:dyDescent="0.25">
      <c r="A34"/>
      <c r="B34" s="9" t="s">
        <v>950</v>
      </c>
      <c r="C34" t="str">
        <f>INDEX($F$34:$F$37,COUNTA(Main!$H$125:$H$127)+1)</f>
        <v>"ally_instance_info": "[]",</v>
      </c>
      <c r="F34" t="s">
        <v>8554</v>
      </c>
    </row>
    <row r="35" spans="1:6" x14ac:dyDescent="0.25">
      <c r="A35"/>
      <c r="B35" s="250" t="s">
        <v>8551</v>
      </c>
      <c r="C35" t="str">
        <f>SUBSTITUTE(C34,"ally1",Main!H125)</f>
        <v>"ally_instance_info": "[]",</v>
      </c>
      <c r="F35" t="s">
        <v>8555</v>
      </c>
    </row>
    <row r="36" spans="1:6" x14ac:dyDescent="0.25">
      <c r="A36"/>
      <c r="B36" s="250" t="s">
        <v>8552</v>
      </c>
      <c r="C36" t="str">
        <f>SUBSTITUTE(C35,"ally2",Main!H126)</f>
        <v>"ally_instance_info": "[]",</v>
      </c>
      <c r="F36" t="s">
        <v>8556</v>
      </c>
    </row>
    <row r="37" spans="1:6" x14ac:dyDescent="0.25">
      <c r="A37"/>
      <c r="B37" s="250" t="s">
        <v>8553</v>
      </c>
      <c r="C37" t="str">
        <f>SUBSTITUTE(C36,"ally3",Main!H127)</f>
        <v>"ally_instance_info": "[]",</v>
      </c>
      <c r="F37" t="s">
        <v>8557</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8341</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8271</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8278</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D1" workbookViewId="0">
      <pane ySplit="1" topLeftCell="A2" activePane="bottomLeft" state="frozen"/>
      <selection activeCell="AZ2" sqref="AZ2"/>
      <selection pane="bottomLeft" activeCell="AZ2" sqref="AZ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8342</v>
      </c>
    </row>
    <row r="2" spans="1:73" x14ac:dyDescent="0.25">
      <c r="A2" s="9">
        <v>2</v>
      </c>
      <c r="B2" t="s">
        <v>3</v>
      </c>
      <c r="C2" s="9" t="s">
        <v>139</v>
      </c>
      <c r="D2" s="9" t="s">
        <v>74</v>
      </c>
      <c r="E2" s="9" t="s">
        <v>746</v>
      </c>
      <c r="F2" s="9" t="s">
        <v>1660</v>
      </c>
      <c r="G2" s="9" t="s">
        <v>263</v>
      </c>
      <c r="H2" s="9" t="s">
        <v>117</v>
      </c>
      <c r="I2" s="9" t="s">
        <v>751</v>
      </c>
      <c r="J2" s="9" t="s">
        <v>7117</v>
      </c>
      <c r="K2" s="9" t="s">
        <v>752</v>
      </c>
      <c r="L2" t="s">
        <v>7197</v>
      </c>
      <c r="M2" s="9" t="s">
        <v>1153</v>
      </c>
      <c r="N2" s="9" t="s">
        <v>801</v>
      </c>
      <c r="O2" t="s">
        <v>8596</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8628</v>
      </c>
      <c r="H3" s="9" t="s">
        <v>77</v>
      </c>
      <c r="I3" s="9" t="s">
        <v>1688</v>
      </c>
      <c r="J3" s="9" t="s">
        <v>1675</v>
      </c>
      <c r="K3" s="9" t="s">
        <v>1689</v>
      </c>
      <c r="L3" t="s">
        <v>1749</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8485</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8627</v>
      </c>
      <c r="K6" s="9" t="s">
        <v>1642</v>
      </c>
      <c r="L6" t="s">
        <v>8748</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8722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1622</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213</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8492</v>
      </c>
      <c r="Z12" s="9" t="s">
        <v>205</v>
      </c>
      <c r="AD12" s="9" t="s">
        <v>928</v>
      </c>
      <c r="AE12" t="s">
        <v>4723</v>
      </c>
      <c r="AL12" s="37"/>
      <c r="AU12" t="s">
        <v>6935</v>
      </c>
      <c r="AV12" t="s">
        <v>210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920</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919</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921</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8692</v>
      </c>
      <c r="AD16" s="9" t="s">
        <v>1640</v>
      </c>
      <c r="AE16" t="s">
        <v>6576</v>
      </c>
      <c r="AL16" s="37"/>
      <c r="AM16" s="37"/>
      <c r="AP16" s="37"/>
      <c r="AU16" t="s">
        <v>923</v>
      </c>
      <c r="AV16" t="s">
        <v>916</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918</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8602</v>
      </c>
      <c r="Y18" s="9" t="s">
        <v>787</v>
      </c>
      <c r="Z18" s="9" t="s">
        <v>154</v>
      </c>
      <c r="AD18" s="9" t="s">
        <v>1673</v>
      </c>
      <c r="AE18" s="249" t="s">
        <v>7024</v>
      </c>
      <c r="AU18" t="s">
        <v>913</v>
      </c>
      <c r="AV18" t="s">
        <v>917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8653</v>
      </c>
      <c r="G19" s="9"/>
      <c r="I19" s="9" t="s">
        <v>156</v>
      </c>
      <c r="J19" s="9" t="s">
        <v>1628</v>
      </c>
      <c r="K19" s="9" t="s">
        <v>1646</v>
      </c>
      <c r="N19" s="9" t="s">
        <v>222</v>
      </c>
      <c r="O19" s="9" t="s">
        <v>244</v>
      </c>
      <c r="P19" s="9" t="s">
        <v>185</v>
      </c>
      <c r="T19" s="9" t="s">
        <v>832</v>
      </c>
      <c r="U19" t="s">
        <v>8661</v>
      </c>
      <c r="Y19" s="9" t="s">
        <v>1652</v>
      </c>
      <c r="Z19" s="9" t="s">
        <v>786</v>
      </c>
      <c r="AE19" s="210" t="s">
        <v>3422</v>
      </c>
      <c r="AU19" t="s">
        <v>912</v>
      </c>
      <c r="AV19" t="s">
        <v>7000</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5746</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708</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8630</v>
      </c>
      <c r="J22" s="9" t="s">
        <v>1677</v>
      </c>
      <c r="K22" s="9" t="s">
        <v>141</v>
      </c>
      <c r="N22" s="9" t="s">
        <v>3397</v>
      </c>
      <c r="O22" s="9" t="s">
        <v>92</v>
      </c>
      <c r="P22" s="9" t="s">
        <v>1680</v>
      </c>
      <c r="T22" s="9" t="s">
        <v>22</v>
      </c>
      <c r="U22" s="9" t="s">
        <v>1430</v>
      </c>
      <c r="Z22" s="9" t="s">
        <v>834</v>
      </c>
      <c r="AE22" t="s">
        <v>8500</v>
      </c>
      <c r="AU22" t="s">
        <v>6842</v>
      </c>
      <c r="AV22" t="s">
        <v>709</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8506</v>
      </c>
      <c r="AU23" t="s">
        <v>6936</v>
      </c>
      <c r="AV23" t="s">
        <v>710</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231</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738</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162</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5730</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252</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8747</v>
      </c>
      <c r="O29" s="9" t="s">
        <v>172</v>
      </c>
      <c r="P29" t="s">
        <v>236</v>
      </c>
      <c r="T29" s="9" t="s">
        <v>739</v>
      </c>
      <c r="U29" s="9" t="s">
        <v>168</v>
      </c>
      <c r="AV29" t="s">
        <v>137</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1626</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101</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258</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74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104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744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8721</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3214</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746</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794</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748</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749</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718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1642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736</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1605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722</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7168</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25">
      <c r="A52" s="9"/>
      <c r="C52" s="9"/>
      <c r="D52" s="9"/>
      <c r="U52" s="9" t="s">
        <v>807</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25">
      <c r="A53" s="9"/>
      <c r="C53" s="9"/>
      <c r="D53" s="9"/>
      <c r="U53" t="s">
        <v>7216</v>
      </c>
      <c r="AV53" t="s">
        <v>8602</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25">
      <c r="A54" s="9"/>
      <c r="C54" s="9"/>
      <c r="D54" s="9"/>
      <c r="U54" t="s">
        <v>5737</v>
      </c>
      <c r="AV54" t="s">
        <v>8627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25">
      <c r="A55" s="9"/>
      <c r="C55" s="9"/>
      <c r="D55" s="9"/>
      <c r="U55" s="9" t="s">
        <v>169</v>
      </c>
      <c r="AV55" t="s">
        <v>3179</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25">
      <c r="A56" s="9"/>
      <c r="C56" s="9"/>
      <c r="D56" s="9"/>
      <c r="AV56" t="s">
        <v>8661</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25">
      <c r="A57" s="9"/>
      <c r="C57" s="9"/>
      <c r="D57" s="9"/>
      <c r="AV57" t="s">
        <v>827</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25">
      <c r="A58" s="9"/>
      <c r="C58" s="9"/>
      <c r="D58" s="9"/>
      <c r="AV58" t="s">
        <v>1184</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25">
      <c r="A59" s="9"/>
      <c r="C59" s="9"/>
      <c r="D59" s="9"/>
      <c r="AV59" t="s">
        <v>719</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25">
      <c r="A60" s="9"/>
      <c r="C60" s="9"/>
      <c r="D60" s="9"/>
      <c r="AV60" t="s">
        <v>8596</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25">
      <c r="A61" s="9"/>
      <c r="C61" s="9"/>
      <c r="D61" s="9"/>
      <c r="AV61" t="s">
        <v>711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25">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25">
      <c r="A63" s="9"/>
      <c r="C63" s="9"/>
      <c r="D63" s="9"/>
      <c r="AV63" t="s">
        <v>1629</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25">
      <c r="C64" s="9"/>
      <c r="D64" s="9"/>
      <c r="AV64" t="s">
        <v>1418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25">
      <c r="C65" s="9"/>
      <c r="D65" s="9"/>
      <c r="AV65" t="s">
        <v>1637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25">
      <c r="C66" s="9"/>
      <c r="D66" s="9"/>
      <c r="AV66" t="s">
        <v>1448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25">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25">
      <c r="D68" s="9"/>
      <c r="AV68" t="s">
        <v>1749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1430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25">
      <c r="D70" s="9"/>
      <c r="AV70" t="s">
        <v>8704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25">
      <c r="AV71" t="s">
        <v>1428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25">
      <c r="AV72" t="s">
        <v>8545</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25">
      <c r="AV73" t="s">
        <v>735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25">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25">
      <c r="AV75" t="s">
        <v>832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25">
      <c r="AV76" t="s">
        <v>1756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25">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25">
      <c r="AV78" t="s">
        <v>1686</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25">
      <c r="AV79" t="s">
        <v>248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25">
      <c r="AV80" t="s">
        <v>223</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25">
      <c r="AV81" t="s">
        <v>259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v>
      </c>
      <c r="BP81" s="1" t="str">
        <f t="shared" si="38"/>
        <v/>
      </c>
      <c r="BQ81" s="1" t="str">
        <f t="shared" si="39"/>
        <v/>
      </c>
      <c r="BR81" s="1" t="str">
        <f t="shared" si="40"/>
        <v/>
      </c>
      <c r="BS81" s="1" t="str">
        <f t="shared" si="41"/>
        <v/>
      </c>
    </row>
    <row r="82" spans="48:71" x14ac:dyDescent="0.25">
      <c r="AV82" t="s">
        <v>8119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HK416Mod</v>
      </c>
      <c r="BP82" s="1" t="str">
        <f t="shared" si="38"/>
        <v/>
      </c>
      <c r="BQ82" s="1" t="str">
        <f t="shared" si="39"/>
        <v/>
      </c>
      <c r="BR82" s="1" t="str">
        <f t="shared" si="40"/>
        <v/>
      </c>
      <c r="BS82" s="1" t="str">
        <f t="shared" si="41"/>
        <v/>
      </c>
    </row>
    <row r="83" spans="48:71" x14ac:dyDescent="0.25">
      <c r="AV83" t="s">
        <v>1720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HK416ModGZ</v>
      </c>
      <c r="BP83" s="1" t="str">
        <f t="shared" si="38"/>
        <v/>
      </c>
      <c r="BQ83" s="1" t="str">
        <f t="shared" si="39"/>
        <v/>
      </c>
      <c r="BR83" s="1" t="str">
        <f t="shared" si="40"/>
        <v/>
      </c>
      <c r="BS83" s="1" t="str">
        <f t="shared" si="41"/>
        <v/>
      </c>
    </row>
    <row r="84" spans="48:71" x14ac:dyDescent="0.25">
      <c r="AV84" t="s">
        <v>262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Honey Badger</v>
      </c>
      <c r="BP84" s="1" t="str">
        <f t="shared" si="38"/>
        <v/>
      </c>
      <c r="BQ84" s="1" t="str">
        <f t="shared" si="39"/>
        <v/>
      </c>
      <c r="BR84" s="1" t="str">
        <f t="shared" si="40"/>
        <v/>
      </c>
      <c r="BS84" s="1" t="str">
        <f t="shared" si="41"/>
        <v/>
      </c>
    </row>
    <row r="85" spans="48:71" x14ac:dyDescent="0.25">
      <c r="AV85" t="s">
        <v>78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IDWMod</v>
      </c>
      <c r="BP85" s="1" t="str">
        <f t="shared" si="38"/>
        <v/>
      </c>
      <c r="BQ85" s="1" t="str">
        <f t="shared" si="39"/>
        <v/>
      </c>
      <c r="BR85" s="1" t="str">
        <f t="shared" si="40"/>
        <v/>
      </c>
      <c r="BS85" s="1" t="str">
        <f t="shared" si="41"/>
        <v/>
      </c>
    </row>
    <row r="86" spans="48:71" x14ac:dyDescent="0.25">
      <c r="AV86" t="s">
        <v>1692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Ingram</v>
      </c>
      <c r="BP86" s="1" t="str">
        <f t="shared" si="38"/>
        <v/>
      </c>
      <c r="BQ86" s="1" t="str">
        <f t="shared" si="39"/>
        <v/>
      </c>
      <c r="BR86" s="1" t="str">
        <f t="shared" si="40"/>
        <v/>
      </c>
      <c r="BS86" s="1" t="str">
        <f t="shared" si="41"/>
        <v/>
      </c>
    </row>
    <row r="87" spans="48:71" x14ac:dyDescent="0.25">
      <c r="AV87" t="s">
        <v>192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Jashin</v>
      </c>
      <c r="BP87" s="1" t="str">
        <f t="shared" si="38"/>
        <v/>
      </c>
      <c r="BQ87" s="1" t="str">
        <f t="shared" si="39"/>
        <v/>
      </c>
      <c r="BR87" s="1" t="str">
        <f t="shared" si="40"/>
        <v/>
      </c>
      <c r="BS87" s="1" t="str">
        <f t="shared" si="41"/>
        <v/>
      </c>
    </row>
    <row r="88" spans="48:71" x14ac:dyDescent="0.25">
      <c r="AV88" t="s">
        <v>756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Jericho</v>
      </c>
      <c r="BP88" s="1" t="str">
        <f t="shared" si="38"/>
        <v/>
      </c>
      <c r="BQ88" s="1" t="str">
        <f t="shared" si="39"/>
        <v/>
      </c>
      <c r="BR88" s="1" t="str">
        <f t="shared" si="40"/>
        <v/>
      </c>
      <c r="BS88" s="1" t="str">
        <f t="shared" si="41"/>
        <v/>
      </c>
    </row>
    <row r="89" spans="48:71" x14ac:dyDescent="0.25">
      <c r="AV89" t="s">
        <v>759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JillAdelhyde1</v>
      </c>
      <c r="BP89" s="1" t="str">
        <f t="shared" si="38"/>
        <v/>
      </c>
      <c r="BQ89" s="1" t="str">
        <f t="shared" si="39"/>
        <v/>
      </c>
      <c r="BR89" s="1" t="str">
        <f t="shared" si="40"/>
        <v/>
      </c>
      <c r="BS89" s="1" t="str">
        <f t="shared" si="41"/>
        <v/>
      </c>
    </row>
    <row r="90" spans="48:71" x14ac:dyDescent="0.25">
      <c r="AV90" t="s">
        <v>760</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JillAdelhyde2</v>
      </c>
      <c r="BP90" s="1" t="str">
        <f t="shared" si="38"/>
        <v/>
      </c>
      <c r="BQ90" s="1" t="str">
        <f t="shared" si="39"/>
        <v/>
      </c>
      <c r="BR90" s="1" t="str">
        <f t="shared" si="40"/>
        <v/>
      </c>
      <c r="BS90" s="1" t="str">
        <f t="shared" si="41"/>
        <v/>
      </c>
    </row>
    <row r="91" spans="48:71" x14ac:dyDescent="0.25">
      <c r="AV91" t="s">
        <v>757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JillBronsonExtract</v>
      </c>
      <c r="BP91" s="1" t="str">
        <f t="shared" si="38"/>
        <v/>
      </c>
      <c r="BQ91" s="1" t="str">
        <f t="shared" si="39"/>
        <v/>
      </c>
      <c r="BR91" s="1" t="str">
        <f t="shared" si="40"/>
        <v/>
      </c>
      <c r="BS91" s="1" t="str">
        <f t="shared" si="41"/>
        <v/>
      </c>
    </row>
    <row r="92" spans="48:71" x14ac:dyDescent="0.25">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JillFlanergide</v>
      </c>
      <c r="BP92" s="1" t="str">
        <f t="shared" si="38"/>
        <v/>
      </c>
      <c r="BQ92" s="1" t="str">
        <f t="shared" si="39"/>
        <v/>
      </c>
      <c r="BR92" s="1" t="str">
        <f t="shared" si="40"/>
        <v/>
      </c>
      <c r="BS92" s="1" t="str">
        <f t="shared" si="41"/>
        <v/>
      </c>
    </row>
    <row r="93" spans="48:71" x14ac:dyDescent="0.25">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JillKarmotrine1</v>
      </c>
      <c r="BP93" s="1" t="str">
        <f t="shared" si="38"/>
        <v/>
      </c>
      <c r="BQ93" s="1" t="str">
        <f t="shared" si="39"/>
        <v/>
      </c>
      <c r="BR93" s="1" t="str">
        <f t="shared" si="40"/>
        <v/>
      </c>
      <c r="BS93" s="1" t="str">
        <f t="shared" si="41"/>
        <v/>
      </c>
    </row>
    <row r="94" spans="48:71" x14ac:dyDescent="0.25">
      <c r="AV94" t="s">
        <v>761</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JillKarmotrine2</v>
      </c>
      <c r="BP94" s="1" t="str">
        <f t="shared" si="38"/>
        <v/>
      </c>
      <c r="BQ94" s="1" t="str">
        <f t="shared" si="39"/>
        <v/>
      </c>
      <c r="BR94" s="1" t="str">
        <f t="shared" si="40"/>
        <v/>
      </c>
      <c r="BS94" s="1" t="str">
        <f t="shared" si="41"/>
        <v/>
      </c>
    </row>
    <row r="95" spans="48:71" x14ac:dyDescent="0.25">
      <c r="AV95" t="s">
        <v>842</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JillKarmotrine3</v>
      </c>
      <c r="BP95" s="1" t="str">
        <f t="shared" si="38"/>
        <v/>
      </c>
      <c r="BQ95" s="1" t="str">
        <f t="shared" si="39"/>
        <v/>
      </c>
      <c r="BR95" s="1" t="str">
        <f t="shared" si="40"/>
        <v/>
      </c>
      <c r="BS95" s="1" t="str">
        <f t="shared" si="41"/>
        <v/>
      </c>
    </row>
    <row r="96" spans="48:71" x14ac:dyDescent="0.25">
      <c r="AV96" t="s">
        <v>7009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JillPowderedDelta</v>
      </c>
      <c r="BP96" s="1" t="str">
        <f t="shared" si="38"/>
        <v/>
      </c>
      <c r="BQ96" s="1" t="str">
        <f t="shared" si="39"/>
        <v/>
      </c>
      <c r="BR96" s="1" t="str">
        <f t="shared" si="40"/>
        <v/>
      </c>
      <c r="BS96" s="1" t="str">
        <f t="shared" si="41"/>
        <v/>
      </c>
    </row>
    <row r="97" spans="48:71" x14ac:dyDescent="0.25">
      <c r="AV97" t="s">
        <v>188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Junko</v>
      </c>
      <c r="BP97" s="1" t="str">
        <f t="shared" si="38"/>
        <v/>
      </c>
      <c r="BQ97" s="1" t="str">
        <f t="shared" si="39"/>
        <v/>
      </c>
      <c r="BR97" s="1" t="str">
        <f t="shared" si="40"/>
        <v/>
      </c>
      <c r="BS97" s="1" t="str">
        <f t="shared" si="41"/>
        <v/>
      </c>
    </row>
    <row r="98" spans="48:71" x14ac:dyDescent="0.25">
      <c r="AV98" t="s">
        <v>168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K11</v>
      </c>
      <c r="BP98" s="1" t="str">
        <f t="shared" si="38"/>
        <v/>
      </c>
      <c r="BQ98" s="1" t="str">
        <f t="shared" si="39"/>
        <v/>
      </c>
      <c r="BR98" s="1" t="str">
        <f t="shared" si="40"/>
        <v/>
      </c>
      <c r="BS98" s="1" t="str">
        <f t="shared" si="41"/>
        <v/>
      </c>
    </row>
    <row r="99" spans="48:71" x14ac:dyDescent="0.25">
      <c r="AV99" t="s">
        <v>191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K2</v>
      </c>
      <c r="BP99" s="1" t="str">
        <f t="shared" si="38"/>
        <v/>
      </c>
      <c r="BQ99" s="1" t="str">
        <f t="shared" si="39"/>
        <v/>
      </c>
      <c r="BR99" s="1" t="str">
        <f t="shared" si="40"/>
        <v/>
      </c>
      <c r="BS99" s="1" t="str">
        <f t="shared" si="41"/>
        <v/>
      </c>
    </row>
    <row r="100" spans="48:71" x14ac:dyDescent="0.25">
      <c r="AV100" t="s">
        <v>7153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K31</v>
      </c>
      <c r="BP100" s="1" t="str">
        <f t="shared" si="38"/>
        <v/>
      </c>
      <c r="BQ100" s="1" t="str">
        <f t="shared" si="39"/>
        <v/>
      </c>
      <c r="BR100" s="1" t="str">
        <f t="shared" si="40"/>
        <v/>
      </c>
      <c r="BS100" s="1" t="str">
        <f t="shared" si="41"/>
        <v/>
      </c>
    </row>
    <row r="101" spans="48:71" x14ac:dyDescent="0.25">
      <c r="AV101" t="s">
        <v>93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K5Mod</v>
      </c>
      <c r="BP101" s="1" t="str">
        <f t="shared" si="38"/>
        <v/>
      </c>
      <c r="BQ101" s="1" t="str">
        <f t="shared" si="39"/>
        <v/>
      </c>
      <c r="BR101" s="1" t="str">
        <f t="shared" si="40"/>
        <v/>
      </c>
      <c r="BS101" s="1" t="str">
        <f t="shared" si="41"/>
        <v/>
      </c>
    </row>
    <row r="102" spans="48:71" x14ac:dyDescent="0.25">
      <c r="AV102" t="s">
        <v>6760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Kar98k</v>
      </c>
      <c r="BP102" s="1" t="str">
        <f t="shared" si="38"/>
        <v/>
      </c>
      <c r="BQ102" s="1" t="str">
        <f t="shared" si="39"/>
        <v/>
      </c>
      <c r="BR102" s="1" t="str">
        <f t="shared" si="40"/>
        <v/>
      </c>
      <c r="BS102" s="1" t="str">
        <f t="shared" si="41"/>
        <v/>
      </c>
    </row>
    <row r="103" spans="48:71" x14ac:dyDescent="0.25">
      <c r="AV103" t="s">
        <v>723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Kar98kmod</v>
      </c>
      <c r="BP103" s="1" t="str">
        <f t="shared" si="38"/>
        <v/>
      </c>
      <c r="BQ103" s="1" t="str">
        <f t="shared" si="39"/>
        <v/>
      </c>
      <c r="BR103" s="1" t="str">
        <f t="shared" si="40"/>
        <v/>
      </c>
      <c r="BS103" s="1" t="str">
        <f t="shared" si="41"/>
        <v/>
      </c>
    </row>
    <row r="104" spans="48:71" x14ac:dyDescent="0.25">
      <c r="AV104" t="s">
        <v>266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KS23</v>
      </c>
      <c r="BP104" s="1" t="str">
        <f t="shared" si="38"/>
        <v/>
      </c>
      <c r="BQ104" s="1" t="str">
        <f t="shared" si="39"/>
        <v/>
      </c>
      <c r="BR104" s="1" t="str">
        <f t="shared" si="40"/>
        <v/>
      </c>
      <c r="BS104" s="1" t="str">
        <f t="shared" si="41"/>
        <v/>
      </c>
    </row>
    <row r="105" spans="48:71" x14ac:dyDescent="0.25">
      <c r="AV105" t="s">
        <v>103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KSVKMod</v>
      </c>
      <c r="BP105" s="1" t="str">
        <f t="shared" si="38"/>
        <v/>
      </c>
      <c r="BQ105" s="1" t="str">
        <f t="shared" si="39"/>
        <v/>
      </c>
      <c r="BR105" s="1" t="str">
        <f t="shared" si="40"/>
        <v/>
      </c>
      <c r="BS105" s="1" t="str">
        <f t="shared" si="41"/>
        <v/>
      </c>
    </row>
    <row r="106" spans="48:71" x14ac:dyDescent="0.25">
      <c r="AV106" t="s">
        <v>96</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L85A1</v>
      </c>
      <c r="BP106" s="1" t="str">
        <f t="shared" si="38"/>
        <v/>
      </c>
      <c r="BQ106" s="1" t="str">
        <f t="shared" si="39"/>
        <v/>
      </c>
      <c r="BR106" s="1" t="str">
        <f t="shared" si="40"/>
        <v/>
      </c>
      <c r="BS106" s="1" t="str">
        <f t="shared" si="41"/>
        <v/>
      </c>
    </row>
    <row r="107" spans="48:71" x14ac:dyDescent="0.25">
      <c r="AV107" t="s">
        <v>6761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Lee Enfield</v>
      </c>
      <c r="BP107" s="1" t="str">
        <f t="shared" si="38"/>
        <v/>
      </c>
      <c r="BQ107" s="1" t="str">
        <f t="shared" si="39"/>
        <v/>
      </c>
      <c r="BR107" s="1" t="str">
        <f t="shared" si="40"/>
        <v/>
      </c>
      <c r="BS107" s="1" t="str">
        <f t="shared" si="41"/>
        <v/>
      </c>
    </row>
    <row r="108" spans="48:71" x14ac:dyDescent="0.25">
      <c r="AV108" t="s">
        <v>217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Enfieldmod</v>
      </c>
      <c r="BP108" s="1" t="str">
        <f t="shared" si="38"/>
        <v/>
      </c>
      <c r="BQ108" s="1" t="str">
        <f t="shared" si="39"/>
        <v/>
      </c>
      <c r="BR108" s="1" t="str">
        <f t="shared" si="40"/>
        <v/>
      </c>
      <c r="BS108" s="1" t="str">
        <f t="shared" si="41"/>
        <v/>
      </c>
    </row>
    <row r="109" spans="48:71" x14ac:dyDescent="0.25">
      <c r="AV109" t="s">
        <v>6985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Liberator</v>
      </c>
      <c r="BP109" s="1" t="str">
        <f t="shared" si="38"/>
        <v/>
      </c>
      <c r="BQ109" s="1" t="str">
        <f t="shared" si="39"/>
        <v/>
      </c>
      <c r="BR109" s="1" t="str">
        <f t="shared" si="40"/>
        <v/>
      </c>
      <c r="BS109" s="1" t="str">
        <f t="shared" si="41"/>
        <v/>
      </c>
    </row>
    <row r="110" spans="48:71" x14ac:dyDescent="0.25">
      <c r="AV110" t="s">
        <v>261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Lily</v>
      </c>
      <c r="BP110" s="1" t="str">
        <f t="shared" si="38"/>
        <v/>
      </c>
      <c r="BQ110" s="1" t="str">
        <f t="shared" si="39"/>
        <v/>
      </c>
      <c r="BR110" s="1" t="str">
        <f t="shared" si="40"/>
        <v/>
      </c>
      <c r="BS110" s="1" t="str">
        <f t="shared" si="41"/>
        <v/>
      </c>
    </row>
    <row r="111" spans="48:71" x14ac:dyDescent="0.25">
      <c r="AV111" t="s">
        <v>8651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LWMMGMod</v>
      </c>
      <c r="BP111" s="1" t="str">
        <f t="shared" si="38"/>
        <v/>
      </c>
      <c r="BQ111" s="1" t="str">
        <f t="shared" si="39"/>
        <v/>
      </c>
      <c r="BR111" s="1" t="str">
        <f t="shared" si="40"/>
        <v/>
      </c>
      <c r="BS111" s="1" t="str">
        <f t="shared" si="41"/>
        <v/>
      </c>
    </row>
    <row r="112" spans="48:71" x14ac:dyDescent="0.25">
      <c r="AV112" t="s">
        <v>86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LWMMGModGZ</v>
      </c>
      <c r="BP112" s="1" t="str">
        <f t="shared" si="38"/>
        <v/>
      </c>
      <c r="BQ112" s="1" t="str">
        <f t="shared" si="39"/>
        <v/>
      </c>
      <c r="BR112" s="1" t="str">
        <f t="shared" si="40"/>
        <v/>
      </c>
      <c r="BS112" s="1" t="str">
        <f t="shared" si="41"/>
        <v/>
      </c>
    </row>
    <row r="113" spans="48:71" x14ac:dyDescent="0.25">
      <c r="AV113" t="s">
        <v>255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 Garand</v>
      </c>
      <c r="BP113" s="1" t="str">
        <f t="shared" si="38"/>
        <v/>
      </c>
      <c r="BQ113" s="1" t="str">
        <f t="shared" si="39"/>
        <v/>
      </c>
      <c r="BR113" s="1" t="str">
        <f t="shared" si="40"/>
        <v/>
      </c>
      <c r="BS113" s="1" t="str">
        <f t="shared" si="41"/>
        <v/>
      </c>
    </row>
    <row r="114" spans="48:71" x14ac:dyDescent="0.25">
      <c r="AV114" t="s">
        <v>98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M14Mod</v>
      </c>
      <c r="BP114" s="1" t="str">
        <f t="shared" si="38"/>
        <v/>
      </c>
      <c r="BQ114" s="1" t="str">
        <f t="shared" si="39"/>
        <v/>
      </c>
      <c r="BR114" s="1" t="str">
        <f t="shared" si="40"/>
        <v/>
      </c>
      <c r="BS114" s="1" t="str">
        <f t="shared" si="41"/>
        <v/>
      </c>
    </row>
    <row r="115" spans="48:71" x14ac:dyDescent="0.25">
      <c r="AV115" t="s">
        <v>145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M16A1</v>
      </c>
      <c r="BP115" s="1" t="str">
        <f t="shared" si="38"/>
        <v/>
      </c>
      <c r="BQ115" s="1" t="str">
        <f t="shared" si="39"/>
        <v/>
      </c>
      <c r="BR115" s="1" t="str">
        <f t="shared" si="40"/>
        <v/>
      </c>
      <c r="BS115" s="1" t="str">
        <f t="shared" si="41"/>
        <v/>
      </c>
    </row>
    <row r="116" spans="48:71" x14ac:dyDescent="0.25">
      <c r="AV116" t="s">
        <v>785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M1887</v>
      </c>
      <c r="BP116" s="1" t="str">
        <f t="shared" si="38"/>
        <v/>
      </c>
      <c r="BQ116" s="1" t="str">
        <f t="shared" si="39"/>
        <v/>
      </c>
      <c r="BR116" s="1" t="str">
        <f t="shared" si="40"/>
        <v/>
      </c>
      <c r="BS116" s="1" t="str">
        <f t="shared" si="41"/>
        <v/>
      </c>
    </row>
    <row r="117" spans="48:71" x14ac:dyDescent="0.25">
      <c r="AV117" t="s">
        <v>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M1895Mod</v>
      </c>
      <c r="BP117" s="1" t="str">
        <f t="shared" si="38"/>
        <v/>
      </c>
      <c r="BQ117" s="1" t="str">
        <f t="shared" si="39"/>
        <v/>
      </c>
      <c r="BR117" s="1" t="str">
        <f t="shared" si="40"/>
        <v/>
      </c>
      <c r="BS117" s="1" t="str">
        <f t="shared" si="41"/>
        <v/>
      </c>
    </row>
    <row r="118" spans="48:71" x14ac:dyDescent="0.25">
      <c r="AV118" t="s">
        <v>253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M1897Mod</v>
      </c>
      <c r="BP118" s="1" t="str">
        <f t="shared" si="38"/>
        <v/>
      </c>
      <c r="BQ118" s="1" t="str">
        <f t="shared" si="39"/>
        <v/>
      </c>
      <c r="BR118" s="1" t="str">
        <f t="shared" si="40"/>
        <v/>
      </c>
      <c r="BS118" s="1" t="str">
        <f t="shared" si="41"/>
        <v/>
      </c>
    </row>
    <row r="119" spans="48:71" x14ac:dyDescent="0.25">
      <c r="AV119" t="s">
        <v>8546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M1911Mod</v>
      </c>
      <c r="BP119" s="1" t="str">
        <f t="shared" si="38"/>
        <v/>
      </c>
      <c r="BQ119" s="1" t="str">
        <f t="shared" si="39"/>
        <v/>
      </c>
      <c r="BR119" s="1" t="str">
        <f t="shared" si="40"/>
        <v/>
      </c>
      <c r="BS119" s="1" t="str">
        <f t="shared" si="41"/>
        <v/>
      </c>
    </row>
    <row r="120" spans="48:71" x14ac:dyDescent="0.25">
      <c r="AV120" t="s">
        <v>105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M1911ModGZ</v>
      </c>
      <c r="BP120" s="1" t="str">
        <f t="shared" si="38"/>
        <v/>
      </c>
      <c r="BQ120" s="1" t="str">
        <f t="shared" si="39"/>
        <v/>
      </c>
      <c r="BR120" s="1" t="str">
        <f t="shared" si="40"/>
        <v/>
      </c>
      <c r="BS120" s="1" t="str">
        <f t="shared" si="41"/>
        <v/>
      </c>
    </row>
    <row r="121" spans="48:71" x14ac:dyDescent="0.25">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v>
      </c>
      <c r="BP121" s="1" t="str">
        <f t="shared" si="38"/>
        <v/>
      </c>
      <c r="BQ121" s="1" t="str">
        <f t="shared" si="39"/>
        <v/>
      </c>
      <c r="BR121" s="1" t="str">
        <f t="shared" si="40"/>
        <v/>
      </c>
      <c r="BS121" s="1" t="str">
        <f t="shared" si="41"/>
        <v/>
      </c>
    </row>
    <row r="122" spans="48:71" x14ac:dyDescent="0.25">
      <c r="AV122" t="s">
        <v>7307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M1918Mod</v>
      </c>
      <c r="BP122" s="1" t="str">
        <f t="shared" si="38"/>
        <v/>
      </c>
      <c r="BQ122" s="1" t="str">
        <f t="shared" si="39"/>
        <v/>
      </c>
      <c r="BR122" s="1" t="str">
        <f t="shared" si="40"/>
        <v/>
      </c>
      <c r="BS122" s="1" t="str">
        <f t="shared" si="41"/>
        <v/>
      </c>
    </row>
    <row r="123" spans="48:71" x14ac:dyDescent="0.25">
      <c r="AV123" t="s">
        <v>107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M1918Ranking</v>
      </c>
      <c r="BP123" s="1" t="str">
        <f t="shared" si="38"/>
        <v/>
      </c>
      <c r="BQ123" s="1" t="str">
        <f t="shared" si="39"/>
        <v/>
      </c>
      <c r="BR123" s="1" t="str">
        <f t="shared" si="40"/>
        <v/>
      </c>
      <c r="BS123" s="1" t="str">
        <f t="shared" si="41"/>
        <v/>
      </c>
    </row>
    <row r="124" spans="48:71" x14ac:dyDescent="0.25">
      <c r="AV124" t="s">
        <v>7146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v>
      </c>
      <c r="BP124" s="1" t="str">
        <f t="shared" si="38"/>
        <v/>
      </c>
      <c r="BQ124" s="1" t="str">
        <f t="shared" si="39"/>
        <v/>
      </c>
      <c r="BR124" s="1" t="str">
        <f t="shared" si="40"/>
        <v/>
      </c>
      <c r="BS124" s="1" t="str">
        <f t="shared" si="41"/>
        <v/>
      </c>
    </row>
    <row r="125" spans="48:71" x14ac:dyDescent="0.25">
      <c r="AV125" t="s">
        <v>8305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M1919A4Mod</v>
      </c>
      <c r="BP125" s="1" t="str">
        <f t="shared" si="38"/>
        <v/>
      </c>
      <c r="BQ125" s="1" t="str">
        <f t="shared" si="39"/>
        <v/>
      </c>
      <c r="BR125" s="1" t="str">
        <f t="shared" si="40"/>
        <v/>
      </c>
      <c r="BS125" s="1" t="str">
        <f t="shared" si="41"/>
        <v/>
      </c>
    </row>
    <row r="126" spans="48:71" x14ac:dyDescent="0.25">
      <c r="AV126" t="s">
        <v>789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M1919A4ModGZ</v>
      </c>
      <c r="BP126" s="1" t="str">
        <f t="shared" si="38"/>
        <v/>
      </c>
      <c r="BQ126" s="1" t="str">
        <f t="shared" si="39"/>
        <v/>
      </c>
      <c r="BR126" s="1" t="str">
        <f t="shared" si="40"/>
        <v/>
      </c>
      <c r="BS126" s="1" t="str">
        <f t="shared" si="41"/>
        <v/>
      </c>
    </row>
    <row r="127" spans="48:71" x14ac:dyDescent="0.25">
      <c r="AV127" t="s">
        <v>89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M1A1</v>
      </c>
      <c r="BP127" s="1" t="str">
        <f t="shared" si="38"/>
        <v/>
      </c>
      <c r="BQ127" s="1" t="str">
        <f t="shared" si="39"/>
        <v/>
      </c>
      <c r="BR127" s="1" t="str">
        <f t="shared" si="40"/>
        <v/>
      </c>
      <c r="BS127" s="1" t="str">
        <f t="shared" si="41"/>
        <v/>
      </c>
    </row>
    <row r="128" spans="48:71" x14ac:dyDescent="0.25">
      <c r="AV128" t="s">
        <v>1172</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M21</v>
      </c>
      <c r="BP128" s="1" t="str">
        <f t="shared" si="38"/>
        <v/>
      </c>
      <c r="BQ128" s="1" t="str">
        <f t="shared" si="39"/>
        <v/>
      </c>
      <c r="BR128" s="1" t="str">
        <f t="shared" si="40"/>
        <v/>
      </c>
      <c r="BS128" s="1" t="str">
        <f t="shared" si="41"/>
        <v/>
      </c>
    </row>
    <row r="129" spans="48:71" x14ac:dyDescent="0.25">
      <c r="AV129" t="s">
        <v>77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M249SAW</v>
      </c>
      <c r="BP129" s="1" t="str">
        <f t="shared" si="38"/>
        <v/>
      </c>
      <c r="BQ129" s="1" t="str">
        <f t="shared" si="39"/>
        <v/>
      </c>
      <c r="BR129" s="1" t="str">
        <f t="shared" si="40"/>
        <v/>
      </c>
      <c r="BS129" s="1" t="str">
        <f t="shared" si="41"/>
        <v/>
      </c>
    </row>
    <row r="130" spans="48:71" x14ac:dyDescent="0.25">
      <c r="AV130" t="s">
        <v>147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v>
      </c>
      <c r="BP130" s="1" t="str">
        <f t="shared" si="38"/>
        <v/>
      </c>
      <c r="BQ130" s="1" t="str">
        <f t="shared" si="39"/>
        <v/>
      </c>
      <c r="BR130" s="1" t="str">
        <f t="shared" si="40"/>
        <v/>
      </c>
      <c r="BS130" s="1" t="str">
        <f t="shared" si="41"/>
        <v/>
      </c>
    </row>
    <row r="131" spans="48:71" x14ac:dyDescent="0.25">
      <c r="AV131" t="s">
        <v>715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M37</v>
      </c>
      <c r="BP131" s="1" t="str">
        <f t="shared" si="38"/>
        <v/>
      </c>
      <c r="BQ131" s="1" t="str">
        <f t="shared" si="39"/>
        <v/>
      </c>
      <c r="BR131" s="1" t="str">
        <f t="shared" si="40"/>
        <v/>
      </c>
      <c r="BS131" s="1" t="str">
        <f t="shared" si="41"/>
        <v/>
      </c>
    </row>
    <row r="132" spans="48:71" x14ac:dyDescent="0.25">
      <c r="AV132" t="s">
        <v>257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M38Mod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256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M4 SOPMOD IIMod</v>
      </c>
      <c r="BP133" s="1" t="str">
        <f t="shared" si="58"/>
        <v/>
      </c>
      <c r="BQ133" s="1" t="str">
        <f t="shared" si="59"/>
        <v/>
      </c>
      <c r="BR133" s="1" t="str">
        <f t="shared" si="60"/>
        <v/>
      </c>
      <c r="BS133" s="1" t="str">
        <f t="shared" si="61"/>
        <v/>
      </c>
    </row>
    <row r="134" spans="48:71" x14ac:dyDescent="0.25">
      <c r="AV134" t="s">
        <v>716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M4A1Mod</v>
      </c>
      <c r="BP134" s="1" t="str">
        <f t="shared" si="58"/>
        <v/>
      </c>
      <c r="BQ134" s="1" t="str">
        <f t="shared" si="59"/>
        <v/>
      </c>
      <c r="BR134" s="1" t="str">
        <f t="shared" si="60"/>
        <v/>
      </c>
      <c r="BS134" s="1" t="str">
        <f t="shared" si="61"/>
        <v/>
      </c>
    </row>
    <row r="135" spans="48:71" x14ac:dyDescent="0.25">
      <c r="AV135" t="s">
        <v>812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M500Mod</v>
      </c>
      <c r="BP135" s="1" t="str">
        <f t="shared" si="58"/>
        <v/>
      </c>
      <c r="BQ135" s="1" t="str">
        <f t="shared" si="59"/>
        <v/>
      </c>
      <c r="BR135" s="1" t="str">
        <f t="shared" si="60"/>
        <v/>
      </c>
      <c r="BS135" s="1" t="str">
        <f t="shared" si="61"/>
        <v/>
      </c>
    </row>
    <row r="136" spans="48:71" x14ac:dyDescent="0.25">
      <c r="AV136" t="s">
        <v>185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M6 ASW</v>
      </c>
      <c r="BP136" s="1" t="str">
        <f t="shared" si="58"/>
        <v/>
      </c>
      <c r="BQ136" s="1" t="str">
        <f t="shared" si="59"/>
        <v/>
      </c>
      <c r="BR136" s="1" t="str">
        <f t="shared" si="60"/>
        <v/>
      </c>
      <c r="BS136" s="1" t="str">
        <f t="shared" si="61"/>
        <v/>
      </c>
    </row>
    <row r="137" spans="48:71" x14ac:dyDescent="0.25">
      <c r="AV137" t="s">
        <v>5633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M82A1</v>
      </c>
      <c r="BP137" s="1" t="str">
        <f t="shared" si="58"/>
        <v/>
      </c>
      <c r="BQ137" s="1" t="str">
        <f t="shared" si="59"/>
        <v/>
      </c>
      <c r="BR137" s="1" t="str">
        <f t="shared" si="60"/>
        <v/>
      </c>
      <c r="BS137" s="1" t="str">
        <f t="shared" si="61"/>
        <v/>
      </c>
    </row>
    <row r="138" spans="48:71" x14ac:dyDescent="0.25">
      <c r="AV138" t="s">
        <v>63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M870</v>
      </c>
      <c r="BP138" s="1" t="str">
        <f t="shared" si="58"/>
        <v/>
      </c>
      <c r="BQ138" s="1" t="str">
        <f t="shared" si="59"/>
        <v/>
      </c>
      <c r="BR138" s="1" t="str">
        <f t="shared" si="60"/>
        <v/>
      </c>
      <c r="BS138" s="1" t="str">
        <f t="shared" si="61"/>
        <v/>
      </c>
    </row>
    <row r="139" spans="48:71" x14ac:dyDescent="0.25">
      <c r="AV139" t="s">
        <v>263</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v>
      </c>
      <c r="BP139" s="1" t="str">
        <f t="shared" si="58"/>
        <v/>
      </c>
      <c r="BQ139" s="1" t="str">
        <f t="shared" si="59"/>
        <v/>
      </c>
      <c r="BR139" s="1" t="str">
        <f t="shared" si="60"/>
        <v/>
      </c>
      <c r="BS139" s="1" t="str">
        <f t="shared" si="61"/>
        <v/>
      </c>
    </row>
    <row r="140" spans="48:71" x14ac:dyDescent="0.25">
      <c r="AV140" t="s">
        <v>8650</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M950AMod</v>
      </c>
      <c r="BP140" s="1" t="str">
        <f t="shared" si="58"/>
        <v/>
      </c>
      <c r="BQ140" s="1" t="str">
        <f t="shared" si="59"/>
        <v/>
      </c>
      <c r="BR140" s="1" t="str">
        <f t="shared" si="60"/>
        <v/>
      </c>
      <c r="BS140" s="1" t="str">
        <f t="shared" si="61"/>
        <v/>
      </c>
    </row>
    <row r="141" spans="48:71" x14ac:dyDescent="0.25">
      <c r="AV141" t="s">
        <v>68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M950AModGZ</v>
      </c>
      <c r="BP141" s="1" t="str">
        <f t="shared" si="58"/>
        <v/>
      </c>
      <c r="BQ141" s="1" t="str">
        <f t="shared" si="59"/>
        <v/>
      </c>
      <c r="BR141" s="1" t="str">
        <f t="shared" si="60"/>
        <v/>
      </c>
      <c r="BS141" s="1" t="str">
        <f t="shared" si="61"/>
        <v/>
      </c>
    </row>
    <row r="142" spans="48:71" x14ac:dyDescent="0.25">
      <c r="AV142" t="s">
        <v>938</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v>
      </c>
      <c r="BP142" s="1" t="str">
        <f t="shared" si="58"/>
        <v/>
      </c>
      <c r="BQ142" s="1" t="str">
        <f t="shared" si="59"/>
        <v/>
      </c>
      <c r="BR142" s="1" t="str">
        <f t="shared" si="60"/>
        <v/>
      </c>
      <c r="BS142" s="1" t="str">
        <f t="shared" si="61"/>
        <v/>
      </c>
    </row>
    <row r="143" spans="48:71" x14ac:dyDescent="0.25">
      <c r="AV143" t="s">
        <v>8128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MakarovMod</v>
      </c>
      <c r="BP143" s="1" t="str">
        <f t="shared" si="58"/>
        <v/>
      </c>
      <c r="BQ143" s="1" t="str">
        <f t="shared" si="59"/>
        <v/>
      </c>
      <c r="BR143" s="1" t="str">
        <f t="shared" si="60"/>
        <v/>
      </c>
      <c r="BS143" s="1" t="str">
        <f t="shared" si="61"/>
        <v/>
      </c>
    </row>
    <row r="144" spans="48:71" x14ac:dyDescent="0.25">
      <c r="AV144" t="s">
        <v>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MakarovModGZ</v>
      </c>
      <c r="BP144" s="1" t="str">
        <f t="shared" si="58"/>
        <v/>
      </c>
      <c r="BQ144" s="1" t="str">
        <f t="shared" si="59"/>
        <v/>
      </c>
      <c r="BR144" s="1" t="str">
        <f t="shared" si="60"/>
        <v/>
      </c>
      <c r="BS144" s="1" t="str">
        <f t="shared" si="61"/>
        <v/>
      </c>
    </row>
    <row r="145" spans="48:71" x14ac:dyDescent="0.25">
      <c r="AV145" t="s">
        <v>1397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MDR</v>
      </c>
      <c r="BP145" s="1" t="str">
        <f t="shared" si="58"/>
        <v/>
      </c>
      <c r="BQ145" s="1" t="str">
        <f t="shared" si="59"/>
        <v/>
      </c>
      <c r="BR145" s="1" t="str">
        <f t="shared" si="60"/>
        <v/>
      </c>
      <c r="BS145" s="1" t="str">
        <f t="shared" si="61"/>
        <v/>
      </c>
    </row>
    <row r="146" spans="48:71" x14ac:dyDescent="0.25">
      <c r="AV146" t="s">
        <v>114</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Medusa</v>
      </c>
      <c r="BP146" s="1" t="str">
        <f t="shared" si="58"/>
        <v/>
      </c>
      <c r="BQ146" s="1" t="str">
        <f t="shared" si="59"/>
        <v/>
      </c>
      <c r="BR146" s="1" t="str">
        <f t="shared" si="60"/>
        <v/>
      </c>
      <c r="BS146" s="1" t="str">
        <f t="shared" si="61"/>
        <v/>
      </c>
    </row>
    <row r="147" spans="48:71" x14ac:dyDescent="0.25">
      <c r="AV147" t="s">
        <v>6475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v>
      </c>
      <c r="BP147" s="1" t="str">
        <f t="shared" si="58"/>
        <v/>
      </c>
      <c r="BQ147" s="1" t="str">
        <f t="shared" si="59"/>
        <v/>
      </c>
      <c r="BR147" s="1" t="str">
        <f t="shared" si="60"/>
        <v/>
      </c>
      <c r="BS147" s="1" t="str">
        <f t="shared" si="61"/>
        <v/>
      </c>
    </row>
    <row r="148" spans="48:71" x14ac:dyDescent="0.25">
      <c r="AV148" t="s">
        <v>8353</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MG3Mod</v>
      </c>
      <c r="BP148" s="1" t="str">
        <f t="shared" si="58"/>
        <v/>
      </c>
      <c r="BQ148" s="1" t="str">
        <f t="shared" si="59"/>
        <v/>
      </c>
      <c r="BR148" s="1" t="str">
        <f t="shared" si="60"/>
        <v/>
      </c>
      <c r="BS148" s="1" t="str">
        <f t="shared" si="61"/>
        <v/>
      </c>
    </row>
    <row r="149" spans="48:71" x14ac:dyDescent="0.25">
      <c r="AV149" t="s">
        <v>300</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MG3ModGZ</v>
      </c>
      <c r="BP149" s="1" t="str">
        <f t="shared" si="58"/>
        <v/>
      </c>
      <c r="BQ149" s="1" t="str">
        <f t="shared" si="59"/>
        <v/>
      </c>
      <c r="BR149" s="1" t="str">
        <f t="shared" si="60"/>
        <v/>
      </c>
      <c r="BS149" s="1" t="str">
        <f t="shared" si="61"/>
        <v/>
      </c>
    </row>
    <row r="150" spans="48:71" x14ac:dyDescent="0.25">
      <c r="AV150" t="s">
        <v>112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v>
      </c>
      <c r="BP150" s="1" t="str">
        <f t="shared" si="58"/>
        <v/>
      </c>
      <c r="BQ150" s="1" t="str">
        <f t="shared" si="59"/>
        <v/>
      </c>
      <c r="BR150" s="1" t="str">
        <f t="shared" si="60"/>
        <v/>
      </c>
      <c r="BS150" s="1" t="str">
        <f t="shared" si="61"/>
        <v/>
      </c>
    </row>
    <row r="151" spans="48:71" x14ac:dyDescent="0.25">
      <c r="AV151" t="s">
        <v>927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MG42</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MG4Mod</v>
      </c>
      <c r="BP152" s="1" t="str">
        <f t="shared" si="58"/>
        <v/>
      </c>
      <c r="BQ152" s="1" t="str">
        <f t="shared" si="59"/>
        <v/>
      </c>
      <c r="BR152" s="1" t="str">
        <f t="shared" si="60"/>
        <v/>
      </c>
      <c r="BS152" s="1" t="str">
        <f t="shared" si="61"/>
        <v/>
      </c>
    </row>
    <row r="153" spans="48:71" x14ac:dyDescent="0.25">
      <c r="AV153" t="s">
        <v>301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MG4ModGZ</v>
      </c>
      <c r="BP153" s="1" t="str">
        <f t="shared" si="58"/>
        <v/>
      </c>
      <c r="BQ153" s="1" t="str">
        <f t="shared" si="59"/>
        <v/>
      </c>
      <c r="BR153" s="1" t="str">
        <f t="shared" si="60"/>
        <v/>
      </c>
      <c r="BS153" s="1" t="str">
        <f t="shared" si="61"/>
        <v/>
      </c>
    </row>
    <row r="154" spans="48:71" x14ac:dyDescent="0.25">
      <c r="AV154" t="s">
        <v>254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MG5</v>
      </c>
      <c r="BP154" s="1" t="str">
        <f t="shared" si="58"/>
        <v/>
      </c>
      <c r="BQ154" s="1" t="str">
        <f t="shared" si="59"/>
        <v/>
      </c>
      <c r="BR154" s="1" t="str">
        <f t="shared" si="60"/>
        <v/>
      </c>
      <c r="BS154" s="1" t="str">
        <f t="shared" si="61"/>
        <v/>
      </c>
    </row>
    <row r="155" spans="48:71" x14ac:dyDescent="0.25">
      <c r="AV155" t="s">
        <v>1401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Micro UziMod</v>
      </c>
      <c r="BP155" s="1" t="str">
        <f t="shared" si="58"/>
        <v/>
      </c>
      <c r="BQ155" s="1" t="str">
        <f t="shared" si="59"/>
        <v/>
      </c>
      <c r="BR155" s="1" t="str">
        <f t="shared" si="60"/>
        <v/>
      </c>
      <c r="BS155" s="1" t="str">
        <f t="shared" si="61"/>
        <v/>
      </c>
    </row>
    <row r="156" spans="48:71" x14ac:dyDescent="0.25">
      <c r="AV156" t="s">
        <v>8692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Minos</v>
      </c>
      <c r="BP156" s="1" t="str">
        <f t="shared" si="58"/>
        <v/>
      </c>
      <c r="BQ156" s="1" t="str">
        <f t="shared" si="59"/>
        <v/>
      </c>
      <c r="BR156" s="1" t="str">
        <f t="shared" si="60"/>
        <v/>
      </c>
      <c r="BS156" s="1" t="str">
        <f t="shared" si="61"/>
        <v/>
      </c>
    </row>
    <row r="157" spans="48:71" x14ac:dyDescent="0.25">
      <c r="AV157" t="s">
        <v>1179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Mizukane</v>
      </c>
      <c r="BP157" s="1" t="str">
        <f t="shared" si="58"/>
        <v/>
      </c>
      <c r="BQ157" s="1" t="str">
        <f t="shared" si="59"/>
        <v/>
      </c>
      <c r="BR157" s="1" t="str">
        <f t="shared" si="60"/>
        <v/>
      </c>
      <c r="BS157" s="1" t="str">
        <f t="shared" si="61"/>
        <v/>
      </c>
    </row>
    <row r="158" spans="48:71" x14ac:dyDescent="0.25">
      <c r="AV158" t="s">
        <v>806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Mk23</v>
      </c>
      <c r="BP158" s="1" t="str">
        <f t="shared" si="58"/>
        <v/>
      </c>
      <c r="BQ158" s="1" t="str">
        <f t="shared" si="59"/>
        <v/>
      </c>
      <c r="BR158" s="1" t="str">
        <f t="shared" si="60"/>
        <v/>
      </c>
      <c r="BS158" s="1" t="str">
        <f t="shared" si="61"/>
        <v/>
      </c>
    </row>
    <row r="159" spans="48:71" x14ac:dyDescent="0.25">
      <c r="AV159" t="s">
        <v>729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MondragonM1908</v>
      </c>
      <c r="BP159" s="1" t="str">
        <f t="shared" si="58"/>
        <v/>
      </c>
      <c r="BQ159" s="1" t="str">
        <f t="shared" si="59"/>
        <v/>
      </c>
      <c r="BR159" s="1" t="str">
        <f t="shared" si="60"/>
        <v/>
      </c>
      <c r="BS159" s="1" t="str">
        <f t="shared" si="61"/>
        <v/>
      </c>
    </row>
    <row r="160" spans="48:71" x14ac:dyDescent="0.25">
      <c r="AV160" t="s">
        <v>1680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v>
      </c>
      <c r="BP160" s="1" t="str">
        <f t="shared" si="58"/>
        <v/>
      </c>
      <c r="BQ160" s="1" t="str">
        <f t="shared" si="59"/>
        <v/>
      </c>
      <c r="BR160" s="1" t="str">
        <f t="shared" si="60"/>
        <v/>
      </c>
      <c r="BS160" s="1" t="str">
        <f t="shared" si="61"/>
        <v/>
      </c>
    </row>
    <row r="161" spans="48:71" x14ac:dyDescent="0.25">
      <c r="AV161" t="s">
        <v>8122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MosinNagantMod</v>
      </c>
      <c r="BP161" s="1" t="str">
        <f t="shared" si="58"/>
        <v/>
      </c>
      <c r="BQ161" s="1" t="str">
        <f t="shared" si="59"/>
        <v/>
      </c>
      <c r="BR161" s="1" t="str">
        <f t="shared" si="60"/>
        <v/>
      </c>
      <c r="BS161" s="1" t="str">
        <f t="shared" si="61"/>
        <v/>
      </c>
    </row>
    <row r="162" spans="48:71" x14ac:dyDescent="0.25">
      <c r="AV162" t="s">
        <v>8653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MosinNagantModGZ</v>
      </c>
      <c r="BP162" s="1" t="str">
        <f t="shared" si="58"/>
        <v/>
      </c>
      <c r="BQ162" s="1" t="str">
        <f t="shared" si="59"/>
        <v/>
      </c>
      <c r="BR162" s="1" t="str">
        <f t="shared" si="60"/>
        <v/>
      </c>
      <c r="BS162" s="1" t="str">
        <f t="shared" si="61"/>
        <v/>
      </c>
    </row>
    <row r="163" spans="48:71" x14ac:dyDescent="0.25">
      <c r="AV163" t="s">
        <v>1754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Motoko</v>
      </c>
      <c r="BP163" s="1" t="str">
        <f t="shared" si="58"/>
        <v/>
      </c>
      <c r="BQ163" s="1" t="str">
        <f t="shared" si="59"/>
        <v/>
      </c>
      <c r="BR163" s="1" t="str">
        <f t="shared" si="60"/>
        <v/>
      </c>
      <c r="BS163" s="1" t="str">
        <f t="shared" si="61"/>
        <v/>
      </c>
    </row>
    <row r="164" spans="48:71" x14ac:dyDescent="0.25">
      <c r="AV164" t="s">
        <v>1684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MP443Mod</v>
      </c>
      <c r="BP164" s="1" t="str">
        <f t="shared" si="58"/>
        <v/>
      </c>
      <c r="BQ164" s="1" t="str">
        <f t="shared" si="59"/>
        <v/>
      </c>
      <c r="BR164" s="1" t="str">
        <f t="shared" si="60"/>
        <v/>
      </c>
      <c r="BS164" s="1" t="str">
        <f t="shared" si="61"/>
        <v/>
      </c>
    </row>
    <row r="165" spans="48:71" x14ac:dyDescent="0.25">
      <c r="AV165" t="s">
        <v>730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MP446Mod</v>
      </c>
      <c r="BP165" s="1" t="str">
        <f t="shared" si="58"/>
        <v/>
      </c>
      <c r="BQ165" s="1" t="str">
        <f t="shared" si="59"/>
        <v/>
      </c>
      <c r="BR165" s="1" t="str">
        <f t="shared" si="60"/>
        <v/>
      </c>
      <c r="BS165" s="1" t="str">
        <f t="shared" si="61"/>
        <v/>
      </c>
    </row>
    <row r="166" spans="48:71" x14ac:dyDescent="0.25">
      <c r="AV166" t="s">
        <v>1410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v>
      </c>
      <c r="BP166" s="1" t="str">
        <f t="shared" si="58"/>
        <v/>
      </c>
      <c r="BQ166" s="1" t="str">
        <f t="shared" si="59"/>
        <v/>
      </c>
      <c r="BR166" s="1" t="str">
        <f t="shared" si="60"/>
        <v/>
      </c>
      <c r="BS166" s="1" t="str">
        <f t="shared" si="61"/>
        <v/>
      </c>
    </row>
    <row r="167" spans="48:71" x14ac:dyDescent="0.25">
      <c r="AV167" t="s">
        <v>8126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MP5Mod</v>
      </c>
      <c r="BP167" s="1" t="str">
        <f t="shared" si="58"/>
        <v/>
      </c>
      <c r="BQ167" s="1" t="str">
        <f t="shared" si="59"/>
        <v/>
      </c>
      <c r="BR167" s="1" t="str">
        <f t="shared" si="60"/>
        <v/>
      </c>
      <c r="BS167" s="1" t="str">
        <f t="shared" si="61"/>
        <v/>
      </c>
    </row>
    <row r="168" spans="48:71" x14ac:dyDescent="0.25">
      <c r="AV168" t="s">
        <v>1682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MP5ModGZ</v>
      </c>
      <c r="BP168" s="1" t="str">
        <f t="shared" si="58"/>
        <v/>
      </c>
      <c r="BQ168" s="1" t="str">
        <f t="shared" si="59"/>
        <v/>
      </c>
      <c r="BR168" s="1" t="str">
        <f t="shared" si="60"/>
        <v/>
      </c>
      <c r="BS168" s="1" t="str">
        <f t="shared" si="61"/>
        <v/>
      </c>
    </row>
    <row r="169" spans="48:71" x14ac:dyDescent="0.25">
      <c r="AV169" t="s">
        <v>8529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NTW20Mod</v>
      </c>
      <c r="BP169" s="1" t="str">
        <f t="shared" si="58"/>
        <v/>
      </c>
      <c r="BQ169" s="1" t="str">
        <f t="shared" si="59"/>
        <v/>
      </c>
      <c r="BR169" s="1" t="str">
        <f t="shared" si="60"/>
        <v/>
      </c>
      <c r="BS169" s="1" t="str">
        <f t="shared" si="61"/>
        <v/>
      </c>
    </row>
    <row r="170" spans="48:71" x14ac:dyDescent="0.25">
      <c r="AV170" t="s">
        <v>131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NTW20ModGZ</v>
      </c>
      <c r="BP170" s="1" t="str">
        <f t="shared" si="58"/>
        <v/>
      </c>
      <c r="BQ170" s="1" t="str">
        <f t="shared" si="59"/>
        <v/>
      </c>
      <c r="BR170" s="1" t="str">
        <f t="shared" si="60"/>
        <v/>
      </c>
      <c r="BS170" s="1" t="str">
        <f t="shared" si="61"/>
        <v/>
      </c>
    </row>
    <row r="171" spans="48:71" x14ac:dyDescent="0.25">
      <c r="AV171" t="s">
        <v>6488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NZ75</v>
      </c>
      <c r="BP171" s="1" t="str">
        <f t="shared" si="58"/>
        <v/>
      </c>
      <c r="BQ171" s="1" t="str">
        <f t="shared" si="59"/>
        <v/>
      </c>
      <c r="BR171" s="1" t="str">
        <f t="shared" si="60"/>
        <v/>
      </c>
      <c r="BS171" s="1" t="str">
        <f t="shared" si="61"/>
        <v/>
      </c>
    </row>
    <row r="172" spans="48:71" x14ac:dyDescent="0.25">
      <c r="AV172" t="s">
        <v>1694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OBRMod</v>
      </c>
      <c r="BP172" s="1" t="str">
        <f t="shared" si="58"/>
        <v/>
      </c>
      <c r="BQ172" s="1" t="str">
        <f t="shared" si="59"/>
        <v/>
      </c>
      <c r="BR172" s="1" t="str">
        <f t="shared" si="60"/>
        <v/>
      </c>
      <c r="BS172" s="1" t="str">
        <f t="shared" si="61"/>
        <v/>
      </c>
    </row>
    <row r="173" spans="48:71" x14ac:dyDescent="0.25">
      <c r="AV173" t="s">
        <v>1695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Ots12</v>
      </c>
      <c r="BP173" s="1" t="str">
        <f t="shared" si="58"/>
        <v/>
      </c>
      <c r="BQ173" s="1" t="str">
        <f t="shared" si="59"/>
        <v/>
      </c>
      <c r="BR173" s="1" t="str">
        <f t="shared" si="60"/>
        <v/>
      </c>
      <c r="BS173" s="1" t="str">
        <f t="shared" si="61"/>
        <v/>
      </c>
    </row>
    <row r="174" spans="48:71" x14ac:dyDescent="0.25">
      <c r="AV174" t="s">
        <v>71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Ots44</v>
      </c>
      <c r="BP174" s="1" t="str">
        <f t="shared" si="58"/>
        <v/>
      </c>
      <c r="BQ174" s="1" t="str">
        <f t="shared" si="59"/>
        <v/>
      </c>
      <c r="BR174" s="1" t="str">
        <f t="shared" si="60"/>
        <v/>
      </c>
      <c r="BS174" s="1" t="str">
        <f t="shared" si="61"/>
        <v/>
      </c>
    </row>
    <row r="175" spans="48:71" x14ac:dyDescent="0.25">
      <c r="AV175" t="s">
        <v>197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P08</v>
      </c>
      <c r="BP175" s="1" t="str">
        <f t="shared" si="58"/>
        <v/>
      </c>
      <c r="BQ175" s="1" t="str">
        <f t="shared" si="59"/>
        <v/>
      </c>
      <c r="BR175" s="1" t="str">
        <f t="shared" si="60"/>
        <v/>
      </c>
      <c r="BS175" s="1" t="str">
        <f t="shared" si="61"/>
        <v/>
      </c>
    </row>
    <row r="176" spans="48:71" x14ac:dyDescent="0.25">
      <c r="AV176" t="s">
        <v>69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P22</v>
      </c>
      <c r="BP176" s="1" t="str">
        <f t="shared" si="58"/>
        <v/>
      </c>
      <c r="BQ176" s="1" t="str">
        <f t="shared" si="59"/>
        <v/>
      </c>
      <c r="BR176" s="1" t="str">
        <f t="shared" si="60"/>
        <v/>
      </c>
      <c r="BS176" s="1" t="str">
        <f t="shared" si="61"/>
        <v/>
      </c>
    </row>
    <row r="177" spans="48:71" x14ac:dyDescent="0.25">
      <c r="AV177" t="s">
        <v>122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P38</v>
      </c>
      <c r="BP177" s="1" t="str">
        <f t="shared" si="58"/>
        <v/>
      </c>
      <c r="BQ177" s="1" t="str">
        <f t="shared" si="59"/>
        <v/>
      </c>
      <c r="BR177" s="1" t="str">
        <f t="shared" si="60"/>
        <v/>
      </c>
      <c r="BS177" s="1" t="str">
        <f t="shared" si="61"/>
        <v/>
      </c>
    </row>
    <row r="178" spans="48:71" x14ac:dyDescent="0.25">
      <c r="AV178" t="s">
        <v>190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P7</v>
      </c>
      <c r="BP178" s="1" t="str">
        <f t="shared" si="58"/>
        <v/>
      </c>
      <c r="BQ178" s="1" t="str">
        <f t="shared" si="59"/>
        <v/>
      </c>
      <c r="BR178" s="1" t="str">
        <f t="shared" si="60"/>
        <v/>
      </c>
      <c r="BS178" s="1" t="str">
        <f t="shared" si="61"/>
        <v/>
      </c>
    </row>
    <row r="179" spans="48:71" x14ac:dyDescent="0.25">
      <c r="AV179" t="s">
        <v>129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P90</v>
      </c>
      <c r="BP179" s="1" t="str">
        <f t="shared" si="58"/>
        <v/>
      </c>
      <c r="BQ179" s="1" t="str">
        <f t="shared" si="59"/>
        <v/>
      </c>
      <c r="BR179" s="1" t="str">
        <f t="shared" si="60"/>
        <v/>
      </c>
      <c r="BS179" s="1" t="str">
        <f t="shared" si="61"/>
        <v/>
      </c>
    </row>
    <row r="180" spans="48:71" x14ac:dyDescent="0.25">
      <c r="AV180" t="s">
        <v>1394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P99</v>
      </c>
      <c r="BP180" s="1" t="str">
        <f t="shared" si="58"/>
        <v/>
      </c>
      <c r="BQ180" s="1" t="str">
        <f t="shared" si="59"/>
        <v/>
      </c>
      <c r="BR180" s="1" t="str">
        <f t="shared" si="60"/>
        <v/>
      </c>
      <c r="BS180" s="1" t="str">
        <f t="shared" si="61"/>
        <v/>
      </c>
    </row>
    <row r="181" spans="48:71" x14ac:dyDescent="0.25">
      <c r="AV181" t="s">
        <v>111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Pekola</v>
      </c>
      <c r="BP181" s="1" t="str">
        <f t="shared" si="58"/>
        <v/>
      </c>
      <c r="BQ181" s="1" t="str">
        <f t="shared" si="59"/>
        <v/>
      </c>
      <c r="BR181" s="1" t="str">
        <f t="shared" si="60"/>
        <v/>
      </c>
      <c r="BS181" s="1" t="str">
        <f t="shared" si="61"/>
        <v/>
      </c>
    </row>
    <row r="182" spans="48:71" x14ac:dyDescent="0.25">
      <c r="AV182" t="s">
        <v>154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PK</v>
      </c>
      <c r="BP182" s="1" t="str">
        <f t="shared" si="58"/>
        <v/>
      </c>
      <c r="BQ182" s="1" t="str">
        <f t="shared" si="59"/>
        <v/>
      </c>
      <c r="BR182" s="1" t="str">
        <f t="shared" si="60"/>
        <v/>
      </c>
      <c r="BS182" s="1" t="str">
        <f t="shared" si="61"/>
        <v/>
      </c>
    </row>
    <row r="183" spans="48:71" x14ac:dyDescent="0.25">
      <c r="AV183" t="s">
        <v>1685</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PKP</v>
      </c>
      <c r="BP183" s="1" t="str">
        <f t="shared" si="58"/>
        <v/>
      </c>
      <c r="BQ183" s="1" t="str">
        <f t="shared" si="59"/>
        <v/>
      </c>
      <c r="BR183" s="1" t="str">
        <f t="shared" si="60"/>
        <v/>
      </c>
      <c r="BS183" s="1" t="str">
        <f t="shared" si="61"/>
        <v/>
      </c>
    </row>
    <row r="184" spans="48:71" x14ac:dyDescent="0.25">
      <c r="AV184" t="s">
        <v>1134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PP19Mod</v>
      </c>
      <c r="BP184" s="1" t="str">
        <f t="shared" si="58"/>
        <v/>
      </c>
      <c r="BQ184" s="1" t="str">
        <f t="shared" si="59"/>
        <v/>
      </c>
      <c r="BR184" s="1" t="str">
        <f t="shared" si="60"/>
        <v/>
      </c>
      <c r="BS184" s="1" t="str">
        <f t="shared" si="61"/>
        <v/>
      </c>
    </row>
    <row r="185" spans="48:71" x14ac:dyDescent="0.25">
      <c r="AV185" t="s">
        <v>1612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PP2000</v>
      </c>
      <c r="BP185" s="1" t="str">
        <f t="shared" si="58"/>
        <v/>
      </c>
      <c r="BQ185" s="1" t="str">
        <f t="shared" si="59"/>
        <v/>
      </c>
      <c r="BR185" s="1" t="str">
        <f t="shared" si="60"/>
        <v/>
      </c>
      <c r="BS185" s="1" t="str">
        <f t="shared" si="61"/>
        <v/>
      </c>
    </row>
    <row r="186" spans="48:71" x14ac:dyDescent="0.25">
      <c r="AV186" t="s">
        <v>70</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PP90</v>
      </c>
      <c r="BP186" s="1" t="str">
        <f t="shared" si="58"/>
        <v/>
      </c>
      <c r="BQ186" s="1" t="str">
        <f t="shared" si="59"/>
        <v/>
      </c>
      <c r="BR186" s="1" t="str">
        <f t="shared" si="60"/>
        <v/>
      </c>
      <c r="BS186" s="1" t="str">
        <f t="shared" si="61"/>
        <v/>
      </c>
    </row>
    <row r="187" spans="48:71" x14ac:dyDescent="0.25">
      <c r="AV187" t="s">
        <v>6467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PPK</v>
      </c>
      <c r="BP187" s="1" t="str">
        <f t="shared" si="58"/>
        <v/>
      </c>
      <c r="BQ187" s="1" t="str">
        <f t="shared" si="59"/>
        <v/>
      </c>
      <c r="BR187" s="1" t="str">
        <f t="shared" si="60"/>
        <v/>
      </c>
      <c r="BS187" s="1" t="str">
        <f t="shared" si="61"/>
        <v/>
      </c>
    </row>
    <row r="188" spans="48:71" x14ac:dyDescent="0.25">
      <c r="AV188" t="s">
        <v>8120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PPKMod</v>
      </c>
      <c r="BP188" s="1" t="str">
        <f t="shared" si="58"/>
        <v/>
      </c>
      <c r="BQ188" s="1" t="str">
        <f t="shared" si="59"/>
        <v/>
      </c>
      <c r="BR188" s="1" t="str">
        <f t="shared" si="60"/>
        <v/>
      </c>
      <c r="BS188" s="1" t="str">
        <f t="shared" si="61"/>
        <v/>
      </c>
    </row>
    <row r="189" spans="48:71" x14ac:dyDescent="0.25">
      <c r="AV189" t="s">
        <v>905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PPKModGZ</v>
      </c>
      <c r="BP189" s="1" t="str">
        <f t="shared" si="58"/>
        <v/>
      </c>
      <c r="BQ189" s="1" t="str">
        <f t="shared" si="59"/>
        <v/>
      </c>
      <c r="BR189" s="1" t="str">
        <f t="shared" si="60"/>
        <v/>
      </c>
      <c r="BS189" s="1" t="str">
        <f t="shared" si="61"/>
        <v/>
      </c>
    </row>
    <row r="190" spans="48:71" x14ac:dyDescent="0.25">
      <c r="AV190" t="s">
        <v>5722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PPSh41</v>
      </c>
      <c r="BP190" s="1" t="str">
        <f t="shared" si="58"/>
        <v/>
      </c>
      <c r="BQ190" s="1" t="str">
        <f t="shared" si="59"/>
        <v/>
      </c>
      <c r="BR190" s="1" t="str">
        <f t="shared" si="60"/>
        <v/>
      </c>
      <c r="BS190" s="1" t="str">
        <f t="shared" si="61"/>
        <v/>
      </c>
    </row>
    <row r="191" spans="48:71" x14ac:dyDescent="0.25">
      <c r="AV191" t="s">
        <v>8121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PPsh41Mod</v>
      </c>
      <c r="BP191" s="1" t="str">
        <f t="shared" si="58"/>
        <v/>
      </c>
      <c r="BQ191" s="1" t="str">
        <f t="shared" si="59"/>
        <v/>
      </c>
      <c r="BR191" s="1" t="str">
        <f t="shared" si="60"/>
        <v/>
      </c>
      <c r="BS191" s="1" t="str">
        <f t="shared" si="61"/>
        <v/>
      </c>
    </row>
    <row r="192" spans="48:71" x14ac:dyDescent="0.25">
      <c r="AV192" t="s">
        <v>91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PPSh41ModGZ</v>
      </c>
      <c r="BP192" s="1" t="str">
        <f t="shared" si="58"/>
        <v/>
      </c>
      <c r="BQ192" s="1" t="str">
        <f t="shared" si="59"/>
        <v/>
      </c>
      <c r="BR192" s="1" t="str">
        <f t="shared" si="60"/>
        <v/>
      </c>
      <c r="BS192" s="1" t="str">
        <f t="shared" si="61"/>
        <v/>
      </c>
    </row>
    <row r="193" spans="48:71" x14ac:dyDescent="0.25">
      <c r="AV193" t="s">
        <v>186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PTRD</v>
      </c>
      <c r="BP193" s="1" t="str">
        <f t="shared" si="58"/>
        <v/>
      </c>
      <c r="BQ193" s="1" t="str">
        <f t="shared" si="59"/>
        <v/>
      </c>
      <c r="BR193" s="1" t="str">
        <f t="shared" si="60"/>
        <v/>
      </c>
      <c r="BS193" s="1" t="str">
        <f t="shared" si="61"/>
        <v/>
      </c>
    </row>
    <row r="194" spans="48:71" x14ac:dyDescent="0.25">
      <c r="AV194" t="s">
        <v>8628</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Px4 Storm</v>
      </c>
      <c r="BP194" s="1" t="str">
        <f t="shared" si="58"/>
        <v/>
      </c>
      <c r="BQ194" s="1" t="str">
        <f t="shared" si="59"/>
        <v/>
      </c>
      <c r="BR194" s="1" t="str">
        <f t="shared" si="60"/>
        <v/>
      </c>
      <c r="BS194" s="1" t="str">
        <f t="shared" si="61"/>
        <v/>
      </c>
    </row>
    <row r="195" spans="48:71" x14ac:dyDescent="0.25">
      <c r="AV195" t="s">
        <v>64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Px4 StormMod</v>
      </c>
      <c r="BP195" s="1" t="str">
        <f t="shared" si="58"/>
        <v/>
      </c>
      <c r="BQ195" s="1" t="str">
        <f t="shared" si="59"/>
        <v/>
      </c>
      <c r="BR195" s="1" t="str">
        <f t="shared" si="60"/>
        <v/>
      </c>
      <c r="BS195" s="1" t="str">
        <f t="shared" si="61"/>
        <v/>
      </c>
    </row>
    <row r="196" spans="48:71" x14ac:dyDescent="0.25">
      <c r="AV196" t="s">
        <v>159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Python</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1655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PzB39</v>
      </c>
      <c r="BP197" s="1" t="str">
        <f t="shared" si="78"/>
        <v/>
      </c>
      <c r="BQ197" s="1" t="str">
        <f t="shared" si="79"/>
        <v/>
      </c>
      <c r="BR197" s="1" t="str">
        <f t="shared" si="80"/>
        <v/>
      </c>
      <c r="BS197" s="1" t="str">
        <f t="shared" si="81"/>
        <v/>
      </c>
    </row>
    <row r="198" spans="48:71" x14ac:dyDescent="0.25">
      <c r="AV198" t="s">
        <v>230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QBU88</v>
      </c>
      <c r="BP198" s="1" t="str">
        <f t="shared" si="78"/>
        <v/>
      </c>
      <c r="BQ198" s="1" t="str">
        <f t="shared" si="79"/>
        <v/>
      </c>
      <c r="BR198" s="1" t="str">
        <f t="shared" si="80"/>
        <v/>
      </c>
      <c r="BS198" s="1" t="str">
        <f t="shared" si="81"/>
        <v/>
      </c>
    </row>
    <row r="199" spans="48:71" x14ac:dyDescent="0.25">
      <c r="AV199" t="s">
        <v>1755</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RFB</v>
      </c>
      <c r="BP199" s="1" t="str">
        <f t="shared" si="78"/>
        <v/>
      </c>
      <c r="BQ199" s="1" t="str">
        <f t="shared" si="79"/>
        <v/>
      </c>
      <c r="BR199" s="1" t="str">
        <f t="shared" si="80"/>
        <v/>
      </c>
      <c r="BS199" s="1" t="str">
        <f t="shared" si="81"/>
        <v/>
      </c>
    </row>
    <row r="200" spans="48:71" x14ac:dyDescent="0.25">
      <c r="AV200" t="s">
        <v>249</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Ribeyrolles1918Mod</v>
      </c>
      <c r="BP200" s="1" t="str">
        <f t="shared" si="78"/>
        <v/>
      </c>
      <c r="BQ200" s="1" t="str">
        <f t="shared" si="79"/>
        <v/>
      </c>
      <c r="BR200" s="1" t="str">
        <f t="shared" si="80"/>
        <v/>
      </c>
      <c r="BS200" s="1" t="str">
        <f t="shared" si="81"/>
        <v/>
      </c>
    </row>
    <row r="201" spans="48:71" x14ac:dyDescent="0.25">
      <c r="AV201" t="s">
        <v>928</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Rico</v>
      </c>
      <c r="BP201" s="1" t="str">
        <f t="shared" si="78"/>
        <v/>
      </c>
      <c r="BQ201" s="1" t="str">
        <f t="shared" si="79"/>
        <v/>
      </c>
      <c r="BR201" s="1" t="str">
        <f t="shared" si="80"/>
        <v/>
      </c>
      <c r="BS201" s="1" t="str">
        <f t="shared" si="81"/>
        <v/>
      </c>
    </row>
    <row r="202" spans="48:71" x14ac:dyDescent="0.25">
      <c r="AV202" t="s">
        <v>826</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RMB93Mod</v>
      </c>
      <c r="BP202" s="1" t="str">
        <f t="shared" si="78"/>
        <v/>
      </c>
      <c r="BQ202" s="1" t="str">
        <f t="shared" si="79"/>
        <v/>
      </c>
      <c r="BR202" s="1" t="str">
        <f t="shared" si="80"/>
        <v/>
      </c>
      <c r="BS202" s="1" t="str">
        <f t="shared" si="81"/>
        <v/>
      </c>
    </row>
    <row r="203" spans="48:71" x14ac:dyDescent="0.25">
      <c r="AV203" t="s">
        <v>8705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RO635Mod</v>
      </c>
      <c r="BP203" s="1" t="str">
        <f t="shared" si="78"/>
        <v/>
      </c>
      <c r="BQ203" s="1" t="str">
        <f t="shared" si="79"/>
        <v/>
      </c>
      <c r="BR203" s="1" t="str">
        <f t="shared" si="80"/>
        <v/>
      </c>
      <c r="BS203" s="1" t="str">
        <f t="shared" si="81"/>
        <v/>
      </c>
    </row>
    <row r="204" spans="48:71" x14ac:dyDescent="0.25">
      <c r="AV204" t="s">
        <v>110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RO635ModGZ</v>
      </c>
      <c r="BP204" s="1" t="str">
        <f t="shared" si="78"/>
        <v/>
      </c>
      <c r="BQ204" s="1" t="str">
        <f t="shared" si="79"/>
        <v/>
      </c>
      <c r="BR204" s="1" t="str">
        <f t="shared" si="80"/>
        <v/>
      </c>
      <c r="BS204" s="1" t="str">
        <f t="shared" si="81"/>
        <v/>
      </c>
    </row>
    <row r="205" spans="48:71" x14ac:dyDescent="0.25">
      <c r="AV205" t="s">
        <v>267</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RPD</v>
      </c>
      <c r="BP205" s="1" t="str">
        <f t="shared" si="78"/>
        <v/>
      </c>
      <c r="BQ205" s="1" t="str">
        <f t="shared" si="79"/>
        <v/>
      </c>
      <c r="BR205" s="1" t="str">
        <f t="shared" si="80"/>
        <v/>
      </c>
      <c r="BS205" s="1" t="str">
        <f t="shared" si="81"/>
        <v/>
      </c>
    </row>
    <row r="206" spans="48:71" x14ac:dyDescent="0.25">
      <c r="AV206" t="s">
        <v>1635</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SAAMod</v>
      </c>
      <c r="BP206" s="1" t="str">
        <f t="shared" si="78"/>
        <v/>
      </c>
      <c r="BQ206" s="1" t="str">
        <f t="shared" si="79"/>
        <v/>
      </c>
      <c r="BR206" s="1" t="str">
        <f t="shared" si="80"/>
        <v/>
      </c>
      <c r="BS206" s="1" t="str">
        <f t="shared" si="81"/>
        <v/>
      </c>
    </row>
    <row r="207" spans="48:71" x14ac:dyDescent="0.25">
      <c r="AV207" t="s">
        <v>7024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Saiga12</v>
      </c>
      <c r="BP207" s="1" t="str">
        <f t="shared" si="78"/>
        <v/>
      </c>
      <c r="BQ207" s="1" t="str">
        <f t="shared" si="79"/>
        <v/>
      </c>
      <c r="BR207" s="1" t="str">
        <f t="shared" si="80"/>
        <v/>
      </c>
      <c r="BS207" s="1" t="str">
        <f t="shared" si="81"/>
        <v/>
      </c>
    </row>
    <row r="208" spans="48:71" x14ac:dyDescent="0.25">
      <c r="AV208" t="s">
        <v>236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Saki</v>
      </c>
      <c r="BP208" s="1" t="str">
        <f t="shared" si="78"/>
        <v/>
      </c>
      <c r="BQ208" s="1" t="str">
        <f t="shared" si="79"/>
        <v/>
      </c>
      <c r="BR208" s="1" t="str">
        <f t="shared" si="80"/>
        <v/>
      </c>
      <c r="BS208" s="1" t="str">
        <f t="shared" si="81"/>
        <v/>
      </c>
    </row>
    <row r="209" spans="48:71" x14ac:dyDescent="0.25">
      <c r="AV209" t="s">
        <v>6898</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Sakura</v>
      </c>
      <c r="BP209" s="1" t="str">
        <f t="shared" si="78"/>
        <v/>
      </c>
      <c r="BQ209" s="1" t="str">
        <f t="shared" si="79"/>
        <v/>
      </c>
      <c r="BR209" s="1" t="str">
        <f t="shared" si="80"/>
        <v/>
      </c>
      <c r="BS209" s="1" t="str">
        <f t="shared" si="81"/>
        <v/>
      </c>
    </row>
    <row r="210" spans="48:71" x14ac:dyDescent="0.25">
      <c r="AV210" t="s">
        <v>6906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SCAR-H</v>
      </c>
      <c r="BP210" s="1" t="str">
        <f t="shared" si="78"/>
        <v/>
      </c>
      <c r="BQ210" s="1" t="str">
        <f t="shared" si="79"/>
        <v/>
      </c>
      <c r="BR210" s="1" t="str">
        <f t="shared" si="80"/>
        <v/>
      </c>
      <c r="BS210" s="1" t="str">
        <f t="shared" si="81"/>
        <v/>
      </c>
    </row>
    <row r="211" spans="48:71" x14ac:dyDescent="0.25">
      <c r="AV211" t="s">
        <v>751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SCAR-L</v>
      </c>
      <c r="BP211" s="1" t="str">
        <f t="shared" si="78"/>
        <v/>
      </c>
      <c r="BQ211" s="1" t="str">
        <f t="shared" si="79"/>
        <v/>
      </c>
      <c r="BR211" s="1" t="str">
        <f t="shared" si="80"/>
        <v/>
      </c>
      <c r="BS211" s="1" t="str">
        <f t="shared" si="81"/>
        <v/>
      </c>
    </row>
    <row r="212" spans="48:71" x14ac:dyDescent="0.25">
      <c r="AV212" t="s">
        <v>732</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SCW</v>
      </c>
      <c r="BP212" s="1" t="str">
        <f t="shared" si="78"/>
        <v/>
      </c>
      <c r="BQ212" s="1" t="str">
        <f t="shared" si="79"/>
        <v/>
      </c>
      <c r="BR212" s="1" t="str">
        <f t="shared" si="80"/>
        <v/>
      </c>
      <c r="BS212" s="1" t="str">
        <f t="shared" si="81"/>
        <v/>
      </c>
    </row>
    <row r="213" spans="48:71" x14ac:dyDescent="0.25">
      <c r="AV213" t="s">
        <v>750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Sei</v>
      </c>
      <c r="BP213" s="1" t="str">
        <f t="shared" si="78"/>
        <v/>
      </c>
      <c r="BQ213" s="1" t="str">
        <f t="shared" si="79"/>
        <v/>
      </c>
      <c r="BR213" s="1" t="str">
        <f t="shared" si="80"/>
        <v/>
      </c>
      <c r="BS213" s="1" t="str">
        <f t="shared" si="81"/>
        <v/>
      </c>
    </row>
    <row r="214" spans="48:71" x14ac:dyDescent="0.25">
      <c r="AV214" t="s">
        <v>144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Serdyukov</v>
      </c>
      <c r="BP214" s="1" t="str">
        <f t="shared" si="78"/>
        <v/>
      </c>
      <c r="BQ214" s="1" t="str">
        <f t="shared" si="79"/>
        <v/>
      </c>
      <c r="BR214" s="1" t="str">
        <f t="shared" si="80"/>
        <v/>
      </c>
      <c r="BS214" s="1" t="str">
        <f t="shared" si="81"/>
        <v/>
      </c>
    </row>
    <row r="215" spans="48:71" x14ac:dyDescent="0.25">
      <c r="AV215" t="s">
        <v>745</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Shipka</v>
      </c>
      <c r="BP215" s="1" t="str">
        <f t="shared" si="78"/>
        <v/>
      </c>
      <c r="BQ215" s="1" t="str">
        <f t="shared" si="79"/>
        <v/>
      </c>
      <c r="BR215" s="1" t="str">
        <f t="shared" si="80"/>
        <v/>
      </c>
      <c r="BS215" s="1" t="str">
        <f t="shared" si="81"/>
        <v/>
      </c>
    </row>
    <row r="216" spans="48:71" x14ac:dyDescent="0.25">
      <c r="AV216" t="s">
        <v>81</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SIG510</v>
      </c>
      <c r="BP216" s="1" t="str">
        <f t="shared" si="78"/>
        <v/>
      </c>
      <c r="BQ216" s="1" t="str">
        <f t="shared" si="79"/>
        <v/>
      </c>
      <c r="BR216" s="1" t="str">
        <f t="shared" si="80"/>
        <v/>
      </c>
      <c r="BS216" s="1" t="str">
        <f t="shared" si="81"/>
        <v/>
      </c>
    </row>
    <row r="217" spans="48:71" x14ac:dyDescent="0.25">
      <c r="AV217" t="s">
        <v>795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Skorpion</v>
      </c>
      <c r="BP217" s="1" t="str">
        <f t="shared" si="78"/>
        <v/>
      </c>
      <c r="BQ217" s="1" t="str">
        <f t="shared" si="79"/>
        <v/>
      </c>
      <c r="BR217" s="1" t="str">
        <f t="shared" si="80"/>
        <v/>
      </c>
      <c r="BS217" s="1" t="str">
        <f t="shared" si="81"/>
        <v/>
      </c>
    </row>
    <row r="218" spans="48:71" x14ac:dyDescent="0.25">
      <c r="AV218" t="s">
        <v>116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SL8</v>
      </c>
      <c r="BP218" s="1" t="str">
        <f t="shared" si="78"/>
        <v/>
      </c>
      <c r="BQ218" s="1" t="str">
        <f t="shared" si="79"/>
        <v/>
      </c>
      <c r="BR218" s="1" t="str">
        <f t="shared" si="80"/>
        <v/>
      </c>
      <c r="BS218" s="1" t="str">
        <f t="shared" si="81"/>
        <v/>
      </c>
    </row>
    <row r="219" spans="48:71" x14ac:dyDescent="0.25">
      <c r="AV219" t="s">
        <v>87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Spectre M4</v>
      </c>
      <c r="BP219" s="1" t="str">
        <f t="shared" si="78"/>
        <v/>
      </c>
      <c r="BQ219" s="1" t="str">
        <f t="shared" si="79"/>
        <v/>
      </c>
      <c r="BR219" s="1" t="str">
        <f t="shared" si="80"/>
        <v/>
      </c>
      <c r="BS219" s="1" t="str">
        <f t="shared" si="81"/>
        <v/>
      </c>
    </row>
    <row r="220" spans="48:71" x14ac:dyDescent="0.25">
      <c r="AV220" t="s">
        <v>1627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Springfield</v>
      </c>
      <c r="BP220" s="1" t="str">
        <f t="shared" si="78"/>
        <v/>
      </c>
      <c r="BQ220" s="1" t="str">
        <f t="shared" si="79"/>
        <v/>
      </c>
      <c r="BR220" s="1" t="str">
        <f t="shared" si="80"/>
        <v/>
      </c>
      <c r="BS220" s="1" t="str">
        <f t="shared" si="81"/>
        <v/>
      </c>
    </row>
    <row r="221" spans="48:71" x14ac:dyDescent="0.25">
      <c r="AV221" t="s">
        <v>100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SR3MP</v>
      </c>
      <c r="BP221" s="1" t="str">
        <f t="shared" si="78"/>
        <v/>
      </c>
      <c r="BQ221" s="1" t="str">
        <f t="shared" si="79"/>
        <v/>
      </c>
      <c r="BR221" s="1" t="str">
        <f t="shared" si="80"/>
        <v/>
      </c>
      <c r="BS221" s="1" t="str">
        <f t="shared" si="81"/>
        <v/>
      </c>
    </row>
    <row r="222" spans="48:71" x14ac:dyDescent="0.25">
      <c r="AV222" t="s">
        <v>1683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 AR-15</v>
      </c>
      <c r="BP222" s="1" t="str">
        <f t="shared" si="78"/>
        <v/>
      </c>
      <c r="BQ222" s="1" t="str">
        <f t="shared" si="79"/>
        <v/>
      </c>
      <c r="BR222" s="1" t="str">
        <f t="shared" si="80"/>
        <v/>
      </c>
      <c r="BS222" s="1" t="str">
        <f t="shared" si="81"/>
        <v/>
      </c>
    </row>
    <row r="223" spans="48:71" x14ac:dyDescent="0.25">
      <c r="AV223" t="s">
        <v>8123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 AR15Mod</v>
      </c>
      <c r="BP223" s="1" t="str">
        <f t="shared" si="78"/>
        <v/>
      </c>
      <c r="BQ223" s="1" t="str">
        <f t="shared" si="79"/>
        <v/>
      </c>
      <c r="BR223" s="1" t="str">
        <f t="shared" si="80"/>
        <v/>
      </c>
      <c r="BS223" s="1" t="str">
        <f t="shared" si="81"/>
        <v/>
      </c>
    </row>
    <row r="224" spans="48:71" x14ac:dyDescent="0.25">
      <c r="AV224" t="s">
        <v>67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 AR15ModGZ</v>
      </c>
      <c r="BP224" s="1" t="str">
        <f t="shared" si="78"/>
        <v/>
      </c>
      <c r="BQ224" s="1" t="str">
        <f t="shared" si="79"/>
        <v/>
      </c>
      <c r="BR224" s="1" t="str">
        <f t="shared" si="80"/>
        <v/>
      </c>
      <c r="BS224" s="1" t="str">
        <f t="shared" si="81"/>
        <v/>
      </c>
    </row>
    <row r="225" spans="48:71" x14ac:dyDescent="0.25">
      <c r="AV225" t="s">
        <v>740</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Stechkin</v>
      </c>
      <c r="BP225" s="1" t="str">
        <f t="shared" si="78"/>
        <v/>
      </c>
      <c r="BQ225" s="1" t="str">
        <f t="shared" si="79"/>
        <v/>
      </c>
      <c r="BR225" s="1" t="str">
        <f t="shared" si="80"/>
        <v/>
      </c>
      <c r="BS225" s="1" t="str">
        <f t="shared" si="81"/>
        <v/>
      </c>
    </row>
    <row r="226" spans="48:71" x14ac:dyDescent="0.25">
      <c r="AV226" t="s">
        <v>8124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StechkinMod</v>
      </c>
      <c r="BP226" s="1" t="str">
        <f t="shared" si="78"/>
        <v/>
      </c>
      <c r="BQ226" s="1" t="str">
        <f t="shared" si="79"/>
        <v/>
      </c>
      <c r="BR226" s="1" t="str">
        <f t="shared" si="80"/>
        <v/>
      </c>
      <c r="BS226" s="1" t="str">
        <f t="shared" si="81"/>
        <v/>
      </c>
    </row>
    <row r="227" spans="48:71" x14ac:dyDescent="0.25">
      <c r="AV227" t="s">
        <v>737</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StechkinModGZ</v>
      </c>
      <c r="BP227" s="1" t="str">
        <f t="shared" si="78"/>
        <v/>
      </c>
      <c r="BQ227" s="1" t="str">
        <f t="shared" si="79"/>
        <v/>
      </c>
      <c r="BR227" s="1" t="str">
        <f t="shared" si="80"/>
        <v/>
      </c>
      <c r="BS227" s="1" t="str">
        <f t="shared" si="81"/>
        <v/>
      </c>
    </row>
    <row r="228" spans="48:71" x14ac:dyDescent="0.25">
      <c r="AV228" t="s">
        <v>829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Stella</v>
      </c>
      <c r="BP228" s="1" t="str">
        <f t="shared" si="78"/>
        <v/>
      </c>
      <c r="BQ228" s="1" t="str">
        <f t="shared" si="79"/>
        <v/>
      </c>
      <c r="BR228" s="1" t="str">
        <f t="shared" si="80"/>
        <v/>
      </c>
      <c r="BS228" s="1" t="str">
        <f t="shared" si="81"/>
        <v/>
      </c>
    </row>
    <row r="229" spans="48:71" x14ac:dyDescent="0.25">
      <c r="AV229" t="s">
        <v>726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STEN MkIIMod</v>
      </c>
      <c r="BP229" s="1" t="str">
        <f t="shared" si="78"/>
        <v/>
      </c>
      <c r="BQ229" s="1" t="str">
        <f t="shared" si="79"/>
        <v/>
      </c>
      <c r="BR229" s="1" t="str">
        <f t="shared" si="80"/>
        <v/>
      </c>
      <c r="BS229" s="1" t="str">
        <f t="shared" si="81"/>
        <v/>
      </c>
    </row>
    <row r="230" spans="48:71" x14ac:dyDescent="0.25">
      <c r="AV230" t="s">
        <v>127</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Stg44Mod</v>
      </c>
      <c r="BP230" s="1" t="str">
        <f t="shared" si="78"/>
        <v/>
      </c>
      <c r="BQ230" s="1" t="str">
        <f t="shared" si="79"/>
        <v/>
      </c>
      <c r="BR230" s="1" t="str">
        <f t="shared" si="80"/>
        <v/>
      </c>
      <c r="BS230" s="1" t="str">
        <f t="shared" si="81"/>
        <v/>
      </c>
    </row>
    <row r="231" spans="48:71" x14ac:dyDescent="0.25">
      <c r="AV231" t="s">
        <v>6513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Suomi</v>
      </c>
      <c r="BP231" s="1" t="str">
        <f t="shared" si="78"/>
        <v/>
      </c>
      <c r="BQ231" s="1" t="str">
        <f t="shared" si="79"/>
        <v/>
      </c>
      <c r="BR231" s="1" t="str">
        <f t="shared" si="80"/>
        <v/>
      </c>
      <c r="BS231" s="1" t="str">
        <f t="shared" si="81"/>
        <v/>
      </c>
    </row>
    <row r="232" spans="48:71" x14ac:dyDescent="0.25">
      <c r="AV232" t="s">
        <v>833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SuomiMod</v>
      </c>
      <c r="BP232" s="1" t="str">
        <f t="shared" si="78"/>
        <v/>
      </c>
      <c r="BQ232" s="1" t="str">
        <f t="shared" si="79"/>
        <v/>
      </c>
      <c r="BR232" s="1" t="str">
        <f t="shared" si="80"/>
        <v/>
      </c>
      <c r="BS232" s="1" t="str">
        <f t="shared" si="81"/>
        <v/>
      </c>
    </row>
    <row r="233" spans="48:71" x14ac:dyDescent="0.25">
      <c r="AV233" t="s">
        <v>1681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Super SASSMod</v>
      </c>
      <c r="BP233" s="1" t="str">
        <f t="shared" si="78"/>
        <v/>
      </c>
      <c r="BQ233" s="1" t="str">
        <f t="shared" si="79"/>
        <v/>
      </c>
      <c r="BR233" s="1" t="str">
        <f t="shared" si="80"/>
        <v/>
      </c>
      <c r="BS233" s="1" t="str">
        <f t="shared" si="81"/>
        <v/>
      </c>
    </row>
    <row r="234" spans="48:71" x14ac:dyDescent="0.25">
      <c r="AV234" t="s">
        <v>92</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SV98Mod</v>
      </c>
      <c r="BP234" s="1" t="str">
        <f t="shared" si="78"/>
        <v/>
      </c>
      <c r="BQ234" s="1" t="str">
        <f t="shared" si="79"/>
        <v/>
      </c>
      <c r="BR234" s="1" t="str">
        <f t="shared" si="80"/>
        <v/>
      </c>
      <c r="BS234" s="1" t="str">
        <f t="shared" si="81"/>
        <v/>
      </c>
    </row>
    <row r="235" spans="48:71" x14ac:dyDescent="0.25">
      <c r="AV235" t="s">
        <v>1613</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SVD</v>
      </c>
      <c r="BP235" s="1" t="str">
        <f t="shared" si="78"/>
        <v/>
      </c>
      <c r="BQ235" s="1" t="str">
        <f t="shared" si="79"/>
        <v/>
      </c>
      <c r="BR235" s="1" t="str">
        <f t="shared" si="80"/>
        <v/>
      </c>
      <c r="BS235" s="1" t="str">
        <f t="shared" si="81"/>
        <v/>
      </c>
    </row>
    <row r="236" spans="48:71" x14ac:dyDescent="0.25">
      <c r="AV236" t="s">
        <v>181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SVT38</v>
      </c>
      <c r="BP236" s="1" t="str">
        <f t="shared" si="78"/>
        <v/>
      </c>
      <c r="BQ236" s="1" t="str">
        <f t="shared" si="79"/>
        <v/>
      </c>
      <c r="BR236" s="1" t="str">
        <f t="shared" si="80"/>
        <v/>
      </c>
      <c r="BS236" s="1" t="str">
        <f t="shared" si="81"/>
        <v/>
      </c>
    </row>
    <row r="237" spans="48:71" x14ac:dyDescent="0.25">
      <c r="AV237" t="s">
        <v>1238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T77</v>
      </c>
      <c r="BP237" s="1" t="str">
        <f t="shared" si="78"/>
        <v/>
      </c>
      <c r="BQ237" s="1" t="str">
        <f t="shared" si="79"/>
        <v/>
      </c>
      <c r="BR237" s="1" t="str">
        <f t="shared" si="80"/>
        <v/>
      </c>
      <c r="BS237" s="1" t="str">
        <f t="shared" si="81"/>
        <v/>
      </c>
    </row>
    <row r="238" spans="48:71" x14ac:dyDescent="0.25">
      <c r="AV238" t="s">
        <v>6975</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TAC50</v>
      </c>
      <c r="BP238" s="1" t="str">
        <f t="shared" si="78"/>
        <v/>
      </c>
      <c r="BQ238" s="1" t="str">
        <f t="shared" si="79"/>
        <v/>
      </c>
      <c r="BR238" s="1" t="str">
        <f t="shared" si="80"/>
        <v/>
      </c>
      <c r="BS238" s="1" t="str">
        <f t="shared" si="81"/>
        <v/>
      </c>
    </row>
    <row r="239" spans="48:71" x14ac:dyDescent="0.25">
      <c r="AV239" t="s">
        <v>739</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Tae</v>
      </c>
      <c r="BP239" s="1" t="str">
        <f t="shared" si="78"/>
        <v/>
      </c>
      <c r="BQ239" s="1" t="str">
        <f t="shared" si="79"/>
        <v/>
      </c>
      <c r="BR239" s="1" t="str">
        <f t="shared" si="80"/>
        <v/>
      </c>
      <c r="BS239" s="1" t="str">
        <f t="shared" si="81"/>
        <v/>
      </c>
    </row>
    <row r="240" spans="48:71" x14ac:dyDescent="0.25">
      <c r="AV240" t="s">
        <v>76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TAR21</v>
      </c>
      <c r="BP240" s="1" t="str">
        <f t="shared" si="78"/>
        <v/>
      </c>
      <c r="BQ240" s="1" t="str">
        <f t="shared" si="79"/>
        <v/>
      </c>
      <c r="BR240" s="1" t="str">
        <f t="shared" si="80"/>
        <v/>
      </c>
      <c r="BS240" s="1" t="str">
        <f t="shared" si="81"/>
        <v/>
      </c>
    </row>
    <row r="241" spans="48:71" x14ac:dyDescent="0.25">
      <c r="AV241" t="s">
        <v>156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Thompson</v>
      </c>
      <c r="BP241" s="1" t="str">
        <f t="shared" si="78"/>
        <v/>
      </c>
      <c r="BQ241" s="1" t="str">
        <f t="shared" si="79"/>
        <v/>
      </c>
      <c r="BR241" s="1" t="str">
        <f t="shared" si="80"/>
        <v/>
      </c>
      <c r="BS241" s="1" t="str">
        <f t="shared" si="81"/>
        <v/>
      </c>
    </row>
    <row r="242" spans="48:71" x14ac:dyDescent="0.25">
      <c r="AV242" t="s">
        <v>66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TMP</v>
      </c>
      <c r="BP242" s="1" t="str">
        <f t="shared" si="78"/>
        <v/>
      </c>
      <c r="BQ242" s="1" t="str">
        <f t="shared" si="79"/>
        <v/>
      </c>
      <c r="BR242" s="1" t="str">
        <f t="shared" si="80"/>
        <v/>
      </c>
      <c r="BS242" s="1" t="str">
        <f t="shared" si="81"/>
        <v/>
      </c>
    </row>
    <row r="243" spans="48:71" x14ac:dyDescent="0.25">
      <c r="AV243" t="s">
        <v>250</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Tokarev</v>
      </c>
      <c r="BP243" s="1" t="str">
        <f t="shared" si="78"/>
        <v/>
      </c>
      <c r="BQ243" s="1" t="str">
        <f t="shared" si="79"/>
        <v/>
      </c>
      <c r="BR243" s="1" t="str">
        <f t="shared" si="80"/>
        <v/>
      </c>
      <c r="BS243" s="1" t="str">
        <f t="shared" si="81"/>
        <v/>
      </c>
    </row>
    <row r="244" spans="48:71" x14ac:dyDescent="0.25">
      <c r="AV244" t="s">
        <v>243</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Triela</v>
      </c>
      <c r="BP244" s="1" t="str">
        <f t="shared" si="78"/>
        <v/>
      </c>
      <c r="BQ244" s="1" t="str">
        <f t="shared" si="79"/>
        <v/>
      </c>
      <c r="BR244" s="1" t="str">
        <f t="shared" si="80"/>
        <v/>
      </c>
      <c r="BS244" s="1" t="str">
        <f t="shared" si="81"/>
        <v/>
      </c>
    </row>
    <row r="245" spans="48:71" x14ac:dyDescent="0.25">
      <c r="AV245" t="s">
        <v>830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 4</v>
      </c>
      <c r="BP245" s="1" t="str">
        <f t="shared" si="78"/>
        <v/>
      </c>
      <c r="BQ245" s="1" t="str">
        <f t="shared" si="79"/>
        <v/>
      </c>
      <c r="BR245" s="1" t="str">
        <f t="shared" si="80"/>
        <v/>
      </c>
      <c r="BS245" s="1" t="str">
        <f t="shared" si="81"/>
        <v/>
      </c>
    </row>
    <row r="246" spans="48:71" x14ac:dyDescent="0.25">
      <c r="AV246" t="s">
        <v>239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 56 RMod</v>
      </c>
      <c r="BP246" s="1" t="str">
        <f t="shared" si="78"/>
        <v/>
      </c>
      <c r="BQ246" s="1" t="str">
        <f t="shared" si="79"/>
        <v/>
      </c>
      <c r="BR246" s="1" t="str">
        <f t="shared" si="80"/>
        <v/>
      </c>
      <c r="BS246" s="1" t="str">
        <f t="shared" si="81"/>
        <v/>
      </c>
    </row>
    <row r="247" spans="48:71" x14ac:dyDescent="0.25">
      <c r="AV247" t="s">
        <v>6763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Type03</v>
      </c>
      <c r="BP247" s="1" t="str">
        <f t="shared" si="78"/>
        <v/>
      </c>
      <c r="BQ247" s="1" t="str">
        <f t="shared" si="79"/>
        <v/>
      </c>
      <c r="BR247" s="1" t="str">
        <f t="shared" si="80"/>
        <v/>
      </c>
      <c r="BS247" s="1" t="str">
        <f t="shared" si="81"/>
        <v/>
      </c>
    </row>
    <row r="248" spans="48:71" x14ac:dyDescent="0.25">
      <c r="AV248" t="s">
        <v>8354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Type56-1mod</v>
      </c>
      <c r="BP248" s="1" t="str">
        <f t="shared" si="78"/>
        <v/>
      </c>
      <c r="BQ248" s="1" t="str">
        <f t="shared" si="79"/>
        <v/>
      </c>
      <c r="BR248" s="1" t="str">
        <f t="shared" si="80"/>
        <v/>
      </c>
      <c r="BS248" s="1" t="str">
        <f t="shared" si="81"/>
        <v/>
      </c>
    </row>
    <row r="249" spans="48:71" x14ac:dyDescent="0.25">
      <c r="AV249" t="s">
        <v>136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Type56-1modGZ</v>
      </c>
      <c r="BP249" s="1" t="str">
        <f t="shared" si="78"/>
        <v/>
      </c>
      <c r="BQ249" s="1" t="str">
        <f t="shared" si="79"/>
        <v/>
      </c>
      <c r="BR249" s="1" t="str">
        <f t="shared" si="80"/>
        <v/>
      </c>
      <c r="BS249" s="1" t="str">
        <f t="shared" si="81"/>
        <v/>
      </c>
    </row>
    <row r="250" spans="48:71" x14ac:dyDescent="0.25">
      <c r="AV250" t="s">
        <v>118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Type63</v>
      </c>
      <c r="BP250" s="1" t="str">
        <f t="shared" si="78"/>
        <v/>
      </c>
      <c r="BQ250" s="1" t="str">
        <f t="shared" si="79"/>
        <v/>
      </c>
      <c r="BR250" s="1" t="str">
        <f t="shared" si="80"/>
        <v/>
      </c>
      <c r="BS250" s="1" t="str">
        <f t="shared" si="81"/>
        <v/>
      </c>
    </row>
    <row r="251" spans="48:71" x14ac:dyDescent="0.25">
      <c r="AV251" t="s">
        <v>741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Type64</v>
      </c>
      <c r="BP251" s="1" t="str">
        <f t="shared" si="78"/>
        <v/>
      </c>
      <c r="BQ251" s="1" t="str">
        <f t="shared" si="79"/>
        <v/>
      </c>
      <c r="BR251" s="1" t="str">
        <f t="shared" si="80"/>
        <v/>
      </c>
      <c r="BS251" s="1" t="str">
        <f t="shared" si="81"/>
        <v/>
      </c>
    </row>
    <row r="252" spans="48:71" x14ac:dyDescent="0.25">
      <c r="AV252" t="s">
        <v>8125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Type64Mod</v>
      </c>
      <c r="BP252" s="1" t="str">
        <f t="shared" si="78"/>
        <v/>
      </c>
      <c r="BQ252" s="1" t="str">
        <f t="shared" si="79"/>
        <v/>
      </c>
      <c r="BR252" s="1" t="str">
        <f t="shared" si="80"/>
        <v/>
      </c>
      <c r="BS252" s="1" t="str">
        <f t="shared" si="81"/>
        <v/>
      </c>
    </row>
    <row r="253" spans="48:71" x14ac:dyDescent="0.25">
      <c r="AV253" t="s">
        <v>8747</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Type64ModGZ</v>
      </c>
      <c r="BP253" s="1" t="str">
        <f t="shared" si="78"/>
        <v/>
      </c>
      <c r="BQ253" s="1" t="str">
        <f t="shared" si="79"/>
        <v/>
      </c>
      <c r="BR253" s="1" t="str">
        <f t="shared" si="80"/>
        <v/>
      </c>
      <c r="BS253" s="1" t="str">
        <f t="shared" si="81"/>
        <v/>
      </c>
    </row>
    <row r="254" spans="48:71" x14ac:dyDescent="0.25">
      <c r="AV254" t="s">
        <v>8747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Type79</v>
      </c>
      <c r="BP254" s="1" t="str">
        <f t="shared" si="78"/>
        <v/>
      </c>
      <c r="BQ254" s="1" t="str">
        <f t="shared" si="79"/>
        <v/>
      </c>
      <c r="BR254" s="1" t="str">
        <f t="shared" si="80"/>
        <v/>
      </c>
      <c r="BS254" s="1" t="str">
        <f t="shared" si="81"/>
        <v/>
      </c>
    </row>
    <row r="255" spans="48:71" x14ac:dyDescent="0.25">
      <c r="AV255" t="s">
        <v>834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Type79</v>
      </c>
      <c r="BP255" s="1" t="str">
        <f t="shared" si="78"/>
        <v/>
      </c>
      <c r="BQ255" s="1" t="str">
        <f t="shared" si="79"/>
        <v/>
      </c>
      <c r="BR255" s="1" t="str">
        <f t="shared" si="80"/>
        <v/>
      </c>
      <c r="BS255" s="1" t="str">
        <f t="shared" si="81"/>
        <v/>
      </c>
    </row>
    <row r="256" spans="48:71" x14ac:dyDescent="0.25">
      <c r="AV256" t="s">
        <v>119</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Type80Mod</v>
      </c>
      <c r="BP256" s="1" t="str">
        <f t="shared" si="78"/>
        <v/>
      </c>
      <c r="BQ256" s="1" t="str">
        <f t="shared" si="79"/>
        <v/>
      </c>
      <c r="BR256" s="1" t="str">
        <f t="shared" si="80"/>
        <v/>
      </c>
      <c r="BS256" s="1" t="str">
        <f t="shared" si="81"/>
        <v/>
      </c>
    </row>
    <row r="257" spans="48:71" x14ac:dyDescent="0.25">
      <c r="AV257" t="s">
        <v>839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Type88</v>
      </c>
      <c r="BP257" s="1" t="str">
        <f t="shared" si="78"/>
        <v/>
      </c>
      <c r="BQ257" s="1" t="str">
        <f t="shared" si="79"/>
        <v/>
      </c>
      <c r="BR257" s="1" t="str">
        <f t="shared" si="80"/>
        <v/>
      </c>
      <c r="BS257" s="1" t="str">
        <f t="shared" si="81"/>
        <v/>
      </c>
    </row>
    <row r="258" spans="48:71" x14ac:dyDescent="0.25">
      <c r="AV258" t="s">
        <v>8306</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Type88Mod</v>
      </c>
      <c r="BP258" s="1" t="str">
        <f t="shared" si="78"/>
        <v/>
      </c>
      <c r="BQ258" s="1" t="str">
        <f t="shared" si="79"/>
        <v/>
      </c>
      <c r="BR258" s="1" t="str">
        <f t="shared" si="80"/>
        <v/>
      </c>
      <c r="BS258" s="1" t="str">
        <f t="shared" si="81"/>
        <v/>
      </c>
    </row>
    <row r="259" spans="48:71" x14ac:dyDescent="0.25">
      <c r="AV259" t="s">
        <v>6759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Type88ModGZ</v>
      </c>
      <c r="BP259" s="1" t="str">
        <f t="shared" si="78"/>
        <v/>
      </c>
      <c r="BQ259" s="1" t="str">
        <f t="shared" si="79"/>
        <v/>
      </c>
      <c r="BR259" s="1" t="str">
        <f t="shared" si="80"/>
        <v/>
      </c>
      <c r="BS259" s="1" t="str">
        <f t="shared" si="81"/>
        <v/>
      </c>
    </row>
    <row r="260" spans="48:71" x14ac:dyDescent="0.25">
      <c r="AV260" t="s">
        <v>712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Type92mod</v>
      </c>
      <c r="BP260" s="1" t="str">
        <f t="shared" si="83"/>
        <v/>
      </c>
      <c r="BQ260" s="1" t="str">
        <f t="shared" si="83"/>
        <v/>
      </c>
      <c r="BR260" s="1" t="str">
        <f t="shared" si="83"/>
        <v/>
      </c>
      <c r="BS260" s="1" t="str">
        <f t="shared" si="83"/>
        <v/>
      </c>
    </row>
    <row r="261" spans="48:71" x14ac:dyDescent="0.25">
      <c r="AV261" t="s">
        <v>734</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Type95/97</v>
      </c>
      <c r="BP261" s="1" t="str">
        <f t="shared" si="83"/>
        <v/>
      </c>
      <c r="BQ261" s="1" t="str">
        <f t="shared" si="83"/>
        <v/>
      </c>
      <c r="BR261" s="1" t="str">
        <f t="shared" si="83"/>
        <v/>
      </c>
      <c r="BS261" s="1" t="str">
        <f t="shared" si="83"/>
        <v/>
      </c>
    </row>
    <row r="262" spans="48:71" x14ac:dyDescent="0.25">
      <c r="AV262" t="s">
        <v>8530</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Type97SMod</v>
      </c>
      <c r="BP262" s="1" t="str">
        <f t="shared" si="83"/>
        <v/>
      </c>
      <c r="BQ262" s="1" t="str">
        <f t="shared" si="83"/>
        <v/>
      </c>
      <c r="BR262" s="1" t="str">
        <f t="shared" si="83"/>
        <v/>
      </c>
      <c r="BS262" s="1" t="str">
        <f t="shared" si="83"/>
        <v/>
      </c>
    </row>
    <row r="263" spans="48:71" x14ac:dyDescent="0.25">
      <c r="AV263" t="s">
        <v>1652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Type97SModGZ</v>
      </c>
      <c r="BP263" s="1" t="str">
        <f t="shared" si="83"/>
        <v/>
      </c>
      <c r="BQ263" s="1" t="str">
        <f t="shared" si="83"/>
        <v/>
      </c>
      <c r="BR263" s="1" t="str">
        <f t="shared" si="83"/>
        <v/>
      </c>
      <c r="BS263" s="1" t="str">
        <f t="shared" si="83"/>
        <v/>
      </c>
    </row>
    <row r="264" spans="48:71" x14ac:dyDescent="0.25">
      <c r="AV264" t="s">
        <v>731</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UKM2000</v>
      </c>
      <c r="BP264" s="1" t="str">
        <f t="shared" si="83"/>
        <v/>
      </c>
      <c r="BQ264" s="1" t="str">
        <f t="shared" si="83"/>
        <v/>
      </c>
      <c r="BR264" s="1" t="str">
        <f t="shared" si="83"/>
        <v/>
      </c>
      <c r="BS264" s="1" t="str">
        <f t="shared" si="83"/>
        <v/>
      </c>
    </row>
    <row r="265" spans="48:71" x14ac:dyDescent="0.25">
      <c r="AV265" t="s">
        <v>265</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UMP</v>
      </c>
      <c r="BP265" s="1" t="str">
        <f t="shared" si="83"/>
        <v/>
      </c>
      <c r="BQ265" s="1" t="str">
        <f t="shared" si="83"/>
        <v/>
      </c>
      <c r="BR265" s="1" t="str">
        <f t="shared" si="83"/>
        <v/>
      </c>
      <c r="BS265" s="1" t="str">
        <f t="shared" si="83"/>
        <v/>
      </c>
    </row>
    <row r="266" spans="48:71" x14ac:dyDescent="0.25">
      <c r="AV266" t="s">
        <v>8164</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UMP45Mod</v>
      </c>
      <c r="BP266" s="1" t="str">
        <f t="shared" si="83"/>
        <v/>
      </c>
      <c r="BQ266" s="1" t="str">
        <f t="shared" si="83"/>
        <v/>
      </c>
      <c r="BR266" s="1" t="str">
        <f t="shared" si="83"/>
        <v/>
      </c>
      <c r="BS266" s="1" t="str">
        <f t="shared" si="83"/>
        <v/>
      </c>
    </row>
    <row r="267" spans="48:71" x14ac:dyDescent="0.25">
      <c r="AV267" t="s">
        <v>264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UMP45ModGZ</v>
      </c>
      <c r="BP267" s="1" t="str">
        <f t="shared" si="83"/>
        <v/>
      </c>
      <c r="BQ267" s="1" t="str">
        <f t="shared" si="83"/>
        <v/>
      </c>
      <c r="BR267" s="1" t="str">
        <f t="shared" si="83"/>
        <v/>
      </c>
      <c r="BS267" s="1" t="str">
        <f t="shared" si="83"/>
        <v/>
      </c>
    </row>
    <row r="268" spans="48:71" x14ac:dyDescent="0.25">
      <c r="AV268" t="s">
        <v>8165</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UMP9Mod</v>
      </c>
      <c r="BP268" s="1" t="str">
        <f t="shared" si="83"/>
        <v/>
      </c>
      <c r="BQ268" s="1" t="str">
        <f t="shared" si="83"/>
        <v/>
      </c>
      <c r="BR268" s="1" t="str">
        <f t="shared" si="83"/>
        <v/>
      </c>
      <c r="BS268" s="1" t="str">
        <f t="shared" si="83"/>
        <v/>
      </c>
    </row>
    <row r="269" spans="48:71" x14ac:dyDescent="0.25">
      <c r="AV269" t="s">
        <v>1640</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UMP9ModGZ</v>
      </c>
      <c r="BP269" s="1" t="str">
        <f t="shared" si="83"/>
        <v/>
      </c>
      <c r="BQ269" s="1" t="str">
        <f t="shared" si="83"/>
        <v/>
      </c>
      <c r="BR269" s="1" t="str">
        <f t="shared" si="83"/>
        <v/>
      </c>
      <c r="BS269" s="1" t="str">
        <f t="shared" si="83"/>
        <v/>
      </c>
    </row>
    <row r="270" spans="48:71" x14ac:dyDescent="0.25">
      <c r="AV270" t="s">
        <v>97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USAS12</v>
      </c>
      <c r="BP270" s="1" t="str">
        <f t="shared" si="83"/>
        <v/>
      </c>
      <c r="BQ270" s="1" t="str">
        <f t="shared" si="83"/>
        <v/>
      </c>
      <c r="BR270" s="1" t="str">
        <f t="shared" si="83"/>
        <v/>
      </c>
      <c r="BS270" s="1" t="str">
        <f t="shared" si="83"/>
        <v/>
      </c>
    </row>
    <row r="271" spans="48:71" x14ac:dyDescent="0.25">
      <c r="AV271" t="s">
        <v>1669</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VM59</v>
      </c>
      <c r="BP271" s="1" t="str">
        <f t="shared" si="83"/>
        <v/>
      </c>
      <c r="BQ271" s="1" t="str">
        <f t="shared" si="83"/>
        <v/>
      </c>
      <c r="BR271" s="1" t="str">
        <f t="shared" si="83"/>
        <v/>
      </c>
      <c r="BS271" s="1" t="str">
        <f t="shared" si="83"/>
        <v/>
      </c>
    </row>
    <row r="272" spans="48:71" x14ac:dyDescent="0.25">
      <c r="AV272" t="s">
        <v>95</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VSK94</v>
      </c>
      <c r="BP272" s="1" t="str">
        <f t="shared" si="83"/>
        <v/>
      </c>
      <c r="BQ272" s="1" t="str">
        <f t="shared" si="83"/>
        <v/>
      </c>
      <c r="BR272" s="1" t="str">
        <f t="shared" si="83"/>
        <v/>
      </c>
      <c r="BS272" s="1" t="str">
        <f t="shared" si="83"/>
        <v/>
      </c>
    </row>
    <row r="273" spans="48:71" x14ac:dyDescent="0.25">
      <c r="AV273" t="s">
        <v>835</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WA2000</v>
      </c>
      <c r="BP273" s="1" t="str">
        <f t="shared" si="83"/>
        <v/>
      </c>
      <c r="BQ273" s="1" t="str">
        <f t="shared" si="83"/>
        <v/>
      </c>
      <c r="BR273" s="1" t="str">
        <f t="shared" si="83"/>
        <v/>
      </c>
      <c r="BS273" s="1" t="str">
        <f t="shared" si="83"/>
        <v/>
      </c>
    </row>
    <row r="274" spans="48:71" x14ac:dyDescent="0.25">
      <c r="AV274" t="s">
        <v>929</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Welrod MkIIMod</v>
      </c>
      <c r="BP274" s="1" t="str">
        <f t="shared" si="83"/>
        <v/>
      </c>
      <c r="BQ274" s="1" t="str">
        <f t="shared" si="83"/>
        <v/>
      </c>
      <c r="BR274" s="1" t="str">
        <f t="shared" si="83"/>
        <v/>
      </c>
      <c r="BS274" s="1" t="str">
        <f t="shared" si="83"/>
        <v/>
      </c>
    </row>
    <row r="275" spans="48:71" x14ac:dyDescent="0.25">
      <c r="AV275" t="s">
        <v>5737</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XM3Mod</v>
      </c>
      <c r="BP275" s="1" t="str">
        <f t="shared" si="83"/>
        <v/>
      </c>
      <c r="BQ275" s="1" t="str">
        <f t="shared" si="83"/>
        <v/>
      </c>
      <c r="BR275" s="1" t="str">
        <f t="shared" si="83"/>
        <v/>
      </c>
      <c r="BS275" s="1" t="str">
        <f t="shared" si="83"/>
        <v/>
      </c>
    </row>
    <row r="276" spans="48:71" x14ac:dyDescent="0.25">
      <c r="AV276" t="s">
        <v>1691</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XM8Mod</v>
      </c>
      <c r="BP276" s="1" t="str">
        <f t="shared" si="85"/>
        <v/>
      </c>
      <c r="BQ276" s="1" t="str">
        <f t="shared" si="85"/>
        <v/>
      </c>
      <c r="BR276" s="1" t="str">
        <f t="shared" si="85"/>
        <v/>
      </c>
      <c r="BS276" s="1" t="str">
        <f t="shared" si="85"/>
        <v/>
      </c>
    </row>
    <row r="277" spans="48:71" x14ac:dyDescent="0.25">
      <c r="AV277" t="s">
        <v>7016</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Yurine</v>
      </c>
      <c r="BP277" s="1" t="str">
        <f t="shared" si="85"/>
        <v/>
      </c>
      <c r="BQ277" s="1" t="str">
        <f t="shared" si="85"/>
        <v/>
      </c>
      <c r="BR277" s="1" t="str">
        <f t="shared" si="85"/>
        <v/>
      </c>
      <c r="BS277" s="1" t="str">
        <f t="shared" si="85"/>
        <v/>
      </c>
    </row>
    <row r="278" spans="48:71" x14ac:dyDescent="0.25">
      <c r="AV278" t="s">
        <v>1623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Yuugiri</v>
      </c>
      <c r="BP278" s="1" t="str">
        <f t="shared" si="85"/>
        <v/>
      </c>
      <c r="BQ278" s="1" t="str">
        <f t="shared" si="85"/>
        <v/>
      </c>
      <c r="BR278" s="1" t="str">
        <f t="shared" si="85"/>
        <v/>
      </c>
      <c r="BS278" s="1" t="str">
        <f t="shared" si="85"/>
        <v/>
      </c>
    </row>
    <row r="279" spans="48: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Z62</v>
      </c>
      <c r="BP279" s="1" t="str">
        <f t="shared" si="85"/>
        <v/>
      </c>
      <c r="BQ279" s="1" t="str">
        <f t="shared" si="85"/>
        <v/>
      </c>
      <c r="BR279" s="1" t="str">
        <f t="shared" si="85"/>
        <v/>
      </c>
      <c r="BS279" s="1" t="str">
        <f t="shared" si="85"/>
        <v/>
      </c>
    </row>
    <row r="280" spans="48: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AV2:AV278">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95A65A-5E50-4AC3-A9AC-931857B0EA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2024-05-07T01:29:51Z</dcterms:modified>
</cp:coreProperties>
</file>