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FC628A3-3C34-40C5-B0E8-C2E3191C4750}" xr6:coauthVersionLast="36" xr6:coauthVersionMax="36" xr10:uidLastSave="{00000000-0000-0000-0000-000000000000}"/>
  <bookViews>
    <workbookView xWindow="0" yWindow="0" windowWidth="7470" windowHeight="259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Mission_Act_Info" sheetId="20" r:id="rId5"/>
    <sheet name="GFBattleSimulator" sheetId="24" r:id="rId6"/>
    <sheet name="Stat Calc" sheetId="3" state="hidden" r:id="rId7"/>
    <sheet name="Doll Data" sheetId="4" state="hidden" r:id="rId8"/>
    <sheet name="Equip Data" sheetId="11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Dropdowns" sheetId="2" state="hidden" r:id="rId14"/>
  </sheets>
  <definedNames>
    <definedName name="_xlnm._FilterDatabase" localSheetId="7" hidden="1">'Doll Data'!$A$1:$K$398</definedName>
    <definedName name="_xlnm._FilterDatabase" localSheetId="8" hidden="1">'Equip Data'!$A$1:$V$1</definedName>
    <definedName name="_xlnm._FilterDatabase" localSheetId="9" hidden="1">'Fairy Data'!$A$1:$K$37</definedName>
    <definedName name="BossHP">Main!$E$6</definedName>
    <definedName name="Day">Main!$B$6</definedName>
    <definedName name="DollEq">OFFSET(Dropdowns!$A$2,0,MATCH(Main!XFD1,Dropdowns!$B$1:$XFD$1,0),100,1)</definedName>
    <definedName name="DollJSONPath">Main!$B$11</definedName>
    <definedName name="DollNames">OFFSET(Dropdowns!$A$2,0,MATCH(Main!XFD1&amp;Main!XFC1,Dropdowns!$B$1:$XFD$1,0),100,1)</definedName>
    <definedName name="EnemyID">Main!$E$5</definedName>
    <definedName name="EquipJSONPath">Main!$B$12</definedName>
    <definedName name="FairyJSONPath">Main!$B$13</definedName>
    <definedName name="FairySkill">Main!$E$7</definedName>
    <definedName name="HOCSupport">Main!$E$8</definedName>
    <definedName name="MissionJSON">Main!$B$14</definedName>
    <definedName name="Names2">OFFSET(Dropdowns!$A$2,0,MATCH(Main!$C$21&amp;Main!$B$21,Dropdowns!$B$1:$XFD$1,0),100,1)</definedName>
    <definedName name="Names3">OFFSET(Dropdowns!$A$2,0,MATCH(Main!$C$22&amp;Main!$B$22,Dropdowns!$B$1:$XFD$1,0),100,1)</definedName>
    <definedName name="Names4">OFFSET(Dropdowns!$A$2,0,MATCH(Main!$C$23&amp;Main!$B$23,Dropdowns!$B$1:$XFD$1,0),100,1)</definedName>
    <definedName name="Names5">OFFSET(Dropdowns!$A$2,0,MATCH(Main!$C$24&amp;Main!$B$24,Dropdowns!$B$1:$XFD$1,0),100,1)</definedName>
    <definedName name="NodeColor">Main!$B$7</definedName>
    <definedName name="SimJSON">Main!$B$15</definedName>
    <definedName name="TurnNum">Main!$B$8</definedName>
    <definedName name="UserID">Main!$B$5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4" i="1"/>
  <c r="B13" i="1"/>
  <c r="B12" i="1"/>
  <c r="B11" i="1"/>
  <c r="E14" i="18" l="1"/>
  <c r="F14" i="18" s="1"/>
  <c r="E13" i="18"/>
  <c r="F13" i="18" s="1"/>
  <c r="E12" i="18"/>
  <c r="F12" i="18" s="1"/>
  <c r="F11" i="18"/>
  <c r="E11" i="18"/>
  <c r="E10" i="18"/>
  <c r="F10" i="18" s="1"/>
  <c r="E9" i="18"/>
  <c r="F9" i="18" s="1"/>
  <c r="C3" i="20" s="1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AF12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AA4" i="3" s="1"/>
  <c r="J3" i="7" s="1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AB14" i="3" s="1"/>
  <c r="J7" i="3"/>
  <c r="R7" i="3" s="1"/>
  <c r="Z6" i="3"/>
  <c r="S6" i="3"/>
  <c r="R6" i="3"/>
  <c r="O6" i="3"/>
  <c r="W6" i="3" s="1"/>
  <c r="N6" i="3"/>
  <c r="V6" i="3" s="1"/>
  <c r="M6" i="3"/>
  <c r="U6" i="3" s="1"/>
  <c r="L6" i="3"/>
  <c r="T6" i="3" s="1"/>
  <c r="AC13" i="3" s="1"/>
  <c r="K6" i="3"/>
  <c r="J6" i="3"/>
  <c r="Z5" i="3"/>
  <c r="O5" i="3"/>
  <c r="W5" i="3" s="1"/>
  <c r="N5" i="3"/>
  <c r="V5" i="3" s="1"/>
  <c r="AE12" i="3" s="1"/>
  <c r="M5" i="3"/>
  <c r="U5" i="3" s="1"/>
  <c r="L5" i="3"/>
  <c r="K5" i="3"/>
  <c r="J5" i="3"/>
  <c r="R5" i="3" s="1"/>
  <c r="AA12" i="3" s="1"/>
  <c r="Z4" i="3"/>
  <c r="O4" i="3"/>
  <c r="W4" i="3" s="1"/>
  <c r="N4" i="3"/>
  <c r="M4" i="3"/>
  <c r="U4" i="3" s="1"/>
  <c r="AD11" i="3" s="1"/>
  <c r="L4" i="3"/>
  <c r="T4" i="3" s="1"/>
  <c r="AC11" i="3" s="1"/>
  <c r="K4" i="3"/>
  <c r="J4" i="3"/>
  <c r="R4" i="3" s="1"/>
  <c r="Z3" i="3"/>
  <c r="O3" i="3"/>
  <c r="W3" i="3" s="1"/>
  <c r="AF10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2" i="24"/>
  <c r="C4" i="20"/>
  <c r="B4" i="20"/>
  <c r="B3" i="20"/>
  <c r="C2" i="20"/>
  <c r="B2" i="20"/>
  <c r="J2" i="13"/>
  <c r="I2" i="13"/>
  <c r="G2" i="13"/>
  <c r="H2" i="13" s="1"/>
  <c r="E2" i="13"/>
  <c r="F2" i="13" s="1"/>
  <c r="C2" i="13"/>
  <c r="B2" i="13"/>
  <c r="A2" i="13"/>
  <c r="S16" i="12"/>
  <c r="Q16" i="12"/>
  <c r="N16" i="12"/>
  <c r="M16" i="12"/>
  <c r="I16" i="12"/>
  <c r="G16" i="12"/>
  <c r="F16" i="12"/>
  <c r="E16" i="12" s="1"/>
  <c r="D16" i="12"/>
  <c r="T16" i="12" s="1"/>
  <c r="B16" i="12"/>
  <c r="S15" i="12"/>
  <c r="R15" i="12"/>
  <c r="I15" i="12"/>
  <c r="G15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S11" i="12"/>
  <c r="I11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H8" i="12"/>
  <c r="G8" i="12"/>
  <c r="F8" i="12"/>
  <c r="E8" i="12" s="1"/>
  <c r="D8" i="12"/>
  <c r="N8" i="12" s="1"/>
  <c r="B8" i="12"/>
  <c r="P7" i="12"/>
  <c r="H7" i="12"/>
  <c r="G7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N5" i="12"/>
  <c r="F5" i="12"/>
  <c r="E5" i="12" s="1"/>
  <c r="D5" i="12"/>
  <c r="P5" i="12" s="1"/>
  <c r="C5" i="12"/>
  <c r="C10" i="12" s="1"/>
  <c r="C1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H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N12" i="12" l="1"/>
  <c r="AA5" i="3"/>
  <c r="J4" i="7" s="1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D18" i="3"/>
  <c r="N3" i="7" s="1"/>
  <c r="AE5" i="3"/>
  <c r="AE19" i="3" s="1"/>
  <c r="O4" i="7" s="1"/>
  <c r="AC6" i="3"/>
  <c r="AC20" i="3" s="1"/>
  <c r="P5" i="7" s="1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J5" i="7" s="1"/>
  <c r="AC14" i="3"/>
  <c r="AE10" i="3"/>
  <c r="AB3" i="3"/>
  <c r="AF3" i="3"/>
  <c r="AD10" i="3"/>
  <c r="AB10" i="3"/>
  <c r="AC3" i="3"/>
  <c r="AA10" i="3"/>
  <c r="AC10" i="3"/>
  <c r="C103" i="5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D5" i="7"/>
  <c r="D6" i="7"/>
  <c r="Q6" i="12"/>
  <c r="M6" i="12"/>
  <c r="I6" i="12"/>
  <c r="J6" i="12"/>
  <c r="O6" i="12"/>
  <c r="T6" i="12"/>
  <c r="S4" i="3"/>
  <c r="AB4" i="3"/>
  <c r="AC18" i="3"/>
  <c r="P3" i="7" s="1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J6" i="7" s="1"/>
  <c r="AE7" i="3"/>
  <c r="AE21" i="3" s="1"/>
  <c r="O6" i="7" s="1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B21" i="3" s="1"/>
  <c r="M6" i="7" s="1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J2" i="7" s="1"/>
  <c r="AE3" i="3"/>
  <c r="AE17" i="3" s="1"/>
  <c r="O2" i="7" s="1"/>
  <c r="AE6" i="3"/>
  <c r="AE20" i="3" s="1"/>
  <c r="O5" i="7" s="1"/>
  <c r="AD3" i="3"/>
  <c r="AD5" i="3"/>
  <c r="AD7" i="3"/>
  <c r="AD21" i="3" s="1"/>
  <c r="N6" i="7" s="1"/>
  <c r="AB11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B20" i="3" l="1"/>
  <c r="M5" i="7" s="1"/>
  <c r="AB17" i="3"/>
  <c r="M2" i="7" s="1"/>
  <c r="AD20" i="3"/>
  <c r="N5" i="7" s="1"/>
  <c r="AC17" i="3"/>
  <c r="P2" i="7" s="1"/>
  <c r="AC21" i="3"/>
  <c r="P6" i="7" s="1"/>
  <c r="AD17" i="3"/>
  <c r="N2" i="7" s="1"/>
  <c r="AD19" i="3"/>
  <c r="N4" i="7" s="1"/>
  <c r="AE18" i="3"/>
  <c r="O3" i="7" s="1"/>
  <c r="A13" i="12"/>
  <c r="A8" i="12"/>
  <c r="A4" i="12"/>
  <c r="AC19" i="3"/>
  <c r="P4" i="7" s="1"/>
  <c r="AB18" i="3"/>
  <c r="M3" i="7" s="1"/>
  <c r="AB19" i="3"/>
  <c r="M4" i="7" s="1"/>
  <c r="C118" i="5"/>
  <c r="C119" i="5" s="1"/>
  <c r="C120" i="5" s="1"/>
  <c r="C121" i="5" s="1"/>
  <c r="C122" i="5" s="1"/>
  <c r="D2" i="7" s="1"/>
  <c r="D4" i="7"/>
  <c r="D3" i="7"/>
  <c r="A14" i="12" l="1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Danny L</author>
  </authors>
  <commentList>
    <comment ref="O19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19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19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sharedStrings.xml><?xml version="1.0" encoding="utf-8"?>
<sst xmlns="http://schemas.openxmlformats.org/spreadsheetml/2006/main" count="4509" uniqueCount="1046">
  <si>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</si>
  <si>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</si>
  <si>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</si>
  <si>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</si>
  <si>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</si>
  <si>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</si>
  <si>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</si>
  <si>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</si>
  <si>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</si>
  <si>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</si>
  <si>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</si>
  <si>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</si>
  <si>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</si>
  <si>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</si>
  <si>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</si>
  <si>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</si>
  <si>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</si>
  <si>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</si>
  <si>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</si>
  <si>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</si>
  <si>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</si>
  <si>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</si>
  <si>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</si>
  <si>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</si>
  <si>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</si>
  <si>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</si>
  <si>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</si>
  <si>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</si>
  <si>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</si>
  <si>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</si>
  <si>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</si>
  <si>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</si>
  <si>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</si>
  <si>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</si>
  <si>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</si>
  <si>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</si>
  <si>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</si>
  <si>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</si>
  <si>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</si>
  <si>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</si>
  <si>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</si>
  <si>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</si>
  <si>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</si>
  <si>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</si>
  <si>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</si>
  <si>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</si>
  <si>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</si>
  <si>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</si>
  <si>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</si>
  <si>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</si>
  <si>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</si>
  <si>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</si>
  <si>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</si>
  <si>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</si>
  <si>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</si>
  <si>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</si>
  <si>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</si>
  <si>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</si>
  <si>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</si>
  <si>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</si>
  <si>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</si>
  <si>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</si>
  <si>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</si>
  <si>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</si>
  <si>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</si>
  <si>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</si>
  <si>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</si>
  <si>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</si>
  <si>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</si>
  <si>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</si>
  <si>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</si>
  <si>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</si>
  <si>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</si>
  <si>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</si>
  <si>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</si>
  <si>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</si>
  <si>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</si>
  <si>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</si>
  <si>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</si>
  <si>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</si>
  <si>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</si>
  <si>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</si>
  <si>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</si>
  <si>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</si>
  <si>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</si>
  <si>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</si>
  <si>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</si>
  <si>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</si>
  <si>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</si>
  <si>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</si>
  <si>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</si>
  <si>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</si>
  <si>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</si>
  <si>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</si>
  <si>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</si>
  <si>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</si>
  <si>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</si>
  <si>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</si>
  <si>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</si>
  <si>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</si>
  <si>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</si>
  <si>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</si>
  <si>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</si>
  <si>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</si>
  <si>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</si>
  <si>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</si>
  <si>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</si>
  <si>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</si>
  <si>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</si>
  <si>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</si>
  <si>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</si>
  <si>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</si>
  <si>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</si>
  <si>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</si>
  <si>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</si>
  <si>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</si>
  <si>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</si>
  <si>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</si>
  <si>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</si>
  <si>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</si>
  <si>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</si>
  <si>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</si>
  <si>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</si>
  <si>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</si>
  <si>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</si>
  <si>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</si>
  <si>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</si>
  <si>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</si>
  <si>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</si>
  <si>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</si>
  <si>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</si>
  <si>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</si>
  <si>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</si>
  <si>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</si>
  <si>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</si>
  <si>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</si>
  <si>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</si>
  <si>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</si>
  <si>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</si>
  <si>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</si>
  <si>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</si>
  <si>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</si>
  <si>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</si>
  <si>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</si>
  <si>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</si>
  <si>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</si>
  <si>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</si>
  <si>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</si>
  <si>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</si>
  <si>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</si>
  <si>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</si>
  <si>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</si>
  <si>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</si>
  <si>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</si>
  <si>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</si>
  <si>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</si>
  <si>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</si>
  <si>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</si>
  <si>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</si>
  <si>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</si>
  <si>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</si>
  <si>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</si>
  <si>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</si>
  <si>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</si>
  <si>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</si>
  <si>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</si>
  <si>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</si>
  <si>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</si>
  <si>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</si>
  <si>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</si>
  <si>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</si>
  <si>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</si>
  <si>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</si>
  <si>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</si>
  <si>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</si>
  <si>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</si>
  <si>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</si>
  <si>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</si>
  <si>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</si>
  <si>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</si>
  <si>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</si>
  <si>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</si>
  <si>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</si>
  <si>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</si>
  <si>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</si>
  <si>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</si>
  <si>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</si>
  <si>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</si>
  <si>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</si>
  <si>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</si>
  <si>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</si>
  <si>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</si>
  <si>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</si>
  <si>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</si>
  <si>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</si>
  <si>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</si>
  <si>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</si>
  <si>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</si>
  <si>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</si>
  <si>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</si>
  <si>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</si>
  <si>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</si>
  <si>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</si>
  <si>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</si>
  <si>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</si>
  <si>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</si>
  <si>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</si>
  <si>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</si>
  <si>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</si>
  <si>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</si>
  <si>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</si>
  <si>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</si>
  <si>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</si>
  <si>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</si>
  <si>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</si>
  <si>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</si>
  <si>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</si>
  <si>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</si>
  <si>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</si>
  <si>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</si>
  <si>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</si>
  <si>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</si>
  <si>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</si>
  <si>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</si>
  <si>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</si>
  <si>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</si>
  <si>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</si>
  <si>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</si>
  <si>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</si>
  <si>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</si>
  <si>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</si>
  <si>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</si>
  <si>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</si>
  <si>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</si>
  <si>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</si>
  <si>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</si>
  <si>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</si>
  <si>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</si>
  <si>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</si>
  <si>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</si>
  <si>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</si>
  <si>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</si>
  <si>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</si>
  <si>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</si>
  <si>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</si>
  <si>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</si>
  <si>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</si>
  <si>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</si>
  <si>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</si>
  <si>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</si>
  <si>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</si>
  <si>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</si>
  <si>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</si>
  <si>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</si>
  <si>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</si>
  <si>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</si>
  <si>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</si>
  <si>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</si>
  <si>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</si>
  <si>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</si>
  <si>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</si>
  <si>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</si>
  <si>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</si>
  <si>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</si>
  <si>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</si>
  <si>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</si>
  <si>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</si>
  <si>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</si>
  <si>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</si>
  <si>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</si>
  <si>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</si>
  <si>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</si>
  <si>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</si>
  <si>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</si>
  <si>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</si>
  <si>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</si>
  <si>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</si>
  <si>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</si>
  <si>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</si>
  <si>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</si>
  <si>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</si>
  <si>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</si>
  <si>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</si>
  <si>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</si>
  <si>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</si>
  <si>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</si>
  <si>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</si>
  <si>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</si>
  <si>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</si>
  <si>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</si>
  <si>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</si>
  <si>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</si>
  <si>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</si>
  <si>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</si>
  <si>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</si>
  <si>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</si>
  <si>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</si>
  <si>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</si>
  <si>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</si>
  <si>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</si>
  <si>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</si>
  <si>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</si>
  <si>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</si>
  <si>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</si>
  <si>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</si>
  <si>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</si>
  <si>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</si>
  <si>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</si>
  <si>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</si>
  <si>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</si>
  <si>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</si>
  <si>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</si>
  <si>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</si>
  <si>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</si>
  <si>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</si>
  <si>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</si>
  <si>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</si>
  <si>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</si>
  <si>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</si>
  <si>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</si>
  <si>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</si>
  <si>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</si>
  <si>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</si>
  <si>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</si>
  <si>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</si>
  <si>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</si>
  <si>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</si>
  <si>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</si>
  <si>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</si>
  <si>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</si>
  <si>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</si>
  <si>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</si>
  <si>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</si>
  <si>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</si>
  <si>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</si>
  <si>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</si>
  <si>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</si>
  <si>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</si>
  <si>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</si>
  <si>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</si>
  <si>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</si>
  <si>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</si>
  <si>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</si>
  <si>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</si>
  <si>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</si>
  <si>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</si>
  <si>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</si>
  <si>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</si>
  <si>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</si>
  <si>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</si>
  <si>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</si>
  <si>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</si>
  <si>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</si>
  <si>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</si>
  <si>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</si>
  <si>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</si>
  <si>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</si>
  <si>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</si>
  <si>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</si>
  <si>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</si>
  <si>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</si>
  <si>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</si>
  <si>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</si>
  <si>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</si>
  <si>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</si>
  <si>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</si>
  <si>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</si>
  <si>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</si>
  <si>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</si>
  <si>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</si>
  <si>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</si>
  <si>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</si>
  <si>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</si>
  <si>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</si>
  <si>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</si>
  <si>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</si>
  <si>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</si>
  <si>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</si>
  <si>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</si>
  <si>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</si>
  <si>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</si>
  <si>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</si>
  <si>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</si>
  <si>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</si>
  <si>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</si>
  <si>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</si>
  <si>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</si>
  <si>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</si>
  <si>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</si>
  <si>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</si>
  <si>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</si>
  <si>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</si>
  <si>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</si>
  <si>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</si>
  <si>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</si>
  <si>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</si>
  <si>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</si>
  <si>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</si>
  <si>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</si>
  <si>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</si>
  <si>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</si>
  <si>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</si>
  <si>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</si>
  <si>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</si>
  <si>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</si>
  <si>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</si>
  <si>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</si>
  <si>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</si>
  <si>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</si>
  <si>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</si>
  <si>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</si>
  <si>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</si>
  <si>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</si>
  <si>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</si>
  <si>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</si>
  <si>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</si>
  <si>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</si>
  <si>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</si>
  <si>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</si>
  <si>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</si>
  <si>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</si>
  <si>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</si>
  <si>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</si>
  <si>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</si>
  <si>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</si>
  <si>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</si>
  <si>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</si>
  <si>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</si>
  <si>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</si>
  <si>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</si>
  <si>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</si>
  <si>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</si>
  <si>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</si>
  <si>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</si>
  <si>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</si>
  <si>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</si>
  <si>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</si>
  <si>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</si>
  <si>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</si>
  <si>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</si>
  <si>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</si>
  <si>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</si>
  <si>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</si>
  <si>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</si>
  <si>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</si>
  <si>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</si>
  <si>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</si>
  <si>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</si>
  <si>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</si>
  <si>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</si>
  <si>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</si>
  <si>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</si>
  <si>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</si>
  <si>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</si>
  <si>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</si>
  <si>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</si>
  <si>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</si>
  <si>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</si>
  <si>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</si>
  <si>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</si>
  <si>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</si>
  <si>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</si>
  <si>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</si>
  <si>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</si>
  <si>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</si>
  <si>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</si>
  <si>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</si>
  <si>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</si>
  <si>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</si>
  <si>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</si>
  <si>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</si>
  <si>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</si>
  <si>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</si>
  <si>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</si>
  <si>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</si>
  <si>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</si>
  <si>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</si>
  <si>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</si>
  <si>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</si>
  <si>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</si>
  <si>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</si>
  <si>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</si>
  <si>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</si>
  <si>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</si>
  <si>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</si>
  <si>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</si>
  <si>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</si>
  <si>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</si>
  <si>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</si>
  <si>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</si>
  <si>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</si>
  <si>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</si>
  <si>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</si>
  <si>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</si>
  <si>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</si>
  <si>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</si>
  <si>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</si>
  <si>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</si>
  <si>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</si>
  <si>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</si>
  <si>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</si>
  <si>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</si>
  <si>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</si>
  <si>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</si>
  <si>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</si>
  <si>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</si>
  <si>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</si>
  <si>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</si>
  <si>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</si>
  <si>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</si>
  <si>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</si>
  <si>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</si>
  <si>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</si>
  <si>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</si>
  <si>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</si>
  <si>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</si>
  <si>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</si>
  <si>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</si>
  <si>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</si>
  <si>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</si>
  <si>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</si>
  <si>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</si>
  <si>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</si>
  <si>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</si>
  <si>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</si>
  <si>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</si>
  <si>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</si>
  <si>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</si>
  <si>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</si>
  <si>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</si>
  <si>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</si>
  <si>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</si>
  <si>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</si>
  <si>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</si>
  <si>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</si>
  <si>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</si>
  <si>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</si>
  <si>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</si>
  <si>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</si>
  <si>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</si>
  <si>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</si>
  <si>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</si>
  <si>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</si>
  <si>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</si>
  <si>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</si>
  <si>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</si>
  <si>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</si>
  <si>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</si>
  <si>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</si>
  <si>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</si>
  <si>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</si>
  <si>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</si>
  <si>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</si>
  <si>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</si>
  <si>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</si>
  <si>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</si>
  <si>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</si>
  <si>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</si>
  <si>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</si>
  <si>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</si>
  <si>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</si>
  <si>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</si>
  <si>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</si>
  <si>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</si>
  <si>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</si>
  <si>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</si>
  <si>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</si>
  <si>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</si>
  <si>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</si>
  <si>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</si>
  <si>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</si>
  <si>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</si>
  <si>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</si>
  <si>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</si>
  <si>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</si>
  <si>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</si>
  <si>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</si>
  <si>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</si>
  <si>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</si>
  <si>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</si>
  <si>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</si>
  <si>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</si>
  <si>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</si>
  <si>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</si>
  <si>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</si>
  <si>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</si>
  <si>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</si>
  <si>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</si>
  <si>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</si>
  <si>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</si>
  <si>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</si>
  <si>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</si>
  <si>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</si>
  <si>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</si>
  <si>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</si>
  <si>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</si>
  <si>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</si>
  <si>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</si>
  <si>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</si>
  <si>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</si>
  <si>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</si>
  <si>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</si>
  <si>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</si>
  <si>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</si>
  <si>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</si>
  <si>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</si>
  <si>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</si>
  <si>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</si>
  <si>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</si>
  <si>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</si>
  <si>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</si>
  <si>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</si>
  <si>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</si>
  <si>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</si>
  <si>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</si>
  <si>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</si>
  <si>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</si>
  <si>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</si>
  <si>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</si>
  <si>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</si>
  <si>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</si>
  <si>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</si>
  <si>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</si>
  <si>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</si>
  <si>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</si>
  <si>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</si>
  <si>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</si>
  <si>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</si>
  <si>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</si>
  <si>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</si>
  <si>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</si>
  <si>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</si>
  <si>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</si>
  <si>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</si>
  <si>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</si>
  <si>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</si>
  <si>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</si>
  <si>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</si>
  <si>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</si>
  <si>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</si>
  <si>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</si>
  <si>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</si>
  <si>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</si>
  <si>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</si>
  <si>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</si>
  <si>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</si>
  <si>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</si>
  <si>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</si>
  <si>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</si>
  <si>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</si>
  <si>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</si>
  <si>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</si>
  <si>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</si>
  <si>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</si>
  <si>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</si>
  <si>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</si>
  <si>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</si>
  <si>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</si>
  <si>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</si>
  <si>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</si>
  <si>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</si>
  <si>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</si>
  <si>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</si>
  <si>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</si>
  <si>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</si>
  <si>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</si>
  <si>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</si>
  <si>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</si>
  <si>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</si>
  <si>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</si>
  <si>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</si>
  <si>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</si>
  <si>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</si>
  <si>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</si>
  <si>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</si>
  <si>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</si>
  <si>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</si>
  <si>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</si>
  <si>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</si>
  <si>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</si>
  <si>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</si>
  <si>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</si>
  <si>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</si>
  <si>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</si>
  <si>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</si>
  <si>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</si>
  <si>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</si>
  <si>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</si>
  <si>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</si>
  <si>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</si>
  <si>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</si>
  <si>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</si>
  <si>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</si>
  <si>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</si>
  <si>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</si>
  <si>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</si>
  <si>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</si>
  <si>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</si>
  <si>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</si>
  <si>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</si>
  <si>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</si>
  <si>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</si>
  <si>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</si>
  <si>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</si>
  <si>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</si>
  <si>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</si>
  <si>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</si>
  <si>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</si>
  <si>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</si>
  <si>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</si>
  <si>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</si>
  <si>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</si>
  <si>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</si>
  <si>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</si>
  <si>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</si>
  <si>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</si>
  <si>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</si>
  <si>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</si>
  <si>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</si>
  <si>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</si>
  <si>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</si>
  <si>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</si>
  <si>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</si>
  <si>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</si>
  <si>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</si>
  <si>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</si>
  <si>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</si>
  <si>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</si>
  <si>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</si>
  <si>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</si>
  <si>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</si>
  <si>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</si>
  <si>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</si>
  <si>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</si>
  <si>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</si>
  <si>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</si>
  <si>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</si>
  <si>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</si>
  <si>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</si>
  <si>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</si>
  <si>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</si>
  <si>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</si>
  <si>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</si>
  <si>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</si>
  <si>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</si>
  <si>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</si>
  <si>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</si>
  <si>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</si>
  <si>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</si>
  <si>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</si>
  <si>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</si>
  <si>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</si>
  <si>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</si>
  <si>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</si>
  <si>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</si>
  <si>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</si>
  <si>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</si>
  <si>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</si>
  <si>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</si>
  <si>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</si>
  <si>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</si>
  <si>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</si>
  <si>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</si>
  <si>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</si>
  <si>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</si>
  <si>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</si>
  <si>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</si>
  <si>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</si>
  <si>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</si>
  <si>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</si>
  <si>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</si>
  <si>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</si>
  <si>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</si>
  <si>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</si>
  <si>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</si>
  <si>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</si>
  <si>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</si>
  <si>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</si>
  <si>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</si>
  <si>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</si>
  <si>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</si>
  <si>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</si>
  <si>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</si>
  <si>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</si>
  <si>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</si>
  <si>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</si>
  <si>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</si>
  <si>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</si>
  <si>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</si>
  <si>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</si>
  <si>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</si>
  <si>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</si>
  <si>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</si>
  <si>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</si>
  <si>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</si>
  <si>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</si>
  <si>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</si>
  <si>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</si>
  <si>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</si>
  <si>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</si>
  <si>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</si>
  <si>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</si>
  <si>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</si>
  <si>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</si>
  <si>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</si>
  <si>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</si>
  <si>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</si>
  <si>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</si>
  <si>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</si>
  <si>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</si>
  <si>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</si>
  <si>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</si>
  <si>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</si>
  <si>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</si>
  <si>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Item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</si>
  <si>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</si>
  <si>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</si>
  <si>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</si>
  <si>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</si>
  <si>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</si>
  <si>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</si>
  <si>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</si>
  <si>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</si>
  <si>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</si>
  <si>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</si>
  <si>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</si>
  <si>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</si>
  <si>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</si>
  <si>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</si>
  <si>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</si>
  <si>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</si>
  <si>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</si>
  <si>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</si>
  <si>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</si>
  <si>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</si>
  <si>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</si>
  <si>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</si>
  <si>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</si>
  <si>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</si>
  <si>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</si>
  <si>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</si>
  <si>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</si>
  <si>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</si>
  <si>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</si>
  <si>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</si>
  <si>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</si>
  <si>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</si>
  <si>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</si>
  <si>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</si>
  <si>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</si>
  <si>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</si>
  <si>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</si>
  <si>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</si>
  <si>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</si>
  <si>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</si>
  <si>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</si>
  <si>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</si>
  <si>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</si>
  <si>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</si>
  <si>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</si>
  <si>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</si>
  <si>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</si>
  <si>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</si>
  <si>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</si>
  <si>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</si>
  <si>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</si>
  <si>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</si>
  <si>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</si>
  <si>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</si>
  <si>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</si>
  <si>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</si>
  <si>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</si>
  <si>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</si>
  <si>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</si>
  <si>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</si>
  <si>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</si>
  <si>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</si>
  <si>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</si>
  <si>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</si>
  <si>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</si>
  <si>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</si>
  <si>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</si>
  <si>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</si>
  <si>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</si>
  <si>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</si>
  <si>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</si>
  <si>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</si>
  <si>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</si>
  <si>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</si>
  <si>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</si>
  <si>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</si>
  <si>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</si>
  <si>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</si>
  <si>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</si>
  <si>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</si>
  <si>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</si>
  <si>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</si>
  <si>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This spreadsheet will generate the JSON files needed for the KR Battle Sim based on user inputs.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</si>
  <si>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</si>
  <si>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</si>
  <si>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</si>
  <si>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</si>
  <si>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</si>
  <si>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</si>
  <si>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</si>
  <si>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EMP Debuff on Enemy</t>
  </si>
  <si>
    <t>Doll:</t>
  </si>
  <si>
    <t>Equip:</t>
  </si>
  <si>
    <t>Fairy:</t>
  </si>
  <si>
    <t>3263200];</t>
  </si>
  <si>
    <t>Turn:</t>
  </si>
  <si>
    <t>Day:</t>
  </si>
  <si>
    <t>Y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</si>
  <si>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</si>
  <si>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</si>
  <si>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</si>
  <si>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</si>
  <si>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</si>
  <si>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</si>
  <si>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</si>
  <si>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</si>
  <si>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</si>
  <si>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</si>
  <si>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</si>
  <si>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</si>
  <si>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</si>
  <si>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</si>
  <si>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</si>
  <si>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</si>
  <si>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"fairy_skill_on_enemy":"{\"1\":{\"1\":{\"enemy_instance_id\":1,\"buff_id\":\"1000001\",\"source_type\":2,\"source_value\":90325,\"start_turn\":\"8\",\"battle_count\":0,\"battle_finish_count\":0,\"person_move_count\":0,\"mission_skill_config_id\":\"8120725\"}}}",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</si>
  <si>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</si>
  <si>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</si>
  <si>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</si>
  <si>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</si>
  <si>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</si>
  <si>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</si>
  <si>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</si>
  <si>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</si>
  <si>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</si>
  <si>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</si>
  <si>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</si>
  <si>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</si>
  <si>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</si>
  <si>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</si>
  <si>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</si>
  <si>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</si>
  <si>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</si>
  <si>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</si>
  <si>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</si>
  <si>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</si>
  <si>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</si>
  <si>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</si>
  <si>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</si>
  <si>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</si>
  <si>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</si>
  <si>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</si>
  <si>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</si>
  <si>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</si>
  <si>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</si>
  <si>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</si>
  <si>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</si>
  <si>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</si>
  <si>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</si>
  <si>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</si>
  <si>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</si>
  <si>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</si>
  <si>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</si>
  <si>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</si>
  <si>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</si>
  <si>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</si>
  <si>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</si>
  <si>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</si>
  <si>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</si>
  <si>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</si>
  <si>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</si>
  <si>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</si>
  <si>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</si>
  <si>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</si>
  <si>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</si>
  <si>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</si>
  <si>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</si>
  <si>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</si>
  <si>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</si>
  <si>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</si>
  <si>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</si>
  <si>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</si>
  <si>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</si>
  <si>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</si>
  <si>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</si>
  <si>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</si>
  <si>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</si>
  <si>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</si>
  <si>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</si>
  <si>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</si>
  <si>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</si>
  <si>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</si>
  <si>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</si>
  <si>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</si>
  <si>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</si>
  <si>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</si>
  <si>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</si>
  <si>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</si>
  <si>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</si>
  <si>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</si>
  <si>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</si>
  <si>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</si>
  <si>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</si>
  <si>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</si>
  <si>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</si>
  <si>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</si>
  <si>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</si>
  <si>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</si>
  <si>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</si>
  <si>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</si>
  <si>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</si>
  <si>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</si>
  <si>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</si>
  <si>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</si>
  <si>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</si>
  <si>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</si>
  <si>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</si>
  <si>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</si>
  <si>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</si>
  <si>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</si>
  <si>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</si>
  <si>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</si>
  <si>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</si>
  <si>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</si>
  <si>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</si>
  <si>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</si>
  <si>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Yellow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</si>
  <si>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</si>
  <si>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</si>
  <si>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</si>
  <si>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</si>
  <si>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</si>
  <si>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</si>
  <si>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JSON File Paths (autogenerated; assumes workbook is in parent directory)</t>
  </si>
  <si>
    <t>Enter doll info below - recommended to use dropdown for names; select rarity/class first</t>
  </si>
  <si>
    <t>Enter equipment info below - recommended to use dropdown for names; select equipment type first</t>
  </si>
  <si>
    <t>Enter fairy info below - recommended to use dropdown for name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</si>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</sst>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3" borderId="0" xfId="0" applyFill="1"/>
    <xf numFmtId="0" fontId="1" fillId="0" borderId="0" xfId="0" applyFont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" xfId="0" applyFont="1" applyFill="1" applyBorder="1"/>
    <xf numFmtId="0" fontId="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" fontId="0" fillId="5" borderId="5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164" fontId="0" fillId="5" borderId="7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" fontId="0" fillId="5" borderId="7" xfId="0" applyNumberFormat="1" applyFill="1" applyBorder="1" applyAlignment="1">
      <alignment horizontal="center"/>
    </xf>
    <xf numFmtId="1" fontId="0" fillId="5" borderId="8" xfId="0" applyNumberFormat="1" applyFill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165" fontId="0" fillId="5" borderId="4" xfId="0" applyNumberFormat="1" applyFill="1" applyBorder="1" applyAlignment="1">
      <alignment horizontal="center"/>
    </xf>
    <xf numFmtId="165" fontId="0" fillId="5" borderId="5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6" xfId="0" applyNumberFormat="1" applyFill="1" applyBorder="1" applyAlignment="1">
      <alignment horizontal="center"/>
    </xf>
    <xf numFmtId="165" fontId="0" fillId="5" borderId="7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0" fontId="0" fillId="0" borderId="0" xfId="0" applyAlignment="1"/>
    <xf numFmtId="0" fontId="0" fillId="0" borderId="0" xfId="0" applyNumberFormat="1" applyAlignment="1"/>
    <xf numFmtId="0" fontId="5" fillId="0" borderId="0" xfId="0" applyFont="1"/>
    <xf numFmtId="0" fontId="1" fillId="0" borderId="0" xfId="0" applyFont="1" applyAlignment="1">
      <alignment horizontal="left"/>
    </xf>
    <xf numFmtId="0" fontId="1" fillId="3" borderId="0" xfId="0" applyFont="1" applyFill="1" applyAlignment="1">
      <alignment horizontal="center"/>
    </xf>
    <xf numFmtId="0" fontId="1" fillId="0" borderId="0" xfId="0" applyFont="1" applyAlignment="1"/>
    <xf numFmtId="0" fontId="4" fillId="5" borderId="8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2" fillId="3" borderId="0" xfId="0" applyFont="1" applyFill="1"/>
    <xf numFmtId="0" fontId="9" fillId="3" borderId="0" xfId="0" applyFont="1" applyFill="1"/>
    <xf numFmtId="0" fontId="8" fillId="3" borderId="0" xfId="0" applyFont="1" applyFill="1"/>
    <xf numFmtId="0" fontId="7" fillId="3" borderId="0" xfId="0" applyFont="1" applyFill="1" applyBorder="1"/>
    <xf numFmtId="0" fontId="8" fillId="3" borderId="0" xfId="0" applyFont="1" applyFill="1" applyBorder="1"/>
    <xf numFmtId="0" fontId="7" fillId="3" borderId="0" xfId="0" applyFont="1" applyFill="1"/>
    <xf numFmtId="0" fontId="8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Alignment="1">
      <alignment horizontal="center"/>
    </xf>
    <xf numFmtId="0" fontId="7" fillId="3" borderId="13" xfId="0" applyFont="1" applyFill="1" applyBorder="1"/>
    <xf numFmtId="0" fontId="8" fillId="3" borderId="14" xfId="0" applyFont="1" applyFill="1" applyBorder="1"/>
    <xf numFmtId="0" fontId="8" fillId="3" borderId="16" xfId="0" applyFont="1" applyFill="1" applyBorder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3" borderId="24" xfId="0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26" xfId="0" applyFont="1" applyFill="1" applyBorder="1" applyAlignment="1">
      <alignment horizontal="center"/>
    </xf>
    <xf numFmtId="0" fontId="8" fillId="3" borderId="25" xfId="0" applyFont="1" applyFill="1" applyBorder="1" applyAlignment="1">
      <alignment horizontal="center"/>
    </xf>
    <xf numFmtId="0" fontId="8" fillId="3" borderId="25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left"/>
    </xf>
    <xf numFmtId="0" fontId="8" fillId="3" borderId="20" xfId="0" applyFont="1" applyFill="1" applyBorder="1" applyAlignment="1">
      <alignment horizontal="left"/>
    </xf>
    <xf numFmtId="0" fontId="8" fillId="3" borderId="18" xfId="0" applyFont="1" applyFill="1" applyBorder="1" applyAlignment="1">
      <alignment horizontal="left"/>
    </xf>
    <xf numFmtId="0" fontId="8" fillId="3" borderId="19" xfId="0" applyFont="1" applyFill="1" applyBorder="1" applyAlignment="1">
      <alignment horizontal="left"/>
    </xf>
    <xf numFmtId="0" fontId="8" fillId="6" borderId="13" xfId="0" applyFont="1" applyFill="1" applyBorder="1" applyAlignment="1">
      <alignment horizontal="center"/>
    </xf>
    <xf numFmtId="0" fontId="8" fillId="6" borderId="22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8" fillId="6" borderId="17" xfId="0" applyFont="1" applyFill="1" applyBorder="1" applyAlignment="1">
      <alignment horizontal="center"/>
    </xf>
    <xf numFmtId="0" fontId="8" fillId="6" borderId="23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8" fillId="6" borderId="20" xfId="0" applyFont="1" applyFill="1" applyBorder="1" applyAlignment="1">
      <alignment horizontal="center"/>
    </xf>
    <xf numFmtId="0" fontId="8" fillId="6" borderId="24" xfId="0" applyFont="1" applyFill="1" applyBorder="1" applyAlignment="1">
      <alignment horizontal="center"/>
    </xf>
    <xf numFmtId="0" fontId="8" fillId="6" borderId="18" xfId="0" applyFont="1" applyFill="1" applyBorder="1" applyAlignment="1">
      <alignment horizontal="center"/>
    </xf>
    <xf numFmtId="0" fontId="8" fillId="6" borderId="19" xfId="0" applyFont="1" applyFill="1" applyBorder="1" applyAlignment="1">
      <alignment horizontal="center"/>
    </xf>
    <xf numFmtId="9" fontId="8" fillId="6" borderId="20" xfId="0" applyNumberFormat="1" applyFont="1" applyFill="1" applyBorder="1" applyAlignment="1">
      <alignment horizontal="center"/>
    </xf>
    <xf numFmtId="9" fontId="8" fillId="6" borderId="19" xfId="0" applyNumberFormat="1" applyFont="1" applyFill="1" applyBorder="1" applyAlignment="1">
      <alignment horizontal="center"/>
    </xf>
    <xf numFmtId="0" fontId="8" fillId="6" borderId="25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8" fillId="6" borderId="21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1" fontId="8" fillId="3" borderId="0" xfId="0" applyNumberFormat="1" applyFont="1" applyFill="1" applyBorder="1" applyAlignment="1">
      <alignment horizontal="center"/>
    </xf>
    <xf numFmtId="1" fontId="8" fillId="3" borderId="18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0</xdr:row>
          <xdr:rowOff>76200</xdr:rowOff>
        </xdr:from>
        <xdr:to>
          <xdr:col>16</xdr:col>
          <xdr:colOff>304800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/>
  <dimension ref="A1:Y42"/>
  <sheetViews>
    <sheetView tabSelected="1" workbookViewId="0">
      <selection activeCell="B3" sqref="B3"/>
    </sheetView>
  </sheetViews>
  <sheetFormatPr defaultRowHeight="15" x14ac:dyDescent="0.25"/>
  <cols>
    <col min="1" max="1" width="9.42578125" style="108" customWidth="1"/>
    <col min="2" max="2" width="11.42578125" style="108" customWidth="1"/>
    <col min="3" max="3" width="6.85546875" style="108" customWidth="1"/>
    <col min="4" max="4" width="13.85546875" style="108" bestFit="1" customWidth="1"/>
    <col min="5" max="5" width="10.140625" style="108" customWidth="1"/>
    <col min="6" max="6" width="10.28515625" style="108" customWidth="1"/>
    <col min="7" max="10" width="9.140625" style="108"/>
    <col min="11" max="11" width="2.5703125" style="108" customWidth="1"/>
    <col min="12" max="12" width="10.85546875" style="108" customWidth="1"/>
    <col min="13" max="16384" width="9.140625" style="108"/>
  </cols>
  <sheetData>
    <row r="1" spans="1:11" s="110" customFormat="1" ht="26.25" x14ac:dyDescent="0.4">
      <c r="A1" s="109" t="s">
        <v>896</v>
      </c>
    </row>
    <row r="2" spans="1:11" s="110" customFormat="1" x14ac:dyDescent="0.25">
      <c r="A2" s="110" t="s">
        <v>897</v>
      </c>
    </row>
    <row r="3" spans="1:11" s="110" customFormat="1" x14ac:dyDescent="0.25">
      <c r="A3" s="110" t="s">
        <v>898</v>
      </c>
    </row>
    <row r="4" spans="1:11" s="110" customFormat="1" x14ac:dyDescent="0.25"/>
    <row r="5" spans="1:11" x14ac:dyDescent="0.25">
      <c r="A5" s="117" t="s">
        <v>895</v>
      </c>
      <c r="B5" s="136">
        <v>562858</v>
      </c>
      <c r="D5" s="117" t="s">
        <v>927</v>
      </c>
      <c r="E5" s="136">
        <v>363003</v>
      </c>
      <c r="K5" s="110"/>
    </row>
    <row r="6" spans="1:11" x14ac:dyDescent="0.25">
      <c r="A6" s="117" t="s">
        <v>911</v>
      </c>
      <c r="B6" s="136" t="s">
        <v>912</v>
      </c>
      <c r="D6" s="117" t="s">
        <v>1031</v>
      </c>
      <c r="E6" s="136">
        <v>320000</v>
      </c>
      <c r="K6" s="110"/>
    </row>
    <row r="7" spans="1:11" x14ac:dyDescent="0.25">
      <c r="A7" s="117" t="s">
        <v>1029</v>
      </c>
      <c r="B7" s="136" t="s">
        <v>1030</v>
      </c>
      <c r="D7" s="117" t="s">
        <v>1032</v>
      </c>
      <c r="E7" s="136" t="b">
        <v>1</v>
      </c>
      <c r="K7" s="110"/>
    </row>
    <row r="8" spans="1:11" x14ac:dyDescent="0.25">
      <c r="A8" s="117" t="s">
        <v>910</v>
      </c>
      <c r="B8" s="136">
        <v>8</v>
      </c>
      <c r="D8" s="117" t="s">
        <v>1033</v>
      </c>
      <c r="E8" s="136" t="b">
        <v>1</v>
      </c>
      <c r="K8" s="110"/>
    </row>
    <row r="9" spans="1:11" s="110" customFormat="1" x14ac:dyDescent="0.25"/>
    <row r="10" spans="1:11" s="110" customFormat="1" x14ac:dyDescent="0.25">
      <c r="A10" s="111" t="s">
        <v>1037</v>
      </c>
      <c r="B10" s="114"/>
    </row>
    <row r="11" spans="1:11" s="110" customFormat="1" x14ac:dyDescent="0.25">
      <c r="A11" s="112" t="s">
        <v>906</v>
      </c>
      <c r="B11" s="115" t="str">
        <f ca="1">LEFT(CELL("filename",$A$1),FIND("[",CELL("filename",$A$1))-1)&amp;"Preset\gun_with_user_info.json"</f>
        <v>C:\GFLBattleSim\Preset\gun_with_user_info.json</v>
      </c>
    </row>
    <row r="12" spans="1:11" s="110" customFormat="1" x14ac:dyDescent="0.25">
      <c r="A12" s="112" t="s">
        <v>907</v>
      </c>
      <c r="B12" s="115" t="str">
        <f ca="1">LEFT(CELL("filename",$A$1),FIND("[",CELL("filename",$A$1))-1)&amp;"Preset\equip_with_user_info.json"</f>
        <v>C:\GFLBattleSim\Preset\equip_with_user_info.json</v>
      </c>
    </row>
    <row r="13" spans="1:11" s="110" customFormat="1" x14ac:dyDescent="0.25">
      <c r="A13" s="110" t="s">
        <v>908</v>
      </c>
      <c r="B13" s="115" t="str">
        <f ca="1">LEFT(CELL("filename",$A$1),FIND("[",CELL("filename",$A$1))-1)&amp;"Preset\fairy_with_user_info.json"</f>
        <v>C:\GFLBattleSim\Preset\fairy_with_user_info.json</v>
      </c>
    </row>
    <row r="14" spans="1:11" s="110" customFormat="1" x14ac:dyDescent="0.25">
      <c r="A14" s="110" t="s">
        <v>913</v>
      </c>
      <c r="B14" s="115" t="str">
        <f ca="1">LEFT(CELL("filename",$A$1),FIND("[",CELL("filename",$A$1))-1)&amp;"Preset\"&amp;IF(Day="Y","battle_day\","battle_night_new\")&amp;"mission_act_info.json"</f>
        <v>C:\GFLBattleSim\Preset\battle_day\mission_act_info.json</v>
      </c>
    </row>
    <row r="15" spans="1:11" s="110" customFormat="1" x14ac:dyDescent="0.25">
      <c r="A15" s="110" t="s">
        <v>928</v>
      </c>
      <c r="B15" s="115" t="str">
        <f ca="1">LEFT(CELL("filename",$A$1),FIND("[",CELL("filename",$A$1))-1)&amp;"GFBattleSimulator.json"</f>
        <v>C:\GFLBattleSim\GFBattleSimulator.json</v>
      </c>
    </row>
    <row r="16" spans="1:11" s="110" customFormat="1" x14ac:dyDescent="0.25">
      <c r="A16" s="113"/>
      <c r="B16" s="115"/>
    </row>
    <row r="17" spans="1:25" s="110" customFormat="1" x14ac:dyDescent="0.25">
      <c r="A17" s="113" t="s">
        <v>1038</v>
      </c>
      <c r="L17" s="113" t="s">
        <v>1039</v>
      </c>
    </row>
    <row r="18" spans="1:25" s="110" customFormat="1" x14ac:dyDescent="0.25">
      <c r="A18" s="118"/>
      <c r="B18" s="119" t="s">
        <v>682</v>
      </c>
      <c r="C18" s="119"/>
      <c r="D18" s="119"/>
      <c r="E18" s="119"/>
      <c r="F18" s="119"/>
      <c r="G18" s="119"/>
      <c r="H18" s="119"/>
      <c r="I18" s="119"/>
      <c r="J18" s="120"/>
      <c r="L18" s="121" t="s">
        <v>817</v>
      </c>
      <c r="M18" s="119"/>
      <c r="N18" s="119"/>
      <c r="O18" s="120"/>
      <c r="P18" s="119" t="s">
        <v>818</v>
      </c>
      <c r="Q18" s="119"/>
      <c r="R18" s="119"/>
      <c r="S18" s="120"/>
      <c r="T18" s="119" t="s">
        <v>819</v>
      </c>
      <c r="U18" s="119"/>
      <c r="V18" s="119"/>
      <c r="W18" s="120"/>
    </row>
    <row r="19" spans="1:25" s="110" customFormat="1" x14ac:dyDescent="0.25">
      <c r="A19" s="122" t="s">
        <v>0</v>
      </c>
      <c r="B19" s="123" t="s">
        <v>385</v>
      </c>
      <c r="C19" s="123" t="s">
        <v>1</v>
      </c>
      <c r="D19" s="123" t="s">
        <v>8</v>
      </c>
      <c r="E19" s="123" t="s">
        <v>18</v>
      </c>
      <c r="F19" s="123" t="s">
        <v>384</v>
      </c>
      <c r="G19" s="123" t="s">
        <v>58</v>
      </c>
      <c r="H19" s="123" t="s">
        <v>59</v>
      </c>
      <c r="I19" s="123" t="s">
        <v>371</v>
      </c>
      <c r="J19" s="124" t="s">
        <v>60</v>
      </c>
      <c r="L19" s="125" t="s">
        <v>815</v>
      </c>
      <c r="M19" s="123" t="s">
        <v>8</v>
      </c>
      <c r="N19" s="123" t="s">
        <v>18</v>
      </c>
      <c r="O19" s="124" t="s">
        <v>816</v>
      </c>
      <c r="P19" s="123" t="s">
        <v>815</v>
      </c>
      <c r="Q19" s="123" t="s">
        <v>814</v>
      </c>
      <c r="R19" s="123" t="s">
        <v>18</v>
      </c>
      <c r="S19" s="124" t="s">
        <v>816</v>
      </c>
      <c r="T19" s="123" t="s">
        <v>815</v>
      </c>
      <c r="U19" s="123" t="s">
        <v>814</v>
      </c>
      <c r="V19" s="123" t="s">
        <v>18</v>
      </c>
      <c r="W19" s="124" t="s">
        <v>816</v>
      </c>
      <c r="Y19" s="116"/>
    </row>
    <row r="20" spans="1:25" x14ac:dyDescent="0.25">
      <c r="A20" s="126">
        <v>1</v>
      </c>
      <c r="B20" s="137">
        <v>5</v>
      </c>
      <c r="C20" s="138" t="s">
        <v>6</v>
      </c>
      <c r="D20" s="139" t="s">
        <v>368</v>
      </c>
      <c r="E20" s="137">
        <v>120</v>
      </c>
      <c r="F20" s="138">
        <v>5</v>
      </c>
      <c r="G20" s="138">
        <v>10</v>
      </c>
      <c r="H20" s="138">
        <v>10</v>
      </c>
      <c r="I20" s="138">
        <v>3</v>
      </c>
      <c r="J20" s="139">
        <v>100</v>
      </c>
      <c r="K20" s="116"/>
      <c r="L20" s="140" t="s">
        <v>828</v>
      </c>
      <c r="M20" s="141" t="s">
        <v>628</v>
      </c>
      <c r="N20" s="141">
        <v>10</v>
      </c>
      <c r="O20" s="146">
        <v>1</v>
      </c>
      <c r="P20" s="141" t="s">
        <v>838</v>
      </c>
      <c r="Q20" s="141" t="s">
        <v>368</v>
      </c>
      <c r="R20" s="141">
        <v>10</v>
      </c>
      <c r="S20" s="146">
        <v>1</v>
      </c>
      <c r="T20" s="141" t="s">
        <v>864</v>
      </c>
      <c r="U20" s="141" t="s">
        <v>681</v>
      </c>
      <c r="V20" s="141">
        <v>10</v>
      </c>
      <c r="W20" s="146">
        <v>1</v>
      </c>
    </row>
    <row r="21" spans="1:25" x14ac:dyDescent="0.25">
      <c r="A21" s="126">
        <v>2</v>
      </c>
      <c r="B21" s="140">
        <v>4</v>
      </c>
      <c r="C21" s="141" t="s">
        <v>6</v>
      </c>
      <c r="D21" s="142" t="s">
        <v>1020</v>
      </c>
      <c r="E21" s="140">
        <v>115</v>
      </c>
      <c r="F21" s="141">
        <v>5</v>
      </c>
      <c r="G21" s="141">
        <v>10</v>
      </c>
      <c r="H21" s="141">
        <v>10</v>
      </c>
      <c r="I21" s="141">
        <v>3</v>
      </c>
      <c r="J21" s="142">
        <v>100</v>
      </c>
      <c r="K21" s="116"/>
      <c r="L21" s="140" t="s">
        <v>828</v>
      </c>
      <c r="M21" s="141" t="s">
        <v>1020</v>
      </c>
      <c r="N21" s="141">
        <v>10</v>
      </c>
      <c r="O21" s="146">
        <v>1</v>
      </c>
      <c r="P21" s="141" t="s">
        <v>838</v>
      </c>
      <c r="Q21" s="141" t="s">
        <v>644</v>
      </c>
      <c r="R21" s="141">
        <v>10</v>
      </c>
      <c r="S21" s="146">
        <v>1</v>
      </c>
      <c r="T21" s="141" t="s">
        <v>864</v>
      </c>
      <c r="U21" s="141" t="s">
        <v>681</v>
      </c>
      <c r="V21" s="141">
        <v>10</v>
      </c>
      <c r="W21" s="146">
        <v>1</v>
      </c>
    </row>
    <row r="22" spans="1:25" x14ac:dyDescent="0.25">
      <c r="A22" s="126">
        <v>3</v>
      </c>
      <c r="B22" s="140">
        <v>6</v>
      </c>
      <c r="C22" s="141" t="s">
        <v>3</v>
      </c>
      <c r="D22" s="142" t="s">
        <v>365</v>
      </c>
      <c r="E22" s="140">
        <v>115</v>
      </c>
      <c r="F22" s="141">
        <v>5</v>
      </c>
      <c r="G22" s="141">
        <v>10</v>
      </c>
      <c r="H22" s="141">
        <v>10</v>
      </c>
      <c r="I22" s="141">
        <v>3</v>
      </c>
      <c r="J22" s="142">
        <v>100</v>
      </c>
      <c r="K22" s="116"/>
      <c r="L22" s="140" t="s">
        <v>878</v>
      </c>
      <c r="M22" s="141" t="s">
        <v>663</v>
      </c>
      <c r="N22" s="141">
        <v>10</v>
      </c>
      <c r="O22" s="146">
        <v>1</v>
      </c>
      <c r="P22" s="141" t="s">
        <v>9</v>
      </c>
      <c r="Q22" s="141" t="s">
        <v>669</v>
      </c>
      <c r="R22" s="141">
        <v>10</v>
      </c>
      <c r="S22" s="146">
        <v>1</v>
      </c>
      <c r="T22" s="141" t="s">
        <v>853</v>
      </c>
      <c r="U22" s="141" t="s">
        <v>659</v>
      </c>
      <c r="V22" s="141">
        <v>10</v>
      </c>
      <c r="W22" s="146">
        <v>1</v>
      </c>
    </row>
    <row r="23" spans="1:25" x14ac:dyDescent="0.25">
      <c r="A23" s="126">
        <v>4</v>
      </c>
      <c r="B23" s="140">
        <v>5</v>
      </c>
      <c r="C23" s="141" t="s">
        <v>3</v>
      </c>
      <c r="D23" s="142" t="s">
        <v>142</v>
      </c>
      <c r="E23" s="140">
        <v>100</v>
      </c>
      <c r="F23" s="141">
        <v>5</v>
      </c>
      <c r="G23" s="141">
        <v>10</v>
      </c>
      <c r="H23" s="141">
        <v>0</v>
      </c>
      <c r="I23" s="141">
        <v>0</v>
      </c>
      <c r="J23" s="142">
        <v>100</v>
      </c>
      <c r="K23" s="116"/>
      <c r="L23" s="140" t="s">
        <v>878</v>
      </c>
      <c r="M23" s="141" t="s">
        <v>663</v>
      </c>
      <c r="N23" s="141">
        <v>10</v>
      </c>
      <c r="O23" s="146">
        <v>1</v>
      </c>
      <c r="P23" s="141" t="s">
        <v>9</v>
      </c>
      <c r="Q23" s="141" t="s">
        <v>669</v>
      </c>
      <c r="R23" s="141">
        <v>10</v>
      </c>
      <c r="S23" s="146">
        <v>1</v>
      </c>
      <c r="T23" s="141" t="s">
        <v>853</v>
      </c>
      <c r="U23" s="141" t="s">
        <v>659</v>
      </c>
      <c r="V23" s="141">
        <v>10</v>
      </c>
      <c r="W23" s="146">
        <v>1</v>
      </c>
    </row>
    <row r="24" spans="1:25" x14ac:dyDescent="0.25">
      <c r="A24" s="122">
        <v>5</v>
      </c>
      <c r="B24" s="143">
        <v>5</v>
      </c>
      <c r="C24" s="144" t="s">
        <v>3</v>
      </c>
      <c r="D24" s="145" t="s">
        <v>952</v>
      </c>
      <c r="E24" s="143">
        <v>100</v>
      </c>
      <c r="F24" s="144">
        <v>5</v>
      </c>
      <c r="G24" s="144">
        <v>10</v>
      </c>
      <c r="H24" s="144">
        <v>0</v>
      </c>
      <c r="I24" s="144">
        <v>0</v>
      </c>
      <c r="J24" s="145">
        <v>100</v>
      </c>
      <c r="K24" s="116"/>
      <c r="L24" s="143" t="s">
        <v>878</v>
      </c>
      <c r="M24" s="144" t="s">
        <v>663</v>
      </c>
      <c r="N24" s="144">
        <v>10</v>
      </c>
      <c r="O24" s="147">
        <v>1</v>
      </c>
      <c r="P24" s="144" t="s">
        <v>9</v>
      </c>
      <c r="Q24" s="144" t="s">
        <v>669</v>
      </c>
      <c r="R24" s="144">
        <v>10</v>
      </c>
      <c r="S24" s="147">
        <v>1</v>
      </c>
      <c r="T24" s="144" t="s">
        <v>853</v>
      </c>
      <c r="U24" s="144" t="s">
        <v>659</v>
      </c>
      <c r="V24" s="144">
        <v>10</v>
      </c>
      <c r="W24" s="147">
        <v>1</v>
      </c>
    </row>
    <row r="25" spans="1:25" x14ac:dyDescent="0.25">
      <c r="A25" s="110"/>
      <c r="B25" s="110"/>
      <c r="C25" s="110"/>
      <c r="D25" s="110"/>
      <c r="E25" s="110"/>
      <c r="F25" s="110"/>
      <c r="G25" s="110"/>
      <c r="H25" s="110"/>
      <c r="I25" s="110"/>
      <c r="J25" s="110"/>
      <c r="K25" s="110"/>
    </row>
    <row r="26" spans="1:25" x14ac:dyDescent="0.25">
      <c r="A26" s="113" t="s">
        <v>1040</v>
      </c>
      <c r="B26" s="110"/>
      <c r="C26" s="110"/>
      <c r="D26" s="110"/>
      <c r="E26" s="110"/>
      <c r="F26" s="110"/>
      <c r="G26" s="110"/>
      <c r="H26" s="113" t="s">
        <v>1041</v>
      </c>
      <c r="I26" s="110"/>
      <c r="J26" s="110"/>
      <c r="K26" s="110"/>
    </row>
    <row r="27" spans="1:25" x14ac:dyDescent="0.25">
      <c r="A27" s="118"/>
      <c r="B27" s="119" t="s">
        <v>889</v>
      </c>
      <c r="C27" s="119"/>
      <c r="D27" s="119"/>
      <c r="E27" s="119"/>
      <c r="F27" s="120"/>
      <c r="G27" s="110"/>
      <c r="H27" s="136">
        <v>2</v>
      </c>
      <c r="I27" s="148"/>
      <c r="J27" s="148"/>
    </row>
    <row r="28" spans="1:25" x14ac:dyDescent="0.25">
      <c r="A28" s="122" t="s">
        <v>893</v>
      </c>
      <c r="B28" s="123" t="s">
        <v>8</v>
      </c>
      <c r="C28" s="123" t="s">
        <v>385</v>
      </c>
      <c r="D28" s="123" t="s">
        <v>18</v>
      </c>
      <c r="E28" s="123" t="s">
        <v>894</v>
      </c>
      <c r="F28" s="124" t="s">
        <v>690</v>
      </c>
      <c r="G28" s="110"/>
      <c r="H28" s="149">
        <v>4</v>
      </c>
      <c r="I28" s="145">
        <v>3</v>
      </c>
      <c r="J28" s="145"/>
    </row>
    <row r="29" spans="1:25" x14ac:dyDescent="0.25">
      <c r="A29" s="122">
        <v>1</v>
      </c>
      <c r="B29" s="144" t="s">
        <v>760</v>
      </c>
      <c r="C29" s="144">
        <v>5</v>
      </c>
      <c r="D29" s="144">
        <v>100</v>
      </c>
      <c r="E29" s="144">
        <v>10</v>
      </c>
      <c r="F29" s="145" t="s">
        <v>777</v>
      </c>
      <c r="H29" s="149">
        <v>1</v>
      </c>
      <c r="I29" s="145">
        <v>5</v>
      </c>
      <c r="J29" s="145"/>
    </row>
    <row r="30" spans="1:25" x14ac:dyDescent="0.25">
      <c r="A30" s="110"/>
      <c r="B30" s="110"/>
      <c r="C30" s="110"/>
      <c r="D30" s="110"/>
      <c r="E30" s="110"/>
    </row>
    <row r="31" spans="1:25" x14ac:dyDescent="0.25">
      <c r="A31" s="113" t="s">
        <v>1044</v>
      </c>
      <c r="B31" s="110"/>
      <c r="C31" s="110"/>
      <c r="D31" s="127"/>
      <c r="E31" s="110"/>
    </row>
    <row r="32" spans="1:25" x14ac:dyDescent="0.25">
      <c r="A32" s="128" t="s">
        <v>1045</v>
      </c>
      <c r="B32" s="129" t="s">
        <v>8</v>
      </c>
      <c r="C32" s="130"/>
      <c r="D32" s="131" t="s">
        <v>894</v>
      </c>
      <c r="E32" s="110"/>
    </row>
    <row r="33" spans="1:4" x14ac:dyDescent="0.25">
      <c r="A33" s="150" t="s">
        <v>1042</v>
      </c>
      <c r="B33" s="132" t="s">
        <v>904</v>
      </c>
      <c r="C33" s="133"/>
      <c r="D33" s="142">
        <v>10</v>
      </c>
    </row>
    <row r="34" spans="1:4" x14ac:dyDescent="0.25">
      <c r="A34" s="150"/>
      <c r="B34" s="132" t="s">
        <v>899</v>
      </c>
      <c r="C34" s="133"/>
      <c r="D34" s="142">
        <v>10</v>
      </c>
    </row>
    <row r="35" spans="1:4" x14ac:dyDescent="0.25">
      <c r="A35" s="150"/>
      <c r="B35" s="132" t="s">
        <v>900</v>
      </c>
      <c r="C35" s="133"/>
      <c r="D35" s="142">
        <v>10</v>
      </c>
    </row>
    <row r="36" spans="1:4" x14ac:dyDescent="0.25">
      <c r="A36" s="150"/>
      <c r="B36" s="132" t="s">
        <v>937</v>
      </c>
      <c r="C36" s="133"/>
      <c r="D36" s="142">
        <v>10</v>
      </c>
    </row>
    <row r="37" spans="1:4" x14ac:dyDescent="0.25">
      <c r="A37" s="150"/>
      <c r="B37" s="132" t="s">
        <v>938</v>
      </c>
      <c r="C37" s="133"/>
      <c r="D37" s="142">
        <v>10</v>
      </c>
    </row>
    <row r="38" spans="1:4" x14ac:dyDescent="0.25">
      <c r="A38" s="149"/>
      <c r="B38" s="134" t="s">
        <v>939</v>
      </c>
      <c r="C38" s="135"/>
      <c r="D38" s="145">
        <v>10</v>
      </c>
    </row>
    <row r="39" spans="1:4" x14ac:dyDescent="0.25">
      <c r="A39" s="110"/>
      <c r="B39" s="110"/>
      <c r="C39" s="110"/>
      <c r="D39" s="110"/>
    </row>
    <row r="40" spans="1:4" x14ac:dyDescent="0.25">
      <c r="A40" s="113" t="s">
        <v>1043</v>
      </c>
      <c r="B40" s="110"/>
      <c r="C40" s="110"/>
      <c r="D40" s="110"/>
    </row>
    <row r="41" spans="1:4" x14ac:dyDescent="0.25">
      <c r="A41" s="128" t="s">
        <v>1045</v>
      </c>
      <c r="B41" s="129" t="s">
        <v>8</v>
      </c>
      <c r="C41" s="129"/>
      <c r="D41" s="130"/>
    </row>
    <row r="42" spans="1:4" x14ac:dyDescent="0.25">
      <c r="A42" s="149" t="s">
        <v>1042</v>
      </c>
      <c r="B42" s="134" t="s">
        <v>905</v>
      </c>
      <c r="C42" s="134"/>
      <c r="D42" s="135"/>
    </row>
  </sheetData>
  <mergeCells count="14">
    <mergeCell ref="B38:C38"/>
    <mergeCell ref="B32:C32"/>
    <mergeCell ref="B42:D42"/>
    <mergeCell ref="B41:D41"/>
    <mergeCell ref="B33:C33"/>
    <mergeCell ref="B34:C34"/>
    <mergeCell ref="B35:C35"/>
    <mergeCell ref="B36:C36"/>
    <mergeCell ref="B37:C37"/>
    <mergeCell ref="P18:S18"/>
    <mergeCell ref="T18:W18"/>
    <mergeCell ref="L18:O18"/>
    <mergeCell ref="B27:F27"/>
    <mergeCell ref="B18:J18"/>
  </mergeCells>
  <dataValidations count="17">
    <dataValidation type="list" allowBlank="1" showInputMessage="1" showErrorMessage="1" sqref="D20:D24" xr:uid="{44E2FF0D-A1D0-4936-B0CF-8C8E7BB5B677}">
      <formula1>DollNames</formula1>
    </dataValidation>
    <dataValidation type="whole" allowBlank="1" showInputMessage="1" showErrorMessage="1" sqref="E20:E24" xr:uid="{4489DA9E-546D-4279-852C-F0EB6DA16D9A}">
      <formula1>1</formula1>
      <formula2>120</formula2>
    </dataValidation>
    <dataValidation type="list" allowBlank="1" showInputMessage="1" showErrorMessage="1" sqref="F20:F24 C29" xr:uid="{B64BECAC-8EE6-4EEF-BC12-2087DBD195CC}">
      <formula1>"1,2,3,4,5"</formula1>
    </dataValidation>
    <dataValidation type="list" allowBlank="1" showInputMessage="1" showErrorMessage="1" sqref="G20:G24 E29 D33:D38" xr:uid="{B4B2FEA4-F91A-4C96-B65B-63C7D2D914AC}">
      <formula1>"1,2,3,4,5,6,7,8,9,10"</formula1>
    </dataValidation>
    <dataValidation type="list" allowBlank="1" showInputMessage="1" showErrorMessage="1" sqref="I20:I24" xr:uid="{474098A7-AF77-44A4-9E78-A07A4B7157EC}">
      <formula1>"0,1,2,3,4"</formula1>
    </dataValidation>
    <dataValidation type="whole" allowBlank="1" showInputMessage="1" showErrorMessage="1" sqref="J20:J24" xr:uid="{DAE4DB0B-E0FA-4BA8-9915-A828ADE4F4CC}">
      <formula1>0</formula1>
      <formula2>200</formula2>
    </dataValidation>
    <dataValidation type="list" allowBlank="1" showInputMessage="1" showErrorMessage="1" sqref="M20:M24 Q20:Q24 U20:U24" xr:uid="{5392B1CE-03EE-476F-BE8F-842BFEC32343}">
      <formula1>DollEq</formula1>
    </dataValidation>
    <dataValidation type="list" allowBlank="1" showInputMessage="1" showErrorMessage="1" sqref="H20:H24 N20:N24 R20:R24 V20:V24" xr:uid="{2833177A-4277-45CF-AE70-061D2E4A745E}">
      <formula1>"0,1,2,3,4,5,6,7,8,9,10"</formula1>
    </dataValidation>
    <dataValidation type="decimal" allowBlank="1" showInputMessage="1" showErrorMessage="1" sqref="O20:O24" xr:uid="{9A9D6E8F-6C90-41AA-8708-80055F7BFCAE}">
      <formula1>0</formula1>
      <formula2>0</formula2>
    </dataValidation>
    <dataValidation type="custom" allowBlank="1" showInputMessage="1" showErrorMessage="1" sqref="A33:A38" xr:uid="{4E4DA976-33C3-47E9-82C4-9742BCF8C1CD}">
      <formula1>COUNTA($A$33:$A$38)&lt;=1</formula1>
    </dataValidation>
    <dataValidation type="whole" allowBlank="1" showInputMessage="1" showErrorMessage="1" sqref="D29" xr:uid="{C07E7685-B243-460D-92A4-83448535D9D9}">
      <formula1>1</formula1>
      <formula2>100</formula2>
    </dataValidation>
    <dataValidation type="custom" allowBlank="1" showInputMessage="1" showErrorMessage="1" sqref="H27:J29" xr:uid="{E430C45D-AE6F-4DB2-920F-E7AABB38DCDB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7" xr:uid="{FF8C38BF-1AC1-4C65-B68E-864D683A9504}">
      <formula1>"Yellow,Red,Blue,White"</formula1>
    </dataValidation>
    <dataValidation type="list" allowBlank="1" showInputMessage="1" showErrorMessage="1" sqref="E7:E8" xr:uid="{99F11E9B-91CF-4783-BE66-0135432B566B}">
      <formula1>"TRUE,FALSE"</formula1>
    </dataValidation>
    <dataValidation type="list" allowBlank="1" showInputMessage="1" showErrorMessage="1" sqref="B6" xr:uid="{615E9CF8-0E78-411A-B447-B578C7D48D63}">
      <formula1>"Y,N"</formula1>
    </dataValidation>
    <dataValidation type="whole" allowBlank="1" showInputMessage="1" showErrorMessage="1" sqref="B8" xr:uid="{E0838907-E882-443E-8ACD-2CEE6274C2B8}">
      <formula1>1</formula1>
      <formula2>99</formula2>
    </dataValidation>
    <dataValidation type="whole" operator="greaterThan" allowBlank="1" showInputMessage="1" showErrorMessage="1" sqref="E5:E6" xr:uid="{26AB0AFC-C97E-4BF6-BDD6-57FD8DC8F32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13</xdr:col>
                    <xdr:colOff>352425</xdr:colOff>
                    <xdr:row>0</xdr:row>
                    <xdr:rowOff>76200</xdr:rowOff>
                  </from>
                  <to>
                    <xdr:col>16</xdr:col>
                    <xdr:colOff>304800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C20:C24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B20:B24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B29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F29</xm:sqref>
        </x14:dataValidation>
        <x14:dataValidation type="list" allowBlank="1" showInputMessage="1" showErrorMessage="1" xr:uid="{17C175DC-DDB6-4925-9A33-C6238F0195C3}">
          <x14:formula1>
            <xm:f>Dropdowns!$AH$1:$AU$1</xm:f>
          </x14:formula1>
          <xm:sqref>L20:L24 P20:P24 T20:T24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>
    <tabColor theme="7" tint="0.79998168889431442"/>
  </sheetPr>
  <dimension ref="A1:AG6"/>
  <sheetViews>
    <sheetView workbookViewId="0"/>
  </sheetViews>
  <sheetFormatPr defaultRowHeight="15" x14ac:dyDescent="0.25"/>
  <cols>
    <col min="1" max="16384" width="9.140625" style="110"/>
  </cols>
  <sheetData>
    <row r="1" spans="1:33" x14ac:dyDescent="0.25">
      <c r="A1" s="151" t="s">
        <v>25</v>
      </c>
      <c r="B1" s="152" t="s">
        <v>26</v>
      </c>
      <c r="C1" s="152" t="s">
        <v>27</v>
      </c>
      <c r="D1" s="152" t="s">
        <v>28</v>
      </c>
      <c r="E1" s="152" t="s">
        <v>29</v>
      </c>
      <c r="F1" s="152" t="s">
        <v>30</v>
      </c>
      <c r="G1" s="152" t="s">
        <v>31</v>
      </c>
      <c r="H1" s="152" t="s">
        <v>32</v>
      </c>
      <c r="I1" s="152" t="s">
        <v>33</v>
      </c>
      <c r="J1" s="152" t="s">
        <v>34</v>
      </c>
      <c r="K1" s="152" t="s">
        <v>35</v>
      </c>
      <c r="L1" s="152" t="s">
        <v>36</v>
      </c>
      <c r="M1" s="152" t="s">
        <v>37</v>
      </c>
      <c r="N1" s="152" t="s">
        <v>38</v>
      </c>
      <c r="O1" s="152" t="s">
        <v>39</v>
      </c>
      <c r="P1" s="152" t="s">
        <v>40</v>
      </c>
      <c r="Q1" s="152" t="s">
        <v>41</v>
      </c>
      <c r="R1" s="152" t="s">
        <v>42</v>
      </c>
      <c r="S1" s="152" t="s">
        <v>43</v>
      </c>
      <c r="T1" s="152" t="s">
        <v>44</v>
      </c>
      <c r="U1" s="152" t="s">
        <v>45</v>
      </c>
      <c r="V1" s="152" t="s">
        <v>46</v>
      </c>
      <c r="W1" s="152" t="s">
        <v>47</v>
      </c>
      <c r="X1" s="152" t="s">
        <v>48</v>
      </c>
      <c r="Y1" s="152" t="s">
        <v>49</v>
      </c>
      <c r="Z1" s="152" t="s">
        <v>50</v>
      </c>
      <c r="AA1" s="152" t="s">
        <v>51</v>
      </c>
      <c r="AB1" s="152" t="s">
        <v>52</v>
      </c>
      <c r="AC1" s="152" t="s">
        <v>53</v>
      </c>
      <c r="AD1" s="152" t="s">
        <v>54</v>
      </c>
      <c r="AE1" s="152" t="s">
        <v>55</v>
      </c>
      <c r="AF1" s="152" t="s">
        <v>56</v>
      </c>
      <c r="AG1" s="153" t="s">
        <v>57</v>
      </c>
    </row>
    <row r="2" spans="1:33" x14ac:dyDescent="0.25">
      <c r="A2" s="154">
        <f>IF(Main!$B20="","",Main!A20)</f>
        <v>1</v>
      </c>
      <c r="B2" s="114">
        <f>Main!$B$5</f>
        <v>562858</v>
      </c>
      <c r="C2" s="114">
        <f>INDEX('Doll Data'!$A:$A,MATCH(Main!D20,'Doll Data'!$B:$B,0))</f>
        <v>20252</v>
      </c>
      <c r="D2" s="114">
        <f>VLOOKUP(Main!E20,'Exp Tables'!$A$3:$C$122,3,FALSE)</f>
        <v>30283300</v>
      </c>
      <c r="E2" s="114">
        <f>Main!E20</f>
        <v>120</v>
      </c>
      <c r="F2" s="114">
        <v>1</v>
      </c>
      <c r="G2" s="114">
        <f>Main!I20</f>
        <v>3</v>
      </c>
      <c r="H2" s="114">
        <f>Main!A20</f>
        <v>1</v>
      </c>
      <c r="I2" s="114">
        <f t="array" ref="I2">SUMPRODUCT((Main!$H$27:$J$29=H2)*'Misc Inputs'!$B$3:$D$5)</f>
        <v>7</v>
      </c>
      <c r="J2" s="114">
        <f>'Stat Calc'!AA3*Main!$F20</f>
        <v>455</v>
      </c>
      <c r="K2" s="114">
        <v>5</v>
      </c>
      <c r="L2" s="114">
        <v>10</v>
      </c>
      <c r="M2" s="156">
        <f>'Stat Calc'!AB17</f>
        <v>110</v>
      </c>
      <c r="N2" s="156">
        <f>'Stat Calc'!AD17</f>
        <v>77</v>
      </c>
      <c r="O2" s="156">
        <f>'Stat Calc'!AE17</f>
        <v>27</v>
      </c>
      <c r="P2" s="156">
        <f>'Stat Calc'!AC17</f>
        <v>11</v>
      </c>
      <c r="Q2" s="114">
        <f>Main!G20</f>
        <v>10</v>
      </c>
      <c r="R2" s="114">
        <f>Main!H20</f>
        <v>10</v>
      </c>
      <c r="S2" s="114">
        <v>0</v>
      </c>
      <c r="T2" s="114">
        <v>1</v>
      </c>
      <c r="U2" s="114">
        <f>Main!F20</f>
        <v>5</v>
      </c>
      <c r="V2" s="114">
        <v>1</v>
      </c>
      <c r="W2" s="114">
        <f>V2+5</f>
        <v>6</v>
      </c>
      <c r="X2" s="114">
        <f>W2+5</f>
        <v>11</v>
      </c>
      <c r="Y2" s="114">
        <v>0</v>
      </c>
      <c r="Z2" s="114">
        <f>Main!J20*10000</f>
        <v>1000000</v>
      </c>
      <c r="AA2" s="114">
        <f>IF(AND(Main!I20=0,Main!J20&lt;=100),1000000,IF(AND(Main!I20=0,Main!J20&gt;=100),1500000,2000000))</f>
        <v>2000000</v>
      </c>
      <c r="AB2" s="114">
        <f>AA2</f>
        <v>2000000</v>
      </c>
      <c r="AC2" s="114">
        <f>IF(Main!J20&gt;100,1,0)</f>
        <v>0</v>
      </c>
      <c r="AD2" s="114">
        <v>0</v>
      </c>
      <c r="AE2" s="114">
        <v>0</v>
      </c>
      <c r="AF2" s="114">
        <v>0</v>
      </c>
      <c r="AG2" s="155">
        <v>0</v>
      </c>
    </row>
    <row r="3" spans="1:33" x14ac:dyDescent="0.25">
      <c r="A3" s="154">
        <f>IF(Main!$B21="","",Main!A21)</f>
        <v>2</v>
      </c>
      <c r="B3" s="114">
        <f>Main!$B$5</f>
        <v>562858</v>
      </c>
      <c r="C3" s="114">
        <f>INDEX('Doll Data'!$A:$A,MATCH(Main!D21,'Doll Data'!$B:$B,0))</f>
        <v>20095</v>
      </c>
      <c r="D3" s="114">
        <f>VLOOKUP(Main!E21,'Exp Tables'!$A$3:$C$122,3,FALSE)</f>
        <v>10083300</v>
      </c>
      <c r="E3" s="114">
        <f>Main!E21</f>
        <v>115</v>
      </c>
      <c r="F3" s="114">
        <v>1</v>
      </c>
      <c r="G3" s="114">
        <f>Main!I21</f>
        <v>3</v>
      </c>
      <c r="H3" s="114">
        <f>Main!A21</f>
        <v>2</v>
      </c>
      <c r="I3" s="114">
        <f t="array" ref="I3">SUMPRODUCT((Main!$H$27:$J$29=H3)*'Misc Inputs'!$B$3:$D$5)</f>
        <v>9</v>
      </c>
      <c r="J3" s="114">
        <f>'Stat Calc'!AA4*Main!$F21</f>
        <v>520</v>
      </c>
      <c r="K3" s="114">
        <v>5</v>
      </c>
      <c r="L3" s="114">
        <v>10</v>
      </c>
      <c r="M3" s="156">
        <f>'Stat Calc'!AB18</f>
        <v>76</v>
      </c>
      <c r="N3" s="156">
        <f>'Stat Calc'!AD18</f>
        <v>60</v>
      </c>
      <c r="O3" s="156">
        <f>'Stat Calc'!AE18</f>
        <v>33</v>
      </c>
      <c r="P3" s="156">
        <f>'Stat Calc'!AC18</f>
        <v>12</v>
      </c>
      <c r="Q3" s="114">
        <f>Main!G21</f>
        <v>10</v>
      </c>
      <c r="R3" s="114">
        <f>Main!H21</f>
        <v>10</v>
      </c>
      <c r="S3" s="114">
        <v>0</v>
      </c>
      <c r="T3" s="114">
        <v>1</v>
      </c>
      <c r="U3" s="114">
        <f>Main!F21</f>
        <v>5</v>
      </c>
      <c r="V3" s="114">
        <f>V2+1</f>
        <v>2</v>
      </c>
      <c r="W3" s="114">
        <f t="shared" ref="W3:X6" si="0">W2+1</f>
        <v>7</v>
      </c>
      <c r="X3" s="114">
        <f t="shared" si="0"/>
        <v>12</v>
      </c>
      <c r="Y3" s="114">
        <v>0</v>
      </c>
      <c r="Z3" s="114">
        <f>Main!J21*10000</f>
        <v>1000000</v>
      </c>
      <c r="AA3" s="114">
        <f>IF(AND(Main!I21=0,Main!J21&lt;=100),1000000,IF(AND(Main!I21=0,Main!J21&gt;=100),1500000,2000000))</f>
        <v>2000000</v>
      </c>
      <c r="AB3" s="114">
        <f>AA3</f>
        <v>2000000</v>
      </c>
      <c r="AC3" s="114">
        <f>IF(Main!J21&gt;100,1,0)</f>
        <v>0</v>
      </c>
      <c r="AD3" s="114">
        <v>0</v>
      </c>
      <c r="AE3" s="114">
        <v>0</v>
      </c>
      <c r="AF3" s="114">
        <v>0</v>
      </c>
      <c r="AG3" s="155">
        <v>0</v>
      </c>
    </row>
    <row r="4" spans="1:33" x14ac:dyDescent="0.25">
      <c r="A4" s="154">
        <f>IF(Main!$B22="","",Main!A22)</f>
        <v>3</v>
      </c>
      <c r="B4" s="114">
        <f>Main!$B$5</f>
        <v>562858</v>
      </c>
      <c r="C4" s="114">
        <f>INDEX('Doll Data'!$A:$A,MATCH(Main!D22,'Doll Data'!$B:$B,0))</f>
        <v>20097</v>
      </c>
      <c r="D4" s="114">
        <f>VLOOKUP(Main!E22,'Exp Tables'!$A$3:$C$122,3,FALSE)</f>
        <v>10083300</v>
      </c>
      <c r="E4" s="114">
        <f>Main!E22</f>
        <v>115</v>
      </c>
      <c r="F4" s="114">
        <v>1</v>
      </c>
      <c r="G4" s="114">
        <f>Main!I22</f>
        <v>3</v>
      </c>
      <c r="H4" s="114">
        <f>Main!A22</f>
        <v>3</v>
      </c>
      <c r="I4" s="114">
        <f t="array" ref="I4">SUMPRODUCT((Main!$H$27:$J$29=H4)*'Misc Inputs'!$B$3:$D$5)</f>
        <v>13</v>
      </c>
      <c r="J4" s="114">
        <f>'Stat Calc'!AA5*Main!$F22</f>
        <v>400</v>
      </c>
      <c r="K4" s="114">
        <v>5</v>
      </c>
      <c r="L4" s="114">
        <v>10</v>
      </c>
      <c r="M4" s="156">
        <f>'Stat Calc'!AB19</f>
        <v>20</v>
      </c>
      <c r="N4" s="156">
        <f>'Stat Calc'!AD19</f>
        <v>50</v>
      </c>
      <c r="O4" s="156">
        <f>'Stat Calc'!AE19</f>
        <v>66</v>
      </c>
      <c r="P4" s="156">
        <f>'Stat Calc'!AC19</f>
        <v>23</v>
      </c>
      <c r="Q4" s="114">
        <f>Main!G22</f>
        <v>10</v>
      </c>
      <c r="R4" s="114">
        <f>Main!H22</f>
        <v>10</v>
      </c>
      <c r="S4" s="114">
        <v>0</v>
      </c>
      <c r="T4" s="114">
        <v>1</v>
      </c>
      <c r="U4" s="114">
        <f>Main!F22</f>
        <v>5</v>
      </c>
      <c r="V4" s="114">
        <f>V3+1</f>
        <v>3</v>
      </c>
      <c r="W4" s="114">
        <f t="shared" si="0"/>
        <v>8</v>
      </c>
      <c r="X4" s="114">
        <f t="shared" si="0"/>
        <v>13</v>
      </c>
      <c r="Y4" s="114">
        <v>0</v>
      </c>
      <c r="Z4" s="114">
        <f>Main!J22*10000</f>
        <v>1000000</v>
      </c>
      <c r="AA4" s="114">
        <f>IF(AND(Main!I22=0,Main!J22&lt;=100),1000000,IF(AND(Main!I22=0,Main!J22&gt;=100),1500000,2000000))</f>
        <v>2000000</v>
      </c>
      <c r="AB4" s="114">
        <f>AA4</f>
        <v>2000000</v>
      </c>
      <c r="AC4" s="114">
        <f>IF(Main!J22&gt;100,1,0)</f>
        <v>0</v>
      </c>
      <c r="AD4" s="114">
        <v>0</v>
      </c>
      <c r="AE4" s="114">
        <v>0</v>
      </c>
      <c r="AF4" s="114">
        <v>0</v>
      </c>
      <c r="AG4" s="155">
        <v>0</v>
      </c>
    </row>
    <row r="5" spans="1:33" x14ac:dyDescent="0.25">
      <c r="A5" s="154">
        <f>IF(Main!$B23="","",Main!A23)</f>
        <v>4</v>
      </c>
      <c r="B5" s="114">
        <f>Main!$B$5</f>
        <v>562858</v>
      </c>
      <c r="C5" s="114">
        <f>INDEX('Doll Data'!$A:$A,MATCH(Main!D23,'Doll Data'!$B:$B,0))</f>
        <v>96</v>
      </c>
      <c r="D5" s="114">
        <f>VLOOKUP(Main!E23,'Exp Tables'!$A$3:$C$122,3,FALSE)</f>
        <v>3263300</v>
      </c>
      <c r="E5" s="114">
        <f>Main!E23</f>
        <v>100</v>
      </c>
      <c r="F5" s="114">
        <v>1</v>
      </c>
      <c r="G5" s="114">
        <f>Main!I23</f>
        <v>0</v>
      </c>
      <c r="H5" s="114">
        <f>Main!A23</f>
        <v>4</v>
      </c>
      <c r="I5" s="114">
        <f t="array" ref="I5">SUMPRODUCT((Main!$H$27:$J$29=H5)*'Misc Inputs'!$B$3:$D$5)</f>
        <v>8</v>
      </c>
      <c r="J5" s="114">
        <f>'Stat Calc'!AA6*Main!$F23</f>
        <v>430</v>
      </c>
      <c r="K5" s="114">
        <v>5</v>
      </c>
      <c r="L5" s="114">
        <v>10</v>
      </c>
      <c r="M5" s="156">
        <f>'Stat Calc'!AB20</f>
        <v>25</v>
      </c>
      <c r="N5" s="156">
        <f>'Stat Calc'!AD20</f>
        <v>45</v>
      </c>
      <c r="O5" s="156">
        <f>'Stat Calc'!AE20</f>
        <v>58</v>
      </c>
      <c r="P5" s="156">
        <f>'Stat Calc'!AC20</f>
        <v>18</v>
      </c>
      <c r="Q5" s="114">
        <f>Main!G23</f>
        <v>10</v>
      </c>
      <c r="R5" s="114">
        <f>Main!H23</f>
        <v>0</v>
      </c>
      <c r="S5" s="114">
        <v>0</v>
      </c>
      <c r="T5" s="114">
        <v>1</v>
      </c>
      <c r="U5" s="114">
        <f>Main!F23</f>
        <v>5</v>
      </c>
      <c r="V5" s="114">
        <f>V4+1</f>
        <v>4</v>
      </c>
      <c r="W5" s="114">
        <f t="shared" si="0"/>
        <v>9</v>
      </c>
      <c r="X5" s="114">
        <f t="shared" si="0"/>
        <v>14</v>
      </c>
      <c r="Y5" s="114">
        <v>0</v>
      </c>
      <c r="Z5" s="114">
        <f>Main!J23*10000</f>
        <v>1000000</v>
      </c>
      <c r="AA5" s="114">
        <f>IF(AND(Main!I23=0,Main!J23&lt;=100),1000000,IF(AND(Main!I23=0,Main!J23&gt;=100),1500000,2000000))</f>
        <v>1000000</v>
      </c>
      <c r="AB5" s="114">
        <f>AA5</f>
        <v>1000000</v>
      </c>
      <c r="AC5" s="114">
        <f>IF(Main!J23&gt;100,1,0)</f>
        <v>0</v>
      </c>
      <c r="AD5" s="114">
        <v>0</v>
      </c>
      <c r="AE5" s="114">
        <v>0</v>
      </c>
      <c r="AF5" s="114">
        <v>0</v>
      </c>
      <c r="AG5" s="155">
        <v>0</v>
      </c>
    </row>
    <row r="6" spans="1:33" x14ac:dyDescent="0.25">
      <c r="A6" s="125">
        <f>IF(Main!$B24="","",Main!A24)</f>
        <v>5</v>
      </c>
      <c r="B6" s="123">
        <f>Main!$B$5</f>
        <v>562858</v>
      </c>
      <c r="C6" s="123">
        <f>INDEX('Doll Data'!$A:$A,MATCH(Main!D24,'Doll Data'!$B:$B,0))</f>
        <v>294</v>
      </c>
      <c r="D6" s="123">
        <f>VLOOKUP(Main!E24,'Exp Tables'!$A$3:$C$122,3,FALSE)</f>
        <v>3263300</v>
      </c>
      <c r="E6" s="123">
        <f>Main!E24</f>
        <v>100</v>
      </c>
      <c r="F6" s="123">
        <v>1</v>
      </c>
      <c r="G6" s="123">
        <f>Main!I24</f>
        <v>0</v>
      </c>
      <c r="H6" s="123">
        <f>Main!A24</f>
        <v>5</v>
      </c>
      <c r="I6" s="123">
        <f t="array" ref="I6">SUMPRODUCT((Main!$H$27:$J$29=H6)*'Misc Inputs'!$B$3:$D$5)</f>
        <v>12</v>
      </c>
      <c r="J6" s="123">
        <f>'Stat Calc'!AA7*Main!$F24</f>
        <v>430</v>
      </c>
      <c r="K6" s="123">
        <v>5</v>
      </c>
      <c r="L6" s="123">
        <v>10</v>
      </c>
      <c r="M6" s="157">
        <f>'Stat Calc'!AB21</f>
        <v>19</v>
      </c>
      <c r="N6" s="157">
        <f>'Stat Calc'!AD21</f>
        <v>58</v>
      </c>
      <c r="O6" s="157">
        <f>'Stat Calc'!AE21</f>
        <v>72</v>
      </c>
      <c r="P6" s="157">
        <f>'Stat Calc'!AC21</f>
        <v>20</v>
      </c>
      <c r="Q6" s="123">
        <f>Main!G24</f>
        <v>10</v>
      </c>
      <c r="R6" s="123">
        <f>Main!H24</f>
        <v>0</v>
      </c>
      <c r="S6" s="123">
        <v>0</v>
      </c>
      <c r="T6" s="123">
        <v>1</v>
      </c>
      <c r="U6" s="123">
        <f>Main!F24</f>
        <v>5</v>
      </c>
      <c r="V6" s="123">
        <f>V5+1</f>
        <v>5</v>
      </c>
      <c r="W6" s="123">
        <f t="shared" si="0"/>
        <v>10</v>
      </c>
      <c r="X6" s="123">
        <f t="shared" si="0"/>
        <v>15</v>
      </c>
      <c r="Y6" s="123">
        <v>0</v>
      </c>
      <c r="Z6" s="123">
        <f>Main!J24*10000</f>
        <v>1000000</v>
      </c>
      <c r="AA6" s="123">
        <f>IF(AND(Main!I24=0,Main!J24&lt;=100),1000000,IF(AND(Main!I24=0,Main!J24&gt;=100),1500000,2000000))</f>
        <v>1000000</v>
      </c>
      <c r="AB6" s="123">
        <f>AA6</f>
        <v>1000000</v>
      </c>
      <c r="AC6" s="123">
        <f>IF(Main!J24&gt;100,1,0)</f>
        <v>0</v>
      </c>
      <c r="AD6" s="123">
        <v>0</v>
      </c>
      <c r="AE6" s="123">
        <v>0</v>
      </c>
      <c r="AF6" s="123">
        <v>0</v>
      </c>
      <c r="AG6" s="12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>
    <tabColor theme="7" tint="0.79998168889431442"/>
  </sheetPr>
  <dimension ref="A1:AG26"/>
  <sheetViews>
    <sheetView workbookViewId="0">
      <selection sqref="A1:W1"/>
    </sheetView>
  </sheetViews>
  <sheetFormatPr defaultRowHeight="15" x14ac:dyDescent="0.25"/>
  <cols>
    <col min="1" max="16384" width="9.140625" style="110"/>
  </cols>
  <sheetData>
    <row r="1" spans="1:33" x14ac:dyDescent="0.25">
      <c r="A1" s="151" t="s">
        <v>25</v>
      </c>
      <c r="B1" s="152" t="s">
        <v>26</v>
      </c>
      <c r="C1" s="152" t="s">
        <v>684</v>
      </c>
      <c r="D1" s="152" t="s">
        <v>685</v>
      </c>
      <c r="E1" s="152" t="s">
        <v>686</v>
      </c>
      <c r="F1" s="152" t="s">
        <v>687</v>
      </c>
      <c r="G1" s="152" t="s">
        <v>37</v>
      </c>
      <c r="H1" s="152" t="s">
        <v>38</v>
      </c>
      <c r="I1" s="152" t="s">
        <v>39</v>
      </c>
      <c r="J1" s="152" t="s">
        <v>416</v>
      </c>
      <c r="K1" s="152" t="s">
        <v>40</v>
      </c>
      <c r="L1" s="152" t="s">
        <v>417</v>
      </c>
      <c r="M1" s="152" t="s">
        <v>418</v>
      </c>
      <c r="N1" s="152" t="s">
        <v>298</v>
      </c>
      <c r="O1" s="152" t="s">
        <v>381</v>
      </c>
      <c r="P1" s="152" t="s">
        <v>419</v>
      </c>
      <c r="Q1" s="152" t="s">
        <v>420</v>
      </c>
      <c r="R1" s="152" t="s">
        <v>421</v>
      </c>
      <c r="S1" s="152" t="s">
        <v>422</v>
      </c>
      <c r="T1" s="152" t="s">
        <v>423</v>
      </c>
      <c r="U1" s="152" t="s">
        <v>688</v>
      </c>
      <c r="V1" s="152" t="s">
        <v>44</v>
      </c>
      <c r="W1" s="153" t="s">
        <v>689</v>
      </c>
      <c r="X1" s="116"/>
      <c r="Y1" s="116"/>
      <c r="Z1" s="116"/>
      <c r="AA1" s="116"/>
      <c r="AB1" s="116"/>
      <c r="AC1" s="116"/>
      <c r="AD1" s="116"/>
      <c r="AE1" s="116"/>
      <c r="AF1" s="116"/>
      <c r="AG1" s="116"/>
    </row>
    <row r="2" spans="1:33" x14ac:dyDescent="0.25">
      <c r="A2" s="154">
        <f>IF(Main!M20="","",1)</f>
        <v>1</v>
      </c>
      <c r="B2" s="114">
        <f>Main!$B$5</f>
        <v>562858</v>
      </c>
      <c r="C2" s="114">
        <f>Doll!C2</f>
        <v>20252</v>
      </c>
      <c r="D2" s="114">
        <f>INDEX('Equip Data'!$A:$A,MATCH(Main!M20,'Equip Data'!$B:$B,0))</f>
        <v>4</v>
      </c>
      <c r="E2" s="114">
        <f>INDEX('Exp Tables'!$J$3:$N$13,MATCH(F2,'Exp Tables'!$I$3:$I$13,0),MATCH(INDEX('Equip Data'!$C:$C,MATCH(Main!M20,'Equip Data'!$B:$B,0)),'Exp Tables'!$J$2:$N$2,0))</f>
        <v>10000</v>
      </c>
      <c r="F2" s="114">
        <f>Main!N20</f>
        <v>10</v>
      </c>
      <c r="G2" s="114">
        <f>IF(INDEX('Equip Data'!F:F,MATCH($D2,'Equip Data'!$A:$A,0))="",0,Main!$O20*10000)</f>
        <v>0</v>
      </c>
      <c r="H2" s="114">
        <f>IF(INDEX('Equip Data'!G:G,MATCH($D2,'Equip Data'!$A:$A,0))="",0,Main!$O20*10000)</f>
        <v>0</v>
      </c>
      <c r="I2" s="114">
        <f>IF(INDEX('Equip Data'!H:H,MATCH($D2,'Equip Data'!$A:$A,0))="",0,Main!$O20*10000)</f>
        <v>0</v>
      </c>
      <c r="J2" s="114">
        <f>IF(INDEX('Equip Data'!I:I,MATCH($D2,'Equip Data'!$A:$A,0))="",0,Main!$O20*10000)</f>
        <v>0</v>
      </c>
      <c r="K2" s="114">
        <f>IF(INDEX('Equip Data'!J:J,MATCH($D2,'Equip Data'!$A:$A,0))="",0,Main!$O20*10000)</f>
        <v>0</v>
      </c>
      <c r="L2" s="114">
        <f>IF(INDEX('Equip Data'!K:K,MATCH($D2,'Equip Data'!$A:$A,0))="",0,Main!$O20*10000)</f>
        <v>0</v>
      </c>
      <c r="M2" s="114">
        <f>IF(INDEX('Equip Data'!L:L,MATCH($D2,'Equip Data'!$A:$A,0))="",0,Main!$O20*10000)</f>
        <v>10000</v>
      </c>
      <c r="N2" s="114">
        <f>IF(INDEX('Equip Data'!M:M,MATCH($D2,'Equip Data'!$A:$A,0))="",0,Main!$O20*10000)</f>
        <v>0</v>
      </c>
      <c r="O2" s="114">
        <f>IF(INDEX('Equip Data'!N:N,MATCH($D2,'Equip Data'!$A:$A,0))="",0,Main!$O20*10000)</f>
        <v>0</v>
      </c>
      <c r="P2" s="114">
        <f>IF(INDEX('Equip Data'!O:O,MATCH($D2,'Equip Data'!$A:$A,0))="",0,Main!$O20*10000)</f>
        <v>0</v>
      </c>
      <c r="Q2" s="114">
        <f>IF(INDEX('Equip Data'!P:P,MATCH($D2,'Equip Data'!$A:$A,0))="",0,Main!$O20*10000)</f>
        <v>0</v>
      </c>
      <c r="R2" s="114">
        <f>IF(INDEX('Equip Data'!Q:Q,MATCH($D2,'Equip Data'!$A:$A,0))="",0,Main!$O20*10000)</f>
        <v>0</v>
      </c>
      <c r="S2" s="114">
        <f>IF(INDEX('Equip Data'!R:R,MATCH($D2,'Equip Data'!$A:$A,0))="",0,Main!$O20*10000)</f>
        <v>0</v>
      </c>
      <c r="T2" s="114">
        <f>IF(INDEX('Equip Data'!S:S,MATCH($D2,'Equip Data'!$A:$A,0))="",0,10000)</f>
        <v>0</v>
      </c>
      <c r="U2" s="114">
        <v>0</v>
      </c>
      <c r="V2" s="114">
        <v>1</v>
      </c>
      <c r="W2" s="155">
        <v>0</v>
      </c>
      <c r="X2" s="116"/>
      <c r="Y2" s="116"/>
      <c r="Z2" s="116">
        <f>Main!J20*10000</f>
        <v>1000000</v>
      </c>
      <c r="AA2" s="116">
        <f>IF(Main!J20&gt;100,1500000,1000000)</f>
        <v>1000000</v>
      </c>
      <c r="AB2" s="116">
        <f>AA2</f>
        <v>1000000</v>
      </c>
      <c r="AC2" s="116">
        <f>IF(Main!J20&gt;100,1,0)</f>
        <v>0</v>
      </c>
      <c r="AD2" s="116">
        <v>0</v>
      </c>
      <c r="AE2" s="116">
        <v>0</v>
      </c>
      <c r="AF2" s="116">
        <v>0</v>
      </c>
      <c r="AG2" s="116">
        <v>0</v>
      </c>
    </row>
    <row r="3" spans="1:33" x14ac:dyDescent="0.25">
      <c r="A3" s="154">
        <f>IF(Main!M21="","",A2+1)</f>
        <v>2</v>
      </c>
      <c r="B3" s="114">
        <f>Main!$B$5</f>
        <v>562858</v>
      </c>
      <c r="C3" s="114">
        <f>Doll!C3</f>
        <v>20095</v>
      </c>
      <c r="D3" s="114">
        <f>INDEX('Equip Data'!$A:$A,MATCH(Main!M21,'Equip Data'!$B:$B,0))</f>
        <v>158</v>
      </c>
      <c r="E3" s="114">
        <f>INDEX('Exp Tables'!$J$3:$N$13,MATCH(F3,'Exp Tables'!$I$3:$I$13,0),MATCH(INDEX('Equip Data'!$C:$C,MATCH(Main!M21,'Equip Data'!$B:$B,0)),'Exp Tables'!$J$2:$N$2,0))</f>
        <v>30000</v>
      </c>
      <c r="F3" s="114">
        <f>Main!N21</f>
        <v>10</v>
      </c>
      <c r="G3" s="114">
        <f>IF(INDEX('Equip Data'!F:F,MATCH($D3,'Equip Data'!$A:$A,0))="",0,Main!$O21*10000)</f>
        <v>10000</v>
      </c>
      <c r="H3" s="114">
        <f>IF(INDEX('Equip Data'!G:G,MATCH($D3,'Equip Data'!$A:$A,0))="",0,Main!$O21*10000)</f>
        <v>0</v>
      </c>
      <c r="I3" s="114">
        <f>IF(INDEX('Equip Data'!H:H,MATCH($D3,'Equip Data'!$A:$A,0))="",0,Main!$O21*10000)</f>
        <v>0</v>
      </c>
      <c r="J3" s="114">
        <f>IF(INDEX('Equip Data'!I:I,MATCH($D3,'Equip Data'!$A:$A,0))="",0,Main!$O21*10000)</f>
        <v>0</v>
      </c>
      <c r="K3" s="114">
        <f>IF(INDEX('Equip Data'!J:J,MATCH($D3,'Equip Data'!$A:$A,0))="",0,Main!$O21*10000)</f>
        <v>0</v>
      </c>
      <c r="L3" s="114">
        <f>IF(INDEX('Equip Data'!K:K,MATCH($D3,'Equip Data'!$A:$A,0))="",0,Main!$O21*10000)</f>
        <v>0</v>
      </c>
      <c r="M3" s="114">
        <f>IF(INDEX('Equip Data'!L:L,MATCH($D3,'Equip Data'!$A:$A,0))="",0,Main!$O21*10000)</f>
        <v>10000</v>
      </c>
      <c r="N3" s="114">
        <f>IF(INDEX('Equip Data'!M:M,MATCH($D3,'Equip Data'!$A:$A,0))="",0,Main!$O21*10000)</f>
        <v>0</v>
      </c>
      <c r="O3" s="114">
        <f>IF(INDEX('Equip Data'!N:N,MATCH($D3,'Equip Data'!$A:$A,0))="",0,Main!$O21*10000)</f>
        <v>0</v>
      </c>
      <c r="P3" s="114">
        <f>IF(INDEX('Equip Data'!O:O,MATCH($D3,'Equip Data'!$A:$A,0))="",0,Main!$O21*10000)</f>
        <v>0</v>
      </c>
      <c r="Q3" s="114">
        <f>IF(INDEX('Equip Data'!P:P,MATCH($D3,'Equip Data'!$A:$A,0))="",0,Main!$O21*10000)</f>
        <v>0</v>
      </c>
      <c r="R3" s="114">
        <f>IF(INDEX('Equip Data'!Q:Q,MATCH($D3,'Equip Data'!$A:$A,0))="",0,Main!$O21*10000)</f>
        <v>0</v>
      </c>
      <c r="S3" s="114">
        <f>IF(INDEX('Equip Data'!R:R,MATCH($D3,'Equip Data'!$A:$A,0))="",0,Main!$O21*10000)</f>
        <v>0</v>
      </c>
      <c r="T3" s="114">
        <f>IF(INDEX('Equip Data'!S:S,MATCH($D3,'Equip Data'!$A:$A,0))="",0,10000)</f>
        <v>0</v>
      </c>
      <c r="U3" s="114">
        <v>0</v>
      </c>
      <c r="V3" s="114">
        <v>1</v>
      </c>
      <c r="W3" s="155">
        <v>0</v>
      </c>
      <c r="X3" s="116"/>
      <c r="Y3" s="116"/>
      <c r="Z3" s="116">
        <f>Main!J21*10000</f>
        <v>1000000</v>
      </c>
      <c r="AA3" s="116">
        <f>IF(Main!J21&gt;100,1500000,1000000)</f>
        <v>1000000</v>
      </c>
      <c r="AB3" s="116">
        <f>AA3</f>
        <v>1000000</v>
      </c>
      <c r="AC3" s="116">
        <f>IF(Main!J21&gt;100,1,0)</f>
        <v>0</v>
      </c>
      <c r="AD3" s="116">
        <v>0</v>
      </c>
      <c r="AE3" s="116">
        <v>0</v>
      </c>
      <c r="AF3" s="116">
        <v>0</v>
      </c>
      <c r="AG3" s="116">
        <v>0</v>
      </c>
    </row>
    <row r="4" spans="1:33" x14ac:dyDescent="0.25">
      <c r="A4" s="154">
        <f>IF(Main!M22="","",A3+1)</f>
        <v>3</v>
      </c>
      <c r="B4" s="114">
        <f>Main!$B$5</f>
        <v>562858</v>
      </c>
      <c r="C4" s="114">
        <f>Doll!C4</f>
        <v>20097</v>
      </c>
      <c r="D4" s="114">
        <f>INDEX('Equip Data'!$A:$A,MATCH(Main!M22,'Equip Data'!$B:$B,0))</f>
        <v>66</v>
      </c>
      <c r="E4" s="114">
        <f>INDEX('Exp Tables'!$J$3:$N$13,MATCH(F4,'Exp Tables'!$I$3:$I$13,0),MATCH(INDEX('Equip Data'!$C:$C,MATCH(Main!M22,'Equip Data'!$B:$B,0)),'Exp Tables'!$J$2:$N$2,0))</f>
        <v>10000</v>
      </c>
      <c r="F4" s="114">
        <f>Main!N22</f>
        <v>10</v>
      </c>
      <c r="G4" s="114">
        <f>IF(INDEX('Equip Data'!F:F,MATCH($D4,'Equip Data'!$A:$A,0))="",0,Main!$O22*10000)</f>
        <v>0</v>
      </c>
      <c r="H4" s="114">
        <f>IF(INDEX('Equip Data'!G:G,MATCH($D4,'Equip Data'!$A:$A,0))="",0,Main!$O22*10000)</f>
        <v>0</v>
      </c>
      <c r="I4" s="114">
        <f>IF(INDEX('Equip Data'!H:H,MATCH($D4,'Equip Data'!$A:$A,0))="",0,Main!$O22*10000)</f>
        <v>10000</v>
      </c>
      <c r="J4" s="114">
        <f>IF(INDEX('Equip Data'!I:I,MATCH($D4,'Equip Data'!$A:$A,0))="",0,Main!$O22*10000)</f>
        <v>0</v>
      </c>
      <c r="K4" s="114">
        <f>IF(INDEX('Equip Data'!J:J,MATCH($D4,'Equip Data'!$A:$A,0))="",0,Main!$O22*10000)</f>
        <v>0</v>
      </c>
      <c r="L4" s="114">
        <f>IF(INDEX('Equip Data'!K:K,MATCH($D4,'Equip Data'!$A:$A,0))="",0,Main!$O22*10000)</f>
        <v>0</v>
      </c>
      <c r="M4" s="114">
        <f>IF(INDEX('Equip Data'!L:L,MATCH($D4,'Equip Data'!$A:$A,0))="",0,Main!$O22*10000)</f>
        <v>10000</v>
      </c>
      <c r="N4" s="114">
        <f>IF(INDEX('Equip Data'!M:M,MATCH($D4,'Equip Data'!$A:$A,0))="",0,Main!$O22*10000)</f>
        <v>0</v>
      </c>
      <c r="O4" s="114">
        <f>IF(INDEX('Equip Data'!N:N,MATCH($D4,'Equip Data'!$A:$A,0))="",0,Main!$O22*10000)</f>
        <v>0</v>
      </c>
      <c r="P4" s="114">
        <f>IF(INDEX('Equip Data'!O:O,MATCH($D4,'Equip Data'!$A:$A,0))="",0,Main!$O22*10000)</f>
        <v>0</v>
      </c>
      <c r="Q4" s="114">
        <f>IF(INDEX('Equip Data'!P:P,MATCH($D4,'Equip Data'!$A:$A,0))="",0,Main!$O22*10000)</f>
        <v>0</v>
      </c>
      <c r="R4" s="114">
        <f>IF(INDEX('Equip Data'!Q:Q,MATCH($D4,'Equip Data'!$A:$A,0))="",0,Main!$O22*10000)</f>
        <v>0</v>
      </c>
      <c r="S4" s="114">
        <f>IF(INDEX('Equip Data'!R:R,MATCH($D4,'Equip Data'!$A:$A,0))="",0,Main!$O22*10000)</f>
        <v>0</v>
      </c>
      <c r="T4" s="114">
        <f>IF(INDEX('Equip Data'!S:S,MATCH($D4,'Equip Data'!$A:$A,0))="",0,10000)</f>
        <v>0</v>
      </c>
      <c r="U4" s="114">
        <v>0</v>
      </c>
      <c r="V4" s="114">
        <v>1</v>
      </c>
      <c r="W4" s="155">
        <v>0</v>
      </c>
      <c r="X4" s="116"/>
      <c r="Y4" s="116"/>
      <c r="Z4" s="116">
        <f>Main!J22*10000</f>
        <v>1000000</v>
      </c>
      <c r="AA4" s="116">
        <f>IF(Main!J22&gt;100,1500000,1000000)</f>
        <v>1000000</v>
      </c>
      <c r="AB4" s="116">
        <f>AA4</f>
        <v>1000000</v>
      </c>
      <c r="AC4" s="116">
        <f>IF(Main!J22&gt;100,1,0)</f>
        <v>0</v>
      </c>
      <c r="AD4" s="116">
        <v>0</v>
      </c>
      <c r="AE4" s="116">
        <v>0</v>
      </c>
      <c r="AF4" s="116">
        <v>0</v>
      </c>
      <c r="AG4" s="116">
        <v>0</v>
      </c>
    </row>
    <row r="5" spans="1:33" x14ac:dyDescent="0.25">
      <c r="A5" s="154">
        <f>IF(Main!M23="","",A4+1)</f>
        <v>4</v>
      </c>
      <c r="B5" s="114">
        <f>Main!$B$5</f>
        <v>562858</v>
      </c>
      <c r="C5" s="114">
        <f>Doll!C5</f>
        <v>96</v>
      </c>
      <c r="D5" s="114">
        <f>INDEX('Equip Data'!$A:$A,MATCH(Main!M23,'Equip Data'!$B:$B,0))</f>
        <v>66</v>
      </c>
      <c r="E5" s="114">
        <f>INDEX('Exp Tables'!$J$3:$N$13,MATCH(F5,'Exp Tables'!$I$3:$I$13,0),MATCH(INDEX('Equip Data'!$C:$C,MATCH(Main!M23,'Equip Data'!$B:$B,0)),'Exp Tables'!$J$2:$N$2,0))</f>
        <v>10000</v>
      </c>
      <c r="F5" s="114">
        <f>Main!N23</f>
        <v>10</v>
      </c>
      <c r="G5" s="114">
        <f>IF(INDEX('Equip Data'!F:F,MATCH($D5,'Equip Data'!$A:$A,0))="",0,Main!$O23*10000)</f>
        <v>0</v>
      </c>
      <c r="H5" s="114">
        <f>IF(INDEX('Equip Data'!G:G,MATCH($D5,'Equip Data'!$A:$A,0))="",0,Main!$O23*10000)</f>
        <v>0</v>
      </c>
      <c r="I5" s="114">
        <f>IF(INDEX('Equip Data'!H:H,MATCH($D5,'Equip Data'!$A:$A,0))="",0,Main!$O23*10000)</f>
        <v>10000</v>
      </c>
      <c r="J5" s="114">
        <f>IF(INDEX('Equip Data'!I:I,MATCH($D5,'Equip Data'!$A:$A,0))="",0,Main!$O23*10000)</f>
        <v>0</v>
      </c>
      <c r="K5" s="114">
        <f>IF(INDEX('Equip Data'!J:J,MATCH($D5,'Equip Data'!$A:$A,0))="",0,Main!$O23*10000)</f>
        <v>0</v>
      </c>
      <c r="L5" s="114">
        <f>IF(INDEX('Equip Data'!K:K,MATCH($D5,'Equip Data'!$A:$A,0))="",0,Main!$O23*10000)</f>
        <v>0</v>
      </c>
      <c r="M5" s="114">
        <f>IF(INDEX('Equip Data'!L:L,MATCH($D5,'Equip Data'!$A:$A,0))="",0,Main!$O23*10000)</f>
        <v>10000</v>
      </c>
      <c r="N5" s="114">
        <f>IF(INDEX('Equip Data'!M:M,MATCH($D5,'Equip Data'!$A:$A,0))="",0,Main!$O23*10000)</f>
        <v>0</v>
      </c>
      <c r="O5" s="114">
        <f>IF(INDEX('Equip Data'!N:N,MATCH($D5,'Equip Data'!$A:$A,0))="",0,Main!$O23*10000)</f>
        <v>0</v>
      </c>
      <c r="P5" s="114">
        <f>IF(INDEX('Equip Data'!O:O,MATCH($D5,'Equip Data'!$A:$A,0))="",0,Main!$O23*10000)</f>
        <v>0</v>
      </c>
      <c r="Q5" s="114">
        <f>IF(INDEX('Equip Data'!P:P,MATCH($D5,'Equip Data'!$A:$A,0))="",0,Main!$O23*10000)</f>
        <v>0</v>
      </c>
      <c r="R5" s="114">
        <f>IF(INDEX('Equip Data'!Q:Q,MATCH($D5,'Equip Data'!$A:$A,0))="",0,Main!$O23*10000)</f>
        <v>0</v>
      </c>
      <c r="S5" s="114">
        <f>IF(INDEX('Equip Data'!R:R,MATCH($D5,'Equip Data'!$A:$A,0))="",0,Main!$O23*10000)</f>
        <v>0</v>
      </c>
      <c r="T5" s="114">
        <f>IF(INDEX('Equip Data'!S:S,MATCH($D5,'Equip Data'!$A:$A,0))="",0,10000)</f>
        <v>0</v>
      </c>
      <c r="U5" s="114">
        <v>0</v>
      </c>
      <c r="V5" s="114">
        <v>1</v>
      </c>
      <c r="W5" s="155">
        <v>0</v>
      </c>
      <c r="X5" s="116"/>
      <c r="Y5" s="116"/>
      <c r="Z5" s="116">
        <f>Main!J23*10000</f>
        <v>1000000</v>
      </c>
      <c r="AA5" s="116">
        <f>IF(Main!J23&gt;100,1500000,1000000)</f>
        <v>1000000</v>
      </c>
      <c r="AB5" s="116">
        <f>AA5</f>
        <v>1000000</v>
      </c>
      <c r="AC5" s="116">
        <f>IF(Main!J23&gt;100,1,0)</f>
        <v>0</v>
      </c>
      <c r="AD5" s="116">
        <v>0</v>
      </c>
      <c r="AE5" s="116">
        <v>0</v>
      </c>
      <c r="AF5" s="116">
        <v>0</v>
      </c>
      <c r="AG5" s="116">
        <v>0</v>
      </c>
    </row>
    <row r="6" spans="1:33" x14ac:dyDescent="0.25">
      <c r="A6" s="125">
        <f>IF(Main!M24="","",A5+1)</f>
        <v>5</v>
      </c>
      <c r="B6" s="123">
        <f>Main!$B$5</f>
        <v>562858</v>
      </c>
      <c r="C6" s="123">
        <f>Doll!C6</f>
        <v>294</v>
      </c>
      <c r="D6" s="123">
        <f>INDEX('Equip Data'!$A:$A,MATCH(Main!M24,'Equip Data'!$B:$B,0))</f>
        <v>66</v>
      </c>
      <c r="E6" s="123">
        <f>INDEX('Exp Tables'!$J$3:$N$13,MATCH(F6,'Exp Tables'!$I$3:$I$13,0),MATCH(INDEX('Equip Data'!$C:$C,MATCH(Main!M24,'Equip Data'!$B:$B,0)),'Exp Tables'!$J$2:$N$2,0))</f>
        <v>10000</v>
      </c>
      <c r="F6" s="123">
        <f>Main!N24</f>
        <v>10</v>
      </c>
      <c r="G6" s="123">
        <f>IF(INDEX('Equip Data'!F:F,MATCH($D6,'Equip Data'!$A:$A,0))="",0,Main!$O24*10000)</f>
        <v>0</v>
      </c>
      <c r="H6" s="123">
        <f>IF(INDEX('Equip Data'!G:G,MATCH($D6,'Equip Data'!$A:$A,0))="",0,Main!$O24*10000)</f>
        <v>0</v>
      </c>
      <c r="I6" s="123">
        <f>IF(INDEX('Equip Data'!H:H,MATCH($D6,'Equip Data'!$A:$A,0))="",0,Main!$O24*10000)</f>
        <v>10000</v>
      </c>
      <c r="J6" s="123">
        <f>IF(INDEX('Equip Data'!I:I,MATCH($D6,'Equip Data'!$A:$A,0))="",0,Main!$O24*10000)</f>
        <v>0</v>
      </c>
      <c r="K6" s="123">
        <f>IF(INDEX('Equip Data'!J:J,MATCH($D6,'Equip Data'!$A:$A,0))="",0,Main!$O24*10000)</f>
        <v>0</v>
      </c>
      <c r="L6" s="123">
        <f>IF(INDEX('Equip Data'!K:K,MATCH($D6,'Equip Data'!$A:$A,0))="",0,Main!$O24*10000)</f>
        <v>0</v>
      </c>
      <c r="M6" s="123">
        <f>IF(INDEX('Equip Data'!L:L,MATCH($D6,'Equip Data'!$A:$A,0))="",0,Main!$O24*10000)</f>
        <v>10000</v>
      </c>
      <c r="N6" s="123">
        <f>IF(INDEX('Equip Data'!M:M,MATCH($D6,'Equip Data'!$A:$A,0))="",0,Main!$O24*10000)</f>
        <v>0</v>
      </c>
      <c r="O6" s="123">
        <f>IF(INDEX('Equip Data'!N:N,MATCH($D6,'Equip Data'!$A:$A,0))="",0,Main!$O24*10000)</f>
        <v>0</v>
      </c>
      <c r="P6" s="123">
        <f>IF(INDEX('Equip Data'!O:O,MATCH($D6,'Equip Data'!$A:$A,0))="",0,Main!$O24*10000)</f>
        <v>0</v>
      </c>
      <c r="Q6" s="123">
        <f>IF(INDEX('Equip Data'!P:P,MATCH($D6,'Equip Data'!$A:$A,0))="",0,Main!$O24*10000)</f>
        <v>0</v>
      </c>
      <c r="R6" s="123">
        <f>IF(INDEX('Equip Data'!Q:Q,MATCH($D6,'Equip Data'!$A:$A,0))="",0,Main!$O24*10000)</f>
        <v>0</v>
      </c>
      <c r="S6" s="123">
        <f>IF(INDEX('Equip Data'!R:R,MATCH($D6,'Equip Data'!$A:$A,0))="",0,Main!$O24*10000)</f>
        <v>0</v>
      </c>
      <c r="T6" s="123">
        <f>IF(INDEX('Equip Data'!S:S,MATCH($D6,'Equip Data'!$A:$A,0))="",0,10000)</f>
        <v>0</v>
      </c>
      <c r="U6" s="123">
        <v>0</v>
      </c>
      <c r="V6" s="123">
        <v>1</v>
      </c>
      <c r="W6" s="124">
        <v>0</v>
      </c>
      <c r="X6" s="116"/>
      <c r="Y6" s="116"/>
      <c r="Z6" s="116">
        <f>Main!J24*10000</f>
        <v>1000000</v>
      </c>
      <c r="AA6" s="116">
        <f>IF(Main!J24&gt;100,1500000,1000000)</f>
        <v>1000000</v>
      </c>
      <c r="AB6" s="116">
        <f>AA6</f>
        <v>1000000</v>
      </c>
      <c r="AC6" s="116">
        <f>IF(Main!J24&gt;100,1,0)</f>
        <v>0</v>
      </c>
      <c r="AD6" s="116">
        <v>0</v>
      </c>
      <c r="AE6" s="116">
        <v>0</v>
      </c>
      <c r="AF6" s="116">
        <v>0</v>
      </c>
      <c r="AG6" s="116">
        <v>0</v>
      </c>
    </row>
    <row r="7" spans="1:33" x14ac:dyDescent="0.25">
      <c r="A7" s="154">
        <f>IF(Main!Q20="","",A2+5)</f>
        <v>6</v>
      </c>
      <c r="B7" s="114">
        <f>Main!$B$5</f>
        <v>562858</v>
      </c>
      <c r="C7" s="114">
        <f>C2</f>
        <v>20252</v>
      </c>
      <c r="D7" s="114">
        <f>INDEX('Equip Data'!$A:$A,MATCH(Main!Q20,'Equip Data'!$B:$B,0))</f>
        <v>178</v>
      </c>
      <c r="E7" s="114">
        <f>INDEX('Exp Tables'!$J$3:$N$13,MATCH(F7,'Exp Tables'!$I$3:$I$13,0),MATCH(INDEX('Equip Data'!$C:$C,MATCH(Main!Q20,'Equip Data'!$B:$B,0)),'Exp Tables'!$J$2:$N$2,0))</f>
        <v>30000</v>
      </c>
      <c r="F7" s="114">
        <f>Main!R20</f>
        <v>10</v>
      </c>
      <c r="G7" s="114">
        <f>IF(INDEX('Equip Data'!F:F,MATCH($D7,'Equip Data'!$A:$A,0))="",0,Main!$S20*10000)</f>
        <v>10000</v>
      </c>
      <c r="H7" s="114">
        <f>IF(INDEX('Equip Data'!G:G,MATCH($D7,'Equip Data'!$A:$A,0))="",0,Main!$S20*10000)</f>
        <v>0</v>
      </c>
      <c r="I7" s="114">
        <f>IF(INDEX('Equip Data'!H:H,MATCH($D7,'Equip Data'!$A:$A,0))="",0,Main!$S20*10000)</f>
        <v>0</v>
      </c>
      <c r="J7" s="114">
        <f>IF(INDEX('Equip Data'!I:I,MATCH($D7,'Equip Data'!$A:$A,0))="",0,Main!$S20*10000)</f>
        <v>0</v>
      </c>
      <c r="K7" s="114">
        <f>IF(INDEX('Equip Data'!J:J,MATCH($D7,'Equip Data'!$A:$A,0))="",0,Main!$S20*10000)</f>
        <v>0</v>
      </c>
      <c r="L7" s="114">
        <f>IF(INDEX('Equip Data'!K:K,MATCH($D7,'Equip Data'!$A:$A,0))="",0,Main!$S20*10000)</f>
        <v>0</v>
      </c>
      <c r="M7" s="114">
        <f>IF(INDEX('Equip Data'!L:L,MATCH($D7,'Equip Data'!$A:$A,0))="",0,Main!$S20*10000)</f>
        <v>0</v>
      </c>
      <c r="N7" s="114">
        <f>IF(INDEX('Equip Data'!M:M,MATCH($D7,'Equip Data'!$A:$A,0))="",0,Main!$S20*10000)</f>
        <v>10000</v>
      </c>
      <c r="O7" s="114">
        <f>IF(INDEX('Equip Data'!N:N,MATCH($D7,'Equip Data'!$A:$A,0))="",0,Main!$S20*10000)</f>
        <v>0</v>
      </c>
      <c r="P7" s="114">
        <f>IF(INDEX('Equip Data'!O:O,MATCH($D7,'Equip Data'!$A:$A,0))="",0,Main!$S20*10000)</f>
        <v>0</v>
      </c>
      <c r="Q7" s="114">
        <f>IF(INDEX('Equip Data'!P:P,MATCH($D7,'Equip Data'!$A:$A,0))="",0,Main!$S20*10000)</f>
        <v>0</v>
      </c>
      <c r="R7" s="114">
        <f>IF(INDEX('Equip Data'!Q:Q,MATCH($D7,'Equip Data'!$A:$A,0))="",0,Main!$S20*10000)</f>
        <v>0</v>
      </c>
      <c r="S7" s="114">
        <f>IF(INDEX('Equip Data'!R:R,MATCH($D7,'Equip Data'!$A:$A,0))="",0,Main!$S20*10000)</f>
        <v>0</v>
      </c>
      <c r="T7" s="114">
        <f>IF(INDEX('Equip Data'!S:S,MATCH($D7,'Equip Data'!$A:$A,0))="",0,10000)</f>
        <v>0</v>
      </c>
      <c r="U7" s="114">
        <v>0</v>
      </c>
      <c r="V7" s="114">
        <v>1</v>
      </c>
      <c r="W7" s="155">
        <v>0</v>
      </c>
    </row>
    <row r="8" spans="1:33" x14ac:dyDescent="0.25">
      <c r="A8" s="154">
        <f>IF(Main!Q21="","",A3+5)</f>
        <v>7</v>
      </c>
      <c r="B8" s="114">
        <f>Main!$B$5</f>
        <v>562858</v>
      </c>
      <c r="C8" s="114">
        <f t="shared" ref="C8:C16" si="0">C3</f>
        <v>20095</v>
      </c>
      <c r="D8" s="114">
        <f>INDEX('Equip Data'!$A:$A,MATCH(Main!Q21,'Equip Data'!$B:$B,0))</f>
        <v>20</v>
      </c>
      <c r="E8" s="114">
        <f>INDEX('Exp Tables'!$J$3:$N$13,MATCH(F8,'Exp Tables'!$I$3:$I$13,0),MATCH(INDEX('Equip Data'!$C:$C,MATCH(Main!Q21,'Equip Data'!$B:$B,0)),'Exp Tables'!$J$2:$N$2,0))</f>
        <v>10000</v>
      </c>
      <c r="F8" s="114">
        <f>Main!R21</f>
        <v>10</v>
      </c>
      <c r="G8" s="114">
        <f>IF(INDEX('Equip Data'!F:F,MATCH($D8,'Equip Data'!$A:$A,0))="",0,Main!$S21*10000)</f>
        <v>0</v>
      </c>
      <c r="H8" s="114">
        <f>IF(INDEX('Equip Data'!G:G,MATCH($D8,'Equip Data'!$A:$A,0))="",0,Main!$S21*10000)</f>
        <v>0</v>
      </c>
      <c r="I8" s="114">
        <f>IF(INDEX('Equip Data'!H:H,MATCH($D8,'Equip Data'!$A:$A,0))="",0,Main!$S21*10000)</f>
        <v>0</v>
      </c>
      <c r="J8" s="114">
        <f>IF(INDEX('Equip Data'!I:I,MATCH($D8,'Equip Data'!$A:$A,0))="",0,Main!$S21*10000)</f>
        <v>0</v>
      </c>
      <c r="K8" s="114">
        <f>IF(INDEX('Equip Data'!J:J,MATCH($D8,'Equip Data'!$A:$A,0))="",0,Main!$S21*10000)</f>
        <v>0</v>
      </c>
      <c r="L8" s="114">
        <f>IF(INDEX('Equip Data'!K:K,MATCH($D8,'Equip Data'!$A:$A,0))="",0,Main!$S21*10000)</f>
        <v>0</v>
      </c>
      <c r="M8" s="114">
        <f>IF(INDEX('Equip Data'!L:L,MATCH($D8,'Equip Data'!$A:$A,0))="",0,Main!$S21*10000)</f>
        <v>0</v>
      </c>
      <c r="N8" s="114">
        <f>IF(INDEX('Equip Data'!M:M,MATCH($D8,'Equip Data'!$A:$A,0))="",0,Main!$S21*10000)</f>
        <v>10000</v>
      </c>
      <c r="O8" s="114">
        <f>IF(INDEX('Equip Data'!N:N,MATCH($D8,'Equip Data'!$A:$A,0))="",0,Main!$S21*10000)</f>
        <v>0</v>
      </c>
      <c r="P8" s="114">
        <f>IF(INDEX('Equip Data'!O:O,MATCH($D8,'Equip Data'!$A:$A,0))="",0,Main!$S21*10000)</f>
        <v>0</v>
      </c>
      <c r="Q8" s="114">
        <f>IF(INDEX('Equip Data'!P:P,MATCH($D8,'Equip Data'!$A:$A,0))="",0,Main!$S21*10000)</f>
        <v>0</v>
      </c>
      <c r="R8" s="114">
        <f>IF(INDEX('Equip Data'!Q:Q,MATCH($D8,'Equip Data'!$A:$A,0))="",0,Main!$S21*10000)</f>
        <v>0</v>
      </c>
      <c r="S8" s="114">
        <f>IF(INDEX('Equip Data'!R:R,MATCH($D8,'Equip Data'!$A:$A,0))="",0,Main!$S21*10000)</f>
        <v>0</v>
      </c>
      <c r="T8" s="114">
        <f>IF(INDEX('Equip Data'!S:S,MATCH($D8,'Equip Data'!$A:$A,0))="",0,10000)</f>
        <v>0</v>
      </c>
      <c r="U8" s="114">
        <v>0</v>
      </c>
      <c r="V8" s="114">
        <v>1</v>
      </c>
      <c r="W8" s="155">
        <v>0</v>
      </c>
    </row>
    <row r="9" spans="1:33" x14ac:dyDescent="0.25">
      <c r="A9" s="154">
        <f>IF(Main!Q22="","",A4+5)</f>
        <v>8</v>
      </c>
      <c r="B9" s="114">
        <f>Main!$B$5</f>
        <v>562858</v>
      </c>
      <c r="C9" s="114">
        <f t="shared" si="0"/>
        <v>20097</v>
      </c>
      <c r="D9" s="114">
        <f>INDEX('Equip Data'!$A:$A,MATCH(Main!Q22,'Equip Data'!$B:$B,0))</f>
        <v>72</v>
      </c>
      <c r="E9" s="114">
        <f>INDEX('Exp Tables'!$J$3:$N$13,MATCH(F9,'Exp Tables'!$I$3:$I$13,0),MATCH(INDEX('Equip Data'!$C:$C,MATCH(Main!Q22,'Equip Data'!$B:$B,0)),'Exp Tables'!$J$2:$N$2,0))</f>
        <v>10000</v>
      </c>
      <c r="F9" s="114">
        <f>Main!R22</f>
        <v>10</v>
      </c>
      <c r="G9" s="114">
        <f>IF(INDEX('Equip Data'!F:F,MATCH($D9,'Equip Data'!$A:$A,0))="",0,Main!$S22*10000)</f>
        <v>10000</v>
      </c>
      <c r="H9" s="114">
        <f>IF(INDEX('Equip Data'!G:G,MATCH($D9,'Equip Data'!$A:$A,0))="",0,Main!$S22*10000)</f>
        <v>0</v>
      </c>
      <c r="I9" s="114">
        <f>IF(INDEX('Equip Data'!H:H,MATCH($D9,'Equip Data'!$A:$A,0))="",0,Main!$S22*10000)</f>
        <v>0</v>
      </c>
      <c r="J9" s="114">
        <f>IF(INDEX('Equip Data'!I:I,MATCH($D9,'Equip Data'!$A:$A,0))="",0,Main!$S22*10000)</f>
        <v>0</v>
      </c>
      <c r="K9" s="114">
        <f>IF(INDEX('Equip Data'!J:J,MATCH($D9,'Equip Data'!$A:$A,0))="",0,Main!$S22*10000)</f>
        <v>0</v>
      </c>
      <c r="L9" s="114">
        <f>IF(INDEX('Equip Data'!K:K,MATCH($D9,'Equip Data'!$A:$A,0))="",0,Main!$S22*10000)</f>
        <v>0</v>
      </c>
      <c r="M9" s="114">
        <f>IF(INDEX('Equip Data'!L:L,MATCH($D9,'Equip Data'!$A:$A,0))="",0,Main!$S22*10000)</f>
        <v>0</v>
      </c>
      <c r="N9" s="114">
        <f>IF(INDEX('Equip Data'!M:M,MATCH($D9,'Equip Data'!$A:$A,0))="",0,Main!$S22*10000)</f>
        <v>10000</v>
      </c>
      <c r="O9" s="114">
        <f>IF(INDEX('Equip Data'!N:N,MATCH($D9,'Equip Data'!$A:$A,0))="",0,Main!$S22*10000)</f>
        <v>0</v>
      </c>
      <c r="P9" s="114">
        <f>IF(INDEX('Equip Data'!O:O,MATCH($D9,'Equip Data'!$A:$A,0))="",0,Main!$S22*10000)</f>
        <v>0</v>
      </c>
      <c r="Q9" s="114">
        <f>IF(INDEX('Equip Data'!P:P,MATCH($D9,'Equip Data'!$A:$A,0))="",0,Main!$S22*10000)</f>
        <v>0</v>
      </c>
      <c r="R9" s="114">
        <f>IF(INDEX('Equip Data'!Q:Q,MATCH($D9,'Equip Data'!$A:$A,0))="",0,Main!$S22*10000)</f>
        <v>0</v>
      </c>
      <c r="S9" s="114">
        <f>IF(INDEX('Equip Data'!R:R,MATCH($D9,'Equip Data'!$A:$A,0))="",0,Main!$S22*10000)</f>
        <v>0</v>
      </c>
      <c r="T9" s="114">
        <f>IF(INDEX('Equip Data'!S:S,MATCH($D9,'Equip Data'!$A:$A,0))="",0,10000)</f>
        <v>0</v>
      </c>
      <c r="U9" s="114">
        <v>0</v>
      </c>
      <c r="V9" s="114">
        <v>1</v>
      </c>
      <c r="W9" s="155">
        <v>0</v>
      </c>
    </row>
    <row r="10" spans="1:33" x14ac:dyDescent="0.25">
      <c r="A10" s="154">
        <f>IF(Main!Q23="","",A5+5)</f>
        <v>9</v>
      </c>
      <c r="B10" s="114">
        <f>Main!$B$5</f>
        <v>562858</v>
      </c>
      <c r="C10" s="114">
        <f t="shared" si="0"/>
        <v>96</v>
      </c>
      <c r="D10" s="114">
        <f>INDEX('Equip Data'!$A:$A,MATCH(Main!Q23,'Equip Data'!$B:$B,0))</f>
        <v>72</v>
      </c>
      <c r="E10" s="114">
        <f>INDEX('Exp Tables'!$J$3:$N$13,MATCH(F10,'Exp Tables'!$I$3:$I$13,0),MATCH(INDEX('Equip Data'!$C:$C,MATCH(Main!Q23,'Equip Data'!$B:$B,0)),'Exp Tables'!$J$2:$N$2,0))</f>
        <v>10000</v>
      </c>
      <c r="F10" s="114">
        <f>Main!R23</f>
        <v>10</v>
      </c>
      <c r="G10" s="114">
        <f>IF(INDEX('Equip Data'!F:F,MATCH($D10,'Equip Data'!$A:$A,0))="",0,Main!$S23*10000)</f>
        <v>10000</v>
      </c>
      <c r="H10" s="114">
        <f>IF(INDEX('Equip Data'!G:G,MATCH($D10,'Equip Data'!$A:$A,0))="",0,Main!$S23*10000)</f>
        <v>0</v>
      </c>
      <c r="I10" s="114">
        <f>IF(INDEX('Equip Data'!H:H,MATCH($D10,'Equip Data'!$A:$A,0))="",0,Main!$S23*10000)</f>
        <v>0</v>
      </c>
      <c r="J10" s="114">
        <f>IF(INDEX('Equip Data'!I:I,MATCH($D10,'Equip Data'!$A:$A,0))="",0,Main!$S23*10000)</f>
        <v>0</v>
      </c>
      <c r="K10" s="114">
        <f>IF(INDEX('Equip Data'!J:J,MATCH($D10,'Equip Data'!$A:$A,0))="",0,Main!$S23*10000)</f>
        <v>0</v>
      </c>
      <c r="L10" s="114">
        <f>IF(INDEX('Equip Data'!K:K,MATCH($D10,'Equip Data'!$A:$A,0))="",0,Main!$S23*10000)</f>
        <v>0</v>
      </c>
      <c r="M10" s="114">
        <f>IF(INDEX('Equip Data'!L:L,MATCH($D10,'Equip Data'!$A:$A,0))="",0,Main!$S23*10000)</f>
        <v>0</v>
      </c>
      <c r="N10" s="114">
        <f>IF(INDEX('Equip Data'!M:M,MATCH($D10,'Equip Data'!$A:$A,0))="",0,Main!$S23*10000)</f>
        <v>10000</v>
      </c>
      <c r="O10" s="114">
        <f>IF(INDEX('Equip Data'!N:N,MATCH($D10,'Equip Data'!$A:$A,0))="",0,Main!$S23*10000)</f>
        <v>0</v>
      </c>
      <c r="P10" s="114">
        <f>IF(INDEX('Equip Data'!O:O,MATCH($D10,'Equip Data'!$A:$A,0))="",0,Main!$S23*10000)</f>
        <v>0</v>
      </c>
      <c r="Q10" s="114">
        <f>IF(INDEX('Equip Data'!P:P,MATCH($D10,'Equip Data'!$A:$A,0))="",0,Main!$S23*10000)</f>
        <v>0</v>
      </c>
      <c r="R10" s="114">
        <f>IF(INDEX('Equip Data'!Q:Q,MATCH($D10,'Equip Data'!$A:$A,0))="",0,Main!$S23*10000)</f>
        <v>0</v>
      </c>
      <c r="S10" s="114">
        <f>IF(INDEX('Equip Data'!R:R,MATCH($D10,'Equip Data'!$A:$A,0))="",0,Main!$S23*10000)</f>
        <v>0</v>
      </c>
      <c r="T10" s="114">
        <f>IF(INDEX('Equip Data'!S:S,MATCH($D10,'Equip Data'!$A:$A,0))="",0,10000)</f>
        <v>0</v>
      </c>
      <c r="U10" s="114">
        <v>0</v>
      </c>
      <c r="V10" s="114">
        <v>1</v>
      </c>
      <c r="W10" s="155">
        <v>0</v>
      </c>
    </row>
    <row r="11" spans="1:33" x14ac:dyDescent="0.25">
      <c r="A11" s="125">
        <f>IF(Main!Q24="","",A6+5)</f>
        <v>10</v>
      </c>
      <c r="B11" s="123">
        <f>Main!$B$5</f>
        <v>562858</v>
      </c>
      <c r="C11" s="123">
        <f t="shared" si="0"/>
        <v>294</v>
      </c>
      <c r="D11" s="123">
        <f>INDEX('Equip Data'!$A:$A,MATCH(Main!Q24,'Equip Data'!$B:$B,0))</f>
        <v>72</v>
      </c>
      <c r="E11" s="123">
        <f>INDEX('Exp Tables'!$J$3:$N$13,MATCH(F11,'Exp Tables'!$I$3:$I$13,0),MATCH(INDEX('Equip Data'!$C:$C,MATCH(Main!Q24,'Equip Data'!$B:$B,0)),'Exp Tables'!$J$2:$N$2,0))</f>
        <v>10000</v>
      </c>
      <c r="F11" s="123">
        <f>Main!R24</f>
        <v>10</v>
      </c>
      <c r="G11" s="123">
        <f>IF(INDEX('Equip Data'!F:F,MATCH($D11,'Equip Data'!$A:$A,0))="",0,Main!$S24*10000)</f>
        <v>10000</v>
      </c>
      <c r="H11" s="123">
        <f>IF(INDEX('Equip Data'!G:G,MATCH($D11,'Equip Data'!$A:$A,0))="",0,Main!$S24*10000)</f>
        <v>0</v>
      </c>
      <c r="I11" s="123">
        <f>IF(INDEX('Equip Data'!H:H,MATCH($D11,'Equip Data'!$A:$A,0))="",0,Main!$S24*10000)</f>
        <v>0</v>
      </c>
      <c r="J11" s="123">
        <f>IF(INDEX('Equip Data'!I:I,MATCH($D11,'Equip Data'!$A:$A,0))="",0,Main!$S24*10000)</f>
        <v>0</v>
      </c>
      <c r="K11" s="123">
        <f>IF(INDEX('Equip Data'!J:J,MATCH($D11,'Equip Data'!$A:$A,0))="",0,Main!$S24*10000)</f>
        <v>0</v>
      </c>
      <c r="L11" s="123">
        <f>IF(INDEX('Equip Data'!K:K,MATCH($D11,'Equip Data'!$A:$A,0))="",0,Main!$S24*10000)</f>
        <v>0</v>
      </c>
      <c r="M11" s="123">
        <f>IF(INDEX('Equip Data'!L:L,MATCH($D11,'Equip Data'!$A:$A,0))="",0,Main!$S24*10000)</f>
        <v>0</v>
      </c>
      <c r="N11" s="123">
        <f>IF(INDEX('Equip Data'!M:M,MATCH($D11,'Equip Data'!$A:$A,0))="",0,Main!$S24*10000)</f>
        <v>10000</v>
      </c>
      <c r="O11" s="123">
        <f>IF(INDEX('Equip Data'!N:N,MATCH($D11,'Equip Data'!$A:$A,0))="",0,Main!$S24*10000)</f>
        <v>0</v>
      </c>
      <c r="P11" s="123">
        <f>IF(INDEX('Equip Data'!O:O,MATCH($D11,'Equip Data'!$A:$A,0))="",0,Main!$S24*10000)</f>
        <v>0</v>
      </c>
      <c r="Q11" s="123">
        <f>IF(INDEX('Equip Data'!P:P,MATCH($D11,'Equip Data'!$A:$A,0))="",0,Main!$S24*10000)</f>
        <v>0</v>
      </c>
      <c r="R11" s="123">
        <f>IF(INDEX('Equip Data'!Q:Q,MATCH($D11,'Equip Data'!$A:$A,0))="",0,Main!$S24*10000)</f>
        <v>0</v>
      </c>
      <c r="S11" s="123">
        <f>IF(INDEX('Equip Data'!R:R,MATCH($D11,'Equip Data'!$A:$A,0))="",0,Main!$S24*10000)</f>
        <v>0</v>
      </c>
      <c r="T11" s="123">
        <f>IF(INDEX('Equip Data'!S:S,MATCH($D11,'Equip Data'!$A:$A,0))="",0,10000)</f>
        <v>0</v>
      </c>
      <c r="U11" s="123">
        <v>0</v>
      </c>
      <c r="V11" s="123">
        <v>1</v>
      </c>
      <c r="W11" s="124">
        <v>0</v>
      </c>
    </row>
    <row r="12" spans="1:33" x14ac:dyDescent="0.25">
      <c r="A12" s="154">
        <f>IF(Main!U20="","",A2+10)</f>
        <v>11</v>
      </c>
      <c r="B12" s="114">
        <f>Main!$B$5</f>
        <v>562858</v>
      </c>
      <c r="C12" s="114">
        <f t="shared" si="0"/>
        <v>20252</v>
      </c>
      <c r="D12" s="114">
        <f>INDEX('Equip Data'!$A:$A,MATCH(Main!U20,'Equip Data'!$B:$B,0))</f>
        <v>90</v>
      </c>
      <c r="E12" s="114">
        <f>INDEX('Exp Tables'!$J$3:$N$13,MATCH(F12,'Exp Tables'!$I$3:$I$13,0),MATCH(INDEX('Equip Data'!$C:$C,MATCH(Main!U20,'Equip Data'!$B:$B,0)),'Exp Tables'!$J$2:$N$2,0))</f>
        <v>10000</v>
      </c>
      <c r="F12" s="114">
        <f>Main!V20</f>
        <v>10</v>
      </c>
      <c r="G12" s="114">
        <f>IF(INDEX('Equip Data'!F:F,MATCH($D12,'Equip Data'!$A:$A,0))="",0,Main!$W20*10000)</f>
        <v>0</v>
      </c>
      <c r="H12" s="114">
        <f>IF(INDEX('Equip Data'!G:G,MATCH($D12,'Equip Data'!$A:$A,0))="",0,Main!$W20*10000)</f>
        <v>0</v>
      </c>
      <c r="I12" s="114">
        <f>IF(INDEX('Equip Data'!H:H,MATCH($D12,'Equip Data'!$A:$A,0))="",0,Main!$W20*10000)</f>
        <v>0</v>
      </c>
      <c r="J12" s="114">
        <f>IF(INDEX('Equip Data'!I:I,MATCH($D12,'Equip Data'!$A:$A,0))="",0,Main!$W20*10000)</f>
        <v>10000</v>
      </c>
      <c r="K12" s="114">
        <f>IF(INDEX('Equip Data'!J:J,MATCH($D12,'Equip Data'!$A:$A,0))="",0,Main!$W20*10000)</f>
        <v>0</v>
      </c>
      <c r="L12" s="114">
        <f>IF(INDEX('Equip Data'!K:K,MATCH($D12,'Equip Data'!$A:$A,0))="",0,Main!$W20*10000)</f>
        <v>10000</v>
      </c>
      <c r="M12" s="114">
        <f>IF(INDEX('Equip Data'!L:L,MATCH($D12,'Equip Data'!$A:$A,0))="",0,Main!$W20*10000)</f>
        <v>0</v>
      </c>
      <c r="N12" s="114">
        <f>IF(INDEX('Equip Data'!M:M,MATCH($D12,'Equip Data'!$A:$A,0))="",0,Main!$W20*10000)</f>
        <v>0</v>
      </c>
      <c r="O12" s="114">
        <f>IF(INDEX('Equip Data'!N:N,MATCH($D12,'Equip Data'!$A:$A,0))="",0,Main!$W20*10000)</f>
        <v>0</v>
      </c>
      <c r="P12" s="114">
        <f>IF(INDEX('Equip Data'!O:O,MATCH($D12,'Equip Data'!$A:$A,0))="",0,Main!$W20*10000)</f>
        <v>0</v>
      </c>
      <c r="Q12" s="114">
        <f>IF(INDEX('Equip Data'!P:P,MATCH($D12,'Equip Data'!$A:$A,0))="",0,Main!$W20*10000)</f>
        <v>0</v>
      </c>
      <c r="R12" s="114">
        <f>IF(INDEX('Equip Data'!Q:Q,MATCH($D12,'Equip Data'!$A:$A,0))="",0,Main!$W20*10000)</f>
        <v>0</v>
      </c>
      <c r="S12" s="114">
        <f>IF(INDEX('Equip Data'!R:R,MATCH($D12,'Equip Data'!$A:$A,0))="",0,Main!$W20*10000)</f>
        <v>0</v>
      </c>
      <c r="T12" s="114">
        <f>IF(INDEX('Equip Data'!S:S,MATCH($D12,'Equip Data'!$A:$A,0))="",0,10000)</f>
        <v>0</v>
      </c>
      <c r="U12" s="114">
        <v>0</v>
      </c>
      <c r="V12" s="114">
        <v>1</v>
      </c>
      <c r="W12" s="155">
        <v>0</v>
      </c>
    </row>
    <row r="13" spans="1:33" x14ac:dyDescent="0.25">
      <c r="A13" s="154">
        <f>IF(Main!U21="","",A3+10)</f>
        <v>12</v>
      </c>
      <c r="B13" s="114">
        <f>Main!$B$5</f>
        <v>562858</v>
      </c>
      <c r="C13" s="114">
        <f t="shared" si="0"/>
        <v>20095</v>
      </c>
      <c r="D13" s="114">
        <f>INDEX('Equip Data'!$A:$A,MATCH(Main!U21,'Equip Data'!$B:$B,0))</f>
        <v>90</v>
      </c>
      <c r="E13" s="114">
        <f>INDEX('Exp Tables'!$J$3:$N$13,MATCH(F13,'Exp Tables'!$I$3:$I$13,0),MATCH(INDEX('Equip Data'!$C:$C,MATCH(Main!U21,'Equip Data'!$B:$B,0)),'Exp Tables'!$J$2:$N$2,0))</f>
        <v>10000</v>
      </c>
      <c r="F13" s="114">
        <f>Main!V21</f>
        <v>10</v>
      </c>
      <c r="G13" s="114">
        <f>IF(INDEX('Equip Data'!F:F,MATCH($D13,'Equip Data'!$A:$A,0))="",0,Main!$W21*10000)</f>
        <v>0</v>
      </c>
      <c r="H13" s="114">
        <f>IF(INDEX('Equip Data'!G:G,MATCH($D13,'Equip Data'!$A:$A,0))="",0,Main!$W21*10000)</f>
        <v>0</v>
      </c>
      <c r="I13" s="114">
        <f>IF(INDEX('Equip Data'!H:H,MATCH($D13,'Equip Data'!$A:$A,0))="",0,Main!$W21*10000)</f>
        <v>0</v>
      </c>
      <c r="J13" s="114">
        <f>IF(INDEX('Equip Data'!I:I,MATCH($D13,'Equip Data'!$A:$A,0))="",0,Main!$W21*10000)</f>
        <v>10000</v>
      </c>
      <c r="K13" s="114">
        <f>IF(INDEX('Equip Data'!J:J,MATCH($D13,'Equip Data'!$A:$A,0))="",0,Main!$W21*10000)</f>
        <v>0</v>
      </c>
      <c r="L13" s="114">
        <f>IF(INDEX('Equip Data'!K:K,MATCH($D13,'Equip Data'!$A:$A,0))="",0,Main!$W21*10000)</f>
        <v>10000</v>
      </c>
      <c r="M13" s="114">
        <f>IF(INDEX('Equip Data'!L:L,MATCH($D13,'Equip Data'!$A:$A,0))="",0,Main!$W21*10000)</f>
        <v>0</v>
      </c>
      <c r="N13" s="114">
        <f>IF(INDEX('Equip Data'!M:M,MATCH($D13,'Equip Data'!$A:$A,0))="",0,Main!$W21*10000)</f>
        <v>0</v>
      </c>
      <c r="O13" s="114">
        <f>IF(INDEX('Equip Data'!N:N,MATCH($D13,'Equip Data'!$A:$A,0))="",0,Main!$W21*10000)</f>
        <v>0</v>
      </c>
      <c r="P13" s="114">
        <f>IF(INDEX('Equip Data'!O:O,MATCH($D13,'Equip Data'!$A:$A,0))="",0,Main!$W21*10000)</f>
        <v>0</v>
      </c>
      <c r="Q13" s="114">
        <f>IF(INDEX('Equip Data'!P:P,MATCH($D13,'Equip Data'!$A:$A,0))="",0,Main!$W21*10000)</f>
        <v>0</v>
      </c>
      <c r="R13" s="114">
        <f>IF(INDEX('Equip Data'!Q:Q,MATCH($D13,'Equip Data'!$A:$A,0))="",0,Main!$W21*10000)</f>
        <v>0</v>
      </c>
      <c r="S13" s="114">
        <f>IF(INDEX('Equip Data'!R:R,MATCH($D13,'Equip Data'!$A:$A,0))="",0,Main!$W21*10000)</f>
        <v>0</v>
      </c>
      <c r="T13" s="114">
        <f>IF(INDEX('Equip Data'!S:S,MATCH($D13,'Equip Data'!$A:$A,0))="",0,10000)</f>
        <v>0</v>
      </c>
      <c r="U13" s="114">
        <v>0</v>
      </c>
      <c r="V13" s="114">
        <v>1</v>
      </c>
      <c r="W13" s="155">
        <v>0</v>
      </c>
    </row>
    <row r="14" spans="1:33" x14ac:dyDescent="0.25">
      <c r="A14" s="154">
        <f>IF(Main!U22="","",A4+10)</f>
        <v>13</v>
      </c>
      <c r="B14" s="114">
        <f>Main!$B$5</f>
        <v>562858</v>
      </c>
      <c r="C14" s="114">
        <f t="shared" si="0"/>
        <v>20097</v>
      </c>
      <c r="D14" s="114">
        <f>INDEX('Equip Data'!$A:$A,MATCH(Main!U22,'Equip Data'!$B:$B,0))</f>
        <v>58</v>
      </c>
      <c r="E14" s="114">
        <f>INDEX('Exp Tables'!$J$3:$N$13,MATCH(F14,'Exp Tables'!$I$3:$I$13,0),MATCH(INDEX('Equip Data'!$C:$C,MATCH(Main!U22,'Equip Data'!$B:$B,0)),'Exp Tables'!$J$2:$N$2,0))</f>
        <v>10000</v>
      </c>
      <c r="F14" s="114">
        <f>Main!V22</f>
        <v>10</v>
      </c>
      <c r="G14" s="114">
        <f>IF(INDEX('Equip Data'!F:F,MATCH($D14,'Equip Data'!$A:$A,0))="",0,Main!$W22*10000)</f>
        <v>0</v>
      </c>
      <c r="H14" s="114">
        <f>IF(INDEX('Equip Data'!G:G,MATCH($D14,'Equip Data'!$A:$A,0))="",0,Main!$W22*10000)</f>
        <v>0</v>
      </c>
      <c r="I14" s="114">
        <f>IF(INDEX('Equip Data'!H:H,MATCH($D14,'Equip Data'!$A:$A,0))="",0,Main!$W22*10000)</f>
        <v>10000</v>
      </c>
      <c r="J14" s="114">
        <f>IF(INDEX('Equip Data'!I:I,MATCH($D14,'Equip Data'!$A:$A,0))="",0,Main!$W22*10000)</f>
        <v>0</v>
      </c>
      <c r="K14" s="114">
        <f>IF(INDEX('Equip Data'!J:J,MATCH($D14,'Equip Data'!$A:$A,0))="",0,Main!$W22*10000)</f>
        <v>0</v>
      </c>
      <c r="L14" s="114">
        <f>IF(INDEX('Equip Data'!K:K,MATCH($D14,'Equip Data'!$A:$A,0))="",0,Main!$W22*10000)</f>
        <v>0</v>
      </c>
      <c r="M14" s="114">
        <f>IF(INDEX('Equip Data'!L:L,MATCH($D14,'Equip Data'!$A:$A,0))="",0,Main!$W22*10000)</f>
        <v>0</v>
      </c>
      <c r="N14" s="114">
        <f>IF(INDEX('Equip Data'!M:M,MATCH($D14,'Equip Data'!$A:$A,0))="",0,Main!$W22*10000)</f>
        <v>0</v>
      </c>
      <c r="O14" s="114">
        <f>IF(INDEX('Equip Data'!N:N,MATCH($D14,'Equip Data'!$A:$A,0))="",0,Main!$W22*10000)</f>
        <v>0</v>
      </c>
      <c r="P14" s="114">
        <f>IF(INDEX('Equip Data'!O:O,MATCH($D14,'Equip Data'!$A:$A,0))="",0,Main!$W22*10000)</f>
        <v>0</v>
      </c>
      <c r="Q14" s="114">
        <f>IF(INDEX('Equip Data'!P:P,MATCH($D14,'Equip Data'!$A:$A,0))="",0,Main!$W22*10000)</f>
        <v>0</v>
      </c>
      <c r="R14" s="114">
        <f>IF(INDEX('Equip Data'!Q:Q,MATCH($D14,'Equip Data'!$A:$A,0))="",0,Main!$W22*10000)</f>
        <v>0</v>
      </c>
      <c r="S14" s="114">
        <f>IF(INDEX('Equip Data'!R:R,MATCH($D14,'Equip Data'!$A:$A,0))="",0,Main!$W22*10000)</f>
        <v>0</v>
      </c>
      <c r="T14" s="114">
        <f>IF(INDEX('Equip Data'!S:S,MATCH($D14,'Equip Data'!$A:$A,0))="",0,10000)</f>
        <v>0</v>
      </c>
      <c r="U14" s="114">
        <v>0</v>
      </c>
      <c r="V14" s="114">
        <v>1</v>
      </c>
      <c r="W14" s="155">
        <v>0</v>
      </c>
    </row>
    <row r="15" spans="1:33" x14ac:dyDescent="0.25">
      <c r="A15" s="154">
        <f>IF(Main!U23="","",A5+10)</f>
        <v>14</v>
      </c>
      <c r="B15" s="114">
        <f>Main!$B$5</f>
        <v>562858</v>
      </c>
      <c r="C15" s="114">
        <f t="shared" si="0"/>
        <v>96</v>
      </c>
      <c r="D15" s="114">
        <f>INDEX('Equip Data'!$A:$A,MATCH(Main!U23,'Equip Data'!$B:$B,0))</f>
        <v>58</v>
      </c>
      <c r="E15" s="114">
        <f>INDEX('Exp Tables'!$J$3:$N$13,MATCH(F15,'Exp Tables'!$I$3:$I$13,0),MATCH(INDEX('Equip Data'!$C:$C,MATCH(Main!U23,'Equip Data'!$B:$B,0)),'Exp Tables'!$J$2:$N$2,0))</f>
        <v>10000</v>
      </c>
      <c r="F15" s="114">
        <f>Main!V23</f>
        <v>10</v>
      </c>
      <c r="G15" s="114">
        <f>IF(INDEX('Equip Data'!F:F,MATCH($D15,'Equip Data'!$A:$A,0))="",0,Main!$W23*10000)</f>
        <v>0</v>
      </c>
      <c r="H15" s="114">
        <f>IF(INDEX('Equip Data'!G:G,MATCH($D15,'Equip Data'!$A:$A,0))="",0,Main!$W23*10000)</f>
        <v>0</v>
      </c>
      <c r="I15" s="114">
        <f>IF(INDEX('Equip Data'!H:H,MATCH($D15,'Equip Data'!$A:$A,0))="",0,Main!$W23*10000)</f>
        <v>10000</v>
      </c>
      <c r="J15" s="114">
        <f>IF(INDEX('Equip Data'!I:I,MATCH($D15,'Equip Data'!$A:$A,0))="",0,Main!$W23*10000)</f>
        <v>0</v>
      </c>
      <c r="K15" s="114">
        <f>IF(INDEX('Equip Data'!J:J,MATCH($D15,'Equip Data'!$A:$A,0))="",0,Main!$W23*10000)</f>
        <v>0</v>
      </c>
      <c r="L15" s="114">
        <f>IF(INDEX('Equip Data'!K:K,MATCH($D15,'Equip Data'!$A:$A,0))="",0,Main!$W23*10000)</f>
        <v>0</v>
      </c>
      <c r="M15" s="114">
        <f>IF(INDEX('Equip Data'!L:L,MATCH($D15,'Equip Data'!$A:$A,0))="",0,Main!$W23*10000)</f>
        <v>0</v>
      </c>
      <c r="N15" s="114">
        <f>IF(INDEX('Equip Data'!M:M,MATCH($D15,'Equip Data'!$A:$A,0))="",0,Main!$W23*10000)</f>
        <v>0</v>
      </c>
      <c r="O15" s="114">
        <f>IF(INDEX('Equip Data'!N:N,MATCH($D15,'Equip Data'!$A:$A,0))="",0,Main!$W23*10000)</f>
        <v>0</v>
      </c>
      <c r="P15" s="114">
        <f>IF(INDEX('Equip Data'!O:O,MATCH($D15,'Equip Data'!$A:$A,0))="",0,Main!$W23*10000)</f>
        <v>0</v>
      </c>
      <c r="Q15" s="114">
        <f>IF(INDEX('Equip Data'!P:P,MATCH($D15,'Equip Data'!$A:$A,0))="",0,Main!$W23*10000)</f>
        <v>0</v>
      </c>
      <c r="R15" s="114">
        <f>IF(INDEX('Equip Data'!Q:Q,MATCH($D15,'Equip Data'!$A:$A,0))="",0,Main!$W23*10000)</f>
        <v>0</v>
      </c>
      <c r="S15" s="114">
        <f>IF(INDEX('Equip Data'!R:R,MATCH($D15,'Equip Data'!$A:$A,0))="",0,Main!$W23*10000)</f>
        <v>0</v>
      </c>
      <c r="T15" s="114">
        <f>IF(INDEX('Equip Data'!S:S,MATCH($D15,'Equip Data'!$A:$A,0))="",0,10000)</f>
        <v>0</v>
      </c>
      <c r="U15" s="114">
        <v>0</v>
      </c>
      <c r="V15" s="114">
        <v>1</v>
      </c>
      <c r="W15" s="155">
        <v>0</v>
      </c>
    </row>
    <row r="16" spans="1:33" x14ac:dyDescent="0.25">
      <c r="A16" s="125">
        <f>IF(Main!U24="","",A6+10)</f>
        <v>15</v>
      </c>
      <c r="B16" s="123">
        <f>Main!$B$5</f>
        <v>562858</v>
      </c>
      <c r="C16" s="123">
        <f t="shared" si="0"/>
        <v>294</v>
      </c>
      <c r="D16" s="123">
        <f>INDEX('Equip Data'!$A:$A,MATCH(Main!U24,'Equip Data'!$B:$B,0))</f>
        <v>58</v>
      </c>
      <c r="E16" s="123">
        <f>INDEX('Exp Tables'!$J$3:$N$13,MATCH(F16,'Exp Tables'!$I$3:$I$13,0),MATCH(INDEX('Equip Data'!$C:$C,MATCH(Main!U24,'Equip Data'!$B:$B,0)),'Exp Tables'!$J$2:$N$2,0))</f>
        <v>10000</v>
      </c>
      <c r="F16" s="123">
        <f>Main!V24</f>
        <v>10</v>
      </c>
      <c r="G16" s="123">
        <f>IF(INDEX('Equip Data'!F:F,MATCH($D16,'Equip Data'!$A:$A,0))="",0,Main!$W24*10000)</f>
        <v>0</v>
      </c>
      <c r="H16" s="123">
        <f>IF(INDEX('Equip Data'!G:G,MATCH($D16,'Equip Data'!$A:$A,0))="",0,Main!$W24*10000)</f>
        <v>0</v>
      </c>
      <c r="I16" s="123">
        <f>IF(INDEX('Equip Data'!H:H,MATCH($D16,'Equip Data'!$A:$A,0))="",0,Main!$W24*10000)</f>
        <v>10000</v>
      </c>
      <c r="J16" s="123">
        <f>IF(INDEX('Equip Data'!I:I,MATCH($D16,'Equip Data'!$A:$A,0))="",0,Main!$W24*10000)</f>
        <v>0</v>
      </c>
      <c r="K16" s="123">
        <f>IF(INDEX('Equip Data'!J:J,MATCH($D16,'Equip Data'!$A:$A,0))="",0,Main!$W24*10000)</f>
        <v>0</v>
      </c>
      <c r="L16" s="123">
        <f>IF(INDEX('Equip Data'!K:K,MATCH($D16,'Equip Data'!$A:$A,0))="",0,Main!$W24*10000)</f>
        <v>0</v>
      </c>
      <c r="M16" s="123">
        <f>IF(INDEX('Equip Data'!L:L,MATCH($D16,'Equip Data'!$A:$A,0))="",0,Main!$W24*10000)</f>
        <v>0</v>
      </c>
      <c r="N16" s="123">
        <f>IF(INDEX('Equip Data'!M:M,MATCH($D16,'Equip Data'!$A:$A,0))="",0,Main!$W24*10000)</f>
        <v>0</v>
      </c>
      <c r="O16" s="123">
        <f>IF(INDEX('Equip Data'!N:N,MATCH($D16,'Equip Data'!$A:$A,0))="",0,Main!$W24*10000)</f>
        <v>0</v>
      </c>
      <c r="P16" s="123">
        <f>IF(INDEX('Equip Data'!O:O,MATCH($D16,'Equip Data'!$A:$A,0))="",0,Main!$W24*10000)</f>
        <v>0</v>
      </c>
      <c r="Q16" s="123">
        <f>IF(INDEX('Equip Data'!P:P,MATCH($D16,'Equip Data'!$A:$A,0))="",0,Main!$W24*10000)</f>
        <v>0</v>
      </c>
      <c r="R16" s="123">
        <f>IF(INDEX('Equip Data'!Q:Q,MATCH($D16,'Equip Data'!$A:$A,0))="",0,Main!$W24*10000)</f>
        <v>0</v>
      </c>
      <c r="S16" s="123">
        <f>IF(INDEX('Equip Data'!R:R,MATCH($D16,'Equip Data'!$A:$A,0))="",0,Main!$W24*10000)</f>
        <v>0</v>
      </c>
      <c r="T16" s="123">
        <f>IF(INDEX('Equip Data'!S:S,MATCH($D16,'Equip Data'!$A:$A,0))="",0,10000)</f>
        <v>0</v>
      </c>
      <c r="U16" s="123">
        <v>0</v>
      </c>
      <c r="V16" s="123">
        <v>1</v>
      </c>
      <c r="W16" s="124">
        <v>0</v>
      </c>
    </row>
    <row r="17" spans="1:1" x14ac:dyDescent="0.25">
      <c r="A17" s="116"/>
    </row>
    <row r="18" spans="1:1" x14ac:dyDescent="0.25">
      <c r="A18" s="116"/>
    </row>
    <row r="19" spans="1:1" x14ac:dyDescent="0.25">
      <c r="A19" s="116"/>
    </row>
    <row r="20" spans="1:1" x14ac:dyDescent="0.25">
      <c r="A20" s="116"/>
    </row>
    <row r="21" spans="1:1" x14ac:dyDescent="0.25">
      <c r="A21" s="116"/>
    </row>
    <row r="22" spans="1:1" x14ac:dyDescent="0.25">
      <c r="A22" s="116"/>
    </row>
    <row r="23" spans="1:1" x14ac:dyDescent="0.25">
      <c r="A23" s="116"/>
    </row>
    <row r="24" spans="1:1" x14ac:dyDescent="0.25">
      <c r="A24" s="116"/>
    </row>
    <row r="25" spans="1:1" x14ac:dyDescent="0.25">
      <c r="A25" s="116"/>
    </row>
    <row r="26" spans="1:1" x14ac:dyDescent="0.25">
      <c r="A26" s="1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>
    <tabColor theme="7" tint="0.79998168889431442"/>
  </sheetPr>
  <dimension ref="A1:P2"/>
  <sheetViews>
    <sheetView workbookViewId="0"/>
  </sheetViews>
  <sheetFormatPr defaultRowHeight="15" x14ac:dyDescent="0.25"/>
  <cols>
    <col min="1" max="16384" width="9.140625" style="110"/>
  </cols>
  <sheetData>
    <row r="1" spans="1:16" x14ac:dyDescent="0.25">
      <c r="A1" s="151" t="s">
        <v>25</v>
      </c>
      <c r="B1" s="152" t="s">
        <v>26</v>
      </c>
      <c r="C1" s="152" t="s">
        <v>735</v>
      </c>
      <c r="D1" s="152" t="s">
        <v>30</v>
      </c>
      <c r="E1" s="152" t="s">
        <v>736</v>
      </c>
      <c r="F1" s="152" t="s">
        <v>737</v>
      </c>
      <c r="G1" s="152" t="s">
        <v>738</v>
      </c>
      <c r="H1" s="152" t="s">
        <v>692</v>
      </c>
      <c r="I1" s="152" t="s">
        <v>739</v>
      </c>
      <c r="J1" s="152" t="s">
        <v>740</v>
      </c>
      <c r="K1" s="152" t="s">
        <v>44</v>
      </c>
      <c r="L1" s="152" t="s">
        <v>685</v>
      </c>
      <c r="M1" s="152" t="s">
        <v>688</v>
      </c>
      <c r="N1" s="152" t="s">
        <v>689</v>
      </c>
      <c r="O1" s="152" t="s">
        <v>741</v>
      </c>
      <c r="P1" s="153" t="s">
        <v>54</v>
      </c>
    </row>
    <row r="2" spans="1:16" x14ac:dyDescent="0.25">
      <c r="A2" s="125">
        <f>IF(Main!B29="","",1)</f>
        <v>1</v>
      </c>
      <c r="B2" s="123">
        <f>Main!B5</f>
        <v>562858</v>
      </c>
      <c r="C2" s="123">
        <f>INDEX('Fairy Data'!$A:$A,MATCH(Main!B29,'Fairy Data'!$B:$B,0))</f>
        <v>15</v>
      </c>
      <c r="D2" s="123">
        <v>1</v>
      </c>
      <c r="E2" s="123">
        <f>Main!D29</f>
        <v>100</v>
      </c>
      <c r="F2" s="123">
        <f>VLOOKUP(E2,'Exp Tables'!$E$3:$G$102,3,FALSE)</f>
        <v>9999000</v>
      </c>
      <c r="G2" s="123">
        <f>Main!C29</f>
        <v>5</v>
      </c>
      <c r="H2" s="123">
        <f>INDEX('Fairy Data'!$E$2:$I$100,MATCH(A2,'Fairy Data'!$A$2:$A$100,0),MATCH("exp"&amp;G2,'Fairy Data'!$E$1:$I$1,0))</f>
        <v>3000</v>
      </c>
      <c r="I2" s="123">
        <f>Main!E29</f>
        <v>10</v>
      </c>
      <c r="J2" s="123">
        <f>VLOOKUP(Main!F29,'Talent Data'!$A$2:$C$18,2,FALSE)</f>
        <v>910101</v>
      </c>
      <c r="K2" s="123">
        <v>1</v>
      </c>
      <c r="L2" s="123">
        <v>0</v>
      </c>
      <c r="M2" s="123">
        <v>0</v>
      </c>
      <c r="N2" s="123">
        <v>0</v>
      </c>
      <c r="O2" s="123">
        <v>0</v>
      </c>
      <c r="P2" s="12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sqref="A1:XFD1048576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10" t="s">
        <v>918</v>
      </c>
      <c r="B1" s="10" t="s">
        <v>914</v>
      </c>
      <c r="C1" s="10" t="s">
        <v>919</v>
      </c>
    </row>
    <row r="2" spans="1:3" x14ac:dyDescent="0.25">
      <c r="A2" t="s">
        <v>916</v>
      </c>
      <c r="B2" s="1">
        <f>IF(Day="Y",25,25)</f>
        <v>25</v>
      </c>
      <c r="C2" s="9" t="str">
        <f>IF(Main!A42="X",'Misc Inputs'!$B$17,CHAR(34)&amp;"fairy_skill_on_enemy"&amp;CHAR(34)&amp;": "&amp;CHAR(34)&amp;"[]"&amp;CHAR(34)&amp;",")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3" spans="1:3" x14ac:dyDescent="0.25">
      <c r="A3" t="s">
        <v>915</v>
      </c>
      <c r="B3" s="1">
        <f>IF(Day="Y",29,33)</f>
        <v>29</v>
      </c>
      <c r="C3" s="9" t="str">
        <f>IFERROR(INDEX('Misc Inputs'!$F$9:$F$14,MATCH("X",Main!$A$33:$A$38,0)),CHAR(34)&amp;A3&amp;CHAR(34)&amp;":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917</v>
      </c>
      <c r="B4" s="1">
        <f>IF(Day="Y",64,77)</f>
        <v>64</v>
      </c>
      <c r="C4" s="9" t="str">
        <f>CHAR(34)&amp;"turn"&amp;CHAR(34)&amp;": "&amp;CHAR(34)&amp;Main!$B$8&amp;CHAR(34)&amp;","</f>
        <v>"turn": "8",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A2" sqref="A2"/>
    </sheetView>
  </sheetViews>
  <sheetFormatPr defaultRowHeight="15" x14ac:dyDescent="0.25"/>
  <cols>
    <col min="1" max="1" width="20.28515625" bestFit="1" customWidth="1"/>
    <col min="2" max="2" width="6.140625" bestFit="1" customWidth="1"/>
    <col min="3" max="3" width="27" bestFit="1" customWidth="1"/>
  </cols>
  <sheetData>
    <row r="1" spans="1:3" x14ac:dyDescent="0.25">
      <c r="A1" s="10" t="s">
        <v>918</v>
      </c>
      <c r="B1" s="10" t="s">
        <v>914</v>
      </c>
      <c r="C1" s="10" t="s">
        <v>919</v>
      </c>
    </row>
    <row r="2" spans="1:3" x14ac:dyDescent="0.25">
      <c r="A2" t="s">
        <v>61</v>
      </c>
      <c r="B2" s="1">
        <v>5</v>
      </c>
      <c r="C2" s="9" t="str">
        <f>CHAR(34)&amp;A2&amp;CHAR(34)&amp;": "&amp;CHAR(34)&amp;IF(Day="Y","Day","Night")&amp;CHAR(34)&amp;","</f>
        <v>"type": "Day",</v>
      </c>
    </row>
    <row r="3" spans="1:3" x14ac:dyDescent="0.25">
      <c r="A3" t="s">
        <v>1026</v>
      </c>
      <c r="B3" s="1">
        <v>6</v>
      </c>
      <c r="C3" s="9" t="str">
        <f>CHAR(34)&amp;A3&amp;CHAR(34)&amp;": "&amp;IF(NodeColor="Yellow",0,IF(NodeColor="Blue",1,IF(NodeColor="Red",2,3)))&amp;","</f>
        <v>"spot_belong": 0,</v>
      </c>
    </row>
    <row r="4" spans="1:3" x14ac:dyDescent="0.25">
      <c r="A4" t="s">
        <v>1024</v>
      </c>
      <c r="B4" s="1">
        <v>7</v>
      </c>
      <c r="C4" s="9" t="str">
        <f>CHAR(34)&amp;A4&amp;CHAR(34)&amp;": "&amp;EnemyID&amp;","</f>
        <v>"enemy_team_id": 363003,</v>
      </c>
    </row>
    <row r="5" spans="1:3" x14ac:dyDescent="0.25">
      <c r="A5" t="s">
        <v>1025</v>
      </c>
      <c r="B5" s="1">
        <v>8</v>
      </c>
      <c r="C5" s="9" t="str">
        <f>CHAR(34)&amp;A5&amp;CHAR(34)&amp;": "&amp;CHAR(34)&amp;BossHP&amp;CHAR(34)&amp;","</f>
        <v>"boss_hp": "320000",</v>
      </c>
    </row>
    <row r="6" spans="1:3" x14ac:dyDescent="0.25">
      <c r="A6" t="s">
        <v>1027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1028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I42"/>
  <sheetViews>
    <sheetView workbookViewId="0"/>
  </sheetViews>
  <sheetFormatPr defaultRowHeight="15" x14ac:dyDescent="0.25"/>
  <cols>
    <col min="1" max="1" width="12.85546875" bestFit="1" customWidth="1"/>
    <col min="9" max="9" width="9.140625" style="31"/>
    <col min="17" max="17" width="9.140625" style="31"/>
  </cols>
  <sheetData>
    <row r="1" spans="1:35" x14ac:dyDescent="0.25">
      <c r="A1" s="10" t="s">
        <v>376</v>
      </c>
      <c r="I1" s="10" t="s">
        <v>1034</v>
      </c>
      <c r="Q1" s="10" t="s">
        <v>1035</v>
      </c>
      <c r="Y1" s="10" t="s">
        <v>1036</v>
      </c>
      <c r="Z1" s="10"/>
    </row>
    <row r="2" spans="1:35" x14ac:dyDescent="0.25">
      <c r="A2" s="65" t="s">
        <v>15</v>
      </c>
      <c r="B2" s="66" t="s">
        <v>9</v>
      </c>
      <c r="C2" s="69" t="s">
        <v>10</v>
      </c>
      <c r="D2" s="69" t="s">
        <v>11</v>
      </c>
      <c r="E2" s="69" t="s">
        <v>12</v>
      </c>
      <c r="F2" s="69" t="s">
        <v>13</v>
      </c>
      <c r="G2" s="70" t="s">
        <v>14</v>
      </c>
      <c r="I2" s="65" t="s">
        <v>15</v>
      </c>
      <c r="J2" s="66" t="s">
        <v>9</v>
      </c>
      <c r="K2" s="69" t="s">
        <v>10</v>
      </c>
      <c r="L2" s="69" t="s">
        <v>11</v>
      </c>
      <c r="M2" s="69" t="s">
        <v>12</v>
      </c>
      <c r="N2" s="69" t="s">
        <v>13</v>
      </c>
      <c r="O2" s="70" t="s">
        <v>14</v>
      </c>
      <c r="Q2" s="65" t="s">
        <v>15</v>
      </c>
      <c r="R2" s="66" t="s">
        <v>9</v>
      </c>
      <c r="S2" s="69" t="s">
        <v>10</v>
      </c>
      <c r="T2" s="69" t="s">
        <v>11</v>
      </c>
      <c r="U2" s="69" t="s">
        <v>12</v>
      </c>
      <c r="V2" s="69" t="s">
        <v>13</v>
      </c>
      <c r="W2" s="70" t="s">
        <v>14</v>
      </c>
      <c r="Y2" s="65" t="s">
        <v>382</v>
      </c>
      <c r="Z2" s="66" t="s">
        <v>18</v>
      </c>
      <c r="AA2" s="69" t="s">
        <v>9</v>
      </c>
      <c r="AB2" s="69" t="s">
        <v>10</v>
      </c>
      <c r="AC2" s="69" t="s">
        <v>11</v>
      </c>
      <c r="AD2" s="69" t="s">
        <v>12</v>
      </c>
      <c r="AE2" s="69" t="s">
        <v>13</v>
      </c>
      <c r="AF2" s="70" t="s">
        <v>14</v>
      </c>
    </row>
    <row r="3" spans="1:35" x14ac:dyDescent="0.25">
      <c r="A3" s="66" t="s">
        <v>3</v>
      </c>
      <c r="B3" s="15">
        <v>0.6</v>
      </c>
      <c r="C3" s="16">
        <v>0.6</v>
      </c>
      <c r="D3" s="16">
        <v>0.8</v>
      </c>
      <c r="E3" s="16">
        <v>1.2</v>
      </c>
      <c r="F3" s="16">
        <v>1.8</v>
      </c>
      <c r="G3" s="17">
        <v>0</v>
      </c>
      <c r="I3" s="65">
        <v>1</v>
      </c>
      <c r="J3" s="71">
        <f>INDEX($B$3:$G$8,MATCH(Main!$C20,$A$3:$A$8,0),MATCH(J$2,$B$2:$G$2,0))</f>
        <v>0.8</v>
      </c>
      <c r="K3" s="72">
        <f>INDEX($B$3:$G$8,MATCH(Main!$C20,$A$3:$A$8,0),MATCH(K$2,$B$2:$G$2,0))</f>
        <v>2.4</v>
      </c>
      <c r="L3" s="72">
        <f>INDEX($B$3:$G$8,MATCH(Main!$C20,$A$3:$A$8,0),MATCH(L$2,$B$2:$G$2,0))</f>
        <v>0.5</v>
      </c>
      <c r="M3" s="72">
        <f>INDEX($B$3:$G$8,MATCH(Main!$C20,$A$3:$A$8,0),MATCH(M$2,$B$2:$G$2,0))</f>
        <v>1.6</v>
      </c>
      <c r="N3" s="72">
        <f>INDEX($B$3:$G$8,MATCH(Main!$C20,$A$3:$A$8,0),MATCH(N$2,$B$2:$G$2,0))</f>
        <v>0.8</v>
      </c>
      <c r="O3" s="73">
        <f>INDEX($B$3:$G$8,MATCH(Main!$C20,$A$3:$A$8,0),MATCH(O$2,$B$2:$G$2,0))</f>
        <v>0</v>
      </c>
      <c r="Q3" s="65">
        <v>1</v>
      </c>
      <c r="R3" s="71">
        <f t="shared" ref="R3:W7" si="0">J3</f>
        <v>0.8</v>
      </c>
      <c r="S3" s="72">
        <f t="shared" si="0"/>
        <v>2.4</v>
      </c>
      <c r="T3" s="72">
        <f t="shared" si="0"/>
        <v>0.5</v>
      </c>
      <c r="U3" s="72">
        <f t="shared" si="0"/>
        <v>1.6</v>
      </c>
      <c r="V3" s="72">
        <f t="shared" si="0"/>
        <v>0.8</v>
      </c>
      <c r="W3" s="73">
        <f t="shared" si="0"/>
        <v>0</v>
      </c>
      <c r="Y3" s="65">
        <v>1</v>
      </c>
      <c r="Z3" s="74">
        <f>Main!E20</f>
        <v>120</v>
      </c>
      <c r="AA3" s="75">
        <f>_xlfn.CEILING.MATH((J10+($Z3-1)*J17)*J3*J38/100)</f>
        <v>91</v>
      </c>
      <c r="AB3" s="75">
        <f t="shared" ref="AB3:AE7" si="1">_xlfn.CEILING.MATH(K10*K3*K38/100)+_xlfn.CEILING.MATH((K31+($Z3-1)*K24)*K3*K38*$P38/100/100)</f>
        <v>165</v>
      </c>
      <c r="AC3" s="75">
        <f t="shared" si="1"/>
        <v>32</v>
      </c>
      <c r="AD3" s="75">
        <f t="shared" si="1"/>
        <v>87</v>
      </c>
      <c r="AE3" s="75">
        <f t="shared" si="1"/>
        <v>31</v>
      </c>
      <c r="AF3" s="76">
        <f>_xlfn.CEILING.MATH((O10+($Z3-1)*O17)*O3*O38/100)</f>
        <v>0</v>
      </c>
    </row>
    <row r="4" spans="1:35" x14ac:dyDescent="0.25">
      <c r="A4" s="67" t="s">
        <v>7</v>
      </c>
      <c r="B4" s="18">
        <v>1.6</v>
      </c>
      <c r="C4" s="19">
        <v>0.6</v>
      </c>
      <c r="D4" s="19">
        <v>1.2</v>
      </c>
      <c r="E4" s="19">
        <v>0.3</v>
      </c>
      <c r="F4" s="19">
        <v>1.6</v>
      </c>
      <c r="G4" s="20">
        <v>0</v>
      </c>
      <c r="I4" s="77">
        <v>2</v>
      </c>
      <c r="J4" s="78">
        <f>INDEX($B$3:$G$8,MATCH(Main!$C21,$A$3:$A$8,0),MATCH(J$2,$B$2:$G$2,0))</f>
        <v>0.8</v>
      </c>
      <c r="K4" s="79">
        <f>INDEX($B$3:$G$8,MATCH(Main!$C21,$A$3:$A$8,0),MATCH(K$2,$B$2:$G$2,0))</f>
        <v>2.4</v>
      </c>
      <c r="L4" s="79">
        <f>INDEX($B$3:$G$8,MATCH(Main!$C21,$A$3:$A$8,0),MATCH(L$2,$B$2:$G$2,0))</f>
        <v>0.5</v>
      </c>
      <c r="M4" s="79">
        <f>INDEX($B$3:$G$8,MATCH(Main!$C21,$A$3:$A$8,0),MATCH(M$2,$B$2:$G$2,0))</f>
        <v>1.6</v>
      </c>
      <c r="N4" s="79">
        <f>INDEX($B$3:$G$8,MATCH(Main!$C21,$A$3:$A$8,0),MATCH(N$2,$B$2:$G$2,0))</f>
        <v>0.8</v>
      </c>
      <c r="O4" s="80">
        <f>INDEX($B$3:$G$8,MATCH(Main!$C21,$A$3:$A$8,0),MATCH(O$2,$B$2:$G$2,0))</f>
        <v>0</v>
      </c>
      <c r="Q4" s="77">
        <v>2</v>
      </c>
      <c r="R4" s="78">
        <f t="shared" si="0"/>
        <v>0.8</v>
      </c>
      <c r="S4" s="79">
        <f t="shared" si="0"/>
        <v>2.4</v>
      </c>
      <c r="T4" s="79">
        <f t="shared" si="0"/>
        <v>0.5</v>
      </c>
      <c r="U4" s="79">
        <f t="shared" si="0"/>
        <v>1.6</v>
      </c>
      <c r="V4" s="79">
        <f t="shared" si="0"/>
        <v>0.8</v>
      </c>
      <c r="W4" s="80">
        <f t="shared" si="0"/>
        <v>0</v>
      </c>
      <c r="Y4" s="77">
        <v>2</v>
      </c>
      <c r="Z4" s="81">
        <f>Main!E21</f>
        <v>115</v>
      </c>
      <c r="AA4" s="82">
        <f>_xlfn.CEILING.MATH((J11+($Z4-1)*J18)*J4*J39/100)</f>
        <v>104</v>
      </c>
      <c r="AB4" s="82">
        <f t="shared" si="1"/>
        <v>117</v>
      </c>
      <c r="AC4" s="82">
        <f t="shared" si="1"/>
        <v>37</v>
      </c>
      <c r="AD4" s="82">
        <f t="shared" si="1"/>
        <v>68</v>
      </c>
      <c r="AE4" s="82">
        <f t="shared" si="1"/>
        <v>38</v>
      </c>
      <c r="AF4" s="83">
        <f>_xlfn.CEILING.MATH((O11+($Z4-1)*O18)*O4*O39/100)</f>
        <v>0</v>
      </c>
    </row>
    <row r="5" spans="1:35" x14ac:dyDescent="0.25">
      <c r="A5" s="67" t="s">
        <v>6</v>
      </c>
      <c r="B5" s="18">
        <v>0.8</v>
      </c>
      <c r="C5" s="19">
        <v>2.4</v>
      </c>
      <c r="D5" s="19">
        <v>0.5</v>
      </c>
      <c r="E5" s="19">
        <v>1.6</v>
      </c>
      <c r="F5" s="19">
        <v>0.8</v>
      </c>
      <c r="G5" s="20">
        <v>0</v>
      </c>
      <c r="I5" s="77">
        <v>3</v>
      </c>
      <c r="J5" s="78">
        <f>INDEX($B$3:$G$8,MATCH(Main!$C22,$A$3:$A$8,0),MATCH(J$2,$B$2:$G$2,0))</f>
        <v>0.6</v>
      </c>
      <c r="K5" s="79">
        <f>INDEX($B$3:$G$8,MATCH(Main!$C22,$A$3:$A$8,0),MATCH(K$2,$B$2:$G$2,0))</f>
        <v>0.6</v>
      </c>
      <c r="L5" s="79">
        <f>INDEX($B$3:$G$8,MATCH(Main!$C22,$A$3:$A$8,0),MATCH(L$2,$B$2:$G$2,0))</f>
        <v>0.8</v>
      </c>
      <c r="M5" s="79">
        <f>INDEX($B$3:$G$8,MATCH(Main!$C22,$A$3:$A$8,0),MATCH(M$2,$B$2:$G$2,0))</f>
        <v>1.2</v>
      </c>
      <c r="N5" s="79">
        <f>INDEX($B$3:$G$8,MATCH(Main!$C22,$A$3:$A$8,0),MATCH(N$2,$B$2:$G$2,0))</f>
        <v>1.8</v>
      </c>
      <c r="O5" s="80">
        <f>INDEX($B$3:$G$8,MATCH(Main!$C22,$A$3:$A$8,0),MATCH(O$2,$B$2:$G$2,0))</f>
        <v>0</v>
      </c>
      <c r="Q5" s="77">
        <v>3</v>
      </c>
      <c r="R5" s="78">
        <f t="shared" si="0"/>
        <v>0.6</v>
      </c>
      <c r="S5" s="79">
        <f t="shared" si="0"/>
        <v>0.6</v>
      </c>
      <c r="T5" s="79">
        <f t="shared" si="0"/>
        <v>0.8</v>
      </c>
      <c r="U5" s="79">
        <f t="shared" si="0"/>
        <v>1.2</v>
      </c>
      <c r="V5" s="79">
        <f t="shared" si="0"/>
        <v>1.8</v>
      </c>
      <c r="W5" s="80">
        <f t="shared" si="0"/>
        <v>0</v>
      </c>
      <c r="Y5" s="77">
        <v>3</v>
      </c>
      <c r="Z5" s="81">
        <f>Main!E22</f>
        <v>115</v>
      </c>
      <c r="AA5" s="82">
        <f>_xlfn.CEILING.MATH((J12+($Z5-1)*J19)*J5*J40/100)</f>
        <v>80</v>
      </c>
      <c r="AB5" s="82">
        <f t="shared" si="1"/>
        <v>32</v>
      </c>
      <c r="AC5" s="82">
        <f t="shared" si="1"/>
        <v>72</v>
      </c>
      <c r="AD5" s="82">
        <f t="shared" si="1"/>
        <v>57</v>
      </c>
      <c r="AE5" s="82">
        <f t="shared" si="1"/>
        <v>76</v>
      </c>
      <c r="AF5" s="83">
        <f>_xlfn.CEILING.MATH((O12+($Z5-1)*O19)*O5*O40/100)</f>
        <v>0</v>
      </c>
    </row>
    <row r="6" spans="1:35" x14ac:dyDescent="0.25">
      <c r="A6" s="67" t="s">
        <v>2</v>
      </c>
      <c r="B6" s="18">
        <v>1</v>
      </c>
      <c r="C6" s="19">
        <v>1</v>
      </c>
      <c r="D6" s="19">
        <v>1</v>
      </c>
      <c r="E6" s="19">
        <v>1</v>
      </c>
      <c r="F6" s="19">
        <v>1</v>
      </c>
      <c r="G6" s="20">
        <v>0</v>
      </c>
      <c r="I6" s="77">
        <v>4</v>
      </c>
      <c r="J6" s="78">
        <f>INDEX($B$3:$G$8,MATCH(Main!$C23,$A$3:$A$8,0),MATCH(J$2,$B$2:$G$2,0))</f>
        <v>0.6</v>
      </c>
      <c r="K6" s="79">
        <f>INDEX($B$3:$G$8,MATCH(Main!$C23,$A$3:$A$8,0),MATCH(K$2,$B$2:$G$2,0))</f>
        <v>0.6</v>
      </c>
      <c r="L6" s="79">
        <f>INDEX($B$3:$G$8,MATCH(Main!$C23,$A$3:$A$8,0),MATCH(L$2,$B$2:$G$2,0))</f>
        <v>0.8</v>
      </c>
      <c r="M6" s="79">
        <f>INDEX($B$3:$G$8,MATCH(Main!$C23,$A$3:$A$8,0),MATCH(M$2,$B$2:$G$2,0))</f>
        <v>1.2</v>
      </c>
      <c r="N6" s="79">
        <f>INDEX($B$3:$G$8,MATCH(Main!$C23,$A$3:$A$8,0),MATCH(N$2,$B$2:$G$2,0))</f>
        <v>1.8</v>
      </c>
      <c r="O6" s="80">
        <f>INDEX($B$3:$G$8,MATCH(Main!$C23,$A$3:$A$8,0),MATCH(O$2,$B$2:$G$2,0))</f>
        <v>0</v>
      </c>
      <c r="Q6" s="77">
        <v>4</v>
      </c>
      <c r="R6" s="78">
        <f t="shared" si="0"/>
        <v>0.6</v>
      </c>
      <c r="S6" s="79">
        <f t="shared" si="0"/>
        <v>0.6</v>
      </c>
      <c r="T6" s="79">
        <f t="shared" si="0"/>
        <v>0.8</v>
      </c>
      <c r="U6" s="79">
        <f t="shared" si="0"/>
        <v>1.2</v>
      </c>
      <c r="V6" s="79">
        <f t="shared" si="0"/>
        <v>1.8</v>
      </c>
      <c r="W6" s="80">
        <f t="shared" si="0"/>
        <v>0</v>
      </c>
      <c r="Y6" s="77">
        <v>4</v>
      </c>
      <c r="Z6" s="81">
        <f>Main!E23</f>
        <v>100</v>
      </c>
      <c r="AA6" s="82">
        <f>_xlfn.CEILING.MATH((J13+($Z6-1)*J20)*J6*J41/100)</f>
        <v>86</v>
      </c>
      <c r="AB6" s="82">
        <f t="shared" si="1"/>
        <v>38</v>
      </c>
      <c r="AC6" s="82">
        <f t="shared" si="1"/>
        <v>54</v>
      </c>
      <c r="AD6" s="82">
        <f t="shared" si="1"/>
        <v>51</v>
      </c>
      <c r="AE6" s="82">
        <f t="shared" si="1"/>
        <v>66</v>
      </c>
      <c r="AF6" s="83">
        <f>_xlfn.CEILING.MATH((O13+($Z6-1)*O20)*O6*O41/100)</f>
        <v>0</v>
      </c>
      <c r="AI6" s="44"/>
    </row>
    <row r="7" spans="1:35" x14ac:dyDescent="0.25">
      <c r="A7" s="67" t="s">
        <v>4</v>
      </c>
      <c r="B7" s="18">
        <v>1.5</v>
      </c>
      <c r="C7" s="19">
        <v>1.8</v>
      </c>
      <c r="D7" s="19">
        <v>1.6</v>
      </c>
      <c r="E7" s="19">
        <v>0.6</v>
      </c>
      <c r="F7" s="19">
        <v>0.6</v>
      </c>
      <c r="G7" s="20">
        <v>0</v>
      </c>
      <c r="I7" s="84">
        <v>5</v>
      </c>
      <c r="J7" s="85">
        <f>INDEX($B$3:$G$8,MATCH(Main!$C24,$A$3:$A$8,0),MATCH(J$2,$B$2:$G$2,0))</f>
        <v>0.6</v>
      </c>
      <c r="K7" s="86">
        <f>INDEX($B$3:$G$8,MATCH(Main!$C24,$A$3:$A$8,0),MATCH(K$2,$B$2:$G$2,0))</f>
        <v>0.6</v>
      </c>
      <c r="L7" s="86">
        <f>INDEX($B$3:$G$8,MATCH(Main!$C24,$A$3:$A$8,0),MATCH(L$2,$B$2:$G$2,0))</f>
        <v>0.8</v>
      </c>
      <c r="M7" s="86">
        <f>INDEX($B$3:$G$8,MATCH(Main!$C24,$A$3:$A$8,0),MATCH(M$2,$B$2:$G$2,0))</f>
        <v>1.2</v>
      </c>
      <c r="N7" s="86">
        <f>INDEX($B$3:$G$8,MATCH(Main!$C24,$A$3:$A$8,0),MATCH(N$2,$B$2:$G$2,0))</f>
        <v>1.8</v>
      </c>
      <c r="O7" s="87">
        <f>INDEX($B$3:$G$8,MATCH(Main!$C24,$A$3:$A$8,0),MATCH(O$2,$B$2:$G$2,0))</f>
        <v>0</v>
      </c>
      <c r="Q7" s="84">
        <v>5</v>
      </c>
      <c r="R7" s="85">
        <f t="shared" si="0"/>
        <v>0.6</v>
      </c>
      <c r="S7" s="86">
        <f t="shared" si="0"/>
        <v>0.6</v>
      </c>
      <c r="T7" s="86">
        <f t="shared" si="0"/>
        <v>0.8</v>
      </c>
      <c r="U7" s="86">
        <f t="shared" si="0"/>
        <v>1.2</v>
      </c>
      <c r="V7" s="86">
        <f t="shared" si="0"/>
        <v>1.8</v>
      </c>
      <c r="W7" s="87">
        <f t="shared" si="0"/>
        <v>0</v>
      </c>
      <c r="Y7" s="84">
        <v>5</v>
      </c>
      <c r="Z7" s="88">
        <f>Main!E24</f>
        <v>100</v>
      </c>
      <c r="AA7" s="89">
        <f>_xlfn.CEILING.MATH((J14+($Z7-1)*J21)*J7*J42/100)</f>
        <v>86</v>
      </c>
      <c r="AB7" s="89">
        <f t="shared" si="1"/>
        <v>29</v>
      </c>
      <c r="AC7" s="89">
        <f t="shared" si="1"/>
        <v>57</v>
      </c>
      <c r="AD7" s="89">
        <f t="shared" si="1"/>
        <v>66</v>
      </c>
      <c r="AE7" s="89">
        <f t="shared" si="1"/>
        <v>81</v>
      </c>
      <c r="AF7" s="90">
        <f>_xlfn.CEILING.MATH((O14+($Z7-1)*O21)*O7*O42/100)</f>
        <v>0</v>
      </c>
      <c r="AI7" s="44"/>
    </row>
    <row r="8" spans="1:35" x14ac:dyDescent="0.25">
      <c r="A8" s="68" t="s">
        <v>5</v>
      </c>
      <c r="B8" s="21">
        <v>2</v>
      </c>
      <c r="C8" s="22">
        <v>0.7</v>
      </c>
      <c r="D8" s="22">
        <v>0.4</v>
      </c>
      <c r="E8" s="22">
        <v>0.3</v>
      </c>
      <c r="F8" s="22">
        <v>0.3</v>
      </c>
      <c r="G8" s="23">
        <v>1</v>
      </c>
      <c r="AA8" s="34"/>
      <c r="AB8" s="11"/>
      <c r="AE8" s="1"/>
      <c r="AF8" s="44"/>
    </row>
    <row r="9" spans="1:35" x14ac:dyDescent="0.25">
      <c r="I9" s="65" t="s">
        <v>372</v>
      </c>
      <c r="J9" s="66" t="s">
        <v>9</v>
      </c>
      <c r="K9" s="69" t="s">
        <v>10</v>
      </c>
      <c r="L9" s="69" t="s">
        <v>11</v>
      </c>
      <c r="M9" s="69" t="s">
        <v>12</v>
      </c>
      <c r="N9" s="69" t="s">
        <v>13</v>
      </c>
      <c r="O9" s="70" t="s">
        <v>14</v>
      </c>
      <c r="Q9" s="65" t="s">
        <v>372</v>
      </c>
      <c r="R9" s="66" t="s">
        <v>9</v>
      </c>
      <c r="S9" s="69" t="s">
        <v>10</v>
      </c>
      <c r="T9" s="69" t="s">
        <v>11</v>
      </c>
      <c r="U9" s="69" t="s">
        <v>12</v>
      </c>
      <c r="V9" s="69" t="s">
        <v>13</v>
      </c>
      <c r="W9" s="70" t="s">
        <v>14</v>
      </c>
      <c r="Y9" s="65" t="s">
        <v>383</v>
      </c>
      <c r="Z9" s="66" t="s">
        <v>18</v>
      </c>
      <c r="AA9" s="69" t="s">
        <v>9</v>
      </c>
      <c r="AB9" s="69" t="s">
        <v>10</v>
      </c>
      <c r="AC9" s="69" t="s">
        <v>11</v>
      </c>
      <c r="AD9" s="69" t="s">
        <v>12</v>
      </c>
      <c r="AE9" s="69" t="s">
        <v>13</v>
      </c>
      <c r="AF9" s="76" t="s">
        <v>14</v>
      </c>
    </row>
    <row r="10" spans="1:35" x14ac:dyDescent="0.25">
      <c r="A10" s="65" t="s">
        <v>16</v>
      </c>
      <c r="B10" s="66" t="s">
        <v>9</v>
      </c>
      <c r="C10" s="69" t="s">
        <v>10</v>
      </c>
      <c r="D10" s="69" t="s">
        <v>11</v>
      </c>
      <c r="E10" s="69" t="s">
        <v>12</v>
      </c>
      <c r="F10" s="69" t="s">
        <v>13</v>
      </c>
      <c r="G10" s="70" t="s">
        <v>14</v>
      </c>
      <c r="I10" s="65">
        <v>1</v>
      </c>
      <c r="J10" s="91">
        <f>IF(Main!$I20&gt;0,B$11,B$19)</f>
        <v>96.283000000000001</v>
      </c>
      <c r="K10" s="92">
        <f>IF(Main!$I20&gt;0,C$11,C$19)</f>
        <v>16</v>
      </c>
      <c r="L10" s="92">
        <f>IF(Main!$I20&gt;0,D$11,D$19)</f>
        <v>45</v>
      </c>
      <c r="M10" s="92">
        <f>IF(Main!$I20&gt;0,E$11,E$19)</f>
        <v>5</v>
      </c>
      <c r="N10" s="92">
        <f>IF(Main!$I20&gt;0,F$11,F$19)</f>
        <v>5</v>
      </c>
      <c r="O10" s="93">
        <f>IF(Main!$I20&gt;0,G$11,G$19)</f>
        <v>13.978999999999999</v>
      </c>
      <c r="Q10" s="65">
        <v>1</v>
      </c>
      <c r="R10" s="91">
        <f t="shared" ref="R10:W14" si="2">B$19</f>
        <v>55</v>
      </c>
      <c r="S10" s="92">
        <f t="shared" si="2"/>
        <v>16</v>
      </c>
      <c r="T10" s="92">
        <f t="shared" si="2"/>
        <v>45</v>
      </c>
      <c r="U10" s="92">
        <f t="shared" si="2"/>
        <v>5</v>
      </c>
      <c r="V10" s="92">
        <f t="shared" si="2"/>
        <v>5</v>
      </c>
      <c r="W10" s="93">
        <f t="shared" si="2"/>
        <v>2</v>
      </c>
      <c r="Y10" s="65">
        <v>1</v>
      </c>
      <c r="Z10" s="74">
        <v>1</v>
      </c>
      <c r="AA10" s="75">
        <f>_xlfn.CEILING.MATH((R10+($Z10-1)*R17)*R3*J38/100)</f>
        <v>44</v>
      </c>
      <c r="AB10" s="75">
        <f t="shared" ref="AB10:AE14" si="3">_xlfn.CEILING.MATH(S10*S3*K38/100)+_xlfn.CEILING.MATH((S31+($Z10-1)*S24)*S3*K38*$P38/100/100)</f>
        <v>55</v>
      </c>
      <c r="AC10" s="75">
        <f t="shared" si="3"/>
        <v>21</v>
      </c>
      <c r="AD10" s="75">
        <f t="shared" si="3"/>
        <v>10</v>
      </c>
      <c r="AE10" s="75">
        <f t="shared" si="3"/>
        <v>4</v>
      </c>
      <c r="AF10" s="76">
        <f>_xlfn.CEILING.MATH((W10+($Z10-1)*W17)*W3*O38/100)</f>
        <v>0</v>
      </c>
    </row>
    <row r="11" spans="1:35" x14ac:dyDescent="0.25">
      <c r="A11" s="66">
        <v>1</v>
      </c>
      <c r="B11" s="24">
        <v>96.283000000000001</v>
      </c>
      <c r="C11" s="25">
        <v>16</v>
      </c>
      <c r="D11" s="25">
        <v>45</v>
      </c>
      <c r="E11" s="25">
        <v>5</v>
      </c>
      <c r="F11" s="25">
        <v>5</v>
      </c>
      <c r="G11" s="26">
        <v>13.978999999999999</v>
      </c>
      <c r="I11" s="77">
        <v>2</v>
      </c>
      <c r="J11" s="94">
        <f>IF(Main!$I21&gt;0,B$11,B$19)</f>
        <v>96.283000000000001</v>
      </c>
      <c r="K11" s="95">
        <f>IF(Main!$I21&gt;0,C$11,C$19)</f>
        <v>16</v>
      </c>
      <c r="L11" s="95">
        <f>IF(Main!$I21&gt;0,D$11,D$19)</f>
        <v>45</v>
      </c>
      <c r="M11" s="95">
        <f>IF(Main!$I21&gt;0,E$11,E$19)</f>
        <v>5</v>
      </c>
      <c r="N11" s="95">
        <f>IF(Main!$I21&gt;0,F$11,F$19)</f>
        <v>5</v>
      </c>
      <c r="O11" s="96">
        <f>IF(Main!$I21&gt;0,G$11,G$19)</f>
        <v>13.978999999999999</v>
      </c>
      <c r="Q11" s="77">
        <v>2</v>
      </c>
      <c r="R11" s="94">
        <f t="shared" si="2"/>
        <v>55</v>
      </c>
      <c r="S11" s="95">
        <f t="shared" si="2"/>
        <v>16</v>
      </c>
      <c r="T11" s="95">
        <f t="shared" si="2"/>
        <v>45</v>
      </c>
      <c r="U11" s="95">
        <f t="shared" si="2"/>
        <v>5</v>
      </c>
      <c r="V11" s="95">
        <f t="shared" si="2"/>
        <v>5</v>
      </c>
      <c r="W11" s="96">
        <f t="shared" si="2"/>
        <v>2</v>
      </c>
      <c r="Y11" s="77">
        <v>2</v>
      </c>
      <c r="Z11" s="81">
        <v>1</v>
      </c>
      <c r="AA11" s="82">
        <f>_xlfn.CEILING.MATH((R11+($Z11-1)*R18)*R4*J39/100)</f>
        <v>51</v>
      </c>
      <c r="AB11" s="82">
        <f t="shared" si="3"/>
        <v>41</v>
      </c>
      <c r="AC11" s="82">
        <f t="shared" si="3"/>
        <v>25</v>
      </c>
      <c r="AD11" s="82">
        <f t="shared" si="3"/>
        <v>8</v>
      </c>
      <c r="AE11" s="82">
        <f t="shared" si="3"/>
        <v>5</v>
      </c>
      <c r="AF11" s="83">
        <f>_xlfn.CEILING.MATH((W11+($Z11-1)*W18)*W4*O39/100)</f>
        <v>0</v>
      </c>
    </row>
    <row r="12" spans="1:35" x14ac:dyDescent="0.25">
      <c r="A12" s="68">
        <v>2</v>
      </c>
      <c r="B12" s="27">
        <v>0.13800000000000001</v>
      </c>
      <c r="C12" s="28">
        <v>16</v>
      </c>
      <c r="D12" s="28">
        <v>45</v>
      </c>
      <c r="E12" s="28">
        <v>5</v>
      </c>
      <c r="F12" s="28">
        <v>5</v>
      </c>
      <c r="G12" s="29">
        <v>0.04</v>
      </c>
      <c r="I12" s="77">
        <v>3</v>
      </c>
      <c r="J12" s="94">
        <f>IF(Main!$I22&gt;0,B$11,B$19)</f>
        <v>96.283000000000001</v>
      </c>
      <c r="K12" s="95">
        <f>IF(Main!$I22&gt;0,C$11,C$19)</f>
        <v>16</v>
      </c>
      <c r="L12" s="95">
        <f>IF(Main!$I22&gt;0,D$11,D$19)</f>
        <v>45</v>
      </c>
      <c r="M12" s="95">
        <f>IF(Main!$I22&gt;0,E$11,E$19)</f>
        <v>5</v>
      </c>
      <c r="N12" s="95">
        <f>IF(Main!$I22&gt;0,F$11,F$19)</f>
        <v>5</v>
      </c>
      <c r="O12" s="96">
        <f>IF(Main!$I22&gt;0,G$11,G$19)</f>
        <v>13.978999999999999</v>
      </c>
      <c r="Q12" s="77">
        <v>3</v>
      </c>
      <c r="R12" s="94">
        <f t="shared" si="2"/>
        <v>55</v>
      </c>
      <c r="S12" s="95">
        <f t="shared" si="2"/>
        <v>16</v>
      </c>
      <c r="T12" s="95">
        <f t="shared" si="2"/>
        <v>45</v>
      </c>
      <c r="U12" s="95">
        <f t="shared" si="2"/>
        <v>5</v>
      </c>
      <c r="V12" s="95">
        <f t="shared" si="2"/>
        <v>5</v>
      </c>
      <c r="W12" s="96">
        <f t="shared" si="2"/>
        <v>2</v>
      </c>
      <c r="Y12" s="77">
        <v>3</v>
      </c>
      <c r="Z12" s="81">
        <v>1</v>
      </c>
      <c r="AA12" s="82">
        <f>_xlfn.CEILING.MATH((R12+($Z12-1)*R19)*R5*J40/100)</f>
        <v>39</v>
      </c>
      <c r="AB12" s="82">
        <f t="shared" si="3"/>
        <v>12</v>
      </c>
      <c r="AC12" s="82">
        <f t="shared" si="3"/>
        <v>49</v>
      </c>
      <c r="AD12" s="82">
        <f t="shared" si="3"/>
        <v>7</v>
      </c>
      <c r="AE12" s="82">
        <f t="shared" si="3"/>
        <v>10</v>
      </c>
      <c r="AF12" s="83">
        <f>_xlfn.CEILING.MATH((W12+($Z12-1)*W19)*W5*O40/100)</f>
        <v>0</v>
      </c>
    </row>
    <row r="13" spans="1:35" x14ac:dyDescent="0.25">
      <c r="B13" s="8"/>
      <c r="C13" s="8"/>
      <c r="D13" s="8"/>
      <c r="E13" s="8"/>
      <c r="F13" s="8"/>
      <c r="G13" s="8"/>
      <c r="I13" s="77">
        <v>4</v>
      </c>
      <c r="J13" s="94">
        <f>IF(Main!$I23&gt;0,B$11,B$19)</f>
        <v>55</v>
      </c>
      <c r="K13" s="95">
        <f>IF(Main!$I23&gt;0,C$11,C$19)</f>
        <v>16</v>
      </c>
      <c r="L13" s="95">
        <f>IF(Main!$I23&gt;0,D$11,D$19)</f>
        <v>45</v>
      </c>
      <c r="M13" s="95">
        <f>IF(Main!$I23&gt;0,E$11,E$19)</f>
        <v>5</v>
      </c>
      <c r="N13" s="95">
        <f>IF(Main!$I23&gt;0,F$11,F$19)</f>
        <v>5</v>
      </c>
      <c r="O13" s="96">
        <f>IF(Main!$I23&gt;0,G$11,G$19)</f>
        <v>2</v>
      </c>
      <c r="Q13" s="77">
        <v>4</v>
      </c>
      <c r="R13" s="94">
        <f t="shared" si="2"/>
        <v>55</v>
      </c>
      <c r="S13" s="95">
        <f t="shared" si="2"/>
        <v>16</v>
      </c>
      <c r="T13" s="95">
        <f t="shared" si="2"/>
        <v>45</v>
      </c>
      <c r="U13" s="95">
        <f t="shared" si="2"/>
        <v>5</v>
      </c>
      <c r="V13" s="95">
        <f t="shared" si="2"/>
        <v>5</v>
      </c>
      <c r="W13" s="96">
        <f t="shared" si="2"/>
        <v>2</v>
      </c>
      <c r="Y13" s="77">
        <v>4</v>
      </c>
      <c r="Z13" s="81">
        <v>1</v>
      </c>
      <c r="AA13" s="82">
        <f>_xlfn.CEILING.MATH((R13+($Z13-1)*R20)*R6*J41/100)</f>
        <v>43</v>
      </c>
      <c r="AB13" s="82">
        <f t="shared" si="3"/>
        <v>13</v>
      </c>
      <c r="AC13" s="82">
        <f t="shared" si="3"/>
        <v>36</v>
      </c>
      <c r="AD13" s="82">
        <f t="shared" si="3"/>
        <v>6</v>
      </c>
      <c r="AE13" s="82">
        <f t="shared" si="3"/>
        <v>8</v>
      </c>
      <c r="AF13" s="83">
        <f>_xlfn.CEILING.MATH((W13+($Z13-1)*W20)*W6*O41/100)</f>
        <v>0</v>
      </c>
    </row>
    <row r="14" spans="1:35" x14ac:dyDescent="0.25">
      <c r="A14" s="65" t="s">
        <v>17</v>
      </c>
      <c r="B14" s="91" t="s">
        <v>9</v>
      </c>
      <c r="C14" s="92" t="s">
        <v>10</v>
      </c>
      <c r="D14" s="92" t="s">
        <v>11</v>
      </c>
      <c r="E14" s="92" t="s">
        <v>12</v>
      </c>
      <c r="F14" s="92" t="s">
        <v>13</v>
      </c>
      <c r="G14" s="93" t="s">
        <v>14</v>
      </c>
      <c r="I14" s="84">
        <v>5</v>
      </c>
      <c r="J14" s="97">
        <f>IF(Main!$I24&gt;0,B$11,B$19)</f>
        <v>55</v>
      </c>
      <c r="K14" s="98">
        <f>IF(Main!$I24&gt;0,C$11,C$19)</f>
        <v>16</v>
      </c>
      <c r="L14" s="98">
        <f>IF(Main!$I24&gt;0,D$11,D$19)</f>
        <v>45</v>
      </c>
      <c r="M14" s="98">
        <f>IF(Main!$I24&gt;0,E$11,E$19)</f>
        <v>5</v>
      </c>
      <c r="N14" s="98">
        <f>IF(Main!$I24&gt;0,F$11,F$19)</f>
        <v>5</v>
      </c>
      <c r="O14" s="99">
        <f>IF(Main!$I24&gt;0,G$11,G$19)</f>
        <v>2</v>
      </c>
      <c r="Q14" s="84">
        <v>5</v>
      </c>
      <c r="R14" s="97">
        <f t="shared" si="2"/>
        <v>55</v>
      </c>
      <c r="S14" s="98">
        <f t="shared" si="2"/>
        <v>16</v>
      </c>
      <c r="T14" s="98">
        <f t="shared" si="2"/>
        <v>45</v>
      </c>
      <c r="U14" s="98">
        <f t="shared" si="2"/>
        <v>5</v>
      </c>
      <c r="V14" s="98">
        <f t="shared" si="2"/>
        <v>5</v>
      </c>
      <c r="W14" s="99">
        <f t="shared" si="2"/>
        <v>2</v>
      </c>
      <c r="Y14" s="84">
        <v>5</v>
      </c>
      <c r="Z14" s="88">
        <v>1</v>
      </c>
      <c r="AA14" s="89">
        <f>_xlfn.CEILING.MATH((R14+($Z14-1)*R21)*R7*J42/100)</f>
        <v>43</v>
      </c>
      <c r="AB14" s="89">
        <f t="shared" si="3"/>
        <v>10</v>
      </c>
      <c r="AC14" s="89">
        <f t="shared" si="3"/>
        <v>37</v>
      </c>
      <c r="AD14" s="89">
        <f t="shared" si="3"/>
        <v>8</v>
      </c>
      <c r="AE14" s="89">
        <f t="shared" si="3"/>
        <v>9</v>
      </c>
      <c r="AF14" s="90">
        <f>_xlfn.CEILING.MATH((W14+($Z14-1)*W21)*W7*O42/100)</f>
        <v>0</v>
      </c>
    </row>
    <row r="15" spans="1:35" x14ac:dyDescent="0.25">
      <c r="A15" s="66">
        <v>1</v>
      </c>
      <c r="B15" s="24"/>
      <c r="C15" s="25">
        <v>0.06</v>
      </c>
      <c r="D15" s="25">
        <v>2.1999999999999999E-2</v>
      </c>
      <c r="E15" s="25">
        <v>7.4999999999999997E-2</v>
      </c>
      <c r="F15" s="25">
        <v>7.4999999999999997E-2</v>
      </c>
      <c r="G15" s="26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5" x14ac:dyDescent="0.25">
      <c r="A16" s="68">
        <v>2</v>
      </c>
      <c r="B16" s="27"/>
      <c r="C16" s="28">
        <v>18.018000000000001</v>
      </c>
      <c r="D16" s="28">
        <v>15.741</v>
      </c>
      <c r="E16" s="28">
        <v>22.571999999999999</v>
      </c>
      <c r="F16" s="28">
        <v>22.571999999999999</v>
      </c>
      <c r="G16" s="29"/>
      <c r="I16" s="65" t="s">
        <v>373</v>
      </c>
      <c r="J16" s="91" t="s">
        <v>9</v>
      </c>
      <c r="K16" s="92" t="s">
        <v>10</v>
      </c>
      <c r="L16" s="92" t="s">
        <v>11</v>
      </c>
      <c r="M16" s="92" t="s">
        <v>12</v>
      </c>
      <c r="N16" s="92" t="s">
        <v>13</v>
      </c>
      <c r="O16" s="93" t="s">
        <v>14</v>
      </c>
      <c r="Q16" s="65" t="s">
        <v>373</v>
      </c>
      <c r="R16" s="91" t="s">
        <v>9</v>
      </c>
      <c r="S16" s="92" t="s">
        <v>10</v>
      </c>
      <c r="T16" s="92" t="s">
        <v>11</v>
      </c>
      <c r="U16" s="92" t="s">
        <v>12</v>
      </c>
      <c r="V16" s="92" t="s">
        <v>13</v>
      </c>
      <c r="W16" s="93" t="s">
        <v>14</v>
      </c>
      <c r="Y16" s="65" t="s">
        <v>888</v>
      </c>
      <c r="Z16" s="66" t="s">
        <v>18</v>
      </c>
      <c r="AA16" s="69" t="s">
        <v>9</v>
      </c>
      <c r="AB16" s="69" t="s">
        <v>10</v>
      </c>
      <c r="AC16" s="69" t="s">
        <v>11</v>
      </c>
      <c r="AD16" s="69" t="s">
        <v>12</v>
      </c>
      <c r="AE16" s="69" t="s">
        <v>13</v>
      </c>
      <c r="AF16" s="76" t="s">
        <v>14</v>
      </c>
    </row>
    <row r="17" spans="1:32" x14ac:dyDescent="0.25">
      <c r="I17" s="65">
        <v>1</v>
      </c>
      <c r="J17" s="91">
        <f>IF(Main!$I20&gt;0,B$12,B$20)</f>
        <v>0.13800000000000001</v>
      </c>
      <c r="K17" s="92">
        <f>IF(Main!$I20&gt;0,C$12,C$20)</f>
        <v>16</v>
      </c>
      <c r="L17" s="92">
        <f>IF(Main!$I20&gt;0,D$12,D$20)</f>
        <v>45</v>
      </c>
      <c r="M17" s="92">
        <f>IF(Main!$I20&gt;0,E$12,E$20)</f>
        <v>5</v>
      </c>
      <c r="N17" s="92">
        <f>IF(Main!$I20&gt;0,F$12,F$20)</f>
        <v>5</v>
      </c>
      <c r="O17" s="93">
        <f>IF(Main!$I20&gt;0,G$12,G$20)</f>
        <v>0.04</v>
      </c>
      <c r="Q17" s="65">
        <v>1</v>
      </c>
      <c r="R17" s="91">
        <f t="shared" ref="R17:W21" si="4">B$20</f>
        <v>0.55500000000000005</v>
      </c>
      <c r="S17" s="92">
        <f t="shared" si="4"/>
        <v>16</v>
      </c>
      <c r="T17" s="92">
        <f t="shared" si="4"/>
        <v>45</v>
      </c>
      <c r="U17" s="92">
        <f t="shared" si="4"/>
        <v>5</v>
      </c>
      <c r="V17" s="92">
        <f t="shared" si="4"/>
        <v>5</v>
      </c>
      <c r="W17" s="93">
        <f t="shared" si="4"/>
        <v>0.161</v>
      </c>
      <c r="Y17" s="65">
        <v>1</v>
      </c>
      <c r="Z17" s="45"/>
      <c r="AA17" s="46"/>
      <c r="AB17" s="75">
        <f t="shared" ref="AB17:AE21" si="5">AB3-AB10</f>
        <v>110</v>
      </c>
      <c r="AC17" s="75">
        <f t="shared" si="5"/>
        <v>11</v>
      </c>
      <c r="AD17" s="75">
        <f t="shared" si="5"/>
        <v>77</v>
      </c>
      <c r="AE17" s="75">
        <f t="shared" si="5"/>
        <v>27</v>
      </c>
      <c r="AF17" s="51"/>
    </row>
    <row r="18" spans="1:32" x14ac:dyDescent="0.25">
      <c r="A18" s="65" t="s">
        <v>377</v>
      </c>
      <c r="B18" s="66" t="s">
        <v>9</v>
      </c>
      <c r="C18" s="69" t="s">
        <v>10</v>
      </c>
      <c r="D18" s="69" t="s">
        <v>11</v>
      </c>
      <c r="E18" s="69" t="s">
        <v>12</v>
      </c>
      <c r="F18" s="69" t="s">
        <v>13</v>
      </c>
      <c r="G18" s="70" t="s">
        <v>14</v>
      </c>
      <c r="I18" s="77">
        <v>2</v>
      </c>
      <c r="J18" s="94">
        <f>IF(Main!$I21&gt;0,B$12,B$20)</f>
        <v>0.13800000000000001</v>
      </c>
      <c r="K18" s="95">
        <f>IF(Main!$I21&gt;0,C$12,C$20)</f>
        <v>16</v>
      </c>
      <c r="L18" s="95">
        <f>IF(Main!$I21&gt;0,D$12,D$20)</f>
        <v>45</v>
      </c>
      <c r="M18" s="95">
        <f>IF(Main!$I21&gt;0,E$12,E$20)</f>
        <v>5</v>
      </c>
      <c r="N18" s="95">
        <f>IF(Main!$I21&gt;0,F$12,F$20)</f>
        <v>5</v>
      </c>
      <c r="O18" s="96">
        <f>IF(Main!$I21&gt;0,G$12,G$20)</f>
        <v>0.04</v>
      </c>
      <c r="Q18" s="77">
        <v>2</v>
      </c>
      <c r="R18" s="94">
        <f t="shared" si="4"/>
        <v>0.55500000000000005</v>
      </c>
      <c r="S18" s="95">
        <f t="shared" si="4"/>
        <v>16</v>
      </c>
      <c r="T18" s="95">
        <f t="shared" si="4"/>
        <v>45</v>
      </c>
      <c r="U18" s="95">
        <f t="shared" si="4"/>
        <v>5</v>
      </c>
      <c r="V18" s="95">
        <f t="shared" si="4"/>
        <v>5</v>
      </c>
      <c r="W18" s="96">
        <f t="shared" si="4"/>
        <v>0.161</v>
      </c>
      <c r="Y18" s="77">
        <v>2</v>
      </c>
      <c r="Z18" s="47"/>
      <c r="AA18" s="48"/>
      <c r="AB18" s="82">
        <f t="shared" si="5"/>
        <v>76</v>
      </c>
      <c r="AC18" s="82">
        <f t="shared" si="5"/>
        <v>12</v>
      </c>
      <c r="AD18" s="82">
        <f t="shared" si="5"/>
        <v>60</v>
      </c>
      <c r="AE18" s="82">
        <f t="shared" si="5"/>
        <v>33</v>
      </c>
      <c r="AF18" s="52"/>
    </row>
    <row r="19" spans="1:32" x14ac:dyDescent="0.25">
      <c r="A19" s="66">
        <v>1</v>
      </c>
      <c r="B19" s="24">
        <v>55</v>
      </c>
      <c r="C19" s="25">
        <v>16</v>
      </c>
      <c r="D19" s="25">
        <v>45</v>
      </c>
      <c r="E19" s="25">
        <v>5</v>
      </c>
      <c r="F19" s="25">
        <v>5</v>
      </c>
      <c r="G19" s="26">
        <v>2</v>
      </c>
      <c r="I19" s="77">
        <v>3</v>
      </c>
      <c r="J19" s="94">
        <f>IF(Main!$I22&gt;0,B$12,B$20)</f>
        <v>0.13800000000000001</v>
      </c>
      <c r="K19" s="95">
        <f>IF(Main!$I22&gt;0,C$12,C$20)</f>
        <v>16</v>
      </c>
      <c r="L19" s="95">
        <f>IF(Main!$I22&gt;0,D$12,D$20)</f>
        <v>45</v>
      </c>
      <c r="M19" s="95">
        <f>IF(Main!$I22&gt;0,E$12,E$20)</f>
        <v>5</v>
      </c>
      <c r="N19" s="95">
        <f>IF(Main!$I22&gt;0,F$12,F$20)</f>
        <v>5</v>
      </c>
      <c r="O19" s="96">
        <f>IF(Main!$I22&gt;0,G$12,G$20)</f>
        <v>0.04</v>
      </c>
      <c r="Q19" s="77">
        <v>3</v>
      </c>
      <c r="R19" s="94">
        <f t="shared" si="4"/>
        <v>0.55500000000000005</v>
      </c>
      <c r="S19" s="95">
        <f t="shared" si="4"/>
        <v>16</v>
      </c>
      <c r="T19" s="95">
        <f t="shared" si="4"/>
        <v>45</v>
      </c>
      <c r="U19" s="95">
        <f t="shared" si="4"/>
        <v>5</v>
      </c>
      <c r="V19" s="95">
        <f t="shared" si="4"/>
        <v>5</v>
      </c>
      <c r="W19" s="96">
        <f t="shared" si="4"/>
        <v>0.161</v>
      </c>
      <c r="Y19" s="77">
        <v>3</v>
      </c>
      <c r="Z19" s="47"/>
      <c r="AA19" s="48"/>
      <c r="AB19" s="82">
        <f t="shared" si="5"/>
        <v>20</v>
      </c>
      <c r="AC19" s="82">
        <f t="shared" si="5"/>
        <v>23</v>
      </c>
      <c r="AD19" s="82">
        <f t="shared" si="5"/>
        <v>50</v>
      </c>
      <c r="AE19" s="82">
        <f t="shared" si="5"/>
        <v>66</v>
      </c>
      <c r="AF19" s="52"/>
    </row>
    <row r="20" spans="1:32" x14ac:dyDescent="0.25">
      <c r="A20" s="68">
        <v>2</v>
      </c>
      <c r="B20" s="27">
        <v>0.55500000000000005</v>
      </c>
      <c r="C20" s="28">
        <v>16</v>
      </c>
      <c r="D20" s="28">
        <v>45</v>
      </c>
      <c r="E20" s="28">
        <v>5</v>
      </c>
      <c r="F20" s="28">
        <v>5</v>
      </c>
      <c r="G20" s="29">
        <v>0.161</v>
      </c>
      <c r="I20" s="77">
        <v>4</v>
      </c>
      <c r="J20" s="94">
        <f>IF(Main!$I23&gt;0,B$12,B$20)</f>
        <v>0.55500000000000005</v>
      </c>
      <c r="K20" s="95">
        <f>IF(Main!$I23&gt;0,C$12,C$20)</f>
        <v>16</v>
      </c>
      <c r="L20" s="95">
        <f>IF(Main!$I23&gt;0,D$12,D$20)</f>
        <v>45</v>
      </c>
      <c r="M20" s="95">
        <f>IF(Main!$I23&gt;0,E$12,E$20)</f>
        <v>5</v>
      </c>
      <c r="N20" s="95">
        <f>IF(Main!$I23&gt;0,F$12,F$20)</f>
        <v>5</v>
      </c>
      <c r="O20" s="96">
        <f>IF(Main!$I23&gt;0,G$12,G$20)</f>
        <v>0.161</v>
      </c>
      <c r="Q20" s="77">
        <v>4</v>
      </c>
      <c r="R20" s="94">
        <f t="shared" si="4"/>
        <v>0.55500000000000005</v>
      </c>
      <c r="S20" s="95">
        <f t="shared" si="4"/>
        <v>16</v>
      </c>
      <c r="T20" s="95">
        <f t="shared" si="4"/>
        <v>45</v>
      </c>
      <c r="U20" s="95">
        <f t="shared" si="4"/>
        <v>5</v>
      </c>
      <c r="V20" s="95">
        <f t="shared" si="4"/>
        <v>5</v>
      </c>
      <c r="W20" s="96">
        <f t="shared" si="4"/>
        <v>0.161</v>
      </c>
      <c r="Y20" s="77">
        <v>4</v>
      </c>
      <c r="Z20" s="47"/>
      <c r="AA20" s="48"/>
      <c r="AB20" s="82">
        <f t="shared" si="5"/>
        <v>25</v>
      </c>
      <c r="AC20" s="82">
        <f t="shared" si="5"/>
        <v>18</v>
      </c>
      <c r="AD20" s="82">
        <f t="shared" si="5"/>
        <v>45</v>
      </c>
      <c r="AE20" s="82">
        <f t="shared" si="5"/>
        <v>58</v>
      </c>
      <c r="AF20" s="52"/>
    </row>
    <row r="21" spans="1:32" x14ac:dyDescent="0.25">
      <c r="B21" s="8"/>
      <c r="C21" s="8"/>
      <c r="D21" s="8"/>
      <c r="E21" s="8"/>
      <c r="F21" s="8"/>
      <c r="G21" s="8"/>
      <c r="I21" s="84">
        <v>5</v>
      </c>
      <c r="J21" s="97">
        <f>IF(Main!$I24&gt;0,B$12,B$20)</f>
        <v>0.55500000000000005</v>
      </c>
      <c r="K21" s="98">
        <f>IF(Main!$I24&gt;0,C$12,C$20)</f>
        <v>16</v>
      </c>
      <c r="L21" s="98">
        <f>IF(Main!$I24&gt;0,D$12,D$20)</f>
        <v>45</v>
      </c>
      <c r="M21" s="98">
        <f>IF(Main!$I24&gt;0,E$12,E$20)</f>
        <v>5</v>
      </c>
      <c r="N21" s="98">
        <f>IF(Main!$I24&gt;0,F$12,F$20)</f>
        <v>5</v>
      </c>
      <c r="O21" s="99">
        <f>IF(Main!$I24&gt;0,G$12,G$20)</f>
        <v>0.161</v>
      </c>
      <c r="Q21" s="84">
        <v>5</v>
      </c>
      <c r="R21" s="97">
        <f t="shared" si="4"/>
        <v>0.55500000000000005</v>
      </c>
      <c r="S21" s="98">
        <f t="shared" si="4"/>
        <v>16</v>
      </c>
      <c r="T21" s="98">
        <f t="shared" si="4"/>
        <v>45</v>
      </c>
      <c r="U21" s="98">
        <f t="shared" si="4"/>
        <v>5</v>
      </c>
      <c r="V21" s="98">
        <f t="shared" si="4"/>
        <v>5</v>
      </c>
      <c r="W21" s="99">
        <f t="shared" si="4"/>
        <v>0.161</v>
      </c>
      <c r="Y21" s="84">
        <v>5</v>
      </c>
      <c r="Z21" s="49"/>
      <c r="AA21" s="50"/>
      <c r="AB21" s="89">
        <f t="shared" si="5"/>
        <v>19</v>
      </c>
      <c r="AC21" s="89">
        <f t="shared" si="5"/>
        <v>20</v>
      </c>
      <c r="AD21" s="89">
        <f t="shared" si="5"/>
        <v>58</v>
      </c>
      <c r="AE21" s="89">
        <f t="shared" si="5"/>
        <v>72</v>
      </c>
      <c r="AF21" s="53"/>
    </row>
    <row r="22" spans="1:32" x14ac:dyDescent="0.25">
      <c r="A22" s="65" t="s">
        <v>378</v>
      </c>
      <c r="B22" s="91" t="s">
        <v>9</v>
      </c>
      <c r="C22" s="92" t="s">
        <v>10</v>
      </c>
      <c r="D22" s="92" t="s">
        <v>11</v>
      </c>
      <c r="E22" s="92" t="s">
        <v>12</v>
      </c>
      <c r="F22" s="92" t="s">
        <v>13</v>
      </c>
      <c r="G22" s="93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6">
        <v>1</v>
      </c>
      <c r="B23" s="24"/>
      <c r="C23" s="25">
        <v>0.24199999999999999</v>
      </c>
      <c r="D23" s="25">
        <v>0.18099999999999999</v>
      </c>
      <c r="E23" s="25">
        <v>0.30299999999999999</v>
      </c>
      <c r="F23" s="25">
        <v>0.30299999999999999</v>
      </c>
      <c r="G23" s="26"/>
      <c r="I23" s="65" t="s">
        <v>374</v>
      </c>
      <c r="J23" s="91" t="s">
        <v>9</v>
      </c>
      <c r="K23" s="92" t="s">
        <v>10</v>
      </c>
      <c r="L23" s="92" t="s">
        <v>11</v>
      </c>
      <c r="M23" s="92" t="s">
        <v>12</v>
      </c>
      <c r="N23" s="92" t="s">
        <v>13</v>
      </c>
      <c r="O23" s="93" t="s">
        <v>14</v>
      </c>
      <c r="Q23" s="65" t="s">
        <v>374</v>
      </c>
      <c r="R23" s="91" t="s">
        <v>9</v>
      </c>
      <c r="S23" s="92" t="s">
        <v>10</v>
      </c>
      <c r="T23" s="92" t="s">
        <v>11</v>
      </c>
      <c r="U23" s="92" t="s">
        <v>12</v>
      </c>
      <c r="V23" s="92" t="s">
        <v>13</v>
      </c>
      <c r="W23" s="93" t="s">
        <v>14</v>
      </c>
    </row>
    <row r="24" spans="1:32" x14ac:dyDescent="0.25">
      <c r="A24" s="68">
        <v>2</v>
      </c>
      <c r="B24" s="27"/>
      <c r="C24" s="28">
        <v>0</v>
      </c>
      <c r="D24" s="28">
        <v>0</v>
      </c>
      <c r="E24" s="28">
        <v>0</v>
      </c>
      <c r="F24" s="28">
        <v>0</v>
      </c>
      <c r="G24" s="29"/>
      <c r="I24" s="65">
        <v>1</v>
      </c>
      <c r="J24" s="91">
        <f>IF(Main!$I20&gt;0,B$15,B$23)</f>
        <v>0</v>
      </c>
      <c r="K24" s="92">
        <f>IF(Main!$I20&gt;0,C$15,C$23)</f>
        <v>0.06</v>
      </c>
      <c r="L24" s="92">
        <f>IF(Main!$I20&gt;0,D$15,D$23)</f>
        <v>2.1999999999999999E-2</v>
      </c>
      <c r="M24" s="92">
        <f>IF(Main!$I20&gt;0,E$15,E$23)</f>
        <v>7.4999999999999997E-2</v>
      </c>
      <c r="N24" s="92">
        <f>IF(Main!$I20&gt;0,F$15,F$23)</f>
        <v>7.4999999999999997E-2</v>
      </c>
      <c r="O24" s="93">
        <f>IF(Main!$I20&gt;0,G$15,G$23)</f>
        <v>0</v>
      </c>
      <c r="Q24" s="65">
        <v>1</v>
      </c>
      <c r="R24" s="91">
        <f t="shared" ref="R24:W28" si="6">B$23</f>
        <v>0</v>
      </c>
      <c r="S24" s="92">
        <f t="shared" si="6"/>
        <v>0.24199999999999999</v>
      </c>
      <c r="T24" s="92">
        <f t="shared" si="6"/>
        <v>0.18099999999999999</v>
      </c>
      <c r="U24" s="92">
        <f t="shared" si="6"/>
        <v>0.30299999999999999</v>
      </c>
      <c r="V24" s="92">
        <f t="shared" si="6"/>
        <v>0.30299999999999999</v>
      </c>
      <c r="W24" s="93">
        <f t="shared" si="6"/>
        <v>0</v>
      </c>
    </row>
    <row r="25" spans="1:32" x14ac:dyDescent="0.25">
      <c r="I25" s="77">
        <v>2</v>
      </c>
      <c r="J25" s="94">
        <f>IF(Main!$I21&gt;0,B$15,B$23)</f>
        <v>0</v>
      </c>
      <c r="K25" s="95">
        <f>IF(Main!$I21&gt;0,C$15,C$23)</f>
        <v>0.06</v>
      </c>
      <c r="L25" s="95">
        <f>IF(Main!$I21&gt;0,D$15,D$23)</f>
        <v>2.1999999999999999E-2</v>
      </c>
      <c r="M25" s="95">
        <f>IF(Main!$I21&gt;0,E$15,E$23)</f>
        <v>7.4999999999999997E-2</v>
      </c>
      <c r="N25" s="95">
        <f>IF(Main!$I21&gt;0,F$15,F$23)</f>
        <v>7.4999999999999997E-2</v>
      </c>
      <c r="O25" s="96">
        <f>IF(Main!$I21&gt;0,G$15,G$23)</f>
        <v>0</v>
      </c>
      <c r="Q25" s="77">
        <v>2</v>
      </c>
      <c r="R25" s="94">
        <f t="shared" si="6"/>
        <v>0</v>
      </c>
      <c r="S25" s="95">
        <f t="shared" si="6"/>
        <v>0.24199999999999999</v>
      </c>
      <c r="T25" s="95">
        <f t="shared" si="6"/>
        <v>0.18099999999999999</v>
      </c>
      <c r="U25" s="95">
        <f t="shared" si="6"/>
        <v>0.30299999999999999</v>
      </c>
      <c r="V25" s="95">
        <f t="shared" si="6"/>
        <v>0.30299999999999999</v>
      </c>
      <c r="W25" s="96">
        <f t="shared" si="6"/>
        <v>0</v>
      </c>
    </row>
    <row r="26" spans="1:32" x14ac:dyDescent="0.25">
      <c r="I26" s="77">
        <v>3</v>
      </c>
      <c r="J26" s="94">
        <f>IF(Main!$I22&gt;0,B$15,B$23)</f>
        <v>0</v>
      </c>
      <c r="K26" s="95">
        <f>IF(Main!$I22&gt;0,C$15,C$23)</f>
        <v>0.06</v>
      </c>
      <c r="L26" s="95">
        <f>IF(Main!$I22&gt;0,D$15,D$23)</f>
        <v>2.1999999999999999E-2</v>
      </c>
      <c r="M26" s="95">
        <f>IF(Main!$I22&gt;0,E$15,E$23)</f>
        <v>7.4999999999999997E-2</v>
      </c>
      <c r="N26" s="95">
        <f>IF(Main!$I22&gt;0,F$15,F$23)</f>
        <v>7.4999999999999997E-2</v>
      </c>
      <c r="O26" s="96">
        <f>IF(Main!$I22&gt;0,G$15,G$23)</f>
        <v>0</v>
      </c>
      <c r="Q26" s="77">
        <v>3</v>
      </c>
      <c r="R26" s="94">
        <f t="shared" si="6"/>
        <v>0</v>
      </c>
      <c r="S26" s="95">
        <f t="shared" si="6"/>
        <v>0.24199999999999999</v>
      </c>
      <c r="T26" s="95">
        <f t="shared" si="6"/>
        <v>0.18099999999999999</v>
      </c>
      <c r="U26" s="95">
        <f t="shared" si="6"/>
        <v>0.30299999999999999</v>
      </c>
      <c r="V26" s="95">
        <f t="shared" si="6"/>
        <v>0.30299999999999999</v>
      </c>
      <c r="W26" s="96">
        <f t="shared" si="6"/>
        <v>0</v>
      </c>
    </row>
    <row r="27" spans="1:32" x14ac:dyDescent="0.25">
      <c r="I27" s="77">
        <v>4</v>
      </c>
      <c r="J27" s="94">
        <f>IF(Main!$I23&gt;0,B$15,B$23)</f>
        <v>0</v>
      </c>
      <c r="K27" s="95">
        <f>IF(Main!$I23&gt;0,C$15,C$23)</f>
        <v>0.24199999999999999</v>
      </c>
      <c r="L27" s="95">
        <f>IF(Main!$I23&gt;0,D$15,D$23)</f>
        <v>0.18099999999999999</v>
      </c>
      <c r="M27" s="95">
        <f>IF(Main!$I23&gt;0,E$15,E$23)</f>
        <v>0.30299999999999999</v>
      </c>
      <c r="N27" s="95">
        <f>IF(Main!$I23&gt;0,F$15,F$23)</f>
        <v>0.30299999999999999</v>
      </c>
      <c r="O27" s="96">
        <f>IF(Main!$I23&gt;0,G$15,G$23)</f>
        <v>0</v>
      </c>
      <c r="Q27" s="77">
        <v>4</v>
      </c>
      <c r="R27" s="94">
        <f t="shared" si="6"/>
        <v>0</v>
      </c>
      <c r="S27" s="95">
        <f t="shared" si="6"/>
        <v>0.24199999999999999</v>
      </c>
      <c r="T27" s="95">
        <f t="shared" si="6"/>
        <v>0.18099999999999999</v>
      </c>
      <c r="U27" s="95">
        <f t="shared" si="6"/>
        <v>0.30299999999999999</v>
      </c>
      <c r="V27" s="95">
        <f t="shared" si="6"/>
        <v>0.30299999999999999</v>
      </c>
      <c r="W27" s="96">
        <f t="shared" si="6"/>
        <v>0</v>
      </c>
    </row>
    <row r="28" spans="1:32" x14ac:dyDescent="0.25">
      <c r="I28" s="84">
        <v>5</v>
      </c>
      <c r="J28" s="97">
        <f>IF(Main!$I24&gt;0,B$15,B$23)</f>
        <v>0</v>
      </c>
      <c r="K28" s="98">
        <f>IF(Main!$I24&gt;0,C$15,C$23)</f>
        <v>0.24199999999999999</v>
      </c>
      <c r="L28" s="98">
        <f>IF(Main!$I24&gt;0,D$15,D$23)</f>
        <v>0.18099999999999999</v>
      </c>
      <c r="M28" s="98">
        <f>IF(Main!$I24&gt;0,E$15,E$23)</f>
        <v>0.30299999999999999</v>
      </c>
      <c r="N28" s="98">
        <f>IF(Main!$I24&gt;0,F$15,F$23)</f>
        <v>0.30299999999999999</v>
      </c>
      <c r="O28" s="99">
        <f>IF(Main!$I24&gt;0,G$15,G$23)</f>
        <v>0</v>
      </c>
      <c r="Q28" s="84">
        <v>5</v>
      </c>
      <c r="R28" s="97">
        <f t="shared" si="6"/>
        <v>0</v>
      </c>
      <c r="S28" s="98">
        <f t="shared" si="6"/>
        <v>0.24199999999999999</v>
      </c>
      <c r="T28" s="98">
        <f t="shared" si="6"/>
        <v>0.18099999999999999</v>
      </c>
      <c r="U28" s="98">
        <f t="shared" si="6"/>
        <v>0.30299999999999999</v>
      </c>
      <c r="V28" s="98">
        <f t="shared" si="6"/>
        <v>0.30299999999999999</v>
      </c>
      <c r="W28" s="99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30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30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30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30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32">
        <v>2</v>
      </c>
      <c r="J32" s="12">
        <f>IF(Main!$I21&gt;0,B$16,B$24)</f>
        <v>0</v>
      </c>
      <c r="K32" s="13">
        <f>IF(Main!$I21&gt;0,C$16,C$24)</f>
        <v>18.018000000000001</v>
      </c>
      <c r="L32" s="13">
        <f>IF(Main!$I21&gt;0,D$16,D$24)</f>
        <v>15.741</v>
      </c>
      <c r="M32" s="13">
        <f>IF(Main!$I21&gt;0,E$16,E$24)</f>
        <v>22.571999999999999</v>
      </c>
      <c r="N32" s="13">
        <f>IF(Main!$I21&gt;0,F$16,F$24)</f>
        <v>22.571999999999999</v>
      </c>
      <c r="O32" s="14">
        <f>IF(Main!$I21&gt;0,G$16,G$24)</f>
        <v>0</v>
      </c>
      <c r="Q32" s="32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32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32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32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32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33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33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30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30">
        <v>1</v>
      </c>
      <c r="J38" s="35">
        <f>INDEX('Doll Data'!$E$2:$K$1048576,MATCH(Main!$D20,'Doll Data'!$B$2:$B$1048576,0),MATCH(J$37,'Doll Data'!$E$1:$K$1,0))</f>
        <v>100</v>
      </c>
      <c r="K38" s="36">
        <f>INDEX('Doll Data'!$E$2:$K$1048576,MATCH(Main!$D20,'Doll Data'!$B$2:$B$1048576,0),MATCH(K$37,'Doll Data'!$E$1:$K$1,0))</f>
        <v>142</v>
      </c>
      <c r="L38" s="36">
        <f>INDEX('Doll Data'!$E$2:$K$1048576,MATCH(Main!$D20,'Doll Data'!$B$2:$B$1048576,0),MATCH(L$37,'Doll Data'!$E$1:$K$1,0))</f>
        <v>92</v>
      </c>
      <c r="M38" s="36">
        <f>INDEX('Doll Data'!$E$2:$K$1048576,MATCH(Main!$D20,'Doll Data'!$B$2:$B$1048576,0),MATCH(M$37,'Doll Data'!$E$1:$K$1,0))</f>
        <v>118</v>
      </c>
      <c r="N38" s="36">
        <f>INDEX('Doll Data'!$E$2:$K$1048576,MATCH(Main!$D20,'Doll Data'!$B$2:$B$1048576,0),MATCH(N$37,'Doll Data'!$E$1:$K$1,0))</f>
        <v>82</v>
      </c>
      <c r="O38" s="36">
        <f>INDEX('Doll Data'!$E$2:$K$1048576,MATCH(Main!$D20,'Doll Data'!$B$2:$B$1048576,0),MATCH(O$37,'Doll Data'!$E$1:$K$1,0))</f>
        <v>0</v>
      </c>
      <c r="P38" s="37">
        <f>INDEX('Doll Data'!$E$2:$K$1048576,MATCH(Main!$D20,'Doll Data'!$B$2:$B$1048576,0),MATCH(P$37,'Doll Data'!$E$1:$K$1,0))</f>
        <v>128</v>
      </c>
      <c r="Q38"/>
    </row>
    <row r="39" spans="9:23" x14ac:dyDescent="0.25">
      <c r="I39" s="32">
        <v>2</v>
      </c>
      <c r="J39" s="38">
        <f>INDEX('Doll Data'!$E$2:$K$1048576,MATCH(Main!$D21,'Doll Data'!$B$2:$B$1048576,0),MATCH(J$37,'Doll Data'!$E$1:$K$1,0))</f>
        <v>115</v>
      </c>
      <c r="K39" s="39">
        <f>INDEX('Doll Data'!$E$2:$K$1048576,MATCH(Main!$D21,'Doll Data'!$B$2:$B$1048576,0),MATCH(K$37,'Doll Data'!$E$1:$K$1,0))</f>
        <v>105</v>
      </c>
      <c r="L39" s="39">
        <f>INDEX('Doll Data'!$E$2:$K$1048576,MATCH(Main!$D21,'Doll Data'!$B$2:$B$1048576,0),MATCH(L$37,'Doll Data'!$E$1:$K$1,0))</f>
        <v>108</v>
      </c>
      <c r="M39" s="39">
        <f>INDEX('Doll Data'!$E$2:$K$1048576,MATCH(Main!$D21,'Doll Data'!$B$2:$B$1048576,0),MATCH(M$37,'Doll Data'!$E$1:$K$1,0))</f>
        <v>100</v>
      </c>
      <c r="N39" s="39">
        <f>INDEX('Doll Data'!$E$2:$K$1048576,MATCH(Main!$D21,'Doll Data'!$B$2:$B$1048576,0),MATCH(N$37,'Doll Data'!$E$1:$K$1,0))</f>
        <v>110</v>
      </c>
      <c r="O39" s="39">
        <f>INDEX('Doll Data'!$E$2:$K$1048576,MATCH(Main!$D21,'Doll Data'!$B$2:$B$1048576,0),MATCH(O$37,'Doll Data'!$E$1:$K$1,0))</f>
        <v>0</v>
      </c>
      <c r="P39" s="40">
        <f>INDEX('Doll Data'!$E$2:$K$1048576,MATCH(Main!$D21,'Doll Data'!$B$2:$B$1048576,0),MATCH(P$37,'Doll Data'!$E$1:$K$1,0))</f>
        <v>120</v>
      </c>
      <c r="Q39"/>
    </row>
    <row r="40" spans="9:23" x14ac:dyDescent="0.25">
      <c r="I40" s="32">
        <v>3</v>
      </c>
      <c r="J40" s="38">
        <f>INDEX('Doll Data'!$E$2:$K$1048576,MATCH(Main!$D22,'Doll Data'!$B$2:$B$1048576,0),MATCH(J$37,'Doll Data'!$E$1:$K$1,0))</f>
        <v>118</v>
      </c>
      <c r="K40" s="39">
        <f>INDEX('Doll Data'!$E$2:$K$1048576,MATCH(Main!$D22,'Doll Data'!$B$2:$B$1048576,0),MATCH(K$37,'Doll Data'!$E$1:$K$1,0))</f>
        <v>116</v>
      </c>
      <c r="L40" s="39">
        <f>INDEX('Doll Data'!$E$2:$K$1048576,MATCH(Main!$D22,'Doll Data'!$B$2:$B$1048576,0),MATCH(L$37,'Doll Data'!$E$1:$K$1,0))</f>
        <v>135</v>
      </c>
      <c r="M40" s="39">
        <f>INDEX('Doll Data'!$E$2:$K$1048576,MATCH(Main!$D22,'Doll Data'!$B$2:$B$1048576,0),MATCH(M$37,'Doll Data'!$E$1:$K$1,0))</f>
        <v>115</v>
      </c>
      <c r="N40" s="39">
        <f>INDEX('Doll Data'!$E$2:$K$1048576,MATCH(Main!$D22,'Doll Data'!$B$2:$B$1048576,0),MATCH(N$37,'Doll Data'!$E$1:$K$1,0))</f>
        <v>102</v>
      </c>
      <c r="O40" s="39">
        <f>INDEX('Doll Data'!$E$2:$K$1048576,MATCH(Main!$D22,'Doll Data'!$B$2:$B$1048576,0),MATCH(O$37,'Doll Data'!$E$1:$K$1,0))</f>
        <v>0</v>
      </c>
      <c r="P40" s="40">
        <f>INDEX('Doll Data'!$E$2:$K$1048576,MATCH(Main!$D22,'Doll Data'!$B$2:$B$1048576,0),MATCH(P$37,'Doll Data'!$E$1:$K$1,0))</f>
        <v>115</v>
      </c>
      <c r="Q40"/>
    </row>
    <row r="41" spans="9:23" x14ac:dyDescent="0.25">
      <c r="I41" s="32">
        <v>4</v>
      </c>
      <c r="J41" s="38">
        <f>INDEX('Doll Data'!$E$2:$K$1048576,MATCH(Main!$D23,'Doll Data'!$B$2:$B$1048576,0),MATCH(J$37,'Doll Data'!$E$1:$K$1,0))</f>
        <v>130</v>
      </c>
      <c r="K41" s="39">
        <f>INDEX('Doll Data'!$E$2:$K$1048576,MATCH(Main!$D23,'Doll Data'!$B$2:$B$1048576,0),MATCH(K$37,'Doll Data'!$E$1:$K$1,0))</f>
        <v>135</v>
      </c>
      <c r="L41" s="39">
        <f>INDEX('Doll Data'!$E$2:$K$1048576,MATCH(Main!$D23,'Doll Data'!$B$2:$B$1048576,0),MATCH(L$37,'Doll Data'!$E$1:$K$1,0))</f>
        <v>100</v>
      </c>
      <c r="M41" s="39">
        <f>INDEX('Doll Data'!$E$2:$K$1048576,MATCH(Main!$D23,'Doll Data'!$B$2:$B$1048576,0),MATCH(M$37,'Doll Data'!$E$1:$K$1,0))</f>
        <v>100</v>
      </c>
      <c r="N41" s="39">
        <f>INDEX('Doll Data'!$E$2:$K$1048576,MATCH(Main!$D23,'Doll Data'!$B$2:$B$1048576,0),MATCH(N$37,'Doll Data'!$E$1:$K$1,0))</f>
        <v>85</v>
      </c>
      <c r="O41" s="39">
        <f>INDEX('Doll Data'!$E$2:$K$1048576,MATCH(Main!$D23,'Doll Data'!$B$2:$B$1048576,0),MATCH(O$37,'Doll Data'!$E$1:$K$1,0))</f>
        <v>0</v>
      </c>
      <c r="P41" s="40">
        <f>INDEX('Doll Data'!$E$2:$K$1048576,MATCH(Main!$D23,'Doll Data'!$B$2:$B$1048576,0),MATCH(P$37,'Doll Data'!$E$1:$K$1,0))</f>
        <v>125</v>
      </c>
      <c r="Q41"/>
    </row>
    <row r="42" spans="9:23" x14ac:dyDescent="0.25">
      <c r="I42" s="33">
        <v>5</v>
      </c>
      <c r="J42" s="41">
        <f>INDEX('Doll Data'!$E$2:$K$1048576,MATCH(Main!$D24,'Doll Data'!$B$2:$B$1048576,0),MATCH(J$37,'Doll Data'!$E$1:$K$1,0))</f>
        <v>130</v>
      </c>
      <c r="K42" s="42">
        <f>INDEX('Doll Data'!$E$2:$K$1048576,MATCH(Main!$D24,'Doll Data'!$B$2:$B$1048576,0),MATCH(K$37,'Doll Data'!$E$1:$K$1,0))</f>
        <v>98</v>
      </c>
      <c r="L42" s="42">
        <f>INDEX('Doll Data'!$E$2:$K$1048576,MATCH(Main!$D24,'Doll Data'!$B$2:$B$1048576,0),MATCH(L$37,'Doll Data'!$E$1:$K$1,0))</f>
        <v>102</v>
      </c>
      <c r="M42" s="42">
        <f>INDEX('Doll Data'!$E$2:$K$1048576,MATCH(Main!$D24,'Doll Data'!$B$2:$B$1048576,0),MATCH(M$37,'Doll Data'!$E$1:$K$1,0))</f>
        <v>120</v>
      </c>
      <c r="N42" s="42">
        <f>INDEX('Doll Data'!$E$2:$K$1048576,MATCH(Main!$D24,'Doll Data'!$B$2:$B$1048576,0),MATCH(N$37,'Doll Data'!$E$1:$K$1,0))</f>
        <v>100</v>
      </c>
      <c r="O42" s="42">
        <f>INDEX('Doll Data'!$E$2:$K$1048576,MATCH(Main!$D24,'Doll Data'!$B$2:$B$1048576,0),MATCH(O$37,'Doll Data'!$E$1:$K$1,0))</f>
        <v>0</v>
      </c>
      <c r="P42" s="43">
        <f>INDEX('Doll Data'!$E$2:$K$1048576,MATCH(Main!$D24,'Doll Data'!$B$2:$B$1048576,0),MATCH(P$37,'Doll Data'!$E$1:$K$1,0))</f>
        <v>132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39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1" x14ac:dyDescent="0.25">
      <c r="A1" s="57" t="s">
        <v>25</v>
      </c>
      <c r="B1" s="57" t="s">
        <v>296</v>
      </c>
      <c r="C1" s="57" t="s">
        <v>61</v>
      </c>
      <c r="D1" s="57" t="s">
        <v>297</v>
      </c>
      <c r="E1" s="57" t="s">
        <v>9</v>
      </c>
      <c r="F1" s="57" t="s">
        <v>10</v>
      </c>
      <c r="G1" s="57" t="s">
        <v>11</v>
      </c>
      <c r="H1" s="57" t="s">
        <v>12</v>
      </c>
      <c r="I1" s="57" t="s">
        <v>13</v>
      </c>
      <c r="J1" s="57" t="s">
        <v>14</v>
      </c>
      <c r="K1" s="57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>
        <v>100</v>
      </c>
    </row>
    <row r="30" spans="1:11" x14ac:dyDescent="0.25">
      <c r="A30" s="1">
        <v>29</v>
      </c>
      <c r="B30" s="9" t="s">
        <v>1001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>
        <v>105</v>
      </c>
    </row>
    <row r="35" spans="1:11" x14ac:dyDescent="0.25">
      <c r="A35" s="1">
        <v>35</v>
      </c>
      <c r="B35" s="9" t="s">
        <v>944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>
        <v>130</v>
      </c>
    </row>
    <row r="40" spans="1:11" x14ac:dyDescent="0.25">
      <c r="A40" s="1">
        <v>40</v>
      </c>
      <c r="B40" s="9" t="s">
        <v>945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>
        <v>115</v>
      </c>
    </row>
    <row r="69" spans="1:11" x14ac:dyDescent="0.25">
      <c r="A69" s="1">
        <v>71</v>
      </c>
      <c r="B69" s="9" t="s">
        <v>1021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>
        <v>125</v>
      </c>
    </row>
    <row r="74" spans="1:11" x14ac:dyDescent="0.25">
      <c r="A74" s="1">
        <v>77</v>
      </c>
      <c r="B74" s="9" t="s">
        <v>946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>
        <v>115</v>
      </c>
    </row>
    <row r="110" spans="1:11" x14ac:dyDescent="0.25">
      <c r="A110" s="1">
        <v>114</v>
      </c>
      <c r="B110" s="9" t="s">
        <v>1012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>
        <v>140</v>
      </c>
    </row>
    <row r="195" spans="1:11" x14ac:dyDescent="0.25">
      <c r="A195" s="1">
        <v>199</v>
      </c>
      <c r="B195" s="9" t="s">
        <v>942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>
        <v>112</v>
      </c>
    </row>
    <row r="221" spans="1:11" x14ac:dyDescent="0.25">
      <c r="A221" s="1">
        <v>226</v>
      </c>
      <c r="B221" s="9" t="s">
        <v>943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>
        <v>115</v>
      </c>
    </row>
    <row r="223" spans="1:11" x14ac:dyDescent="0.25">
      <c r="A223" s="1">
        <v>228</v>
      </c>
      <c r="B223" s="9" t="s">
        <v>876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>
        <v>100</v>
      </c>
    </row>
    <row r="233" spans="1:11" x14ac:dyDescent="0.25">
      <c r="A233" s="1">
        <v>238</v>
      </c>
      <c r="B233" s="9" t="s">
        <v>941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>
        <v>130</v>
      </c>
    </row>
    <row r="238" spans="1:11" x14ac:dyDescent="0.25">
      <c r="A238" s="1">
        <v>243</v>
      </c>
      <c r="B238" s="9" t="s">
        <v>1014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>
        <v>128</v>
      </c>
    </row>
    <row r="253" spans="1:11" x14ac:dyDescent="0.25">
      <c r="A253" s="1">
        <v>259</v>
      </c>
      <c r="B253" s="9" t="s">
        <v>947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>
        <v>132</v>
      </c>
    </row>
    <row r="269" spans="1:11" x14ac:dyDescent="0.25">
      <c r="A269" s="1">
        <v>275</v>
      </c>
      <c r="B269" s="9" t="s">
        <v>1013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>
        <v>115</v>
      </c>
    </row>
    <row r="283" spans="1:11" x14ac:dyDescent="0.25">
      <c r="A283" s="1">
        <v>289</v>
      </c>
      <c r="B283" s="9" t="s">
        <v>948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>
        <v>120</v>
      </c>
    </row>
    <row r="284" spans="1:11" x14ac:dyDescent="0.25">
      <c r="A284" s="1">
        <v>290</v>
      </c>
      <c r="B284" s="9" t="s">
        <v>949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>
        <v>120</v>
      </c>
    </row>
    <row r="286" spans="1:11" x14ac:dyDescent="0.25">
      <c r="A286" s="1">
        <v>292</v>
      </c>
      <c r="B286" s="9" t="s">
        <v>950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>
        <v>138</v>
      </c>
    </row>
    <row r="287" spans="1:11" x14ac:dyDescent="0.25">
      <c r="A287" s="1">
        <v>293</v>
      </c>
      <c r="B287" s="9" t="s">
        <v>951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>
        <v>136</v>
      </c>
    </row>
    <row r="288" spans="1:11" x14ac:dyDescent="0.25">
      <c r="A288" s="1">
        <v>294</v>
      </c>
      <c r="B288" s="9" t="s">
        <v>952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>
        <v>132</v>
      </c>
    </row>
    <row r="289" spans="1:11" x14ac:dyDescent="0.25">
      <c r="A289" s="1">
        <v>295</v>
      </c>
      <c r="B289" s="9" t="s">
        <v>953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>
        <v>105</v>
      </c>
    </row>
    <row r="290" spans="1:11" x14ac:dyDescent="0.25">
      <c r="A290" s="1">
        <v>296</v>
      </c>
      <c r="B290" s="9" t="s">
        <v>954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>
        <v>128</v>
      </c>
    </row>
    <row r="291" spans="1:11" x14ac:dyDescent="0.25">
      <c r="A291" s="1">
        <v>297</v>
      </c>
      <c r="B291" s="9" t="s">
        <v>955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>
        <v>122</v>
      </c>
    </row>
    <row r="292" spans="1:11" x14ac:dyDescent="0.25">
      <c r="A292" s="1">
        <v>298</v>
      </c>
      <c r="B292" s="9" t="s">
        <v>956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>
        <v>105</v>
      </c>
    </row>
    <row r="294" spans="1:11" x14ac:dyDescent="0.25">
      <c r="A294" s="1">
        <v>300</v>
      </c>
      <c r="B294" s="9" t="s">
        <v>957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>
        <v>118</v>
      </c>
    </row>
    <row r="295" spans="1:11" x14ac:dyDescent="0.25">
      <c r="A295" s="1">
        <v>301</v>
      </c>
      <c r="B295" s="9" t="s">
        <v>958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>
        <v>112</v>
      </c>
    </row>
    <row r="296" spans="1:11" x14ac:dyDescent="0.25">
      <c r="A296" s="1">
        <v>302</v>
      </c>
      <c r="B296" s="9" t="s">
        <v>959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>
        <v>120</v>
      </c>
    </row>
    <row r="297" spans="1:11" x14ac:dyDescent="0.25">
      <c r="A297" s="1">
        <v>303</v>
      </c>
      <c r="B297" s="9" t="s">
        <v>960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>
        <v>128</v>
      </c>
    </row>
    <row r="298" spans="1:11" x14ac:dyDescent="0.25">
      <c r="A298" s="1">
        <v>304</v>
      </c>
      <c r="B298" s="9" t="s">
        <v>961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>
        <v>102</v>
      </c>
    </row>
    <row r="299" spans="1:11" x14ac:dyDescent="0.25">
      <c r="A299" s="1">
        <v>305</v>
      </c>
      <c r="B299" s="9" t="s">
        <v>962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>
        <v>122</v>
      </c>
    </row>
    <row r="300" spans="1:11" x14ac:dyDescent="0.25">
      <c r="A300" s="1">
        <v>306</v>
      </c>
      <c r="B300" s="9" t="s">
        <v>963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>
        <v>132</v>
      </c>
    </row>
    <row r="301" spans="1:11" x14ac:dyDescent="0.25">
      <c r="A301" s="1">
        <v>307</v>
      </c>
      <c r="B301" s="9" t="s">
        <v>964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>
        <v>130</v>
      </c>
    </row>
    <row r="302" spans="1:11" x14ac:dyDescent="0.25">
      <c r="A302" s="1">
        <v>308</v>
      </c>
      <c r="B302" s="9" t="s">
        <v>965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>
        <v>115</v>
      </c>
    </row>
    <row r="303" spans="1:11" x14ac:dyDescent="0.25">
      <c r="A303" s="1">
        <v>309</v>
      </c>
      <c r="B303" s="9" t="s">
        <v>966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>
        <v>130</v>
      </c>
    </row>
    <row r="304" spans="1:11" x14ac:dyDescent="0.25">
      <c r="A304" s="1">
        <v>310</v>
      </c>
      <c r="B304" s="9" t="s">
        <v>967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>
        <v>110</v>
      </c>
    </row>
    <row r="305" spans="1:11" x14ac:dyDescent="0.25">
      <c r="A305" s="1">
        <v>311</v>
      </c>
      <c r="B305" s="9" t="s">
        <v>968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>
        <v>110</v>
      </c>
    </row>
    <row r="306" spans="1:11" x14ac:dyDescent="0.25">
      <c r="A306" s="1">
        <v>312</v>
      </c>
      <c r="B306" s="9" t="s">
        <v>969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>
        <v>131</v>
      </c>
    </row>
    <row r="307" spans="1:11" x14ac:dyDescent="0.25">
      <c r="A307" s="1">
        <v>313</v>
      </c>
      <c r="B307" s="9" t="s">
        <v>970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>
        <v>122</v>
      </c>
    </row>
    <row r="308" spans="1:11" x14ac:dyDescent="0.25">
      <c r="A308" s="1">
        <v>314</v>
      </c>
      <c r="B308" s="9" t="s">
        <v>971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>
        <v>118</v>
      </c>
    </row>
    <row r="309" spans="1:11" x14ac:dyDescent="0.25">
      <c r="A309" s="1">
        <v>315</v>
      </c>
      <c r="B309" s="9" t="s">
        <v>1022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>
        <v>118</v>
      </c>
    </row>
    <row r="310" spans="1:11" x14ac:dyDescent="0.25">
      <c r="A310" s="1">
        <v>316</v>
      </c>
      <c r="B310" s="9" t="s">
        <v>973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>
        <v>132</v>
      </c>
    </row>
    <row r="311" spans="1:11" x14ac:dyDescent="0.25">
      <c r="A311" s="1">
        <v>317</v>
      </c>
      <c r="B311" s="9" t="s">
        <v>974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>
        <v>122</v>
      </c>
    </row>
    <row r="312" spans="1:11" x14ac:dyDescent="0.25">
      <c r="A312" s="1">
        <v>318</v>
      </c>
      <c r="B312" s="9" t="s">
        <v>975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>
        <v>132</v>
      </c>
    </row>
    <row r="313" spans="1:11" x14ac:dyDescent="0.25">
      <c r="A313" s="1">
        <v>319</v>
      </c>
      <c r="B313" s="9" t="s">
        <v>976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>
        <v>110</v>
      </c>
    </row>
    <row r="314" spans="1:11" x14ac:dyDescent="0.25">
      <c r="A314" s="1">
        <v>320</v>
      </c>
      <c r="B314" s="9" t="s">
        <v>977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>
        <v>110</v>
      </c>
    </row>
    <row r="315" spans="1:11" x14ac:dyDescent="0.25">
      <c r="A315" s="1">
        <v>321</v>
      </c>
      <c r="B315" s="9" t="s">
        <v>978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>
        <v>105</v>
      </c>
    </row>
    <row r="316" spans="1:11" x14ac:dyDescent="0.25">
      <c r="A316" s="1">
        <v>322</v>
      </c>
      <c r="B316" s="9" t="s">
        <v>979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>
        <v>115</v>
      </c>
    </row>
    <row r="317" spans="1:11" x14ac:dyDescent="0.25">
      <c r="A317" s="1">
        <v>323</v>
      </c>
      <c r="B317" s="9" t="s">
        <v>980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>
        <v>100</v>
      </c>
    </row>
    <row r="318" spans="1:11" x14ac:dyDescent="0.25">
      <c r="A318" s="1">
        <v>324</v>
      </c>
      <c r="B318" s="9" t="s">
        <v>981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>
        <v>115</v>
      </c>
    </row>
    <row r="319" spans="1:11" x14ac:dyDescent="0.25">
      <c r="A319" s="1">
        <v>325</v>
      </c>
      <c r="B319" s="9" t="s">
        <v>982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>
        <v>110</v>
      </c>
    </row>
    <row r="320" spans="1:11" x14ac:dyDescent="0.25">
      <c r="A320" s="1">
        <v>326</v>
      </c>
      <c r="B320" s="9" t="s">
        <v>983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>
        <v>112</v>
      </c>
    </row>
    <row r="321" spans="1:11" x14ac:dyDescent="0.25">
      <c r="A321" s="1">
        <v>327</v>
      </c>
      <c r="B321" s="9" t="s">
        <v>984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>
        <v>105</v>
      </c>
    </row>
    <row r="322" spans="1:11" x14ac:dyDescent="0.25">
      <c r="A322" s="1">
        <v>328</v>
      </c>
      <c r="B322" s="9" t="s">
        <v>985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>
        <v>108</v>
      </c>
    </row>
    <row r="323" spans="1:11" x14ac:dyDescent="0.25">
      <c r="A323" s="1">
        <v>329</v>
      </c>
      <c r="B323" s="9" t="s">
        <v>986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>
        <v>131</v>
      </c>
    </row>
    <row r="324" spans="1:11" x14ac:dyDescent="0.25">
      <c r="A324" s="1">
        <v>330</v>
      </c>
      <c r="B324" s="9" t="s">
        <v>987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>
        <v>123</v>
      </c>
    </row>
    <row r="325" spans="1:11" x14ac:dyDescent="0.25">
      <c r="A325" s="1">
        <v>331</v>
      </c>
      <c r="B325" s="9" t="s">
        <v>988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>
        <v>130</v>
      </c>
    </row>
    <row r="326" spans="1:11" x14ac:dyDescent="0.25">
      <c r="A326" s="1">
        <v>332</v>
      </c>
      <c r="B326" s="9" t="s">
        <v>989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>
        <v>120</v>
      </c>
    </row>
    <row r="327" spans="1:11" x14ac:dyDescent="0.25">
      <c r="A327" s="1">
        <v>333</v>
      </c>
      <c r="B327" s="9" t="s">
        <v>990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>
        <v>100</v>
      </c>
    </row>
    <row r="328" spans="1:11" x14ac:dyDescent="0.25">
      <c r="A328" s="1">
        <v>334</v>
      </c>
      <c r="B328" s="9" t="s">
        <v>991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>
        <v>128</v>
      </c>
    </row>
    <row r="329" spans="1:11" x14ac:dyDescent="0.25">
      <c r="A329" s="1">
        <v>335</v>
      </c>
      <c r="B329" s="9" t="s">
        <v>992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>
        <v>130</v>
      </c>
    </row>
    <row r="330" spans="1:11" x14ac:dyDescent="0.25">
      <c r="A330" s="1">
        <v>1001</v>
      </c>
      <c r="B330" s="9" t="s">
        <v>262</v>
      </c>
      <c r="C330" s="1">
        <v>1</v>
      </c>
      <c r="D330" s="1">
        <v>5</v>
      </c>
      <c r="E330" s="1">
        <v>90</v>
      </c>
      <c r="F330" s="1">
        <v>140</v>
      </c>
      <c r="G330" s="1">
        <v>120</v>
      </c>
      <c r="H330" s="1">
        <v>120</v>
      </c>
      <c r="I330" s="1">
        <v>110</v>
      </c>
      <c r="J330" s="1">
        <v>0</v>
      </c>
      <c r="K330">
        <v>120</v>
      </c>
    </row>
    <row r="331" spans="1:11" x14ac:dyDescent="0.25">
      <c r="A331" s="1">
        <v>1002</v>
      </c>
      <c r="B331" s="9" t="s">
        <v>263</v>
      </c>
      <c r="C331" s="1">
        <v>6</v>
      </c>
      <c r="D331" s="1">
        <v>5</v>
      </c>
      <c r="E331" s="1">
        <v>125</v>
      </c>
      <c r="F331" s="1">
        <v>130</v>
      </c>
      <c r="G331" s="1">
        <v>110</v>
      </c>
      <c r="H331" s="1">
        <v>120</v>
      </c>
      <c r="I331" s="1">
        <v>80</v>
      </c>
      <c r="J331" s="1">
        <v>125</v>
      </c>
      <c r="K331">
        <v>95</v>
      </c>
    </row>
    <row r="332" spans="1:11" x14ac:dyDescent="0.25">
      <c r="A332" s="1">
        <v>1003</v>
      </c>
      <c r="B332" s="9" t="s">
        <v>993</v>
      </c>
      <c r="C332" s="1">
        <v>1</v>
      </c>
      <c r="D332" s="1">
        <v>5</v>
      </c>
      <c r="E332" s="1">
        <v>105</v>
      </c>
      <c r="F332" s="1">
        <v>125</v>
      </c>
      <c r="G332" s="1">
        <v>125</v>
      </c>
      <c r="H332" s="1">
        <v>118</v>
      </c>
      <c r="I332" s="1">
        <v>115</v>
      </c>
      <c r="J332" s="1">
        <v>0</v>
      </c>
      <c r="K332">
        <v>104</v>
      </c>
    </row>
    <row r="333" spans="1:11" x14ac:dyDescent="0.25">
      <c r="A333" s="1">
        <v>1004</v>
      </c>
      <c r="B333" s="9" t="s">
        <v>994</v>
      </c>
      <c r="C333" s="1">
        <v>3</v>
      </c>
      <c r="D333" s="1">
        <v>5</v>
      </c>
      <c r="E333" s="1">
        <v>95</v>
      </c>
      <c r="F333" s="1">
        <v>135</v>
      </c>
      <c r="G333" s="1">
        <v>98</v>
      </c>
      <c r="H333" s="1">
        <v>105</v>
      </c>
      <c r="I333" s="1">
        <v>95</v>
      </c>
      <c r="J333" s="1">
        <v>0</v>
      </c>
      <c r="K333">
        <v>120</v>
      </c>
    </row>
    <row r="334" spans="1:11" x14ac:dyDescent="0.25">
      <c r="A334" s="1">
        <v>1005</v>
      </c>
      <c r="B334" s="9" t="s">
        <v>995</v>
      </c>
      <c r="C334" s="1">
        <v>3</v>
      </c>
      <c r="D334" s="1">
        <v>5</v>
      </c>
      <c r="E334" s="1">
        <v>92</v>
      </c>
      <c r="F334" s="1">
        <v>122</v>
      </c>
      <c r="G334" s="1">
        <v>110</v>
      </c>
      <c r="H334" s="1">
        <v>115</v>
      </c>
      <c r="I334" s="1">
        <v>100</v>
      </c>
      <c r="J334" s="1">
        <v>0</v>
      </c>
      <c r="K334">
        <v>120</v>
      </c>
    </row>
    <row r="335" spans="1:11" x14ac:dyDescent="0.25">
      <c r="A335" s="1">
        <v>1006</v>
      </c>
      <c r="B335" s="9" t="s">
        <v>996</v>
      </c>
      <c r="C335" s="1">
        <v>1</v>
      </c>
      <c r="D335" s="1">
        <v>5</v>
      </c>
      <c r="E335" s="1">
        <v>125</v>
      </c>
      <c r="F335" s="1">
        <v>120</v>
      </c>
      <c r="G335" s="1">
        <v>105</v>
      </c>
      <c r="H335" s="1">
        <v>105</v>
      </c>
      <c r="I335" s="1">
        <v>120</v>
      </c>
      <c r="J335" s="1">
        <v>0</v>
      </c>
      <c r="K335">
        <v>104</v>
      </c>
    </row>
    <row r="336" spans="1:11" x14ac:dyDescent="0.25">
      <c r="A336" s="1">
        <v>1007</v>
      </c>
      <c r="B336" s="9" t="s">
        <v>997</v>
      </c>
      <c r="C336" s="1">
        <v>4</v>
      </c>
      <c r="D336" s="1">
        <v>5</v>
      </c>
      <c r="E336" s="1">
        <v>110</v>
      </c>
      <c r="F336" s="1">
        <v>126</v>
      </c>
      <c r="G336" s="1">
        <v>95</v>
      </c>
      <c r="H336" s="1">
        <v>105</v>
      </c>
      <c r="I336" s="1">
        <v>100</v>
      </c>
      <c r="J336" s="1">
        <v>0</v>
      </c>
      <c r="K336">
        <v>122</v>
      </c>
    </row>
    <row r="337" spans="1:11" x14ac:dyDescent="0.25">
      <c r="A337" s="1">
        <v>1008</v>
      </c>
      <c r="B337" s="9" t="s">
        <v>998</v>
      </c>
      <c r="C337" s="1">
        <v>6</v>
      </c>
      <c r="D337" s="1">
        <v>5</v>
      </c>
      <c r="E337" s="1">
        <v>112</v>
      </c>
      <c r="F337" s="1">
        <v>128</v>
      </c>
      <c r="G337" s="1">
        <v>108</v>
      </c>
      <c r="H337" s="1">
        <v>110</v>
      </c>
      <c r="I337" s="1">
        <v>130</v>
      </c>
      <c r="J337" s="1">
        <v>120</v>
      </c>
      <c r="K337">
        <v>90</v>
      </c>
    </row>
    <row r="338" spans="1:11" x14ac:dyDescent="0.25">
      <c r="A338" s="1">
        <v>1009</v>
      </c>
      <c r="B338" s="9" t="s">
        <v>264</v>
      </c>
      <c r="C338" s="1">
        <v>1</v>
      </c>
      <c r="D338" s="1">
        <v>5</v>
      </c>
      <c r="E338" s="1">
        <v>100</v>
      </c>
      <c r="F338" s="1">
        <v>100</v>
      </c>
      <c r="G338" s="1">
        <v>106</v>
      </c>
      <c r="H338" s="1">
        <v>108</v>
      </c>
      <c r="I338" s="1">
        <v>103</v>
      </c>
      <c r="J338" s="1">
        <v>0</v>
      </c>
      <c r="K338">
        <v>140</v>
      </c>
    </row>
    <row r="339" spans="1:11" x14ac:dyDescent="0.25">
      <c r="A339" s="1">
        <v>1010</v>
      </c>
      <c r="B339" s="9" t="s">
        <v>265</v>
      </c>
      <c r="C339" s="1">
        <v>1</v>
      </c>
      <c r="D339" s="1">
        <v>5</v>
      </c>
      <c r="E339" s="1">
        <v>100</v>
      </c>
      <c r="F339" s="1">
        <v>100</v>
      </c>
      <c r="G339" s="1">
        <v>106</v>
      </c>
      <c r="H339" s="1">
        <v>108</v>
      </c>
      <c r="I339" s="1">
        <v>103</v>
      </c>
      <c r="J339" s="1">
        <v>0</v>
      </c>
      <c r="K339">
        <v>140</v>
      </c>
    </row>
    <row r="340" spans="1:11" x14ac:dyDescent="0.25">
      <c r="A340" s="1">
        <v>1017</v>
      </c>
      <c r="B340" s="9" t="s">
        <v>336</v>
      </c>
      <c r="C340" s="1">
        <v>1</v>
      </c>
      <c r="D340" s="1">
        <v>5</v>
      </c>
      <c r="E340" s="1">
        <v>120</v>
      </c>
      <c r="F340" s="1">
        <v>102</v>
      </c>
      <c r="G340" s="1">
        <v>100</v>
      </c>
      <c r="H340" s="1">
        <v>100</v>
      </c>
      <c r="I340" s="1">
        <v>120</v>
      </c>
      <c r="J340" s="1">
        <v>0</v>
      </c>
      <c r="K340">
        <v>130</v>
      </c>
    </row>
    <row r="341" spans="1:11" x14ac:dyDescent="0.25">
      <c r="A341" s="1">
        <v>1018</v>
      </c>
      <c r="B341" s="9" t="s">
        <v>337</v>
      </c>
      <c r="C341" s="1">
        <v>1</v>
      </c>
      <c r="D341" s="1">
        <v>5</v>
      </c>
      <c r="E341" s="1">
        <v>128</v>
      </c>
      <c r="F341" s="1">
        <v>108</v>
      </c>
      <c r="G341" s="1">
        <v>100</v>
      </c>
      <c r="H341" s="1">
        <v>120</v>
      </c>
      <c r="I341" s="1">
        <v>105</v>
      </c>
      <c r="J341" s="1">
        <v>0</v>
      </c>
      <c r="K341">
        <v>118</v>
      </c>
    </row>
    <row r="342" spans="1:11" x14ac:dyDescent="0.25">
      <c r="A342" s="1">
        <v>1019</v>
      </c>
      <c r="B342" s="9" t="s">
        <v>338</v>
      </c>
      <c r="C342" s="1">
        <v>2</v>
      </c>
      <c r="D342" s="1">
        <v>5</v>
      </c>
      <c r="E342" s="1">
        <v>100</v>
      </c>
      <c r="F342" s="1">
        <v>95</v>
      </c>
      <c r="G342" s="1">
        <v>96</v>
      </c>
      <c r="H342" s="1">
        <v>105</v>
      </c>
      <c r="I342" s="1">
        <v>122</v>
      </c>
      <c r="J342" s="1">
        <v>0</v>
      </c>
      <c r="K342">
        <v>130</v>
      </c>
    </row>
    <row r="343" spans="1:11" x14ac:dyDescent="0.25">
      <c r="A343" s="1">
        <v>1020</v>
      </c>
      <c r="B343" s="9" t="s">
        <v>339</v>
      </c>
      <c r="C343" s="1">
        <v>3</v>
      </c>
      <c r="D343" s="1">
        <v>5</v>
      </c>
      <c r="E343" s="1">
        <v>102</v>
      </c>
      <c r="F343" s="1">
        <v>102</v>
      </c>
      <c r="G343" s="1">
        <v>102</v>
      </c>
      <c r="H343" s="1">
        <v>118</v>
      </c>
      <c r="I343" s="1">
        <v>100</v>
      </c>
      <c r="J343" s="1">
        <v>0</v>
      </c>
      <c r="K343">
        <v>130</v>
      </c>
    </row>
    <row r="344" spans="1:11" x14ac:dyDescent="0.25">
      <c r="A344" s="1">
        <v>1021</v>
      </c>
      <c r="B344" s="9" t="s">
        <v>340</v>
      </c>
      <c r="C344" s="1">
        <v>5</v>
      </c>
      <c r="D344" s="1">
        <v>5</v>
      </c>
      <c r="E344" s="1">
        <v>118</v>
      </c>
      <c r="F344" s="1">
        <v>108</v>
      </c>
      <c r="G344" s="1">
        <v>120</v>
      </c>
      <c r="H344" s="1">
        <v>120</v>
      </c>
      <c r="I344" s="1">
        <v>90</v>
      </c>
      <c r="J344" s="1">
        <v>0</v>
      </c>
      <c r="K344">
        <v>122</v>
      </c>
    </row>
    <row r="345" spans="1:11" x14ac:dyDescent="0.25">
      <c r="A345" s="1">
        <v>1022</v>
      </c>
      <c r="B345" s="9" t="s">
        <v>341</v>
      </c>
      <c r="C345" s="1">
        <v>6</v>
      </c>
      <c r="D345" s="1">
        <v>5</v>
      </c>
      <c r="E345" s="1">
        <v>122</v>
      </c>
      <c r="F345" s="1">
        <v>128</v>
      </c>
      <c r="G345" s="1">
        <v>95</v>
      </c>
      <c r="H345" s="1">
        <v>132</v>
      </c>
      <c r="I345" s="1">
        <v>110</v>
      </c>
      <c r="J345" s="1">
        <v>122</v>
      </c>
      <c r="K345">
        <v>105</v>
      </c>
    </row>
    <row r="346" spans="1:11" x14ac:dyDescent="0.25">
      <c r="A346" s="1">
        <v>1023</v>
      </c>
      <c r="B346" s="9" t="s">
        <v>342</v>
      </c>
      <c r="C346" s="1">
        <v>2</v>
      </c>
      <c r="D346" s="1">
        <v>5</v>
      </c>
      <c r="E346" s="1">
        <v>108</v>
      </c>
      <c r="F346" s="1">
        <v>112</v>
      </c>
      <c r="G346" s="1">
        <v>115</v>
      </c>
      <c r="H346" s="1">
        <v>120</v>
      </c>
      <c r="I346" s="1">
        <v>126</v>
      </c>
      <c r="J346" s="1">
        <v>0</v>
      </c>
      <c r="K346">
        <v>118</v>
      </c>
    </row>
    <row r="347" spans="1:11" x14ac:dyDescent="0.25">
      <c r="A347" s="1">
        <v>1024</v>
      </c>
      <c r="B347" s="9" t="s">
        <v>343</v>
      </c>
      <c r="C347" s="1">
        <v>3</v>
      </c>
      <c r="D347" s="1">
        <v>5</v>
      </c>
      <c r="E347" s="1">
        <v>90</v>
      </c>
      <c r="F347" s="1">
        <v>120</v>
      </c>
      <c r="G347" s="1">
        <v>110</v>
      </c>
      <c r="H347" s="1">
        <v>120</v>
      </c>
      <c r="I347" s="1">
        <v>100</v>
      </c>
      <c r="J347" s="1">
        <v>0</v>
      </c>
      <c r="K347">
        <v>120</v>
      </c>
    </row>
    <row r="348" spans="1:11" x14ac:dyDescent="0.25">
      <c r="A348" s="1">
        <v>1025</v>
      </c>
      <c r="B348" s="9" t="s">
        <v>344</v>
      </c>
      <c r="C348" s="1">
        <v>6</v>
      </c>
      <c r="D348" s="1">
        <v>5</v>
      </c>
      <c r="E348" s="1">
        <v>115</v>
      </c>
      <c r="F348" s="1">
        <v>120</v>
      </c>
      <c r="G348" s="1">
        <v>100</v>
      </c>
      <c r="H348" s="1">
        <v>100</v>
      </c>
      <c r="I348" s="1">
        <v>95</v>
      </c>
      <c r="J348" s="1">
        <v>115</v>
      </c>
      <c r="K348">
        <v>110</v>
      </c>
    </row>
    <row r="349" spans="1:11" x14ac:dyDescent="0.25">
      <c r="A349" s="1">
        <v>1026</v>
      </c>
      <c r="B349" s="9" t="s">
        <v>345</v>
      </c>
      <c r="C349" s="1">
        <v>5</v>
      </c>
      <c r="D349" s="1">
        <v>5</v>
      </c>
      <c r="E349" s="1">
        <v>95</v>
      </c>
      <c r="F349" s="1">
        <v>90</v>
      </c>
      <c r="G349" s="1">
        <v>125</v>
      </c>
      <c r="H349" s="1">
        <v>125</v>
      </c>
      <c r="I349" s="1">
        <v>130</v>
      </c>
      <c r="J349" s="1">
        <v>0</v>
      </c>
      <c r="K349">
        <v>135</v>
      </c>
    </row>
    <row r="350" spans="1:11" x14ac:dyDescent="0.25">
      <c r="A350" s="1">
        <v>1027</v>
      </c>
      <c r="B350" s="9" t="s">
        <v>346</v>
      </c>
      <c r="C350" s="1">
        <v>4</v>
      </c>
      <c r="D350" s="1">
        <v>5</v>
      </c>
      <c r="E350" s="1">
        <v>110</v>
      </c>
      <c r="F350" s="1">
        <v>118</v>
      </c>
      <c r="G350" s="1">
        <v>110</v>
      </c>
      <c r="H350" s="1">
        <v>132</v>
      </c>
      <c r="I350" s="1">
        <v>105</v>
      </c>
      <c r="J350" s="1">
        <v>0</v>
      </c>
      <c r="K350">
        <v>125</v>
      </c>
    </row>
    <row r="351" spans="1:11" x14ac:dyDescent="0.25">
      <c r="A351" s="1">
        <v>1028</v>
      </c>
      <c r="B351" s="9" t="s">
        <v>841</v>
      </c>
      <c r="C351" s="1">
        <v>2</v>
      </c>
      <c r="D351" s="1">
        <v>5</v>
      </c>
      <c r="E351" s="1">
        <v>105</v>
      </c>
      <c r="F351" s="1">
        <v>115</v>
      </c>
      <c r="G351" s="1">
        <v>130</v>
      </c>
      <c r="H351" s="1">
        <v>90</v>
      </c>
      <c r="I351" s="1">
        <v>120</v>
      </c>
      <c r="J351" s="1">
        <v>0</v>
      </c>
      <c r="K351">
        <v>105</v>
      </c>
    </row>
    <row r="352" spans="1:11" x14ac:dyDescent="0.25">
      <c r="A352" s="1">
        <v>1029</v>
      </c>
      <c r="B352" s="9" t="s">
        <v>826</v>
      </c>
      <c r="C352" s="1">
        <v>4</v>
      </c>
      <c r="D352" s="1">
        <v>5</v>
      </c>
      <c r="E352" s="1">
        <v>110</v>
      </c>
      <c r="F352" s="1">
        <v>115</v>
      </c>
      <c r="G352" s="1">
        <v>115</v>
      </c>
      <c r="H352" s="1">
        <v>115</v>
      </c>
      <c r="I352" s="1">
        <v>110</v>
      </c>
      <c r="J352" s="1">
        <v>0</v>
      </c>
      <c r="K352">
        <v>115</v>
      </c>
    </row>
    <row r="353" spans="1:11" x14ac:dyDescent="0.25">
      <c r="A353" s="1">
        <v>20001</v>
      </c>
      <c r="B353" s="9" t="s">
        <v>369</v>
      </c>
      <c r="C353" s="1">
        <v>1</v>
      </c>
      <c r="D353" s="1">
        <v>5</v>
      </c>
      <c r="E353" s="1">
        <v>122</v>
      </c>
      <c r="F353" s="1">
        <v>125</v>
      </c>
      <c r="G353" s="1">
        <v>89</v>
      </c>
      <c r="H353" s="1">
        <v>90</v>
      </c>
      <c r="I353" s="1">
        <v>95</v>
      </c>
      <c r="J353" s="1">
        <v>0</v>
      </c>
      <c r="K353">
        <v>130</v>
      </c>
    </row>
    <row r="354" spans="1:11" x14ac:dyDescent="0.25">
      <c r="A354" s="1">
        <v>20002</v>
      </c>
      <c r="B354" s="9" t="s">
        <v>351</v>
      </c>
      <c r="C354" s="1">
        <v>1</v>
      </c>
      <c r="D354" s="1">
        <v>4</v>
      </c>
      <c r="E354" s="1">
        <v>110</v>
      </c>
      <c r="F354" s="1">
        <v>100</v>
      </c>
      <c r="G354" s="1">
        <v>106</v>
      </c>
      <c r="H354" s="1">
        <v>100</v>
      </c>
      <c r="I354" s="1">
        <v>100</v>
      </c>
      <c r="J354" s="1">
        <v>0</v>
      </c>
      <c r="K354">
        <v>120</v>
      </c>
    </row>
    <row r="355" spans="1:11" x14ac:dyDescent="0.25">
      <c r="A355" s="1">
        <v>20005</v>
      </c>
      <c r="B355" s="9" t="s">
        <v>940</v>
      </c>
      <c r="C355" s="1">
        <v>1</v>
      </c>
      <c r="D355" s="1">
        <v>4</v>
      </c>
      <c r="E355" s="1">
        <v>105</v>
      </c>
      <c r="F355" s="1">
        <v>115</v>
      </c>
      <c r="G355" s="1">
        <v>80</v>
      </c>
      <c r="H355" s="1">
        <v>85</v>
      </c>
      <c r="I355" s="1">
        <v>120</v>
      </c>
      <c r="J355" s="1">
        <v>0</v>
      </c>
      <c r="K355">
        <v>130</v>
      </c>
    </row>
    <row r="356" spans="1:11" x14ac:dyDescent="0.25">
      <c r="A356" s="1">
        <v>20007</v>
      </c>
      <c r="B356" s="9" t="s">
        <v>861</v>
      </c>
      <c r="C356" s="1">
        <v>1</v>
      </c>
      <c r="D356" s="1">
        <v>5</v>
      </c>
      <c r="E356" s="1">
        <v>125</v>
      </c>
      <c r="F356" s="1">
        <v>115</v>
      </c>
      <c r="G356" s="1">
        <v>125</v>
      </c>
      <c r="H356" s="1">
        <v>105</v>
      </c>
      <c r="I356" s="1">
        <v>95</v>
      </c>
      <c r="J356" s="1">
        <v>0</v>
      </c>
      <c r="K356">
        <v>110</v>
      </c>
    </row>
    <row r="357" spans="1:11" x14ac:dyDescent="0.25">
      <c r="A357" s="1">
        <v>20012</v>
      </c>
      <c r="B357" s="9" t="s">
        <v>869</v>
      </c>
      <c r="C357" s="1">
        <v>1</v>
      </c>
      <c r="D357" s="1">
        <v>4</v>
      </c>
      <c r="E357" s="1">
        <v>125</v>
      </c>
      <c r="F357" s="1">
        <v>118</v>
      </c>
      <c r="G357" s="1">
        <v>120</v>
      </c>
      <c r="H357" s="1">
        <v>108</v>
      </c>
      <c r="I357" s="1">
        <v>100</v>
      </c>
      <c r="J357" s="1">
        <v>0</v>
      </c>
      <c r="K357">
        <v>108</v>
      </c>
    </row>
    <row r="358" spans="1:11" x14ac:dyDescent="0.25">
      <c r="A358" s="1">
        <v>20026</v>
      </c>
      <c r="B358" s="9" t="s">
        <v>1015</v>
      </c>
      <c r="C358" s="1">
        <v>2</v>
      </c>
      <c r="D358" s="1">
        <v>5</v>
      </c>
      <c r="E358" s="1">
        <v>100</v>
      </c>
      <c r="F358" s="1">
        <v>120</v>
      </c>
      <c r="G358" s="1">
        <v>115</v>
      </c>
      <c r="H358" s="1">
        <v>115</v>
      </c>
      <c r="I358" s="1">
        <v>115</v>
      </c>
      <c r="J358" s="1">
        <v>0</v>
      </c>
      <c r="K358">
        <v>105</v>
      </c>
    </row>
    <row r="359" spans="1:11" x14ac:dyDescent="0.25">
      <c r="A359" s="1">
        <v>20029</v>
      </c>
      <c r="B359" s="9" t="s">
        <v>1002</v>
      </c>
      <c r="C359" s="1">
        <v>2</v>
      </c>
      <c r="D359" s="1">
        <v>4</v>
      </c>
      <c r="E359" s="1">
        <v>108</v>
      </c>
      <c r="F359" s="1">
        <v>100</v>
      </c>
      <c r="G359" s="1">
        <v>105</v>
      </c>
      <c r="H359" s="1">
        <v>120</v>
      </c>
      <c r="I359" s="1">
        <v>110</v>
      </c>
      <c r="J359" s="1">
        <v>0</v>
      </c>
      <c r="K359">
        <v>125</v>
      </c>
    </row>
    <row r="360" spans="1:11" x14ac:dyDescent="0.25">
      <c r="A360" s="1">
        <v>20031</v>
      </c>
      <c r="B360" s="9" t="s">
        <v>830</v>
      </c>
      <c r="C360" s="1">
        <v>2</v>
      </c>
      <c r="D360" s="1">
        <v>4</v>
      </c>
      <c r="E360" s="1">
        <v>120</v>
      </c>
      <c r="F360" s="1">
        <v>125</v>
      </c>
      <c r="G360" s="1">
        <v>100</v>
      </c>
      <c r="H360" s="1">
        <v>95</v>
      </c>
      <c r="I360" s="1">
        <v>94</v>
      </c>
      <c r="J360" s="1">
        <v>0</v>
      </c>
      <c r="K360">
        <v>110</v>
      </c>
    </row>
    <row r="361" spans="1:11" x14ac:dyDescent="0.25">
      <c r="A361" s="1">
        <v>20032</v>
      </c>
      <c r="B361" s="9" t="s">
        <v>352</v>
      </c>
      <c r="C361" s="1">
        <v>2</v>
      </c>
      <c r="D361" s="1">
        <v>4</v>
      </c>
      <c r="E361" s="1">
        <v>98</v>
      </c>
      <c r="F361" s="1">
        <v>93</v>
      </c>
      <c r="G361" s="1">
        <v>130</v>
      </c>
      <c r="H361" s="1">
        <v>95</v>
      </c>
      <c r="I361" s="1">
        <v>125</v>
      </c>
      <c r="J361" s="1">
        <v>0</v>
      </c>
      <c r="K361">
        <v>115</v>
      </c>
    </row>
    <row r="362" spans="1:11" x14ac:dyDescent="0.25">
      <c r="A362" s="1">
        <v>20037</v>
      </c>
      <c r="B362" s="9" t="s">
        <v>353</v>
      </c>
      <c r="C362" s="1">
        <v>3</v>
      </c>
      <c r="D362" s="1">
        <v>4</v>
      </c>
      <c r="E362" s="1">
        <v>95</v>
      </c>
      <c r="F362" s="1">
        <v>105</v>
      </c>
      <c r="G362" s="1">
        <v>130</v>
      </c>
      <c r="H362" s="1">
        <v>115</v>
      </c>
      <c r="I362" s="1">
        <v>85</v>
      </c>
      <c r="J362" s="1">
        <v>0</v>
      </c>
      <c r="K362">
        <v>110</v>
      </c>
    </row>
    <row r="363" spans="1:11" x14ac:dyDescent="0.25">
      <c r="A363" s="1">
        <v>20039</v>
      </c>
      <c r="B363" s="9" t="s">
        <v>1016</v>
      </c>
      <c r="C363" s="1">
        <v>3</v>
      </c>
      <c r="D363" s="1">
        <v>5</v>
      </c>
      <c r="E363" s="1">
        <v>100</v>
      </c>
      <c r="F363" s="1">
        <v>115</v>
      </c>
      <c r="G363" s="1">
        <v>85</v>
      </c>
      <c r="H363" s="1">
        <v>120</v>
      </c>
      <c r="I363" s="1">
        <v>105</v>
      </c>
      <c r="J363" s="1">
        <v>0</v>
      </c>
      <c r="K363">
        <v>130</v>
      </c>
    </row>
    <row r="364" spans="1:11" x14ac:dyDescent="0.25">
      <c r="A364" s="1">
        <v>20044</v>
      </c>
      <c r="B364" s="9" t="s">
        <v>354</v>
      </c>
      <c r="C364" s="1">
        <v>3</v>
      </c>
      <c r="D364" s="1">
        <v>4</v>
      </c>
      <c r="E364" s="1">
        <v>95</v>
      </c>
      <c r="F364" s="1">
        <v>118</v>
      </c>
      <c r="G364" s="1">
        <v>110</v>
      </c>
      <c r="H364" s="1">
        <v>122</v>
      </c>
      <c r="I364" s="1">
        <v>85</v>
      </c>
      <c r="J364" s="1">
        <v>0</v>
      </c>
      <c r="K364">
        <v>115</v>
      </c>
    </row>
    <row r="365" spans="1:11" x14ac:dyDescent="0.25">
      <c r="A365" s="1">
        <v>20049</v>
      </c>
      <c r="B365" s="9" t="s">
        <v>1003</v>
      </c>
      <c r="C365" s="1">
        <v>3</v>
      </c>
      <c r="D365" s="1">
        <v>4</v>
      </c>
      <c r="E365" s="1">
        <v>105</v>
      </c>
      <c r="F365" s="1">
        <v>105</v>
      </c>
      <c r="G365" s="1">
        <v>110</v>
      </c>
      <c r="H365" s="1">
        <v>110</v>
      </c>
      <c r="I365" s="1">
        <v>115</v>
      </c>
      <c r="J365" s="1">
        <v>0</v>
      </c>
      <c r="K365">
        <v>110</v>
      </c>
    </row>
    <row r="366" spans="1:11" x14ac:dyDescent="0.25">
      <c r="A366" s="1">
        <v>20051</v>
      </c>
      <c r="B366" s="9" t="s">
        <v>1017</v>
      </c>
      <c r="C366" s="1">
        <v>3</v>
      </c>
      <c r="D366" s="1">
        <v>4</v>
      </c>
      <c r="E366" s="1">
        <v>105</v>
      </c>
      <c r="F366" s="1">
        <v>110</v>
      </c>
      <c r="G366" s="1">
        <v>100</v>
      </c>
      <c r="H366" s="1">
        <v>95</v>
      </c>
      <c r="I366" s="1">
        <v>100</v>
      </c>
      <c r="J366" s="1">
        <v>0</v>
      </c>
      <c r="K366">
        <v>115</v>
      </c>
    </row>
    <row r="367" spans="1:11" x14ac:dyDescent="0.25">
      <c r="A367" s="1">
        <v>20053</v>
      </c>
      <c r="B367" s="9" t="s">
        <v>355</v>
      </c>
      <c r="C367" s="1">
        <v>3</v>
      </c>
      <c r="D367" s="1">
        <v>6</v>
      </c>
      <c r="E367" s="1">
        <v>105</v>
      </c>
      <c r="F367" s="1">
        <v>145</v>
      </c>
      <c r="G367" s="1">
        <v>90</v>
      </c>
      <c r="H367" s="1">
        <v>110</v>
      </c>
      <c r="I367" s="1">
        <v>80</v>
      </c>
      <c r="J367" s="1">
        <v>0</v>
      </c>
      <c r="K367">
        <v>130</v>
      </c>
    </row>
    <row r="368" spans="1:11" x14ac:dyDescent="0.25">
      <c r="A368" s="1">
        <v>20055</v>
      </c>
      <c r="B368" s="9" t="s">
        <v>356</v>
      </c>
      <c r="C368" s="1">
        <v>4</v>
      </c>
      <c r="D368" s="1">
        <v>5</v>
      </c>
      <c r="E368" s="1">
        <v>100</v>
      </c>
      <c r="F368" s="1">
        <v>110</v>
      </c>
      <c r="G368" s="1">
        <v>120</v>
      </c>
      <c r="H368" s="1">
        <v>120</v>
      </c>
      <c r="I368" s="1">
        <v>120</v>
      </c>
      <c r="J368" s="1">
        <v>0</v>
      </c>
      <c r="K368">
        <v>115</v>
      </c>
    </row>
    <row r="369" spans="1:11" x14ac:dyDescent="0.25">
      <c r="A369" s="1">
        <v>20056</v>
      </c>
      <c r="B369" s="9" t="s">
        <v>357</v>
      </c>
      <c r="C369" s="1">
        <v>4</v>
      </c>
      <c r="D369" s="1">
        <v>5</v>
      </c>
      <c r="E369" s="1">
        <v>100</v>
      </c>
      <c r="F369" s="1">
        <v>118</v>
      </c>
      <c r="G369" s="1">
        <v>120</v>
      </c>
      <c r="H369" s="1">
        <v>125</v>
      </c>
      <c r="I369" s="1">
        <v>115</v>
      </c>
      <c r="J369" s="1">
        <v>0</v>
      </c>
      <c r="K369">
        <v>110</v>
      </c>
    </row>
    <row r="370" spans="1:11" x14ac:dyDescent="0.25">
      <c r="A370" s="1">
        <v>20057</v>
      </c>
      <c r="B370" s="9" t="s">
        <v>358</v>
      </c>
      <c r="C370" s="1">
        <v>4</v>
      </c>
      <c r="D370" s="1">
        <v>5</v>
      </c>
      <c r="E370" s="1">
        <v>95</v>
      </c>
      <c r="F370" s="1">
        <v>106</v>
      </c>
      <c r="G370" s="1">
        <v>115</v>
      </c>
      <c r="H370" s="1">
        <v>125</v>
      </c>
      <c r="I370" s="1">
        <v>120</v>
      </c>
      <c r="J370" s="1">
        <v>0</v>
      </c>
      <c r="K370">
        <v>120</v>
      </c>
    </row>
    <row r="371" spans="1:11" x14ac:dyDescent="0.25">
      <c r="A371" s="1">
        <v>20060</v>
      </c>
      <c r="B371" s="9" t="s">
        <v>359</v>
      </c>
      <c r="C371" s="1">
        <v>4</v>
      </c>
      <c r="D371" s="1">
        <v>5</v>
      </c>
      <c r="E371" s="1">
        <v>120</v>
      </c>
      <c r="F371" s="1">
        <v>94</v>
      </c>
      <c r="G371" s="1">
        <v>115</v>
      </c>
      <c r="H371" s="1">
        <v>125</v>
      </c>
      <c r="I371" s="1">
        <v>125</v>
      </c>
      <c r="J371" s="1">
        <v>0</v>
      </c>
      <c r="K371">
        <v>110</v>
      </c>
    </row>
    <row r="372" spans="1:11" x14ac:dyDescent="0.25">
      <c r="A372" s="1">
        <v>20061</v>
      </c>
      <c r="B372" s="9" t="s">
        <v>1004</v>
      </c>
      <c r="C372" s="1">
        <v>4</v>
      </c>
      <c r="D372" s="1">
        <v>4</v>
      </c>
      <c r="E372" s="1">
        <v>115</v>
      </c>
      <c r="F372" s="1">
        <v>125</v>
      </c>
      <c r="G372" s="1">
        <v>96</v>
      </c>
      <c r="H372" s="1">
        <v>115</v>
      </c>
      <c r="I372" s="1">
        <v>85</v>
      </c>
      <c r="J372" s="1">
        <v>0</v>
      </c>
      <c r="K372">
        <v>120</v>
      </c>
    </row>
    <row r="373" spans="1:11" x14ac:dyDescent="0.25">
      <c r="A373" s="1">
        <v>20063</v>
      </c>
      <c r="B373" s="9" t="s">
        <v>1018</v>
      </c>
      <c r="C373" s="1">
        <v>4</v>
      </c>
      <c r="D373" s="1">
        <v>4</v>
      </c>
      <c r="E373" s="1">
        <v>100</v>
      </c>
      <c r="F373" s="1">
        <v>125</v>
      </c>
      <c r="G373" s="1">
        <v>95</v>
      </c>
      <c r="H373" s="1">
        <v>125</v>
      </c>
      <c r="I373" s="1">
        <v>90</v>
      </c>
      <c r="J373" s="1">
        <v>0</v>
      </c>
      <c r="K373">
        <v>120</v>
      </c>
    </row>
    <row r="374" spans="1:11" x14ac:dyDescent="0.25">
      <c r="A374" s="1">
        <v>20064</v>
      </c>
      <c r="B374" s="9" t="s">
        <v>1019</v>
      </c>
      <c r="C374" s="1">
        <v>4</v>
      </c>
      <c r="D374" s="1">
        <v>5</v>
      </c>
      <c r="E374" s="1">
        <v>115</v>
      </c>
      <c r="F374" s="1">
        <v>114</v>
      </c>
      <c r="G374" s="1">
        <v>114</v>
      </c>
      <c r="H374" s="1">
        <v>120</v>
      </c>
      <c r="I374" s="1">
        <v>110</v>
      </c>
      <c r="J374" s="1">
        <v>0</v>
      </c>
      <c r="K374">
        <v>110</v>
      </c>
    </row>
    <row r="375" spans="1:11" x14ac:dyDescent="0.25">
      <c r="A375" s="1">
        <v>20065</v>
      </c>
      <c r="B375" s="9" t="s">
        <v>360</v>
      </c>
      <c r="C375" s="1">
        <v>4</v>
      </c>
      <c r="D375" s="1">
        <v>6</v>
      </c>
      <c r="E375" s="1">
        <v>110</v>
      </c>
      <c r="F375" s="1">
        <v>118</v>
      </c>
      <c r="G375" s="1">
        <v>116</v>
      </c>
      <c r="H375" s="1">
        <v>120</v>
      </c>
      <c r="I375" s="1">
        <v>110</v>
      </c>
      <c r="J375" s="1">
        <v>0</v>
      </c>
      <c r="K375">
        <v>118</v>
      </c>
    </row>
    <row r="376" spans="1:11" x14ac:dyDescent="0.25">
      <c r="A376" s="1">
        <v>20071</v>
      </c>
      <c r="B376" s="9" t="s">
        <v>1005</v>
      </c>
      <c r="C376" s="1">
        <v>4</v>
      </c>
      <c r="D376" s="1">
        <v>4</v>
      </c>
      <c r="E376" s="1">
        <v>112</v>
      </c>
      <c r="F376" s="1">
        <v>108</v>
      </c>
      <c r="G376" s="1">
        <v>95</v>
      </c>
      <c r="H376" s="1">
        <v>105</v>
      </c>
      <c r="I376" s="1">
        <v>95</v>
      </c>
      <c r="J376" s="1">
        <v>0</v>
      </c>
      <c r="K376">
        <v>130</v>
      </c>
    </row>
    <row r="377" spans="1:11" x14ac:dyDescent="0.25">
      <c r="A377" s="1">
        <v>20075</v>
      </c>
      <c r="B377" s="9" t="s">
        <v>361</v>
      </c>
      <c r="C377" s="1">
        <v>5</v>
      </c>
      <c r="D377" s="1">
        <v>5</v>
      </c>
      <c r="E377" s="1">
        <v>95</v>
      </c>
      <c r="F377" s="1">
        <v>118</v>
      </c>
      <c r="G377" s="1">
        <v>105</v>
      </c>
      <c r="H377" s="1">
        <v>125</v>
      </c>
      <c r="I377" s="1">
        <v>125</v>
      </c>
      <c r="J377" s="1">
        <v>0</v>
      </c>
      <c r="K377">
        <v>125</v>
      </c>
    </row>
    <row r="378" spans="1:11" x14ac:dyDescent="0.25">
      <c r="A378" s="1">
        <v>20081</v>
      </c>
      <c r="B378" s="9" t="s">
        <v>362</v>
      </c>
      <c r="C378" s="1">
        <v>5</v>
      </c>
      <c r="D378" s="1">
        <v>4</v>
      </c>
      <c r="E378" s="1">
        <v>105</v>
      </c>
      <c r="F378" s="1">
        <v>138</v>
      </c>
      <c r="G378" s="1">
        <v>90</v>
      </c>
      <c r="H378" s="1">
        <v>120</v>
      </c>
      <c r="I378" s="1">
        <v>105</v>
      </c>
      <c r="J378" s="1">
        <v>0</v>
      </c>
      <c r="K378">
        <v>100</v>
      </c>
    </row>
    <row r="379" spans="1:11" x14ac:dyDescent="0.25">
      <c r="A379" s="1">
        <v>20089</v>
      </c>
      <c r="B379" s="9" t="s">
        <v>865</v>
      </c>
      <c r="C379" s="1">
        <v>5</v>
      </c>
      <c r="D379" s="1">
        <v>4</v>
      </c>
      <c r="E379" s="1">
        <v>105</v>
      </c>
      <c r="F379" s="1">
        <v>115</v>
      </c>
      <c r="G379" s="1">
        <v>95</v>
      </c>
      <c r="H379" s="1">
        <v>130</v>
      </c>
      <c r="I379" s="1">
        <v>110</v>
      </c>
      <c r="J379" s="1">
        <v>0</v>
      </c>
      <c r="K379">
        <v>120</v>
      </c>
    </row>
    <row r="380" spans="1:11" x14ac:dyDescent="0.25">
      <c r="A380" s="1">
        <v>20091</v>
      </c>
      <c r="B380" s="9" t="s">
        <v>363</v>
      </c>
      <c r="C380" s="1">
        <v>1</v>
      </c>
      <c r="D380" s="1">
        <v>4</v>
      </c>
      <c r="E380" s="1">
        <v>100</v>
      </c>
      <c r="F380" s="1">
        <v>105</v>
      </c>
      <c r="G380" s="1">
        <v>110</v>
      </c>
      <c r="H380" s="1">
        <v>110</v>
      </c>
      <c r="I380" s="1">
        <v>102</v>
      </c>
      <c r="J380" s="1">
        <v>0</v>
      </c>
      <c r="K380">
        <v>120</v>
      </c>
    </row>
    <row r="381" spans="1:11" x14ac:dyDescent="0.25">
      <c r="A381" s="1">
        <v>20093</v>
      </c>
      <c r="B381" s="9" t="s">
        <v>364</v>
      </c>
      <c r="C381" s="1">
        <v>2</v>
      </c>
      <c r="D381" s="1">
        <v>4</v>
      </c>
      <c r="E381" s="1">
        <v>85</v>
      </c>
      <c r="F381" s="1">
        <v>90</v>
      </c>
      <c r="G381" s="1">
        <v>90</v>
      </c>
      <c r="H381" s="1">
        <v>110</v>
      </c>
      <c r="I381" s="1">
        <v>125</v>
      </c>
      <c r="J381" s="1">
        <v>0</v>
      </c>
      <c r="K381">
        <v>130</v>
      </c>
    </row>
    <row r="382" spans="1:11" x14ac:dyDescent="0.25">
      <c r="A382" s="1">
        <v>20094</v>
      </c>
      <c r="B382" s="9" t="s">
        <v>862</v>
      </c>
      <c r="C382" s="1">
        <v>2</v>
      </c>
      <c r="D382" s="1">
        <v>4</v>
      </c>
      <c r="E382" s="1">
        <v>100</v>
      </c>
      <c r="F382" s="1">
        <v>105</v>
      </c>
      <c r="G382" s="1">
        <v>120</v>
      </c>
      <c r="H382" s="1">
        <v>95</v>
      </c>
      <c r="I382" s="1">
        <v>113</v>
      </c>
      <c r="J382" s="1">
        <v>0</v>
      </c>
      <c r="K382">
        <v>105</v>
      </c>
    </row>
    <row r="383" spans="1:11" x14ac:dyDescent="0.25">
      <c r="A383" s="1">
        <v>20095</v>
      </c>
      <c r="B383" s="9" t="s">
        <v>1020</v>
      </c>
      <c r="C383" s="1">
        <v>3</v>
      </c>
      <c r="D383" s="1">
        <v>4</v>
      </c>
      <c r="E383" s="1">
        <v>115</v>
      </c>
      <c r="F383" s="1">
        <v>105</v>
      </c>
      <c r="G383" s="1">
        <v>108</v>
      </c>
      <c r="H383" s="1">
        <v>100</v>
      </c>
      <c r="I383" s="1">
        <v>110</v>
      </c>
      <c r="J383" s="1">
        <v>0</v>
      </c>
      <c r="K383">
        <v>120</v>
      </c>
    </row>
    <row r="384" spans="1:11" x14ac:dyDescent="0.25">
      <c r="A384" s="1">
        <v>20097</v>
      </c>
      <c r="B384" s="9" t="s">
        <v>365</v>
      </c>
      <c r="C384" s="1">
        <v>1</v>
      </c>
      <c r="D384" s="1">
        <v>6</v>
      </c>
      <c r="E384" s="1">
        <v>118</v>
      </c>
      <c r="F384" s="1">
        <v>116</v>
      </c>
      <c r="G384" s="1">
        <v>135</v>
      </c>
      <c r="H384" s="1">
        <v>115</v>
      </c>
      <c r="I384" s="1">
        <v>102</v>
      </c>
      <c r="J384" s="1">
        <v>0</v>
      </c>
      <c r="K384">
        <v>115</v>
      </c>
    </row>
    <row r="385" spans="1:11" x14ac:dyDescent="0.25">
      <c r="A385" s="1">
        <v>20101</v>
      </c>
      <c r="B385" s="9" t="s">
        <v>366</v>
      </c>
      <c r="C385" s="1">
        <v>2</v>
      </c>
      <c r="D385" s="1">
        <v>5</v>
      </c>
      <c r="E385" s="1">
        <v>100</v>
      </c>
      <c r="F385" s="1">
        <v>105</v>
      </c>
      <c r="G385" s="1">
        <v>110</v>
      </c>
      <c r="H385" s="1">
        <v>135</v>
      </c>
      <c r="I385" s="1">
        <v>130</v>
      </c>
      <c r="J385" s="1">
        <v>0</v>
      </c>
      <c r="K385">
        <v>110</v>
      </c>
    </row>
    <row r="386" spans="1:11" x14ac:dyDescent="0.25">
      <c r="A386" s="1">
        <v>20103</v>
      </c>
      <c r="B386" s="9" t="s">
        <v>367</v>
      </c>
      <c r="C386" s="1">
        <v>2</v>
      </c>
      <c r="D386" s="1">
        <v>5</v>
      </c>
      <c r="E386" s="1">
        <v>108</v>
      </c>
      <c r="F386" s="1">
        <v>105</v>
      </c>
      <c r="G386" s="1">
        <v>105</v>
      </c>
      <c r="H386" s="1">
        <v>110</v>
      </c>
      <c r="I386" s="1">
        <v>120</v>
      </c>
      <c r="J386" s="1">
        <v>0</v>
      </c>
      <c r="K386">
        <v>110</v>
      </c>
    </row>
    <row r="387" spans="1:11" x14ac:dyDescent="0.25">
      <c r="A387" s="1">
        <v>20114</v>
      </c>
      <c r="B387" s="9" t="s">
        <v>1011</v>
      </c>
      <c r="C387" s="1">
        <v>1</v>
      </c>
      <c r="D387" s="1">
        <v>6</v>
      </c>
      <c r="E387" s="1">
        <v>120</v>
      </c>
      <c r="F387" s="1">
        <v>96</v>
      </c>
      <c r="G387" s="1">
        <v>90</v>
      </c>
      <c r="H387" s="1">
        <v>125</v>
      </c>
      <c r="I387" s="1">
        <v>110</v>
      </c>
      <c r="J387" s="1">
        <v>0</v>
      </c>
      <c r="K387">
        <v>140</v>
      </c>
    </row>
    <row r="388" spans="1:11" x14ac:dyDescent="0.25">
      <c r="A388" s="1">
        <v>20122</v>
      </c>
      <c r="B388" s="9" t="s">
        <v>1006</v>
      </c>
      <c r="C388" s="1">
        <v>4</v>
      </c>
      <c r="D388" s="1">
        <v>6</v>
      </c>
      <c r="E388" s="1">
        <v>110</v>
      </c>
      <c r="F388" s="1">
        <v>105</v>
      </c>
      <c r="G388" s="1">
        <v>145</v>
      </c>
      <c r="H388" s="1">
        <v>115</v>
      </c>
      <c r="I388" s="1">
        <v>105</v>
      </c>
      <c r="J388" s="1">
        <v>0</v>
      </c>
      <c r="K388">
        <v>114</v>
      </c>
    </row>
    <row r="389" spans="1:11" x14ac:dyDescent="0.25">
      <c r="A389" s="1">
        <v>20124</v>
      </c>
      <c r="B389" s="9" t="s">
        <v>1007</v>
      </c>
      <c r="C389" s="1">
        <v>3</v>
      </c>
      <c r="D389" s="1">
        <v>4</v>
      </c>
      <c r="E389" s="1">
        <v>100</v>
      </c>
      <c r="F389" s="1">
        <v>115</v>
      </c>
      <c r="G389" s="1">
        <v>120</v>
      </c>
      <c r="H389" s="1">
        <v>110</v>
      </c>
      <c r="I389" s="1">
        <v>90</v>
      </c>
      <c r="J389" s="1">
        <v>0</v>
      </c>
      <c r="K389">
        <v>115</v>
      </c>
    </row>
    <row r="390" spans="1:11" x14ac:dyDescent="0.25">
      <c r="A390" s="1">
        <v>20136</v>
      </c>
      <c r="B390" s="9" t="s">
        <v>1008</v>
      </c>
      <c r="C390" s="1">
        <v>2</v>
      </c>
      <c r="D390" s="1">
        <v>5</v>
      </c>
      <c r="E390" s="1">
        <v>105</v>
      </c>
      <c r="F390" s="1">
        <v>103</v>
      </c>
      <c r="G390" s="1">
        <v>115</v>
      </c>
      <c r="H390" s="1">
        <v>115</v>
      </c>
      <c r="I390" s="1">
        <v>125</v>
      </c>
      <c r="J390" s="1">
        <v>0</v>
      </c>
      <c r="K390">
        <v>110</v>
      </c>
    </row>
    <row r="391" spans="1:11" x14ac:dyDescent="0.25">
      <c r="A391" s="1">
        <v>20143</v>
      </c>
      <c r="B391" s="9" t="s">
        <v>999</v>
      </c>
      <c r="C391" s="1">
        <v>2</v>
      </c>
      <c r="D391" s="1">
        <v>6</v>
      </c>
      <c r="E391" s="1">
        <v>115</v>
      </c>
      <c r="F391" s="1">
        <v>110</v>
      </c>
      <c r="G391" s="1">
        <v>125</v>
      </c>
      <c r="H391" s="1">
        <v>130</v>
      </c>
      <c r="I391" s="1">
        <v>125</v>
      </c>
      <c r="J391" s="1">
        <v>0</v>
      </c>
      <c r="K391">
        <v>105</v>
      </c>
    </row>
    <row r="392" spans="1:11" x14ac:dyDescent="0.25">
      <c r="A392" s="1">
        <v>20152</v>
      </c>
      <c r="B392" s="9" t="s">
        <v>844</v>
      </c>
      <c r="C392" s="1">
        <v>6</v>
      </c>
      <c r="D392" s="1">
        <v>4</v>
      </c>
      <c r="E392" s="1">
        <v>120</v>
      </c>
      <c r="F392" s="1">
        <v>125</v>
      </c>
      <c r="G392" s="1">
        <v>100</v>
      </c>
      <c r="H392" s="1">
        <v>108</v>
      </c>
      <c r="I392" s="1">
        <v>95</v>
      </c>
      <c r="J392" s="1">
        <v>115</v>
      </c>
      <c r="K392">
        <v>100</v>
      </c>
    </row>
    <row r="393" spans="1:11" x14ac:dyDescent="0.25">
      <c r="A393" s="1">
        <v>20154</v>
      </c>
      <c r="B393" s="9" t="s">
        <v>832</v>
      </c>
      <c r="C393" s="1">
        <v>6</v>
      </c>
      <c r="D393" s="1">
        <v>4</v>
      </c>
      <c r="E393" s="1">
        <v>120</v>
      </c>
      <c r="F393" s="1">
        <v>115</v>
      </c>
      <c r="G393" s="1">
        <v>115</v>
      </c>
      <c r="H393" s="1">
        <v>110</v>
      </c>
      <c r="I393" s="1">
        <v>90</v>
      </c>
      <c r="J393" s="1">
        <v>115</v>
      </c>
      <c r="K393">
        <v>95</v>
      </c>
    </row>
    <row r="394" spans="1:11" x14ac:dyDescent="0.25">
      <c r="A394" s="1">
        <v>20161</v>
      </c>
      <c r="B394" s="9" t="s">
        <v>855</v>
      </c>
      <c r="C394" s="1">
        <v>6</v>
      </c>
      <c r="D394" s="1">
        <v>5</v>
      </c>
      <c r="E394" s="1">
        <v>120</v>
      </c>
      <c r="F394" s="1">
        <v>120</v>
      </c>
      <c r="G394" s="1">
        <v>105</v>
      </c>
      <c r="H394" s="1">
        <v>110</v>
      </c>
      <c r="I394" s="1">
        <v>115</v>
      </c>
      <c r="J394" s="1">
        <v>115</v>
      </c>
      <c r="K394">
        <v>105</v>
      </c>
    </row>
    <row r="395" spans="1:11" x14ac:dyDescent="0.25">
      <c r="A395" s="1">
        <v>20178</v>
      </c>
      <c r="B395" s="9" t="s">
        <v>1000</v>
      </c>
      <c r="C395" s="1">
        <v>2</v>
      </c>
      <c r="D395" s="1">
        <v>4</v>
      </c>
      <c r="E395" s="1">
        <v>120</v>
      </c>
      <c r="F395" s="1">
        <v>102</v>
      </c>
      <c r="G395" s="1">
        <v>100</v>
      </c>
      <c r="H395" s="1">
        <v>110</v>
      </c>
      <c r="I395" s="1">
        <v>98</v>
      </c>
      <c r="J395" s="1">
        <v>0</v>
      </c>
      <c r="K395">
        <v>112</v>
      </c>
    </row>
    <row r="396" spans="1:11" x14ac:dyDescent="0.25">
      <c r="A396" s="1">
        <v>20199</v>
      </c>
      <c r="B396" s="9" t="s">
        <v>1009</v>
      </c>
      <c r="C396" s="1">
        <v>5</v>
      </c>
      <c r="D396" s="1">
        <v>5</v>
      </c>
      <c r="E396" s="1">
        <v>108</v>
      </c>
      <c r="F396" s="1">
        <v>128</v>
      </c>
      <c r="G396" s="1">
        <v>115</v>
      </c>
      <c r="H396" s="1">
        <v>122</v>
      </c>
      <c r="I396" s="1">
        <v>105</v>
      </c>
      <c r="J396" s="1">
        <v>0</v>
      </c>
      <c r="K396">
        <v>105</v>
      </c>
    </row>
    <row r="397" spans="1:11" x14ac:dyDescent="0.25">
      <c r="A397" s="1">
        <v>20221</v>
      </c>
      <c r="B397" s="9" t="s">
        <v>1010</v>
      </c>
      <c r="C397" s="1">
        <v>1</v>
      </c>
      <c r="D397" s="1">
        <v>4</v>
      </c>
      <c r="E397" s="1">
        <v>108</v>
      </c>
      <c r="F397" s="1">
        <v>130</v>
      </c>
      <c r="G397" s="1">
        <v>111</v>
      </c>
      <c r="H397" s="1">
        <v>115</v>
      </c>
      <c r="I397" s="1">
        <v>130</v>
      </c>
      <c r="J397" s="1">
        <v>0</v>
      </c>
      <c r="K397">
        <v>105</v>
      </c>
    </row>
    <row r="398" spans="1:11" x14ac:dyDescent="0.25">
      <c r="A398" s="1">
        <v>20252</v>
      </c>
      <c r="B398" s="9" t="s">
        <v>368</v>
      </c>
      <c r="C398" s="1">
        <v>3</v>
      </c>
      <c r="D398" s="1">
        <v>5</v>
      </c>
      <c r="E398" s="1">
        <v>100</v>
      </c>
      <c r="F398" s="1">
        <v>142</v>
      </c>
      <c r="G398" s="1">
        <v>92</v>
      </c>
      <c r="H398" s="1">
        <v>118</v>
      </c>
      <c r="I398" s="1">
        <v>82</v>
      </c>
      <c r="J398" s="1">
        <v>0</v>
      </c>
      <c r="K398">
        <v>128</v>
      </c>
    </row>
  </sheetData>
  <autoFilter ref="A1:K398" xr:uid="{23923B49-D07E-4AD1-BC19-03C06C0F5428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V17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5" max="25" width="18.7109375" bestFit="1" customWidth="1"/>
  </cols>
  <sheetData>
    <row r="1" spans="1:22" x14ac:dyDescent="0.25">
      <c r="A1" s="57" t="s">
        <v>25</v>
      </c>
      <c r="B1" s="57" t="s">
        <v>425</v>
      </c>
      <c r="C1" s="57" t="s">
        <v>297</v>
      </c>
      <c r="D1" s="57" t="s">
        <v>415</v>
      </c>
      <c r="E1" s="57" t="s">
        <v>61</v>
      </c>
      <c r="F1" s="57" t="s">
        <v>37</v>
      </c>
      <c r="G1" s="57" t="s">
        <v>38</v>
      </c>
      <c r="H1" s="57" t="s">
        <v>39</v>
      </c>
      <c r="I1" s="57" t="s">
        <v>416</v>
      </c>
      <c r="J1" s="57" t="s">
        <v>40</v>
      </c>
      <c r="K1" s="57" t="s">
        <v>417</v>
      </c>
      <c r="L1" s="57" t="s">
        <v>418</v>
      </c>
      <c r="M1" s="57" t="s">
        <v>298</v>
      </c>
      <c r="N1" s="57" t="s">
        <v>381</v>
      </c>
      <c r="O1" s="57" t="s">
        <v>419</v>
      </c>
      <c r="P1" s="57" t="s">
        <v>420</v>
      </c>
      <c r="Q1" s="57" t="s">
        <v>421</v>
      </c>
      <c r="R1" s="57" t="s">
        <v>422</v>
      </c>
      <c r="S1" s="57" t="s">
        <v>423</v>
      </c>
      <c r="T1" s="57" t="s">
        <v>424</v>
      </c>
      <c r="U1" s="57" t="s">
        <v>426</v>
      </c>
      <c r="V1" s="57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845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879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850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820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821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822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849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854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851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833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862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1017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1016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940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834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835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823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865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1018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856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1002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1019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1004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881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882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884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885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1023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880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883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886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857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839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852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858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859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842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866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867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1015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1020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824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825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868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860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830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869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876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861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847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843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1010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832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840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870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871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872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1006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1007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999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855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873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874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841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841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841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826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826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826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1005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844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1008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827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2" x14ac:dyDescent="0.25">
      <c r="A177" s="1">
        <v>210</v>
      </c>
      <c r="B177" t="s">
        <v>875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" t="s">
        <v>623</v>
      </c>
    </row>
    <row r="178" spans="1:22" x14ac:dyDescent="0.25">
      <c r="A178" s="1">
        <v>211</v>
      </c>
      <c r="B178" t="s">
        <v>837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" t="s">
        <v>624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57" t="s">
        <v>25</v>
      </c>
      <c r="B1" s="57" t="s">
        <v>425</v>
      </c>
      <c r="C1" s="105" t="s">
        <v>61</v>
      </c>
      <c r="D1" s="57" t="s">
        <v>691</v>
      </c>
      <c r="E1" s="105" t="s">
        <v>742</v>
      </c>
      <c r="F1" s="105" t="s">
        <v>743</v>
      </c>
      <c r="G1" s="105" t="s">
        <v>744</v>
      </c>
      <c r="H1" s="105" t="s">
        <v>745</v>
      </c>
      <c r="I1" s="105" t="s">
        <v>746</v>
      </c>
      <c r="J1" s="105" t="s">
        <v>415</v>
      </c>
      <c r="K1" s="105" t="s">
        <v>693</v>
      </c>
    </row>
    <row r="2" spans="1:11" x14ac:dyDescent="0.25">
      <c r="A2" s="1">
        <v>1</v>
      </c>
      <c r="B2" t="s">
        <v>757</v>
      </c>
      <c r="C2" s="100">
        <v>2</v>
      </c>
      <c r="D2" t="s">
        <v>694</v>
      </c>
      <c r="E2" s="101">
        <v>0</v>
      </c>
      <c r="F2" s="101">
        <v>100</v>
      </c>
      <c r="G2" s="101">
        <v>500</v>
      </c>
      <c r="H2" s="101">
        <v>1500</v>
      </c>
      <c r="I2" s="101">
        <v>3000</v>
      </c>
      <c r="J2" s="100">
        <v>1</v>
      </c>
      <c r="K2" s="100">
        <v>0</v>
      </c>
    </row>
    <row r="3" spans="1:11" x14ac:dyDescent="0.25">
      <c r="A3" s="1">
        <v>2</v>
      </c>
      <c r="B3" t="s">
        <v>747</v>
      </c>
      <c r="C3" s="100">
        <v>2</v>
      </c>
      <c r="D3" t="s">
        <v>695</v>
      </c>
      <c r="E3" s="101">
        <v>0</v>
      </c>
      <c r="F3" s="101">
        <v>100</v>
      </c>
      <c r="G3" s="101">
        <v>500</v>
      </c>
      <c r="H3" s="101">
        <v>1500</v>
      </c>
      <c r="I3" s="101">
        <v>3000</v>
      </c>
      <c r="J3" s="100">
        <v>1</v>
      </c>
      <c r="K3" s="100">
        <v>0</v>
      </c>
    </row>
    <row r="4" spans="1:11" x14ac:dyDescent="0.25">
      <c r="A4" s="1">
        <v>3</v>
      </c>
      <c r="B4" t="s">
        <v>748</v>
      </c>
      <c r="C4" s="100">
        <v>3</v>
      </c>
      <c r="D4" t="s">
        <v>696</v>
      </c>
      <c r="E4" s="101">
        <v>0</v>
      </c>
      <c r="F4" s="101">
        <v>100</v>
      </c>
      <c r="G4" s="101">
        <v>500</v>
      </c>
      <c r="H4" s="101">
        <v>1500</v>
      </c>
      <c r="I4" s="101">
        <v>3000</v>
      </c>
      <c r="J4" s="100">
        <v>1</v>
      </c>
      <c r="K4" s="100">
        <v>0</v>
      </c>
    </row>
    <row r="5" spans="1:11" x14ac:dyDescent="0.25">
      <c r="A5" s="1">
        <v>4</v>
      </c>
      <c r="B5" t="s">
        <v>749</v>
      </c>
      <c r="C5" s="100">
        <v>3</v>
      </c>
      <c r="D5" t="s">
        <v>697</v>
      </c>
      <c r="E5" s="101">
        <v>0</v>
      </c>
      <c r="F5" s="101">
        <v>100</v>
      </c>
      <c r="G5" s="101">
        <v>500</v>
      </c>
      <c r="H5" s="101">
        <v>1500</v>
      </c>
      <c r="I5" s="101">
        <v>3000</v>
      </c>
      <c r="J5" s="100">
        <v>1</v>
      </c>
      <c r="K5" s="100">
        <v>0</v>
      </c>
    </row>
    <row r="6" spans="1:11" x14ac:dyDescent="0.25">
      <c r="A6" s="1">
        <v>5</v>
      </c>
      <c r="B6" t="s">
        <v>750</v>
      </c>
      <c r="C6" s="100">
        <v>5</v>
      </c>
      <c r="D6" t="s">
        <v>698</v>
      </c>
      <c r="E6" s="101">
        <v>0</v>
      </c>
      <c r="F6" s="101">
        <v>100</v>
      </c>
      <c r="G6" s="101">
        <v>500</v>
      </c>
      <c r="H6" s="101">
        <v>1500</v>
      </c>
      <c r="I6" s="101">
        <v>3000</v>
      </c>
      <c r="J6" s="100">
        <v>2</v>
      </c>
      <c r="K6" s="100">
        <v>0</v>
      </c>
    </row>
    <row r="7" spans="1:11" x14ac:dyDescent="0.25">
      <c r="A7" s="1">
        <v>6</v>
      </c>
      <c r="B7" t="s">
        <v>751</v>
      </c>
      <c r="C7" s="100">
        <v>3</v>
      </c>
      <c r="D7" t="s">
        <v>699</v>
      </c>
      <c r="E7" s="101">
        <v>0</v>
      </c>
      <c r="F7" s="101">
        <v>100</v>
      </c>
      <c r="G7" s="101">
        <v>500</v>
      </c>
      <c r="H7" s="101">
        <v>1500</v>
      </c>
      <c r="I7" s="101">
        <v>3000</v>
      </c>
      <c r="J7" s="100">
        <v>1</v>
      </c>
      <c r="K7" s="100">
        <v>0</v>
      </c>
    </row>
    <row r="8" spans="1:11" x14ac:dyDescent="0.25">
      <c r="A8" s="1">
        <v>7</v>
      </c>
      <c r="B8" t="s">
        <v>752</v>
      </c>
      <c r="C8" s="100">
        <v>4</v>
      </c>
      <c r="D8" t="s">
        <v>700</v>
      </c>
      <c r="E8" s="101">
        <v>0</v>
      </c>
      <c r="F8" s="101">
        <v>100</v>
      </c>
      <c r="G8" s="101">
        <v>500</v>
      </c>
      <c r="H8" s="101">
        <v>1500</v>
      </c>
      <c r="I8" s="101">
        <v>3000</v>
      </c>
      <c r="J8" s="100">
        <v>1</v>
      </c>
      <c r="K8" s="100">
        <v>0</v>
      </c>
    </row>
    <row r="9" spans="1:11" x14ac:dyDescent="0.25">
      <c r="A9" s="1">
        <v>8</v>
      </c>
      <c r="B9" t="s">
        <v>753</v>
      </c>
      <c r="C9" s="100">
        <v>4</v>
      </c>
      <c r="D9" t="s">
        <v>701</v>
      </c>
      <c r="E9" s="101">
        <v>0</v>
      </c>
      <c r="F9" s="101">
        <v>100</v>
      </c>
      <c r="G9" s="101">
        <v>500</v>
      </c>
      <c r="H9" s="101">
        <v>1500</v>
      </c>
      <c r="I9" s="101">
        <v>3000</v>
      </c>
      <c r="J9" s="100">
        <v>1</v>
      </c>
      <c r="K9" s="100">
        <v>0</v>
      </c>
    </row>
    <row r="10" spans="1:11" x14ac:dyDescent="0.25">
      <c r="A10" s="1">
        <v>9</v>
      </c>
      <c r="B10" t="s">
        <v>754</v>
      </c>
      <c r="C10" s="100">
        <v>4</v>
      </c>
      <c r="D10" t="s">
        <v>702</v>
      </c>
      <c r="E10" s="101">
        <v>0</v>
      </c>
      <c r="F10" s="101">
        <v>100</v>
      </c>
      <c r="G10" s="101">
        <v>500</v>
      </c>
      <c r="H10" s="101">
        <v>1500</v>
      </c>
      <c r="I10" s="101">
        <v>3000</v>
      </c>
      <c r="J10" s="100">
        <v>1</v>
      </c>
      <c r="K10" s="100">
        <v>0</v>
      </c>
    </row>
    <row r="11" spans="1:11" x14ac:dyDescent="0.25">
      <c r="A11" s="1">
        <v>10</v>
      </c>
      <c r="B11" t="s">
        <v>755</v>
      </c>
      <c r="C11" s="100">
        <v>5</v>
      </c>
      <c r="D11" t="s">
        <v>703</v>
      </c>
      <c r="E11" s="101">
        <v>0</v>
      </c>
      <c r="F11" s="101">
        <v>100</v>
      </c>
      <c r="G11" s="101">
        <v>500</v>
      </c>
      <c r="H11" s="101">
        <v>1500</v>
      </c>
      <c r="I11" s="101">
        <v>3000</v>
      </c>
      <c r="J11" s="100">
        <v>2</v>
      </c>
      <c r="K11" s="100">
        <v>0</v>
      </c>
    </row>
    <row r="12" spans="1:11" x14ac:dyDescent="0.25">
      <c r="A12" s="1">
        <v>11</v>
      </c>
      <c r="B12" t="s">
        <v>756</v>
      </c>
      <c r="C12" s="100">
        <v>5</v>
      </c>
      <c r="D12" t="s">
        <v>704</v>
      </c>
      <c r="E12" s="101">
        <v>0</v>
      </c>
      <c r="F12" s="101">
        <v>100</v>
      </c>
      <c r="G12" s="101">
        <v>500</v>
      </c>
      <c r="H12" s="101">
        <v>1500</v>
      </c>
      <c r="I12" s="101">
        <v>3000</v>
      </c>
      <c r="J12" s="100">
        <v>2</v>
      </c>
      <c r="K12" s="100">
        <v>0</v>
      </c>
    </row>
    <row r="13" spans="1:11" x14ac:dyDescent="0.25">
      <c r="A13" s="1">
        <v>12</v>
      </c>
      <c r="B13" t="s">
        <v>705</v>
      </c>
      <c r="C13" s="100">
        <v>6</v>
      </c>
      <c r="D13" t="s">
        <v>706</v>
      </c>
      <c r="E13" s="101">
        <v>0</v>
      </c>
      <c r="F13" s="101">
        <v>100</v>
      </c>
      <c r="G13" s="101">
        <v>500</v>
      </c>
      <c r="H13" s="101">
        <v>1500</v>
      </c>
      <c r="I13" s="101">
        <v>3000</v>
      </c>
      <c r="J13" s="100">
        <v>2</v>
      </c>
      <c r="K13" s="100">
        <v>0</v>
      </c>
    </row>
    <row r="14" spans="1:11" x14ac:dyDescent="0.25">
      <c r="A14" s="1">
        <v>13</v>
      </c>
      <c r="B14" t="s">
        <v>758</v>
      </c>
      <c r="C14" s="100">
        <v>6</v>
      </c>
      <c r="D14" t="s">
        <v>707</v>
      </c>
      <c r="E14" s="101">
        <v>0</v>
      </c>
      <c r="F14" s="101">
        <v>100</v>
      </c>
      <c r="G14" s="101">
        <v>500</v>
      </c>
      <c r="H14" s="101">
        <v>1500</v>
      </c>
      <c r="I14" s="101">
        <v>3000</v>
      </c>
      <c r="J14" s="100">
        <v>2</v>
      </c>
      <c r="K14" s="100">
        <v>0</v>
      </c>
    </row>
    <row r="15" spans="1:11" x14ac:dyDescent="0.25">
      <c r="A15" s="1">
        <v>14</v>
      </c>
      <c r="B15" t="s">
        <v>759</v>
      </c>
      <c r="C15" s="100">
        <v>6</v>
      </c>
      <c r="D15" t="s">
        <v>708</v>
      </c>
      <c r="E15" s="101">
        <v>0</v>
      </c>
      <c r="F15" s="101">
        <v>100</v>
      </c>
      <c r="G15" s="101">
        <v>500</v>
      </c>
      <c r="H15" s="101">
        <v>1500</v>
      </c>
      <c r="I15" s="101">
        <v>3000</v>
      </c>
      <c r="J15" s="100">
        <v>2</v>
      </c>
      <c r="K15" s="100">
        <v>0</v>
      </c>
    </row>
    <row r="16" spans="1:11" x14ac:dyDescent="0.25">
      <c r="A16" s="1">
        <v>15</v>
      </c>
      <c r="B16" t="s">
        <v>760</v>
      </c>
      <c r="C16" s="100">
        <v>1</v>
      </c>
      <c r="D16" t="s">
        <v>709</v>
      </c>
      <c r="E16" s="101">
        <v>0</v>
      </c>
      <c r="F16" s="101">
        <v>100</v>
      </c>
      <c r="G16" s="101">
        <v>500</v>
      </c>
      <c r="H16" s="101">
        <v>1500</v>
      </c>
      <c r="I16" s="101">
        <v>3000</v>
      </c>
      <c r="J16" s="100">
        <v>1</v>
      </c>
      <c r="K16" s="100">
        <v>0</v>
      </c>
    </row>
    <row r="17" spans="1:11" x14ac:dyDescent="0.25">
      <c r="A17" s="1">
        <v>16</v>
      </c>
      <c r="B17" t="s">
        <v>761</v>
      </c>
      <c r="C17" s="100">
        <v>1</v>
      </c>
      <c r="D17" t="s">
        <v>710</v>
      </c>
      <c r="E17" s="101">
        <v>0</v>
      </c>
      <c r="F17" s="101">
        <v>100</v>
      </c>
      <c r="G17" s="101">
        <v>500</v>
      </c>
      <c r="H17" s="101">
        <v>1500</v>
      </c>
      <c r="I17" s="101">
        <v>3000</v>
      </c>
      <c r="J17" s="100">
        <v>1</v>
      </c>
      <c r="K17" s="100">
        <v>0</v>
      </c>
    </row>
    <row r="18" spans="1:11" x14ac:dyDescent="0.25">
      <c r="A18" s="1">
        <v>17</v>
      </c>
      <c r="B18" t="s">
        <v>762</v>
      </c>
      <c r="C18" s="100">
        <v>1</v>
      </c>
      <c r="D18" t="s">
        <v>711</v>
      </c>
      <c r="E18" s="101">
        <v>0</v>
      </c>
      <c r="F18" s="101">
        <v>100</v>
      </c>
      <c r="G18" s="101">
        <v>500</v>
      </c>
      <c r="H18" s="101">
        <v>1500</v>
      </c>
      <c r="I18" s="101">
        <v>3000</v>
      </c>
      <c r="J18" s="100">
        <v>2</v>
      </c>
      <c r="K18" s="100">
        <v>0</v>
      </c>
    </row>
    <row r="19" spans="1:11" x14ac:dyDescent="0.25">
      <c r="A19" s="1">
        <v>18</v>
      </c>
      <c r="B19" t="s">
        <v>763</v>
      </c>
      <c r="C19" s="100">
        <v>2</v>
      </c>
      <c r="D19" t="s">
        <v>712</v>
      </c>
      <c r="E19" s="101">
        <v>0</v>
      </c>
      <c r="F19" s="101">
        <v>100</v>
      </c>
      <c r="G19" s="101">
        <v>200</v>
      </c>
      <c r="H19" s="101">
        <v>350</v>
      </c>
      <c r="I19" s="101">
        <v>550</v>
      </c>
      <c r="J19" s="100">
        <v>1</v>
      </c>
      <c r="K19" s="100">
        <v>0</v>
      </c>
    </row>
    <row r="20" spans="1:11" x14ac:dyDescent="0.25">
      <c r="A20" s="1">
        <v>19</v>
      </c>
      <c r="B20" t="s">
        <v>764</v>
      </c>
      <c r="C20" s="100">
        <v>2</v>
      </c>
      <c r="D20" t="s">
        <v>713</v>
      </c>
      <c r="E20" s="101">
        <v>0</v>
      </c>
      <c r="F20" s="101">
        <v>100</v>
      </c>
      <c r="G20" s="101">
        <v>200</v>
      </c>
      <c r="H20" s="101">
        <v>350</v>
      </c>
      <c r="I20" s="101">
        <v>550</v>
      </c>
      <c r="J20" s="100">
        <v>1</v>
      </c>
      <c r="K20" s="100">
        <v>0</v>
      </c>
    </row>
    <row r="21" spans="1:11" x14ac:dyDescent="0.25">
      <c r="A21" s="1">
        <v>20</v>
      </c>
      <c r="B21" t="s">
        <v>765</v>
      </c>
      <c r="C21" s="100">
        <v>2</v>
      </c>
      <c r="D21" t="s">
        <v>714</v>
      </c>
      <c r="E21" s="101">
        <v>0</v>
      </c>
      <c r="F21" s="101">
        <v>100</v>
      </c>
      <c r="G21" s="101">
        <v>200</v>
      </c>
      <c r="H21" s="101">
        <v>350</v>
      </c>
      <c r="I21" s="101">
        <v>550</v>
      </c>
      <c r="J21" s="100">
        <v>1</v>
      </c>
      <c r="K21" s="100">
        <v>0</v>
      </c>
    </row>
    <row r="22" spans="1:11" x14ac:dyDescent="0.25">
      <c r="A22" s="1">
        <v>21</v>
      </c>
      <c r="B22" t="s">
        <v>715</v>
      </c>
      <c r="C22" s="100">
        <v>6</v>
      </c>
      <c r="D22" t="s">
        <v>716</v>
      </c>
      <c r="E22" s="101">
        <v>0</v>
      </c>
      <c r="F22" s="101">
        <v>100</v>
      </c>
      <c r="G22" s="101">
        <v>200</v>
      </c>
      <c r="H22" s="101">
        <v>350</v>
      </c>
      <c r="I22" s="101">
        <v>550</v>
      </c>
      <c r="J22" s="100">
        <v>1</v>
      </c>
      <c r="K22" s="100">
        <v>0</v>
      </c>
    </row>
    <row r="23" spans="1:11" x14ac:dyDescent="0.25">
      <c r="A23" s="1">
        <v>22</v>
      </c>
      <c r="B23" t="s">
        <v>766</v>
      </c>
      <c r="C23" s="100">
        <v>6</v>
      </c>
      <c r="D23" t="s">
        <v>717</v>
      </c>
      <c r="E23" s="101">
        <v>0</v>
      </c>
      <c r="F23" s="101">
        <v>100</v>
      </c>
      <c r="G23" s="101">
        <v>200</v>
      </c>
      <c r="H23" s="101">
        <v>350</v>
      </c>
      <c r="I23" s="101">
        <v>550</v>
      </c>
      <c r="J23" s="100">
        <v>1</v>
      </c>
      <c r="K23" s="100">
        <v>0</v>
      </c>
    </row>
    <row r="24" spans="1:11" x14ac:dyDescent="0.25">
      <c r="A24" s="1">
        <v>23</v>
      </c>
      <c r="B24" t="s">
        <v>767</v>
      </c>
      <c r="C24" s="100">
        <v>6</v>
      </c>
      <c r="D24" t="s">
        <v>718</v>
      </c>
      <c r="E24" s="101">
        <v>0</v>
      </c>
      <c r="F24" s="101">
        <v>100</v>
      </c>
      <c r="G24" s="101">
        <v>500</v>
      </c>
      <c r="H24" s="101">
        <v>1500</v>
      </c>
      <c r="I24" s="101">
        <v>3000</v>
      </c>
      <c r="J24" s="100">
        <v>2</v>
      </c>
      <c r="K24" s="100">
        <v>0</v>
      </c>
    </row>
    <row r="25" spans="1:11" x14ac:dyDescent="0.25">
      <c r="A25" s="1">
        <v>24</v>
      </c>
      <c r="B25" t="s">
        <v>768</v>
      </c>
      <c r="C25" s="100">
        <v>3</v>
      </c>
      <c r="D25" t="s">
        <v>719</v>
      </c>
      <c r="E25" s="101">
        <v>0</v>
      </c>
      <c r="F25" s="101">
        <v>100</v>
      </c>
      <c r="G25" s="101">
        <v>500</v>
      </c>
      <c r="H25" s="101">
        <v>1500</v>
      </c>
      <c r="I25" s="101">
        <v>3000</v>
      </c>
      <c r="J25" s="100">
        <v>1</v>
      </c>
      <c r="K25" s="100">
        <v>0</v>
      </c>
    </row>
    <row r="26" spans="1:11" x14ac:dyDescent="0.25">
      <c r="A26" s="1">
        <v>25</v>
      </c>
      <c r="B26" t="s">
        <v>769</v>
      </c>
      <c r="C26" s="100">
        <v>3</v>
      </c>
      <c r="D26" t="s">
        <v>720</v>
      </c>
      <c r="E26" s="101">
        <v>0</v>
      </c>
      <c r="F26" s="101">
        <v>100</v>
      </c>
      <c r="G26" s="101">
        <v>500</v>
      </c>
      <c r="H26" s="101">
        <v>1500</v>
      </c>
      <c r="I26" s="101">
        <v>3000</v>
      </c>
      <c r="J26" s="100">
        <v>1</v>
      </c>
      <c r="K26" s="100">
        <v>0</v>
      </c>
    </row>
    <row r="27" spans="1:11" x14ac:dyDescent="0.25">
      <c r="A27" s="1">
        <v>26</v>
      </c>
      <c r="B27" t="s">
        <v>770</v>
      </c>
      <c r="C27" s="100">
        <v>1</v>
      </c>
      <c r="D27" t="s">
        <v>721</v>
      </c>
      <c r="E27" s="101">
        <v>0</v>
      </c>
      <c r="F27" s="101">
        <v>100</v>
      </c>
      <c r="G27" s="101">
        <v>500</v>
      </c>
      <c r="H27" s="101">
        <v>1500</v>
      </c>
      <c r="I27" s="101">
        <v>3000</v>
      </c>
      <c r="J27" s="100">
        <v>1</v>
      </c>
      <c r="K27" s="100">
        <v>0</v>
      </c>
    </row>
    <row r="28" spans="1:11" x14ac:dyDescent="0.25">
      <c r="A28" s="1">
        <v>27</v>
      </c>
      <c r="B28" t="s">
        <v>771</v>
      </c>
      <c r="C28" s="100">
        <v>6</v>
      </c>
      <c r="D28" t="s">
        <v>722</v>
      </c>
      <c r="E28" s="101">
        <v>0</v>
      </c>
      <c r="F28" s="101">
        <v>100</v>
      </c>
      <c r="G28" s="101">
        <v>200</v>
      </c>
      <c r="H28" s="101">
        <v>350</v>
      </c>
      <c r="I28" s="101">
        <v>550</v>
      </c>
      <c r="J28" s="100">
        <v>2</v>
      </c>
      <c r="K28" s="100">
        <v>0</v>
      </c>
    </row>
    <row r="29" spans="1:11" x14ac:dyDescent="0.25">
      <c r="A29" s="1">
        <v>28</v>
      </c>
      <c r="B29" t="s">
        <v>772</v>
      </c>
      <c r="C29" s="100">
        <v>6</v>
      </c>
      <c r="D29" t="s">
        <v>723</v>
      </c>
      <c r="E29" s="101">
        <v>0</v>
      </c>
      <c r="F29" s="101">
        <v>100</v>
      </c>
      <c r="G29" s="101">
        <v>200</v>
      </c>
      <c r="H29" s="101">
        <v>350</v>
      </c>
      <c r="I29" s="101">
        <v>550</v>
      </c>
      <c r="J29" s="100">
        <v>2</v>
      </c>
      <c r="K29" s="100">
        <v>0</v>
      </c>
    </row>
    <row r="30" spans="1:11" x14ac:dyDescent="0.25">
      <c r="A30" s="1">
        <v>29</v>
      </c>
      <c r="B30" t="s">
        <v>773</v>
      </c>
      <c r="C30" s="100">
        <v>2</v>
      </c>
      <c r="D30" t="s">
        <v>724</v>
      </c>
      <c r="E30" s="101">
        <v>0</v>
      </c>
      <c r="F30" s="101">
        <v>100</v>
      </c>
      <c r="G30" s="101">
        <v>200</v>
      </c>
      <c r="H30" s="101">
        <v>350</v>
      </c>
      <c r="I30" s="101">
        <v>550</v>
      </c>
      <c r="J30" s="100">
        <v>1</v>
      </c>
      <c r="K30" s="100">
        <v>0</v>
      </c>
    </row>
    <row r="31" spans="1:11" x14ac:dyDescent="0.25">
      <c r="A31" s="1">
        <v>1001</v>
      </c>
      <c r="B31" t="s">
        <v>320</v>
      </c>
      <c r="C31" s="100">
        <v>4</v>
      </c>
      <c r="D31" t="s">
        <v>725</v>
      </c>
      <c r="E31" s="101">
        <v>0</v>
      </c>
      <c r="F31" s="101">
        <v>100</v>
      </c>
      <c r="G31" s="101">
        <v>200</v>
      </c>
      <c r="H31" s="101">
        <v>350</v>
      </c>
      <c r="I31" s="101">
        <v>550</v>
      </c>
      <c r="J31" s="100">
        <v>1</v>
      </c>
      <c r="K31" s="100">
        <v>1</v>
      </c>
    </row>
    <row r="32" spans="1:11" x14ac:dyDescent="0.25">
      <c r="A32" s="1">
        <v>1002</v>
      </c>
      <c r="B32" t="s">
        <v>726</v>
      </c>
      <c r="C32" s="100">
        <v>6</v>
      </c>
      <c r="D32" t="s">
        <v>727</v>
      </c>
      <c r="E32" s="101">
        <v>0</v>
      </c>
      <c r="F32" s="101">
        <v>100</v>
      </c>
      <c r="G32" s="101">
        <v>200</v>
      </c>
      <c r="H32" s="101">
        <v>350</v>
      </c>
      <c r="I32" s="101">
        <v>550</v>
      </c>
      <c r="J32" s="100">
        <v>2</v>
      </c>
      <c r="K32" s="100">
        <v>1</v>
      </c>
    </row>
    <row r="33" spans="1:11" x14ac:dyDescent="0.25">
      <c r="A33" s="1">
        <v>1003</v>
      </c>
      <c r="B33" t="s">
        <v>728</v>
      </c>
      <c r="C33" s="100">
        <v>3</v>
      </c>
      <c r="D33" t="s">
        <v>729</v>
      </c>
      <c r="E33" s="101">
        <v>0</v>
      </c>
      <c r="F33" s="101">
        <v>100</v>
      </c>
      <c r="G33" s="101">
        <v>200</v>
      </c>
      <c r="H33" s="101">
        <v>350</v>
      </c>
      <c r="I33" s="101">
        <v>550</v>
      </c>
      <c r="J33" s="100">
        <v>1</v>
      </c>
      <c r="K33" s="100">
        <v>1</v>
      </c>
    </row>
    <row r="34" spans="1:11" x14ac:dyDescent="0.25">
      <c r="A34" s="1">
        <v>1004</v>
      </c>
      <c r="B34" t="s">
        <v>774</v>
      </c>
      <c r="C34" s="100">
        <v>6</v>
      </c>
      <c r="D34" t="s">
        <v>730</v>
      </c>
      <c r="E34" s="101">
        <v>0</v>
      </c>
      <c r="F34" s="101">
        <v>100</v>
      </c>
      <c r="G34" s="101">
        <v>200</v>
      </c>
      <c r="H34" s="101">
        <v>350</v>
      </c>
      <c r="I34" s="101">
        <v>550</v>
      </c>
      <c r="J34" s="100">
        <v>2</v>
      </c>
      <c r="K34" s="100">
        <v>1</v>
      </c>
    </row>
    <row r="35" spans="1:11" x14ac:dyDescent="0.25">
      <c r="A35" s="1">
        <v>1005</v>
      </c>
      <c r="B35" t="s">
        <v>776</v>
      </c>
      <c r="C35" s="100">
        <v>2</v>
      </c>
      <c r="D35" t="s">
        <v>731</v>
      </c>
      <c r="E35" s="101">
        <v>0</v>
      </c>
      <c r="F35" s="101">
        <v>100</v>
      </c>
      <c r="G35" s="101">
        <v>200</v>
      </c>
      <c r="H35" s="101">
        <v>350</v>
      </c>
      <c r="I35" s="101">
        <v>550</v>
      </c>
      <c r="J35" s="100">
        <v>1</v>
      </c>
      <c r="K35" s="100">
        <v>1</v>
      </c>
    </row>
    <row r="36" spans="1:11" x14ac:dyDescent="0.25">
      <c r="A36" s="1">
        <v>1006</v>
      </c>
      <c r="B36" t="s">
        <v>775</v>
      </c>
      <c r="C36" s="100">
        <v>2</v>
      </c>
      <c r="D36" t="s">
        <v>732</v>
      </c>
      <c r="E36" s="101">
        <v>0</v>
      </c>
      <c r="F36" s="101">
        <v>100</v>
      </c>
      <c r="G36" s="101">
        <v>200</v>
      </c>
      <c r="H36" s="101">
        <v>350</v>
      </c>
      <c r="I36" s="101">
        <v>550</v>
      </c>
      <c r="J36" s="100">
        <v>1</v>
      </c>
      <c r="K36" s="100">
        <v>1</v>
      </c>
    </row>
    <row r="37" spans="1:11" x14ac:dyDescent="0.25">
      <c r="A37" s="1">
        <v>1007</v>
      </c>
      <c r="B37" t="s">
        <v>733</v>
      </c>
      <c r="C37" s="100">
        <v>2</v>
      </c>
      <c r="D37" t="s">
        <v>734</v>
      </c>
      <c r="E37" s="101">
        <v>0</v>
      </c>
      <c r="F37" s="101">
        <v>100</v>
      </c>
      <c r="G37" s="101">
        <v>200</v>
      </c>
      <c r="H37" s="101">
        <v>350</v>
      </c>
      <c r="I37" s="101">
        <v>550</v>
      </c>
      <c r="J37" s="100">
        <v>1</v>
      </c>
      <c r="K37" s="100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57" t="s">
        <v>690</v>
      </c>
      <c r="B1" s="57" t="s">
        <v>811</v>
      </c>
      <c r="C1" s="57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G18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3" width="11.7109375" style="54" bestFit="1" customWidth="1"/>
    <col min="4" max="4" width="9.140625" style="54"/>
    <col min="5" max="7" width="11.7109375" style="54" bestFit="1" customWidth="1"/>
    <col min="8" max="16384" width="9.140625" style="54"/>
  </cols>
  <sheetData>
    <row r="1" spans="1:14" x14ac:dyDescent="0.25">
      <c r="A1" s="106" t="s">
        <v>890</v>
      </c>
      <c r="B1" s="106"/>
      <c r="C1" s="106"/>
      <c r="E1" s="106" t="s">
        <v>891</v>
      </c>
      <c r="F1" s="106"/>
      <c r="G1" s="106"/>
      <c r="I1" s="107" t="s">
        <v>892</v>
      </c>
      <c r="J1" s="107"/>
      <c r="K1" s="107"/>
      <c r="L1" s="107"/>
      <c r="M1" s="107"/>
      <c r="N1" s="107"/>
    </row>
    <row r="2" spans="1:14" x14ac:dyDescent="0.25">
      <c r="A2" s="60" t="s">
        <v>18</v>
      </c>
      <c r="B2" s="63" t="s">
        <v>20</v>
      </c>
      <c r="C2" s="63" t="s">
        <v>21</v>
      </c>
      <c r="E2" s="60" t="s">
        <v>18</v>
      </c>
      <c r="F2" s="63" t="s">
        <v>20</v>
      </c>
      <c r="G2" s="63" t="s">
        <v>21</v>
      </c>
      <c r="I2" s="60" t="s">
        <v>887</v>
      </c>
      <c r="J2" s="63">
        <v>2</v>
      </c>
      <c r="K2" s="63">
        <v>3</v>
      </c>
      <c r="L2" s="63">
        <v>4</v>
      </c>
      <c r="M2" s="63">
        <v>5</v>
      </c>
      <c r="N2" s="63" t="s">
        <v>813</v>
      </c>
    </row>
    <row r="3" spans="1:14" x14ac:dyDescent="0.25">
      <c r="A3" s="61">
        <v>1</v>
      </c>
      <c r="B3" s="58">
        <v>0</v>
      </c>
      <c r="C3" s="58">
        <v>100</v>
      </c>
      <c r="E3" s="61">
        <v>1</v>
      </c>
      <c r="F3" s="58">
        <v>0</v>
      </c>
      <c r="G3" s="58">
        <v>0</v>
      </c>
      <c r="I3" s="61">
        <v>0</v>
      </c>
      <c r="J3" s="58">
        <v>0</v>
      </c>
      <c r="K3" s="58">
        <v>0</v>
      </c>
      <c r="L3" s="58">
        <v>0</v>
      </c>
      <c r="M3" s="58">
        <v>0</v>
      </c>
      <c r="N3" s="58">
        <v>0</v>
      </c>
    </row>
    <row r="4" spans="1:14" x14ac:dyDescent="0.25">
      <c r="A4" s="61">
        <v>2</v>
      </c>
      <c r="B4" s="58">
        <v>100</v>
      </c>
      <c r="C4" s="58">
        <f>B4+C3</f>
        <v>200</v>
      </c>
      <c r="E4" s="61">
        <v>2</v>
      </c>
      <c r="F4" s="58">
        <v>300</v>
      </c>
      <c r="G4" s="58">
        <v>300</v>
      </c>
      <c r="I4" s="61">
        <v>1</v>
      </c>
      <c r="J4" s="58">
        <v>0</v>
      </c>
      <c r="K4" s="58">
        <v>50</v>
      </c>
      <c r="L4" s="58">
        <v>100</v>
      </c>
      <c r="M4" s="58">
        <v>200</v>
      </c>
      <c r="N4" s="58">
        <v>600</v>
      </c>
    </row>
    <row r="5" spans="1:14" x14ac:dyDescent="0.25">
      <c r="A5" s="61">
        <v>3</v>
      </c>
      <c r="B5" s="58">
        <v>200</v>
      </c>
      <c r="C5" s="58">
        <f t="shared" ref="C5:C68" si="0">B5+C4</f>
        <v>400</v>
      </c>
      <c r="E5" s="61">
        <v>3</v>
      </c>
      <c r="F5" s="58">
        <v>600</v>
      </c>
      <c r="G5" s="58">
        <v>900</v>
      </c>
      <c r="I5" s="61">
        <v>2</v>
      </c>
      <c r="J5" s="58">
        <v>0</v>
      </c>
      <c r="K5" s="58">
        <v>110</v>
      </c>
      <c r="L5" s="58">
        <v>220</v>
      </c>
      <c r="M5" s="58">
        <v>440</v>
      </c>
      <c r="N5" s="58">
        <v>1320</v>
      </c>
    </row>
    <row r="6" spans="1:14" x14ac:dyDescent="0.25">
      <c r="A6" s="61">
        <v>4</v>
      </c>
      <c r="B6" s="58">
        <v>300</v>
      </c>
      <c r="C6" s="58">
        <f t="shared" si="0"/>
        <v>700</v>
      </c>
      <c r="E6" s="61">
        <v>4</v>
      </c>
      <c r="F6" s="58">
        <v>900</v>
      </c>
      <c r="G6" s="58">
        <v>1800</v>
      </c>
      <c r="I6" s="61">
        <v>3</v>
      </c>
      <c r="J6" s="58">
        <v>0</v>
      </c>
      <c r="K6" s="58">
        <v>190</v>
      </c>
      <c r="L6" s="58">
        <v>380</v>
      </c>
      <c r="M6" s="58">
        <v>760</v>
      </c>
      <c r="N6" s="58">
        <v>2280</v>
      </c>
    </row>
    <row r="7" spans="1:14" x14ac:dyDescent="0.25">
      <c r="A7" s="61">
        <v>5</v>
      </c>
      <c r="B7" s="58">
        <v>400</v>
      </c>
      <c r="C7" s="58">
        <f t="shared" si="0"/>
        <v>1100</v>
      </c>
      <c r="E7" s="61">
        <v>5</v>
      </c>
      <c r="F7" s="58">
        <v>1200</v>
      </c>
      <c r="G7" s="58">
        <v>3000</v>
      </c>
      <c r="I7" s="61">
        <v>4</v>
      </c>
      <c r="J7" s="58">
        <v>0</v>
      </c>
      <c r="K7" s="58">
        <v>305</v>
      </c>
      <c r="L7" s="58">
        <v>610</v>
      </c>
      <c r="M7" s="58">
        <v>1220</v>
      </c>
      <c r="N7" s="58">
        <v>3660</v>
      </c>
    </row>
    <row r="8" spans="1:14" x14ac:dyDescent="0.25">
      <c r="A8" s="61">
        <v>6</v>
      </c>
      <c r="B8" s="58">
        <v>500</v>
      </c>
      <c r="C8" s="58">
        <f t="shared" si="0"/>
        <v>1600</v>
      </c>
      <c r="E8" s="61">
        <v>6</v>
      </c>
      <c r="F8" s="58">
        <v>1500</v>
      </c>
      <c r="G8" s="58">
        <v>4500</v>
      </c>
      <c r="I8" s="61">
        <v>5</v>
      </c>
      <c r="J8" s="58">
        <v>0</v>
      </c>
      <c r="K8" s="58">
        <v>470</v>
      </c>
      <c r="L8" s="58">
        <v>940</v>
      </c>
      <c r="M8" s="58">
        <v>1880</v>
      </c>
      <c r="N8" s="58">
        <v>5640</v>
      </c>
    </row>
    <row r="9" spans="1:14" x14ac:dyDescent="0.25">
      <c r="A9" s="61">
        <v>7</v>
      </c>
      <c r="B9" s="58">
        <v>600</v>
      </c>
      <c r="C9" s="58">
        <f t="shared" si="0"/>
        <v>2200</v>
      </c>
      <c r="E9" s="61">
        <v>7</v>
      </c>
      <c r="F9" s="58">
        <v>1800</v>
      </c>
      <c r="G9" s="58">
        <v>6300</v>
      </c>
      <c r="I9" s="61">
        <v>6</v>
      </c>
      <c r="J9" s="58">
        <v>0</v>
      </c>
      <c r="K9" s="58">
        <v>700</v>
      </c>
      <c r="L9" s="58">
        <v>1400</v>
      </c>
      <c r="M9" s="58">
        <v>2800</v>
      </c>
      <c r="N9" s="58">
        <v>8400</v>
      </c>
    </row>
    <row r="10" spans="1:14" x14ac:dyDescent="0.25">
      <c r="A10" s="61">
        <v>8</v>
      </c>
      <c r="B10" s="58">
        <v>700</v>
      </c>
      <c r="C10" s="58">
        <f t="shared" si="0"/>
        <v>2900</v>
      </c>
      <c r="E10" s="61">
        <v>8</v>
      </c>
      <c r="F10" s="58">
        <v>2100</v>
      </c>
      <c r="G10" s="58">
        <v>8400</v>
      </c>
      <c r="I10" s="61">
        <v>7</v>
      </c>
      <c r="J10" s="58">
        <v>0</v>
      </c>
      <c r="K10" s="58">
        <v>1005</v>
      </c>
      <c r="L10" s="58">
        <v>2010</v>
      </c>
      <c r="M10" s="58">
        <v>4020</v>
      </c>
      <c r="N10" s="58">
        <v>12060</v>
      </c>
    </row>
    <row r="11" spans="1:14" x14ac:dyDescent="0.25">
      <c r="A11" s="61">
        <v>9</v>
      </c>
      <c r="B11" s="58">
        <v>800</v>
      </c>
      <c r="C11" s="58">
        <f t="shared" si="0"/>
        <v>3700</v>
      </c>
      <c r="E11" s="61">
        <v>9</v>
      </c>
      <c r="F11" s="58">
        <v>2400</v>
      </c>
      <c r="G11" s="58">
        <v>10800</v>
      </c>
      <c r="I11" s="61">
        <v>8</v>
      </c>
      <c r="J11" s="58">
        <v>0</v>
      </c>
      <c r="K11" s="58">
        <v>1400</v>
      </c>
      <c r="L11" s="58">
        <v>2800</v>
      </c>
      <c r="M11" s="58">
        <v>5600</v>
      </c>
      <c r="N11" s="58">
        <v>16800</v>
      </c>
    </row>
    <row r="12" spans="1:14" x14ac:dyDescent="0.25">
      <c r="A12" s="61">
        <v>10</v>
      </c>
      <c r="B12" s="58">
        <v>900</v>
      </c>
      <c r="C12" s="58">
        <f t="shared" si="0"/>
        <v>4600</v>
      </c>
      <c r="E12" s="61">
        <v>10</v>
      </c>
      <c r="F12" s="58">
        <v>2700</v>
      </c>
      <c r="G12" s="58">
        <v>13500</v>
      </c>
      <c r="I12" s="61">
        <v>9</v>
      </c>
      <c r="J12" s="58">
        <v>0</v>
      </c>
      <c r="K12" s="58">
        <v>1895</v>
      </c>
      <c r="L12" s="58">
        <v>3790</v>
      </c>
      <c r="M12" s="58">
        <v>7580</v>
      </c>
      <c r="N12" s="58">
        <v>22740</v>
      </c>
    </row>
    <row r="13" spans="1:14" x14ac:dyDescent="0.25">
      <c r="A13" s="61">
        <v>11</v>
      </c>
      <c r="B13" s="58">
        <v>1000</v>
      </c>
      <c r="C13" s="58">
        <f t="shared" si="0"/>
        <v>5600</v>
      </c>
      <c r="E13" s="61">
        <v>11</v>
      </c>
      <c r="F13" s="58">
        <v>3000</v>
      </c>
      <c r="G13" s="58">
        <v>16500</v>
      </c>
      <c r="I13" s="62">
        <v>10</v>
      </c>
      <c r="J13" s="59">
        <v>0</v>
      </c>
      <c r="K13" s="59">
        <v>2500</v>
      </c>
      <c r="L13" s="59">
        <v>5000</v>
      </c>
      <c r="M13" s="59">
        <v>10000</v>
      </c>
      <c r="N13" s="59">
        <v>30000</v>
      </c>
    </row>
    <row r="14" spans="1:14" x14ac:dyDescent="0.25">
      <c r="A14" s="61">
        <v>12</v>
      </c>
      <c r="B14" s="58">
        <v>1100</v>
      </c>
      <c r="C14" s="58">
        <f t="shared" si="0"/>
        <v>6700</v>
      </c>
      <c r="E14" s="61">
        <v>12</v>
      </c>
      <c r="F14" s="58">
        <v>3300</v>
      </c>
      <c r="G14" s="58">
        <v>19800</v>
      </c>
    </row>
    <row r="15" spans="1:14" x14ac:dyDescent="0.25">
      <c r="A15" s="61">
        <v>13</v>
      </c>
      <c r="B15" s="58">
        <v>1200</v>
      </c>
      <c r="C15" s="58">
        <f t="shared" si="0"/>
        <v>7900</v>
      </c>
      <c r="E15" s="61">
        <v>13</v>
      </c>
      <c r="F15" s="58">
        <v>3600</v>
      </c>
      <c r="G15" s="58">
        <v>23400</v>
      </c>
    </row>
    <row r="16" spans="1:14" x14ac:dyDescent="0.25">
      <c r="A16" s="61">
        <v>14</v>
      </c>
      <c r="B16" s="58">
        <v>1300</v>
      </c>
      <c r="C16" s="58">
        <f t="shared" si="0"/>
        <v>9200</v>
      </c>
      <c r="E16" s="61">
        <v>14</v>
      </c>
      <c r="F16" s="58">
        <v>3900</v>
      </c>
      <c r="G16" s="58">
        <v>27300</v>
      </c>
    </row>
    <row r="17" spans="1:7" x14ac:dyDescent="0.25">
      <c r="A17" s="61">
        <v>15</v>
      </c>
      <c r="B17" s="58">
        <v>1400</v>
      </c>
      <c r="C17" s="58">
        <f t="shared" si="0"/>
        <v>10600</v>
      </c>
      <c r="E17" s="61">
        <v>15</v>
      </c>
      <c r="F17" s="58">
        <v>4200</v>
      </c>
      <c r="G17" s="58">
        <v>31500</v>
      </c>
    </row>
    <row r="18" spans="1:7" x14ac:dyDescent="0.25">
      <c r="A18" s="61">
        <v>16</v>
      </c>
      <c r="B18" s="58">
        <v>1500</v>
      </c>
      <c r="C18" s="58">
        <f t="shared" si="0"/>
        <v>12100</v>
      </c>
      <c r="E18" s="61">
        <v>16</v>
      </c>
      <c r="F18" s="58">
        <v>4500</v>
      </c>
      <c r="G18" s="58">
        <v>36000</v>
      </c>
    </row>
    <row r="19" spans="1:7" x14ac:dyDescent="0.25">
      <c r="A19" s="61">
        <v>17</v>
      </c>
      <c r="B19" s="58">
        <v>1600</v>
      </c>
      <c r="C19" s="58">
        <f t="shared" si="0"/>
        <v>13700</v>
      </c>
      <c r="E19" s="61">
        <v>17</v>
      </c>
      <c r="F19" s="58">
        <v>4800</v>
      </c>
      <c r="G19" s="58">
        <v>40800</v>
      </c>
    </row>
    <row r="20" spans="1:7" x14ac:dyDescent="0.25">
      <c r="A20" s="61">
        <v>18</v>
      </c>
      <c r="B20" s="58">
        <v>1700</v>
      </c>
      <c r="C20" s="58">
        <f t="shared" si="0"/>
        <v>15400</v>
      </c>
      <c r="E20" s="61">
        <v>18</v>
      </c>
      <c r="F20" s="58">
        <v>5100</v>
      </c>
      <c r="G20" s="58">
        <v>45900</v>
      </c>
    </row>
    <row r="21" spans="1:7" x14ac:dyDescent="0.25">
      <c r="A21" s="61">
        <v>19</v>
      </c>
      <c r="B21" s="58">
        <v>1800</v>
      </c>
      <c r="C21" s="58">
        <f t="shared" si="0"/>
        <v>17200</v>
      </c>
      <c r="E21" s="61">
        <v>19</v>
      </c>
      <c r="F21" s="58">
        <v>5500</v>
      </c>
      <c r="G21" s="58">
        <v>51400</v>
      </c>
    </row>
    <row r="22" spans="1:7" x14ac:dyDescent="0.25">
      <c r="A22" s="61">
        <v>20</v>
      </c>
      <c r="B22" s="58">
        <v>1900</v>
      </c>
      <c r="C22" s="58">
        <f t="shared" si="0"/>
        <v>19100</v>
      </c>
      <c r="E22" s="61">
        <v>20</v>
      </c>
      <c r="F22" s="58">
        <v>6000</v>
      </c>
      <c r="G22" s="58">
        <v>57400</v>
      </c>
    </row>
    <row r="23" spans="1:7" x14ac:dyDescent="0.25">
      <c r="A23" s="61">
        <v>21</v>
      </c>
      <c r="B23" s="58">
        <v>2000</v>
      </c>
      <c r="C23" s="58">
        <f t="shared" si="0"/>
        <v>21100</v>
      </c>
      <c r="E23" s="61">
        <v>21</v>
      </c>
      <c r="F23" s="58">
        <v>6500</v>
      </c>
      <c r="G23" s="58">
        <v>63900</v>
      </c>
    </row>
    <row r="24" spans="1:7" x14ac:dyDescent="0.25">
      <c r="A24" s="61">
        <v>22</v>
      </c>
      <c r="B24" s="58">
        <v>2100</v>
      </c>
      <c r="C24" s="58">
        <f t="shared" si="0"/>
        <v>23200</v>
      </c>
      <c r="E24" s="61">
        <v>22</v>
      </c>
      <c r="F24" s="58">
        <v>7100</v>
      </c>
      <c r="G24" s="58">
        <v>71000</v>
      </c>
    </row>
    <row r="25" spans="1:7" x14ac:dyDescent="0.25">
      <c r="A25" s="61">
        <v>23</v>
      </c>
      <c r="B25" s="58">
        <v>2200</v>
      </c>
      <c r="C25" s="58">
        <f t="shared" si="0"/>
        <v>25400</v>
      </c>
      <c r="E25" s="61">
        <v>23</v>
      </c>
      <c r="F25" s="58">
        <v>8000</v>
      </c>
      <c r="G25" s="58">
        <v>79000</v>
      </c>
    </row>
    <row r="26" spans="1:7" x14ac:dyDescent="0.25">
      <c r="A26" s="61">
        <v>24</v>
      </c>
      <c r="B26" s="58">
        <v>2300</v>
      </c>
      <c r="C26" s="58">
        <f t="shared" si="0"/>
        <v>27700</v>
      </c>
      <c r="E26" s="61">
        <v>24</v>
      </c>
      <c r="F26" s="58">
        <v>9000</v>
      </c>
      <c r="G26" s="58">
        <v>88000</v>
      </c>
    </row>
    <row r="27" spans="1:7" x14ac:dyDescent="0.25">
      <c r="A27" s="61">
        <v>25</v>
      </c>
      <c r="B27" s="58">
        <v>2400</v>
      </c>
      <c r="C27" s="58">
        <f t="shared" si="0"/>
        <v>30100</v>
      </c>
      <c r="E27" s="61">
        <v>25</v>
      </c>
      <c r="F27" s="58">
        <v>10000</v>
      </c>
      <c r="G27" s="58">
        <v>98000</v>
      </c>
    </row>
    <row r="28" spans="1:7" x14ac:dyDescent="0.25">
      <c r="A28" s="61">
        <v>26</v>
      </c>
      <c r="B28" s="58">
        <v>2500</v>
      </c>
      <c r="C28" s="58">
        <f t="shared" si="0"/>
        <v>32600</v>
      </c>
      <c r="E28" s="61">
        <v>26</v>
      </c>
      <c r="F28" s="58">
        <v>11000</v>
      </c>
      <c r="G28" s="58">
        <v>109000</v>
      </c>
    </row>
    <row r="29" spans="1:7" x14ac:dyDescent="0.25">
      <c r="A29" s="61">
        <v>27</v>
      </c>
      <c r="B29" s="58">
        <v>2600</v>
      </c>
      <c r="C29" s="58">
        <f t="shared" si="0"/>
        <v>35200</v>
      </c>
      <c r="E29" s="61">
        <v>27</v>
      </c>
      <c r="F29" s="58">
        <v>12200</v>
      </c>
      <c r="G29" s="58">
        <v>121200</v>
      </c>
    </row>
    <row r="30" spans="1:7" x14ac:dyDescent="0.25">
      <c r="A30" s="61">
        <v>28</v>
      </c>
      <c r="B30" s="58">
        <v>2800</v>
      </c>
      <c r="C30" s="58">
        <f t="shared" si="0"/>
        <v>38000</v>
      </c>
      <c r="E30" s="61">
        <v>28</v>
      </c>
      <c r="F30" s="58">
        <v>13400</v>
      </c>
      <c r="G30" s="58">
        <v>134600</v>
      </c>
    </row>
    <row r="31" spans="1:7" x14ac:dyDescent="0.25">
      <c r="A31" s="61">
        <v>29</v>
      </c>
      <c r="B31" s="58">
        <v>3100</v>
      </c>
      <c r="C31" s="58">
        <f t="shared" si="0"/>
        <v>41100</v>
      </c>
      <c r="E31" s="61">
        <v>29</v>
      </c>
      <c r="F31" s="58">
        <v>14700</v>
      </c>
      <c r="G31" s="58">
        <v>149300</v>
      </c>
    </row>
    <row r="32" spans="1:7" x14ac:dyDescent="0.25">
      <c r="A32" s="61">
        <v>30</v>
      </c>
      <c r="B32" s="58">
        <v>3400</v>
      </c>
      <c r="C32" s="58">
        <f t="shared" si="0"/>
        <v>44500</v>
      </c>
      <c r="E32" s="61">
        <v>30</v>
      </c>
      <c r="F32" s="58">
        <v>16000</v>
      </c>
      <c r="G32" s="58">
        <v>165300</v>
      </c>
    </row>
    <row r="33" spans="1:7" x14ac:dyDescent="0.25">
      <c r="A33" s="61">
        <v>31</v>
      </c>
      <c r="B33" s="58">
        <v>4200</v>
      </c>
      <c r="C33" s="58">
        <f t="shared" si="0"/>
        <v>48700</v>
      </c>
      <c r="E33" s="61">
        <v>31</v>
      </c>
      <c r="F33" s="58">
        <v>17500</v>
      </c>
      <c r="G33" s="58">
        <v>182800</v>
      </c>
    </row>
    <row r="34" spans="1:7" x14ac:dyDescent="0.25">
      <c r="A34" s="61">
        <v>32</v>
      </c>
      <c r="B34" s="58">
        <v>4600</v>
      </c>
      <c r="C34" s="58">
        <f t="shared" si="0"/>
        <v>53300</v>
      </c>
      <c r="E34" s="61">
        <v>32</v>
      </c>
      <c r="F34" s="58">
        <v>18900</v>
      </c>
      <c r="G34" s="58">
        <v>201700</v>
      </c>
    </row>
    <row r="35" spans="1:7" x14ac:dyDescent="0.25">
      <c r="A35" s="61">
        <v>33</v>
      </c>
      <c r="B35" s="58">
        <v>5000</v>
      </c>
      <c r="C35" s="58">
        <f t="shared" si="0"/>
        <v>58300</v>
      </c>
      <c r="E35" s="61">
        <v>33</v>
      </c>
      <c r="F35" s="58">
        <v>20500</v>
      </c>
      <c r="G35" s="58">
        <v>222200</v>
      </c>
    </row>
    <row r="36" spans="1:7" x14ac:dyDescent="0.25">
      <c r="A36" s="61">
        <v>34</v>
      </c>
      <c r="B36" s="58">
        <v>5400</v>
      </c>
      <c r="C36" s="58">
        <f t="shared" si="0"/>
        <v>63700</v>
      </c>
      <c r="E36" s="61">
        <v>34</v>
      </c>
      <c r="F36" s="58">
        <v>22200</v>
      </c>
      <c r="G36" s="58">
        <v>244400</v>
      </c>
    </row>
    <row r="37" spans="1:7" x14ac:dyDescent="0.25">
      <c r="A37" s="61">
        <v>35</v>
      </c>
      <c r="B37" s="58">
        <v>5800</v>
      </c>
      <c r="C37" s="58">
        <f t="shared" si="0"/>
        <v>69500</v>
      </c>
      <c r="E37" s="61">
        <v>35</v>
      </c>
      <c r="F37" s="58">
        <v>23900</v>
      </c>
      <c r="G37" s="58">
        <v>268300</v>
      </c>
    </row>
    <row r="38" spans="1:7" x14ac:dyDescent="0.25">
      <c r="A38" s="61">
        <v>36</v>
      </c>
      <c r="B38" s="58">
        <v>6300</v>
      </c>
      <c r="C38" s="58">
        <f t="shared" si="0"/>
        <v>75800</v>
      </c>
      <c r="E38" s="61">
        <v>36</v>
      </c>
      <c r="F38" s="58">
        <v>25700</v>
      </c>
      <c r="G38" s="58">
        <v>294000</v>
      </c>
    </row>
    <row r="39" spans="1:7" x14ac:dyDescent="0.25">
      <c r="A39" s="61">
        <v>37</v>
      </c>
      <c r="B39" s="58">
        <v>6700</v>
      </c>
      <c r="C39" s="58">
        <f t="shared" si="0"/>
        <v>82500</v>
      </c>
      <c r="E39" s="61">
        <v>37</v>
      </c>
      <c r="F39" s="58">
        <v>27600</v>
      </c>
      <c r="G39" s="58">
        <v>321600</v>
      </c>
    </row>
    <row r="40" spans="1:7" x14ac:dyDescent="0.25">
      <c r="A40" s="61">
        <v>38</v>
      </c>
      <c r="B40" s="58">
        <v>7200</v>
      </c>
      <c r="C40" s="58">
        <f t="shared" si="0"/>
        <v>89700</v>
      </c>
      <c r="E40" s="61">
        <v>38</v>
      </c>
      <c r="F40" s="58">
        <v>29500</v>
      </c>
      <c r="G40" s="58">
        <v>351100</v>
      </c>
    </row>
    <row r="41" spans="1:7" x14ac:dyDescent="0.25">
      <c r="A41" s="61">
        <v>39</v>
      </c>
      <c r="B41" s="58">
        <v>7700</v>
      </c>
      <c r="C41" s="58">
        <f t="shared" si="0"/>
        <v>97400</v>
      </c>
      <c r="E41" s="61">
        <v>39</v>
      </c>
      <c r="F41" s="58">
        <v>31600</v>
      </c>
      <c r="G41" s="58">
        <v>382700</v>
      </c>
    </row>
    <row r="42" spans="1:7" x14ac:dyDescent="0.25">
      <c r="A42" s="61">
        <v>40</v>
      </c>
      <c r="B42" s="58">
        <v>8200</v>
      </c>
      <c r="C42" s="58">
        <f t="shared" si="0"/>
        <v>105600</v>
      </c>
      <c r="E42" s="61">
        <v>40</v>
      </c>
      <c r="F42" s="58">
        <v>33700</v>
      </c>
      <c r="G42" s="58">
        <v>416400</v>
      </c>
    </row>
    <row r="43" spans="1:7" x14ac:dyDescent="0.25">
      <c r="A43" s="61">
        <v>41</v>
      </c>
      <c r="B43" s="58">
        <v>8800</v>
      </c>
      <c r="C43" s="58">
        <f t="shared" si="0"/>
        <v>114400</v>
      </c>
      <c r="E43" s="61">
        <v>41</v>
      </c>
      <c r="F43" s="58">
        <v>35900</v>
      </c>
      <c r="G43" s="58">
        <v>452300</v>
      </c>
    </row>
    <row r="44" spans="1:7" x14ac:dyDescent="0.25">
      <c r="A44" s="61">
        <v>42</v>
      </c>
      <c r="B44" s="58">
        <v>9300</v>
      </c>
      <c r="C44" s="58">
        <f t="shared" si="0"/>
        <v>123700</v>
      </c>
      <c r="E44" s="61">
        <v>42</v>
      </c>
      <c r="F44" s="58">
        <v>38200</v>
      </c>
      <c r="G44" s="58">
        <v>490500</v>
      </c>
    </row>
    <row r="45" spans="1:7" x14ac:dyDescent="0.25">
      <c r="A45" s="61">
        <v>43</v>
      </c>
      <c r="B45" s="58">
        <v>9900</v>
      </c>
      <c r="C45" s="58">
        <f t="shared" si="0"/>
        <v>133600</v>
      </c>
      <c r="E45" s="61">
        <v>43</v>
      </c>
      <c r="F45" s="58">
        <v>40500</v>
      </c>
      <c r="G45" s="58">
        <v>531000</v>
      </c>
    </row>
    <row r="46" spans="1:7" x14ac:dyDescent="0.25">
      <c r="A46" s="61">
        <v>44</v>
      </c>
      <c r="B46" s="58">
        <v>10500</v>
      </c>
      <c r="C46" s="58">
        <f t="shared" si="0"/>
        <v>144100</v>
      </c>
      <c r="E46" s="61">
        <v>44</v>
      </c>
      <c r="F46" s="58">
        <v>43000</v>
      </c>
      <c r="G46" s="58">
        <v>574000</v>
      </c>
    </row>
    <row r="47" spans="1:7" x14ac:dyDescent="0.25">
      <c r="A47" s="61">
        <v>45</v>
      </c>
      <c r="B47" s="58">
        <v>11100</v>
      </c>
      <c r="C47" s="58">
        <f t="shared" si="0"/>
        <v>155200</v>
      </c>
      <c r="E47" s="61">
        <v>45</v>
      </c>
      <c r="F47" s="58">
        <v>45500</v>
      </c>
      <c r="G47" s="58">
        <v>619500</v>
      </c>
    </row>
    <row r="48" spans="1:7" x14ac:dyDescent="0.25">
      <c r="A48" s="61">
        <v>46</v>
      </c>
      <c r="B48" s="58">
        <v>11800</v>
      </c>
      <c r="C48" s="58">
        <f t="shared" si="0"/>
        <v>167000</v>
      </c>
      <c r="E48" s="61">
        <v>46</v>
      </c>
      <c r="F48" s="58">
        <v>48200</v>
      </c>
      <c r="G48" s="58">
        <v>667700</v>
      </c>
    </row>
    <row r="49" spans="1:7" x14ac:dyDescent="0.25">
      <c r="A49" s="61">
        <v>47</v>
      </c>
      <c r="B49" s="58">
        <v>12500</v>
      </c>
      <c r="C49" s="58">
        <f t="shared" si="0"/>
        <v>179500</v>
      </c>
      <c r="E49" s="61">
        <v>47</v>
      </c>
      <c r="F49" s="58">
        <v>50900</v>
      </c>
      <c r="G49" s="58">
        <v>718600</v>
      </c>
    </row>
    <row r="50" spans="1:7" x14ac:dyDescent="0.25">
      <c r="A50" s="61">
        <v>48</v>
      </c>
      <c r="B50" s="58">
        <v>13100</v>
      </c>
      <c r="C50" s="58">
        <f t="shared" si="0"/>
        <v>192600</v>
      </c>
      <c r="E50" s="61">
        <v>48</v>
      </c>
      <c r="F50" s="58">
        <v>53700</v>
      </c>
      <c r="G50" s="58">
        <v>772300</v>
      </c>
    </row>
    <row r="51" spans="1:7" x14ac:dyDescent="0.25">
      <c r="A51" s="61">
        <v>49</v>
      </c>
      <c r="B51" s="58">
        <v>13900</v>
      </c>
      <c r="C51" s="58">
        <f t="shared" si="0"/>
        <v>206500</v>
      </c>
      <c r="E51" s="61">
        <v>49</v>
      </c>
      <c r="F51" s="58">
        <v>56600</v>
      </c>
      <c r="G51" s="58">
        <v>828900</v>
      </c>
    </row>
    <row r="52" spans="1:7" x14ac:dyDescent="0.25">
      <c r="A52" s="61">
        <v>50</v>
      </c>
      <c r="B52" s="58">
        <v>14600</v>
      </c>
      <c r="C52" s="58">
        <f t="shared" si="0"/>
        <v>221100</v>
      </c>
      <c r="E52" s="61">
        <v>50</v>
      </c>
      <c r="F52" s="58">
        <v>59600</v>
      </c>
      <c r="G52" s="58">
        <v>888500</v>
      </c>
    </row>
    <row r="53" spans="1:7" x14ac:dyDescent="0.25">
      <c r="A53" s="61">
        <v>51</v>
      </c>
      <c r="B53" s="58">
        <v>15400</v>
      </c>
      <c r="C53" s="58">
        <f t="shared" si="0"/>
        <v>236500</v>
      </c>
      <c r="E53" s="61">
        <v>51</v>
      </c>
      <c r="F53" s="58">
        <v>62700</v>
      </c>
      <c r="G53" s="58">
        <v>951200</v>
      </c>
    </row>
    <row r="54" spans="1:7" x14ac:dyDescent="0.25">
      <c r="A54" s="61">
        <v>52</v>
      </c>
      <c r="B54" s="58">
        <v>16100</v>
      </c>
      <c r="C54" s="58">
        <f t="shared" si="0"/>
        <v>252600</v>
      </c>
      <c r="E54" s="61">
        <v>52</v>
      </c>
      <c r="F54" s="58">
        <v>65900</v>
      </c>
      <c r="G54" s="58">
        <v>1017100</v>
      </c>
    </row>
    <row r="55" spans="1:7" x14ac:dyDescent="0.25">
      <c r="A55" s="61">
        <v>53</v>
      </c>
      <c r="B55" s="58">
        <v>16900</v>
      </c>
      <c r="C55" s="58">
        <f t="shared" si="0"/>
        <v>269500</v>
      </c>
      <c r="E55" s="61">
        <v>53</v>
      </c>
      <c r="F55" s="58">
        <v>69200</v>
      </c>
      <c r="G55" s="58">
        <v>1086300</v>
      </c>
    </row>
    <row r="56" spans="1:7" x14ac:dyDescent="0.25">
      <c r="A56" s="61">
        <v>54</v>
      </c>
      <c r="B56" s="58">
        <v>17700</v>
      </c>
      <c r="C56" s="58">
        <f t="shared" si="0"/>
        <v>287200</v>
      </c>
      <c r="E56" s="61">
        <v>54</v>
      </c>
      <c r="F56" s="58">
        <v>72600</v>
      </c>
      <c r="G56" s="58">
        <v>1158900</v>
      </c>
    </row>
    <row r="57" spans="1:7" x14ac:dyDescent="0.25">
      <c r="A57" s="61">
        <v>55</v>
      </c>
      <c r="B57" s="58">
        <v>18600</v>
      </c>
      <c r="C57" s="58">
        <f t="shared" si="0"/>
        <v>305800</v>
      </c>
      <c r="E57" s="61">
        <v>55</v>
      </c>
      <c r="F57" s="58">
        <v>76000</v>
      </c>
      <c r="G57" s="58">
        <v>1234900</v>
      </c>
    </row>
    <row r="58" spans="1:7" x14ac:dyDescent="0.25">
      <c r="A58" s="61">
        <v>56</v>
      </c>
      <c r="B58" s="58">
        <v>19500</v>
      </c>
      <c r="C58" s="58">
        <f t="shared" si="0"/>
        <v>325300</v>
      </c>
      <c r="E58" s="61">
        <v>56</v>
      </c>
      <c r="F58" s="58">
        <v>79600</v>
      </c>
      <c r="G58" s="58">
        <v>1314500</v>
      </c>
    </row>
    <row r="59" spans="1:7" x14ac:dyDescent="0.25">
      <c r="A59" s="61">
        <v>57</v>
      </c>
      <c r="B59" s="58">
        <v>20400</v>
      </c>
      <c r="C59" s="58">
        <f t="shared" si="0"/>
        <v>345700</v>
      </c>
      <c r="E59" s="61">
        <v>57</v>
      </c>
      <c r="F59" s="58">
        <v>83300</v>
      </c>
      <c r="G59" s="58">
        <v>1397800</v>
      </c>
    </row>
    <row r="60" spans="1:7" x14ac:dyDescent="0.25">
      <c r="A60" s="61">
        <v>58</v>
      </c>
      <c r="B60" s="58">
        <v>21300</v>
      </c>
      <c r="C60" s="58">
        <f t="shared" si="0"/>
        <v>367000</v>
      </c>
      <c r="E60" s="61">
        <v>58</v>
      </c>
      <c r="F60" s="58">
        <v>87000</v>
      </c>
      <c r="G60" s="58">
        <v>1484800</v>
      </c>
    </row>
    <row r="61" spans="1:7" x14ac:dyDescent="0.25">
      <c r="A61" s="61">
        <v>59</v>
      </c>
      <c r="B61" s="58">
        <v>22300</v>
      </c>
      <c r="C61" s="58">
        <f t="shared" si="0"/>
        <v>389300</v>
      </c>
      <c r="E61" s="61">
        <v>59</v>
      </c>
      <c r="F61" s="58">
        <v>90900</v>
      </c>
      <c r="G61" s="58">
        <v>1575700</v>
      </c>
    </row>
    <row r="62" spans="1:7" x14ac:dyDescent="0.25">
      <c r="A62" s="61">
        <v>60</v>
      </c>
      <c r="B62" s="58">
        <v>23300</v>
      </c>
      <c r="C62" s="58">
        <f t="shared" si="0"/>
        <v>412600</v>
      </c>
      <c r="E62" s="61">
        <v>60</v>
      </c>
      <c r="F62" s="58">
        <v>94900</v>
      </c>
      <c r="G62" s="58">
        <v>1670600</v>
      </c>
    </row>
    <row r="63" spans="1:7" x14ac:dyDescent="0.25">
      <c r="A63" s="61">
        <v>61</v>
      </c>
      <c r="B63" s="58">
        <v>24300</v>
      </c>
      <c r="C63" s="58">
        <f t="shared" si="0"/>
        <v>436900</v>
      </c>
      <c r="E63" s="61">
        <v>61</v>
      </c>
      <c r="F63" s="58">
        <v>99000</v>
      </c>
      <c r="G63" s="58">
        <v>1769600</v>
      </c>
    </row>
    <row r="64" spans="1:7" x14ac:dyDescent="0.25">
      <c r="A64" s="61">
        <v>62</v>
      </c>
      <c r="B64" s="58">
        <v>25300</v>
      </c>
      <c r="C64" s="58">
        <f t="shared" si="0"/>
        <v>462200</v>
      </c>
      <c r="E64" s="61">
        <v>62</v>
      </c>
      <c r="F64" s="58">
        <v>103100</v>
      </c>
      <c r="G64" s="58">
        <v>1872700</v>
      </c>
    </row>
    <row r="65" spans="1:7" x14ac:dyDescent="0.25">
      <c r="A65" s="61">
        <v>63</v>
      </c>
      <c r="B65" s="58">
        <v>26300</v>
      </c>
      <c r="C65" s="58">
        <f t="shared" si="0"/>
        <v>488500</v>
      </c>
      <c r="E65" s="61">
        <v>63</v>
      </c>
      <c r="F65" s="58">
        <v>107400</v>
      </c>
      <c r="G65" s="58">
        <v>1980100</v>
      </c>
    </row>
    <row r="66" spans="1:7" x14ac:dyDescent="0.25">
      <c r="A66" s="61">
        <v>64</v>
      </c>
      <c r="B66" s="58">
        <v>27400</v>
      </c>
      <c r="C66" s="58">
        <f t="shared" si="0"/>
        <v>515900</v>
      </c>
      <c r="E66" s="61">
        <v>64</v>
      </c>
      <c r="F66" s="58">
        <v>111800</v>
      </c>
      <c r="G66" s="58">
        <v>2091900</v>
      </c>
    </row>
    <row r="67" spans="1:7" x14ac:dyDescent="0.25">
      <c r="A67" s="61">
        <v>65</v>
      </c>
      <c r="B67" s="58">
        <v>28500</v>
      </c>
      <c r="C67" s="58">
        <f t="shared" si="0"/>
        <v>544400</v>
      </c>
      <c r="E67" s="61">
        <v>65</v>
      </c>
      <c r="F67" s="58">
        <v>116300</v>
      </c>
      <c r="G67" s="58">
        <v>2208200</v>
      </c>
    </row>
    <row r="68" spans="1:7" x14ac:dyDescent="0.25">
      <c r="A68" s="61">
        <v>66</v>
      </c>
      <c r="B68" s="58">
        <v>29600</v>
      </c>
      <c r="C68" s="58">
        <f t="shared" si="0"/>
        <v>574000</v>
      </c>
      <c r="E68" s="61">
        <v>66</v>
      </c>
      <c r="F68" s="58">
        <v>120900</v>
      </c>
      <c r="G68" s="58">
        <v>2329100</v>
      </c>
    </row>
    <row r="69" spans="1:7" x14ac:dyDescent="0.25">
      <c r="A69" s="61">
        <v>67</v>
      </c>
      <c r="B69" s="58">
        <v>30800</v>
      </c>
      <c r="C69" s="58">
        <f t="shared" ref="C69:C122" si="1">B69+C68</f>
        <v>604800</v>
      </c>
      <c r="E69" s="61">
        <v>67</v>
      </c>
      <c r="F69" s="58">
        <v>125600</v>
      </c>
      <c r="G69" s="58">
        <v>2454700</v>
      </c>
    </row>
    <row r="70" spans="1:7" x14ac:dyDescent="0.25">
      <c r="A70" s="61">
        <v>68</v>
      </c>
      <c r="B70" s="58">
        <v>32000</v>
      </c>
      <c r="C70" s="58">
        <f t="shared" si="1"/>
        <v>636800</v>
      </c>
      <c r="E70" s="61">
        <v>68</v>
      </c>
      <c r="F70" s="58">
        <v>130400</v>
      </c>
      <c r="G70" s="58">
        <v>2585100</v>
      </c>
    </row>
    <row r="71" spans="1:7" x14ac:dyDescent="0.25">
      <c r="A71" s="61">
        <v>69</v>
      </c>
      <c r="B71" s="58">
        <v>33200</v>
      </c>
      <c r="C71" s="58">
        <f t="shared" si="1"/>
        <v>670000</v>
      </c>
      <c r="E71" s="61">
        <v>69</v>
      </c>
      <c r="F71" s="58">
        <v>135300</v>
      </c>
      <c r="G71" s="58">
        <v>2720400</v>
      </c>
    </row>
    <row r="72" spans="1:7" x14ac:dyDescent="0.25">
      <c r="A72" s="61">
        <v>70</v>
      </c>
      <c r="B72" s="58">
        <v>34400</v>
      </c>
      <c r="C72" s="58">
        <f t="shared" si="1"/>
        <v>704400</v>
      </c>
      <c r="E72" s="61">
        <v>70</v>
      </c>
      <c r="F72" s="58">
        <v>140400</v>
      </c>
      <c r="G72" s="58">
        <v>2860800</v>
      </c>
    </row>
    <row r="73" spans="1:7" x14ac:dyDescent="0.25">
      <c r="A73" s="61">
        <v>71</v>
      </c>
      <c r="B73" s="58">
        <v>45100</v>
      </c>
      <c r="C73" s="58">
        <f t="shared" si="1"/>
        <v>749500</v>
      </c>
      <c r="E73" s="61">
        <v>71</v>
      </c>
      <c r="F73" s="58">
        <v>145500</v>
      </c>
      <c r="G73" s="58">
        <v>3006300</v>
      </c>
    </row>
    <row r="74" spans="1:7" x14ac:dyDescent="0.25">
      <c r="A74" s="61">
        <v>72</v>
      </c>
      <c r="B74" s="58">
        <v>46800</v>
      </c>
      <c r="C74" s="58">
        <f t="shared" si="1"/>
        <v>796300</v>
      </c>
      <c r="E74" s="61">
        <v>72</v>
      </c>
      <c r="F74" s="58">
        <v>150800</v>
      </c>
      <c r="G74" s="58">
        <v>3157100</v>
      </c>
    </row>
    <row r="75" spans="1:7" x14ac:dyDescent="0.25">
      <c r="A75" s="61">
        <v>73</v>
      </c>
      <c r="B75" s="58">
        <v>48600</v>
      </c>
      <c r="C75" s="58">
        <f t="shared" si="1"/>
        <v>844900</v>
      </c>
      <c r="E75" s="61">
        <v>73</v>
      </c>
      <c r="F75" s="58">
        <v>156100</v>
      </c>
      <c r="G75" s="58">
        <v>3313200</v>
      </c>
    </row>
    <row r="76" spans="1:7" x14ac:dyDescent="0.25">
      <c r="A76" s="61">
        <v>74</v>
      </c>
      <c r="B76" s="58">
        <v>50400</v>
      </c>
      <c r="C76" s="58">
        <f t="shared" si="1"/>
        <v>895300</v>
      </c>
      <c r="E76" s="61">
        <v>74</v>
      </c>
      <c r="F76" s="58">
        <v>161600</v>
      </c>
      <c r="G76" s="58">
        <v>3474800</v>
      </c>
    </row>
    <row r="77" spans="1:7" x14ac:dyDescent="0.25">
      <c r="A77" s="61">
        <v>75</v>
      </c>
      <c r="B77" s="58">
        <v>52200</v>
      </c>
      <c r="C77" s="58">
        <f t="shared" si="1"/>
        <v>947500</v>
      </c>
      <c r="E77" s="61">
        <v>75</v>
      </c>
      <c r="F77" s="58">
        <v>167200</v>
      </c>
      <c r="G77" s="58">
        <v>3642000</v>
      </c>
    </row>
    <row r="78" spans="1:7" x14ac:dyDescent="0.25">
      <c r="A78" s="61">
        <v>76</v>
      </c>
      <c r="B78" s="58">
        <v>54000</v>
      </c>
      <c r="C78" s="58">
        <f t="shared" si="1"/>
        <v>1001500</v>
      </c>
      <c r="E78" s="61">
        <v>76</v>
      </c>
      <c r="F78" s="58">
        <v>172900</v>
      </c>
      <c r="G78" s="58">
        <v>3814900</v>
      </c>
    </row>
    <row r="79" spans="1:7" x14ac:dyDescent="0.25">
      <c r="A79" s="61">
        <v>77</v>
      </c>
      <c r="B79" s="58">
        <v>55900</v>
      </c>
      <c r="C79" s="58">
        <f t="shared" si="1"/>
        <v>1057400</v>
      </c>
      <c r="E79" s="61">
        <v>77</v>
      </c>
      <c r="F79" s="58">
        <v>178700</v>
      </c>
      <c r="G79" s="58">
        <v>3993600</v>
      </c>
    </row>
    <row r="80" spans="1:7" x14ac:dyDescent="0.25">
      <c r="A80" s="61">
        <v>78</v>
      </c>
      <c r="B80" s="58">
        <v>57900</v>
      </c>
      <c r="C80" s="58">
        <f t="shared" si="1"/>
        <v>1115300</v>
      </c>
      <c r="E80" s="61">
        <v>78</v>
      </c>
      <c r="F80" s="58">
        <v>184700</v>
      </c>
      <c r="G80" s="58">
        <v>4178300</v>
      </c>
    </row>
    <row r="81" spans="1:7" x14ac:dyDescent="0.25">
      <c r="A81" s="61">
        <v>79</v>
      </c>
      <c r="B81" s="58">
        <v>59800</v>
      </c>
      <c r="C81" s="58">
        <f t="shared" si="1"/>
        <v>1175100</v>
      </c>
      <c r="E81" s="61">
        <v>79</v>
      </c>
      <c r="F81" s="58">
        <v>190700</v>
      </c>
      <c r="G81" s="58">
        <v>4369000</v>
      </c>
    </row>
    <row r="82" spans="1:7" x14ac:dyDescent="0.25">
      <c r="A82" s="61">
        <v>80</v>
      </c>
      <c r="B82" s="58">
        <v>61800</v>
      </c>
      <c r="C82" s="58">
        <f t="shared" si="1"/>
        <v>1236900</v>
      </c>
      <c r="E82" s="61">
        <v>80</v>
      </c>
      <c r="F82" s="58">
        <v>196900</v>
      </c>
      <c r="G82" s="58">
        <v>4565900</v>
      </c>
    </row>
    <row r="83" spans="1:7" x14ac:dyDescent="0.25">
      <c r="A83" s="61">
        <v>81</v>
      </c>
      <c r="B83" s="58">
        <v>63900</v>
      </c>
      <c r="C83" s="58">
        <f t="shared" si="1"/>
        <v>1300800</v>
      </c>
      <c r="E83" s="61">
        <v>81</v>
      </c>
      <c r="F83" s="58">
        <v>203200</v>
      </c>
      <c r="G83" s="58">
        <v>4769100</v>
      </c>
    </row>
    <row r="84" spans="1:7" x14ac:dyDescent="0.25">
      <c r="A84" s="61">
        <v>82</v>
      </c>
      <c r="B84" s="58">
        <v>66000</v>
      </c>
      <c r="C84" s="58">
        <f t="shared" si="1"/>
        <v>1366800</v>
      </c>
      <c r="E84" s="61">
        <v>82</v>
      </c>
      <c r="F84" s="58">
        <v>209600</v>
      </c>
      <c r="G84" s="58">
        <v>4978700</v>
      </c>
    </row>
    <row r="85" spans="1:7" x14ac:dyDescent="0.25">
      <c r="A85" s="61">
        <v>83</v>
      </c>
      <c r="B85" s="58">
        <v>68100</v>
      </c>
      <c r="C85" s="58">
        <f t="shared" si="1"/>
        <v>1434900</v>
      </c>
      <c r="E85" s="61">
        <v>83</v>
      </c>
      <c r="F85" s="58">
        <v>216100</v>
      </c>
      <c r="G85" s="58">
        <v>5194800</v>
      </c>
    </row>
    <row r="86" spans="1:7" x14ac:dyDescent="0.25">
      <c r="A86" s="61">
        <v>84</v>
      </c>
      <c r="B86" s="58">
        <v>70300</v>
      </c>
      <c r="C86" s="58">
        <f t="shared" si="1"/>
        <v>1505200</v>
      </c>
      <c r="E86" s="61">
        <v>84</v>
      </c>
      <c r="F86" s="58">
        <v>222800</v>
      </c>
      <c r="G86" s="58">
        <v>5417600</v>
      </c>
    </row>
    <row r="87" spans="1:7" x14ac:dyDescent="0.25">
      <c r="A87" s="61">
        <v>85</v>
      </c>
      <c r="B87" s="58">
        <v>72600</v>
      </c>
      <c r="C87" s="58">
        <f t="shared" si="1"/>
        <v>1577800</v>
      </c>
      <c r="E87" s="61">
        <v>85</v>
      </c>
      <c r="F87" s="58">
        <v>229600</v>
      </c>
      <c r="G87" s="58">
        <v>5647200</v>
      </c>
    </row>
    <row r="88" spans="1:7" x14ac:dyDescent="0.25">
      <c r="A88" s="61">
        <v>86</v>
      </c>
      <c r="B88" s="58">
        <v>74800</v>
      </c>
      <c r="C88" s="58">
        <f t="shared" si="1"/>
        <v>1652600</v>
      </c>
      <c r="E88" s="61">
        <v>86</v>
      </c>
      <c r="F88" s="58">
        <v>236500</v>
      </c>
      <c r="G88" s="58">
        <v>5883700</v>
      </c>
    </row>
    <row r="89" spans="1:7" x14ac:dyDescent="0.25">
      <c r="A89" s="61">
        <v>87</v>
      </c>
      <c r="B89" s="58">
        <v>77100</v>
      </c>
      <c r="C89" s="58">
        <f t="shared" si="1"/>
        <v>1729700</v>
      </c>
      <c r="E89" s="61">
        <v>87</v>
      </c>
      <c r="F89" s="58">
        <v>243500</v>
      </c>
      <c r="G89" s="58">
        <v>6127200</v>
      </c>
    </row>
    <row r="90" spans="1:7" x14ac:dyDescent="0.25">
      <c r="A90" s="61">
        <v>88</v>
      </c>
      <c r="B90" s="58">
        <v>79500</v>
      </c>
      <c r="C90" s="58">
        <f t="shared" si="1"/>
        <v>1809200</v>
      </c>
      <c r="E90" s="61">
        <v>88</v>
      </c>
      <c r="F90" s="58">
        <v>250600</v>
      </c>
      <c r="G90" s="58">
        <v>6377800</v>
      </c>
    </row>
    <row r="91" spans="1:7" x14ac:dyDescent="0.25">
      <c r="A91" s="61">
        <v>89</v>
      </c>
      <c r="B91" s="58">
        <v>81900</v>
      </c>
      <c r="C91" s="58">
        <f t="shared" si="1"/>
        <v>1891100</v>
      </c>
      <c r="E91" s="61">
        <v>89</v>
      </c>
      <c r="F91" s="58">
        <v>257900</v>
      </c>
      <c r="G91" s="58">
        <v>6635700</v>
      </c>
    </row>
    <row r="92" spans="1:7" x14ac:dyDescent="0.25">
      <c r="A92" s="61">
        <v>90</v>
      </c>
      <c r="B92" s="58">
        <v>84300</v>
      </c>
      <c r="C92" s="58">
        <f t="shared" si="1"/>
        <v>1975400</v>
      </c>
      <c r="E92" s="61">
        <v>90</v>
      </c>
      <c r="F92" s="58">
        <v>265300</v>
      </c>
      <c r="G92" s="58">
        <v>6901000</v>
      </c>
    </row>
    <row r="93" spans="1:7" x14ac:dyDescent="0.25">
      <c r="A93" s="61">
        <v>91</v>
      </c>
      <c r="B93" s="58">
        <v>112600</v>
      </c>
      <c r="C93" s="58">
        <f t="shared" si="1"/>
        <v>2088000</v>
      </c>
      <c r="E93" s="61">
        <v>91</v>
      </c>
      <c r="F93" s="58">
        <v>272800</v>
      </c>
      <c r="G93" s="58">
        <v>7173800</v>
      </c>
    </row>
    <row r="94" spans="1:7" x14ac:dyDescent="0.25">
      <c r="A94" s="61">
        <v>92</v>
      </c>
      <c r="B94" s="58">
        <v>116100</v>
      </c>
      <c r="C94" s="58">
        <f t="shared" si="1"/>
        <v>2204100</v>
      </c>
      <c r="E94" s="61">
        <v>92</v>
      </c>
      <c r="F94" s="58">
        <v>280400</v>
      </c>
      <c r="G94" s="58">
        <v>7454200</v>
      </c>
    </row>
    <row r="95" spans="1:7" x14ac:dyDescent="0.25">
      <c r="A95" s="61">
        <v>93</v>
      </c>
      <c r="B95" s="58">
        <v>119500</v>
      </c>
      <c r="C95" s="58">
        <f t="shared" si="1"/>
        <v>2323600</v>
      </c>
      <c r="E95" s="61">
        <v>93</v>
      </c>
      <c r="F95" s="58">
        <v>288200</v>
      </c>
      <c r="G95" s="58">
        <v>7742400</v>
      </c>
    </row>
    <row r="96" spans="1:7" x14ac:dyDescent="0.25">
      <c r="A96" s="61">
        <v>94</v>
      </c>
      <c r="B96" s="58">
        <v>123100</v>
      </c>
      <c r="C96" s="58">
        <f t="shared" si="1"/>
        <v>2446700</v>
      </c>
      <c r="E96" s="61">
        <v>94</v>
      </c>
      <c r="F96" s="58">
        <v>296100</v>
      </c>
      <c r="G96" s="58">
        <v>8038500</v>
      </c>
    </row>
    <row r="97" spans="1:111" x14ac:dyDescent="0.25">
      <c r="A97" s="61">
        <v>95</v>
      </c>
      <c r="B97" s="58">
        <v>126700</v>
      </c>
      <c r="C97" s="58">
        <f t="shared" si="1"/>
        <v>2573400</v>
      </c>
      <c r="E97" s="61">
        <v>95</v>
      </c>
      <c r="F97" s="58">
        <v>304100</v>
      </c>
      <c r="G97" s="58">
        <v>8342600</v>
      </c>
    </row>
    <row r="98" spans="1:111" x14ac:dyDescent="0.25">
      <c r="A98" s="61">
        <v>96</v>
      </c>
      <c r="B98" s="58">
        <v>130400</v>
      </c>
      <c r="C98" s="58">
        <f t="shared" si="1"/>
        <v>2703800</v>
      </c>
      <c r="E98" s="61">
        <v>96</v>
      </c>
      <c r="F98" s="58">
        <v>312300</v>
      </c>
      <c r="G98" s="58">
        <v>8654900</v>
      </c>
    </row>
    <row r="99" spans="1:111" x14ac:dyDescent="0.25">
      <c r="A99" s="61">
        <v>97</v>
      </c>
      <c r="B99" s="58">
        <v>134100</v>
      </c>
      <c r="C99" s="58">
        <f t="shared" si="1"/>
        <v>2837900</v>
      </c>
      <c r="E99" s="61">
        <v>97</v>
      </c>
      <c r="F99" s="58">
        <v>320600</v>
      </c>
      <c r="G99" s="58">
        <v>8975500</v>
      </c>
    </row>
    <row r="100" spans="1:111" x14ac:dyDescent="0.25">
      <c r="A100" s="61">
        <v>98</v>
      </c>
      <c r="B100" s="58">
        <v>137900</v>
      </c>
      <c r="C100" s="58">
        <f t="shared" si="1"/>
        <v>2975800</v>
      </c>
      <c r="E100" s="61">
        <v>98</v>
      </c>
      <c r="F100" s="58">
        <v>329000</v>
      </c>
      <c r="G100" s="58">
        <v>9304500</v>
      </c>
    </row>
    <row r="101" spans="1:111" x14ac:dyDescent="0.25">
      <c r="A101" s="61">
        <v>99</v>
      </c>
      <c r="B101" s="58">
        <v>141800</v>
      </c>
      <c r="C101" s="58">
        <f t="shared" si="1"/>
        <v>3117600</v>
      </c>
      <c r="E101" s="61">
        <v>99</v>
      </c>
      <c r="F101" s="58">
        <v>337500</v>
      </c>
      <c r="G101" s="58">
        <v>9642000</v>
      </c>
    </row>
    <row r="102" spans="1:111" x14ac:dyDescent="0.25">
      <c r="A102" s="61">
        <v>100</v>
      </c>
      <c r="B102" s="58">
        <v>145700</v>
      </c>
      <c r="C102" s="58">
        <f t="shared" si="1"/>
        <v>3263300</v>
      </c>
      <c r="E102" s="62">
        <v>100</v>
      </c>
      <c r="F102" s="59">
        <v>357000</v>
      </c>
      <c r="G102" s="59">
        <v>9999000</v>
      </c>
    </row>
    <row r="103" spans="1:111" x14ac:dyDescent="0.25">
      <c r="A103" s="61">
        <v>101</v>
      </c>
      <c r="B103" s="58">
        <v>100000</v>
      </c>
      <c r="C103" s="58">
        <f t="shared" si="1"/>
        <v>3363300</v>
      </c>
    </row>
    <row r="104" spans="1:111" x14ac:dyDescent="0.25">
      <c r="A104" s="61">
        <v>102</v>
      </c>
      <c r="B104" s="58">
        <v>120000</v>
      </c>
      <c r="C104" s="58">
        <f t="shared" si="1"/>
        <v>3483300</v>
      </c>
    </row>
    <row r="105" spans="1:111" x14ac:dyDescent="0.25">
      <c r="A105" s="61">
        <v>103</v>
      </c>
      <c r="B105" s="58">
        <v>140000</v>
      </c>
      <c r="C105" s="58">
        <f t="shared" si="1"/>
        <v>3623300</v>
      </c>
    </row>
    <row r="106" spans="1:111" x14ac:dyDescent="0.25">
      <c r="A106" s="61">
        <v>104</v>
      </c>
      <c r="B106" s="58">
        <v>160000</v>
      </c>
      <c r="C106" s="58">
        <f t="shared" si="1"/>
        <v>3783300</v>
      </c>
    </row>
    <row r="107" spans="1:111" x14ac:dyDescent="0.25">
      <c r="A107" s="61">
        <v>105</v>
      </c>
      <c r="B107" s="58">
        <v>180000</v>
      </c>
      <c r="C107" s="58">
        <f t="shared" si="1"/>
        <v>3963300</v>
      </c>
    </row>
    <row r="108" spans="1:111" x14ac:dyDescent="0.25">
      <c r="A108" s="61">
        <v>106</v>
      </c>
      <c r="B108" s="58">
        <v>200000</v>
      </c>
      <c r="C108" s="58">
        <f t="shared" si="1"/>
        <v>4163300</v>
      </c>
      <c r="L108" s="102"/>
    </row>
    <row r="109" spans="1:111" x14ac:dyDescent="0.25">
      <c r="A109" s="61">
        <v>107</v>
      </c>
      <c r="B109" s="58">
        <v>220000</v>
      </c>
      <c r="C109" s="58">
        <f t="shared" si="1"/>
        <v>4383300</v>
      </c>
    </row>
    <row r="110" spans="1:111" x14ac:dyDescent="0.25">
      <c r="A110" s="61">
        <v>108</v>
      </c>
      <c r="B110" s="58">
        <v>240000</v>
      </c>
      <c r="C110" s="58">
        <f t="shared" si="1"/>
        <v>4623300</v>
      </c>
      <c r="L110" s="102"/>
      <c r="DG110" s="54" t="s">
        <v>909</v>
      </c>
    </row>
    <row r="111" spans="1:111" x14ac:dyDescent="0.25">
      <c r="A111" s="61">
        <v>109</v>
      </c>
      <c r="B111" s="58">
        <v>280000</v>
      </c>
      <c r="C111" s="58">
        <f t="shared" si="1"/>
        <v>4903300</v>
      </c>
    </row>
    <row r="112" spans="1:111" x14ac:dyDescent="0.25">
      <c r="A112" s="61">
        <v>110</v>
      </c>
      <c r="B112" s="58">
        <v>360000</v>
      </c>
      <c r="C112" s="58">
        <f t="shared" si="1"/>
        <v>5263300</v>
      </c>
    </row>
    <row r="113" spans="1:3" x14ac:dyDescent="0.25">
      <c r="A113" s="61">
        <v>111</v>
      </c>
      <c r="B113" s="58">
        <v>480000</v>
      </c>
      <c r="C113" s="58">
        <f t="shared" si="1"/>
        <v>5743300</v>
      </c>
    </row>
    <row r="114" spans="1:3" x14ac:dyDescent="0.25">
      <c r="A114" s="61">
        <v>112</v>
      </c>
      <c r="B114" s="58">
        <v>640000</v>
      </c>
      <c r="C114" s="58">
        <f t="shared" si="1"/>
        <v>6383300</v>
      </c>
    </row>
    <row r="115" spans="1:3" x14ac:dyDescent="0.25">
      <c r="A115" s="61">
        <v>113</v>
      </c>
      <c r="B115" s="58">
        <v>900000</v>
      </c>
      <c r="C115" s="58">
        <f t="shared" si="1"/>
        <v>7283300</v>
      </c>
    </row>
    <row r="116" spans="1:3" x14ac:dyDescent="0.25">
      <c r="A116" s="61">
        <v>114</v>
      </c>
      <c r="B116" s="58">
        <v>1200000</v>
      </c>
      <c r="C116" s="58">
        <f t="shared" si="1"/>
        <v>8483300</v>
      </c>
    </row>
    <row r="117" spans="1:3" x14ac:dyDescent="0.25">
      <c r="A117" s="61">
        <v>115</v>
      </c>
      <c r="B117" s="58">
        <v>1600000</v>
      </c>
      <c r="C117" s="58">
        <f t="shared" si="1"/>
        <v>10083300</v>
      </c>
    </row>
    <row r="118" spans="1:3" x14ac:dyDescent="0.25">
      <c r="A118" s="61">
        <v>116</v>
      </c>
      <c r="B118" s="58">
        <v>2200000</v>
      </c>
      <c r="C118" s="58">
        <f t="shared" si="1"/>
        <v>12283300</v>
      </c>
    </row>
    <row r="119" spans="1:3" x14ac:dyDescent="0.25">
      <c r="A119" s="61">
        <v>117</v>
      </c>
      <c r="B119" s="58">
        <v>3000000</v>
      </c>
      <c r="C119" s="58">
        <f t="shared" si="1"/>
        <v>15283300</v>
      </c>
    </row>
    <row r="120" spans="1:3" x14ac:dyDescent="0.25">
      <c r="A120" s="61">
        <v>118</v>
      </c>
      <c r="B120" s="58">
        <v>4000000</v>
      </c>
      <c r="C120" s="58">
        <f t="shared" si="1"/>
        <v>19283300</v>
      </c>
    </row>
    <row r="121" spans="1:3" x14ac:dyDescent="0.25">
      <c r="A121" s="61">
        <v>119</v>
      </c>
      <c r="B121" s="58">
        <v>5000000</v>
      </c>
      <c r="C121" s="58">
        <f t="shared" si="1"/>
        <v>24283300</v>
      </c>
    </row>
    <row r="122" spans="1:3" x14ac:dyDescent="0.25">
      <c r="A122" s="62">
        <v>120</v>
      </c>
      <c r="B122" s="59">
        <v>6000000</v>
      </c>
      <c r="C122" s="58">
        <f t="shared" si="1"/>
        <v>30283300</v>
      </c>
    </row>
    <row r="123" spans="1:3" x14ac:dyDescent="0.25">
      <c r="A123" s="55"/>
    </row>
    <row r="126" spans="1:3" x14ac:dyDescent="0.25">
      <c r="A126" s="55"/>
    </row>
    <row r="127" spans="1:3" x14ac:dyDescent="0.25">
      <c r="A127" s="55"/>
    </row>
    <row r="130" spans="1:1" x14ac:dyDescent="0.25">
      <c r="A130" s="55"/>
    </row>
    <row r="131" spans="1:1" x14ac:dyDescent="0.25">
      <c r="A131" s="55"/>
    </row>
    <row r="134" spans="1:1" x14ac:dyDescent="0.25">
      <c r="A134" s="55"/>
    </row>
    <row r="135" spans="1:1" x14ac:dyDescent="0.25">
      <c r="A135" s="55"/>
    </row>
    <row r="138" spans="1:1" x14ac:dyDescent="0.25">
      <c r="A138" s="55"/>
    </row>
    <row r="139" spans="1:1" x14ac:dyDescent="0.25">
      <c r="A139" s="55"/>
    </row>
    <row r="143" spans="1:1" x14ac:dyDescent="0.25">
      <c r="A143" s="55"/>
    </row>
    <row r="144" spans="1:1" x14ac:dyDescent="0.25">
      <c r="A144" s="55"/>
    </row>
    <row r="147" spans="1:1" x14ac:dyDescent="0.25">
      <c r="A147" s="55"/>
    </row>
    <row r="148" spans="1:1" x14ac:dyDescent="0.25">
      <c r="A148" s="55"/>
    </row>
    <row r="151" spans="1:1" x14ac:dyDescent="0.25">
      <c r="A151" s="55"/>
    </row>
    <row r="152" spans="1:1" x14ac:dyDescent="0.25">
      <c r="A152" s="55"/>
    </row>
    <row r="155" spans="1:1" x14ac:dyDescent="0.25">
      <c r="A155" s="55"/>
    </row>
    <row r="156" spans="1:1" x14ac:dyDescent="0.25">
      <c r="A156" s="55"/>
    </row>
    <row r="159" spans="1:1" x14ac:dyDescent="0.25">
      <c r="A159" s="55"/>
    </row>
    <row r="160" spans="1:1" x14ac:dyDescent="0.25">
      <c r="A160" s="55"/>
    </row>
    <row r="164" spans="1:1" x14ac:dyDescent="0.25">
      <c r="A164" s="55"/>
    </row>
    <row r="165" spans="1:1" x14ac:dyDescent="0.25">
      <c r="A165" s="55"/>
    </row>
    <row r="168" spans="1:1" x14ac:dyDescent="0.25">
      <c r="A168" s="55"/>
    </row>
    <row r="169" spans="1:1" x14ac:dyDescent="0.25">
      <c r="A169" s="55"/>
    </row>
    <row r="172" spans="1:1" x14ac:dyDescent="0.25">
      <c r="A172" s="55"/>
    </row>
    <row r="173" spans="1:1" x14ac:dyDescent="0.25">
      <c r="A173" s="55"/>
    </row>
    <row r="176" spans="1:1" x14ac:dyDescent="0.25">
      <c r="A176" s="55"/>
    </row>
    <row r="177" spans="1:1" x14ac:dyDescent="0.25">
      <c r="A177" s="55"/>
    </row>
    <row r="180" spans="1:1" x14ac:dyDescent="0.25">
      <c r="A180" s="55"/>
    </row>
    <row r="181" spans="1:1" x14ac:dyDescent="0.25">
      <c r="A181" s="55"/>
    </row>
  </sheetData>
  <mergeCells count="3">
    <mergeCell ref="A1:C1"/>
    <mergeCell ref="E1:G1"/>
    <mergeCell ref="I1:N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7"/>
  <sheetViews>
    <sheetView workbookViewId="0"/>
  </sheetViews>
  <sheetFormatPr defaultRowHeight="15" x14ac:dyDescent="0.25"/>
  <sheetData>
    <row r="2" spans="2:6" x14ac:dyDescent="0.25">
      <c r="B2" s="10" t="s">
        <v>922</v>
      </c>
    </row>
    <row r="3" spans="2:6" x14ac:dyDescent="0.25">
      <c r="B3" s="60">
        <v>9</v>
      </c>
      <c r="C3" s="60">
        <v>14</v>
      </c>
      <c r="D3" s="64">
        <v>19</v>
      </c>
    </row>
    <row r="4" spans="2:6" x14ac:dyDescent="0.25">
      <c r="B4" s="60">
        <v>8</v>
      </c>
      <c r="C4" s="60">
        <v>13</v>
      </c>
      <c r="D4" s="64">
        <v>18</v>
      </c>
    </row>
    <row r="5" spans="2:6" x14ac:dyDescent="0.25">
      <c r="B5" s="60">
        <v>7</v>
      </c>
      <c r="C5" s="60">
        <v>12</v>
      </c>
      <c r="D5" s="64">
        <v>17</v>
      </c>
    </row>
    <row r="7" spans="2:6" x14ac:dyDescent="0.25">
      <c r="B7" s="10" t="s">
        <v>923</v>
      </c>
    </row>
    <row r="8" spans="2:6" x14ac:dyDescent="0.25">
      <c r="B8" s="1" t="s">
        <v>924</v>
      </c>
      <c r="C8" s="1" t="s">
        <v>925</v>
      </c>
      <c r="D8" s="1" t="s">
        <v>920</v>
      </c>
      <c r="E8" s="1" t="s">
        <v>921</v>
      </c>
      <c r="F8" s="1" t="s">
        <v>930</v>
      </c>
    </row>
    <row r="9" spans="2:6" x14ac:dyDescent="0.25">
      <c r="B9" s="1">
        <v>9</v>
      </c>
      <c r="C9" s="9" t="s">
        <v>904</v>
      </c>
      <c r="D9" s="9" t="s">
        <v>932</v>
      </c>
      <c r="E9" s="9" t="str">
        <f>CLEAN(TRIM(SUBSTITUTE(D9,B9&amp;10,B9&amp;Main!D33)))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4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899</v>
      </c>
      <c r="D10" s="9" t="s">
        <v>933</v>
      </c>
      <c r="E10" s="9" t="str">
        <f>CLEAN(TRIM(SUBSTITUTE(D10,B10&amp;10,B10&amp;Main!D34)))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900</v>
      </c>
      <c r="D11" s="9" t="s">
        <v>934</v>
      </c>
      <c r="E11" s="9" t="str">
        <f>CLEAN(TRIM(SUBSTITUTE(D11,B11&amp;10,B11&amp;Main!D35)))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17</v>
      </c>
      <c r="C12" s="9" t="s">
        <v>901</v>
      </c>
      <c r="D12" s="9" t="s">
        <v>935</v>
      </c>
      <c r="E12" s="9" t="str">
        <f>CLEAN(TRIM(SUBSTITUTE(D12,B12&amp;10,B12&amp;Main!D36)))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2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3" spans="2:6" x14ac:dyDescent="0.25">
      <c r="B13" s="1">
        <v>17</v>
      </c>
      <c r="C13" s="9" t="s">
        <v>902</v>
      </c>
      <c r="D13" s="9" t="s">
        <v>931</v>
      </c>
      <c r="E13" s="9" t="str">
        <f>CLEAN(TRIM(SUBSTITUTE(D13,B13&amp;10,B13&amp;Main!D37)))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4" spans="2:6" x14ac:dyDescent="0.25">
      <c r="B14" s="1">
        <v>17</v>
      </c>
      <c r="C14" s="9" t="s">
        <v>903</v>
      </c>
      <c r="D14" s="9" t="s">
        <v>936</v>
      </c>
      <c r="E14" s="9" t="str">
        <f>CLEAN(TRIM(SUBSTITUTE(D14,B14&amp;10,B14&amp;Main!D38)))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6" spans="2:6" x14ac:dyDescent="0.25">
      <c r="B16" s="103" t="s">
        <v>926</v>
      </c>
    </row>
    <row r="17" spans="2:2" x14ac:dyDescent="0.25">
      <c r="B17" t="s">
        <v>929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33" max="33" width="2.85546875" style="56" customWidth="1"/>
  </cols>
  <sheetData>
    <row r="1" spans="1:51" x14ac:dyDescent="0.25">
      <c r="A1" s="10" t="s">
        <v>385</v>
      </c>
      <c r="B1" s="10" t="s">
        <v>370</v>
      </c>
      <c r="C1" s="57" t="s">
        <v>386</v>
      </c>
      <c r="D1" s="57" t="s">
        <v>387</v>
      </c>
      <c r="E1" s="57" t="s">
        <v>388</v>
      </c>
      <c r="F1" s="57" t="s">
        <v>389</v>
      </c>
      <c r="G1" s="57" t="s">
        <v>409</v>
      </c>
      <c r="H1" s="57" t="s">
        <v>390</v>
      </c>
      <c r="I1" s="57" t="s">
        <v>391</v>
      </c>
      <c r="J1" s="57" t="s">
        <v>392</v>
      </c>
      <c r="K1" s="57" t="s">
        <v>393</v>
      </c>
      <c r="L1" s="57" t="s">
        <v>410</v>
      </c>
      <c r="M1" s="57" t="s">
        <v>394</v>
      </c>
      <c r="N1" s="57" t="s">
        <v>395</v>
      </c>
      <c r="O1" s="57" t="s">
        <v>396</v>
      </c>
      <c r="P1" s="57" t="s">
        <v>397</v>
      </c>
      <c r="Q1" s="57" t="s">
        <v>411</v>
      </c>
      <c r="R1" s="57" t="s">
        <v>398</v>
      </c>
      <c r="S1" s="57" t="s">
        <v>399</v>
      </c>
      <c r="T1" s="57" t="s">
        <v>400</v>
      </c>
      <c r="U1" s="57" t="s">
        <v>401</v>
      </c>
      <c r="V1" s="57" t="s">
        <v>412</v>
      </c>
      <c r="W1" s="57" t="s">
        <v>402</v>
      </c>
      <c r="X1" s="57" t="s">
        <v>134</v>
      </c>
      <c r="Y1" s="57" t="s">
        <v>403</v>
      </c>
      <c r="Z1" s="57" t="s">
        <v>404</v>
      </c>
      <c r="AA1" s="57" t="s">
        <v>413</v>
      </c>
      <c r="AB1" s="57" t="s">
        <v>405</v>
      </c>
      <c r="AC1" s="57" t="s">
        <v>406</v>
      </c>
      <c r="AD1" s="57" t="s">
        <v>407</v>
      </c>
      <c r="AE1" s="57" t="s">
        <v>408</v>
      </c>
      <c r="AF1" s="57" t="s">
        <v>414</v>
      </c>
      <c r="AG1" s="104"/>
      <c r="AH1" s="57" t="s">
        <v>828</v>
      </c>
      <c r="AI1" s="57" t="s">
        <v>829</v>
      </c>
      <c r="AJ1" s="57" t="s">
        <v>831</v>
      </c>
      <c r="AK1" s="57" t="s">
        <v>878</v>
      </c>
      <c r="AL1" s="57" t="s">
        <v>836</v>
      </c>
      <c r="AM1" s="57" t="s">
        <v>838</v>
      </c>
      <c r="AN1" s="57" t="s">
        <v>9</v>
      </c>
      <c r="AO1" s="57" t="s">
        <v>848</v>
      </c>
      <c r="AP1" s="57" t="s">
        <v>877</v>
      </c>
      <c r="AQ1" s="57" t="s">
        <v>853</v>
      </c>
      <c r="AR1" s="57" t="s">
        <v>748</v>
      </c>
      <c r="AS1" s="57" t="s">
        <v>863</v>
      </c>
      <c r="AT1" s="57" t="s">
        <v>864</v>
      </c>
      <c r="AU1" s="57" t="s">
        <v>683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869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985</v>
      </c>
      <c r="K2" s="9" t="s">
        <v>876</v>
      </c>
      <c r="L2" s="9" t="s">
        <v>999</v>
      </c>
      <c r="M2" s="9" t="s">
        <v>105</v>
      </c>
      <c r="N2" s="9" t="s">
        <v>965</v>
      </c>
      <c r="O2" s="9" t="s">
        <v>1017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1014</v>
      </c>
      <c r="V2" s="9" t="s">
        <v>1006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959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989</v>
      </c>
      <c r="F3" s="9" t="s">
        <v>264</v>
      </c>
      <c r="G3" s="9" t="s">
        <v>1011</v>
      </c>
      <c r="H3" s="9" t="s">
        <v>77</v>
      </c>
      <c r="I3" s="9" t="s">
        <v>334</v>
      </c>
      <c r="J3" s="9" t="s">
        <v>953</v>
      </c>
      <c r="K3" s="9" t="s">
        <v>841</v>
      </c>
      <c r="M3" s="9" t="s">
        <v>102</v>
      </c>
      <c r="N3" s="9" t="s">
        <v>272</v>
      </c>
      <c r="O3" s="9" t="s">
        <v>306</v>
      </c>
      <c r="P3" s="9" t="s">
        <v>995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957</v>
      </c>
      <c r="Y3" s="9" t="s">
        <v>217</v>
      </c>
      <c r="Z3" s="9" t="s">
        <v>345</v>
      </c>
      <c r="AC3" s="9" t="s">
        <v>196</v>
      </c>
      <c r="AD3" s="9" t="s">
        <v>983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856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865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1005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1010</v>
      </c>
      <c r="F5" s="9" t="s">
        <v>204</v>
      </c>
      <c r="H5" s="9" t="s">
        <v>91</v>
      </c>
      <c r="I5" s="9" t="s">
        <v>211</v>
      </c>
      <c r="J5" s="9" t="s">
        <v>1000</v>
      </c>
      <c r="K5" s="9" t="s">
        <v>972</v>
      </c>
      <c r="M5" s="9" t="s">
        <v>348</v>
      </c>
      <c r="N5" s="9" t="s">
        <v>977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826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859</v>
      </c>
      <c r="AT5" t="s">
        <v>681</v>
      </c>
      <c r="AU5" t="s">
        <v>1006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312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844</v>
      </c>
      <c r="AE6" s="9" t="s">
        <v>292</v>
      </c>
      <c r="AP6" t="s">
        <v>674</v>
      </c>
      <c r="AQ6" t="s">
        <v>656</v>
      </c>
      <c r="AR6" t="s">
        <v>857</v>
      </c>
      <c r="AS6" t="s">
        <v>217</v>
      </c>
      <c r="AU6" t="s">
        <v>360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319</v>
      </c>
      <c r="R7" s="9" t="s">
        <v>173</v>
      </c>
      <c r="S7" s="9" t="s">
        <v>152</v>
      </c>
      <c r="T7" s="9" t="s">
        <v>232</v>
      </c>
      <c r="U7" s="9" t="s">
        <v>951</v>
      </c>
      <c r="X7" s="9" t="s">
        <v>127</v>
      </c>
      <c r="Y7" s="9" t="s">
        <v>1013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826</v>
      </c>
      <c r="AI7" t="s">
        <v>1015</v>
      </c>
      <c r="AJ7" t="s">
        <v>865</v>
      </c>
      <c r="AK7" t="s">
        <v>876</v>
      </c>
      <c r="AL7" t="s">
        <v>833</v>
      </c>
      <c r="AM7" t="s">
        <v>1010</v>
      </c>
      <c r="AN7" t="s">
        <v>841</v>
      </c>
      <c r="AO7" t="s">
        <v>826</v>
      </c>
      <c r="AP7" t="s">
        <v>675</v>
      </c>
      <c r="AQ7" t="s">
        <v>657</v>
      </c>
      <c r="AR7" t="s">
        <v>854</v>
      </c>
      <c r="AS7" t="s">
        <v>879</v>
      </c>
      <c r="AT7" t="s">
        <v>849</v>
      </c>
      <c r="AU7" t="s">
        <v>881</v>
      </c>
    </row>
    <row r="8" spans="1:51" x14ac:dyDescent="0.25">
      <c r="A8" s="9"/>
      <c r="C8" s="9" t="s">
        <v>69</v>
      </c>
      <c r="D8" s="9" t="s">
        <v>63</v>
      </c>
      <c r="E8" s="9" t="s">
        <v>940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943</v>
      </c>
      <c r="P8" s="9" t="s">
        <v>973</v>
      </c>
      <c r="S8" s="9" t="s">
        <v>120</v>
      </c>
      <c r="T8" s="9" t="s">
        <v>276</v>
      </c>
      <c r="U8" s="9" t="s">
        <v>963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832</v>
      </c>
      <c r="AE8" s="9" t="s">
        <v>202</v>
      </c>
      <c r="AH8" t="s">
        <v>820</v>
      </c>
      <c r="AI8" t="s">
        <v>301</v>
      </c>
      <c r="AJ8" t="s">
        <v>362</v>
      </c>
      <c r="AK8" t="s">
        <v>841</v>
      </c>
      <c r="AL8" t="s">
        <v>834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855</v>
      </c>
      <c r="AS8" t="s">
        <v>134</v>
      </c>
      <c r="AT8" t="s">
        <v>98</v>
      </c>
      <c r="AU8" t="s">
        <v>884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958</v>
      </c>
      <c r="J9" s="9" t="s">
        <v>332</v>
      </c>
      <c r="K9" s="9" t="s">
        <v>1015</v>
      </c>
      <c r="N9" s="9" t="s">
        <v>95</v>
      </c>
      <c r="O9" s="9" t="s">
        <v>974</v>
      </c>
      <c r="P9" s="9" t="s">
        <v>186</v>
      </c>
      <c r="S9" s="9" t="s">
        <v>279</v>
      </c>
      <c r="T9" s="9" t="s">
        <v>992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978</v>
      </c>
      <c r="AD9" s="9" t="s">
        <v>193</v>
      </c>
      <c r="AE9" s="9" t="s">
        <v>980</v>
      </c>
      <c r="AH9" t="s">
        <v>821</v>
      </c>
      <c r="AI9" t="s">
        <v>830</v>
      </c>
      <c r="AJ9" t="s">
        <v>361</v>
      </c>
      <c r="AK9" t="s">
        <v>869</v>
      </c>
      <c r="AL9" t="s">
        <v>835</v>
      </c>
      <c r="AM9" t="s">
        <v>355</v>
      </c>
      <c r="AN9" t="s">
        <v>839</v>
      </c>
      <c r="AO9" t="s">
        <v>847</v>
      </c>
      <c r="AP9" t="s">
        <v>677</v>
      </c>
      <c r="AQ9" t="s">
        <v>659</v>
      </c>
      <c r="AS9" t="s">
        <v>130</v>
      </c>
      <c r="AT9" t="s">
        <v>343</v>
      </c>
      <c r="AU9" t="s">
        <v>885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960</v>
      </c>
      <c r="G10" s="9"/>
      <c r="H10" s="9" t="s">
        <v>140</v>
      </c>
      <c r="I10" s="9" t="s">
        <v>90</v>
      </c>
      <c r="J10" s="9" t="s">
        <v>830</v>
      </c>
      <c r="K10" s="9" t="s">
        <v>342</v>
      </c>
      <c r="N10" s="9" t="s">
        <v>249</v>
      </c>
      <c r="O10" s="9" t="s">
        <v>96</v>
      </c>
      <c r="P10" s="9" t="s">
        <v>223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822</v>
      </c>
      <c r="AI10" t="s">
        <v>357</v>
      </c>
      <c r="AJ10" t="s">
        <v>832</v>
      </c>
      <c r="AK10" t="s">
        <v>342</v>
      </c>
      <c r="AM10" t="s">
        <v>93</v>
      </c>
      <c r="AN10" t="s">
        <v>351</v>
      </c>
      <c r="AO10" t="s">
        <v>845</v>
      </c>
      <c r="AT10" t="s">
        <v>858</v>
      </c>
      <c r="AU10" t="s">
        <v>882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101</v>
      </c>
      <c r="S11" s="9" t="s">
        <v>273</v>
      </c>
      <c r="T11" s="9" t="s">
        <v>987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981</v>
      </c>
      <c r="AH11" t="s">
        <v>867</v>
      </c>
      <c r="AI11" t="s">
        <v>366</v>
      </c>
      <c r="AJ11" t="s">
        <v>403</v>
      </c>
      <c r="AK11" t="s">
        <v>940</v>
      </c>
      <c r="AL11" s="54"/>
      <c r="AM11" t="s">
        <v>837</v>
      </c>
      <c r="AN11" t="s">
        <v>87</v>
      </c>
      <c r="AO11" t="s">
        <v>846</v>
      </c>
      <c r="AP11" t="s">
        <v>843</v>
      </c>
      <c r="AQ11" t="s">
        <v>826</v>
      </c>
      <c r="AT11" t="s">
        <v>354</v>
      </c>
      <c r="AU11" t="s">
        <v>880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968</v>
      </c>
      <c r="N12" s="9" t="s">
        <v>257</v>
      </c>
      <c r="O12" s="9" t="s">
        <v>212</v>
      </c>
      <c r="P12" s="9" t="s">
        <v>368</v>
      </c>
      <c r="S12" s="9" t="s">
        <v>245</v>
      </c>
      <c r="T12" s="9" t="s">
        <v>1005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871</v>
      </c>
      <c r="AJ12" t="s">
        <v>352</v>
      </c>
      <c r="AK12" t="s">
        <v>77</v>
      </c>
      <c r="AL12" s="54"/>
      <c r="AM12" s="54"/>
      <c r="AN12" t="s">
        <v>840</v>
      </c>
      <c r="AP12" t="s">
        <v>842</v>
      </c>
      <c r="AQ12" t="s">
        <v>841</v>
      </c>
      <c r="AU12" t="s">
        <v>883</v>
      </c>
    </row>
    <row r="13" spans="1:51" x14ac:dyDescent="0.25">
      <c r="A13" s="9"/>
      <c r="C13" s="9"/>
      <c r="D13" s="9" t="s">
        <v>218</v>
      </c>
      <c r="E13" s="9" t="s">
        <v>967</v>
      </c>
      <c r="F13" s="9" t="s">
        <v>993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104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941</v>
      </c>
      <c r="AD13" s="9" t="s">
        <v>220</v>
      </c>
      <c r="AE13" s="9" t="s">
        <v>219</v>
      </c>
      <c r="AH13" t="s">
        <v>870</v>
      </c>
      <c r="AK13" t="s">
        <v>63</v>
      </c>
      <c r="AL13" s="54"/>
      <c r="AM13" s="54"/>
      <c r="AN13" s="54"/>
      <c r="AP13" t="s">
        <v>844</v>
      </c>
      <c r="AQ13" t="s">
        <v>364</v>
      </c>
      <c r="AU13" t="s">
        <v>886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988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271</v>
      </c>
      <c r="S14" s="9" t="s">
        <v>113</v>
      </c>
      <c r="T14" s="9" t="s">
        <v>1018</v>
      </c>
      <c r="U14" s="9" t="s">
        <v>150</v>
      </c>
      <c r="Y14" s="9" t="s">
        <v>976</v>
      </c>
      <c r="Z14" s="9" t="s">
        <v>950</v>
      </c>
      <c r="AD14" s="9" t="s">
        <v>982</v>
      </c>
      <c r="AE14" s="9" t="s">
        <v>198</v>
      </c>
      <c r="AH14" t="s">
        <v>872</v>
      </c>
      <c r="AK14" t="s">
        <v>365</v>
      </c>
      <c r="AL14" s="54"/>
      <c r="AM14" s="54"/>
      <c r="AN14" s="54"/>
      <c r="AP14" s="54"/>
      <c r="AQ14" t="s">
        <v>850</v>
      </c>
      <c r="AU14" t="s">
        <v>1023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250</v>
      </c>
      <c r="S15" s="9" t="s">
        <v>971</v>
      </c>
      <c r="T15" s="9" t="s">
        <v>108</v>
      </c>
      <c r="U15" s="9" t="s">
        <v>164</v>
      </c>
      <c r="Y15" s="9" t="s">
        <v>942</v>
      </c>
      <c r="Z15" s="9" t="s">
        <v>1009</v>
      </c>
      <c r="AE15" s="9" t="s">
        <v>998</v>
      </c>
      <c r="AH15" t="s">
        <v>823</v>
      </c>
      <c r="AK15" t="s">
        <v>868</v>
      </c>
      <c r="AL15" s="54"/>
      <c r="AM15" s="54"/>
      <c r="AN15" s="54"/>
      <c r="AP15" s="54"/>
      <c r="AQ15" t="s">
        <v>999</v>
      </c>
      <c r="AU15" t="s">
        <v>356</v>
      </c>
    </row>
    <row r="16" spans="1:51" x14ac:dyDescent="0.25">
      <c r="A16" s="9"/>
      <c r="C16" s="9"/>
      <c r="D16" s="9" t="s">
        <v>979</v>
      </c>
      <c r="E16" s="9" t="s">
        <v>144</v>
      </c>
      <c r="F16" s="9" t="s">
        <v>262</v>
      </c>
      <c r="G16" s="9"/>
      <c r="I16" s="9" t="s">
        <v>1001</v>
      </c>
      <c r="J16" s="9" t="s">
        <v>83</v>
      </c>
      <c r="K16" s="9" t="s">
        <v>947</v>
      </c>
      <c r="N16" s="9" t="s">
        <v>166</v>
      </c>
      <c r="O16" s="9" t="s">
        <v>1007</v>
      </c>
      <c r="P16" s="9" t="s">
        <v>169</v>
      </c>
      <c r="S16" s="9" t="s">
        <v>224</v>
      </c>
      <c r="T16" s="9" t="s">
        <v>109</v>
      </c>
      <c r="U16" s="9" t="s">
        <v>1019</v>
      </c>
      <c r="Y16" s="9" t="s">
        <v>269</v>
      </c>
      <c r="Z16" s="9" t="s">
        <v>964</v>
      </c>
      <c r="AE16" s="9" t="s">
        <v>344</v>
      </c>
      <c r="AH16" t="s">
        <v>1017</v>
      </c>
      <c r="AK16" t="s">
        <v>68</v>
      </c>
      <c r="AL16" s="54"/>
      <c r="AM16" s="54"/>
      <c r="AN16" s="54"/>
      <c r="AP16" s="54"/>
      <c r="AQ16" t="s">
        <v>852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984</v>
      </c>
      <c r="J17" s="9" t="s">
        <v>961</v>
      </c>
      <c r="K17" s="9" t="s">
        <v>1008</v>
      </c>
      <c r="N17" s="9" t="s">
        <v>100</v>
      </c>
      <c r="O17" s="9" t="s">
        <v>354</v>
      </c>
      <c r="P17" s="9" t="s">
        <v>994</v>
      </c>
      <c r="S17" s="9" t="s">
        <v>323</v>
      </c>
      <c r="T17" s="9" t="s">
        <v>22</v>
      </c>
      <c r="U17" s="9" t="s">
        <v>114</v>
      </c>
      <c r="AE17" s="9" t="s">
        <v>855</v>
      </c>
      <c r="AH17" t="s">
        <v>154</v>
      </c>
      <c r="AK17" t="s">
        <v>238</v>
      </c>
      <c r="AQ17" t="s">
        <v>157</v>
      </c>
      <c r="AU17" t="s">
        <v>861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188</v>
      </c>
      <c r="K18" s="9" t="s">
        <v>182</v>
      </c>
      <c r="N18" s="9" t="s">
        <v>284</v>
      </c>
      <c r="O18" s="9" t="s">
        <v>99</v>
      </c>
      <c r="P18" s="9" t="s">
        <v>1016</v>
      </c>
      <c r="S18" s="9" t="s">
        <v>956</v>
      </c>
      <c r="T18" s="9" t="s">
        <v>955</v>
      </c>
      <c r="U18" s="9" t="s">
        <v>997</v>
      </c>
      <c r="AH18" t="s">
        <v>1019</v>
      </c>
      <c r="AK18" t="s">
        <v>363</v>
      </c>
      <c r="AQ18" t="s">
        <v>851</v>
      </c>
      <c r="AU18" t="s">
        <v>860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1002</v>
      </c>
      <c r="K19" s="9" t="s">
        <v>175</v>
      </c>
      <c r="N19" s="9" t="s">
        <v>299</v>
      </c>
      <c r="O19" s="9" t="s">
        <v>216</v>
      </c>
      <c r="P19" s="9" t="s">
        <v>107</v>
      </c>
      <c r="T19" s="9" t="s">
        <v>309</v>
      </c>
      <c r="U19" s="9" t="s">
        <v>301</v>
      </c>
      <c r="AH19" t="s">
        <v>1018</v>
      </c>
      <c r="AK19" t="s">
        <v>168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862</v>
      </c>
      <c r="K20" s="9" t="s">
        <v>157</v>
      </c>
      <c r="N20" s="9" t="s">
        <v>311</v>
      </c>
      <c r="O20" s="9" t="s">
        <v>962</v>
      </c>
      <c r="P20" s="9" t="s">
        <v>277</v>
      </c>
      <c r="T20" s="9" t="s">
        <v>255</v>
      </c>
      <c r="U20" s="9" t="s">
        <v>254</v>
      </c>
      <c r="AH20" t="s">
        <v>101</v>
      </c>
      <c r="AK20" t="s">
        <v>1008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24</v>
      </c>
      <c r="K21" s="9" t="s">
        <v>76</v>
      </c>
      <c r="N21" s="9" t="s">
        <v>141</v>
      </c>
      <c r="O21" s="9" t="s">
        <v>327</v>
      </c>
      <c r="P21" s="9" t="s">
        <v>280</v>
      </c>
      <c r="T21" s="9" t="s">
        <v>110</v>
      </c>
      <c r="U21" s="9" t="s">
        <v>225</v>
      </c>
      <c r="AH21" t="s">
        <v>824</v>
      </c>
      <c r="AK21" t="s">
        <v>70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23</v>
      </c>
      <c r="K22" s="9" t="s">
        <v>303</v>
      </c>
      <c r="N22" s="9" t="s">
        <v>214</v>
      </c>
      <c r="O22" s="9" t="s">
        <v>1003</v>
      </c>
      <c r="P22" s="9" t="s">
        <v>343</v>
      </c>
      <c r="T22" s="9" t="s">
        <v>1004</v>
      </c>
      <c r="U22" s="9" t="s">
        <v>357</v>
      </c>
      <c r="AH22" t="s">
        <v>353</v>
      </c>
      <c r="AK22" t="s">
        <v>369</v>
      </c>
    </row>
    <row r="23" spans="1:47" x14ac:dyDescent="0.25">
      <c r="A23" s="9"/>
      <c r="C23" s="9"/>
      <c r="D23" s="9" t="s">
        <v>966</v>
      </c>
      <c r="E23" s="9"/>
      <c r="F23" s="9" t="s">
        <v>337</v>
      </c>
      <c r="J23" s="9" t="s">
        <v>147</v>
      </c>
      <c r="K23" s="9" t="s">
        <v>367</v>
      </c>
      <c r="N23" s="9" t="s">
        <v>293</v>
      </c>
      <c r="O23" s="9" t="s">
        <v>1020</v>
      </c>
      <c r="P23" s="9" t="s">
        <v>991</v>
      </c>
      <c r="T23" s="9" t="s">
        <v>121</v>
      </c>
      <c r="U23" s="9" t="s">
        <v>356</v>
      </c>
      <c r="AH23" t="s">
        <v>95</v>
      </c>
      <c r="AK23" t="s">
        <v>875</v>
      </c>
    </row>
    <row r="24" spans="1:47" x14ac:dyDescent="0.25">
      <c r="A24" s="9"/>
      <c r="C24" s="9"/>
      <c r="D24" s="9"/>
      <c r="E24" s="9"/>
      <c r="F24" s="9" t="s">
        <v>861</v>
      </c>
      <c r="K24" s="9" t="s">
        <v>366</v>
      </c>
      <c r="O24" s="9" t="s">
        <v>229</v>
      </c>
      <c r="P24" s="9" t="s">
        <v>954</v>
      </c>
      <c r="T24" s="9" t="s">
        <v>117</v>
      </c>
      <c r="U24" s="9" t="s">
        <v>238</v>
      </c>
      <c r="AH24" t="s">
        <v>1016</v>
      </c>
      <c r="AK24" t="s">
        <v>873</v>
      </c>
    </row>
    <row r="25" spans="1:47" x14ac:dyDescent="0.25">
      <c r="A25" s="9"/>
      <c r="C25" s="9"/>
      <c r="D25" s="9"/>
      <c r="E25" s="9"/>
      <c r="F25" s="9" t="s">
        <v>996</v>
      </c>
      <c r="K25" s="9" t="s">
        <v>80</v>
      </c>
      <c r="P25" s="9" t="s">
        <v>339</v>
      </c>
      <c r="T25" s="9" t="s">
        <v>239</v>
      </c>
      <c r="U25" s="9" t="s">
        <v>161</v>
      </c>
      <c r="AH25" t="s">
        <v>827</v>
      </c>
      <c r="AK25" t="s">
        <v>874</v>
      </c>
    </row>
    <row r="26" spans="1:47" x14ac:dyDescent="0.25">
      <c r="A26" s="9"/>
      <c r="C26" s="9"/>
      <c r="D26" s="9"/>
      <c r="E26" s="9"/>
      <c r="F26" s="9" t="s">
        <v>952</v>
      </c>
      <c r="K26" s="9" t="s">
        <v>990</v>
      </c>
      <c r="P26" s="9" t="s">
        <v>986</v>
      </c>
      <c r="U26" s="9" t="s">
        <v>948</v>
      </c>
      <c r="AH26" t="s">
        <v>310</v>
      </c>
      <c r="AK26" t="s">
        <v>67</v>
      </c>
    </row>
    <row r="27" spans="1:47" x14ac:dyDescent="0.25">
      <c r="A27" s="9"/>
      <c r="C27" s="9"/>
      <c r="D27" s="9"/>
      <c r="E27" s="9"/>
      <c r="F27" s="9" t="s">
        <v>1012</v>
      </c>
      <c r="K27" s="9" t="s">
        <v>267</v>
      </c>
      <c r="P27" s="9" t="s">
        <v>244</v>
      </c>
      <c r="U27" s="9" t="s">
        <v>310</v>
      </c>
      <c r="AH27" t="s">
        <v>866</v>
      </c>
      <c r="AK27" t="s">
        <v>1002</v>
      </c>
    </row>
    <row r="28" spans="1:47" x14ac:dyDescent="0.25">
      <c r="A28" s="9"/>
      <c r="C28" s="9"/>
      <c r="D28" s="9"/>
      <c r="E28" s="9"/>
      <c r="F28" s="9"/>
      <c r="P28" s="9" t="s">
        <v>969</v>
      </c>
      <c r="U28" s="9" t="s">
        <v>970</v>
      </c>
      <c r="AH28" t="s">
        <v>1007</v>
      </c>
      <c r="AK28" t="s">
        <v>862</v>
      </c>
    </row>
    <row r="29" spans="1:47" x14ac:dyDescent="0.25">
      <c r="A29" s="9"/>
      <c r="C29" s="9"/>
      <c r="D29" s="9"/>
      <c r="E29" s="9"/>
      <c r="P29" s="9" t="s">
        <v>103</v>
      </c>
      <c r="U29" s="9" t="s">
        <v>333</v>
      </c>
      <c r="AH29" t="s">
        <v>173</v>
      </c>
      <c r="AK29" t="s">
        <v>367</v>
      </c>
    </row>
    <row r="30" spans="1:47" x14ac:dyDescent="0.25">
      <c r="A30" s="9"/>
      <c r="C30" s="9"/>
      <c r="D30" s="9"/>
      <c r="E30" s="9"/>
      <c r="U30" s="9" t="s">
        <v>358</v>
      </c>
      <c r="AH30" t="s">
        <v>1020</v>
      </c>
    </row>
    <row r="31" spans="1:47" x14ac:dyDescent="0.25">
      <c r="A31" s="9"/>
      <c r="C31" s="9"/>
      <c r="D31" s="9"/>
      <c r="E31" s="9"/>
      <c r="U31" s="9" t="s">
        <v>213</v>
      </c>
      <c r="AH31" t="s">
        <v>825</v>
      </c>
    </row>
    <row r="32" spans="1:47" x14ac:dyDescent="0.25">
      <c r="A32" s="9"/>
      <c r="C32" s="9"/>
      <c r="D32" s="9"/>
      <c r="E32" s="9"/>
      <c r="U32" s="9" t="s">
        <v>949</v>
      </c>
    </row>
    <row r="33" spans="1:21" x14ac:dyDescent="0.25">
      <c r="A33" s="9"/>
      <c r="C33" s="9"/>
      <c r="D33" s="9"/>
      <c r="E33" s="9"/>
      <c r="U33" s="9" t="s">
        <v>170</v>
      </c>
    </row>
    <row r="34" spans="1:21" x14ac:dyDescent="0.25">
      <c r="A34" s="9"/>
      <c r="C34" s="9"/>
      <c r="D34" s="9"/>
      <c r="E34" s="9"/>
      <c r="U34" s="9" t="s">
        <v>171</v>
      </c>
    </row>
    <row r="35" spans="1:21" x14ac:dyDescent="0.25">
      <c r="A35" s="9"/>
      <c r="C35" s="9"/>
      <c r="D35" s="9"/>
      <c r="E35" s="9"/>
      <c r="U35" s="9" t="s">
        <v>975</v>
      </c>
    </row>
    <row r="36" spans="1:21" x14ac:dyDescent="0.25">
      <c r="A36" s="9"/>
      <c r="C36" s="9"/>
      <c r="D36" s="9"/>
      <c r="E36" s="9"/>
      <c r="U36" s="9" t="s">
        <v>226</v>
      </c>
    </row>
    <row r="37" spans="1:21" x14ac:dyDescent="0.25">
      <c r="A37" s="9"/>
      <c r="C37" s="9"/>
      <c r="D37" s="9"/>
      <c r="E37" s="9"/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U2:AU19">
    <sortCondition ref="AU2:AU1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4FEAD7-E893-4B3F-A9CE-DF3BC1329B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Main</vt:lpstr>
      <vt:lpstr>Doll</vt:lpstr>
      <vt:lpstr>Equip</vt:lpstr>
      <vt:lpstr>Fairy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Day</vt:lpstr>
      <vt:lpstr>DollJSONPath</vt:lpstr>
      <vt:lpstr>EnemyID</vt:lpstr>
      <vt:lpstr>EquipJSONPath</vt:lpstr>
      <vt:lpstr>FairyJSONPath</vt:lpstr>
      <vt:lpstr>FairySkill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</dc:creator>
  <cp:lastModifiedBy>Danny L</cp:lastModifiedBy>
  <cp:lastPrinted>2021-03-05T01:35:54Z</cp:lastPrinted>
  <dcterms:created xsi:type="dcterms:W3CDTF">2021-02-28T17:17:12Z</dcterms:created>
  <dcterms:modified xsi:type="dcterms:W3CDTF">2021-03-06T21:35:57Z</dcterms:modified>
</cp:coreProperties>
</file>